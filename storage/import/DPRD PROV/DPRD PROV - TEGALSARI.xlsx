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D PROVINSI" sheetId="1" r:id="rId4"/>
    <sheet state="visible" name="DASRI" sheetId="2" r:id="rId5"/>
    <sheet state="visible" name="KARANGDORO" sheetId="3" r:id="rId6"/>
    <sheet state="visible" name="KARANGMULYO" sheetId="4" r:id="rId7"/>
    <sheet state="visible" name="TAMANSARI" sheetId="5" r:id="rId8"/>
    <sheet state="visible" name="TEGALREJO" sheetId="6" r:id="rId9"/>
    <sheet state="visible" name="TEGALSARI" sheetId="7" r:id="rId10"/>
  </sheets>
  <definedNames/>
  <calcPr/>
  <extLst>
    <ext uri="GoogleSheetsCustomDataVersion2">
      <go:sheetsCustomData xmlns:go="http://customooxmlschemas.google.com/" r:id="rId11" roundtripDataChecksum="wF1xEtsCPi9XcPhfcTnAmW2fpoKm4NV1/12b35sBxCM="/>
    </ext>
  </extLst>
</workbook>
</file>

<file path=xl/sharedStrings.xml><?xml version="1.0" encoding="utf-8"?>
<sst xmlns="http://schemas.openxmlformats.org/spreadsheetml/2006/main" count="2184" uniqueCount="254">
  <si>
    <t>Kecamatan</t>
  </si>
  <si>
    <t>TEGALSARI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</si>
  <si>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</si>
  <si>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</si>
  <si>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</si>
  <si>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</si>
  <si>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</si>
  <si>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</si>
  <si>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</si>
  <si>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</si>
  <si>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</si>
  <si>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</si>
  <si>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</si>
  <si>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</si>
  <si>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</si>
  <si>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</si>
  <si>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</si>
  <si>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</si>
  <si>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</si>
  <si>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</si>
  <si>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</si>
  <si>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</si>
  <si>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</si>
  <si>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</si>
  <si>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</si>
  <si>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</si>
  <si>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</si>
  <si>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</si>
  <si>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</si>
  <si>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</si>
  <si>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</si>
  <si>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</si>
  <si>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</si>
  <si>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</si>
  <si>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</si>
  <si>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</si>
  <si>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</si>
  <si>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</si>
  <si>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</si>
  <si>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</si>
  <si>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Dra. Hj. MA`MULAH HARUN, M.Pd.I.</t>
  </si>
  <si>
    <t>2. UBAIDILLAH, S.Fil.I.</t>
  </si>
  <si>
    <t>3. Ir. H. YOYOK MULYADI, M.Si.</t>
  </si>
  <si>
    <t>4. KHOIRUL ANWAR, S.Fil.I.</t>
  </si>
  <si>
    <t>5. ARIF WIJAKSANA</t>
  </si>
  <si>
    <t>6. Dr. SITI YUMNAH</t>
  </si>
  <si>
    <t>7. MOHAMMAD ZAINI, M.Pd.I.</t>
  </si>
  <si>
    <t>8. FAWAIDUL MAKKIYAH</t>
  </si>
  <si>
    <t>9. IFFAH HIDAYATUR ROHMAH, S.Sos.</t>
  </si>
  <si>
    <t>JUMLAH SUARA SAH PARTAI POLITIK DAN CALON (A1 + A2)</t>
  </si>
  <si>
    <t>Partai Gerakan Indonesia Raya</t>
  </si>
  <si>
    <t>1. AHMAD HADINUDDIN, S.Pd.I.</t>
  </si>
  <si>
    <t>2. BIMA RAFSANJANI RAFID</t>
  </si>
  <si>
    <t>3. IRA DAMAYANTI</t>
  </si>
  <si>
    <t>4. MAULANA MALIK IBRAHIM, S.H.</t>
  </si>
  <si>
    <t>5. LULUK ALFIATI</t>
  </si>
  <si>
    <t>6. ILHAM WAHYUDI, S.H.</t>
  </si>
  <si>
    <t>7. HAERUL ANWAR, S.Pd.I.</t>
  </si>
  <si>
    <t>8. YOVI ADHITYA WARDANI</t>
  </si>
  <si>
    <t>9. RITA AMELIA</t>
  </si>
  <si>
    <t>Partai Demokrasi Indonesia Perjuangan</t>
  </si>
  <si>
    <t>1. MARTIN H., S.H., M.H.</t>
  </si>
  <si>
    <t>2. HERMANTO, S.E.</t>
  </si>
  <si>
    <t>3. EVY SUSILAWATI, S.E., M.M.</t>
  </si>
  <si>
    <t>4. M. SIROTTUDIN</t>
  </si>
  <si>
    <t>5. ABDUL HAFID, S.H.</t>
  </si>
  <si>
    <t>6. NIKITA FORTUNA SURYANINGATI, A.Md.Keb.</t>
  </si>
  <si>
    <t>7. YUDHO ILHAM WIJAYA, S.E.</t>
  </si>
  <si>
    <t>8. SETIAWATI, S.H.</t>
  </si>
  <si>
    <t>9. EKO BUDI SANTOSO, S.H.</t>
  </si>
  <si>
    <t>Partai Golongan Karya</t>
  </si>
  <si>
    <t>1. PRANAYA YUDHA MAHARDHIKA</t>
  </si>
  <si>
    <t>2. Dra. Ec. ENDANG SULASTUTY, M.I.P.</t>
  </si>
  <si>
    <t>3. AGUS REJEKI WARTONO</t>
  </si>
  <si>
    <t>4. Hj. TUTUK ASMA'A ZUCHROH, S.T., M.T.</t>
  </si>
  <si>
    <t>5. ADE M. RIZKI, S.E.</t>
  </si>
  <si>
    <t>6. ABDURAKHMAN, Bc.Kn.</t>
  </si>
  <si>
    <t>7. CENDY RHIYAN ADI PUTRI</t>
  </si>
  <si>
    <t>8. BAKTI WIJAYANTO, S.E.</t>
  </si>
  <si>
    <t>9. AHMAD UBAIDILLAH</t>
  </si>
  <si>
    <t>5.</t>
  </si>
  <si>
    <t>Partai NasDem</t>
  </si>
  <si>
    <t>1. ALI MUSTOFA, A.Md.</t>
  </si>
  <si>
    <t>2. Hj. BUAMI, S.H.</t>
  </si>
  <si>
    <t>3. SUGIONO, S.H.</t>
  </si>
  <si>
    <t>4. LULUK SUNARMIATININGSIH</t>
  </si>
  <si>
    <t>5. ANTON DJULIANTO ADI</t>
  </si>
  <si>
    <t>6. MOKHAMAD ROFI'I KHUSNAN</t>
  </si>
  <si>
    <t>7. Rr SETYO WATI</t>
  </si>
  <si>
    <t>8. ABD. KADIR ASSEGAFF</t>
  </si>
  <si>
    <t>9. FATHOR ZAINULLAH</t>
  </si>
  <si>
    <t>6.</t>
  </si>
  <si>
    <t>Partai Buruh</t>
  </si>
  <si>
    <t>1. AGUS SUPRIYADI</t>
  </si>
  <si>
    <t>2. ENI HARIATI</t>
  </si>
  <si>
    <t>7.</t>
  </si>
  <si>
    <t>Partai Gelombang Rakyat Indonesia</t>
  </si>
  <si>
    <t>1. MIRZA MUHROSNI AROMA</t>
  </si>
  <si>
    <t>2. ACHMAD BAGUS SUGIARTO</t>
  </si>
  <si>
    <t>3. ELOK FITRIYA NINGSIH</t>
  </si>
  <si>
    <t>4. MADI</t>
  </si>
  <si>
    <t>5. LUKY PERMANASARI</t>
  </si>
  <si>
    <t>8.</t>
  </si>
  <si>
    <t>Partai Keadilan Sejahtera</t>
  </si>
  <si>
    <t>1. H. IRWAN SETIAWAN</t>
  </si>
  <si>
    <t>2. USMAN SAHIB RAFIK, S.S.</t>
  </si>
  <si>
    <t>3. YULIUS AGUSTINA, S.Pd.I.</t>
  </si>
  <si>
    <t>4. JUGI TRISTIANTO, S.Sos., M.M.</t>
  </si>
  <si>
    <t>5. USAMAH ABDAT, S.E.</t>
  </si>
  <si>
    <t>6. Hj. ENDANG WIRETNI</t>
  </si>
  <si>
    <t>7. ANANG PURWIDIANTO</t>
  </si>
  <si>
    <t>8. HERU KURNIAWAN</t>
  </si>
  <si>
    <t>9. DYAH ROSYIDAH, S.Si.</t>
  </si>
  <si>
    <t>9.</t>
  </si>
  <si>
    <t>Partai Kebangkitan Nusantara</t>
  </si>
  <si>
    <t>1. AHMAD WAHYUDI</t>
  </si>
  <si>
    <t>2. TONY ARIF SETIAWAN</t>
  </si>
  <si>
    <t>3. HENI DUWI PUSPITASARI</t>
  </si>
  <si>
    <t>10.</t>
  </si>
  <si>
    <t>Partai Hati Nurani Rakyat</t>
  </si>
  <si>
    <t>1. BUDIYANTO EKO SISILA</t>
  </si>
  <si>
    <t>2. LAYLI HASAN, S.H.I.</t>
  </si>
  <si>
    <t>3. NUR HAYATI, ST.</t>
  </si>
  <si>
    <t>4. A. YUDI PRASETYO</t>
  </si>
  <si>
    <t>5. ESA TEDJA MAHANANIE, S.H.</t>
  </si>
  <si>
    <t>6. SANDI SANTOSO</t>
  </si>
  <si>
    <t>7. AGUS SUKMONO WATI</t>
  </si>
  <si>
    <t>11.</t>
  </si>
  <si>
    <t>Partai Garda Republik Indonesia</t>
  </si>
  <si>
    <t>1. LISTA ARIYANI, S.H.</t>
  </si>
  <si>
    <t>12.</t>
  </si>
  <si>
    <t>Partai Amanat Nasional</t>
  </si>
  <si>
    <t>1. DANU BUDIYONO</t>
  </si>
  <si>
    <t>2. MASRURO, S.Ag.</t>
  </si>
  <si>
    <t>3. MOH. IMRON FAUZI, S.Sos.I., M.M.</t>
  </si>
  <si>
    <t>4. FIRMANSYAH</t>
  </si>
  <si>
    <t>5. HANA HANDINI, S.Pd.</t>
  </si>
  <si>
    <t>6. IRAWAN, S.M.</t>
  </si>
  <si>
    <t>7. MAHYUDI</t>
  </si>
  <si>
    <t>8. NOVI NAHARI SYAFITRI</t>
  </si>
  <si>
    <t>9. SOFYAN MEDINA</t>
  </si>
  <si>
    <t>13.</t>
  </si>
  <si>
    <t>Partai Bulan Bintang</t>
  </si>
  <si>
    <t>1. Dra. WORO WANDANSARI</t>
  </si>
  <si>
    <t>2. MOH. RAMLI</t>
  </si>
  <si>
    <t>3. DIANA DEWI, S.Psi.</t>
  </si>
  <si>
    <t>4. RATIH PERBAWATI</t>
  </si>
  <si>
    <t>5. AINUL YAQIN, S.Pd., M.A.P.</t>
  </si>
  <si>
    <t>6. EKA FEBRY SULISTIYONO</t>
  </si>
  <si>
    <t>7. MOH. NURUL HUDA</t>
  </si>
  <si>
    <t>8. RAHMAWATI</t>
  </si>
  <si>
    <t>9. MUHAMMAD NUR RAHMATULLAH</t>
  </si>
  <si>
    <t>14.</t>
  </si>
  <si>
    <t>Partai Demokrat</t>
  </si>
  <si>
    <t>1. dr. AGUNG MULYONO</t>
  </si>
  <si>
    <t>2. ISYROFAH AMALIYAH ACHMAD, S.H., M.H.</t>
  </si>
  <si>
    <t>3. GIGIH ANDI WIJAYA, S.H.</t>
  </si>
  <si>
    <t>4. NAQSYABANDI</t>
  </si>
  <si>
    <t>5. NIYADI</t>
  </si>
  <si>
    <t>6. MEI VIDIA UTAMI</t>
  </si>
  <si>
    <t>7. LUKMAN HAKIM</t>
  </si>
  <si>
    <t>8. ZAIRI</t>
  </si>
  <si>
    <t>9. NURUL HIDAYAH</t>
  </si>
  <si>
    <t>15.</t>
  </si>
  <si>
    <t>Partai Solidaritas Indonesia</t>
  </si>
  <si>
    <t>1. Zainul Musabbikhin</t>
  </si>
  <si>
    <t>2. Veni Putri Nurfazila</t>
  </si>
  <si>
    <t>3. DWI WAHYULIANTO</t>
  </si>
  <si>
    <t>16.</t>
  </si>
  <si>
    <t>PARTAI PERINDO</t>
  </si>
  <si>
    <t>1. ADIBAH HAKAM, S.H.</t>
  </si>
  <si>
    <t>2. BUDI TEGUH SARTONO</t>
  </si>
  <si>
    <t>3. ILHAM AKBAR, S.E.</t>
  </si>
  <si>
    <t>4. FERA DWI HELMINA</t>
  </si>
  <si>
    <t>17.</t>
  </si>
  <si>
    <t>Partai Persatuan Pembangunan</t>
  </si>
  <si>
    <t>1. Hj. ZEINIYE, S.Ag.</t>
  </si>
  <si>
    <t>2. H. LUQMAN YANI</t>
  </si>
  <si>
    <t>3. MIRZA</t>
  </si>
  <si>
    <t>4. FADIL, S.Pd.I.</t>
  </si>
  <si>
    <t>5. SYAMSUL ARIFIN, S.H.</t>
  </si>
  <si>
    <t>6. SITA AMILATUZZAHRO</t>
  </si>
  <si>
    <t>7. ZEIROSI, S.H.I.</t>
  </si>
  <si>
    <t>8. MASYUDIK HARTONO</t>
  </si>
  <si>
    <t>9. NARITA NURIL FAJRIYAH</t>
  </si>
  <si>
    <t>18.</t>
  </si>
  <si>
    <t>Partai Ummat</t>
  </si>
  <si>
    <t>1. SAIFUL HADI</t>
  </si>
  <si>
    <t>2. Drs. WITONO, M.Pd.</t>
  </si>
  <si>
    <t>3. KHOLIKAH, S.T.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</si>
  <si>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</si>
  <si>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</si>
  <si>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</si>
  <si>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</si>
  <si>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</si>
  <si>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</si>
  <si>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</si>
  <si>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</si>
  <si>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</si>
  <si>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DASRI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</si>
  <si>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</si>
  <si>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</si>
  <si>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</si>
  <si>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</si>
  <si>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</si>
  <si>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</si>
  <si>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</si>
  <si>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</si>
  <si>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</si>
  <si>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</si>
  <si>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</si>
  <si>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</si>
  <si>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</si>
  <si>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</si>
  <si>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</si>
  <si>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</si>
  <si>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</si>
  <si>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</si>
  <si>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</si>
  <si>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</si>
  <si>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</si>
  <si>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</si>
  <si>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KARANGDORO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</si>
  <si>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</si>
  <si>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</si>
  <si>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</si>
  <si>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</si>
  <si>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</si>
  <si>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</si>
  <si>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</si>
  <si>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</si>
  <si>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</si>
  <si>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</si>
  <si>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</si>
  <si>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</si>
  <si>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</si>
  <si>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901</t>
  </si>
  <si>
    <t>TPS 902</t>
  </si>
  <si>
    <t>TPS 903</t>
  </si>
  <si>
    <t>TPS 904</t>
  </si>
  <si>
    <t>TPS 905</t>
  </si>
  <si>
    <t>TPS 906</t>
  </si>
  <si>
    <t>TPS 907</t>
  </si>
  <si>
    <t>TPS 908</t>
  </si>
  <si>
    <t>KARANGMULYO</t>
  </si>
  <si>
    <t>TAMANSARI</t>
  </si>
  <si>
    <t>TEGALREJO</t>
  </si>
  <si>
    <t>TPS 036</t>
  </si>
  <si>
    <t>TPS 037</t>
  </si>
  <si>
    <t>TPS 038</t>
  </si>
  <si>
    <t>TPS 039</t>
  </si>
  <si>
    <t>TPS 040</t>
  </si>
  <si>
    <t>TPS 041</t>
  </si>
  <si>
    <t>TPS 042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</si>
</sst>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b/>
      <sz val="10.0"/>
      <color rgb="FF000000"/>
      <name val="Bookman Old Style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3" numFmtId="0" xfId="0" applyAlignment="1" applyBorder="1" applyFont="1">
      <alignment shrinkToFit="0" vertical="center" wrapText="1"/>
    </xf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20" fillId="3" fontId="2" numFmtId="0" xfId="0" applyBorder="1" applyFont="1"/>
    <xf borderId="18" fillId="3" fontId="3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19" fillId="3" fontId="6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20" fillId="3" fontId="3" numFmtId="0" xfId="0" applyAlignment="1" applyBorder="1" applyFont="1">
      <alignment shrinkToFit="0" vertical="center" wrapText="1"/>
    </xf>
    <xf borderId="21" fillId="3" fontId="6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7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1" fillId="0" fontId="8" numFmtId="0" xfId="0" applyBorder="1" applyFont="1"/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19" fillId="2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DASRI!AA14+KARANGDORO!AV14+KARANGMULYO!W14+TAMANSARI!AA14+TEGALREJO!AB14+TEGALSARI!AU14</f>
        <v>21381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DASRI!AA15+KARANGDORO!AV15+KARANGMULYO!W15+TAMANSARI!AA15+TEGALREJO!AB15+TEGALSARI!AU15</f>
        <v>21258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42639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DASRI!AA19+KARANGDORO!AV19+KARANGMULYO!W19+TAMANSARI!AA19+TEGALREJO!AB19+TEGALSARI!AU19</f>
        <v>14890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DASRI!AA20+KARANGDORO!AV20+KARANGMULYO!W20+TAMANSARI!AA20+TEGALREJO!AB20+TEGALSARI!AU20</f>
        <v>15697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30587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DASRI!AA22+KARANGDORO!AV22+KARANGMULYO!W22+TAMANSARI!AA22+TEGALREJO!AB22+TEGALSARI!AU22</f>
        <v>24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DASRI!AA23+KARANGDORO!AV23+KARANGMULYO!W23+TAMANSARI!AA23+TEGALREJO!AB23+TEGALSARI!AU23</f>
        <v>33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57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DASRI!AA25+KARANGDORO!AV25+KARANGMULYO!W25+TAMANSARI!AA25+TEGALREJO!AB25+TEGALSARI!AU25</f>
        <v>224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DASRI!AA26+KARANGDORO!AV26+KARANGMULYO!W26+TAMANSARI!AA26+TEGALREJO!AB26+TEGALSARI!AU26</f>
        <v>266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490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15138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15996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31134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DASRI!AA33+KARANGDORO!AV33+KARANGMULYO!W33+TAMANSARI!AA33+TEGALREJO!AB33+TEGALSARI!AU33</f>
        <v>43597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DASRI!AA34+KARANGDORO!AV34+KARANGMULYO!W34+TAMANSARI!AA34+TEGALREJO!AB34+TEGALSARI!AU34</f>
        <v>31134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DASRI!AA35+KARANGDORO!AV35+KARANGMULYO!W35+TAMANSARI!AA35+TEGALREJO!AB35+TEGALSARI!AU35</f>
        <v>61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12402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DASRI!AA39+KARANGDORO!AV39+KARANGMULYO!W39+TAMANSARI!AA39+TEGALREJO!AB39+TEGALSARI!AU39</f>
        <v>17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DASRI!AA40+KARANGDORO!AV40+KARANGMULYO!W40+TAMANSARI!AA40+TEGALREJO!AB40+TEGALSARI!AU40</f>
        <v>17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34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DASRI!AA45+KARANGDORO!AV45+KARANGMULYO!W45+TAMANSARI!AA45+TEGALREJO!AB45+TEGALSARI!AU45</f>
        <v>1114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/>
      <c r="C46" s="50" t="s">
        <v>40</v>
      </c>
      <c r="D46" s="51"/>
      <c r="E46" s="24">
        <f>DASRI!AA46+KARANGDORO!AV46+KARANGMULYO!W46+TAMANSARI!AA46+TEGALREJO!AB46+TEGALSARI!AU46</f>
        <v>2645</v>
      </c>
      <c r="F46" s="52"/>
      <c r="G46" s="53"/>
      <c r="H46" s="53"/>
      <c r="I46" s="53"/>
      <c r="J46" s="53"/>
      <c r="K46" s="53"/>
      <c r="L46" s="53"/>
      <c r="M46" s="53"/>
      <c r="N46" s="53"/>
      <c r="O46" s="53"/>
      <c r="P46" s="54"/>
      <c r="Q46" s="3"/>
      <c r="R46" s="3"/>
      <c r="S46" s="3"/>
      <c r="T46" s="3"/>
      <c r="U46" s="3"/>
      <c r="V46" s="3"/>
      <c r="W46" s="55"/>
      <c r="X46" s="3"/>
      <c r="Y46" s="3"/>
      <c r="Z46" s="3"/>
    </row>
    <row r="47" ht="15.75" customHeight="1">
      <c r="A47" s="18"/>
      <c r="B47" s="49"/>
      <c r="C47" s="50" t="s">
        <v>41</v>
      </c>
      <c r="D47" s="51"/>
      <c r="E47" s="24">
        <f>DASRI!AA47+KARANGDORO!AV47+KARANGMULYO!W47+TAMANSARI!AA47+TEGALREJO!AB47+TEGALSARI!AU47</f>
        <v>1251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9"/>
      <c r="C48" s="50" t="s">
        <v>42</v>
      </c>
      <c r="D48" s="51"/>
      <c r="E48" s="24">
        <f>DASRI!AA48+KARANGDORO!AV48+KARANGMULYO!W48+TAMANSARI!AA48+TEGALREJO!AB48+TEGALSARI!AU48</f>
        <v>110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9"/>
      <c r="C49" s="50" t="s">
        <v>43</v>
      </c>
      <c r="D49" s="51"/>
      <c r="E49" s="24">
        <f>DASRI!AA49+KARANGDORO!AV49+KARANGMULYO!W49+TAMANSARI!AA49+TEGALREJO!AB49+TEGALSARI!AU49</f>
        <v>183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9"/>
      <c r="C50" s="50" t="s">
        <v>44</v>
      </c>
      <c r="D50" s="51"/>
      <c r="E50" s="24">
        <f>DASRI!AA50+KARANGDORO!AV50+KARANGMULYO!W50+TAMANSARI!AA50+TEGALREJO!AB50+TEGALSARI!AU50</f>
        <v>225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9"/>
      <c r="C51" s="50" t="s">
        <v>45</v>
      </c>
      <c r="D51" s="51"/>
      <c r="E51" s="24">
        <f>DASRI!AA51+KARANGDORO!AV51+KARANGMULYO!W51+TAMANSARI!AA51+TEGALREJO!AB51+TEGALSARI!AU51</f>
        <v>136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9"/>
      <c r="C52" s="50" t="s">
        <v>46</v>
      </c>
      <c r="D52" s="51"/>
      <c r="E52" s="24">
        <f>DASRI!AA52+KARANGDORO!AV52+KARANGMULYO!W52+TAMANSARI!AA52+TEGALREJO!AB52+TEGALSARI!AU52</f>
        <v>71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49"/>
      <c r="C53" s="50" t="s">
        <v>47</v>
      </c>
      <c r="D53" s="56"/>
      <c r="E53" s="24">
        <f>DASRI!AA53+KARANGDORO!AV53+KARANGMULYO!W53+TAMANSARI!AA53+TEGALREJO!AB53+TEGALSARI!AU53</f>
        <v>32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49"/>
      <c r="C54" s="50" t="s">
        <v>48</v>
      </c>
      <c r="D54" s="51"/>
      <c r="E54" s="24">
        <f>DASRI!AA54+KARANGDORO!AV54+KARANGMULYO!W54+TAMANSARI!AA54+TEGALREJO!AB54+TEGALSARI!AU54</f>
        <v>96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49</v>
      </c>
      <c r="C55" s="15"/>
      <c r="D55" s="16"/>
      <c r="E55" s="13">
        <f>SUM(E45:E54)</f>
        <v>5863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50</v>
      </c>
      <c r="D57" s="16"/>
      <c r="E57" s="24">
        <f>DASRI!AA57+KARANGDORO!AV57+KARANGMULYO!W57+TAMANSARI!AA57+TEGALREJO!AB57+TEGALSARI!AU57</f>
        <v>1252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49"/>
      <c r="C58" s="50" t="s">
        <v>51</v>
      </c>
      <c r="D58" s="51"/>
      <c r="E58" s="24">
        <f>DASRI!AA58+KARANGDORO!AV58+KARANGMULYO!W58+TAMANSARI!AA58+TEGALREJO!AB58+TEGALSARI!AU58</f>
        <v>2390</v>
      </c>
      <c r="F58" s="52"/>
      <c r="G58" s="53"/>
      <c r="H58" s="53"/>
      <c r="I58" s="53"/>
      <c r="J58" s="53"/>
      <c r="K58" s="53"/>
      <c r="L58" s="53"/>
      <c r="M58" s="53"/>
      <c r="N58" s="53"/>
      <c r="O58" s="53"/>
      <c r="P58" s="54"/>
      <c r="Q58" s="3"/>
      <c r="R58" s="3"/>
      <c r="S58" s="3"/>
      <c r="T58" s="3"/>
      <c r="U58" s="3"/>
      <c r="V58" s="3"/>
      <c r="W58" s="55"/>
      <c r="X58" s="3"/>
      <c r="Y58" s="3"/>
      <c r="Z58" s="3"/>
    </row>
    <row r="59" ht="15.75" customHeight="1">
      <c r="A59" s="18"/>
      <c r="B59" s="49"/>
      <c r="C59" s="50" t="s">
        <v>52</v>
      </c>
      <c r="D59" s="51"/>
      <c r="E59" s="24">
        <f>DASRI!AA59+KARANGDORO!AV59+KARANGMULYO!W59+TAMANSARI!AA59+TEGALREJO!AB59+TEGALSARI!AU59</f>
        <v>2406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49"/>
      <c r="C60" s="50" t="s">
        <v>53</v>
      </c>
      <c r="D60" s="51"/>
      <c r="E60" s="24">
        <f>DASRI!AA60+KARANGDORO!AV60+KARANGMULYO!W60+TAMANSARI!AA60+TEGALREJO!AB60+TEGALSARI!AU60</f>
        <v>238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49"/>
      <c r="C61" s="50" t="s">
        <v>54</v>
      </c>
      <c r="D61" s="51"/>
      <c r="E61" s="24">
        <f>DASRI!AA61+KARANGDORO!AV61+KARANGMULYO!W61+TAMANSARI!AA61+TEGALREJO!AB61+TEGALSARI!AU61</f>
        <v>1066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49"/>
      <c r="C62" s="50" t="s">
        <v>55</v>
      </c>
      <c r="D62" s="51"/>
      <c r="E62" s="24">
        <f>DASRI!AA62+KARANGDORO!AV62+KARANGMULYO!W62+TAMANSARI!AA62+TEGALREJO!AB62+TEGALSARI!AU62</f>
        <v>157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49"/>
      <c r="C63" s="50" t="s">
        <v>56</v>
      </c>
      <c r="D63" s="51"/>
      <c r="E63" s="24">
        <f>DASRI!AA63+KARANGDORO!AV63+KARANGMULYO!W63+TAMANSARI!AA63+TEGALREJO!AB63+TEGALSARI!AU63</f>
        <v>74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49"/>
      <c r="C64" s="50" t="s">
        <v>57</v>
      </c>
      <c r="D64" s="51"/>
      <c r="E64" s="24">
        <f>DASRI!AA64+KARANGDORO!AV64+KARANGMULYO!W64+TAMANSARI!AA64+TEGALREJO!AB64+TEGALSARI!AU64</f>
        <v>26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49"/>
      <c r="C65" s="50" t="s">
        <v>58</v>
      </c>
      <c r="D65" s="51"/>
      <c r="E65" s="24">
        <f>DASRI!AA65+KARANGDORO!AV65+KARANGMULYO!W65+TAMANSARI!AA65+TEGALREJO!AB65+TEGALSARI!AU65</f>
        <v>31</v>
      </c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49"/>
      <c r="C66" s="50" t="s">
        <v>59</v>
      </c>
      <c r="D66" s="51"/>
      <c r="E66" s="24">
        <f>DASRI!AA66+KARANGDORO!AV66+KARANGMULYO!W66+TAMANSARI!AA66+TEGALREJO!AB66+TEGALSARI!AU66</f>
        <v>72</v>
      </c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49</v>
      </c>
      <c r="C67" s="15"/>
      <c r="D67" s="16"/>
      <c r="E67" s="13">
        <f>SUM(E57:E66)</f>
        <v>7712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60</v>
      </c>
      <c r="D69" s="16"/>
      <c r="E69" s="24">
        <f>DASRI!AA69+KARANGDORO!AV69+KARANGMULYO!W69+TAMANSARI!AA69+TEGALREJO!AB69+TEGALSARI!AU69</f>
        <v>1716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49"/>
      <c r="C70" s="50" t="s">
        <v>61</v>
      </c>
      <c r="D70" s="51"/>
      <c r="E70" s="24">
        <f>DASRI!AA70+KARANGDORO!AV70+KARANGMULYO!W70+TAMANSARI!AA70+TEGALREJO!AB70+TEGALSARI!AU70</f>
        <v>1131</v>
      </c>
      <c r="F70" s="52"/>
      <c r="G70" s="53"/>
      <c r="H70" s="53"/>
      <c r="I70" s="53"/>
      <c r="J70" s="53"/>
      <c r="K70" s="53"/>
      <c r="L70" s="53"/>
      <c r="M70" s="53"/>
      <c r="N70" s="53"/>
      <c r="O70" s="53"/>
      <c r="P70" s="54"/>
      <c r="Q70" s="3"/>
      <c r="R70" s="3"/>
      <c r="S70" s="3"/>
      <c r="T70" s="3"/>
      <c r="U70" s="3"/>
      <c r="V70" s="3"/>
      <c r="W70" s="55"/>
      <c r="X70" s="3"/>
      <c r="Y70" s="3"/>
      <c r="Z70" s="3"/>
    </row>
    <row r="71" ht="15.75" customHeight="1">
      <c r="A71" s="18"/>
      <c r="B71" s="49"/>
      <c r="C71" s="50" t="s">
        <v>62</v>
      </c>
      <c r="D71" s="51"/>
      <c r="E71" s="24">
        <f>DASRI!AA71+KARANGDORO!AV71+KARANGMULYO!W71+TAMANSARI!AA71+TEGALREJO!AB71+TEGALSARI!AU71</f>
        <v>804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49"/>
      <c r="C72" s="50" t="s">
        <v>63</v>
      </c>
      <c r="D72" s="51"/>
      <c r="E72" s="24">
        <f>DASRI!AA72+KARANGDORO!AV72+KARANGMULYO!W72+TAMANSARI!AA72+TEGALREJO!AB72+TEGALSARI!AU72</f>
        <v>666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49"/>
      <c r="C73" s="50" t="s">
        <v>64</v>
      </c>
      <c r="D73" s="51"/>
      <c r="E73" s="24">
        <f>DASRI!AA73+KARANGDORO!AV73+KARANGMULYO!W73+TAMANSARI!AA73+TEGALREJO!AB73+TEGALSARI!AU73</f>
        <v>748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49"/>
      <c r="C74" s="50" t="s">
        <v>65</v>
      </c>
      <c r="D74" s="51"/>
      <c r="E74" s="24">
        <f>DASRI!AA74+KARANGDORO!AV74+KARANGMULYO!W74+TAMANSARI!AA74+TEGALREJO!AB74+TEGALSARI!AU74</f>
        <v>262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49"/>
      <c r="C75" s="50" t="s">
        <v>66</v>
      </c>
      <c r="D75" s="51"/>
      <c r="E75" s="24">
        <f>DASRI!AA75+KARANGDORO!AV75+KARANGMULYO!W75+TAMANSARI!AA75+TEGALREJO!AB75+TEGALSARI!AU75</f>
        <v>156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49"/>
      <c r="C76" s="50" t="s">
        <v>67</v>
      </c>
      <c r="D76" s="51"/>
      <c r="E76" s="24">
        <f>DASRI!AA76+KARANGDORO!AV76+KARANGMULYO!W76+TAMANSARI!AA76+TEGALREJO!AB76+TEGALSARI!AU76</f>
        <v>83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49"/>
      <c r="C77" s="50" t="s">
        <v>68</v>
      </c>
      <c r="D77" s="51"/>
      <c r="E77" s="24">
        <f>DASRI!AA77+KARANGDORO!AV77+KARANGMULYO!W77+TAMANSARI!AA77+TEGALREJO!AB77+TEGALSARI!AU77</f>
        <v>87</v>
      </c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49"/>
      <c r="C78" s="50" t="s">
        <v>69</v>
      </c>
      <c r="D78" s="51"/>
      <c r="E78" s="24">
        <f>DASRI!AA78+KARANGDORO!AV78+KARANGMULYO!W78+TAMANSARI!AA78+TEGALREJO!AB78+TEGALSARI!AU78</f>
        <v>100</v>
      </c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49</v>
      </c>
      <c r="C79" s="15"/>
      <c r="D79" s="16"/>
      <c r="E79" s="13">
        <f>SUM(E69:E78)</f>
        <v>5753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70</v>
      </c>
      <c r="D81" s="16"/>
      <c r="E81" s="24">
        <f>DASRI!AA81+KARANGDORO!AV81+KARANGMULYO!W81+TAMANSARI!AA81+TEGALREJO!AB81+TEGALSARI!AU81</f>
        <v>535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49"/>
      <c r="C82" s="50" t="s">
        <v>71</v>
      </c>
      <c r="D82" s="51"/>
      <c r="E82" s="24">
        <f>DASRI!AA82+KARANGDORO!AV82+KARANGMULYO!W82+TAMANSARI!AA82+TEGALREJO!AB82+TEGALSARI!AU82</f>
        <v>1060</v>
      </c>
      <c r="F82" s="52"/>
      <c r="G82" s="53"/>
      <c r="H82" s="53"/>
      <c r="I82" s="53"/>
      <c r="J82" s="53"/>
      <c r="K82" s="53"/>
      <c r="L82" s="53"/>
      <c r="M82" s="53"/>
      <c r="N82" s="53"/>
      <c r="O82" s="53"/>
      <c r="P82" s="54"/>
      <c r="Q82" s="3"/>
      <c r="R82" s="3"/>
      <c r="S82" s="3"/>
      <c r="T82" s="3"/>
      <c r="U82" s="3"/>
      <c r="V82" s="3"/>
      <c r="W82" s="55"/>
      <c r="X82" s="3"/>
      <c r="Y82" s="3"/>
      <c r="Z82" s="3"/>
    </row>
    <row r="83" ht="15.75" customHeight="1">
      <c r="A83" s="18"/>
      <c r="B83" s="49"/>
      <c r="C83" s="50" t="s">
        <v>72</v>
      </c>
      <c r="D83" s="51"/>
      <c r="E83" s="24">
        <f>DASRI!AA83+KARANGDORO!AV83+KARANGMULYO!W83+TAMANSARI!AA83+TEGALREJO!AB83+TEGALSARI!AU83</f>
        <v>111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49"/>
      <c r="C84" s="50" t="s">
        <v>73</v>
      </c>
      <c r="D84" s="51"/>
      <c r="E84" s="24">
        <f>DASRI!AA84+KARANGDORO!AV84+KARANGMULYO!W84+TAMANSARI!AA84+TEGALREJO!AB84+TEGALSARI!AU84</f>
        <v>97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49"/>
      <c r="C85" s="50" t="s">
        <v>74</v>
      </c>
      <c r="D85" s="51"/>
      <c r="E85" s="24">
        <f>DASRI!AA85+KARANGDORO!AV85+KARANGMULYO!W85+TAMANSARI!AA85+TEGALREJO!AB85+TEGALSARI!AU85</f>
        <v>158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49"/>
      <c r="C86" s="50" t="s">
        <v>75</v>
      </c>
      <c r="D86" s="51"/>
      <c r="E86" s="24">
        <f>DASRI!AA86+KARANGDORO!AV86+KARANGMULYO!W86+TAMANSARI!AA86+TEGALREJO!AB86+TEGALSARI!AU86</f>
        <v>313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49"/>
      <c r="C87" s="50" t="s">
        <v>76</v>
      </c>
      <c r="D87" s="51"/>
      <c r="E87" s="24">
        <f>DASRI!AA87+KARANGDORO!AV87+KARANGMULYO!W87+TAMANSARI!AA87+TEGALREJO!AB87+TEGALSARI!AU87</f>
        <v>27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49"/>
      <c r="C88" s="50" t="s">
        <v>77</v>
      </c>
      <c r="D88" s="51"/>
      <c r="E88" s="24">
        <f>DASRI!AA88+KARANGDORO!AV88+KARANGMULYO!W88+TAMANSARI!AA88+TEGALREJO!AB88+TEGALSARI!AU88</f>
        <v>8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49"/>
      <c r="C89" s="50" t="s">
        <v>78</v>
      </c>
      <c r="D89" s="51"/>
      <c r="E89" s="24">
        <f>DASRI!AA89+KARANGDORO!AV89+KARANGMULYO!W89+TAMANSARI!AA89+TEGALREJO!AB89+TEGALSARI!AU89</f>
        <v>14</v>
      </c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49"/>
      <c r="C90" s="50" t="s">
        <v>79</v>
      </c>
      <c r="D90" s="51"/>
      <c r="E90" s="24">
        <f>DASRI!AA90+KARANGDORO!AV90+KARANGMULYO!W90+TAMANSARI!AA90+TEGALREJO!AB90+TEGALSARI!AU90</f>
        <v>35</v>
      </c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49</v>
      </c>
      <c r="C91" s="15"/>
      <c r="D91" s="16"/>
      <c r="E91" s="13">
        <f>SUM(E81:E90)</f>
        <v>2358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80</v>
      </c>
      <c r="C93" s="48" t="s">
        <v>81</v>
      </c>
      <c r="D93" s="16"/>
      <c r="E93" s="24">
        <f>DASRI!AA93+KARANGDORO!AV93+KARANGMULYO!W93+TAMANSARI!AA93+TEGALREJO!AB93+TEGALSARI!AU93</f>
        <v>267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49"/>
      <c r="C94" s="50" t="s">
        <v>82</v>
      </c>
      <c r="D94" s="56"/>
      <c r="E94" s="24">
        <f>DASRI!AA94+KARANGDORO!AV94+KARANGMULYO!W94+TAMANSARI!AA94+TEGALREJO!AB94+TEGALSARI!AU94</f>
        <v>535</v>
      </c>
      <c r="F94" s="52"/>
      <c r="G94" s="53"/>
      <c r="H94" s="53"/>
      <c r="I94" s="53"/>
      <c r="J94" s="53"/>
      <c r="K94" s="53"/>
      <c r="L94" s="53"/>
      <c r="M94" s="53"/>
      <c r="N94" s="53"/>
      <c r="O94" s="53"/>
      <c r="P94" s="54"/>
      <c r="Q94" s="3"/>
      <c r="R94" s="3"/>
      <c r="S94" s="3"/>
      <c r="T94" s="3"/>
      <c r="U94" s="3"/>
      <c r="V94" s="3"/>
      <c r="W94" s="55"/>
      <c r="X94" s="3"/>
      <c r="Y94" s="3"/>
      <c r="Z94" s="3"/>
    </row>
    <row r="95" ht="15.75" customHeight="1">
      <c r="A95" s="18"/>
      <c r="B95" s="49"/>
      <c r="C95" s="50" t="s">
        <v>83</v>
      </c>
      <c r="D95" s="56"/>
      <c r="E95" s="24">
        <f>DASRI!AA95+KARANGDORO!AV95+KARANGMULYO!W95+TAMANSARI!AA95+TEGALREJO!AB95+TEGALSARI!AU95</f>
        <v>44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49"/>
      <c r="C96" s="50" t="s">
        <v>84</v>
      </c>
      <c r="D96" s="56"/>
      <c r="E96" s="24">
        <f>DASRI!AA96+KARANGDORO!AV96+KARANGMULYO!W96+TAMANSARI!AA96+TEGALREJO!AB96+TEGALSARI!AU96</f>
        <v>16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49"/>
      <c r="C97" s="50" t="s">
        <v>85</v>
      </c>
      <c r="D97" s="56"/>
      <c r="E97" s="24">
        <f>DASRI!AA97+KARANGDORO!AV97+KARANGMULYO!W97+TAMANSARI!AA97+TEGALREJO!AB97+TEGALSARI!AU97</f>
        <v>30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49"/>
      <c r="C98" s="50" t="s">
        <v>86</v>
      </c>
      <c r="D98" s="51"/>
      <c r="E98" s="24">
        <f>DASRI!AA98+KARANGDORO!AV98+KARANGMULYO!W98+TAMANSARI!AA98+TEGALREJO!AB98+TEGALSARI!AU98</f>
        <v>22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49"/>
      <c r="C99" s="50" t="s">
        <v>87</v>
      </c>
      <c r="D99" s="51"/>
      <c r="E99" s="24">
        <f>DASRI!AA99+KARANGDORO!AV99+KARANGMULYO!W99+TAMANSARI!AA99+TEGALREJO!AB99+TEGALSARI!AU99</f>
        <v>17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49"/>
      <c r="C100" s="50" t="s">
        <v>88</v>
      </c>
      <c r="D100" s="56"/>
      <c r="E100" s="24">
        <f>DASRI!AA100+KARANGDORO!AV100+KARANGMULYO!W100+TAMANSARI!AA100+TEGALREJO!AB100+TEGALSARI!AU100</f>
        <v>5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49"/>
      <c r="C101" s="50" t="s">
        <v>89</v>
      </c>
      <c r="D101" s="56"/>
      <c r="E101" s="24">
        <f>DASRI!AA101+KARANGDORO!AV101+KARANGMULYO!W101+TAMANSARI!AA101+TEGALREJO!AB101+TEGALSARI!AU101</f>
        <v>7</v>
      </c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49"/>
      <c r="C102" s="50" t="s">
        <v>90</v>
      </c>
      <c r="D102" s="56"/>
      <c r="E102" s="24">
        <f>DASRI!AA102+KARANGDORO!AV102+KARANGMULYO!W102+TAMANSARI!AA102+TEGALREJO!AB102+TEGALSARI!AU102</f>
        <v>8</v>
      </c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49</v>
      </c>
      <c r="C103" s="15"/>
      <c r="D103" s="16"/>
      <c r="E103" s="13">
        <f>SUM(E93:E102)</f>
        <v>951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91</v>
      </c>
      <c r="C105" s="48" t="s">
        <v>92</v>
      </c>
      <c r="D105" s="16"/>
      <c r="E105" s="24">
        <f>DASRI!AA105+KARANGDORO!AV105+KARANGMULYO!W105+TAMANSARI!AA105+TEGALREJO!AB105+TEGALSARI!AU105</f>
        <v>148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49"/>
      <c r="C106" s="50" t="s">
        <v>93</v>
      </c>
      <c r="D106" s="51"/>
      <c r="E106" s="24">
        <f>DASRI!AA106+KARANGDORO!AV106+KARANGMULYO!W106+TAMANSARI!AA106+TEGALREJO!AB106+TEGALSARI!AU106</f>
        <v>44</v>
      </c>
      <c r="F106" s="52"/>
      <c r="G106" s="53"/>
      <c r="H106" s="53"/>
      <c r="I106" s="53"/>
      <c r="J106" s="53"/>
      <c r="K106" s="53"/>
      <c r="L106" s="53"/>
      <c r="M106" s="53"/>
      <c r="N106" s="53"/>
      <c r="O106" s="53"/>
      <c r="P106" s="54"/>
      <c r="Q106" s="3"/>
      <c r="R106" s="3"/>
      <c r="S106" s="3"/>
      <c r="T106" s="3"/>
      <c r="U106" s="3"/>
      <c r="V106" s="3"/>
      <c r="W106" s="55"/>
      <c r="X106" s="3"/>
      <c r="Y106" s="3"/>
      <c r="Z106" s="3"/>
    </row>
    <row r="107" ht="15.75" customHeight="1">
      <c r="A107" s="18"/>
      <c r="B107" s="49"/>
      <c r="C107" s="50" t="s">
        <v>94</v>
      </c>
      <c r="D107" s="51"/>
      <c r="E107" s="24">
        <f>DASRI!AA107+KARANGDORO!AV107+KARANGMULYO!W107+TAMANSARI!AA107+TEGALREJO!AB107+TEGALSARI!AU107</f>
        <v>26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7"/>
      <c r="C108" s="58"/>
      <c r="D108" s="59"/>
      <c r="E108" s="60"/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7"/>
      <c r="C109" s="58"/>
      <c r="D109" s="59"/>
      <c r="E109" s="60"/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7"/>
      <c r="C110" s="58"/>
      <c r="D110" s="59"/>
      <c r="E110" s="60"/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7"/>
      <c r="C111" s="58"/>
      <c r="D111" s="59"/>
      <c r="E111" s="60"/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7"/>
      <c r="C112" s="58"/>
      <c r="D112" s="59"/>
      <c r="E112" s="60"/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7"/>
      <c r="C113" s="58"/>
      <c r="D113" s="59"/>
      <c r="E113" s="60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7"/>
      <c r="C114" s="58"/>
      <c r="D114" s="59"/>
      <c r="E114" s="60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49</v>
      </c>
      <c r="C115" s="15"/>
      <c r="D115" s="16"/>
      <c r="E115" s="13">
        <f>SUM(E105:E114)</f>
        <v>218</v>
      </c>
      <c r="F115" s="52"/>
      <c r="G115" s="53"/>
      <c r="H115" s="53"/>
      <c r="I115" s="53"/>
      <c r="J115" s="53"/>
      <c r="K115" s="53"/>
      <c r="L115" s="53"/>
      <c r="M115" s="53"/>
      <c r="N115" s="53"/>
      <c r="O115" s="53"/>
      <c r="P115" s="54"/>
      <c r="Q115" s="3"/>
      <c r="R115" s="3"/>
      <c r="S115" s="3"/>
      <c r="T115" s="3"/>
      <c r="U115" s="3"/>
      <c r="V115" s="3"/>
      <c r="W115" s="55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95</v>
      </c>
      <c r="C117" s="48" t="s">
        <v>96</v>
      </c>
      <c r="D117" s="16"/>
      <c r="E117" s="24">
        <f>DASRI!AA117+KARANGDORO!AV117+KARANGMULYO!W117+TAMANSARI!AA117+TEGALREJO!AB117+TEGALSARI!AU117</f>
        <v>111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49"/>
      <c r="C118" s="50" t="s">
        <v>97</v>
      </c>
      <c r="D118" s="51"/>
      <c r="E118" s="24">
        <f>DASRI!AA118+KARANGDORO!AV118+KARANGMULYO!W118+TAMANSARI!AA118+TEGALREJO!AB118+TEGALSARI!AU118</f>
        <v>47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49"/>
      <c r="C119" s="50" t="s">
        <v>98</v>
      </c>
      <c r="D119" s="51"/>
      <c r="E119" s="24">
        <f>DASRI!AA119+KARANGDORO!AV119+KARANGMULYO!W119+TAMANSARI!AA119+TEGALREJO!AB119+TEGALSARI!AU119</f>
        <v>15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49"/>
      <c r="C120" s="50" t="s">
        <v>99</v>
      </c>
      <c r="D120" s="51"/>
      <c r="E120" s="24">
        <f>DASRI!AA120+KARANGDORO!AV120+KARANGMULYO!W120+TAMANSARI!AA120+TEGALREJO!AB120+TEGALSARI!AU120</f>
        <v>16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49"/>
      <c r="C121" s="50" t="s">
        <v>100</v>
      </c>
      <c r="D121" s="51"/>
      <c r="E121" s="24">
        <f>DASRI!AA121+KARANGDORO!AV121+KARANGMULYO!W121+TAMANSARI!AA121+TEGALREJO!AB121+TEGALSARI!AU121</f>
        <v>12</v>
      </c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49"/>
      <c r="C122" s="50" t="s">
        <v>101</v>
      </c>
      <c r="D122" s="51"/>
      <c r="E122" s="24">
        <f>DASRI!AA122+KARANGDORO!AV122+KARANGMULYO!W122+TAMANSARI!AA122+TEGALREJO!AB122+TEGALSARI!AU122</f>
        <v>9</v>
      </c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7"/>
      <c r="C123" s="58"/>
      <c r="D123" s="59"/>
      <c r="E123" s="61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7"/>
      <c r="C124" s="58"/>
      <c r="D124" s="59"/>
      <c r="E124" s="61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7"/>
      <c r="C125" s="58"/>
      <c r="D125" s="59"/>
      <c r="E125" s="61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7"/>
      <c r="C126" s="58"/>
      <c r="D126" s="59"/>
      <c r="E126" s="61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49</v>
      </c>
      <c r="C127" s="15"/>
      <c r="D127" s="16"/>
      <c r="E127" s="13">
        <f>SUM(E117:E126)</f>
        <v>210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102</v>
      </c>
      <c r="C129" s="48" t="s">
        <v>103</v>
      </c>
      <c r="D129" s="16"/>
      <c r="E129" s="24">
        <f>DASRI!AA129+KARANGDORO!AV129+KARANGMULYO!W129+TAMANSARI!AA129+TEGALREJO!AB129+TEGALSARI!AU129</f>
        <v>74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49"/>
      <c r="C130" s="50" t="s">
        <v>104</v>
      </c>
      <c r="D130" s="51"/>
      <c r="E130" s="24">
        <f>DASRI!AA130+KARANGDORO!AV130+KARANGMULYO!W130+TAMANSARI!AA130+TEGALREJO!AB130+TEGALSARI!AU130</f>
        <v>139</v>
      </c>
      <c r="F130" s="52"/>
      <c r="G130" s="53"/>
      <c r="H130" s="53"/>
      <c r="I130" s="53"/>
      <c r="J130" s="53"/>
      <c r="K130" s="53"/>
      <c r="L130" s="53"/>
      <c r="M130" s="53"/>
      <c r="N130" s="53"/>
      <c r="O130" s="53"/>
      <c r="P130" s="54"/>
      <c r="Q130" s="3"/>
      <c r="R130" s="3"/>
      <c r="S130" s="3"/>
      <c r="T130" s="3"/>
      <c r="U130" s="3"/>
      <c r="V130" s="3"/>
      <c r="W130" s="55"/>
      <c r="X130" s="3"/>
      <c r="Y130" s="3"/>
      <c r="Z130" s="3"/>
    </row>
    <row r="131" ht="15.75" customHeight="1">
      <c r="A131" s="18"/>
      <c r="B131" s="49"/>
      <c r="C131" s="50" t="s">
        <v>105</v>
      </c>
      <c r="D131" s="51"/>
      <c r="E131" s="24">
        <f>DASRI!AA131+KARANGDORO!AV131+KARANGMULYO!W131+TAMANSARI!AA131+TEGALREJO!AB131+TEGALSARI!AU131</f>
        <v>22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49"/>
      <c r="C132" s="50" t="s">
        <v>106</v>
      </c>
      <c r="D132" s="51"/>
      <c r="E132" s="24">
        <f>DASRI!AA132+KARANGDORO!AV132+KARANGMULYO!W132+TAMANSARI!AA132+TEGALREJO!AB132+TEGALSARI!AU132</f>
        <v>6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49"/>
      <c r="C133" s="50" t="s">
        <v>107</v>
      </c>
      <c r="D133" s="51"/>
      <c r="E133" s="24">
        <f>DASRI!AA133+KARANGDORO!AV133+KARANGMULYO!W133+TAMANSARI!AA133+TEGALREJO!AB133+TEGALSARI!AU133</f>
        <v>10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49"/>
      <c r="C134" s="50" t="s">
        <v>108</v>
      </c>
      <c r="D134" s="51"/>
      <c r="E134" s="24">
        <f>DASRI!AA134+KARANGDORO!AV134+KARANGMULYO!W134+TAMANSARI!AA134+TEGALREJO!AB134+TEGALSARI!AU134</f>
        <v>14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49"/>
      <c r="C135" s="50" t="s">
        <v>109</v>
      </c>
      <c r="D135" s="51"/>
      <c r="E135" s="24">
        <f>DASRI!AA135+KARANGDORO!AV135+KARANGMULYO!W135+TAMANSARI!AA135+TEGALREJO!AB135+TEGALSARI!AU135</f>
        <v>9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49"/>
      <c r="C136" s="50" t="s">
        <v>110</v>
      </c>
      <c r="D136" s="51"/>
      <c r="E136" s="24">
        <f>DASRI!AA136+KARANGDORO!AV136+KARANGMULYO!W136+TAMANSARI!AA136+TEGALREJO!AB136+TEGALSARI!AU136</f>
        <v>8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49"/>
      <c r="C137" s="50" t="s">
        <v>111</v>
      </c>
      <c r="D137" s="51"/>
      <c r="E137" s="24">
        <f>DASRI!AA137+KARANGDORO!AV137+KARANGMULYO!W137+TAMANSARI!AA137+TEGALREJO!AB137+TEGALSARI!AU137</f>
        <v>4</v>
      </c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49"/>
      <c r="C138" s="50" t="s">
        <v>112</v>
      </c>
      <c r="D138" s="51"/>
      <c r="E138" s="24">
        <f>DASRI!AA138+KARANGDORO!AV138+KARANGMULYO!W138+TAMANSARI!AA138+TEGALREJO!AB138+TEGALSARI!AU138</f>
        <v>5</v>
      </c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49</v>
      </c>
      <c r="C139" s="15"/>
      <c r="D139" s="16"/>
      <c r="E139" s="13">
        <f>SUM(E129:E138)</f>
        <v>291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113</v>
      </c>
      <c r="C141" s="48" t="s">
        <v>114</v>
      </c>
      <c r="D141" s="16"/>
      <c r="E141" s="24">
        <f>DASRI!AA141+KARANGDORO!AV141+KARANGMULYO!W141+TAMANSARI!AA141+TEGALREJO!AB141+TEGALSARI!AU141</f>
        <v>19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49"/>
      <c r="C142" s="50" t="s">
        <v>115</v>
      </c>
      <c r="D142" s="51"/>
      <c r="E142" s="24">
        <f>DASRI!AA142+KARANGDORO!AV142+KARANGMULYO!W142+TAMANSARI!AA142+TEGALREJO!AB142+TEGALSARI!AU142</f>
        <v>4</v>
      </c>
      <c r="F142" s="52"/>
      <c r="G142" s="53"/>
      <c r="H142" s="53"/>
      <c r="I142" s="53"/>
      <c r="J142" s="53"/>
      <c r="K142" s="53"/>
      <c r="L142" s="53"/>
      <c r="M142" s="53"/>
      <c r="N142" s="53"/>
      <c r="O142" s="53"/>
      <c r="P142" s="54"/>
      <c r="Q142" s="3"/>
      <c r="R142" s="3"/>
      <c r="S142" s="3"/>
      <c r="T142" s="3"/>
      <c r="U142" s="3"/>
      <c r="V142" s="3"/>
      <c r="W142" s="55"/>
      <c r="X142" s="3"/>
      <c r="Y142" s="3"/>
      <c r="Z142" s="3"/>
    </row>
    <row r="143" ht="15.75" customHeight="1">
      <c r="A143" s="18"/>
      <c r="B143" s="49"/>
      <c r="C143" s="50" t="s">
        <v>116</v>
      </c>
      <c r="D143" s="51"/>
      <c r="E143" s="24">
        <f>DASRI!AA143+KARANGDORO!AV143+KARANGMULYO!W143+TAMANSARI!AA143+TEGALREJO!AB143+TEGALSARI!AU143</f>
        <v>1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49"/>
      <c r="C144" s="50" t="s">
        <v>117</v>
      </c>
      <c r="D144" s="51"/>
      <c r="E144" s="24">
        <f>DASRI!AA144+KARANGDORO!AV144+KARANGMULYO!W144+TAMANSARI!AA144+TEGALREJO!AB144+TEGALSARI!AU144</f>
        <v>1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7"/>
      <c r="C145" s="58"/>
      <c r="D145" s="59"/>
      <c r="E145" s="60"/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7"/>
      <c r="C146" s="58"/>
      <c r="D146" s="59"/>
      <c r="E146" s="60"/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7"/>
      <c r="C147" s="58"/>
      <c r="D147" s="59"/>
      <c r="E147" s="60"/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7"/>
      <c r="C148" s="58"/>
      <c r="D148" s="59"/>
      <c r="E148" s="60"/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7"/>
      <c r="C149" s="58"/>
      <c r="D149" s="59"/>
      <c r="E149" s="60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7"/>
      <c r="C150" s="58"/>
      <c r="D150" s="59"/>
      <c r="E150" s="60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49</v>
      </c>
      <c r="C151" s="15"/>
      <c r="D151" s="16"/>
      <c r="E151" s="13">
        <f>SUM(E141:E150)</f>
        <v>25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17" t="s">
        <v>118</v>
      </c>
      <c r="C153" s="62" t="s">
        <v>119</v>
      </c>
      <c r="D153" s="23"/>
      <c r="E153" s="24">
        <f>DASRI!AA153+KARANGDORO!AV153+KARANGMULYO!W153+TAMANSARI!AA153+TEGALREJO!AB153+TEGALSARI!AU153</f>
        <v>26</v>
      </c>
      <c r="F153" s="52"/>
      <c r="G153" s="53"/>
      <c r="H153" s="53"/>
      <c r="I153" s="53"/>
      <c r="J153" s="53"/>
      <c r="K153" s="53"/>
      <c r="L153" s="53"/>
      <c r="M153" s="53"/>
      <c r="N153" s="53"/>
      <c r="O153" s="53"/>
      <c r="P153" s="54"/>
      <c r="Q153" s="3"/>
      <c r="R153" s="3"/>
      <c r="S153" s="3"/>
      <c r="T153" s="3"/>
      <c r="U153" s="3"/>
      <c r="V153" s="3"/>
      <c r="W153" s="55"/>
      <c r="X153" s="3"/>
      <c r="Y153" s="3"/>
      <c r="Z153" s="3"/>
    </row>
    <row r="154" ht="15.75" customHeight="1">
      <c r="A154" s="63" t="s">
        <v>39</v>
      </c>
      <c r="B154" s="49"/>
      <c r="C154" s="50" t="s">
        <v>120</v>
      </c>
      <c r="D154" s="51"/>
      <c r="E154" s="24">
        <f>DASRI!AA154+KARANGDORO!AV154+KARANGMULYO!W154+TAMANSARI!AA154+TEGALREJO!AB154+TEGALSARI!AU154</f>
        <v>20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49"/>
      <c r="C155" s="50" t="s">
        <v>121</v>
      </c>
      <c r="D155" s="51"/>
      <c r="E155" s="24">
        <f>DASRI!AA155+KARANGDORO!AV155+KARANGMULYO!W155+TAMANSARI!AA155+TEGALREJO!AB155+TEGALSARI!AU155</f>
        <v>12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49"/>
      <c r="C156" s="50" t="s">
        <v>122</v>
      </c>
      <c r="D156" s="51"/>
      <c r="E156" s="24">
        <f>DASRI!AA156+KARANGDORO!AV156+KARANGMULYO!W156+TAMANSARI!AA156+TEGALREJO!AB156+TEGALSARI!AU156</f>
        <v>12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49"/>
      <c r="C157" s="50" t="s">
        <v>123</v>
      </c>
      <c r="D157" s="51"/>
      <c r="E157" s="24">
        <f>DASRI!AA157+KARANGDORO!AV157+KARANGMULYO!W157+TAMANSARI!AA157+TEGALREJO!AB157+TEGALSARI!AU157</f>
        <v>15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49"/>
      <c r="C158" s="50" t="s">
        <v>124</v>
      </c>
      <c r="D158" s="51"/>
      <c r="E158" s="24">
        <f>DASRI!AA158+KARANGDORO!AV158+KARANGMULYO!W158+TAMANSARI!AA158+TEGALREJO!AB158+TEGALSARI!AU158</f>
        <v>2</v>
      </c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49"/>
      <c r="C159" s="50" t="s">
        <v>125</v>
      </c>
      <c r="D159" s="51"/>
      <c r="E159" s="24">
        <f>DASRI!AA159+KARANGDORO!AV159+KARANGMULYO!W159+TAMANSARI!AA159+TEGALREJO!AB159+TEGALSARI!AU159</f>
        <v>7</v>
      </c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49"/>
      <c r="C160" s="50" t="s">
        <v>126</v>
      </c>
      <c r="D160" s="51"/>
      <c r="E160" s="24">
        <f>DASRI!AA160+KARANGDORO!AV160+KARANGMULYO!W160+TAMANSARI!AA160+TEGALREJO!AB160+TEGALSARI!AU160</f>
        <v>17</v>
      </c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7"/>
      <c r="C161" s="64"/>
      <c r="D161" s="59"/>
      <c r="E161" s="61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7"/>
      <c r="C162" s="64"/>
      <c r="D162" s="59"/>
      <c r="E162" s="61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65" t="s">
        <v>49</v>
      </c>
      <c r="C163" s="44"/>
      <c r="D163" s="28"/>
      <c r="E163" s="13">
        <f>SUM(E153:E162)</f>
        <v>111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127</v>
      </c>
      <c r="C165" s="48" t="s">
        <v>128</v>
      </c>
      <c r="D165" s="16"/>
      <c r="E165" s="24">
        <f>DASRI!AA165+KARANGDORO!AV165+KARANGMULYO!W165+TAMANSARI!AA165+TEGALREJO!AB165+TEGALSARI!AU165</f>
        <v>40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49"/>
      <c r="C166" s="50" t="s">
        <v>129</v>
      </c>
      <c r="D166" s="51"/>
      <c r="E166" s="24">
        <f>DASRI!AA166+KARANGDORO!AV166+KARANGMULYO!W166+TAMANSARI!AA166+TEGALREJO!AB166+TEGALSARI!AU166</f>
        <v>56</v>
      </c>
      <c r="F166" s="52"/>
      <c r="G166" s="53"/>
      <c r="H166" s="53"/>
      <c r="I166" s="53"/>
      <c r="J166" s="53"/>
      <c r="K166" s="53"/>
      <c r="L166" s="53"/>
      <c r="M166" s="53"/>
      <c r="N166" s="53"/>
      <c r="O166" s="53"/>
      <c r="P166" s="54"/>
      <c r="Q166" s="3"/>
      <c r="R166" s="3"/>
      <c r="S166" s="3"/>
      <c r="T166" s="3"/>
      <c r="U166" s="3"/>
      <c r="V166" s="3"/>
      <c r="W166" s="55"/>
      <c r="X166" s="3"/>
      <c r="Y166" s="3"/>
      <c r="Z166" s="3"/>
    </row>
    <row r="167" ht="15.75" customHeight="1">
      <c r="A167" s="18"/>
      <c r="B167" s="57"/>
      <c r="C167" s="58"/>
      <c r="D167" s="59"/>
      <c r="E167" s="60"/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7"/>
      <c r="C168" s="58"/>
      <c r="D168" s="59"/>
      <c r="E168" s="60"/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7"/>
      <c r="C169" s="58"/>
      <c r="D169" s="59"/>
      <c r="E169" s="60"/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7"/>
      <c r="C170" s="58"/>
      <c r="D170" s="59"/>
      <c r="E170" s="60"/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7"/>
      <c r="C171" s="58"/>
      <c r="D171" s="59"/>
      <c r="E171" s="60"/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7"/>
      <c r="C172" s="58"/>
      <c r="D172" s="59"/>
      <c r="E172" s="60"/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7"/>
      <c r="C173" s="58"/>
      <c r="D173" s="59"/>
      <c r="E173" s="60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7"/>
      <c r="C174" s="58"/>
      <c r="D174" s="59"/>
      <c r="E174" s="60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49</v>
      </c>
      <c r="C175" s="15"/>
      <c r="D175" s="16"/>
      <c r="E175" s="13">
        <f>SUM(E165:E174)</f>
        <v>96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130</v>
      </c>
      <c r="C177" s="48" t="s">
        <v>131</v>
      </c>
      <c r="D177" s="16"/>
      <c r="E177" s="24">
        <f>DASRI!AA177+KARANGDORO!AV177+KARANGMULYO!W177+TAMANSARI!AA177+TEGALREJO!AB177+TEGALSARI!AU177</f>
        <v>70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49"/>
      <c r="C178" s="50" t="s">
        <v>132</v>
      </c>
      <c r="D178" s="51"/>
      <c r="E178" s="24">
        <f>DASRI!AA178+KARANGDORO!AV178+KARANGMULYO!W178+TAMANSARI!AA178+TEGALREJO!AB178+TEGALSARI!AU178</f>
        <v>124</v>
      </c>
      <c r="F178" s="52"/>
      <c r="G178" s="53"/>
      <c r="H178" s="53"/>
      <c r="I178" s="53"/>
      <c r="J178" s="53"/>
      <c r="K178" s="53"/>
      <c r="L178" s="53"/>
      <c r="M178" s="53"/>
      <c r="N178" s="53"/>
      <c r="O178" s="53"/>
      <c r="P178" s="54"/>
      <c r="Q178" s="3"/>
      <c r="R178" s="3"/>
      <c r="S178" s="3"/>
      <c r="T178" s="3"/>
      <c r="U178" s="3"/>
      <c r="V178" s="3"/>
      <c r="W178" s="55"/>
      <c r="X178" s="3"/>
      <c r="Y178" s="3"/>
      <c r="Z178" s="3"/>
    </row>
    <row r="179" ht="15.75" customHeight="1">
      <c r="A179" s="18"/>
      <c r="B179" s="49"/>
      <c r="C179" s="50" t="s">
        <v>133</v>
      </c>
      <c r="D179" s="51"/>
      <c r="E179" s="24">
        <f>DASRI!AA179+KARANGDORO!AV179+KARANGMULYO!W179+TAMANSARI!AA179+TEGALREJO!AB179+TEGALSARI!AU179</f>
        <v>18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49"/>
      <c r="C180" s="50" t="s">
        <v>134</v>
      </c>
      <c r="D180" s="51"/>
      <c r="E180" s="24">
        <f>DASRI!AA180+KARANGDORO!AV180+KARANGMULYO!W180+TAMANSARI!AA180+TEGALREJO!AB180+TEGALSARI!AU180</f>
        <v>28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49"/>
      <c r="C181" s="50" t="s">
        <v>135</v>
      </c>
      <c r="D181" s="51"/>
      <c r="E181" s="24">
        <f>DASRI!AA181+KARANGDORO!AV181+KARANGMULYO!W181+TAMANSARI!AA181+TEGALREJO!AB181+TEGALSARI!AU181</f>
        <v>9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49"/>
      <c r="C182" s="50" t="s">
        <v>136</v>
      </c>
      <c r="D182" s="51"/>
      <c r="E182" s="24">
        <f>DASRI!AA182+KARANGDORO!AV182+KARANGMULYO!W182+TAMANSARI!AA182+TEGALREJO!AB182+TEGALSARI!AU182</f>
        <v>16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49"/>
      <c r="C183" s="50" t="s">
        <v>137</v>
      </c>
      <c r="D183" s="51"/>
      <c r="E183" s="24">
        <f>DASRI!AA183+KARANGDORO!AV183+KARANGMULYO!W183+TAMANSARI!AA183+TEGALREJO!AB183+TEGALSARI!AU183</f>
        <v>8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49"/>
      <c r="C184" s="50" t="s">
        <v>138</v>
      </c>
      <c r="D184" s="51"/>
      <c r="E184" s="24">
        <f>DASRI!AA184+KARANGDORO!AV184+KARANGMULYO!W184+TAMANSARI!AA184+TEGALREJO!AB184+TEGALSARI!AU184</f>
        <v>4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49"/>
      <c r="C185" s="50" t="s">
        <v>139</v>
      </c>
      <c r="D185" s="51"/>
      <c r="E185" s="24">
        <f>DASRI!AA185+KARANGDORO!AV185+KARANGMULYO!W185+TAMANSARI!AA185+TEGALREJO!AB185+TEGALSARI!AU185</f>
        <v>15</v>
      </c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49"/>
      <c r="C186" s="50" t="s">
        <v>140</v>
      </c>
      <c r="D186" s="51"/>
      <c r="E186" s="24">
        <f>DASRI!AA186+KARANGDORO!AV186+KARANGMULYO!W186+TAMANSARI!AA186+TEGALREJO!AB186+TEGALSARI!AU186</f>
        <v>6</v>
      </c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49</v>
      </c>
      <c r="C187" s="15"/>
      <c r="D187" s="16"/>
      <c r="E187" s="13">
        <f>SUM(E177:E186)</f>
        <v>298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141</v>
      </c>
      <c r="C189" s="48" t="s">
        <v>142</v>
      </c>
      <c r="D189" s="16"/>
      <c r="E189" s="24">
        <f>DASRI!AA189+KARANGDORO!AV189+KARANGMULYO!W189+TAMANSARI!AA189+TEGALREJO!AB189+TEGALSARI!AU189</f>
        <v>21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49"/>
      <c r="C190" s="50" t="s">
        <v>143</v>
      </c>
      <c r="D190" s="51"/>
      <c r="E190" s="24">
        <f>DASRI!AA190+KARANGDORO!AV190+KARANGMULYO!W190+TAMANSARI!AA190+TEGALREJO!AB190+TEGALSARI!AU190</f>
        <v>14</v>
      </c>
      <c r="F190" s="52"/>
      <c r="G190" s="53"/>
      <c r="H190" s="53"/>
      <c r="I190" s="53"/>
      <c r="J190" s="53"/>
      <c r="K190" s="53"/>
      <c r="L190" s="53"/>
      <c r="M190" s="53"/>
      <c r="N190" s="53"/>
      <c r="O190" s="53"/>
      <c r="P190" s="54"/>
      <c r="Q190" s="3"/>
      <c r="R190" s="3"/>
      <c r="S190" s="3"/>
      <c r="T190" s="3"/>
      <c r="U190" s="3"/>
      <c r="V190" s="3"/>
      <c r="W190" s="55"/>
      <c r="X190" s="3"/>
      <c r="Y190" s="3"/>
      <c r="Z190" s="3"/>
    </row>
    <row r="191" ht="15.75" customHeight="1">
      <c r="A191" s="18"/>
      <c r="B191" s="49"/>
      <c r="C191" s="50" t="s">
        <v>144</v>
      </c>
      <c r="D191" s="51"/>
      <c r="E191" s="24">
        <f>DASRI!AA191+KARANGDORO!AV191+KARANGMULYO!W191+TAMANSARI!AA191+TEGALREJO!AB191+TEGALSARI!AU191</f>
        <v>8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49"/>
      <c r="C192" s="50" t="s">
        <v>145</v>
      </c>
      <c r="D192" s="51"/>
      <c r="E192" s="24">
        <f>DASRI!AA192+KARANGDORO!AV192+KARANGMULYO!W192+TAMANSARI!AA192+TEGALREJO!AB192+TEGALSARI!AU192</f>
        <v>7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49"/>
      <c r="C193" s="50" t="s">
        <v>146</v>
      </c>
      <c r="D193" s="51"/>
      <c r="E193" s="24">
        <f>DASRI!AA193+KARANGDORO!AV193+KARANGMULYO!W193+TAMANSARI!AA193+TEGALREJO!AB193+TEGALSARI!AU193</f>
        <v>2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49"/>
      <c r="C194" s="50" t="s">
        <v>147</v>
      </c>
      <c r="D194" s="51"/>
      <c r="E194" s="24">
        <f>DASRI!AA194+KARANGDORO!AV194+KARANGMULYO!W194+TAMANSARI!AA194+TEGALREJO!AB194+TEGALSARI!AU194</f>
        <v>4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49"/>
      <c r="C195" s="50" t="s">
        <v>148</v>
      </c>
      <c r="D195" s="51"/>
      <c r="E195" s="24">
        <f>DASRI!AA195+KARANGDORO!AV195+KARANGMULYO!W195+TAMANSARI!AA195+TEGALREJO!AB195+TEGALSARI!AU195</f>
        <v>4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49"/>
      <c r="C196" s="50" t="s">
        <v>149</v>
      </c>
      <c r="D196" s="51"/>
      <c r="E196" s="24">
        <f>DASRI!AA196+KARANGDORO!AV196+KARANGMULYO!W196+TAMANSARI!AA196+TEGALREJO!AB196+TEGALSARI!AU196</f>
        <v>2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49"/>
      <c r="C197" s="50" t="s">
        <v>150</v>
      </c>
      <c r="D197" s="51"/>
      <c r="E197" s="24">
        <f>DASRI!AA197+KARANGDORO!AV197+KARANGMULYO!W197+TAMANSARI!AA197+TEGALREJO!AB197+TEGALSARI!AU197</f>
        <v>4</v>
      </c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49"/>
      <c r="C198" s="50" t="s">
        <v>151</v>
      </c>
      <c r="D198" s="51"/>
      <c r="E198" s="24">
        <f>DASRI!AA198+KARANGDORO!AV198+KARANGMULYO!W198+TAMANSARI!AA198+TEGALREJO!AB198+TEGALSARI!AU198</f>
        <v>7</v>
      </c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49</v>
      </c>
      <c r="C199" s="15"/>
      <c r="D199" s="16"/>
      <c r="E199" s="13">
        <f>SUM(E189:E198)</f>
        <v>73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152</v>
      </c>
      <c r="C201" s="48" t="s">
        <v>153</v>
      </c>
      <c r="D201" s="16"/>
      <c r="E201" s="24">
        <f>DASRI!AA201+KARANGDORO!AV201+KARANGMULYO!W201+TAMANSARI!AA201+TEGALREJO!AB201+TEGALSARI!AU201</f>
        <v>576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49"/>
      <c r="C202" s="50" t="s">
        <v>154</v>
      </c>
      <c r="D202" s="51"/>
      <c r="E202" s="24">
        <f>DASRI!AA202+KARANGDORO!AV202+KARANGMULYO!W202+TAMANSARI!AA202+TEGALREJO!AB202+TEGALSARI!AU202</f>
        <v>866</v>
      </c>
      <c r="F202" s="52"/>
      <c r="G202" s="53"/>
      <c r="H202" s="53"/>
      <c r="I202" s="53"/>
      <c r="J202" s="53"/>
      <c r="K202" s="53"/>
      <c r="L202" s="53"/>
      <c r="M202" s="53"/>
      <c r="N202" s="53"/>
      <c r="O202" s="53"/>
      <c r="P202" s="54"/>
      <c r="Q202" s="3"/>
      <c r="R202" s="3"/>
      <c r="S202" s="3"/>
      <c r="T202" s="3"/>
      <c r="U202" s="3"/>
      <c r="V202" s="3"/>
      <c r="W202" s="55"/>
      <c r="X202" s="3"/>
      <c r="Y202" s="3"/>
      <c r="Z202" s="3"/>
    </row>
    <row r="203" ht="15.75" customHeight="1">
      <c r="A203" s="18"/>
      <c r="B203" s="49"/>
      <c r="C203" s="50" t="s">
        <v>155</v>
      </c>
      <c r="D203" s="51"/>
      <c r="E203" s="24">
        <f>DASRI!AA203+KARANGDORO!AV203+KARANGMULYO!W203+TAMANSARI!AA203+TEGALREJO!AB203+TEGALSARI!AU203</f>
        <v>150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49"/>
      <c r="C204" s="50" t="s">
        <v>156</v>
      </c>
      <c r="D204" s="51"/>
      <c r="E204" s="24">
        <f>DASRI!AA204+KARANGDORO!AV204+KARANGMULYO!W204+TAMANSARI!AA204+TEGALREJO!AB204+TEGALSARI!AU204</f>
        <v>63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49"/>
      <c r="C205" s="50" t="s">
        <v>157</v>
      </c>
      <c r="D205" s="51"/>
      <c r="E205" s="24">
        <f>DASRI!AA205+KARANGDORO!AV205+KARANGMULYO!W205+TAMANSARI!AA205+TEGALREJO!AB205+TEGALSARI!AU205</f>
        <v>46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49"/>
      <c r="C206" s="50" t="s">
        <v>158</v>
      </c>
      <c r="D206" s="51"/>
      <c r="E206" s="24">
        <f>DASRI!AA206+KARANGDORO!AV206+KARANGMULYO!W206+TAMANSARI!AA206+TEGALREJO!AB206+TEGALSARI!AU206</f>
        <v>26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49"/>
      <c r="C207" s="50" t="s">
        <v>159</v>
      </c>
      <c r="D207" s="51"/>
      <c r="E207" s="24">
        <f>DASRI!AA207+KARANGDORO!AV207+KARANGMULYO!W207+TAMANSARI!AA207+TEGALREJO!AB207+TEGALSARI!AU207</f>
        <v>90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49"/>
      <c r="C208" s="50" t="s">
        <v>160</v>
      </c>
      <c r="D208" s="51"/>
      <c r="E208" s="24">
        <f>DASRI!AA208+KARANGDORO!AV208+KARANGMULYO!W208+TAMANSARI!AA208+TEGALREJO!AB208+TEGALSARI!AU208</f>
        <v>124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49"/>
      <c r="C209" s="50" t="s">
        <v>161</v>
      </c>
      <c r="D209" s="51"/>
      <c r="E209" s="24">
        <f>DASRI!AA209+KARANGDORO!AV209+KARANGMULYO!W209+TAMANSARI!AA209+TEGALREJO!AB209+TEGALSARI!AU209</f>
        <v>7</v>
      </c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49"/>
      <c r="C210" s="50" t="s">
        <v>162</v>
      </c>
      <c r="D210" s="51"/>
      <c r="E210" s="24">
        <f>DASRI!AA210+KARANGDORO!AV210+KARANGMULYO!W210+TAMANSARI!AA210+TEGALREJO!AB210+TEGALSARI!AU210</f>
        <v>38</v>
      </c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49</v>
      </c>
      <c r="C211" s="15"/>
      <c r="D211" s="16"/>
      <c r="E211" s="13">
        <f>SUM(E201:E210)</f>
        <v>1986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163</v>
      </c>
      <c r="C213" s="48" t="s">
        <v>164</v>
      </c>
      <c r="D213" s="16"/>
      <c r="E213" s="24">
        <f>DASRI!AA213+KARANGDORO!AV213+KARANGMULYO!W213+TAMANSARI!AA213+TEGALREJO!AB213+TEGALSARI!AU213</f>
        <v>233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49"/>
      <c r="C214" s="50" t="s">
        <v>165</v>
      </c>
      <c r="D214" s="51"/>
      <c r="E214" s="24">
        <f>DASRI!AA214+KARANGDORO!AV214+KARANGMULYO!W214+TAMANSARI!AA214+TEGALREJO!AB214+TEGALSARI!AU214</f>
        <v>172</v>
      </c>
      <c r="F214" s="52"/>
      <c r="G214" s="53"/>
      <c r="H214" s="53"/>
      <c r="I214" s="53"/>
      <c r="J214" s="53"/>
      <c r="K214" s="53"/>
      <c r="L214" s="53"/>
      <c r="M214" s="53"/>
      <c r="N214" s="53"/>
      <c r="O214" s="53"/>
      <c r="P214" s="54"/>
      <c r="Q214" s="3"/>
      <c r="R214" s="3"/>
      <c r="S214" s="3"/>
      <c r="T214" s="3"/>
      <c r="U214" s="3"/>
      <c r="V214" s="3"/>
      <c r="W214" s="55"/>
      <c r="X214" s="3"/>
      <c r="Y214" s="3"/>
      <c r="Z214" s="3"/>
    </row>
    <row r="215" ht="15.75" customHeight="1">
      <c r="A215" s="18"/>
      <c r="B215" s="49"/>
      <c r="C215" s="50" t="s">
        <v>166</v>
      </c>
      <c r="D215" s="51"/>
      <c r="E215" s="24">
        <f>DASRI!AA215+KARANGDORO!AV215+KARANGMULYO!W215+TAMANSARI!AA215+TEGALREJO!AB215+TEGALSARI!AU215</f>
        <v>120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49"/>
      <c r="C216" s="50" t="s">
        <v>167</v>
      </c>
      <c r="D216" s="51"/>
      <c r="E216" s="24">
        <f>DASRI!AA216+KARANGDORO!AV216+KARANGMULYO!W216+TAMANSARI!AA216+TEGALREJO!AB216+TEGALSARI!AU216</f>
        <v>34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7"/>
      <c r="C217" s="58"/>
      <c r="D217" s="66"/>
      <c r="E217" s="60"/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7"/>
      <c r="C218" s="58"/>
      <c r="D218" s="66"/>
      <c r="E218" s="60"/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7"/>
      <c r="C219" s="58"/>
      <c r="D219" s="66"/>
      <c r="E219" s="60"/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7"/>
      <c r="C220" s="58"/>
      <c r="D220" s="66"/>
      <c r="E220" s="60"/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7"/>
      <c r="C221" s="58"/>
      <c r="D221" s="66"/>
      <c r="E221" s="60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7"/>
      <c r="C222" s="58"/>
      <c r="D222" s="66"/>
      <c r="E222" s="60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49</v>
      </c>
      <c r="C223" s="15"/>
      <c r="D223" s="16"/>
      <c r="E223" s="13">
        <f>SUM(E213:E222)</f>
        <v>559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168</v>
      </c>
      <c r="C225" s="48" t="s">
        <v>169</v>
      </c>
      <c r="D225" s="16"/>
      <c r="E225" s="24">
        <f>DASRI!AA225+KARANGDORO!AV225+KARANGMULYO!W225+TAMANSARI!AA225+TEGALREJO!AB225+TEGALSARI!AU225</f>
        <v>34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49"/>
      <c r="C226" s="50" t="s">
        <v>170</v>
      </c>
      <c r="D226" s="51"/>
      <c r="E226" s="24">
        <f>DASRI!AA226+KARANGDORO!AV226+KARANGMULYO!W226+TAMANSARI!AA226+TEGALREJO!AB226+TEGALSARI!AU226</f>
        <v>90</v>
      </c>
      <c r="F226" s="52"/>
      <c r="G226" s="53"/>
      <c r="H226" s="53"/>
      <c r="I226" s="53"/>
      <c r="J226" s="53"/>
      <c r="K226" s="53"/>
      <c r="L226" s="53"/>
      <c r="M226" s="53"/>
      <c r="N226" s="53"/>
      <c r="O226" s="53"/>
      <c r="P226" s="54"/>
      <c r="Q226" s="3"/>
      <c r="R226" s="3"/>
      <c r="S226" s="3"/>
      <c r="T226" s="3"/>
      <c r="U226" s="3"/>
      <c r="V226" s="3"/>
      <c r="W226" s="55"/>
      <c r="X226" s="3"/>
      <c r="Y226" s="3"/>
      <c r="Z226" s="3"/>
    </row>
    <row r="227" ht="15.75" customHeight="1">
      <c r="A227" s="18"/>
      <c r="B227" s="49"/>
      <c r="C227" s="50" t="s">
        <v>171</v>
      </c>
      <c r="D227" s="51"/>
      <c r="E227" s="24">
        <f>DASRI!AA227+KARANGDORO!AV227+KARANGMULYO!W227+TAMANSARI!AA227+TEGALREJO!AB227+TEGALSARI!AU227</f>
        <v>8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49"/>
      <c r="C228" s="50" t="s">
        <v>172</v>
      </c>
      <c r="D228" s="51"/>
      <c r="E228" s="24">
        <f>DASRI!AA228+KARANGDORO!AV228+KARANGMULYO!W228+TAMANSARI!AA228+TEGALREJO!AB228+TEGALSARI!AU228</f>
        <v>5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49"/>
      <c r="C229" s="50" t="s">
        <v>173</v>
      </c>
      <c r="D229" s="51"/>
      <c r="E229" s="24">
        <f>DASRI!AA229+KARANGDORO!AV229+KARANGMULYO!W229+TAMANSARI!AA229+TEGALREJO!AB229+TEGALSARI!AU229</f>
        <v>7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7"/>
      <c r="C230" s="58"/>
      <c r="D230" s="59"/>
      <c r="E230" s="60"/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7"/>
      <c r="C231" s="58"/>
      <c r="D231" s="59"/>
      <c r="E231" s="60"/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7"/>
      <c r="C232" s="58"/>
      <c r="D232" s="59"/>
      <c r="E232" s="60"/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7"/>
      <c r="C233" s="58"/>
      <c r="D233" s="59"/>
      <c r="E233" s="60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7"/>
      <c r="C234" s="58"/>
      <c r="D234" s="59"/>
      <c r="E234" s="60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49</v>
      </c>
      <c r="C235" s="15"/>
      <c r="D235" s="16"/>
      <c r="E235" s="13">
        <f>SUM(E225:E234)</f>
        <v>144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174</v>
      </c>
      <c r="C237" s="48" t="s">
        <v>175</v>
      </c>
      <c r="D237" s="16"/>
      <c r="E237" s="24">
        <f>DASRI!AA237+KARANGDORO!AV237+KARANGMULYO!W237+TAMANSARI!AA237+TEGALREJO!AB237+TEGALSARI!AU237</f>
        <v>284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49"/>
      <c r="C238" s="50" t="s">
        <v>176</v>
      </c>
      <c r="D238" s="51"/>
      <c r="E238" s="24">
        <f>DASRI!AA238+KARANGDORO!AV238+KARANGMULYO!W238+TAMANSARI!AA238+TEGALREJO!AB238+TEGALSARI!AU238</f>
        <v>235</v>
      </c>
      <c r="F238" s="52"/>
      <c r="G238" s="53"/>
      <c r="H238" s="53"/>
      <c r="I238" s="53"/>
      <c r="J238" s="53"/>
      <c r="K238" s="53"/>
      <c r="L238" s="53"/>
      <c r="M238" s="53"/>
      <c r="N238" s="53"/>
      <c r="O238" s="53"/>
      <c r="P238" s="54"/>
      <c r="Q238" s="3"/>
      <c r="R238" s="3"/>
      <c r="S238" s="3"/>
      <c r="T238" s="3"/>
      <c r="U238" s="3"/>
      <c r="V238" s="3"/>
      <c r="W238" s="55"/>
      <c r="X238" s="3"/>
      <c r="Y238" s="3"/>
      <c r="Z238" s="3"/>
    </row>
    <row r="239" ht="15.75" customHeight="1">
      <c r="A239" s="18"/>
      <c r="B239" s="49"/>
      <c r="C239" s="50" t="s">
        <v>177</v>
      </c>
      <c r="D239" s="51"/>
      <c r="E239" s="24">
        <f>DASRI!AA239+KARANGDORO!AV239+KARANGMULYO!W239+TAMANSARI!AA239+TEGALREJO!AB239+TEGALSARI!AU239</f>
        <v>138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49"/>
      <c r="C240" s="50" t="s">
        <v>178</v>
      </c>
      <c r="D240" s="51"/>
      <c r="E240" s="24">
        <f>DASRI!AA240+KARANGDORO!AV240+KARANGMULYO!W240+TAMANSARI!AA240+TEGALREJO!AB240+TEGALSARI!AU240</f>
        <v>39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49"/>
      <c r="C241" s="50" t="s">
        <v>179</v>
      </c>
      <c r="D241" s="51"/>
      <c r="E241" s="24">
        <f>DASRI!AA241+KARANGDORO!AV241+KARANGMULYO!W241+TAMANSARI!AA241+TEGALREJO!AB241+TEGALSARI!AU241</f>
        <v>28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49"/>
      <c r="C242" s="50" t="s">
        <v>180</v>
      </c>
      <c r="D242" s="51"/>
      <c r="E242" s="24">
        <f>DASRI!AA242+KARANGDORO!AV242+KARANGMULYO!W242+TAMANSARI!AA242+TEGALREJO!AB242+TEGALSARI!AU242</f>
        <v>202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49"/>
      <c r="C243" s="50" t="s">
        <v>181</v>
      </c>
      <c r="D243" s="51"/>
      <c r="E243" s="24">
        <f>DASRI!AA243+KARANGDORO!AV243+KARANGMULYO!W243+TAMANSARI!AA243+TEGALREJO!AB243+TEGALSARI!AU243</f>
        <v>21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49"/>
      <c r="C244" s="50" t="s">
        <v>182</v>
      </c>
      <c r="D244" s="51"/>
      <c r="E244" s="24">
        <f>DASRI!AA244+KARANGDORO!AV244+KARANGMULYO!W244+TAMANSARI!AA244+TEGALREJO!AB244+TEGALSARI!AU244</f>
        <v>33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49"/>
      <c r="C245" s="50" t="s">
        <v>183</v>
      </c>
      <c r="D245" s="51"/>
      <c r="E245" s="24">
        <f>DASRI!AA245+KARANGDORO!AV245+KARANGMULYO!W245+TAMANSARI!AA245+TEGALREJO!AB245+TEGALSARI!AU245</f>
        <v>12</v>
      </c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49"/>
      <c r="C246" s="50" t="s">
        <v>184</v>
      </c>
      <c r="D246" s="51"/>
      <c r="E246" s="24">
        <f>DASRI!AA246+KARANGDORO!AV246+KARANGMULYO!W246+TAMANSARI!AA246+TEGALREJO!AB246+TEGALSARI!AU246</f>
        <v>27</v>
      </c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49</v>
      </c>
      <c r="C247" s="15"/>
      <c r="D247" s="16"/>
      <c r="E247" s="13">
        <f>SUM(E237:E246)</f>
        <v>1019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185</v>
      </c>
      <c r="C249" s="48" t="s">
        <v>186</v>
      </c>
      <c r="D249" s="16"/>
      <c r="E249" s="24">
        <f>DASRI!AA249+KARANGDORO!AV249+KARANGMULYO!W249+TAMANSARI!AA249+TEGALREJO!AB249+TEGALSARI!AU249</f>
        <v>30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49"/>
      <c r="C250" s="50" t="s">
        <v>187</v>
      </c>
      <c r="D250" s="51"/>
      <c r="E250" s="24">
        <f>DASRI!AA250+KARANGDORO!AV250+KARANGMULYO!W250+TAMANSARI!AA250+TEGALREJO!AB250+TEGALSARI!AU250</f>
        <v>85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49"/>
      <c r="C251" s="50" t="s">
        <v>188</v>
      </c>
      <c r="D251" s="51"/>
      <c r="E251" s="24">
        <f>DASRI!AA251+KARANGDORO!AV251+KARANGMULYO!W251+TAMANSARI!AA251+TEGALREJO!AB251+TEGALSARI!AU251</f>
        <v>2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49"/>
      <c r="C252" s="50" t="s">
        <v>189</v>
      </c>
      <c r="D252" s="51"/>
      <c r="E252" s="24">
        <f>DASRI!AA252+KARANGDORO!AV252+KARANGMULYO!W252+TAMANSARI!AA252+TEGALREJO!AB252+TEGALSARI!AU252</f>
        <v>15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7"/>
      <c r="C253" s="67"/>
      <c r="D253" s="59"/>
      <c r="E253" s="60"/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7"/>
      <c r="C254" s="67"/>
      <c r="D254" s="59"/>
      <c r="E254" s="60"/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7"/>
      <c r="C255" s="67"/>
      <c r="D255" s="59"/>
      <c r="E255" s="60"/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7"/>
      <c r="C256" s="64"/>
      <c r="D256" s="59"/>
      <c r="E256" s="60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7"/>
      <c r="C257" s="64"/>
      <c r="D257" s="59"/>
      <c r="E257" s="60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7"/>
      <c r="C258" s="64"/>
      <c r="D258" s="59"/>
      <c r="E258" s="60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49</v>
      </c>
      <c r="C259" s="15"/>
      <c r="D259" s="16"/>
      <c r="E259" s="13">
        <f>SUM(E249:E258)</f>
        <v>132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8" t="s">
        <v>192</v>
      </c>
      <c r="C262" s="69" t="s">
        <v>193</v>
      </c>
      <c r="D262" s="16"/>
      <c r="E262" s="24">
        <f>DASRI!AA262+KARANGDORO!AV262+KARANGMULYO!W262+TAMANSARI!AA262+TEGALREJO!AB262+TEGALSARI!AU262</f>
        <v>27781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8" t="s">
        <v>194</v>
      </c>
      <c r="C263" s="69" t="s">
        <v>195</v>
      </c>
      <c r="D263" s="16"/>
      <c r="E263" s="24">
        <f>DASRI!AA263+KARANGDORO!AV263+KARANGMULYO!W263+TAMANSARI!AA263+TEGALREJO!AB263+TEGALSARI!AU263</f>
        <v>3353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8" t="s">
        <v>196</v>
      </c>
      <c r="C264" s="69" t="s">
        <v>197</v>
      </c>
      <c r="D264" s="16"/>
      <c r="E264" s="13">
        <f>SUM(E262:E263)</f>
        <v>31134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70"/>
      <c r="C265" s="71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70"/>
      <c r="C266" s="71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70"/>
      <c r="C267" s="71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70"/>
      <c r="C268" s="71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70"/>
      <c r="C269" s="71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70"/>
      <c r="C270" s="71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70"/>
      <c r="C271" s="71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70"/>
      <c r="C272" s="71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70"/>
      <c r="C273" s="71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70"/>
      <c r="C274" s="71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70"/>
      <c r="C275" s="71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70"/>
      <c r="C276" s="71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70"/>
      <c r="C277" s="71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70"/>
      <c r="C278" s="71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70"/>
      <c r="C279" s="71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70"/>
      <c r="C280" s="71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70"/>
      <c r="C281" s="71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70"/>
      <c r="C282" s="71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70"/>
      <c r="C283" s="71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70"/>
      <c r="C284" s="71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70"/>
      <c r="C285" s="71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70"/>
      <c r="C286" s="71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70"/>
      <c r="C287" s="71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70"/>
      <c r="C288" s="71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70"/>
      <c r="C289" s="71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70"/>
      <c r="C290" s="71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70"/>
      <c r="C291" s="71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70"/>
      <c r="C292" s="71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70"/>
      <c r="C293" s="71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70"/>
      <c r="C294" s="71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70"/>
      <c r="C295" s="71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70"/>
      <c r="C296" s="71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70"/>
      <c r="C297" s="71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70"/>
      <c r="C298" s="71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70"/>
      <c r="C299" s="71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70"/>
      <c r="C300" s="7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70"/>
      <c r="C301" s="7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70"/>
      <c r="C302" s="7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70"/>
      <c r="C303" s="71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70"/>
      <c r="C304" s="71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70"/>
      <c r="C305" s="71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70"/>
      <c r="C306" s="71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70"/>
      <c r="C307" s="71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70"/>
      <c r="C308" s="71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70"/>
      <c r="C309" s="71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70"/>
      <c r="C310" s="71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70"/>
      <c r="C311" s="71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70"/>
      <c r="C312" s="71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70"/>
      <c r="C313" s="71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70"/>
      <c r="C314" s="71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70"/>
      <c r="C315" s="71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70"/>
      <c r="C316" s="71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70"/>
      <c r="C317" s="71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70"/>
      <c r="C318" s="71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70"/>
      <c r="C319" s="71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70"/>
      <c r="C320" s="71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70"/>
      <c r="C321" s="71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70"/>
      <c r="C322" s="71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70"/>
      <c r="C323" s="71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70"/>
      <c r="C324" s="71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70"/>
      <c r="C325" s="71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70"/>
      <c r="C326" s="71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70"/>
      <c r="C327" s="71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70"/>
      <c r="C328" s="71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70"/>
      <c r="C329" s="71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70"/>
      <c r="C330" s="71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70"/>
      <c r="C331" s="71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70"/>
      <c r="C332" s="71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70"/>
      <c r="C333" s="71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70"/>
      <c r="C334" s="71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70"/>
      <c r="C335" s="71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70"/>
      <c r="C336" s="71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70"/>
      <c r="C337" s="71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70"/>
      <c r="C338" s="71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70"/>
      <c r="C339" s="71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70"/>
      <c r="C340" s="71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70"/>
      <c r="C341" s="71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70"/>
      <c r="C342" s="71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70"/>
      <c r="C343" s="71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70"/>
      <c r="C344" s="71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70"/>
      <c r="C345" s="71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70"/>
      <c r="C346" s="71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70"/>
      <c r="C347" s="71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70"/>
      <c r="C348" s="71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70"/>
      <c r="C349" s="71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70"/>
      <c r="C350" s="71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70"/>
      <c r="C351" s="71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70"/>
      <c r="C352" s="71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70"/>
      <c r="C353" s="71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70"/>
      <c r="C354" s="71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70"/>
      <c r="C355" s="71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70"/>
      <c r="C356" s="71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70"/>
      <c r="C357" s="71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70"/>
      <c r="C358" s="71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70"/>
      <c r="C359" s="71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70"/>
      <c r="C360" s="71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70"/>
      <c r="C361" s="71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70"/>
      <c r="C362" s="71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70"/>
      <c r="C363" s="71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70"/>
      <c r="C364" s="71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70"/>
      <c r="C365" s="71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70"/>
      <c r="C366" s="71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70"/>
      <c r="C367" s="71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70"/>
      <c r="C368" s="71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70"/>
      <c r="C369" s="71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70"/>
      <c r="C370" s="71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70"/>
      <c r="C371" s="71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70"/>
      <c r="C372" s="71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70"/>
      <c r="C373" s="71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70"/>
      <c r="C374" s="71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70"/>
      <c r="C375" s="71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70"/>
      <c r="C376" s="71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70"/>
      <c r="C377" s="71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70"/>
      <c r="C378" s="71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70"/>
      <c r="C379" s="71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70"/>
      <c r="C380" s="71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70"/>
      <c r="C381" s="71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70"/>
      <c r="C382" s="71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70"/>
      <c r="C383" s="71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70"/>
      <c r="C384" s="71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70"/>
      <c r="C385" s="71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70"/>
      <c r="C386" s="71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70"/>
      <c r="C387" s="71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70"/>
      <c r="C388" s="71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70"/>
      <c r="C389" s="71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70"/>
      <c r="C390" s="71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70"/>
      <c r="C391" s="71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70"/>
      <c r="C392" s="71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70"/>
      <c r="C393" s="71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70"/>
      <c r="C394" s="71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70"/>
      <c r="C395" s="71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70"/>
      <c r="C396" s="71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70"/>
      <c r="C397" s="71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70"/>
      <c r="C398" s="71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70"/>
      <c r="C399" s="71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70"/>
      <c r="C400" s="71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70"/>
      <c r="C401" s="71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70"/>
      <c r="C402" s="71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70"/>
      <c r="C403" s="71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70"/>
      <c r="C404" s="71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70"/>
      <c r="C405" s="71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70"/>
      <c r="C406" s="71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70"/>
      <c r="C407" s="71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70"/>
      <c r="C408" s="71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70"/>
      <c r="C409" s="71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70"/>
      <c r="C410" s="71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70"/>
      <c r="C411" s="71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70"/>
      <c r="C412" s="71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70"/>
      <c r="C413" s="71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70"/>
      <c r="C414" s="71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70"/>
      <c r="C415" s="71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70"/>
      <c r="C416" s="71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70"/>
      <c r="C417" s="71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70"/>
      <c r="C418" s="71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70"/>
      <c r="C419" s="71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70"/>
      <c r="C420" s="71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70"/>
      <c r="C421" s="71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70"/>
      <c r="C422" s="71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70"/>
      <c r="C423" s="71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70"/>
      <c r="C424" s="71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70"/>
      <c r="C425" s="71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70"/>
      <c r="C426" s="71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70"/>
      <c r="C427" s="71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70"/>
      <c r="C428" s="71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70"/>
      <c r="C429" s="71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70"/>
      <c r="C430" s="71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70"/>
      <c r="C431" s="71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70"/>
      <c r="C432" s="71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70"/>
      <c r="C433" s="71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70"/>
      <c r="C434" s="71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70"/>
      <c r="C435" s="71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70"/>
      <c r="C436" s="71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70"/>
      <c r="C437" s="71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70"/>
      <c r="C438" s="71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70"/>
      <c r="C439" s="71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70"/>
      <c r="C440" s="71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70"/>
      <c r="C441" s="71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70"/>
      <c r="C442" s="71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70"/>
      <c r="C443" s="71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70"/>
      <c r="C444" s="71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70"/>
      <c r="C445" s="71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70"/>
      <c r="C446" s="71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70"/>
      <c r="C447" s="71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70"/>
      <c r="C448" s="71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70"/>
      <c r="C449" s="71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70"/>
      <c r="C450" s="71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70"/>
      <c r="C451" s="71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70"/>
      <c r="C452" s="71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70"/>
      <c r="C453" s="71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70"/>
      <c r="C454" s="71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70"/>
      <c r="C455" s="71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70"/>
      <c r="C456" s="71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70"/>
      <c r="C457" s="71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70"/>
      <c r="C458" s="71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70"/>
      <c r="C459" s="71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70"/>
      <c r="C460" s="71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70"/>
      <c r="C461" s="71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70"/>
      <c r="C462" s="71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70"/>
      <c r="C463" s="71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70"/>
      <c r="C464" s="71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3"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A56:E56"/>
    <mergeCell ref="C57:D57"/>
    <mergeCell ref="B38:D38"/>
    <mergeCell ref="B39:C41"/>
    <mergeCell ref="A42:D42"/>
    <mergeCell ref="B43:D43"/>
    <mergeCell ref="A44:D44"/>
    <mergeCell ref="C45:D45"/>
    <mergeCell ref="B55:D55"/>
    <mergeCell ref="B67:D67"/>
    <mergeCell ref="A68:E68"/>
    <mergeCell ref="C69:D69"/>
    <mergeCell ref="B79:D79"/>
    <mergeCell ref="A80:E80"/>
    <mergeCell ref="C81:D81"/>
    <mergeCell ref="B91:D91"/>
    <mergeCell ref="C201:D201"/>
    <mergeCell ref="B211:D211"/>
    <mergeCell ref="A212:E212"/>
    <mergeCell ref="C213:D213"/>
    <mergeCell ref="B223:D223"/>
    <mergeCell ref="A224:E224"/>
    <mergeCell ref="C225:D225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F259:O261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1"/>
      <c r="X11" s="2"/>
      <c r="Y11" s="1"/>
      <c r="Z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73">
        <v>128.0</v>
      </c>
      <c r="F14" s="73">
        <v>110.0</v>
      </c>
      <c r="G14" s="73">
        <v>133.0</v>
      </c>
      <c r="H14" s="73">
        <v>138.0</v>
      </c>
      <c r="I14" s="73">
        <v>130.0</v>
      </c>
      <c r="J14" s="73">
        <v>102.0</v>
      </c>
      <c r="K14" s="73">
        <v>122.0</v>
      </c>
      <c r="L14" s="73">
        <v>149.0</v>
      </c>
      <c r="M14" s="73">
        <v>146.0</v>
      </c>
      <c r="N14" s="73">
        <v>155.0</v>
      </c>
      <c r="O14" s="73">
        <v>163.0</v>
      </c>
      <c r="P14" s="73">
        <v>131.0</v>
      </c>
      <c r="Q14" s="73">
        <v>123.0</v>
      </c>
      <c r="R14" s="73">
        <v>136.0</v>
      </c>
      <c r="S14" s="73">
        <v>137.0</v>
      </c>
      <c r="T14" s="73">
        <v>119.0</v>
      </c>
      <c r="U14" s="73">
        <v>117.0</v>
      </c>
      <c r="V14" s="73">
        <v>124.0</v>
      </c>
      <c r="W14" s="73">
        <v>135.0</v>
      </c>
      <c r="X14" s="73">
        <v>121.0</v>
      </c>
      <c r="Y14" s="73">
        <v>129.0</v>
      </c>
      <c r="Z14" s="73">
        <v>148.0</v>
      </c>
      <c r="AA14" s="13">
        <f t="shared" ref="AA14:AA16" si="1">SUM(E14:Z14)</f>
        <v>2896</v>
      </c>
    </row>
    <row r="15" ht="12.75" customHeight="1">
      <c r="A15" s="18"/>
      <c r="B15" s="26"/>
      <c r="C15" s="27"/>
      <c r="D15" s="19" t="s">
        <v>13</v>
      </c>
      <c r="E15" s="73">
        <v>117.0</v>
      </c>
      <c r="F15" s="73">
        <v>123.0</v>
      </c>
      <c r="G15" s="73">
        <v>120.0</v>
      </c>
      <c r="H15" s="73">
        <v>135.0</v>
      </c>
      <c r="I15" s="73">
        <v>136.0</v>
      </c>
      <c r="J15" s="73">
        <v>105.0</v>
      </c>
      <c r="K15" s="73">
        <v>127.0</v>
      </c>
      <c r="L15" s="73">
        <v>145.0</v>
      </c>
      <c r="M15" s="73">
        <v>152.0</v>
      </c>
      <c r="N15" s="73">
        <v>144.0</v>
      </c>
      <c r="O15" s="73">
        <v>137.0</v>
      </c>
      <c r="P15" s="73">
        <v>119.0</v>
      </c>
      <c r="Q15" s="73">
        <v>122.0</v>
      </c>
      <c r="R15" s="73">
        <v>140.0</v>
      </c>
      <c r="S15" s="73">
        <v>113.0</v>
      </c>
      <c r="T15" s="73">
        <v>124.0</v>
      </c>
      <c r="U15" s="73">
        <v>110.0</v>
      </c>
      <c r="V15" s="73">
        <v>127.0</v>
      </c>
      <c r="W15" s="73">
        <v>132.0</v>
      </c>
      <c r="X15" s="73">
        <v>130.0</v>
      </c>
      <c r="Y15" s="73">
        <v>113.0</v>
      </c>
      <c r="Z15" s="73">
        <v>131.0</v>
      </c>
      <c r="AA15" s="13">
        <f t="shared" si="1"/>
        <v>2802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245</v>
      </c>
      <c r="F16" s="13">
        <f t="shared" si="2"/>
        <v>233</v>
      </c>
      <c r="G16" s="13">
        <f t="shared" si="2"/>
        <v>253</v>
      </c>
      <c r="H16" s="13">
        <f t="shared" si="2"/>
        <v>273</v>
      </c>
      <c r="I16" s="13">
        <f t="shared" si="2"/>
        <v>266</v>
      </c>
      <c r="J16" s="13">
        <f t="shared" si="2"/>
        <v>207</v>
      </c>
      <c r="K16" s="13">
        <f t="shared" si="2"/>
        <v>249</v>
      </c>
      <c r="L16" s="13">
        <f t="shared" si="2"/>
        <v>294</v>
      </c>
      <c r="M16" s="13">
        <f t="shared" si="2"/>
        <v>298</v>
      </c>
      <c r="N16" s="13">
        <f t="shared" si="2"/>
        <v>299</v>
      </c>
      <c r="O16" s="13">
        <f t="shared" si="2"/>
        <v>300</v>
      </c>
      <c r="P16" s="13">
        <f t="shared" si="2"/>
        <v>250</v>
      </c>
      <c r="Q16" s="13">
        <f t="shared" si="2"/>
        <v>245</v>
      </c>
      <c r="R16" s="13">
        <f t="shared" si="2"/>
        <v>276</v>
      </c>
      <c r="S16" s="13">
        <f t="shared" si="2"/>
        <v>250</v>
      </c>
      <c r="T16" s="13">
        <f t="shared" si="2"/>
        <v>243</v>
      </c>
      <c r="U16" s="13">
        <f t="shared" si="2"/>
        <v>227</v>
      </c>
      <c r="V16" s="13">
        <f t="shared" si="2"/>
        <v>251</v>
      </c>
      <c r="W16" s="13">
        <f t="shared" si="2"/>
        <v>267</v>
      </c>
      <c r="X16" s="13">
        <f t="shared" si="2"/>
        <v>251</v>
      </c>
      <c r="Y16" s="13">
        <f t="shared" si="2"/>
        <v>242</v>
      </c>
      <c r="Z16" s="13">
        <f t="shared" si="2"/>
        <v>279</v>
      </c>
      <c r="AA16" s="13">
        <f t="shared" si="1"/>
        <v>5698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19"/>
      <c r="P17" s="19"/>
      <c r="Q17" s="19"/>
      <c r="R17" s="19"/>
      <c r="S17" s="19"/>
      <c r="T17" s="19"/>
      <c r="U17" s="19"/>
      <c r="V17" s="19"/>
      <c r="W17" s="19"/>
      <c r="X17" s="74"/>
      <c r="Y17" s="19"/>
      <c r="Z17" s="19"/>
      <c r="AA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19"/>
      <c r="P18" s="19"/>
      <c r="Q18" s="19"/>
      <c r="R18" s="19"/>
      <c r="S18" s="19"/>
      <c r="T18" s="19"/>
      <c r="U18" s="19"/>
      <c r="V18" s="19"/>
      <c r="W18" s="19"/>
      <c r="X18" s="74"/>
      <c r="Y18" s="19"/>
      <c r="Z18" s="19"/>
      <c r="AA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97.0</v>
      </c>
      <c r="F19" s="73">
        <v>85.0</v>
      </c>
      <c r="G19" s="73">
        <v>92.0</v>
      </c>
      <c r="H19" s="73">
        <v>99.0</v>
      </c>
      <c r="I19" s="73">
        <v>94.0</v>
      </c>
      <c r="J19" s="73">
        <v>73.0</v>
      </c>
      <c r="K19" s="73">
        <v>88.0</v>
      </c>
      <c r="L19" s="73">
        <v>104.0</v>
      </c>
      <c r="M19" s="73">
        <v>101.0</v>
      </c>
      <c r="N19" s="73">
        <v>109.0</v>
      </c>
      <c r="O19" s="73">
        <v>114.0</v>
      </c>
      <c r="P19" s="73">
        <v>86.0</v>
      </c>
      <c r="Q19" s="73">
        <v>79.0</v>
      </c>
      <c r="R19" s="73">
        <v>109.0</v>
      </c>
      <c r="S19" s="73">
        <v>77.0</v>
      </c>
      <c r="T19" s="73">
        <v>87.0</v>
      </c>
      <c r="U19" s="73">
        <v>81.0</v>
      </c>
      <c r="V19" s="73">
        <v>95.0</v>
      </c>
      <c r="W19" s="73">
        <v>96.0</v>
      </c>
      <c r="X19" s="73">
        <v>81.0</v>
      </c>
      <c r="Y19" s="73">
        <v>85.0</v>
      </c>
      <c r="Z19" s="73">
        <v>108.0</v>
      </c>
      <c r="AA19" s="13">
        <f t="shared" ref="AA19:AA30" si="3">SUM(E19:Z19)</f>
        <v>2040</v>
      </c>
    </row>
    <row r="20" ht="12.75" customHeight="1">
      <c r="A20" s="33"/>
      <c r="B20" s="27"/>
      <c r="C20" s="34"/>
      <c r="D20" s="19" t="s">
        <v>13</v>
      </c>
      <c r="E20" s="73">
        <v>89.0</v>
      </c>
      <c r="F20" s="73">
        <v>89.0</v>
      </c>
      <c r="G20" s="73">
        <v>88.0</v>
      </c>
      <c r="H20" s="73">
        <v>109.0</v>
      </c>
      <c r="I20" s="73">
        <v>98.0</v>
      </c>
      <c r="J20" s="73">
        <v>78.0</v>
      </c>
      <c r="K20" s="73">
        <v>98.0</v>
      </c>
      <c r="L20" s="73">
        <v>108.0</v>
      </c>
      <c r="M20" s="73">
        <v>109.0</v>
      </c>
      <c r="N20" s="73">
        <v>109.0</v>
      </c>
      <c r="O20" s="73">
        <v>110.0</v>
      </c>
      <c r="P20" s="73">
        <v>77.0</v>
      </c>
      <c r="Q20" s="73">
        <v>86.0</v>
      </c>
      <c r="R20" s="73">
        <v>104.0</v>
      </c>
      <c r="S20" s="73">
        <v>74.0</v>
      </c>
      <c r="T20" s="73">
        <v>84.0</v>
      </c>
      <c r="U20" s="73">
        <v>81.0</v>
      </c>
      <c r="V20" s="73">
        <v>92.0</v>
      </c>
      <c r="W20" s="73">
        <v>92.0</v>
      </c>
      <c r="X20" s="73">
        <v>105.0</v>
      </c>
      <c r="Y20" s="73">
        <v>80.0</v>
      </c>
      <c r="Z20" s="73">
        <v>104.0</v>
      </c>
      <c r="AA20" s="13">
        <f t="shared" si="3"/>
        <v>2064</v>
      </c>
    </row>
    <row r="21" ht="12.75" customHeight="1">
      <c r="A21" s="35"/>
      <c r="B21" s="28"/>
      <c r="C21" s="36"/>
      <c r="D21" s="13" t="s">
        <v>14</v>
      </c>
      <c r="E21" s="13">
        <f t="shared" ref="E21:Z21" si="4">SUM(E19:E20)</f>
        <v>186</v>
      </c>
      <c r="F21" s="13">
        <f t="shared" si="4"/>
        <v>174</v>
      </c>
      <c r="G21" s="13">
        <f t="shared" si="4"/>
        <v>180</v>
      </c>
      <c r="H21" s="13">
        <f t="shared" si="4"/>
        <v>208</v>
      </c>
      <c r="I21" s="13">
        <f t="shared" si="4"/>
        <v>192</v>
      </c>
      <c r="J21" s="13">
        <f t="shared" si="4"/>
        <v>151</v>
      </c>
      <c r="K21" s="13">
        <f t="shared" si="4"/>
        <v>186</v>
      </c>
      <c r="L21" s="13">
        <f t="shared" si="4"/>
        <v>212</v>
      </c>
      <c r="M21" s="13">
        <f t="shared" si="4"/>
        <v>210</v>
      </c>
      <c r="N21" s="13">
        <f t="shared" si="4"/>
        <v>218</v>
      </c>
      <c r="O21" s="13">
        <f t="shared" si="4"/>
        <v>224</v>
      </c>
      <c r="P21" s="13">
        <f t="shared" si="4"/>
        <v>163</v>
      </c>
      <c r="Q21" s="13">
        <f t="shared" si="4"/>
        <v>165</v>
      </c>
      <c r="R21" s="13">
        <f t="shared" si="4"/>
        <v>213</v>
      </c>
      <c r="S21" s="13">
        <f t="shared" si="4"/>
        <v>151</v>
      </c>
      <c r="T21" s="13">
        <f t="shared" si="4"/>
        <v>171</v>
      </c>
      <c r="U21" s="13">
        <f t="shared" si="4"/>
        <v>162</v>
      </c>
      <c r="V21" s="13">
        <f t="shared" si="4"/>
        <v>187</v>
      </c>
      <c r="W21" s="13">
        <f t="shared" si="4"/>
        <v>188</v>
      </c>
      <c r="X21" s="13">
        <f t="shared" si="4"/>
        <v>186</v>
      </c>
      <c r="Y21" s="13">
        <f t="shared" si="4"/>
        <v>165</v>
      </c>
      <c r="Z21" s="13">
        <f t="shared" si="4"/>
        <v>212</v>
      </c>
      <c r="AA21" s="13">
        <f t="shared" si="3"/>
        <v>4104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0.0</v>
      </c>
      <c r="H22" s="73">
        <v>0.0</v>
      </c>
      <c r="I22" s="73">
        <v>1.0</v>
      </c>
      <c r="J22" s="73">
        <v>0.0</v>
      </c>
      <c r="K22" s="73">
        <v>0.0</v>
      </c>
      <c r="L22" s="73">
        <v>0.0</v>
      </c>
      <c r="M22" s="73">
        <v>0.0</v>
      </c>
      <c r="N22" s="73">
        <v>0.0</v>
      </c>
      <c r="O22" s="73">
        <v>0.0</v>
      </c>
      <c r="P22" s="73">
        <v>1.0</v>
      </c>
      <c r="Q22" s="73">
        <v>0.0</v>
      </c>
      <c r="R22" s="73">
        <v>0.0</v>
      </c>
      <c r="S22" s="73">
        <v>0.0</v>
      </c>
      <c r="T22" s="73">
        <v>0.0</v>
      </c>
      <c r="U22" s="73">
        <v>0.0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0.0</v>
      </c>
      <c r="N23" s="73">
        <v>0.0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0.0</v>
      </c>
      <c r="U23" s="73">
        <v>0.0</v>
      </c>
      <c r="V23" s="73">
        <v>0.0</v>
      </c>
      <c r="W23" s="73">
        <v>0.0</v>
      </c>
      <c r="X23" s="73">
        <v>0.0</v>
      </c>
      <c r="Y23" s="73">
        <v>0.0</v>
      </c>
      <c r="Z23" s="73">
        <v>0.0</v>
      </c>
      <c r="AA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Z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1.0</v>
      </c>
      <c r="F25" s="73">
        <v>2.0</v>
      </c>
      <c r="G25" s="73">
        <v>0.0</v>
      </c>
      <c r="H25" s="73">
        <v>1.0</v>
      </c>
      <c r="I25" s="73">
        <v>2.0</v>
      </c>
      <c r="J25" s="73">
        <v>5.0</v>
      </c>
      <c r="K25" s="73">
        <v>4.0</v>
      </c>
      <c r="L25" s="73">
        <v>0.0</v>
      </c>
      <c r="M25" s="73">
        <v>1.0</v>
      </c>
      <c r="N25" s="73">
        <v>2.0</v>
      </c>
      <c r="O25" s="73">
        <v>0.0</v>
      </c>
      <c r="P25" s="73">
        <v>0.0</v>
      </c>
      <c r="Q25" s="73">
        <v>2.0</v>
      </c>
      <c r="R25" s="73">
        <v>2.0</v>
      </c>
      <c r="S25" s="73">
        <v>1.0</v>
      </c>
      <c r="T25" s="73">
        <v>3.0</v>
      </c>
      <c r="U25" s="73">
        <v>2.0</v>
      </c>
      <c r="V25" s="73">
        <v>4.0</v>
      </c>
      <c r="W25" s="73">
        <v>1.0</v>
      </c>
      <c r="X25" s="73">
        <v>2.0</v>
      </c>
      <c r="Y25" s="73">
        <v>0.0</v>
      </c>
      <c r="Z25" s="73">
        <v>2.0</v>
      </c>
      <c r="AA25" s="13">
        <f t="shared" si="3"/>
        <v>37</v>
      </c>
    </row>
    <row r="26" ht="12.75" customHeight="1">
      <c r="A26" s="33"/>
      <c r="B26" s="27"/>
      <c r="C26" s="34"/>
      <c r="D26" s="19" t="s">
        <v>13</v>
      </c>
      <c r="E26" s="73">
        <v>2.0</v>
      </c>
      <c r="F26" s="73">
        <v>1.0</v>
      </c>
      <c r="G26" s="73">
        <v>4.0</v>
      </c>
      <c r="H26" s="73">
        <v>0.0</v>
      </c>
      <c r="I26" s="73">
        <v>4.0</v>
      </c>
      <c r="J26" s="73">
        <v>5.0</v>
      </c>
      <c r="K26" s="73">
        <v>1.0</v>
      </c>
      <c r="L26" s="73">
        <v>1.0</v>
      </c>
      <c r="M26" s="73">
        <v>2.0</v>
      </c>
      <c r="N26" s="73">
        <v>3.0</v>
      </c>
      <c r="O26" s="73">
        <v>1.0</v>
      </c>
      <c r="P26" s="73">
        <v>1.0</v>
      </c>
      <c r="Q26" s="73">
        <v>1.0</v>
      </c>
      <c r="R26" s="73">
        <v>2.0</v>
      </c>
      <c r="S26" s="73">
        <v>4.0</v>
      </c>
      <c r="T26" s="73">
        <v>4.0</v>
      </c>
      <c r="U26" s="73">
        <v>3.0</v>
      </c>
      <c r="V26" s="73">
        <v>3.0</v>
      </c>
      <c r="W26" s="73">
        <v>2.0</v>
      </c>
      <c r="X26" s="73">
        <v>0.0</v>
      </c>
      <c r="Y26" s="73">
        <v>1.0</v>
      </c>
      <c r="Z26" s="73">
        <v>0.0</v>
      </c>
      <c r="AA26" s="13">
        <f t="shared" si="3"/>
        <v>45</v>
      </c>
    </row>
    <row r="27" ht="12.75" customHeight="1">
      <c r="A27" s="35"/>
      <c r="B27" s="28"/>
      <c r="C27" s="36"/>
      <c r="D27" s="13" t="s">
        <v>14</v>
      </c>
      <c r="E27" s="13">
        <f t="shared" ref="E27:Z27" si="6">SUM(E25:E26)</f>
        <v>3</v>
      </c>
      <c r="F27" s="13">
        <f t="shared" si="6"/>
        <v>3</v>
      </c>
      <c r="G27" s="13">
        <f t="shared" si="6"/>
        <v>4</v>
      </c>
      <c r="H27" s="13">
        <f t="shared" si="6"/>
        <v>1</v>
      </c>
      <c r="I27" s="13">
        <f t="shared" si="6"/>
        <v>6</v>
      </c>
      <c r="J27" s="13">
        <f t="shared" si="6"/>
        <v>10</v>
      </c>
      <c r="K27" s="13">
        <f t="shared" si="6"/>
        <v>5</v>
      </c>
      <c r="L27" s="13">
        <f t="shared" si="6"/>
        <v>1</v>
      </c>
      <c r="M27" s="13">
        <f t="shared" si="6"/>
        <v>3</v>
      </c>
      <c r="N27" s="13">
        <f t="shared" si="6"/>
        <v>5</v>
      </c>
      <c r="O27" s="13">
        <f t="shared" si="6"/>
        <v>1</v>
      </c>
      <c r="P27" s="13">
        <f t="shared" si="6"/>
        <v>1</v>
      </c>
      <c r="Q27" s="13">
        <f t="shared" si="6"/>
        <v>3</v>
      </c>
      <c r="R27" s="13">
        <f t="shared" si="6"/>
        <v>4</v>
      </c>
      <c r="S27" s="13">
        <f t="shared" si="6"/>
        <v>5</v>
      </c>
      <c r="T27" s="13">
        <f t="shared" si="6"/>
        <v>7</v>
      </c>
      <c r="U27" s="13">
        <f t="shared" si="6"/>
        <v>5</v>
      </c>
      <c r="V27" s="13">
        <f t="shared" si="6"/>
        <v>7</v>
      </c>
      <c r="W27" s="13">
        <f t="shared" si="6"/>
        <v>3</v>
      </c>
      <c r="X27" s="13">
        <f t="shared" si="6"/>
        <v>2</v>
      </c>
      <c r="Y27" s="13">
        <f t="shared" si="6"/>
        <v>1</v>
      </c>
      <c r="Z27" s="13">
        <f t="shared" si="6"/>
        <v>2</v>
      </c>
      <c r="AA27" s="13">
        <f t="shared" si="3"/>
        <v>82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Z28" si="7">SUM(E19,E22,E25)</f>
        <v>98</v>
      </c>
      <c r="F28" s="13">
        <f t="shared" si="7"/>
        <v>87</v>
      </c>
      <c r="G28" s="13">
        <f t="shared" si="7"/>
        <v>92</v>
      </c>
      <c r="H28" s="13">
        <f t="shared" si="7"/>
        <v>100</v>
      </c>
      <c r="I28" s="13">
        <f t="shared" si="7"/>
        <v>97</v>
      </c>
      <c r="J28" s="13">
        <f t="shared" si="7"/>
        <v>78</v>
      </c>
      <c r="K28" s="13">
        <f t="shared" si="7"/>
        <v>92</v>
      </c>
      <c r="L28" s="13">
        <f t="shared" si="7"/>
        <v>104</v>
      </c>
      <c r="M28" s="13">
        <f t="shared" si="7"/>
        <v>102</v>
      </c>
      <c r="N28" s="13">
        <f t="shared" si="7"/>
        <v>111</v>
      </c>
      <c r="O28" s="13">
        <f t="shared" si="7"/>
        <v>114</v>
      </c>
      <c r="P28" s="13">
        <f t="shared" si="7"/>
        <v>87</v>
      </c>
      <c r="Q28" s="13">
        <f t="shared" si="7"/>
        <v>81</v>
      </c>
      <c r="R28" s="13">
        <f t="shared" si="7"/>
        <v>111</v>
      </c>
      <c r="S28" s="13">
        <f t="shared" si="7"/>
        <v>78</v>
      </c>
      <c r="T28" s="13">
        <f t="shared" si="7"/>
        <v>90</v>
      </c>
      <c r="U28" s="13">
        <f t="shared" si="7"/>
        <v>83</v>
      </c>
      <c r="V28" s="13">
        <f t="shared" si="7"/>
        <v>99</v>
      </c>
      <c r="W28" s="13">
        <f t="shared" si="7"/>
        <v>97</v>
      </c>
      <c r="X28" s="13">
        <f t="shared" si="7"/>
        <v>83</v>
      </c>
      <c r="Y28" s="13">
        <f t="shared" si="7"/>
        <v>85</v>
      </c>
      <c r="Z28" s="13">
        <f t="shared" si="7"/>
        <v>110</v>
      </c>
      <c r="AA28" s="13">
        <f t="shared" si="3"/>
        <v>2079</v>
      </c>
    </row>
    <row r="29" ht="12.75" customHeight="1">
      <c r="A29" s="35"/>
      <c r="B29" s="27"/>
      <c r="C29" s="34"/>
      <c r="D29" s="13" t="s">
        <v>13</v>
      </c>
      <c r="E29" s="13">
        <f t="shared" ref="E29:Z29" si="8">SUM(E20,E23,E26)</f>
        <v>91</v>
      </c>
      <c r="F29" s="13">
        <f t="shared" si="8"/>
        <v>90</v>
      </c>
      <c r="G29" s="13">
        <f t="shared" si="8"/>
        <v>92</v>
      </c>
      <c r="H29" s="13">
        <f t="shared" si="8"/>
        <v>109</v>
      </c>
      <c r="I29" s="13">
        <f t="shared" si="8"/>
        <v>102</v>
      </c>
      <c r="J29" s="13">
        <f t="shared" si="8"/>
        <v>83</v>
      </c>
      <c r="K29" s="13">
        <f t="shared" si="8"/>
        <v>99</v>
      </c>
      <c r="L29" s="13">
        <f t="shared" si="8"/>
        <v>109</v>
      </c>
      <c r="M29" s="13">
        <f t="shared" si="8"/>
        <v>111</v>
      </c>
      <c r="N29" s="13">
        <f t="shared" si="8"/>
        <v>112</v>
      </c>
      <c r="O29" s="13">
        <f t="shared" si="8"/>
        <v>111</v>
      </c>
      <c r="P29" s="13">
        <f t="shared" si="8"/>
        <v>78</v>
      </c>
      <c r="Q29" s="13">
        <f t="shared" si="8"/>
        <v>87</v>
      </c>
      <c r="R29" s="13">
        <f t="shared" si="8"/>
        <v>106</v>
      </c>
      <c r="S29" s="13">
        <f t="shared" si="8"/>
        <v>78</v>
      </c>
      <c r="T29" s="13">
        <f t="shared" si="8"/>
        <v>88</v>
      </c>
      <c r="U29" s="13">
        <f t="shared" si="8"/>
        <v>84</v>
      </c>
      <c r="V29" s="13">
        <f t="shared" si="8"/>
        <v>95</v>
      </c>
      <c r="W29" s="13">
        <f t="shared" si="8"/>
        <v>94</v>
      </c>
      <c r="X29" s="13">
        <f t="shared" si="8"/>
        <v>105</v>
      </c>
      <c r="Y29" s="13">
        <f t="shared" si="8"/>
        <v>81</v>
      </c>
      <c r="Z29" s="13">
        <f t="shared" si="8"/>
        <v>104</v>
      </c>
      <c r="AA29" s="13">
        <f t="shared" si="3"/>
        <v>2109</v>
      </c>
    </row>
    <row r="30" ht="12.75" customHeight="1">
      <c r="A30" s="35"/>
      <c r="B30" s="28"/>
      <c r="C30" s="36"/>
      <c r="D30" s="13" t="s">
        <v>14</v>
      </c>
      <c r="E30" s="13">
        <f t="shared" ref="E30:Z30" si="9">SUM(E28:E29)</f>
        <v>189</v>
      </c>
      <c r="F30" s="13">
        <f t="shared" si="9"/>
        <v>177</v>
      </c>
      <c r="G30" s="13">
        <f t="shared" si="9"/>
        <v>184</v>
      </c>
      <c r="H30" s="13">
        <f t="shared" si="9"/>
        <v>209</v>
      </c>
      <c r="I30" s="13">
        <f t="shared" si="9"/>
        <v>199</v>
      </c>
      <c r="J30" s="13">
        <f t="shared" si="9"/>
        <v>161</v>
      </c>
      <c r="K30" s="13">
        <f t="shared" si="9"/>
        <v>191</v>
      </c>
      <c r="L30" s="13">
        <f t="shared" si="9"/>
        <v>213</v>
      </c>
      <c r="M30" s="13">
        <f t="shared" si="9"/>
        <v>213</v>
      </c>
      <c r="N30" s="13">
        <f t="shared" si="9"/>
        <v>223</v>
      </c>
      <c r="O30" s="13">
        <f t="shared" si="9"/>
        <v>225</v>
      </c>
      <c r="P30" s="13">
        <f t="shared" si="9"/>
        <v>165</v>
      </c>
      <c r="Q30" s="13">
        <f t="shared" si="9"/>
        <v>168</v>
      </c>
      <c r="R30" s="13">
        <f t="shared" si="9"/>
        <v>217</v>
      </c>
      <c r="S30" s="13">
        <f t="shared" si="9"/>
        <v>156</v>
      </c>
      <c r="T30" s="13">
        <f t="shared" si="9"/>
        <v>178</v>
      </c>
      <c r="U30" s="13">
        <f t="shared" si="9"/>
        <v>167</v>
      </c>
      <c r="V30" s="13">
        <f t="shared" si="9"/>
        <v>194</v>
      </c>
      <c r="W30" s="13">
        <f t="shared" si="9"/>
        <v>191</v>
      </c>
      <c r="X30" s="13">
        <f t="shared" si="9"/>
        <v>188</v>
      </c>
      <c r="Y30" s="13">
        <f t="shared" si="9"/>
        <v>166</v>
      </c>
      <c r="Z30" s="13">
        <f t="shared" si="9"/>
        <v>214</v>
      </c>
      <c r="AA30" s="13">
        <f t="shared" si="3"/>
        <v>4188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19"/>
      <c r="P31" s="19"/>
      <c r="Q31" s="19"/>
      <c r="R31" s="19"/>
      <c r="S31" s="19"/>
      <c r="T31" s="19"/>
      <c r="U31" s="19"/>
      <c r="V31" s="19"/>
      <c r="W31" s="19"/>
      <c r="X31" s="74"/>
      <c r="Y31" s="19"/>
      <c r="Z31" s="19"/>
      <c r="AA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13"/>
      <c r="P32" s="13"/>
      <c r="Q32" s="13"/>
      <c r="R32" s="13"/>
      <c r="S32" s="13"/>
      <c r="T32" s="13"/>
      <c r="U32" s="13"/>
      <c r="V32" s="13"/>
      <c r="W32" s="13"/>
      <c r="X32" s="76"/>
      <c r="Y32" s="13"/>
      <c r="Z32" s="13"/>
      <c r="AA32" s="75"/>
    </row>
    <row r="33" ht="12.75" customHeight="1">
      <c r="A33" s="19">
        <v>1.0</v>
      </c>
      <c r="B33" s="20" t="s">
        <v>27</v>
      </c>
      <c r="C33" s="15"/>
      <c r="D33" s="16"/>
      <c r="E33" s="73">
        <v>250.0</v>
      </c>
      <c r="F33" s="73">
        <v>238.0</v>
      </c>
      <c r="G33" s="73">
        <v>259.0</v>
      </c>
      <c r="H33" s="73">
        <v>279.0</v>
      </c>
      <c r="I33" s="73">
        <v>272.0</v>
      </c>
      <c r="J33" s="73">
        <v>214.0</v>
      </c>
      <c r="K33" s="73">
        <v>254.0</v>
      </c>
      <c r="L33" s="73">
        <v>300.0</v>
      </c>
      <c r="M33" s="73">
        <v>304.0</v>
      </c>
      <c r="N33" s="73">
        <v>305.0</v>
      </c>
      <c r="O33" s="73">
        <v>316.0</v>
      </c>
      <c r="P33" s="73">
        <v>255.0</v>
      </c>
      <c r="Q33" s="73">
        <v>251.0</v>
      </c>
      <c r="R33" s="73">
        <v>281.0</v>
      </c>
      <c r="S33" s="73">
        <v>255.0</v>
      </c>
      <c r="T33" s="73">
        <v>248.0</v>
      </c>
      <c r="U33" s="73">
        <v>232.0</v>
      </c>
      <c r="V33" s="73">
        <v>257.0</v>
      </c>
      <c r="W33" s="73">
        <v>273.0</v>
      </c>
      <c r="X33" s="73">
        <v>257.0</v>
      </c>
      <c r="Y33" s="73">
        <v>247.0</v>
      </c>
      <c r="Z33" s="73">
        <v>285.0</v>
      </c>
      <c r="AA33" s="13">
        <f t="shared" ref="AA33:AA36" si="10">SUM(E33:Z33)</f>
        <v>5832</v>
      </c>
    </row>
    <row r="34" ht="12.75" customHeight="1">
      <c r="A34" s="19">
        <v>2.0</v>
      </c>
      <c r="B34" s="20" t="s">
        <v>28</v>
      </c>
      <c r="C34" s="15"/>
      <c r="D34" s="16"/>
      <c r="E34" s="77">
        <v>189.0</v>
      </c>
      <c r="F34" s="77">
        <v>177.0</v>
      </c>
      <c r="G34" s="77">
        <v>184.0</v>
      </c>
      <c r="H34" s="77">
        <v>209.0</v>
      </c>
      <c r="I34" s="77">
        <v>199.0</v>
      </c>
      <c r="J34" s="77">
        <v>161.0</v>
      </c>
      <c r="K34" s="77">
        <v>191.0</v>
      </c>
      <c r="L34" s="77">
        <v>213.0</v>
      </c>
      <c r="M34" s="77">
        <v>213.0</v>
      </c>
      <c r="N34" s="77">
        <v>223.0</v>
      </c>
      <c r="O34" s="77">
        <v>225.0</v>
      </c>
      <c r="P34" s="77">
        <v>165.0</v>
      </c>
      <c r="Q34" s="77">
        <v>168.0</v>
      </c>
      <c r="R34" s="77">
        <v>217.0</v>
      </c>
      <c r="S34" s="77">
        <v>156.0</v>
      </c>
      <c r="T34" s="77">
        <v>178.0</v>
      </c>
      <c r="U34" s="77">
        <v>167.0</v>
      </c>
      <c r="V34" s="77">
        <v>194.0</v>
      </c>
      <c r="W34" s="77">
        <v>191.0</v>
      </c>
      <c r="X34" s="77">
        <v>188.0</v>
      </c>
      <c r="Y34" s="77">
        <v>166.0</v>
      </c>
      <c r="Z34" s="77">
        <v>214.0</v>
      </c>
      <c r="AA34" s="13">
        <f t="shared" si="10"/>
        <v>4188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0.0</v>
      </c>
      <c r="H35" s="73">
        <v>2.0</v>
      </c>
      <c r="I35" s="73">
        <v>0.0</v>
      </c>
      <c r="J35" s="73">
        <v>0.0</v>
      </c>
      <c r="K35" s="73">
        <v>1.0</v>
      </c>
      <c r="L35" s="73">
        <v>0.0</v>
      </c>
      <c r="M35" s="73">
        <v>0.0</v>
      </c>
      <c r="N35" s="73">
        <v>0.0</v>
      </c>
      <c r="O35" s="73">
        <v>0.0</v>
      </c>
      <c r="P35" s="73">
        <v>0.0</v>
      </c>
      <c r="Q35" s="73">
        <v>0.0</v>
      </c>
      <c r="R35" s="73">
        <v>0.0</v>
      </c>
      <c r="S35" s="73">
        <v>0.0</v>
      </c>
      <c r="T35" s="73">
        <v>0.0</v>
      </c>
      <c r="U35" s="73">
        <v>0.0</v>
      </c>
      <c r="V35" s="73">
        <v>0.0</v>
      </c>
      <c r="W35" s="73">
        <v>2.0</v>
      </c>
      <c r="X35" s="73">
        <v>0.0</v>
      </c>
      <c r="Y35" s="73">
        <v>0.0</v>
      </c>
      <c r="Z35" s="73">
        <v>1.0</v>
      </c>
      <c r="AA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61</v>
      </c>
      <c r="F36" s="13">
        <f t="shared" si="11"/>
        <v>61</v>
      </c>
      <c r="G36" s="13">
        <f t="shared" si="11"/>
        <v>75</v>
      </c>
      <c r="H36" s="13">
        <f t="shared" si="11"/>
        <v>68</v>
      </c>
      <c r="I36" s="13">
        <f t="shared" si="11"/>
        <v>73</v>
      </c>
      <c r="J36" s="13">
        <f t="shared" si="11"/>
        <v>53</v>
      </c>
      <c r="K36" s="13">
        <f t="shared" si="11"/>
        <v>62</v>
      </c>
      <c r="L36" s="13">
        <f t="shared" si="11"/>
        <v>87</v>
      </c>
      <c r="M36" s="13">
        <f t="shared" si="11"/>
        <v>91</v>
      </c>
      <c r="N36" s="13">
        <f t="shared" si="11"/>
        <v>82</v>
      </c>
      <c r="O36" s="13">
        <f t="shared" si="11"/>
        <v>91</v>
      </c>
      <c r="P36" s="13">
        <f t="shared" si="11"/>
        <v>90</v>
      </c>
      <c r="Q36" s="13">
        <f t="shared" si="11"/>
        <v>83</v>
      </c>
      <c r="R36" s="13">
        <f t="shared" si="11"/>
        <v>64</v>
      </c>
      <c r="S36" s="13">
        <f t="shared" si="11"/>
        <v>99</v>
      </c>
      <c r="T36" s="13">
        <f t="shared" si="11"/>
        <v>70</v>
      </c>
      <c r="U36" s="13">
        <f t="shared" si="11"/>
        <v>65</v>
      </c>
      <c r="V36" s="13">
        <f t="shared" si="11"/>
        <v>63</v>
      </c>
      <c r="W36" s="13">
        <f t="shared" si="11"/>
        <v>80</v>
      </c>
      <c r="X36" s="13">
        <f t="shared" si="11"/>
        <v>69</v>
      </c>
      <c r="Y36" s="13">
        <f t="shared" si="11"/>
        <v>81</v>
      </c>
      <c r="Z36" s="13">
        <f t="shared" si="11"/>
        <v>70</v>
      </c>
      <c r="AA36" s="13">
        <f t="shared" si="10"/>
        <v>1638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13"/>
      <c r="P38" s="13"/>
      <c r="Q38" s="13"/>
      <c r="R38" s="13"/>
      <c r="S38" s="13"/>
      <c r="T38" s="13"/>
      <c r="U38" s="13"/>
      <c r="V38" s="13"/>
      <c r="W38" s="13"/>
      <c r="X38" s="76"/>
      <c r="Y38" s="13"/>
      <c r="Z38" s="13"/>
      <c r="AA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73">
        <v>1.0</v>
      </c>
      <c r="V39" s="73">
        <v>0.0</v>
      </c>
      <c r="W39" s="73">
        <v>0.0</v>
      </c>
      <c r="X39" s="73">
        <v>0.0</v>
      </c>
      <c r="Y39" s="73">
        <v>0.0</v>
      </c>
      <c r="Z39" s="73">
        <v>0.0</v>
      </c>
      <c r="AA39" s="13">
        <f t="shared" ref="AA39:AA41" si="12">SUM(E39:Z39)</f>
        <v>1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0.0</v>
      </c>
      <c r="T40" s="73">
        <v>0.0</v>
      </c>
      <c r="U40" s="73">
        <v>1.0</v>
      </c>
      <c r="V40" s="73">
        <v>0.0</v>
      </c>
      <c r="W40" s="73">
        <v>0.0</v>
      </c>
      <c r="X40" s="73">
        <v>0.0</v>
      </c>
      <c r="Y40" s="73">
        <v>0.0</v>
      </c>
      <c r="Z40" s="73">
        <v>0.0</v>
      </c>
      <c r="AA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Z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2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13"/>
      <c r="Q43" s="13"/>
      <c r="R43" s="13"/>
      <c r="S43" s="13"/>
      <c r="T43" s="13"/>
      <c r="U43" s="13"/>
      <c r="V43" s="13"/>
      <c r="W43" s="13"/>
      <c r="X43" s="76"/>
      <c r="Y43" s="13"/>
      <c r="Z43" s="13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19"/>
      <c r="Q44" s="19"/>
      <c r="R44" s="19"/>
      <c r="S44" s="19"/>
      <c r="T44" s="19"/>
      <c r="U44" s="19"/>
      <c r="V44" s="19"/>
      <c r="W44" s="19"/>
      <c r="X44" s="74"/>
      <c r="Y44" s="19"/>
      <c r="Z44" s="19"/>
      <c r="AA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4.0</v>
      </c>
      <c r="F45" s="73">
        <v>0.0</v>
      </c>
      <c r="G45" s="73">
        <v>5.0</v>
      </c>
      <c r="H45" s="73">
        <v>3.0</v>
      </c>
      <c r="I45" s="73">
        <v>8.0</v>
      </c>
      <c r="J45" s="73">
        <v>2.0</v>
      </c>
      <c r="K45" s="73">
        <v>1.0</v>
      </c>
      <c r="L45" s="73">
        <v>5.0</v>
      </c>
      <c r="M45" s="73">
        <v>4.0</v>
      </c>
      <c r="N45" s="73">
        <v>3.0</v>
      </c>
      <c r="O45" s="73">
        <v>2.0</v>
      </c>
      <c r="P45" s="73">
        <v>4.0</v>
      </c>
      <c r="Q45" s="73">
        <v>5.0</v>
      </c>
      <c r="R45" s="73">
        <v>9.0</v>
      </c>
      <c r="S45" s="73">
        <v>5.0</v>
      </c>
      <c r="T45" s="73">
        <v>5.0</v>
      </c>
      <c r="U45" s="73">
        <v>6.0</v>
      </c>
      <c r="V45" s="73">
        <v>7.0</v>
      </c>
      <c r="W45" s="73">
        <v>5.0</v>
      </c>
      <c r="X45" s="73">
        <v>6.0</v>
      </c>
      <c r="Y45" s="73">
        <v>6.0</v>
      </c>
      <c r="Z45" s="73">
        <v>4.0</v>
      </c>
      <c r="AA45" s="13">
        <f t="shared" ref="AA45:AA54" si="14">SUM(E45:Z45)</f>
        <v>99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12.0</v>
      </c>
      <c r="F46" s="73">
        <v>6.0</v>
      </c>
      <c r="G46" s="73">
        <v>7.0</v>
      </c>
      <c r="H46" s="73">
        <v>13.0</v>
      </c>
      <c r="I46" s="73">
        <v>7.0</v>
      </c>
      <c r="J46" s="73">
        <v>1.0</v>
      </c>
      <c r="K46" s="73">
        <v>5.0</v>
      </c>
      <c r="L46" s="73">
        <v>13.0</v>
      </c>
      <c r="M46" s="73">
        <v>10.0</v>
      </c>
      <c r="N46" s="73">
        <v>0.0</v>
      </c>
      <c r="O46" s="73">
        <v>10.0</v>
      </c>
      <c r="P46" s="73">
        <v>3.0</v>
      </c>
      <c r="Q46" s="73">
        <v>4.0</v>
      </c>
      <c r="R46" s="73">
        <v>33.0</v>
      </c>
      <c r="S46" s="73">
        <v>4.0</v>
      </c>
      <c r="T46" s="73">
        <v>19.0</v>
      </c>
      <c r="U46" s="73">
        <v>23.0</v>
      </c>
      <c r="V46" s="73">
        <v>12.0</v>
      </c>
      <c r="W46" s="73">
        <v>22.0</v>
      </c>
      <c r="X46" s="73">
        <v>8.0</v>
      </c>
      <c r="Y46" s="73">
        <v>9.0</v>
      </c>
      <c r="Z46" s="73">
        <v>9.0</v>
      </c>
      <c r="AA46" s="13">
        <f t="shared" si="14"/>
        <v>230</v>
      </c>
    </row>
    <row r="47" ht="12.75" customHeight="1">
      <c r="A47" s="18"/>
      <c r="B47" s="49"/>
      <c r="C47" s="50" t="s">
        <v>41</v>
      </c>
      <c r="D47" s="51"/>
      <c r="E47" s="73">
        <v>2.0</v>
      </c>
      <c r="F47" s="73">
        <v>1.0</v>
      </c>
      <c r="G47" s="73">
        <v>2.0</v>
      </c>
      <c r="H47" s="73">
        <v>2.0</v>
      </c>
      <c r="I47" s="73">
        <v>0.0</v>
      </c>
      <c r="J47" s="73">
        <v>0.0</v>
      </c>
      <c r="K47" s="73">
        <v>0.0</v>
      </c>
      <c r="L47" s="73">
        <v>2.0</v>
      </c>
      <c r="M47" s="73">
        <v>2.0</v>
      </c>
      <c r="N47" s="73">
        <v>2.0</v>
      </c>
      <c r="O47" s="73">
        <v>1.0</v>
      </c>
      <c r="P47" s="73">
        <v>0.0</v>
      </c>
      <c r="Q47" s="73">
        <v>0.0</v>
      </c>
      <c r="R47" s="73">
        <v>0.0</v>
      </c>
      <c r="S47" s="73">
        <v>0.0</v>
      </c>
      <c r="T47" s="73">
        <v>5.0</v>
      </c>
      <c r="U47" s="73">
        <v>3.0</v>
      </c>
      <c r="V47" s="73">
        <v>2.0</v>
      </c>
      <c r="W47" s="73">
        <v>0.0</v>
      </c>
      <c r="X47" s="73">
        <v>0.0</v>
      </c>
      <c r="Y47" s="73">
        <v>0.0</v>
      </c>
      <c r="Z47" s="73">
        <v>6.0</v>
      </c>
      <c r="AA47" s="13">
        <f t="shared" si="14"/>
        <v>30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2.0</v>
      </c>
      <c r="G48" s="73">
        <v>0.0</v>
      </c>
      <c r="H48" s="73">
        <v>0.0</v>
      </c>
      <c r="I48" s="73">
        <v>0.0</v>
      </c>
      <c r="J48" s="73">
        <v>0.0</v>
      </c>
      <c r="K48" s="73">
        <v>0.0</v>
      </c>
      <c r="L48" s="73">
        <v>1.0</v>
      </c>
      <c r="M48" s="73">
        <v>1.0</v>
      </c>
      <c r="N48" s="73">
        <v>1.0</v>
      </c>
      <c r="O48" s="73">
        <v>0.0</v>
      </c>
      <c r="P48" s="73">
        <v>2.0</v>
      </c>
      <c r="Q48" s="73">
        <v>0.0</v>
      </c>
      <c r="R48" s="73">
        <v>0.0</v>
      </c>
      <c r="S48" s="73">
        <v>0.0</v>
      </c>
      <c r="T48" s="73">
        <v>4.0</v>
      </c>
      <c r="U48" s="73">
        <v>1.0</v>
      </c>
      <c r="V48" s="73">
        <v>0.0</v>
      </c>
      <c r="W48" s="73">
        <v>0.0</v>
      </c>
      <c r="X48" s="73">
        <v>0.0</v>
      </c>
      <c r="Y48" s="73">
        <v>1.0</v>
      </c>
      <c r="Z48" s="73">
        <v>2.0</v>
      </c>
      <c r="AA48" s="13">
        <f t="shared" si="14"/>
        <v>15</v>
      </c>
    </row>
    <row r="49" ht="12.75" customHeight="1">
      <c r="A49" s="18"/>
      <c r="B49" s="49"/>
      <c r="C49" s="50" t="s">
        <v>43</v>
      </c>
      <c r="D49" s="51"/>
      <c r="E49" s="73">
        <v>1.0</v>
      </c>
      <c r="F49" s="73">
        <v>2.0</v>
      </c>
      <c r="G49" s="73">
        <v>1.0</v>
      </c>
      <c r="H49" s="73">
        <v>0.0</v>
      </c>
      <c r="I49" s="73">
        <v>4.0</v>
      </c>
      <c r="J49" s="73">
        <v>1.0</v>
      </c>
      <c r="K49" s="73">
        <v>1.0</v>
      </c>
      <c r="L49" s="73">
        <v>0.0</v>
      </c>
      <c r="M49" s="73">
        <v>1.0</v>
      </c>
      <c r="N49" s="73">
        <v>1.0</v>
      </c>
      <c r="O49" s="73">
        <v>1.0</v>
      </c>
      <c r="P49" s="73">
        <v>0.0</v>
      </c>
      <c r="Q49" s="73">
        <v>1.0</v>
      </c>
      <c r="R49" s="73">
        <v>1.0</v>
      </c>
      <c r="S49" s="73">
        <v>2.0</v>
      </c>
      <c r="T49" s="73">
        <v>3.0</v>
      </c>
      <c r="U49" s="73">
        <v>0.0</v>
      </c>
      <c r="V49" s="73">
        <v>3.0</v>
      </c>
      <c r="W49" s="73">
        <v>2.0</v>
      </c>
      <c r="X49" s="73">
        <v>1.0</v>
      </c>
      <c r="Y49" s="73">
        <v>3.0</v>
      </c>
      <c r="Z49" s="73">
        <v>2.0</v>
      </c>
      <c r="AA49" s="13">
        <f t="shared" si="14"/>
        <v>31</v>
      </c>
    </row>
    <row r="50" ht="12.75" customHeight="1">
      <c r="A50" s="18"/>
      <c r="B50" s="49"/>
      <c r="C50" s="50" t="s">
        <v>44</v>
      </c>
      <c r="D50" s="51"/>
      <c r="E50" s="73">
        <v>0.0</v>
      </c>
      <c r="F50" s="73">
        <v>0.0</v>
      </c>
      <c r="G50" s="73">
        <v>0.0</v>
      </c>
      <c r="H50" s="73">
        <v>0.0</v>
      </c>
      <c r="I50" s="73">
        <v>1.0</v>
      </c>
      <c r="J50" s="73">
        <v>0.0</v>
      </c>
      <c r="K50" s="73">
        <v>0.0</v>
      </c>
      <c r="L50" s="73">
        <v>0.0</v>
      </c>
      <c r="M50" s="73">
        <v>0.0</v>
      </c>
      <c r="N50" s="73">
        <v>0.0</v>
      </c>
      <c r="O50" s="73">
        <v>0.0</v>
      </c>
      <c r="P50" s="73">
        <v>0.0</v>
      </c>
      <c r="Q50" s="73">
        <v>0.0</v>
      </c>
      <c r="R50" s="73">
        <v>1.0</v>
      </c>
      <c r="S50" s="73">
        <v>0.0</v>
      </c>
      <c r="T50" s="73">
        <v>2.0</v>
      </c>
      <c r="U50" s="73">
        <v>0.0</v>
      </c>
      <c r="V50" s="73">
        <v>0.0</v>
      </c>
      <c r="W50" s="73">
        <v>0.0</v>
      </c>
      <c r="X50" s="73">
        <v>0.0</v>
      </c>
      <c r="Y50" s="73">
        <v>0.0</v>
      </c>
      <c r="Z50" s="73">
        <v>0.0</v>
      </c>
      <c r="AA50" s="13">
        <f t="shared" si="14"/>
        <v>4</v>
      </c>
    </row>
    <row r="51" ht="12.75" customHeight="1">
      <c r="A51" s="18"/>
      <c r="B51" s="49"/>
      <c r="C51" s="50" t="s">
        <v>45</v>
      </c>
      <c r="D51" s="51"/>
      <c r="E51" s="73">
        <v>0.0</v>
      </c>
      <c r="F51" s="73">
        <v>1.0</v>
      </c>
      <c r="G51" s="73">
        <v>0.0</v>
      </c>
      <c r="H51" s="73">
        <v>0.0</v>
      </c>
      <c r="I51" s="73">
        <v>0.0</v>
      </c>
      <c r="J51" s="73">
        <v>0.0</v>
      </c>
      <c r="K51" s="73">
        <v>0.0</v>
      </c>
      <c r="L51" s="73">
        <v>0.0</v>
      </c>
      <c r="M51" s="73">
        <v>1.0</v>
      </c>
      <c r="N51" s="73">
        <v>1.0</v>
      </c>
      <c r="O51" s="73">
        <v>0.0</v>
      </c>
      <c r="P51" s="73">
        <v>1.0</v>
      </c>
      <c r="Q51" s="73">
        <v>1.0</v>
      </c>
      <c r="R51" s="73">
        <v>0.0</v>
      </c>
      <c r="S51" s="73">
        <v>0.0</v>
      </c>
      <c r="T51" s="73">
        <v>1.0</v>
      </c>
      <c r="U51" s="73">
        <v>2.0</v>
      </c>
      <c r="V51" s="73">
        <v>2.0</v>
      </c>
      <c r="W51" s="73">
        <v>3.0</v>
      </c>
      <c r="X51" s="73">
        <v>1.0</v>
      </c>
      <c r="Y51" s="73">
        <v>0.0</v>
      </c>
      <c r="Z51" s="73">
        <v>0.0</v>
      </c>
      <c r="AA51" s="13">
        <f t="shared" si="14"/>
        <v>14</v>
      </c>
    </row>
    <row r="52" ht="12.75" customHeight="1">
      <c r="A52" s="18"/>
      <c r="B52" s="49"/>
      <c r="C52" s="50" t="s">
        <v>46</v>
      </c>
      <c r="D52" s="51"/>
      <c r="E52" s="73">
        <v>1.0</v>
      </c>
      <c r="F52" s="73">
        <v>0.0</v>
      </c>
      <c r="G52" s="73">
        <v>0.0</v>
      </c>
      <c r="H52" s="73">
        <v>1.0</v>
      </c>
      <c r="I52" s="73">
        <v>0.0</v>
      </c>
      <c r="J52" s="73">
        <v>0.0</v>
      </c>
      <c r="K52" s="73">
        <v>0.0</v>
      </c>
      <c r="L52" s="73">
        <v>0.0</v>
      </c>
      <c r="M52" s="73">
        <v>0.0</v>
      </c>
      <c r="N52" s="73">
        <v>0.0</v>
      </c>
      <c r="O52" s="73">
        <v>0.0</v>
      </c>
      <c r="P52" s="73">
        <v>0.0</v>
      </c>
      <c r="Q52" s="73">
        <v>0.0</v>
      </c>
      <c r="R52" s="73">
        <v>0.0</v>
      </c>
      <c r="S52" s="73">
        <v>1.0</v>
      </c>
      <c r="T52" s="73">
        <v>0.0</v>
      </c>
      <c r="U52" s="73">
        <v>1.0</v>
      </c>
      <c r="V52" s="73">
        <v>0.0</v>
      </c>
      <c r="W52" s="73">
        <v>0.0</v>
      </c>
      <c r="X52" s="73">
        <v>1.0</v>
      </c>
      <c r="Y52" s="73">
        <v>1.0</v>
      </c>
      <c r="Z52" s="73">
        <v>0.0</v>
      </c>
      <c r="AA52" s="13">
        <f t="shared" si="14"/>
        <v>6</v>
      </c>
    </row>
    <row r="53" ht="12.75" customHeight="1">
      <c r="A53" s="18"/>
      <c r="B53" s="49"/>
      <c r="C53" s="50" t="s">
        <v>47</v>
      </c>
      <c r="D53" s="56"/>
      <c r="E53" s="73">
        <v>0.0</v>
      </c>
      <c r="F53" s="73">
        <v>0.0</v>
      </c>
      <c r="G53" s="73">
        <v>0.0</v>
      </c>
      <c r="H53" s="73">
        <v>0.0</v>
      </c>
      <c r="I53" s="73">
        <v>0.0</v>
      </c>
      <c r="J53" s="73">
        <v>0.0</v>
      </c>
      <c r="K53" s="73">
        <v>0.0</v>
      </c>
      <c r="L53" s="73">
        <v>0.0</v>
      </c>
      <c r="M53" s="73">
        <v>0.0</v>
      </c>
      <c r="N53" s="73">
        <v>1.0</v>
      </c>
      <c r="O53" s="73">
        <v>0.0</v>
      </c>
      <c r="P53" s="73">
        <v>0.0</v>
      </c>
      <c r="Q53" s="73">
        <v>0.0</v>
      </c>
      <c r="R53" s="73">
        <v>0.0</v>
      </c>
      <c r="S53" s="73">
        <v>0.0</v>
      </c>
      <c r="T53" s="73">
        <v>0.0</v>
      </c>
      <c r="U53" s="73">
        <v>0.0</v>
      </c>
      <c r="V53" s="73">
        <v>0.0</v>
      </c>
      <c r="W53" s="73">
        <v>0.0</v>
      </c>
      <c r="X53" s="73">
        <v>1.0</v>
      </c>
      <c r="Y53" s="73">
        <v>1.0</v>
      </c>
      <c r="Z53" s="73">
        <v>0.0</v>
      </c>
      <c r="AA53" s="13">
        <f t="shared" si="14"/>
        <v>3</v>
      </c>
    </row>
    <row r="54" ht="12.75" customHeight="1">
      <c r="A54" s="18"/>
      <c r="B54" s="49"/>
      <c r="C54" s="50" t="s">
        <v>48</v>
      </c>
      <c r="D54" s="51"/>
      <c r="E54" s="73">
        <v>0.0</v>
      </c>
      <c r="F54" s="73">
        <v>1.0</v>
      </c>
      <c r="G54" s="73">
        <v>0.0</v>
      </c>
      <c r="H54" s="73">
        <v>0.0</v>
      </c>
      <c r="I54" s="73">
        <v>1.0</v>
      </c>
      <c r="J54" s="73">
        <v>0.0</v>
      </c>
      <c r="K54" s="73">
        <v>0.0</v>
      </c>
      <c r="L54" s="73">
        <v>0.0</v>
      </c>
      <c r="M54" s="73">
        <v>2.0</v>
      </c>
      <c r="N54" s="73">
        <v>1.0</v>
      </c>
      <c r="O54" s="73">
        <v>0.0</v>
      </c>
      <c r="P54" s="73">
        <v>0.0</v>
      </c>
      <c r="Q54" s="73">
        <v>0.0</v>
      </c>
      <c r="R54" s="73">
        <v>0.0</v>
      </c>
      <c r="S54" s="73">
        <v>0.0</v>
      </c>
      <c r="T54" s="73">
        <v>1.0</v>
      </c>
      <c r="U54" s="73">
        <v>1.0</v>
      </c>
      <c r="V54" s="73">
        <v>0.0</v>
      </c>
      <c r="W54" s="73">
        <v>0.0</v>
      </c>
      <c r="X54" s="73">
        <v>3.0</v>
      </c>
      <c r="Y54" s="73">
        <v>1.0</v>
      </c>
      <c r="Z54" s="73">
        <v>0.0</v>
      </c>
      <c r="AA54" s="13">
        <f t="shared" si="14"/>
        <v>11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A55" si="15">SUM(E45:E54)</f>
        <v>20</v>
      </c>
      <c r="F55" s="13">
        <f t="shared" si="15"/>
        <v>13</v>
      </c>
      <c r="G55" s="13">
        <f t="shared" si="15"/>
        <v>15</v>
      </c>
      <c r="H55" s="13">
        <f t="shared" si="15"/>
        <v>19</v>
      </c>
      <c r="I55" s="13">
        <f t="shared" si="15"/>
        <v>21</v>
      </c>
      <c r="J55" s="13">
        <f t="shared" si="15"/>
        <v>4</v>
      </c>
      <c r="K55" s="13">
        <f t="shared" si="15"/>
        <v>7</v>
      </c>
      <c r="L55" s="13">
        <f t="shared" si="15"/>
        <v>21</v>
      </c>
      <c r="M55" s="13">
        <f t="shared" si="15"/>
        <v>21</v>
      </c>
      <c r="N55" s="13">
        <f t="shared" si="15"/>
        <v>10</v>
      </c>
      <c r="O55" s="13">
        <f t="shared" si="15"/>
        <v>14</v>
      </c>
      <c r="P55" s="13">
        <f t="shared" si="15"/>
        <v>10</v>
      </c>
      <c r="Q55" s="13">
        <f t="shared" si="15"/>
        <v>11</v>
      </c>
      <c r="R55" s="13">
        <f t="shared" si="15"/>
        <v>44</v>
      </c>
      <c r="S55" s="13">
        <f t="shared" si="15"/>
        <v>12</v>
      </c>
      <c r="T55" s="13">
        <f t="shared" si="15"/>
        <v>40</v>
      </c>
      <c r="U55" s="13">
        <f t="shared" si="15"/>
        <v>37</v>
      </c>
      <c r="V55" s="13">
        <f t="shared" si="15"/>
        <v>26</v>
      </c>
      <c r="W55" s="13">
        <f t="shared" si="15"/>
        <v>32</v>
      </c>
      <c r="X55" s="13">
        <f t="shared" si="15"/>
        <v>21</v>
      </c>
      <c r="Y55" s="13">
        <f t="shared" si="15"/>
        <v>22</v>
      </c>
      <c r="Z55" s="13">
        <f t="shared" si="15"/>
        <v>23</v>
      </c>
      <c r="AA55" s="13">
        <f t="shared" si="15"/>
        <v>443</v>
      </c>
    </row>
    <row r="56" ht="12.75" customHeight="1">
      <c r="A56" s="45"/>
      <c r="B56" s="44"/>
      <c r="C56" s="44"/>
      <c r="D56" s="44"/>
      <c r="E56" s="44"/>
      <c r="AA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9.0</v>
      </c>
      <c r="F57" s="73">
        <v>8.0</v>
      </c>
      <c r="G57" s="73">
        <v>12.0</v>
      </c>
      <c r="H57" s="73">
        <v>11.0</v>
      </c>
      <c r="I57" s="73">
        <v>8.0</v>
      </c>
      <c r="J57" s="73">
        <v>11.0</v>
      </c>
      <c r="K57" s="73">
        <v>8.0</v>
      </c>
      <c r="L57" s="73">
        <v>8.0</v>
      </c>
      <c r="M57" s="73">
        <v>6.0</v>
      </c>
      <c r="N57" s="73">
        <v>10.0</v>
      </c>
      <c r="O57" s="73">
        <v>8.0</v>
      </c>
      <c r="P57" s="73">
        <v>9.0</v>
      </c>
      <c r="Q57" s="73">
        <v>12.0</v>
      </c>
      <c r="R57" s="73">
        <v>12.0</v>
      </c>
      <c r="S57" s="73">
        <v>9.0</v>
      </c>
      <c r="T57" s="73">
        <v>11.0</v>
      </c>
      <c r="U57" s="73">
        <v>11.0</v>
      </c>
      <c r="V57" s="73">
        <v>9.0</v>
      </c>
      <c r="W57" s="73">
        <v>5.0</v>
      </c>
      <c r="X57" s="73">
        <v>12.0</v>
      </c>
      <c r="Y57" s="73">
        <v>6.0</v>
      </c>
      <c r="Z57" s="73">
        <v>2.0</v>
      </c>
      <c r="AA57" s="13">
        <f t="shared" ref="AA57:AA66" si="16">SUM(E57:Z57)</f>
        <v>197</v>
      </c>
    </row>
    <row r="58" ht="12.75" customHeight="1">
      <c r="A58" s="30" t="s">
        <v>39</v>
      </c>
      <c r="B58" s="49"/>
      <c r="C58" s="50" t="s">
        <v>51</v>
      </c>
      <c r="D58" s="51"/>
      <c r="E58" s="73">
        <v>13.0</v>
      </c>
      <c r="F58" s="73">
        <v>3.0</v>
      </c>
      <c r="G58" s="73">
        <v>6.0</v>
      </c>
      <c r="H58" s="73">
        <v>3.0</v>
      </c>
      <c r="I58" s="73">
        <v>2.0</v>
      </c>
      <c r="J58" s="73">
        <v>4.0</v>
      </c>
      <c r="K58" s="73">
        <v>16.0</v>
      </c>
      <c r="L58" s="73">
        <v>8.0</v>
      </c>
      <c r="M58" s="73">
        <v>11.0</v>
      </c>
      <c r="N58" s="73">
        <v>13.0</v>
      </c>
      <c r="O58" s="73">
        <v>4.0</v>
      </c>
      <c r="P58" s="73">
        <v>7.0</v>
      </c>
      <c r="Q58" s="73">
        <v>7.0</v>
      </c>
      <c r="R58" s="73">
        <v>6.0</v>
      </c>
      <c r="S58" s="73">
        <v>4.0</v>
      </c>
      <c r="T58" s="73">
        <v>2.0</v>
      </c>
      <c r="U58" s="73">
        <v>5.0</v>
      </c>
      <c r="V58" s="73">
        <v>3.0</v>
      </c>
      <c r="W58" s="73">
        <v>10.0</v>
      </c>
      <c r="X58" s="73">
        <v>62.0</v>
      </c>
      <c r="Y58" s="73">
        <v>4.0</v>
      </c>
      <c r="Z58" s="73">
        <v>5.0</v>
      </c>
      <c r="AA58" s="13">
        <f t="shared" si="16"/>
        <v>198</v>
      </c>
    </row>
    <row r="59" ht="12.75" customHeight="1">
      <c r="A59" s="18"/>
      <c r="B59" s="49"/>
      <c r="C59" s="50" t="s">
        <v>52</v>
      </c>
      <c r="D59" s="51"/>
      <c r="E59" s="73">
        <v>1.0</v>
      </c>
      <c r="F59" s="73">
        <v>4.0</v>
      </c>
      <c r="G59" s="73">
        <v>0.0</v>
      </c>
      <c r="H59" s="73">
        <v>2.0</v>
      </c>
      <c r="I59" s="73">
        <v>3.0</v>
      </c>
      <c r="J59" s="73">
        <v>1.0</v>
      </c>
      <c r="K59" s="73">
        <v>4.0</v>
      </c>
      <c r="L59" s="73">
        <v>11.0</v>
      </c>
      <c r="M59" s="73">
        <v>9.0</v>
      </c>
      <c r="N59" s="73">
        <v>3.0</v>
      </c>
      <c r="O59" s="73">
        <v>3.0</v>
      </c>
      <c r="P59" s="73">
        <v>3.0</v>
      </c>
      <c r="Q59" s="73">
        <v>4.0</v>
      </c>
      <c r="R59" s="73">
        <v>3.0</v>
      </c>
      <c r="S59" s="73">
        <v>3.0</v>
      </c>
      <c r="T59" s="73">
        <v>3.0</v>
      </c>
      <c r="U59" s="73">
        <v>3.0</v>
      </c>
      <c r="V59" s="73">
        <v>2.0</v>
      </c>
      <c r="W59" s="73">
        <v>4.0</v>
      </c>
      <c r="X59" s="73">
        <v>8.0</v>
      </c>
      <c r="Y59" s="73">
        <v>0.0</v>
      </c>
      <c r="Z59" s="73">
        <v>7.0</v>
      </c>
      <c r="AA59" s="13">
        <f t="shared" si="16"/>
        <v>81</v>
      </c>
    </row>
    <row r="60" ht="12.75" customHeight="1">
      <c r="A60" s="18"/>
      <c r="B60" s="49"/>
      <c r="C60" s="50" t="s">
        <v>53</v>
      </c>
      <c r="D60" s="51"/>
      <c r="E60" s="73">
        <v>0.0</v>
      </c>
      <c r="F60" s="73">
        <v>6.0</v>
      </c>
      <c r="G60" s="73">
        <v>3.0</v>
      </c>
      <c r="H60" s="73">
        <v>1.0</v>
      </c>
      <c r="I60" s="73">
        <v>0.0</v>
      </c>
      <c r="J60" s="73">
        <v>4.0</v>
      </c>
      <c r="K60" s="73">
        <v>1.0</v>
      </c>
      <c r="L60" s="73">
        <v>3.0</v>
      </c>
      <c r="M60" s="73">
        <v>4.0</v>
      </c>
      <c r="N60" s="73">
        <v>3.0</v>
      </c>
      <c r="O60" s="73">
        <v>2.0</v>
      </c>
      <c r="P60" s="73">
        <v>0.0</v>
      </c>
      <c r="Q60" s="73">
        <v>1.0</v>
      </c>
      <c r="R60" s="73">
        <v>1.0</v>
      </c>
      <c r="S60" s="73">
        <v>3.0</v>
      </c>
      <c r="T60" s="73">
        <v>0.0</v>
      </c>
      <c r="U60" s="73">
        <v>1.0</v>
      </c>
      <c r="V60" s="73">
        <v>0.0</v>
      </c>
      <c r="W60" s="73">
        <v>3.0</v>
      </c>
      <c r="X60" s="73">
        <v>0.0</v>
      </c>
      <c r="Y60" s="73">
        <v>2.0</v>
      </c>
      <c r="Z60" s="73">
        <v>1.0</v>
      </c>
      <c r="AA60" s="13">
        <f t="shared" si="16"/>
        <v>39</v>
      </c>
    </row>
    <row r="61" ht="12.75" customHeight="1">
      <c r="A61" s="18"/>
      <c r="B61" s="49"/>
      <c r="C61" s="50" t="s">
        <v>54</v>
      </c>
      <c r="D61" s="51"/>
      <c r="E61" s="73">
        <v>5.0</v>
      </c>
      <c r="F61" s="73">
        <v>3.0</v>
      </c>
      <c r="G61" s="73">
        <v>0.0</v>
      </c>
      <c r="H61" s="73">
        <v>2.0</v>
      </c>
      <c r="I61" s="73">
        <v>3.0</v>
      </c>
      <c r="J61" s="73">
        <v>3.0</v>
      </c>
      <c r="K61" s="73">
        <v>1.0</v>
      </c>
      <c r="L61" s="73">
        <v>2.0</v>
      </c>
      <c r="M61" s="73">
        <v>3.0</v>
      </c>
      <c r="N61" s="73">
        <v>2.0</v>
      </c>
      <c r="O61" s="73">
        <v>3.0</v>
      </c>
      <c r="P61" s="73">
        <v>3.0</v>
      </c>
      <c r="Q61" s="73">
        <v>4.0</v>
      </c>
      <c r="R61" s="73">
        <v>3.0</v>
      </c>
      <c r="S61" s="73">
        <v>2.0</v>
      </c>
      <c r="T61" s="73">
        <v>1.0</v>
      </c>
      <c r="U61" s="73">
        <v>7.0</v>
      </c>
      <c r="V61" s="73">
        <v>2.0</v>
      </c>
      <c r="W61" s="73">
        <v>2.0</v>
      </c>
      <c r="X61" s="73">
        <v>3.0</v>
      </c>
      <c r="Y61" s="73">
        <v>1.0</v>
      </c>
      <c r="Z61" s="73">
        <v>3.0</v>
      </c>
      <c r="AA61" s="13">
        <f t="shared" si="16"/>
        <v>58</v>
      </c>
    </row>
    <row r="62" ht="12.75" customHeight="1">
      <c r="A62" s="18"/>
      <c r="B62" s="49"/>
      <c r="C62" s="50" t="s">
        <v>55</v>
      </c>
      <c r="D62" s="51"/>
      <c r="E62" s="73">
        <v>1.0</v>
      </c>
      <c r="F62" s="73">
        <v>0.0</v>
      </c>
      <c r="G62" s="73">
        <v>1.0</v>
      </c>
      <c r="H62" s="73">
        <v>1.0</v>
      </c>
      <c r="I62" s="73">
        <v>0.0</v>
      </c>
      <c r="J62" s="73">
        <v>2.0</v>
      </c>
      <c r="K62" s="73">
        <v>2.0</v>
      </c>
      <c r="L62" s="73">
        <v>0.0</v>
      </c>
      <c r="M62" s="73">
        <v>4.0</v>
      </c>
      <c r="N62" s="73">
        <v>1.0</v>
      </c>
      <c r="O62" s="73">
        <v>1.0</v>
      </c>
      <c r="P62" s="73">
        <v>1.0</v>
      </c>
      <c r="Q62" s="73">
        <v>1.0</v>
      </c>
      <c r="R62" s="73">
        <v>3.0</v>
      </c>
      <c r="S62" s="73">
        <v>0.0</v>
      </c>
      <c r="T62" s="73">
        <v>0.0</v>
      </c>
      <c r="U62" s="73">
        <v>0.0</v>
      </c>
      <c r="V62" s="73">
        <v>1.0</v>
      </c>
      <c r="W62" s="73">
        <v>2.0</v>
      </c>
      <c r="X62" s="73">
        <v>0.0</v>
      </c>
      <c r="Y62" s="73">
        <v>0.0</v>
      </c>
      <c r="Z62" s="73">
        <v>1.0</v>
      </c>
      <c r="AA62" s="13">
        <f t="shared" si="16"/>
        <v>22</v>
      </c>
    </row>
    <row r="63" ht="12.75" customHeight="1">
      <c r="A63" s="18"/>
      <c r="B63" s="49"/>
      <c r="C63" s="50" t="s">
        <v>56</v>
      </c>
      <c r="D63" s="51"/>
      <c r="E63" s="73">
        <v>0.0</v>
      </c>
      <c r="F63" s="73">
        <v>0.0</v>
      </c>
      <c r="G63" s="73">
        <v>0.0</v>
      </c>
      <c r="H63" s="73">
        <v>1.0</v>
      </c>
      <c r="I63" s="73">
        <v>0.0</v>
      </c>
      <c r="J63" s="73">
        <v>0.0</v>
      </c>
      <c r="K63" s="73">
        <v>0.0</v>
      </c>
      <c r="L63" s="73">
        <v>0.0</v>
      </c>
      <c r="M63" s="73">
        <v>1.0</v>
      </c>
      <c r="N63" s="73">
        <v>0.0</v>
      </c>
      <c r="O63" s="73">
        <v>1.0</v>
      </c>
      <c r="P63" s="73">
        <v>0.0</v>
      </c>
      <c r="Q63" s="73">
        <v>1.0</v>
      </c>
      <c r="R63" s="73">
        <v>0.0</v>
      </c>
      <c r="S63" s="73">
        <v>2.0</v>
      </c>
      <c r="T63" s="73">
        <v>1.0</v>
      </c>
      <c r="U63" s="73">
        <v>0.0</v>
      </c>
      <c r="V63" s="73">
        <v>1.0</v>
      </c>
      <c r="W63" s="73">
        <v>0.0</v>
      </c>
      <c r="X63" s="73">
        <v>0.0</v>
      </c>
      <c r="Y63" s="73">
        <v>0.0</v>
      </c>
      <c r="Z63" s="73">
        <v>0.0</v>
      </c>
      <c r="AA63" s="13">
        <f t="shared" si="16"/>
        <v>8</v>
      </c>
    </row>
    <row r="64" ht="12.75" customHeight="1">
      <c r="A64" s="18"/>
      <c r="B64" s="49"/>
      <c r="C64" s="50" t="s">
        <v>57</v>
      </c>
      <c r="D64" s="51"/>
      <c r="E64" s="73">
        <v>0.0</v>
      </c>
      <c r="F64" s="73">
        <v>0.0</v>
      </c>
      <c r="G64" s="73">
        <v>0.0</v>
      </c>
      <c r="H64" s="73">
        <v>1.0</v>
      </c>
      <c r="I64" s="73">
        <v>0.0</v>
      </c>
      <c r="J64" s="73">
        <v>0.0</v>
      </c>
      <c r="K64" s="73">
        <v>0.0</v>
      </c>
      <c r="L64" s="73">
        <v>0.0</v>
      </c>
      <c r="M64" s="73">
        <v>0.0</v>
      </c>
      <c r="N64" s="73">
        <v>0.0</v>
      </c>
      <c r="O64" s="73">
        <v>0.0</v>
      </c>
      <c r="P64" s="73">
        <v>0.0</v>
      </c>
      <c r="Q64" s="73">
        <v>0.0</v>
      </c>
      <c r="R64" s="73">
        <v>0.0</v>
      </c>
      <c r="S64" s="73">
        <v>0.0</v>
      </c>
      <c r="T64" s="73">
        <v>1.0</v>
      </c>
      <c r="U64" s="73">
        <v>0.0</v>
      </c>
      <c r="V64" s="73">
        <v>0.0</v>
      </c>
      <c r="W64" s="73">
        <v>0.0</v>
      </c>
      <c r="X64" s="73">
        <v>1.0</v>
      </c>
      <c r="Y64" s="73">
        <v>0.0</v>
      </c>
      <c r="Z64" s="73">
        <v>0.0</v>
      </c>
      <c r="AA64" s="13">
        <f t="shared" si="16"/>
        <v>3</v>
      </c>
    </row>
    <row r="65" ht="12.75" customHeight="1">
      <c r="A65" s="18"/>
      <c r="B65" s="49"/>
      <c r="C65" s="50" t="s">
        <v>58</v>
      </c>
      <c r="D65" s="51"/>
      <c r="E65" s="73">
        <v>0.0</v>
      </c>
      <c r="F65" s="73">
        <v>0.0</v>
      </c>
      <c r="G65" s="73">
        <v>0.0</v>
      </c>
      <c r="H65" s="73">
        <v>0.0</v>
      </c>
      <c r="I65" s="73">
        <v>1.0</v>
      </c>
      <c r="J65" s="73">
        <v>1.0</v>
      </c>
      <c r="K65" s="73">
        <v>1.0</v>
      </c>
      <c r="L65" s="73">
        <v>0.0</v>
      </c>
      <c r="M65" s="73">
        <v>0.0</v>
      </c>
      <c r="N65" s="73">
        <v>0.0</v>
      </c>
      <c r="O65" s="73">
        <v>0.0</v>
      </c>
      <c r="P65" s="73">
        <v>0.0</v>
      </c>
      <c r="Q65" s="73">
        <v>1.0</v>
      </c>
      <c r="R65" s="73">
        <v>1.0</v>
      </c>
      <c r="S65" s="73">
        <v>2.0</v>
      </c>
      <c r="T65" s="73">
        <v>0.0</v>
      </c>
      <c r="U65" s="73">
        <v>0.0</v>
      </c>
      <c r="V65" s="73">
        <v>1.0</v>
      </c>
      <c r="W65" s="73">
        <v>0.0</v>
      </c>
      <c r="X65" s="73">
        <v>0.0</v>
      </c>
      <c r="Y65" s="73">
        <v>0.0</v>
      </c>
      <c r="Z65" s="73">
        <v>0.0</v>
      </c>
      <c r="AA65" s="13">
        <f t="shared" si="16"/>
        <v>8</v>
      </c>
    </row>
    <row r="66" ht="12.75" customHeight="1">
      <c r="A66" s="18"/>
      <c r="B66" s="49"/>
      <c r="C66" s="50" t="s">
        <v>59</v>
      </c>
      <c r="D66" s="51"/>
      <c r="E66" s="73">
        <v>0.0</v>
      </c>
      <c r="F66" s="73">
        <v>0.0</v>
      </c>
      <c r="G66" s="73">
        <v>0.0</v>
      </c>
      <c r="H66" s="73">
        <v>0.0</v>
      </c>
      <c r="I66" s="73">
        <v>0.0</v>
      </c>
      <c r="J66" s="73">
        <v>0.0</v>
      </c>
      <c r="K66" s="73">
        <v>0.0</v>
      </c>
      <c r="L66" s="73">
        <v>0.0</v>
      </c>
      <c r="M66" s="73">
        <v>0.0</v>
      </c>
      <c r="N66" s="73">
        <v>0.0</v>
      </c>
      <c r="O66" s="73">
        <v>0.0</v>
      </c>
      <c r="P66" s="73">
        <v>0.0</v>
      </c>
      <c r="Q66" s="73">
        <v>1.0</v>
      </c>
      <c r="R66" s="73">
        <v>0.0</v>
      </c>
      <c r="S66" s="73">
        <v>0.0</v>
      </c>
      <c r="T66" s="73">
        <v>1.0</v>
      </c>
      <c r="U66" s="73">
        <v>0.0</v>
      </c>
      <c r="V66" s="73">
        <v>1.0</v>
      </c>
      <c r="W66" s="73">
        <v>0.0</v>
      </c>
      <c r="X66" s="73">
        <v>2.0</v>
      </c>
      <c r="Y66" s="73">
        <v>0.0</v>
      </c>
      <c r="Z66" s="73">
        <v>0.0</v>
      </c>
      <c r="AA66" s="13">
        <f t="shared" si="16"/>
        <v>5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A67" si="17">SUM(E57:E66)</f>
        <v>29</v>
      </c>
      <c r="F67" s="13">
        <f t="shared" si="17"/>
        <v>24</v>
      </c>
      <c r="G67" s="13">
        <f t="shared" si="17"/>
        <v>22</v>
      </c>
      <c r="H67" s="13">
        <f t="shared" si="17"/>
        <v>22</v>
      </c>
      <c r="I67" s="13">
        <f t="shared" si="17"/>
        <v>17</v>
      </c>
      <c r="J67" s="13">
        <f t="shared" si="17"/>
        <v>26</v>
      </c>
      <c r="K67" s="13">
        <f t="shared" si="17"/>
        <v>33</v>
      </c>
      <c r="L67" s="13">
        <f t="shared" si="17"/>
        <v>32</v>
      </c>
      <c r="M67" s="13">
        <f t="shared" si="17"/>
        <v>38</v>
      </c>
      <c r="N67" s="13">
        <f t="shared" si="17"/>
        <v>32</v>
      </c>
      <c r="O67" s="13">
        <f t="shared" si="17"/>
        <v>22</v>
      </c>
      <c r="P67" s="13">
        <f t="shared" si="17"/>
        <v>23</v>
      </c>
      <c r="Q67" s="13">
        <f t="shared" si="17"/>
        <v>32</v>
      </c>
      <c r="R67" s="13">
        <f t="shared" si="17"/>
        <v>29</v>
      </c>
      <c r="S67" s="13">
        <f t="shared" si="17"/>
        <v>25</v>
      </c>
      <c r="T67" s="13">
        <f t="shared" si="17"/>
        <v>20</v>
      </c>
      <c r="U67" s="13">
        <f t="shared" si="17"/>
        <v>27</v>
      </c>
      <c r="V67" s="13">
        <f t="shared" si="17"/>
        <v>20</v>
      </c>
      <c r="W67" s="13">
        <f t="shared" si="17"/>
        <v>26</v>
      </c>
      <c r="X67" s="13">
        <f t="shared" si="17"/>
        <v>88</v>
      </c>
      <c r="Y67" s="13">
        <f t="shared" si="17"/>
        <v>13</v>
      </c>
      <c r="Z67" s="13">
        <f t="shared" si="17"/>
        <v>19</v>
      </c>
      <c r="AA67" s="13">
        <f t="shared" si="17"/>
        <v>619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15.0</v>
      </c>
      <c r="F69" s="73">
        <v>15.0</v>
      </c>
      <c r="G69" s="73">
        <v>26.0</v>
      </c>
      <c r="H69" s="73">
        <v>28.0</v>
      </c>
      <c r="I69" s="73">
        <v>29.0</v>
      </c>
      <c r="J69" s="73">
        <v>20.0</v>
      </c>
      <c r="K69" s="73">
        <v>14.0</v>
      </c>
      <c r="L69" s="73">
        <v>11.0</v>
      </c>
      <c r="M69" s="73">
        <v>7.0</v>
      </c>
      <c r="N69" s="73">
        <v>23.0</v>
      </c>
      <c r="O69" s="73">
        <v>17.0</v>
      </c>
      <c r="P69" s="73">
        <v>15.0</v>
      </c>
      <c r="Q69" s="73">
        <v>18.0</v>
      </c>
      <c r="R69" s="73">
        <v>27.0</v>
      </c>
      <c r="S69" s="73">
        <v>15.0</v>
      </c>
      <c r="T69" s="73">
        <v>10.0</v>
      </c>
      <c r="U69" s="73">
        <v>9.0</v>
      </c>
      <c r="V69" s="73">
        <v>6.0</v>
      </c>
      <c r="W69" s="73">
        <v>10.0</v>
      </c>
      <c r="X69" s="73">
        <v>9.0</v>
      </c>
      <c r="Y69" s="73">
        <v>20.0</v>
      </c>
      <c r="Z69" s="73">
        <v>3.0</v>
      </c>
      <c r="AA69" s="13">
        <f t="shared" ref="AA69:AA78" si="18">SUM(E69:Z69)</f>
        <v>347</v>
      </c>
    </row>
    <row r="70" ht="12.75" customHeight="1">
      <c r="A70" s="30" t="s">
        <v>39</v>
      </c>
      <c r="B70" s="49"/>
      <c r="C70" s="50" t="s">
        <v>61</v>
      </c>
      <c r="D70" s="51"/>
      <c r="E70" s="73">
        <v>6.0</v>
      </c>
      <c r="F70" s="73">
        <v>5.0</v>
      </c>
      <c r="G70" s="73">
        <v>12.0</v>
      </c>
      <c r="H70" s="73">
        <v>5.0</v>
      </c>
      <c r="I70" s="73">
        <v>9.0</v>
      </c>
      <c r="J70" s="73">
        <v>4.0</v>
      </c>
      <c r="K70" s="73">
        <v>2.0</v>
      </c>
      <c r="L70" s="73">
        <v>7.0</v>
      </c>
      <c r="M70" s="73">
        <v>1.0</v>
      </c>
      <c r="N70" s="73">
        <v>4.0</v>
      </c>
      <c r="O70" s="73">
        <v>11.0</v>
      </c>
      <c r="P70" s="73">
        <v>9.0</v>
      </c>
      <c r="Q70" s="73">
        <v>11.0</v>
      </c>
      <c r="R70" s="73">
        <v>8.0</v>
      </c>
      <c r="S70" s="73">
        <v>20.0</v>
      </c>
      <c r="T70" s="73">
        <v>6.0</v>
      </c>
      <c r="U70" s="73">
        <v>10.0</v>
      </c>
      <c r="V70" s="73">
        <v>11.0</v>
      </c>
      <c r="W70" s="73">
        <v>4.0</v>
      </c>
      <c r="X70" s="73">
        <v>7.0</v>
      </c>
      <c r="Y70" s="73">
        <v>4.0</v>
      </c>
      <c r="Z70" s="73">
        <v>2.0</v>
      </c>
      <c r="AA70" s="13">
        <f t="shared" si="18"/>
        <v>158</v>
      </c>
    </row>
    <row r="71" ht="12.75" customHeight="1">
      <c r="A71" s="18"/>
      <c r="B71" s="49"/>
      <c r="C71" s="50" t="s">
        <v>62</v>
      </c>
      <c r="D71" s="51"/>
      <c r="E71" s="73">
        <v>3.0</v>
      </c>
      <c r="F71" s="73">
        <v>2.0</v>
      </c>
      <c r="G71" s="73">
        <v>2.0</v>
      </c>
      <c r="H71" s="73">
        <v>4.0</v>
      </c>
      <c r="I71" s="73">
        <v>12.0</v>
      </c>
      <c r="J71" s="73">
        <v>8.0</v>
      </c>
      <c r="K71" s="73">
        <v>10.0</v>
      </c>
      <c r="L71" s="73">
        <v>12.0</v>
      </c>
      <c r="M71" s="73">
        <v>13.0</v>
      </c>
      <c r="N71" s="73">
        <v>32.0</v>
      </c>
      <c r="O71" s="73">
        <v>38.0</v>
      </c>
      <c r="P71" s="73">
        <v>3.0</v>
      </c>
      <c r="Q71" s="73">
        <v>8.0</v>
      </c>
      <c r="R71" s="73">
        <v>7.0</v>
      </c>
      <c r="S71" s="73">
        <v>3.0</v>
      </c>
      <c r="T71" s="73">
        <v>4.0</v>
      </c>
      <c r="U71" s="73">
        <v>7.0</v>
      </c>
      <c r="V71" s="73">
        <v>3.0</v>
      </c>
      <c r="W71" s="73">
        <v>9.0</v>
      </c>
      <c r="X71" s="73">
        <v>4.0</v>
      </c>
      <c r="Y71" s="73">
        <v>5.0</v>
      </c>
      <c r="Z71" s="73">
        <v>2.0</v>
      </c>
      <c r="AA71" s="13">
        <f t="shared" si="18"/>
        <v>191</v>
      </c>
    </row>
    <row r="72" ht="12.75" customHeight="1">
      <c r="A72" s="18"/>
      <c r="B72" s="49"/>
      <c r="C72" s="50" t="s">
        <v>63</v>
      </c>
      <c r="D72" s="51"/>
      <c r="E72" s="73">
        <v>12.0</v>
      </c>
      <c r="F72" s="73">
        <v>6.0</v>
      </c>
      <c r="G72" s="73">
        <v>7.0</v>
      </c>
      <c r="H72" s="73">
        <v>8.0</v>
      </c>
      <c r="I72" s="73">
        <v>10.0</v>
      </c>
      <c r="J72" s="73">
        <v>8.0</v>
      </c>
      <c r="K72" s="73">
        <v>7.0</v>
      </c>
      <c r="L72" s="73">
        <v>14.0</v>
      </c>
      <c r="M72" s="73">
        <v>7.0</v>
      </c>
      <c r="N72" s="73">
        <v>13.0</v>
      </c>
      <c r="O72" s="73">
        <v>12.0</v>
      </c>
      <c r="P72" s="73">
        <v>8.0</v>
      </c>
      <c r="Q72" s="73">
        <v>10.0</v>
      </c>
      <c r="R72" s="73">
        <v>11.0</v>
      </c>
      <c r="S72" s="73">
        <v>3.0</v>
      </c>
      <c r="T72" s="73">
        <v>3.0</v>
      </c>
      <c r="U72" s="73">
        <v>5.0</v>
      </c>
      <c r="V72" s="73">
        <v>2.0</v>
      </c>
      <c r="W72" s="73">
        <v>7.0</v>
      </c>
      <c r="X72" s="73">
        <v>5.0</v>
      </c>
      <c r="Y72" s="73">
        <v>8.0</v>
      </c>
      <c r="Z72" s="73">
        <v>2.0</v>
      </c>
      <c r="AA72" s="13">
        <f t="shared" si="18"/>
        <v>168</v>
      </c>
    </row>
    <row r="73" ht="12.75" customHeight="1">
      <c r="A73" s="18"/>
      <c r="B73" s="49"/>
      <c r="C73" s="50" t="s">
        <v>64</v>
      </c>
      <c r="D73" s="51"/>
      <c r="E73" s="73">
        <v>2.0</v>
      </c>
      <c r="F73" s="73">
        <v>3.0</v>
      </c>
      <c r="G73" s="73">
        <v>9.0</v>
      </c>
      <c r="H73" s="73">
        <v>6.0</v>
      </c>
      <c r="I73" s="73">
        <v>8.0</v>
      </c>
      <c r="J73" s="73">
        <v>2.0</v>
      </c>
      <c r="K73" s="73">
        <v>5.0</v>
      </c>
      <c r="L73" s="73">
        <v>4.0</v>
      </c>
      <c r="M73" s="73">
        <v>3.0</v>
      </c>
      <c r="N73" s="73">
        <v>6.0</v>
      </c>
      <c r="O73" s="73">
        <v>5.0</v>
      </c>
      <c r="P73" s="73">
        <v>1.0</v>
      </c>
      <c r="Q73" s="73">
        <v>6.0</v>
      </c>
      <c r="R73" s="73">
        <v>8.0</v>
      </c>
      <c r="S73" s="73">
        <v>7.0</v>
      </c>
      <c r="T73" s="73">
        <v>3.0</v>
      </c>
      <c r="U73" s="73">
        <v>3.0</v>
      </c>
      <c r="V73" s="73">
        <v>13.0</v>
      </c>
      <c r="W73" s="73">
        <v>10.0</v>
      </c>
      <c r="X73" s="73">
        <v>3.0</v>
      </c>
      <c r="Y73" s="73">
        <v>10.0</v>
      </c>
      <c r="Z73" s="73">
        <v>131.0</v>
      </c>
      <c r="AA73" s="13">
        <f t="shared" si="18"/>
        <v>248</v>
      </c>
    </row>
    <row r="74" ht="12.75" customHeight="1">
      <c r="A74" s="18"/>
      <c r="B74" s="49"/>
      <c r="C74" s="50" t="s">
        <v>65</v>
      </c>
      <c r="D74" s="51"/>
      <c r="E74" s="73">
        <v>4.0</v>
      </c>
      <c r="F74" s="73">
        <v>0.0</v>
      </c>
      <c r="G74" s="73">
        <v>2.0</v>
      </c>
      <c r="H74" s="73">
        <v>1.0</v>
      </c>
      <c r="I74" s="73">
        <v>6.0</v>
      </c>
      <c r="J74" s="73">
        <v>1.0</v>
      </c>
      <c r="K74" s="73">
        <v>4.0</v>
      </c>
      <c r="L74" s="73">
        <v>3.0</v>
      </c>
      <c r="M74" s="73">
        <v>1.0</v>
      </c>
      <c r="N74" s="73">
        <v>2.0</v>
      </c>
      <c r="O74" s="73">
        <v>2.0</v>
      </c>
      <c r="P74" s="73">
        <v>0.0</v>
      </c>
      <c r="Q74" s="73">
        <v>2.0</v>
      </c>
      <c r="R74" s="73">
        <v>3.0</v>
      </c>
      <c r="S74" s="73">
        <v>4.0</v>
      </c>
      <c r="T74" s="73">
        <v>1.0</v>
      </c>
      <c r="U74" s="73">
        <v>3.0</v>
      </c>
      <c r="V74" s="73">
        <v>0.0</v>
      </c>
      <c r="W74" s="73">
        <v>4.0</v>
      </c>
      <c r="X74" s="73">
        <v>0.0</v>
      </c>
      <c r="Y74" s="73">
        <v>4.0</v>
      </c>
      <c r="Z74" s="73">
        <v>1.0</v>
      </c>
      <c r="AA74" s="13">
        <f t="shared" si="18"/>
        <v>48</v>
      </c>
    </row>
    <row r="75" ht="12.75" customHeight="1">
      <c r="A75" s="18"/>
      <c r="B75" s="49"/>
      <c r="C75" s="50" t="s">
        <v>66</v>
      </c>
      <c r="D75" s="51"/>
      <c r="E75" s="73">
        <v>1.0</v>
      </c>
      <c r="F75" s="73">
        <v>1.0</v>
      </c>
      <c r="G75" s="73">
        <v>2.0</v>
      </c>
      <c r="H75" s="73">
        <v>0.0</v>
      </c>
      <c r="I75" s="73">
        <v>1.0</v>
      </c>
      <c r="J75" s="73">
        <v>3.0</v>
      </c>
      <c r="K75" s="73">
        <v>1.0</v>
      </c>
      <c r="L75" s="73">
        <v>1.0</v>
      </c>
      <c r="M75" s="73">
        <v>1.0</v>
      </c>
      <c r="N75" s="73">
        <v>1.0</v>
      </c>
      <c r="O75" s="73">
        <v>0.0</v>
      </c>
      <c r="P75" s="73">
        <v>1.0</v>
      </c>
      <c r="Q75" s="73">
        <v>5.0</v>
      </c>
      <c r="R75" s="73">
        <v>1.0</v>
      </c>
      <c r="S75" s="73">
        <v>0.0</v>
      </c>
      <c r="T75" s="73">
        <v>1.0</v>
      </c>
      <c r="U75" s="73">
        <v>0.0</v>
      </c>
      <c r="V75" s="73">
        <v>0.0</v>
      </c>
      <c r="W75" s="73">
        <v>1.0</v>
      </c>
      <c r="X75" s="73">
        <v>0.0</v>
      </c>
      <c r="Y75" s="73">
        <v>2.0</v>
      </c>
      <c r="Z75" s="73">
        <v>0.0</v>
      </c>
      <c r="AA75" s="13">
        <f t="shared" si="18"/>
        <v>23</v>
      </c>
    </row>
    <row r="76" ht="12.75" customHeight="1">
      <c r="A76" s="18"/>
      <c r="B76" s="49"/>
      <c r="C76" s="50" t="s">
        <v>67</v>
      </c>
      <c r="D76" s="51"/>
      <c r="E76" s="73">
        <v>1.0</v>
      </c>
      <c r="F76" s="73">
        <v>0.0</v>
      </c>
      <c r="G76" s="73">
        <v>0.0</v>
      </c>
      <c r="H76" s="73">
        <v>0.0</v>
      </c>
      <c r="I76" s="73">
        <v>2.0</v>
      </c>
      <c r="J76" s="73">
        <v>0.0</v>
      </c>
      <c r="K76" s="73">
        <v>0.0</v>
      </c>
      <c r="L76" s="73">
        <v>0.0</v>
      </c>
      <c r="M76" s="73">
        <v>1.0</v>
      </c>
      <c r="N76" s="73">
        <v>0.0</v>
      </c>
      <c r="O76" s="73">
        <v>0.0</v>
      </c>
      <c r="P76" s="73">
        <v>0.0</v>
      </c>
      <c r="Q76" s="73">
        <v>1.0</v>
      </c>
      <c r="R76" s="73">
        <v>0.0</v>
      </c>
      <c r="S76" s="73">
        <v>1.0</v>
      </c>
      <c r="T76" s="73">
        <v>0.0</v>
      </c>
      <c r="U76" s="73">
        <v>1.0</v>
      </c>
      <c r="V76" s="73">
        <v>0.0</v>
      </c>
      <c r="W76" s="73">
        <v>3.0</v>
      </c>
      <c r="X76" s="73">
        <v>0.0</v>
      </c>
      <c r="Y76" s="73">
        <v>1.0</v>
      </c>
      <c r="Z76" s="73">
        <v>0.0</v>
      </c>
      <c r="AA76" s="13">
        <f t="shared" si="18"/>
        <v>11</v>
      </c>
    </row>
    <row r="77" ht="12.75" customHeight="1">
      <c r="A77" s="18"/>
      <c r="B77" s="49"/>
      <c r="C77" s="50" t="s">
        <v>68</v>
      </c>
      <c r="D77" s="51"/>
      <c r="E77" s="73">
        <v>0.0</v>
      </c>
      <c r="F77" s="73">
        <v>0.0</v>
      </c>
      <c r="G77" s="73">
        <v>0.0</v>
      </c>
      <c r="H77" s="73">
        <v>1.0</v>
      </c>
      <c r="I77" s="73">
        <v>3.0</v>
      </c>
      <c r="J77" s="73">
        <v>1.0</v>
      </c>
      <c r="K77" s="73">
        <v>1.0</v>
      </c>
      <c r="L77" s="73">
        <v>0.0</v>
      </c>
      <c r="M77" s="73">
        <v>1.0</v>
      </c>
      <c r="N77" s="73">
        <v>2.0</v>
      </c>
      <c r="O77" s="73">
        <v>1.0</v>
      </c>
      <c r="P77" s="73">
        <v>0.0</v>
      </c>
      <c r="Q77" s="73">
        <v>3.0</v>
      </c>
      <c r="R77" s="73">
        <v>1.0</v>
      </c>
      <c r="S77" s="73">
        <v>2.0</v>
      </c>
      <c r="T77" s="73">
        <v>1.0</v>
      </c>
      <c r="U77" s="73">
        <v>1.0</v>
      </c>
      <c r="V77" s="73">
        <v>2.0</v>
      </c>
      <c r="W77" s="73">
        <v>0.0</v>
      </c>
      <c r="X77" s="73">
        <v>0.0</v>
      </c>
      <c r="Y77" s="73">
        <v>0.0</v>
      </c>
      <c r="Z77" s="73">
        <v>0.0</v>
      </c>
      <c r="AA77" s="13">
        <f t="shared" si="18"/>
        <v>20</v>
      </c>
    </row>
    <row r="78" ht="12.75" customHeight="1">
      <c r="A78" s="18"/>
      <c r="B78" s="49"/>
      <c r="C78" s="50" t="s">
        <v>69</v>
      </c>
      <c r="D78" s="51"/>
      <c r="E78" s="73">
        <v>3.0</v>
      </c>
      <c r="F78" s="73">
        <v>1.0</v>
      </c>
      <c r="G78" s="73">
        <v>1.0</v>
      </c>
      <c r="H78" s="73">
        <v>1.0</v>
      </c>
      <c r="I78" s="73">
        <v>2.0</v>
      </c>
      <c r="J78" s="73">
        <v>0.0</v>
      </c>
      <c r="K78" s="73">
        <v>0.0</v>
      </c>
      <c r="L78" s="73">
        <v>2.0</v>
      </c>
      <c r="M78" s="73">
        <v>1.0</v>
      </c>
      <c r="N78" s="73">
        <v>2.0</v>
      </c>
      <c r="O78" s="73">
        <v>1.0</v>
      </c>
      <c r="P78" s="73">
        <v>0.0</v>
      </c>
      <c r="Q78" s="73">
        <v>2.0</v>
      </c>
      <c r="R78" s="73">
        <v>2.0</v>
      </c>
      <c r="S78" s="73">
        <v>2.0</v>
      </c>
      <c r="T78" s="73">
        <v>2.0</v>
      </c>
      <c r="U78" s="73">
        <v>1.0</v>
      </c>
      <c r="V78" s="73">
        <v>0.0</v>
      </c>
      <c r="W78" s="73">
        <v>1.0</v>
      </c>
      <c r="X78" s="73">
        <v>2.0</v>
      </c>
      <c r="Y78" s="73">
        <v>1.0</v>
      </c>
      <c r="Z78" s="73">
        <v>0.0</v>
      </c>
      <c r="AA78" s="13">
        <f t="shared" si="18"/>
        <v>27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A79" si="19">SUM(E69:E78)</f>
        <v>47</v>
      </c>
      <c r="F79" s="13">
        <f t="shared" si="19"/>
        <v>33</v>
      </c>
      <c r="G79" s="13">
        <f t="shared" si="19"/>
        <v>61</v>
      </c>
      <c r="H79" s="13">
        <f t="shared" si="19"/>
        <v>54</v>
      </c>
      <c r="I79" s="13">
        <f t="shared" si="19"/>
        <v>82</v>
      </c>
      <c r="J79" s="13">
        <f t="shared" si="19"/>
        <v>47</v>
      </c>
      <c r="K79" s="13">
        <f t="shared" si="19"/>
        <v>44</v>
      </c>
      <c r="L79" s="13">
        <f t="shared" si="19"/>
        <v>54</v>
      </c>
      <c r="M79" s="13">
        <f t="shared" si="19"/>
        <v>36</v>
      </c>
      <c r="N79" s="13">
        <f t="shared" si="19"/>
        <v>85</v>
      </c>
      <c r="O79" s="13">
        <f t="shared" si="19"/>
        <v>87</v>
      </c>
      <c r="P79" s="13">
        <f t="shared" si="19"/>
        <v>37</v>
      </c>
      <c r="Q79" s="13">
        <f t="shared" si="19"/>
        <v>66</v>
      </c>
      <c r="R79" s="13">
        <f t="shared" si="19"/>
        <v>68</v>
      </c>
      <c r="S79" s="13">
        <f t="shared" si="19"/>
        <v>57</v>
      </c>
      <c r="T79" s="13">
        <f t="shared" si="19"/>
        <v>31</v>
      </c>
      <c r="U79" s="13">
        <f t="shared" si="19"/>
        <v>40</v>
      </c>
      <c r="V79" s="13">
        <f t="shared" si="19"/>
        <v>37</v>
      </c>
      <c r="W79" s="13">
        <f t="shared" si="19"/>
        <v>49</v>
      </c>
      <c r="X79" s="13">
        <f t="shared" si="19"/>
        <v>30</v>
      </c>
      <c r="Y79" s="13">
        <f t="shared" si="19"/>
        <v>55</v>
      </c>
      <c r="Z79" s="13">
        <f t="shared" si="19"/>
        <v>141</v>
      </c>
      <c r="AA79" s="13">
        <f t="shared" si="19"/>
        <v>1241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4.0</v>
      </c>
      <c r="F81" s="73">
        <v>5.0</v>
      </c>
      <c r="G81" s="73">
        <v>7.0</v>
      </c>
      <c r="H81" s="73">
        <v>6.0</v>
      </c>
      <c r="I81" s="73">
        <v>5.0</v>
      </c>
      <c r="J81" s="73">
        <v>3.0</v>
      </c>
      <c r="K81" s="73">
        <v>10.0</v>
      </c>
      <c r="L81" s="73">
        <v>7.0</v>
      </c>
      <c r="M81" s="73">
        <v>7.0</v>
      </c>
      <c r="N81" s="73">
        <v>8.0</v>
      </c>
      <c r="O81" s="73">
        <v>7.0</v>
      </c>
      <c r="P81" s="73">
        <v>7.0</v>
      </c>
      <c r="Q81" s="73">
        <v>1.0</v>
      </c>
      <c r="R81" s="73">
        <v>7.0</v>
      </c>
      <c r="S81" s="73">
        <v>1.0</v>
      </c>
      <c r="T81" s="73">
        <v>3.0</v>
      </c>
      <c r="U81" s="73">
        <v>1.0</v>
      </c>
      <c r="V81" s="73">
        <v>2.0</v>
      </c>
      <c r="W81" s="73">
        <v>2.0</v>
      </c>
      <c r="X81" s="73">
        <v>2.0</v>
      </c>
      <c r="Y81" s="73">
        <v>1.0</v>
      </c>
      <c r="Z81" s="73">
        <v>0.0</v>
      </c>
      <c r="AA81" s="13">
        <f t="shared" ref="AA81:AA90" si="20">SUM(E81:Z81)</f>
        <v>96</v>
      </c>
    </row>
    <row r="82" ht="12.75" customHeight="1">
      <c r="A82" s="30" t="s">
        <v>39</v>
      </c>
      <c r="B82" s="49"/>
      <c r="C82" s="50" t="s">
        <v>71</v>
      </c>
      <c r="D82" s="51"/>
      <c r="E82" s="73">
        <v>2.0</v>
      </c>
      <c r="F82" s="73">
        <v>0.0</v>
      </c>
      <c r="G82" s="73">
        <v>2.0</v>
      </c>
      <c r="H82" s="73">
        <v>2.0</v>
      </c>
      <c r="I82" s="73">
        <v>4.0</v>
      </c>
      <c r="J82" s="73">
        <v>2.0</v>
      </c>
      <c r="K82" s="73">
        <v>2.0</v>
      </c>
      <c r="L82" s="73">
        <v>6.0</v>
      </c>
      <c r="M82" s="73">
        <v>6.0</v>
      </c>
      <c r="N82" s="73">
        <v>6.0</v>
      </c>
      <c r="O82" s="73">
        <v>10.0</v>
      </c>
      <c r="P82" s="73">
        <v>6.0</v>
      </c>
      <c r="Q82" s="73">
        <v>3.0</v>
      </c>
      <c r="R82" s="73">
        <v>3.0</v>
      </c>
      <c r="S82" s="73">
        <v>4.0</v>
      </c>
      <c r="T82" s="73">
        <v>2.0</v>
      </c>
      <c r="U82" s="73">
        <v>2.0</v>
      </c>
      <c r="V82" s="73">
        <v>11.0</v>
      </c>
      <c r="W82" s="73">
        <v>6.0</v>
      </c>
      <c r="X82" s="73">
        <v>0.0</v>
      </c>
      <c r="Y82" s="73">
        <v>0.0</v>
      </c>
      <c r="Z82" s="73">
        <v>0.0</v>
      </c>
      <c r="AA82" s="13">
        <f t="shared" si="20"/>
        <v>79</v>
      </c>
    </row>
    <row r="83" ht="12.75" customHeight="1">
      <c r="A83" s="18"/>
      <c r="B83" s="49"/>
      <c r="C83" s="50" t="s">
        <v>72</v>
      </c>
      <c r="D83" s="51"/>
      <c r="E83" s="73">
        <v>3.0</v>
      </c>
      <c r="F83" s="73">
        <v>1.0</v>
      </c>
      <c r="G83" s="73">
        <v>2.0</v>
      </c>
      <c r="H83" s="73">
        <v>0.0</v>
      </c>
      <c r="I83" s="73">
        <v>2.0</v>
      </c>
      <c r="J83" s="73">
        <v>0.0</v>
      </c>
      <c r="K83" s="73">
        <v>1.0</v>
      </c>
      <c r="L83" s="73">
        <v>6.0</v>
      </c>
      <c r="M83" s="73">
        <v>1.0</v>
      </c>
      <c r="N83" s="73">
        <v>3.0</v>
      </c>
      <c r="O83" s="73">
        <v>2.0</v>
      </c>
      <c r="P83" s="73">
        <v>0.0</v>
      </c>
      <c r="Q83" s="73">
        <v>4.0</v>
      </c>
      <c r="R83" s="73">
        <v>2.0</v>
      </c>
      <c r="S83" s="73">
        <v>0.0</v>
      </c>
      <c r="T83" s="73">
        <v>0.0</v>
      </c>
      <c r="U83" s="73">
        <v>2.0</v>
      </c>
      <c r="V83" s="73">
        <v>0.0</v>
      </c>
      <c r="W83" s="73">
        <v>1.0</v>
      </c>
      <c r="X83" s="73">
        <v>1.0</v>
      </c>
      <c r="Y83" s="73">
        <v>0.0</v>
      </c>
      <c r="Z83" s="73">
        <v>0.0</v>
      </c>
      <c r="AA83" s="13">
        <f t="shared" si="20"/>
        <v>31</v>
      </c>
    </row>
    <row r="84" ht="12.75" customHeight="1">
      <c r="A84" s="18"/>
      <c r="B84" s="49"/>
      <c r="C84" s="50" t="s">
        <v>73</v>
      </c>
      <c r="D84" s="51"/>
      <c r="E84" s="73">
        <v>0.0</v>
      </c>
      <c r="F84" s="73">
        <v>0.0</v>
      </c>
      <c r="G84" s="73">
        <v>1.0</v>
      </c>
      <c r="H84" s="73">
        <v>0.0</v>
      </c>
      <c r="I84" s="73">
        <v>1.0</v>
      </c>
      <c r="J84" s="73">
        <v>3.0</v>
      </c>
      <c r="K84" s="73">
        <v>0.0</v>
      </c>
      <c r="L84" s="73">
        <v>7.0</v>
      </c>
      <c r="M84" s="73">
        <v>2.0</v>
      </c>
      <c r="N84" s="73">
        <v>1.0</v>
      </c>
      <c r="O84" s="73">
        <v>0.0</v>
      </c>
      <c r="P84" s="73">
        <v>0.0</v>
      </c>
      <c r="Q84" s="73">
        <v>3.0</v>
      </c>
      <c r="R84" s="73">
        <v>0.0</v>
      </c>
      <c r="S84" s="73">
        <v>0.0</v>
      </c>
      <c r="T84" s="73">
        <v>0.0</v>
      </c>
      <c r="U84" s="73">
        <v>0.0</v>
      </c>
      <c r="V84" s="73">
        <v>0.0</v>
      </c>
      <c r="W84" s="73">
        <v>1.0</v>
      </c>
      <c r="X84" s="73">
        <v>0.0</v>
      </c>
      <c r="Y84" s="73">
        <v>0.0</v>
      </c>
      <c r="Z84" s="73">
        <v>0.0</v>
      </c>
      <c r="AA84" s="13">
        <f t="shared" si="20"/>
        <v>19</v>
      </c>
    </row>
    <row r="85" ht="12.75" customHeight="1">
      <c r="A85" s="18"/>
      <c r="B85" s="49"/>
      <c r="C85" s="50" t="s">
        <v>74</v>
      </c>
      <c r="D85" s="51"/>
      <c r="E85" s="73">
        <v>1.0</v>
      </c>
      <c r="F85" s="73">
        <v>3.0</v>
      </c>
      <c r="G85" s="73">
        <v>3.0</v>
      </c>
      <c r="H85" s="73">
        <v>1.0</v>
      </c>
      <c r="I85" s="73">
        <v>4.0</v>
      </c>
      <c r="J85" s="73">
        <v>1.0</v>
      </c>
      <c r="K85" s="73">
        <v>1.0</v>
      </c>
      <c r="L85" s="73">
        <v>2.0</v>
      </c>
      <c r="M85" s="73">
        <v>2.0</v>
      </c>
      <c r="N85" s="73">
        <v>4.0</v>
      </c>
      <c r="O85" s="73">
        <v>2.0</v>
      </c>
      <c r="P85" s="73">
        <v>3.0</v>
      </c>
      <c r="Q85" s="73">
        <v>1.0</v>
      </c>
      <c r="R85" s="73">
        <v>2.0</v>
      </c>
      <c r="S85" s="73">
        <v>0.0</v>
      </c>
      <c r="T85" s="73">
        <v>0.0</v>
      </c>
      <c r="U85" s="73">
        <v>1.0</v>
      </c>
      <c r="V85" s="73">
        <v>0.0</v>
      </c>
      <c r="W85" s="73">
        <v>0.0</v>
      </c>
      <c r="X85" s="73">
        <v>1.0</v>
      </c>
      <c r="Y85" s="73">
        <v>0.0</v>
      </c>
      <c r="Z85" s="73">
        <v>0.0</v>
      </c>
      <c r="AA85" s="13">
        <f t="shared" si="20"/>
        <v>32</v>
      </c>
    </row>
    <row r="86" ht="12.75" customHeight="1">
      <c r="A86" s="18"/>
      <c r="B86" s="49"/>
      <c r="C86" s="50" t="s">
        <v>75</v>
      </c>
      <c r="D86" s="51"/>
      <c r="E86" s="73">
        <v>0.0</v>
      </c>
      <c r="F86" s="73">
        <v>2.0</v>
      </c>
      <c r="G86" s="73">
        <v>3.0</v>
      </c>
      <c r="H86" s="73">
        <v>1.0</v>
      </c>
      <c r="I86" s="73">
        <v>0.0</v>
      </c>
      <c r="J86" s="73">
        <v>0.0</v>
      </c>
      <c r="K86" s="73">
        <v>0.0</v>
      </c>
      <c r="L86" s="73">
        <v>0.0</v>
      </c>
      <c r="M86" s="73">
        <v>1.0</v>
      </c>
      <c r="N86" s="73">
        <v>1.0</v>
      </c>
      <c r="O86" s="73">
        <v>1.0</v>
      </c>
      <c r="P86" s="73">
        <v>1.0</v>
      </c>
      <c r="Q86" s="73">
        <v>1.0</v>
      </c>
      <c r="R86" s="73">
        <v>2.0</v>
      </c>
      <c r="S86" s="73">
        <v>0.0</v>
      </c>
      <c r="T86" s="73">
        <v>2.0</v>
      </c>
      <c r="U86" s="73">
        <v>1.0</v>
      </c>
      <c r="V86" s="73">
        <v>1.0</v>
      </c>
      <c r="W86" s="73">
        <v>1.0</v>
      </c>
      <c r="X86" s="73">
        <v>1.0</v>
      </c>
      <c r="Y86" s="73">
        <v>0.0</v>
      </c>
      <c r="Z86" s="73">
        <v>0.0</v>
      </c>
      <c r="AA86" s="13">
        <f t="shared" si="20"/>
        <v>19</v>
      </c>
    </row>
    <row r="87" ht="12.75" customHeight="1">
      <c r="A87" s="18"/>
      <c r="B87" s="49"/>
      <c r="C87" s="50" t="s">
        <v>76</v>
      </c>
      <c r="D87" s="51"/>
      <c r="E87" s="73">
        <v>0.0</v>
      </c>
      <c r="F87" s="73">
        <v>0.0</v>
      </c>
      <c r="G87" s="73">
        <v>0.0</v>
      </c>
      <c r="H87" s="73">
        <v>1.0</v>
      </c>
      <c r="I87" s="73">
        <v>0.0</v>
      </c>
      <c r="J87" s="73">
        <v>0.0</v>
      </c>
      <c r="K87" s="73">
        <v>0.0</v>
      </c>
      <c r="L87" s="73">
        <v>0.0</v>
      </c>
      <c r="M87" s="73">
        <v>1.0</v>
      </c>
      <c r="N87" s="73">
        <v>0.0</v>
      </c>
      <c r="O87" s="73">
        <v>1.0</v>
      </c>
      <c r="P87" s="73">
        <v>1.0</v>
      </c>
      <c r="Q87" s="73">
        <v>0.0</v>
      </c>
      <c r="R87" s="73">
        <v>0.0</v>
      </c>
      <c r="S87" s="73">
        <v>0.0</v>
      </c>
      <c r="T87" s="73">
        <v>0.0</v>
      </c>
      <c r="U87" s="73">
        <v>0.0</v>
      </c>
      <c r="V87" s="73">
        <v>0.0</v>
      </c>
      <c r="W87" s="73">
        <v>0.0</v>
      </c>
      <c r="X87" s="73">
        <v>0.0</v>
      </c>
      <c r="Y87" s="73">
        <v>0.0</v>
      </c>
      <c r="Z87" s="73">
        <v>0.0</v>
      </c>
      <c r="AA87" s="13">
        <f t="shared" si="20"/>
        <v>4</v>
      </c>
    </row>
    <row r="88" ht="12.75" customHeight="1">
      <c r="A88" s="18"/>
      <c r="B88" s="49"/>
      <c r="C88" s="50" t="s">
        <v>77</v>
      </c>
      <c r="D88" s="51"/>
      <c r="E88" s="73">
        <v>0.0</v>
      </c>
      <c r="F88" s="73">
        <v>0.0</v>
      </c>
      <c r="G88" s="73">
        <v>0.0</v>
      </c>
      <c r="H88" s="73">
        <v>0.0</v>
      </c>
      <c r="I88" s="73">
        <v>0.0</v>
      </c>
      <c r="J88" s="73">
        <v>0.0</v>
      </c>
      <c r="K88" s="73">
        <v>0.0</v>
      </c>
      <c r="L88" s="73">
        <v>0.0</v>
      </c>
      <c r="M88" s="73">
        <v>0.0</v>
      </c>
      <c r="N88" s="73">
        <v>0.0</v>
      </c>
      <c r="O88" s="73">
        <v>1.0</v>
      </c>
      <c r="P88" s="73">
        <v>0.0</v>
      </c>
      <c r="Q88" s="73">
        <v>0.0</v>
      </c>
      <c r="R88" s="73">
        <v>0.0</v>
      </c>
      <c r="S88" s="73">
        <v>0.0</v>
      </c>
      <c r="T88" s="73">
        <v>0.0</v>
      </c>
      <c r="U88" s="73">
        <v>0.0</v>
      </c>
      <c r="V88" s="73">
        <v>0.0</v>
      </c>
      <c r="W88" s="73">
        <v>0.0</v>
      </c>
      <c r="X88" s="73">
        <v>0.0</v>
      </c>
      <c r="Y88" s="73">
        <v>0.0</v>
      </c>
      <c r="Z88" s="73">
        <v>0.0</v>
      </c>
      <c r="AA88" s="13">
        <f t="shared" si="20"/>
        <v>1</v>
      </c>
    </row>
    <row r="89" ht="12.75" customHeight="1">
      <c r="A89" s="18"/>
      <c r="B89" s="49"/>
      <c r="C89" s="50" t="s">
        <v>78</v>
      </c>
      <c r="D89" s="51"/>
      <c r="E89" s="73">
        <v>0.0</v>
      </c>
      <c r="F89" s="73">
        <v>0.0</v>
      </c>
      <c r="G89" s="73">
        <v>0.0</v>
      </c>
      <c r="H89" s="73">
        <v>0.0</v>
      </c>
      <c r="I89" s="73">
        <v>0.0</v>
      </c>
      <c r="J89" s="73">
        <v>0.0</v>
      </c>
      <c r="K89" s="73">
        <v>1.0</v>
      </c>
      <c r="L89" s="73">
        <v>0.0</v>
      </c>
      <c r="M89" s="73">
        <v>0.0</v>
      </c>
      <c r="N89" s="73">
        <v>0.0</v>
      </c>
      <c r="O89" s="73">
        <v>0.0</v>
      </c>
      <c r="P89" s="73">
        <v>0.0</v>
      </c>
      <c r="Q89" s="73">
        <v>0.0</v>
      </c>
      <c r="R89" s="73">
        <v>1.0</v>
      </c>
      <c r="S89" s="73">
        <v>0.0</v>
      </c>
      <c r="T89" s="73">
        <v>0.0</v>
      </c>
      <c r="U89" s="73">
        <v>0.0</v>
      </c>
      <c r="V89" s="73">
        <v>0.0</v>
      </c>
      <c r="W89" s="73">
        <v>0.0</v>
      </c>
      <c r="X89" s="73">
        <v>1.0</v>
      </c>
      <c r="Y89" s="73">
        <v>0.0</v>
      </c>
      <c r="Z89" s="73">
        <v>0.0</v>
      </c>
      <c r="AA89" s="13">
        <f t="shared" si="20"/>
        <v>3</v>
      </c>
    </row>
    <row r="90" ht="12.75" customHeight="1">
      <c r="A90" s="18"/>
      <c r="B90" s="49"/>
      <c r="C90" s="50" t="s">
        <v>79</v>
      </c>
      <c r="D90" s="51"/>
      <c r="E90" s="73">
        <v>1.0</v>
      </c>
      <c r="F90" s="73">
        <v>0.0</v>
      </c>
      <c r="G90" s="73">
        <v>0.0</v>
      </c>
      <c r="H90" s="73">
        <v>0.0</v>
      </c>
      <c r="I90" s="73">
        <v>1.0</v>
      </c>
      <c r="J90" s="73">
        <v>0.0</v>
      </c>
      <c r="K90" s="73">
        <v>0.0</v>
      </c>
      <c r="L90" s="73">
        <v>2.0</v>
      </c>
      <c r="M90" s="73">
        <v>0.0</v>
      </c>
      <c r="N90" s="73">
        <v>0.0</v>
      </c>
      <c r="O90" s="73">
        <v>0.0</v>
      </c>
      <c r="P90" s="73">
        <v>0.0</v>
      </c>
      <c r="Q90" s="73">
        <v>0.0</v>
      </c>
      <c r="R90" s="73">
        <v>0.0</v>
      </c>
      <c r="S90" s="73">
        <v>2.0</v>
      </c>
      <c r="T90" s="73">
        <v>0.0</v>
      </c>
      <c r="U90" s="73">
        <v>0.0</v>
      </c>
      <c r="V90" s="73">
        <v>0.0</v>
      </c>
      <c r="W90" s="73">
        <v>0.0</v>
      </c>
      <c r="X90" s="73">
        <v>0.0</v>
      </c>
      <c r="Y90" s="73">
        <v>0.0</v>
      </c>
      <c r="Z90" s="73">
        <v>0.0</v>
      </c>
      <c r="AA90" s="13">
        <f t="shared" si="20"/>
        <v>6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A91" si="21">SUM(E81:E90)</f>
        <v>11</v>
      </c>
      <c r="F91" s="13">
        <f t="shared" si="21"/>
        <v>11</v>
      </c>
      <c r="G91" s="13">
        <f t="shared" si="21"/>
        <v>18</v>
      </c>
      <c r="H91" s="13">
        <f t="shared" si="21"/>
        <v>11</v>
      </c>
      <c r="I91" s="13">
        <f t="shared" si="21"/>
        <v>17</v>
      </c>
      <c r="J91" s="13">
        <f t="shared" si="21"/>
        <v>9</v>
      </c>
      <c r="K91" s="13">
        <f t="shared" si="21"/>
        <v>15</v>
      </c>
      <c r="L91" s="13">
        <f t="shared" si="21"/>
        <v>30</v>
      </c>
      <c r="M91" s="13">
        <f t="shared" si="21"/>
        <v>20</v>
      </c>
      <c r="N91" s="13">
        <f t="shared" si="21"/>
        <v>23</v>
      </c>
      <c r="O91" s="13">
        <f t="shared" si="21"/>
        <v>24</v>
      </c>
      <c r="P91" s="13">
        <f t="shared" si="21"/>
        <v>18</v>
      </c>
      <c r="Q91" s="13">
        <f t="shared" si="21"/>
        <v>13</v>
      </c>
      <c r="R91" s="13">
        <f t="shared" si="21"/>
        <v>17</v>
      </c>
      <c r="S91" s="13">
        <f t="shared" si="21"/>
        <v>7</v>
      </c>
      <c r="T91" s="13">
        <f t="shared" si="21"/>
        <v>7</v>
      </c>
      <c r="U91" s="13">
        <f t="shared" si="21"/>
        <v>7</v>
      </c>
      <c r="V91" s="13">
        <f t="shared" si="21"/>
        <v>14</v>
      </c>
      <c r="W91" s="13">
        <f t="shared" si="21"/>
        <v>11</v>
      </c>
      <c r="X91" s="13">
        <f t="shared" si="21"/>
        <v>6</v>
      </c>
      <c r="Y91" s="13">
        <f t="shared" si="21"/>
        <v>1</v>
      </c>
      <c r="Z91" s="13">
        <f t="shared" si="21"/>
        <v>0</v>
      </c>
      <c r="AA91" s="13">
        <f t="shared" si="21"/>
        <v>290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2.0</v>
      </c>
      <c r="F93" s="73">
        <v>1.0</v>
      </c>
      <c r="G93" s="73">
        <v>1.0</v>
      </c>
      <c r="H93" s="73">
        <v>6.0</v>
      </c>
      <c r="I93" s="73">
        <v>0.0</v>
      </c>
      <c r="J93" s="73">
        <v>2.0</v>
      </c>
      <c r="K93" s="73">
        <v>1.0</v>
      </c>
      <c r="L93" s="73">
        <v>0.0</v>
      </c>
      <c r="M93" s="73">
        <v>0.0</v>
      </c>
      <c r="N93" s="73">
        <v>1.0</v>
      </c>
      <c r="O93" s="73">
        <v>5.0</v>
      </c>
      <c r="P93" s="73">
        <v>0.0</v>
      </c>
      <c r="Q93" s="73">
        <v>0.0</v>
      </c>
      <c r="R93" s="73">
        <v>0.0</v>
      </c>
      <c r="S93" s="73">
        <v>0.0</v>
      </c>
      <c r="T93" s="73">
        <v>2.0</v>
      </c>
      <c r="U93" s="73">
        <v>5.0</v>
      </c>
      <c r="V93" s="73">
        <v>0.0</v>
      </c>
      <c r="W93" s="73">
        <v>0.0</v>
      </c>
      <c r="X93" s="73">
        <v>1.0</v>
      </c>
      <c r="Y93" s="73">
        <v>0.0</v>
      </c>
      <c r="Z93" s="73">
        <v>4.0</v>
      </c>
      <c r="AA93" s="13">
        <f t="shared" ref="AA93:AA102" si="22">SUM(E93:Z93)</f>
        <v>31</v>
      </c>
    </row>
    <row r="94" ht="12.75" customHeight="1">
      <c r="A94" s="30" t="s">
        <v>39</v>
      </c>
      <c r="B94" s="49"/>
      <c r="C94" s="50" t="s">
        <v>82</v>
      </c>
      <c r="D94" s="56"/>
      <c r="E94" s="73">
        <v>2.0</v>
      </c>
      <c r="F94" s="73">
        <v>1.0</v>
      </c>
      <c r="G94" s="73">
        <v>1.0</v>
      </c>
      <c r="H94" s="73">
        <v>24.0</v>
      </c>
      <c r="I94" s="73">
        <v>3.0</v>
      </c>
      <c r="J94" s="73">
        <v>2.0</v>
      </c>
      <c r="K94" s="73">
        <v>0.0</v>
      </c>
      <c r="L94" s="73">
        <v>2.0</v>
      </c>
      <c r="M94" s="73">
        <v>6.0</v>
      </c>
      <c r="N94" s="73">
        <v>3.0</v>
      </c>
      <c r="O94" s="73">
        <v>3.0</v>
      </c>
      <c r="P94" s="73">
        <v>1.0</v>
      </c>
      <c r="Q94" s="73">
        <v>0.0</v>
      </c>
      <c r="R94" s="73">
        <v>1.0</v>
      </c>
      <c r="S94" s="73">
        <v>0.0</v>
      </c>
      <c r="T94" s="73">
        <v>7.0</v>
      </c>
      <c r="U94" s="73">
        <v>8.0</v>
      </c>
      <c r="V94" s="73">
        <v>0.0</v>
      </c>
      <c r="W94" s="73">
        <v>3.0</v>
      </c>
      <c r="X94" s="73">
        <v>3.0</v>
      </c>
      <c r="Y94" s="73">
        <v>2.0</v>
      </c>
      <c r="Z94" s="73">
        <v>8.0</v>
      </c>
      <c r="AA94" s="13">
        <f t="shared" si="22"/>
        <v>80</v>
      </c>
    </row>
    <row r="95" ht="12.75" customHeight="1">
      <c r="A95" s="18"/>
      <c r="B95" s="49"/>
      <c r="C95" s="50" t="s">
        <v>83</v>
      </c>
      <c r="D95" s="56"/>
      <c r="E95" s="73">
        <v>0.0</v>
      </c>
      <c r="F95" s="73">
        <v>0.0</v>
      </c>
      <c r="G95" s="73">
        <v>0.0</v>
      </c>
      <c r="H95" s="73">
        <v>2.0</v>
      </c>
      <c r="I95" s="73">
        <v>0.0</v>
      </c>
      <c r="J95" s="73">
        <v>1.0</v>
      </c>
      <c r="K95" s="73">
        <v>0.0</v>
      </c>
      <c r="L95" s="73">
        <v>1.0</v>
      </c>
      <c r="M95" s="73">
        <v>1.0</v>
      </c>
      <c r="N95" s="73">
        <v>0.0</v>
      </c>
      <c r="O95" s="73">
        <v>0.0</v>
      </c>
      <c r="P95" s="73">
        <v>0.0</v>
      </c>
      <c r="Q95" s="73">
        <v>0.0</v>
      </c>
      <c r="R95" s="73">
        <v>0.0</v>
      </c>
      <c r="S95" s="73">
        <v>0.0</v>
      </c>
      <c r="T95" s="73">
        <v>1.0</v>
      </c>
      <c r="U95" s="73">
        <v>1.0</v>
      </c>
      <c r="V95" s="73">
        <v>0.0</v>
      </c>
      <c r="W95" s="73">
        <v>0.0</v>
      </c>
      <c r="X95" s="73">
        <v>0.0</v>
      </c>
      <c r="Y95" s="73">
        <v>0.0</v>
      </c>
      <c r="Z95" s="73">
        <v>1.0</v>
      </c>
      <c r="AA95" s="13">
        <f t="shared" si="22"/>
        <v>8</v>
      </c>
    </row>
    <row r="96" ht="12.75" customHeight="1">
      <c r="A96" s="18"/>
      <c r="B96" s="49"/>
      <c r="C96" s="50" t="s">
        <v>84</v>
      </c>
      <c r="D96" s="56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1.0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73">
        <v>0.0</v>
      </c>
      <c r="U96" s="73">
        <v>1.0</v>
      </c>
      <c r="V96" s="73">
        <v>0.0</v>
      </c>
      <c r="W96" s="73">
        <v>0.0</v>
      </c>
      <c r="X96" s="73">
        <v>0.0</v>
      </c>
      <c r="Y96" s="73">
        <v>0.0</v>
      </c>
      <c r="Z96" s="73">
        <v>0.0</v>
      </c>
      <c r="AA96" s="13">
        <f t="shared" si="22"/>
        <v>2</v>
      </c>
    </row>
    <row r="97" ht="12.75" customHeight="1">
      <c r="A97" s="18"/>
      <c r="B97" s="49"/>
      <c r="C97" s="50" t="s">
        <v>85</v>
      </c>
      <c r="D97" s="56"/>
      <c r="E97" s="73">
        <v>0.0</v>
      </c>
      <c r="F97" s="73">
        <v>0.0</v>
      </c>
      <c r="G97" s="73">
        <v>0.0</v>
      </c>
      <c r="H97" s="73">
        <v>2.0</v>
      </c>
      <c r="I97" s="73">
        <v>0.0</v>
      </c>
      <c r="J97" s="73">
        <v>0.0</v>
      </c>
      <c r="K97" s="73">
        <v>1.0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0.0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73">
        <v>0.0</v>
      </c>
      <c r="Y97" s="73">
        <v>0.0</v>
      </c>
      <c r="Z97" s="73">
        <v>0.0</v>
      </c>
      <c r="AA97" s="13">
        <f t="shared" si="22"/>
        <v>3</v>
      </c>
    </row>
    <row r="98" ht="12.75" customHeight="1">
      <c r="A98" s="18"/>
      <c r="B98" s="49"/>
      <c r="C98" s="50" t="s">
        <v>86</v>
      </c>
      <c r="D98" s="51"/>
      <c r="E98" s="73">
        <v>1.0</v>
      </c>
      <c r="F98" s="73">
        <v>0.0</v>
      </c>
      <c r="G98" s="73">
        <v>0.0</v>
      </c>
      <c r="H98" s="73">
        <v>0.0</v>
      </c>
      <c r="I98" s="73">
        <v>1.0</v>
      </c>
      <c r="J98" s="73">
        <v>0.0</v>
      </c>
      <c r="K98" s="73">
        <v>1.0</v>
      </c>
      <c r="L98" s="73">
        <v>1.0</v>
      </c>
      <c r="M98" s="73">
        <v>0.0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73">
        <v>0.0</v>
      </c>
      <c r="Z98" s="73">
        <v>0.0</v>
      </c>
      <c r="AA98" s="13">
        <f t="shared" si="22"/>
        <v>4</v>
      </c>
    </row>
    <row r="99" ht="12.75" customHeight="1">
      <c r="A99" s="18"/>
      <c r="B99" s="49"/>
      <c r="C99" s="50" t="s">
        <v>87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1.0</v>
      </c>
      <c r="K99" s="73">
        <v>0.0</v>
      </c>
      <c r="L99" s="73">
        <v>0.0</v>
      </c>
      <c r="M99" s="73">
        <v>0.0</v>
      </c>
      <c r="N99" s="73">
        <v>1.0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1.0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0.0</v>
      </c>
      <c r="AA99" s="13">
        <f t="shared" si="22"/>
        <v>3</v>
      </c>
    </row>
    <row r="100" ht="12.75" customHeight="1">
      <c r="A100" s="18"/>
      <c r="B100" s="49"/>
      <c r="C100" s="50" t="s">
        <v>88</v>
      </c>
      <c r="D100" s="56"/>
      <c r="E100" s="73">
        <v>0.0</v>
      </c>
      <c r="F100" s="73">
        <v>0.0</v>
      </c>
      <c r="G100" s="73">
        <v>0.0</v>
      </c>
      <c r="H100" s="73">
        <v>0.0</v>
      </c>
      <c r="I100" s="73">
        <v>0.0</v>
      </c>
      <c r="J100" s="73">
        <v>0.0</v>
      </c>
      <c r="K100" s="73">
        <v>0.0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73">
        <v>0.0</v>
      </c>
      <c r="R100" s="73">
        <v>0.0</v>
      </c>
      <c r="S100" s="73">
        <v>0.0</v>
      </c>
      <c r="T100" s="73">
        <v>0.0</v>
      </c>
      <c r="U100" s="73">
        <v>0.0</v>
      </c>
      <c r="V100" s="73">
        <v>1.0</v>
      </c>
      <c r="W100" s="73">
        <v>0.0</v>
      </c>
      <c r="X100" s="73">
        <v>0.0</v>
      </c>
      <c r="Y100" s="73">
        <v>0.0</v>
      </c>
      <c r="Z100" s="73">
        <v>0.0</v>
      </c>
      <c r="AA100" s="13">
        <f t="shared" si="22"/>
        <v>1</v>
      </c>
    </row>
    <row r="101" ht="12.75" customHeight="1">
      <c r="A101" s="18"/>
      <c r="B101" s="49"/>
      <c r="C101" s="50" t="s">
        <v>89</v>
      </c>
      <c r="D101" s="56"/>
      <c r="E101" s="73">
        <v>0.0</v>
      </c>
      <c r="F101" s="73">
        <v>0.0</v>
      </c>
      <c r="G101" s="73">
        <v>0.0</v>
      </c>
      <c r="H101" s="73">
        <v>0.0</v>
      </c>
      <c r="I101" s="73">
        <v>0.0</v>
      </c>
      <c r="J101" s="73">
        <v>0.0</v>
      </c>
      <c r="K101" s="73">
        <v>0.0</v>
      </c>
      <c r="L101" s="73">
        <v>0.0</v>
      </c>
      <c r="M101" s="73">
        <v>0.0</v>
      </c>
      <c r="N101" s="73">
        <v>0.0</v>
      </c>
      <c r="O101" s="73">
        <v>0.0</v>
      </c>
      <c r="P101" s="73">
        <v>0.0</v>
      </c>
      <c r="Q101" s="73">
        <v>0.0</v>
      </c>
      <c r="R101" s="73">
        <v>0.0</v>
      </c>
      <c r="S101" s="73">
        <v>0.0</v>
      </c>
      <c r="T101" s="73">
        <v>0.0</v>
      </c>
      <c r="U101" s="73">
        <v>0.0</v>
      </c>
      <c r="V101" s="73">
        <v>0.0</v>
      </c>
      <c r="W101" s="73">
        <v>0.0</v>
      </c>
      <c r="X101" s="73">
        <v>0.0</v>
      </c>
      <c r="Y101" s="73">
        <v>0.0</v>
      </c>
      <c r="Z101" s="73">
        <v>0.0</v>
      </c>
      <c r="AA101" s="13">
        <f t="shared" si="22"/>
        <v>0</v>
      </c>
    </row>
    <row r="102" ht="12.75" customHeight="1">
      <c r="A102" s="18"/>
      <c r="B102" s="49"/>
      <c r="C102" s="50" t="s">
        <v>90</v>
      </c>
      <c r="D102" s="56"/>
      <c r="E102" s="73">
        <v>0.0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0.0</v>
      </c>
      <c r="L102" s="73">
        <v>0.0</v>
      </c>
      <c r="M102" s="73">
        <v>1.0</v>
      </c>
      <c r="N102" s="73">
        <v>0.0</v>
      </c>
      <c r="O102" s="73">
        <v>0.0</v>
      </c>
      <c r="P102" s="73">
        <v>0.0</v>
      </c>
      <c r="Q102" s="73">
        <v>0.0</v>
      </c>
      <c r="R102" s="73">
        <v>0.0</v>
      </c>
      <c r="S102" s="73">
        <v>0.0</v>
      </c>
      <c r="T102" s="73">
        <v>0.0</v>
      </c>
      <c r="U102" s="73">
        <v>0.0</v>
      </c>
      <c r="V102" s="73">
        <v>0.0</v>
      </c>
      <c r="W102" s="73">
        <v>0.0</v>
      </c>
      <c r="X102" s="73">
        <v>0.0</v>
      </c>
      <c r="Y102" s="73">
        <v>0.0</v>
      </c>
      <c r="Z102" s="73">
        <v>0.0</v>
      </c>
      <c r="AA102" s="13">
        <f t="shared" si="22"/>
        <v>1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A103" si="23">SUM(E93:E102)</f>
        <v>5</v>
      </c>
      <c r="F103" s="13">
        <f t="shared" si="23"/>
        <v>2</v>
      </c>
      <c r="G103" s="13">
        <f t="shared" si="23"/>
        <v>2</v>
      </c>
      <c r="H103" s="13">
        <f t="shared" si="23"/>
        <v>34</v>
      </c>
      <c r="I103" s="13">
        <f t="shared" si="23"/>
        <v>4</v>
      </c>
      <c r="J103" s="13">
        <f t="shared" si="23"/>
        <v>6</v>
      </c>
      <c r="K103" s="13">
        <f t="shared" si="23"/>
        <v>3</v>
      </c>
      <c r="L103" s="13">
        <f t="shared" si="23"/>
        <v>4</v>
      </c>
      <c r="M103" s="13">
        <f t="shared" si="23"/>
        <v>9</v>
      </c>
      <c r="N103" s="13">
        <f t="shared" si="23"/>
        <v>5</v>
      </c>
      <c r="O103" s="13">
        <f t="shared" si="23"/>
        <v>8</v>
      </c>
      <c r="P103" s="13">
        <f t="shared" si="23"/>
        <v>1</v>
      </c>
      <c r="Q103" s="13">
        <f t="shared" si="23"/>
        <v>0</v>
      </c>
      <c r="R103" s="13">
        <f t="shared" si="23"/>
        <v>1</v>
      </c>
      <c r="S103" s="13">
        <f t="shared" si="23"/>
        <v>0</v>
      </c>
      <c r="T103" s="13">
        <f t="shared" si="23"/>
        <v>11</v>
      </c>
      <c r="U103" s="13">
        <f t="shared" si="23"/>
        <v>15</v>
      </c>
      <c r="V103" s="13">
        <f t="shared" si="23"/>
        <v>1</v>
      </c>
      <c r="W103" s="13">
        <f t="shared" si="23"/>
        <v>3</v>
      </c>
      <c r="X103" s="13">
        <f t="shared" si="23"/>
        <v>4</v>
      </c>
      <c r="Y103" s="13">
        <f t="shared" si="23"/>
        <v>2</v>
      </c>
      <c r="Z103" s="13">
        <f t="shared" si="23"/>
        <v>13</v>
      </c>
      <c r="AA103" s="13">
        <f t="shared" si="23"/>
        <v>133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0.0</v>
      </c>
      <c r="F105" s="73">
        <v>2.0</v>
      </c>
      <c r="G105" s="73">
        <v>1.0</v>
      </c>
      <c r="H105" s="73">
        <v>0.0</v>
      </c>
      <c r="I105" s="73">
        <v>0.0</v>
      </c>
      <c r="J105" s="73">
        <v>0.0</v>
      </c>
      <c r="K105" s="73">
        <v>3.0</v>
      </c>
      <c r="L105" s="73">
        <v>1.0</v>
      </c>
      <c r="M105" s="73">
        <v>1.0</v>
      </c>
      <c r="N105" s="73">
        <v>0.0</v>
      </c>
      <c r="O105" s="73">
        <v>0.0</v>
      </c>
      <c r="P105" s="73">
        <v>0.0</v>
      </c>
      <c r="Q105" s="73">
        <v>0.0</v>
      </c>
      <c r="R105" s="73">
        <v>1.0</v>
      </c>
      <c r="S105" s="73">
        <v>0.0</v>
      </c>
      <c r="T105" s="73">
        <v>2.0</v>
      </c>
      <c r="U105" s="73">
        <v>0.0</v>
      </c>
      <c r="V105" s="73">
        <v>2.0</v>
      </c>
      <c r="W105" s="73">
        <v>0.0</v>
      </c>
      <c r="X105" s="73">
        <v>1.0</v>
      </c>
      <c r="Y105" s="73">
        <v>1.0</v>
      </c>
      <c r="Z105" s="73">
        <v>1.0</v>
      </c>
      <c r="AA105" s="13">
        <f t="shared" ref="AA105:AA114" si="24">SUM(E105:Z105)</f>
        <v>16</v>
      </c>
    </row>
    <row r="106" ht="12.75" customHeight="1">
      <c r="A106" s="30" t="s">
        <v>39</v>
      </c>
      <c r="B106" s="49"/>
      <c r="C106" s="50" t="s">
        <v>93</v>
      </c>
      <c r="D106" s="51"/>
      <c r="E106" s="73">
        <v>0.0</v>
      </c>
      <c r="F106" s="73">
        <v>0.0</v>
      </c>
      <c r="G106" s="73">
        <v>0.0</v>
      </c>
      <c r="H106" s="73">
        <v>0.0</v>
      </c>
      <c r="I106" s="73">
        <v>0.0</v>
      </c>
      <c r="J106" s="73">
        <v>0.0</v>
      </c>
      <c r="K106" s="73">
        <v>1.0</v>
      </c>
      <c r="L106" s="73">
        <v>0.0</v>
      </c>
      <c r="M106" s="73">
        <v>0.0</v>
      </c>
      <c r="N106" s="73">
        <v>0.0</v>
      </c>
      <c r="O106" s="73">
        <v>0.0</v>
      </c>
      <c r="P106" s="73">
        <v>0.0</v>
      </c>
      <c r="Q106" s="73">
        <v>0.0</v>
      </c>
      <c r="R106" s="73">
        <v>0.0</v>
      </c>
      <c r="S106" s="73">
        <v>0.0</v>
      </c>
      <c r="T106" s="73">
        <v>0.0</v>
      </c>
      <c r="U106" s="73">
        <v>0.0</v>
      </c>
      <c r="V106" s="73">
        <v>0.0</v>
      </c>
      <c r="W106" s="73">
        <v>0.0</v>
      </c>
      <c r="X106" s="73">
        <v>0.0</v>
      </c>
      <c r="Y106" s="73">
        <v>0.0</v>
      </c>
      <c r="Z106" s="73">
        <v>1.0</v>
      </c>
      <c r="AA106" s="13">
        <f t="shared" si="24"/>
        <v>2</v>
      </c>
    </row>
    <row r="107" ht="12.75" customHeight="1">
      <c r="A107" s="18"/>
      <c r="B107" s="49"/>
      <c r="C107" s="50" t="s">
        <v>94</v>
      </c>
      <c r="D107" s="51"/>
      <c r="E107" s="73">
        <v>1.0</v>
      </c>
      <c r="F107" s="73">
        <v>0.0</v>
      </c>
      <c r="G107" s="73">
        <v>0.0</v>
      </c>
      <c r="H107" s="73">
        <v>0.0</v>
      </c>
      <c r="I107" s="73">
        <v>0.0</v>
      </c>
      <c r="J107" s="73">
        <v>0.0</v>
      </c>
      <c r="K107" s="73">
        <v>0.0</v>
      </c>
      <c r="L107" s="73">
        <v>0.0</v>
      </c>
      <c r="M107" s="73">
        <v>0.0</v>
      </c>
      <c r="N107" s="73">
        <v>0.0</v>
      </c>
      <c r="O107" s="73">
        <v>0.0</v>
      </c>
      <c r="P107" s="73">
        <v>0.0</v>
      </c>
      <c r="Q107" s="73">
        <v>1.0</v>
      </c>
      <c r="R107" s="73">
        <v>0.0</v>
      </c>
      <c r="S107" s="73">
        <v>0.0</v>
      </c>
      <c r="T107" s="73">
        <v>0.0</v>
      </c>
      <c r="U107" s="73">
        <v>0.0</v>
      </c>
      <c r="V107" s="73">
        <v>0.0</v>
      </c>
      <c r="W107" s="73">
        <v>0.0</v>
      </c>
      <c r="X107" s="73">
        <v>0.0</v>
      </c>
      <c r="Y107" s="73">
        <v>0.0</v>
      </c>
      <c r="Z107" s="73">
        <v>0.0</v>
      </c>
      <c r="AA107" s="13">
        <f t="shared" si="24"/>
        <v>2</v>
      </c>
    </row>
    <row r="108" ht="12.75" customHeight="1">
      <c r="A108" s="18"/>
      <c r="B108" s="57"/>
      <c r="C108" s="58"/>
      <c r="D108" s="59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3">
        <f t="shared" si="24"/>
        <v>0</v>
      </c>
    </row>
    <row r="109" ht="12.75" customHeight="1">
      <c r="A109" s="18"/>
      <c r="B109" s="57"/>
      <c r="C109" s="58"/>
      <c r="D109" s="59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3">
        <f t="shared" si="24"/>
        <v>0</v>
      </c>
    </row>
    <row r="110" ht="12.75" customHeight="1">
      <c r="A110" s="18"/>
      <c r="B110" s="57"/>
      <c r="C110" s="58"/>
      <c r="D110" s="59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3">
        <f t="shared" si="24"/>
        <v>0</v>
      </c>
    </row>
    <row r="111" ht="12.75" customHeight="1">
      <c r="A111" s="18"/>
      <c r="B111" s="57"/>
      <c r="C111" s="58"/>
      <c r="D111" s="59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3">
        <f t="shared" si="24"/>
        <v>0</v>
      </c>
    </row>
    <row r="112" ht="12.75" customHeight="1">
      <c r="A112" s="18"/>
      <c r="B112" s="57"/>
      <c r="C112" s="58"/>
      <c r="D112" s="59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3">
        <f t="shared" si="24"/>
        <v>0</v>
      </c>
    </row>
    <row r="113" ht="12.75" customHeight="1">
      <c r="A113" s="18"/>
      <c r="B113" s="57"/>
      <c r="C113" s="58"/>
      <c r="D113" s="59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3">
        <f t="shared" si="24"/>
        <v>0</v>
      </c>
    </row>
    <row r="114" ht="12.75" customHeight="1">
      <c r="A114" s="18"/>
      <c r="B114" s="57"/>
      <c r="C114" s="58"/>
      <c r="D114" s="59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3">
        <f t="shared" si="24"/>
        <v>0</v>
      </c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A115" si="25">SUM(E105:E114)</f>
        <v>1</v>
      </c>
      <c r="F115" s="13">
        <f t="shared" si="25"/>
        <v>2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4</v>
      </c>
      <c r="L115" s="13">
        <f t="shared" si="25"/>
        <v>1</v>
      </c>
      <c r="M115" s="13">
        <f t="shared" si="25"/>
        <v>1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1</v>
      </c>
      <c r="R115" s="13">
        <f t="shared" si="25"/>
        <v>1</v>
      </c>
      <c r="S115" s="13">
        <f t="shared" si="25"/>
        <v>0</v>
      </c>
      <c r="T115" s="13">
        <f t="shared" si="25"/>
        <v>2</v>
      </c>
      <c r="U115" s="13">
        <f t="shared" si="25"/>
        <v>0</v>
      </c>
      <c r="V115" s="13">
        <f t="shared" si="25"/>
        <v>2</v>
      </c>
      <c r="W115" s="13">
        <f t="shared" si="25"/>
        <v>0</v>
      </c>
      <c r="X115" s="13">
        <f t="shared" si="25"/>
        <v>1</v>
      </c>
      <c r="Y115" s="13">
        <f t="shared" si="25"/>
        <v>1</v>
      </c>
      <c r="Z115" s="13">
        <f t="shared" si="25"/>
        <v>2</v>
      </c>
      <c r="AA115" s="13">
        <f t="shared" si="25"/>
        <v>20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0.0</v>
      </c>
      <c r="F117" s="73">
        <v>0.0</v>
      </c>
      <c r="G117" s="73">
        <v>0.0</v>
      </c>
      <c r="H117" s="73">
        <v>1.0</v>
      </c>
      <c r="I117" s="73">
        <v>0.0</v>
      </c>
      <c r="J117" s="73">
        <v>1.0</v>
      </c>
      <c r="K117" s="73">
        <v>0.0</v>
      </c>
      <c r="L117" s="73">
        <v>0.0</v>
      </c>
      <c r="M117" s="73">
        <v>0.0</v>
      </c>
      <c r="N117" s="73">
        <v>2.0</v>
      </c>
      <c r="O117" s="73">
        <v>2.0</v>
      </c>
      <c r="P117" s="73">
        <v>0.0</v>
      </c>
      <c r="Q117" s="73">
        <v>0.0</v>
      </c>
      <c r="R117" s="73">
        <v>2.0</v>
      </c>
      <c r="S117" s="73">
        <v>2.0</v>
      </c>
      <c r="T117" s="73">
        <v>1.0</v>
      </c>
      <c r="U117" s="73">
        <v>1.0</v>
      </c>
      <c r="V117" s="73">
        <v>0.0</v>
      </c>
      <c r="W117" s="73">
        <v>1.0</v>
      </c>
      <c r="X117" s="73">
        <v>0.0</v>
      </c>
      <c r="Y117" s="73">
        <v>3.0</v>
      </c>
      <c r="Z117" s="73">
        <v>1.0</v>
      </c>
      <c r="AA117" s="13">
        <f t="shared" ref="AA117:AA126" si="26">SUM(E117:Z117)</f>
        <v>17</v>
      </c>
    </row>
    <row r="118" ht="12.75" customHeight="1">
      <c r="A118" s="30" t="s">
        <v>39</v>
      </c>
      <c r="B118" s="49"/>
      <c r="C118" s="50" t="s">
        <v>97</v>
      </c>
      <c r="D118" s="51"/>
      <c r="E118" s="73">
        <v>1.0</v>
      </c>
      <c r="F118" s="73">
        <v>0.0</v>
      </c>
      <c r="G118" s="73">
        <v>0.0</v>
      </c>
      <c r="H118" s="73">
        <v>0.0</v>
      </c>
      <c r="I118" s="73">
        <v>0.0</v>
      </c>
      <c r="J118" s="73">
        <v>0.0</v>
      </c>
      <c r="K118" s="73">
        <v>0.0</v>
      </c>
      <c r="L118" s="73">
        <v>0.0</v>
      </c>
      <c r="M118" s="73">
        <v>0.0</v>
      </c>
      <c r="N118" s="73">
        <v>0.0</v>
      </c>
      <c r="O118" s="73">
        <v>0.0</v>
      </c>
      <c r="P118" s="73">
        <v>2.0</v>
      </c>
      <c r="Q118" s="73">
        <v>1.0</v>
      </c>
      <c r="R118" s="73">
        <v>0.0</v>
      </c>
      <c r="S118" s="73">
        <v>0.0</v>
      </c>
      <c r="T118" s="73">
        <v>0.0</v>
      </c>
      <c r="U118" s="73">
        <v>0.0</v>
      </c>
      <c r="V118" s="73">
        <v>1.0</v>
      </c>
      <c r="W118" s="73">
        <v>1.0</v>
      </c>
      <c r="X118" s="73">
        <v>0.0</v>
      </c>
      <c r="Y118" s="73">
        <v>1.0</v>
      </c>
      <c r="Z118" s="73">
        <v>0.0</v>
      </c>
      <c r="AA118" s="13">
        <f t="shared" si="26"/>
        <v>7</v>
      </c>
    </row>
    <row r="119" ht="12.75" customHeight="1">
      <c r="A119" s="18"/>
      <c r="B119" s="49"/>
      <c r="C119" s="50" t="s">
        <v>98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0.0</v>
      </c>
      <c r="W119" s="73">
        <v>1.0</v>
      </c>
      <c r="X119" s="73">
        <v>0.0</v>
      </c>
      <c r="Y119" s="73">
        <v>0.0</v>
      </c>
      <c r="Z119" s="73">
        <v>0.0</v>
      </c>
      <c r="AA119" s="13">
        <f t="shared" si="26"/>
        <v>1</v>
      </c>
    </row>
    <row r="120" ht="12.75" customHeight="1">
      <c r="A120" s="18"/>
      <c r="B120" s="49"/>
      <c r="C120" s="50" t="s">
        <v>99</v>
      </c>
      <c r="D120" s="51"/>
      <c r="E120" s="73">
        <v>0.0</v>
      </c>
      <c r="F120" s="73">
        <v>0.0</v>
      </c>
      <c r="G120" s="73">
        <v>0.0</v>
      </c>
      <c r="H120" s="73">
        <v>2.0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13">
        <f t="shared" si="26"/>
        <v>2</v>
      </c>
    </row>
    <row r="121" ht="12.75" customHeight="1">
      <c r="A121" s="18"/>
      <c r="B121" s="49"/>
      <c r="C121" s="50" t="s">
        <v>100</v>
      </c>
      <c r="D121" s="51"/>
      <c r="E121" s="73">
        <v>0.0</v>
      </c>
      <c r="F121" s="73">
        <v>1.0</v>
      </c>
      <c r="G121" s="73">
        <v>0.0</v>
      </c>
      <c r="H121" s="73">
        <v>0.0</v>
      </c>
      <c r="I121" s="73">
        <v>0.0</v>
      </c>
      <c r="J121" s="73">
        <v>0.0</v>
      </c>
      <c r="K121" s="73">
        <v>0.0</v>
      </c>
      <c r="L121" s="73">
        <v>0.0</v>
      </c>
      <c r="M121" s="73">
        <v>0.0</v>
      </c>
      <c r="N121" s="73">
        <v>1.0</v>
      </c>
      <c r="O121" s="73">
        <v>0.0</v>
      </c>
      <c r="P121" s="73">
        <v>0.0</v>
      </c>
      <c r="Q121" s="73">
        <v>0.0</v>
      </c>
      <c r="R121" s="73">
        <v>0.0</v>
      </c>
      <c r="S121" s="73">
        <v>0.0</v>
      </c>
      <c r="T121" s="73">
        <v>1.0</v>
      </c>
      <c r="U121" s="73">
        <v>0.0</v>
      </c>
      <c r="V121" s="73">
        <v>1.0</v>
      </c>
      <c r="W121" s="73">
        <v>0.0</v>
      </c>
      <c r="X121" s="73">
        <v>0.0</v>
      </c>
      <c r="Y121" s="73">
        <v>1.0</v>
      </c>
      <c r="Z121" s="73">
        <v>0.0</v>
      </c>
      <c r="AA121" s="13">
        <f t="shared" si="26"/>
        <v>5</v>
      </c>
    </row>
    <row r="122" ht="12.75" customHeight="1">
      <c r="A122" s="18"/>
      <c r="B122" s="49"/>
      <c r="C122" s="50" t="s">
        <v>101</v>
      </c>
      <c r="D122" s="51"/>
      <c r="E122" s="73">
        <v>0.0</v>
      </c>
      <c r="F122" s="73">
        <v>0.0</v>
      </c>
      <c r="G122" s="73">
        <v>0.0</v>
      </c>
      <c r="H122" s="73">
        <v>0.0</v>
      </c>
      <c r="I122" s="73">
        <v>0.0</v>
      </c>
      <c r="J122" s="73">
        <v>0.0</v>
      </c>
      <c r="K122" s="73">
        <v>0.0</v>
      </c>
      <c r="L122" s="73">
        <v>0.0</v>
      </c>
      <c r="M122" s="73">
        <v>0.0</v>
      </c>
      <c r="N122" s="73">
        <v>0.0</v>
      </c>
      <c r="O122" s="73">
        <v>0.0</v>
      </c>
      <c r="P122" s="73">
        <v>0.0</v>
      </c>
      <c r="Q122" s="73">
        <v>0.0</v>
      </c>
      <c r="R122" s="73">
        <v>0.0</v>
      </c>
      <c r="S122" s="73">
        <v>0.0</v>
      </c>
      <c r="T122" s="73">
        <v>0.0</v>
      </c>
      <c r="U122" s="73">
        <v>1.0</v>
      </c>
      <c r="V122" s="73">
        <v>0.0</v>
      </c>
      <c r="W122" s="73">
        <v>0.0</v>
      </c>
      <c r="X122" s="73">
        <v>0.0</v>
      </c>
      <c r="Y122" s="73">
        <v>0.0</v>
      </c>
      <c r="Z122" s="73">
        <v>0.0</v>
      </c>
      <c r="AA122" s="13">
        <f t="shared" si="26"/>
        <v>1</v>
      </c>
    </row>
    <row r="123" ht="12.75" customHeight="1">
      <c r="A123" s="18"/>
      <c r="B123" s="57"/>
      <c r="C123" s="58"/>
      <c r="D123" s="59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13">
        <f t="shared" si="26"/>
        <v>0</v>
      </c>
    </row>
    <row r="124" ht="12.75" customHeight="1">
      <c r="A124" s="18"/>
      <c r="B124" s="57"/>
      <c r="C124" s="58"/>
      <c r="D124" s="59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13">
        <f t="shared" si="26"/>
        <v>0</v>
      </c>
    </row>
    <row r="125" ht="12.75" customHeight="1">
      <c r="A125" s="18"/>
      <c r="B125" s="57"/>
      <c r="C125" s="58"/>
      <c r="D125" s="59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13">
        <f t="shared" si="26"/>
        <v>0</v>
      </c>
    </row>
    <row r="126" ht="12.75" customHeight="1">
      <c r="A126" s="18"/>
      <c r="B126" s="57"/>
      <c r="C126" s="58"/>
      <c r="D126" s="59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13">
        <f t="shared" si="26"/>
        <v>0</v>
      </c>
    </row>
    <row r="127" ht="12.75" customHeight="1">
      <c r="A127" s="19" t="s">
        <v>15</v>
      </c>
      <c r="B127" s="47" t="s">
        <v>49</v>
      </c>
      <c r="C127" s="15"/>
      <c r="D127" s="16"/>
      <c r="E127" s="13">
        <f t="shared" ref="E127:AA127" si="27">SUM(E117:E126)</f>
        <v>1</v>
      </c>
      <c r="F127" s="13">
        <f t="shared" si="27"/>
        <v>1</v>
      </c>
      <c r="G127" s="13">
        <f t="shared" si="27"/>
        <v>0</v>
      </c>
      <c r="H127" s="13">
        <f t="shared" si="27"/>
        <v>3</v>
      </c>
      <c r="I127" s="13">
        <f t="shared" si="27"/>
        <v>0</v>
      </c>
      <c r="J127" s="13">
        <f t="shared" si="27"/>
        <v>1</v>
      </c>
      <c r="K127" s="13">
        <f t="shared" si="27"/>
        <v>0</v>
      </c>
      <c r="L127" s="13">
        <f t="shared" si="27"/>
        <v>0</v>
      </c>
      <c r="M127" s="13">
        <f t="shared" si="27"/>
        <v>0</v>
      </c>
      <c r="N127" s="13">
        <f t="shared" si="27"/>
        <v>3</v>
      </c>
      <c r="O127" s="13">
        <f t="shared" si="27"/>
        <v>2</v>
      </c>
      <c r="P127" s="13">
        <f t="shared" si="27"/>
        <v>2</v>
      </c>
      <c r="Q127" s="13">
        <f t="shared" si="27"/>
        <v>1</v>
      </c>
      <c r="R127" s="13">
        <f t="shared" si="27"/>
        <v>2</v>
      </c>
      <c r="S127" s="13">
        <f t="shared" si="27"/>
        <v>2</v>
      </c>
      <c r="T127" s="13">
        <f t="shared" si="27"/>
        <v>2</v>
      </c>
      <c r="U127" s="13">
        <f t="shared" si="27"/>
        <v>2</v>
      </c>
      <c r="V127" s="13">
        <f t="shared" si="27"/>
        <v>2</v>
      </c>
      <c r="W127" s="13">
        <f t="shared" si="27"/>
        <v>3</v>
      </c>
      <c r="X127" s="13">
        <f t="shared" si="27"/>
        <v>0</v>
      </c>
      <c r="Y127" s="13">
        <f t="shared" si="27"/>
        <v>5</v>
      </c>
      <c r="Z127" s="13">
        <f t="shared" si="27"/>
        <v>1</v>
      </c>
      <c r="AA127" s="13">
        <f t="shared" si="27"/>
        <v>33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2.0</v>
      </c>
      <c r="F129" s="73">
        <v>2.0</v>
      </c>
      <c r="G129" s="73">
        <v>0.0</v>
      </c>
      <c r="H129" s="73">
        <v>1.0</v>
      </c>
      <c r="I129" s="73">
        <v>4.0</v>
      </c>
      <c r="J129" s="73">
        <v>0.0</v>
      </c>
      <c r="K129" s="73">
        <v>0.0</v>
      </c>
      <c r="L129" s="73">
        <v>0.0</v>
      </c>
      <c r="M129" s="73">
        <v>4.0</v>
      </c>
      <c r="N129" s="73">
        <v>0.0</v>
      </c>
      <c r="O129" s="73">
        <v>1.0</v>
      </c>
      <c r="P129" s="73">
        <v>0.0</v>
      </c>
      <c r="Q129" s="73">
        <v>0.0</v>
      </c>
      <c r="R129" s="73">
        <v>1.0</v>
      </c>
      <c r="S129" s="73">
        <v>0.0</v>
      </c>
      <c r="T129" s="73">
        <v>0.0</v>
      </c>
      <c r="U129" s="73">
        <v>0.0</v>
      </c>
      <c r="V129" s="73">
        <v>1.0</v>
      </c>
      <c r="W129" s="73">
        <v>0.0</v>
      </c>
      <c r="X129" s="73">
        <v>0.0</v>
      </c>
      <c r="Y129" s="73">
        <v>0.0</v>
      </c>
      <c r="Z129" s="73">
        <v>0.0</v>
      </c>
      <c r="AA129" s="13">
        <f t="shared" ref="AA129:AA138" si="28">SUM(E129:Z129)</f>
        <v>16</v>
      </c>
    </row>
    <row r="130" ht="12.75" customHeight="1">
      <c r="A130" s="30" t="s">
        <v>39</v>
      </c>
      <c r="B130" s="49"/>
      <c r="C130" s="50" t="s">
        <v>104</v>
      </c>
      <c r="D130" s="51"/>
      <c r="E130" s="73">
        <v>1.0</v>
      </c>
      <c r="F130" s="73">
        <v>4.0</v>
      </c>
      <c r="G130" s="73">
        <v>0.0</v>
      </c>
      <c r="H130" s="73">
        <v>0.0</v>
      </c>
      <c r="I130" s="73">
        <v>1.0</v>
      </c>
      <c r="J130" s="73">
        <v>0.0</v>
      </c>
      <c r="K130" s="73">
        <v>2.0</v>
      </c>
      <c r="L130" s="73">
        <v>0.0</v>
      </c>
      <c r="M130" s="73">
        <v>2.0</v>
      </c>
      <c r="N130" s="73">
        <v>1.0</v>
      </c>
      <c r="O130" s="73">
        <v>0.0</v>
      </c>
      <c r="P130" s="73">
        <v>0.0</v>
      </c>
      <c r="Q130" s="73">
        <v>0.0</v>
      </c>
      <c r="R130" s="73">
        <v>1.0</v>
      </c>
      <c r="S130" s="73">
        <v>0.0</v>
      </c>
      <c r="T130" s="73">
        <v>2.0</v>
      </c>
      <c r="U130" s="73">
        <v>0.0</v>
      </c>
      <c r="V130" s="73">
        <v>1.0</v>
      </c>
      <c r="W130" s="73">
        <v>0.0</v>
      </c>
      <c r="X130" s="73">
        <v>1.0</v>
      </c>
      <c r="Y130" s="73">
        <v>0.0</v>
      </c>
      <c r="Z130" s="73">
        <v>0.0</v>
      </c>
      <c r="AA130" s="13">
        <f t="shared" si="28"/>
        <v>16</v>
      </c>
    </row>
    <row r="131" ht="12.75" customHeight="1">
      <c r="A131" s="18"/>
      <c r="B131" s="49"/>
      <c r="C131" s="50" t="s">
        <v>105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1.0</v>
      </c>
      <c r="N131" s="73">
        <v>0.0</v>
      </c>
      <c r="O131" s="73">
        <v>0.0</v>
      </c>
      <c r="P131" s="73">
        <v>1.0</v>
      </c>
      <c r="Q131" s="73">
        <v>0.0</v>
      </c>
      <c r="R131" s="73">
        <v>0.0</v>
      </c>
      <c r="S131" s="73">
        <v>0.0</v>
      </c>
      <c r="T131" s="73">
        <v>0.0</v>
      </c>
      <c r="U131" s="73">
        <v>1.0</v>
      </c>
      <c r="V131" s="73">
        <v>0.0</v>
      </c>
      <c r="W131" s="73">
        <v>0.0</v>
      </c>
      <c r="X131" s="73">
        <v>0.0</v>
      </c>
      <c r="Y131" s="73">
        <v>0.0</v>
      </c>
      <c r="Z131" s="73">
        <v>0.0</v>
      </c>
      <c r="AA131" s="13">
        <f t="shared" si="28"/>
        <v>3</v>
      </c>
    </row>
    <row r="132" ht="12.75" customHeight="1">
      <c r="A132" s="18"/>
      <c r="B132" s="49"/>
      <c r="C132" s="50" t="s">
        <v>106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1.0</v>
      </c>
      <c r="T132" s="73">
        <v>0.0</v>
      </c>
      <c r="U132" s="73">
        <v>0.0</v>
      </c>
      <c r="V132" s="73">
        <v>0.0</v>
      </c>
      <c r="W132" s="73">
        <v>0.0</v>
      </c>
      <c r="X132" s="73">
        <v>0.0</v>
      </c>
      <c r="Y132" s="73">
        <v>0.0</v>
      </c>
      <c r="Z132" s="73">
        <v>0.0</v>
      </c>
      <c r="AA132" s="13">
        <f t="shared" si="28"/>
        <v>1</v>
      </c>
    </row>
    <row r="133" ht="12.75" customHeight="1">
      <c r="A133" s="18"/>
      <c r="B133" s="49"/>
      <c r="C133" s="50" t="s">
        <v>107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1.0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13">
        <f t="shared" si="28"/>
        <v>1</v>
      </c>
    </row>
    <row r="134" ht="12.75" customHeight="1">
      <c r="A134" s="18"/>
      <c r="B134" s="49"/>
      <c r="C134" s="50" t="s">
        <v>108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2.0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0.0</v>
      </c>
      <c r="Y134" s="73">
        <v>0.0</v>
      </c>
      <c r="Z134" s="73">
        <v>0.0</v>
      </c>
      <c r="AA134" s="13">
        <f t="shared" si="28"/>
        <v>2</v>
      </c>
    </row>
    <row r="135" ht="12.75" customHeight="1">
      <c r="A135" s="18"/>
      <c r="B135" s="49"/>
      <c r="C135" s="50" t="s">
        <v>109</v>
      </c>
      <c r="D135" s="51"/>
      <c r="E135" s="73">
        <v>0.0</v>
      </c>
      <c r="F135" s="73">
        <v>0.0</v>
      </c>
      <c r="G135" s="73">
        <v>0.0</v>
      </c>
      <c r="H135" s="73">
        <v>1.0</v>
      </c>
      <c r="I135" s="73">
        <v>0.0</v>
      </c>
      <c r="J135" s="73">
        <v>0.0</v>
      </c>
      <c r="K135" s="73">
        <v>1.0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0.0</v>
      </c>
      <c r="AA135" s="13">
        <f t="shared" si="28"/>
        <v>2</v>
      </c>
    </row>
    <row r="136" ht="12.75" customHeight="1">
      <c r="A136" s="18"/>
      <c r="B136" s="49"/>
      <c r="C136" s="50" t="s">
        <v>110</v>
      </c>
      <c r="D136" s="51"/>
      <c r="E136" s="73">
        <v>0.0</v>
      </c>
      <c r="F136" s="73">
        <v>0.0</v>
      </c>
      <c r="G136" s="73">
        <v>2.0</v>
      </c>
      <c r="H136" s="73">
        <v>0.0</v>
      </c>
      <c r="I136" s="73">
        <v>0.0</v>
      </c>
      <c r="J136" s="73">
        <v>0.0</v>
      </c>
      <c r="K136" s="73">
        <v>0.0</v>
      </c>
      <c r="L136" s="73">
        <v>0.0</v>
      </c>
      <c r="M136" s="73">
        <v>0.0</v>
      </c>
      <c r="N136" s="73">
        <v>0.0</v>
      </c>
      <c r="O136" s="73">
        <v>0.0</v>
      </c>
      <c r="P136" s="73">
        <v>0.0</v>
      </c>
      <c r="Q136" s="73">
        <v>0.0</v>
      </c>
      <c r="R136" s="73">
        <v>0.0</v>
      </c>
      <c r="S136" s="73">
        <v>0.0</v>
      </c>
      <c r="T136" s="73">
        <v>0.0</v>
      </c>
      <c r="U136" s="73">
        <v>0.0</v>
      </c>
      <c r="V136" s="73">
        <v>0.0</v>
      </c>
      <c r="W136" s="73">
        <v>0.0</v>
      </c>
      <c r="X136" s="73">
        <v>1.0</v>
      </c>
      <c r="Y136" s="73">
        <v>0.0</v>
      </c>
      <c r="Z136" s="73">
        <v>0.0</v>
      </c>
      <c r="AA136" s="13">
        <f t="shared" si="28"/>
        <v>3</v>
      </c>
    </row>
    <row r="137" ht="12.75" customHeight="1">
      <c r="A137" s="18"/>
      <c r="B137" s="49"/>
      <c r="C137" s="50" t="s">
        <v>111</v>
      </c>
      <c r="D137" s="51"/>
      <c r="E137" s="73">
        <v>0.0</v>
      </c>
      <c r="F137" s="73">
        <v>0.0</v>
      </c>
      <c r="G137" s="73">
        <v>0.0</v>
      </c>
      <c r="H137" s="73">
        <v>0.0</v>
      </c>
      <c r="I137" s="73">
        <v>0.0</v>
      </c>
      <c r="J137" s="73">
        <v>0.0</v>
      </c>
      <c r="K137" s="73">
        <v>0.0</v>
      </c>
      <c r="L137" s="73">
        <v>0.0</v>
      </c>
      <c r="M137" s="73">
        <v>0.0</v>
      </c>
      <c r="N137" s="73">
        <v>0.0</v>
      </c>
      <c r="O137" s="73">
        <v>0.0</v>
      </c>
      <c r="P137" s="73">
        <v>0.0</v>
      </c>
      <c r="Q137" s="73">
        <v>0.0</v>
      </c>
      <c r="R137" s="73">
        <v>0.0</v>
      </c>
      <c r="S137" s="73">
        <v>0.0</v>
      </c>
      <c r="T137" s="73">
        <v>0.0</v>
      </c>
      <c r="U137" s="73">
        <v>0.0</v>
      </c>
      <c r="V137" s="73">
        <v>0.0</v>
      </c>
      <c r="W137" s="73">
        <v>0.0</v>
      </c>
      <c r="X137" s="73">
        <v>0.0</v>
      </c>
      <c r="Y137" s="73">
        <v>0.0</v>
      </c>
      <c r="Z137" s="73">
        <v>0.0</v>
      </c>
      <c r="AA137" s="13">
        <f t="shared" si="28"/>
        <v>0</v>
      </c>
    </row>
    <row r="138" ht="12.75" customHeight="1">
      <c r="A138" s="18"/>
      <c r="B138" s="49"/>
      <c r="C138" s="50" t="s">
        <v>112</v>
      </c>
      <c r="D138" s="51"/>
      <c r="E138" s="73">
        <v>0.0</v>
      </c>
      <c r="F138" s="73">
        <v>0.0</v>
      </c>
      <c r="G138" s="73">
        <v>0.0</v>
      </c>
      <c r="H138" s="73">
        <v>0.0</v>
      </c>
      <c r="I138" s="73">
        <v>0.0</v>
      </c>
      <c r="J138" s="73">
        <v>0.0</v>
      </c>
      <c r="K138" s="73">
        <v>0.0</v>
      </c>
      <c r="L138" s="73">
        <v>0.0</v>
      </c>
      <c r="M138" s="73">
        <v>0.0</v>
      </c>
      <c r="N138" s="73">
        <v>0.0</v>
      </c>
      <c r="O138" s="73">
        <v>0.0</v>
      </c>
      <c r="P138" s="73">
        <v>0.0</v>
      </c>
      <c r="Q138" s="73">
        <v>0.0</v>
      </c>
      <c r="R138" s="73">
        <v>0.0</v>
      </c>
      <c r="S138" s="73">
        <v>0.0</v>
      </c>
      <c r="T138" s="73">
        <v>0.0</v>
      </c>
      <c r="U138" s="73">
        <v>0.0</v>
      </c>
      <c r="V138" s="73">
        <v>0.0</v>
      </c>
      <c r="W138" s="73">
        <v>0.0</v>
      </c>
      <c r="X138" s="73">
        <v>0.0</v>
      </c>
      <c r="Y138" s="73">
        <v>0.0</v>
      </c>
      <c r="Z138" s="73">
        <v>0.0</v>
      </c>
      <c r="AA138" s="13">
        <f t="shared" si="28"/>
        <v>0</v>
      </c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A139" si="29">SUM(E129:E138)</f>
        <v>3</v>
      </c>
      <c r="F139" s="13">
        <f t="shared" si="29"/>
        <v>6</v>
      </c>
      <c r="G139" s="13">
        <f t="shared" si="29"/>
        <v>2</v>
      </c>
      <c r="H139" s="13">
        <f t="shared" si="29"/>
        <v>2</v>
      </c>
      <c r="I139" s="13">
        <f t="shared" si="29"/>
        <v>5</v>
      </c>
      <c r="J139" s="13">
        <f t="shared" si="29"/>
        <v>2</v>
      </c>
      <c r="K139" s="13">
        <f t="shared" si="29"/>
        <v>3</v>
      </c>
      <c r="L139" s="13">
        <f t="shared" si="29"/>
        <v>0</v>
      </c>
      <c r="M139" s="13">
        <f t="shared" si="29"/>
        <v>8</v>
      </c>
      <c r="N139" s="13">
        <f t="shared" si="29"/>
        <v>1</v>
      </c>
      <c r="O139" s="13">
        <f t="shared" si="29"/>
        <v>1</v>
      </c>
      <c r="P139" s="13">
        <f t="shared" si="29"/>
        <v>1</v>
      </c>
      <c r="Q139" s="13">
        <f t="shared" si="29"/>
        <v>0</v>
      </c>
      <c r="R139" s="13">
        <f t="shared" si="29"/>
        <v>2</v>
      </c>
      <c r="S139" s="13">
        <f t="shared" si="29"/>
        <v>1</v>
      </c>
      <c r="T139" s="13">
        <f t="shared" si="29"/>
        <v>2</v>
      </c>
      <c r="U139" s="13">
        <f t="shared" si="29"/>
        <v>1</v>
      </c>
      <c r="V139" s="13">
        <f t="shared" si="29"/>
        <v>2</v>
      </c>
      <c r="W139" s="13">
        <f t="shared" si="29"/>
        <v>0</v>
      </c>
      <c r="X139" s="13">
        <f t="shared" si="29"/>
        <v>2</v>
      </c>
      <c r="Y139" s="13">
        <f t="shared" si="29"/>
        <v>0</v>
      </c>
      <c r="Z139" s="13">
        <f t="shared" si="29"/>
        <v>0</v>
      </c>
      <c r="AA139" s="13">
        <f t="shared" si="29"/>
        <v>44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1.0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13">
        <f t="shared" ref="AA141:AA150" si="30">SUM(E141:Z141)</f>
        <v>1</v>
      </c>
    </row>
    <row r="142" ht="12.75" customHeight="1">
      <c r="A142" s="30" t="s">
        <v>39</v>
      </c>
      <c r="B142" s="49"/>
      <c r="C142" s="50" t="s">
        <v>115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13">
        <f t="shared" si="30"/>
        <v>0</v>
      </c>
    </row>
    <row r="143" ht="12.75" customHeight="1">
      <c r="A143" s="18"/>
      <c r="B143" s="49"/>
      <c r="C143" s="50" t="s">
        <v>116</v>
      </c>
      <c r="D143" s="51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73">
        <v>0.0</v>
      </c>
      <c r="W143" s="73">
        <v>0.0</v>
      </c>
      <c r="X143" s="73">
        <v>0.0</v>
      </c>
      <c r="Y143" s="73">
        <v>0.0</v>
      </c>
      <c r="Z143" s="73">
        <v>0.0</v>
      </c>
      <c r="AA143" s="13">
        <f t="shared" si="30"/>
        <v>0</v>
      </c>
    </row>
    <row r="144" ht="12.75" customHeight="1">
      <c r="A144" s="18"/>
      <c r="B144" s="49"/>
      <c r="C144" s="50" t="s">
        <v>117</v>
      </c>
      <c r="D144" s="51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73">
        <v>0.0</v>
      </c>
      <c r="W144" s="73">
        <v>0.0</v>
      </c>
      <c r="X144" s="73">
        <v>0.0</v>
      </c>
      <c r="Y144" s="73">
        <v>0.0</v>
      </c>
      <c r="Z144" s="73">
        <v>0.0</v>
      </c>
      <c r="AA144" s="13">
        <f t="shared" si="30"/>
        <v>0</v>
      </c>
    </row>
    <row r="145" ht="12.75" customHeight="1">
      <c r="A145" s="18"/>
      <c r="B145" s="57"/>
      <c r="C145" s="58"/>
      <c r="D145" s="5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3">
        <f t="shared" si="30"/>
        <v>0</v>
      </c>
    </row>
    <row r="146" ht="12.75" customHeight="1">
      <c r="A146" s="18"/>
      <c r="B146" s="57"/>
      <c r="C146" s="58"/>
      <c r="D146" s="5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3">
        <f t="shared" si="30"/>
        <v>0</v>
      </c>
    </row>
    <row r="147" ht="12.75" customHeight="1">
      <c r="A147" s="18"/>
      <c r="B147" s="57"/>
      <c r="C147" s="58"/>
      <c r="D147" s="5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3">
        <f t="shared" si="30"/>
        <v>0</v>
      </c>
    </row>
    <row r="148" ht="12.75" customHeight="1">
      <c r="A148" s="18"/>
      <c r="B148" s="57"/>
      <c r="C148" s="58"/>
      <c r="D148" s="5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3">
        <f t="shared" si="30"/>
        <v>0</v>
      </c>
    </row>
    <row r="149" ht="12.75" customHeight="1">
      <c r="A149" s="18"/>
      <c r="B149" s="57"/>
      <c r="C149" s="58"/>
      <c r="D149" s="5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3">
        <f t="shared" si="30"/>
        <v>0</v>
      </c>
    </row>
    <row r="150" ht="12.75" customHeight="1">
      <c r="A150" s="18"/>
      <c r="B150" s="57"/>
      <c r="C150" s="58"/>
      <c r="D150" s="5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3">
        <f t="shared" si="30"/>
        <v>0</v>
      </c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A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1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13"/>
    </row>
    <row r="153" ht="12.75" customHeight="1">
      <c r="A153" s="30" t="s">
        <v>37</v>
      </c>
      <c r="B153" s="17" t="s">
        <v>118</v>
      </c>
      <c r="C153" s="62" t="s">
        <v>119</v>
      </c>
      <c r="D153" s="23"/>
      <c r="E153" s="73">
        <v>0.0</v>
      </c>
      <c r="F153" s="73">
        <v>0.0</v>
      </c>
      <c r="G153" s="73">
        <v>1.0</v>
      </c>
      <c r="H153" s="73">
        <v>0.0</v>
      </c>
      <c r="I153" s="73">
        <v>0.0</v>
      </c>
      <c r="J153" s="73">
        <v>0.0</v>
      </c>
      <c r="K153" s="73">
        <v>1.0</v>
      </c>
      <c r="L153" s="73">
        <v>0.0</v>
      </c>
      <c r="M153" s="73">
        <v>2.0</v>
      </c>
      <c r="N153" s="73">
        <v>1.0</v>
      </c>
      <c r="O153" s="73">
        <v>0.0</v>
      </c>
      <c r="P153" s="73">
        <v>0.0</v>
      </c>
      <c r="Q153" s="73">
        <v>1.0</v>
      </c>
      <c r="R153" s="73">
        <v>0.0</v>
      </c>
      <c r="S153" s="73">
        <v>0.0</v>
      </c>
      <c r="T153" s="73">
        <v>2.0</v>
      </c>
      <c r="U153" s="73">
        <v>0.0</v>
      </c>
      <c r="V153" s="73">
        <v>0.0</v>
      </c>
      <c r="W153" s="73">
        <v>0.0</v>
      </c>
      <c r="X153" s="73">
        <v>1.0</v>
      </c>
      <c r="Y153" s="73">
        <v>0.0</v>
      </c>
      <c r="Z153" s="73">
        <v>0.0</v>
      </c>
      <c r="AA153" s="13">
        <f t="shared" ref="AA153:AA162" si="32">SUM(E153:Z153)</f>
        <v>9</v>
      </c>
    </row>
    <row r="154" ht="12.75" customHeight="1">
      <c r="A154" s="63" t="s">
        <v>39</v>
      </c>
      <c r="B154" s="49"/>
      <c r="C154" s="50" t="s">
        <v>120</v>
      </c>
      <c r="D154" s="51"/>
      <c r="E154" s="80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0.0</v>
      </c>
      <c r="M154" s="73">
        <v>0.0</v>
      </c>
      <c r="N154" s="73">
        <v>0.0</v>
      </c>
      <c r="O154" s="73">
        <v>0.0</v>
      </c>
      <c r="P154" s="73">
        <v>1.0</v>
      </c>
      <c r="Q154" s="73">
        <v>0.0</v>
      </c>
      <c r="R154" s="73">
        <v>0.0</v>
      </c>
      <c r="S154" s="73">
        <v>0.0</v>
      </c>
      <c r="T154" s="73">
        <v>0.0</v>
      </c>
      <c r="U154" s="73">
        <v>0.0</v>
      </c>
      <c r="V154" s="73">
        <v>1.0</v>
      </c>
      <c r="W154" s="73">
        <v>1.0</v>
      </c>
      <c r="X154" s="73">
        <v>0.0</v>
      </c>
      <c r="Y154" s="73">
        <v>0.0</v>
      </c>
      <c r="Z154" s="73">
        <v>0.0</v>
      </c>
      <c r="AA154" s="13">
        <f t="shared" si="32"/>
        <v>3</v>
      </c>
    </row>
    <row r="155" ht="12.75" customHeight="1">
      <c r="A155" s="18"/>
      <c r="B155" s="49"/>
      <c r="C155" s="50" t="s">
        <v>121</v>
      </c>
      <c r="D155" s="51"/>
      <c r="E155" s="80">
        <v>0.0</v>
      </c>
      <c r="F155" s="73">
        <v>0.0</v>
      </c>
      <c r="G155" s="73">
        <v>1.0</v>
      </c>
      <c r="H155" s="73">
        <v>0.0</v>
      </c>
      <c r="I155" s="73">
        <v>0.0</v>
      </c>
      <c r="J155" s="73">
        <v>0.0</v>
      </c>
      <c r="K155" s="73">
        <v>1.0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73">
        <v>1.0</v>
      </c>
      <c r="W155" s="73">
        <v>1.0</v>
      </c>
      <c r="X155" s="73">
        <v>0.0</v>
      </c>
      <c r="Y155" s="73">
        <v>0.0</v>
      </c>
      <c r="Z155" s="73">
        <v>0.0</v>
      </c>
      <c r="AA155" s="13">
        <f t="shared" si="32"/>
        <v>4</v>
      </c>
    </row>
    <row r="156" ht="12.75" customHeight="1">
      <c r="A156" s="18"/>
      <c r="B156" s="49"/>
      <c r="C156" s="50" t="s">
        <v>122</v>
      </c>
      <c r="D156" s="51"/>
      <c r="E156" s="80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1.0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1.0</v>
      </c>
      <c r="X156" s="73">
        <v>0.0</v>
      </c>
      <c r="Y156" s="73">
        <v>0.0</v>
      </c>
      <c r="Z156" s="73">
        <v>0.0</v>
      </c>
      <c r="AA156" s="13">
        <f t="shared" si="32"/>
        <v>2</v>
      </c>
    </row>
    <row r="157" ht="12.75" customHeight="1">
      <c r="A157" s="18"/>
      <c r="B157" s="49"/>
      <c r="C157" s="50" t="s">
        <v>123</v>
      </c>
      <c r="D157" s="51"/>
      <c r="E157" s="80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13">
        <f t="shared" si="32"/>
        <v>0</v>
      </c>
    </row>
    <row r="158" ht="12.75" customHeight="1">
      <c r="A158" s="18"/>
      <c r="B158" s="49"/>
      <c r="C158" s="50" t="s">
        <v>124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1.0</v>
      </c>
      <c r="X158" s="73">
        <v>0.0</v>
      </c>
      <c r="Y158" s="73">
        <v>0.0</v>
      </c>
      <c r="Z158" s="73">
        <v>0.0</v>
      </c>
      <c r="AA158" s="13">
        <f t="shared" si="32"/>
        <v>1</v>
      </c>
    </row>
    <row r="159" ht="12.75" customHeight="1">
      <c r="A159" s="18"/>
      <c r="B159" s="49"/>
      <c r="C159" s="50" t="s">
        <v>125</v>
      </c>
      <c r="D159" s="51"/>
      <c r="E159" s="80">
        <v>0.0</v>
      </c>
      <c r="F159" s="73">
        <v>0.0</v>
      </c>
      <c r="G159" s="73">
        <v>1.0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13">
        <f t="shared" si="32"/>
        <v>1</v>
      </c>
    </row>
    <row r="160" ht="12.75" customHeight="1">
      <c r="A160" s="18"/>
      <c r="B160" s="49"/>
      <c r="C160" s="50" t="s">
        <v>126</v>
      </c>
      <c r="D160" s="51"/>
      <c r="E160" s="80">
        <v>0.0</v>
      </c>
      <c r="F160" s="73">
        <v>0.0</v>
      </c>
      <c r="G160" s="73">
        <v>0.0</v>
      </c>
      <c r="H160" s="73">
        <v>0.0</v>
      </c>
      <c r="I160" s="73">
        <v>0.0</v>
      </c>
      <c r="J160" s="73">
        <v>0.0</v>
      </c>
      <c r="K160" s="73">
        <v>0.0</v>
      </c>
      <c r="L160" s="73">
        <v>0.0</v>
      </c>
      <c r="M160" s="73">
        <v>0.0</v>
      </c>
      <c r="N160" s="73">
        <v>0.0</v>
      </c>
      <c r="O160" s="73">
        <v>0.0</v>
      </c>
      <c r="P160" s="73">
        <v>0.0</v>
      </c>
      <c r="Q160" s="73">
        <v>0.0</v>
      </c>
      <c r="R160" s="73">
        <v>0.0</v>
      </c>
      <c r="S160" s="73">
        <v>0.0</v>
      </c>
      <c r="T160" s="73">
        <v>0.0</v>
      </c>
      <c r="U160" s="73">
        <v>0.0</v>
      </c>
      <c r="V160" s="73">
        <v>0.0</v>
      </c>
      <c r="W160" s="73">
        <v>0.0</v>
      </c>
      <c r="X160" s="73">
        <v>0.0</v>
      </c>
      <c r="Y160" s="73">
        <v>0.0</v>
      </c>
      <c r="Z160" s="73">
        <v>0.0</v>
      </c>
      <c r="AA160" s="13">
        <f t="shared" si="32"/>
        <v>0</v>
      </c>
    </row>
    <row r="161" ht="12.75" customHeight="1">
      <c r="A161" s="18"/>
      <c r="B161" s="57"/>
      <c r="C161" s="64"/>
      <c r="D161" s="59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3">
        <f t="shared" si="32"/>
        <v>0</v>
      </c>
    </row>
    <row r="162" ht="12.75" customHeight="1">
      <c r="A162" s="18"/>
      <c r="B162" s="57"/>
      <c r="C162" s="64"/>
      <c r="D162" s="59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3">
        <f t="shared" si="32"/>
        <v>0</v>
      </c>
    </row>
    <row r="163" ht="12.75" customHeight="1">
      <c r="A163" s="19" t="s">
        <v>15</v>
      </c>
      <c r="B163" s="65" t="s">
        <v>49</v>
      </c>
      <c r="C163" s="44"/>
      <c r="D163" s="28"/>
      <c r="E163" s="13">
        <f t="shared" ref="E163:AA163" si="33">SUM(E153:E162)</f>
        <v>0</v>
      </c>
      <c r="F163" s="13">
        <f t="shared" si="33"/>
        <v>0</v>
      </c>
      <c r="G163" s="13">
        <f t="shared" si="33"/>
        <v>3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2</v>
      </c>
      <c r="L163" s="13">
        <f t="shared" si="33"/>
        <v>1</v>
      </c>
      <c r="M163" s="13">
        <f t="shared" si="33"/>
        <v>2</v>
      </c>
      <c r="N163" s="13">
        <f t="shared" si="33"/>
        <v>1</v>
      </c>
      <c r="O163" s="13">
        <f t="shared" si="33"/>
        <v>0</v>
      </c>
      <c r="P163" s="13">
        <f t="shared" si="33"/>
        <v>1</v>
      </c>
      <c r="Q163" s="13">
        <f t="shared" si="33"/>
        <v>1</v>
      </c>
      <c r="R163" s="13">
        <f t="shared" si="33"/>
        <v>0</v>
      </c>
      <c r="S163" s="13">
        <f t="shared" si="33"/>
        <v>0</v>
      </c>
      <c r="T163" s="13">
        <f t="shared" si="33"/>
        <v>2</v>
      </c>
      <c r="U163" s="13">
        <f t="shared" si="33"/>
        <v>0</v>
      </c>
      <c r="V163" s="13">
        <f t="shared" si="33"/>
        <v>2</v>
      </c>
      <c r="W163" s="13">
        <f t="shared" si="33"/>
        <v>4</v>
      </c>
      <c r="X163" s="13">
        <f t="shared" si="33"/>
        <v>1</v>
      </c>
      <c r="Y163" s="13">
        <f t="shared" si="33"/>
        <v>0</v>
      </c>
      <c r="Z163" s="13">
        <f t="shared" si="33"/>
        <v>0</v>
      </c>
      <c r="AA163" s="13">
        <f t="shared" si="33"/>
        <v>20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1.0</v>
      </c>
      <c r="F165" s="73">
        <v>0.0</v>
      </c>
      <c r="G165" s="73">
        <v>4.0</v>
      </c>
      <c r="H165" s="73">
        <v>0.0</v>
      </c>
      <c r="I165" s="73">
        <v>0.0</v>
      </c>
      <c r="J165" s="73">
        <v>0.0</v>
      </c>
      <c r="K165" s="73">
        <v>0.0</v>
      </c>
      <c r="L165" s="73">
        <v>2.0</v>
      </c>
      <c r="M165" s="73">
        <v>0.0</v>
      </c>
      <c r="N165" s="73">
        <v>1.0</v>
      </c>
      <c r="O165" s="73">
        <v>0.0</v>
      </c>
      <c r="P165" s="73">
        <v>0.0</v>
      </c>
      <c r="Q165" s="73">
        <v>0.0</v>
      </c>
      <c r="R165" s="73">
        <v>1.0</v>
      </c>
      <c r="S165" s="73">
        <v>1.0</v>
      </c>
      <c r="T165" s="73">
        <v>1.0</v>
      </c>
      <c r="U165" s="73">
        <v>1.0</v>
      </c>
      <c r="V165" s="73">
        <v>1.0</v>
      </c>
      <c r="W165" s="73">
        <v>1.0</v>
      </c>
      <c r="X165" s="73">
        <v>0.0</v>
      </c>
      <c r="Y165" s="73">
        <v>0.0</v>
      </c>
      <c r="Z165" s="73">
        <v>0.0</v>
      </c>
      <c r="AA165" s="13">
        <f t="shared" ref="AA165:AA174" si="34">SUM(E165:Z165)</f>
        <v>14</v>
      </c>
    </row>
    <row r="166" ht="12.75" customHeight="1">
      <c r="A166" s="30" t="s">
        <v>39</v>
      </c>
      <c r="B166" s="49"/>
      <c r="C166" s="50" t="s">
        <v>129</v>
      </c>
      <c r="D166" s="51"/>
      <c r="E166" s="73">
        <v>0.0</v>
      </c>
      <c r="F166" s="73">
        <v>1.0</v>
      </c>
      <c r="G166" s="73">
        <v>1.0</v>
      </c>
      <c r="H166" s="73">
        <v>0.0</v>
      </c>
      <c r="I166" s="73">
        <v>0.0</v>
      </c>
      <c r="J166" s="73">
        <v>0.0</v>
      </c>
      <c r="K166" s="73">
        <v>0.0</v>
      </c>
      <c r="L166" s="73">
        <v>1.0</v>
      </c>
      <c r="M166" s="73">
        <v>1.0</v>
      </c>
      <c r="N166" s="73">
        <v>0.0</v>
      </c>
      <c r="O166" s="73">
        <v>1.0</v>
      </c>
      <c r="P166" s="73">
        <v>2.0</v>
      </c>
      <c r="Q166" s="73">
        <v>0.0</v>
      </c>
      <c r="R166" s="73">
        <v>0.0</v>
      </c>
      <c r="S166" s="73">
        <v>0.0</v>
      </c>
      <c r="T166" s="73">
        <v>1.0</v>
      </c>
      <c r="U166" s="73">
        <v>1.0</v>
      </c>
      <c r="V166" s="73">
        <v>0.0</v>
      </c>
      <c r="W166" s="73">
        <v>0.0</v>
      </c>
      <c r="X166" s="73">
        <v>1.0</v>
      </c>
      <c r="Y166" s="73">
        <v>0.0</v>
      </c>
      <c r="Z166" s="73">
        <v>0.0</v>
      </c>
      <c r="AA166" s="13">
        <f t="shared" si="34"/>
        <v>10</v>
      </c>
    </row>
    <row r="167" ht="12.75" customHeight="1">
      <c r="A167" s="18"/>
      <c r="B167" s="57"/>
      <c r="C167" s="58"/>
      <c r="D167" s="5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3">
        <f t="shared" si="34"/>
        <v>0</v>
      </c>
    </row>
    <row r="168" ht="12.75" customHeight="1">
      <c r="A168" s="18"/>
      <c r="B168" s="57"/>
      <c r="C168" s="58"/>
      <c r="D168" s="5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3">
        <f t="shared" si="34"/>
        <v>0</v>
      </c>
    </row>
    <row r="169" ht="12.75" customHeight="1">
      <c r="A169" s="18"/>
      <c r="B169" s="57"/>
      <c r="C169" s="58"/>
      <c r="D169" s="5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3">
        <f t="shared" si="34"/>
        <v>0</v>
      </c>
    </row>
    <row r="170" ht="12.75" customHeight="1">
      <c r="A170" s="18"/>
      <c r="B170" s="57"/>
      <c r="C170" s="58"/>
      <c r="D170" s="5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3">
        <f t="shared" si="34"/>
        <v>0</v>
      </c>
    </row>
    <row r="171" ht="12.75" customHeight="1">
      <c r="A171" s="18"/>
      <c r="B171" s="57"/>
      <c r="C171" s="58"/>
      <c r="D171" s="5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3">
        <f t="shared" si="34"/>
        <v>0</v>
      </c>
    </row>
    <row r="172" ht="12.75" customHeight="1">
      <c r="A172" s="18"/>
      <c r="B172" s="57"/>
      <c r="C172" s="58"/>
      <c r="D172" s="5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3">
        <f t="shared" si="34"/>
        <v>0</v>
      </c>
    </row>
    <row r="173" ht="12.75" customHeight="1">
      <c r="A173" s="18"/>
      <c r="B173" s="57"/>
      <c r="C173" s="58"/>
      <c r="D173" s="5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3">
        <f t="shared" si="34"/>
        <v>0</v>
      </c>
    </row>
    <row r="174" ht="12.75" customHeight="1">
      <c r="A174" s="18"/>
      <c r="B174" s="57"/>
      <c r="C174" s="58"/>
      <c r="D174" s="5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3">
        <f t="shared" si="34"/>
        <v>0</v>
      </c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A175" si="35">SUM(E165:E174)</f>
        <v>1</v>
      </c>
      <c r="F175" s="13">
        <f t="shared" si="35"/>
        <v>1</v>
      </c>
      <c r="G175" s="13">
        <f t="shared" si="35"/>
        <v>5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3</v>
      </c>
      <c r="M175" s="13">
        <f t="shared" si="35"/>
        <v>1</v>
      </c>
      <c r="N175" s="13">
        <f t="shared" si="35"/>
        <v>1</v>
      </c>
      <c r="O175" s="13">
        <f t="shared" si="35"/>
        <v>1</v>
      </c>
      <c r="P175" s="13">
        <f t="shared" si="35"/>
        <v>2</v>
      </c>
      <c r="Q175" s="13">
        <f t="shared" si="35"/>
        <v>0</v>
      </c>
      <c r="R175" s="13">
        <f t="shared" si="35"/>
        <v>1</v>
      </c>
      <c r="S175" s="13">
        <f t="shared" si="35"/>
        <v>1</v>
      </c>
      <c r="T175" s="13">
        <f t="shared" si="35"/>
        <v>2</v>
      </c>
      <c r="U175" s="13">
        <f t="shared" si="35"/>
        <v>2</v>
      </c>
      <c r="V175" s="13">
        <f t="shared" si="35"/>
        <v>1</v>
      </c>
      <c r="W175" s="13">
        <f t="shared" si="35"/>
        <v>1</v>
      </c>
      <c r="X175" s="13">
        <f t="shared" si="35"/>
        <v>1</v>
      </c>
      <c r="Y175" s="13">
        <f t="shared" si="35"/>
        <v>0</v>
      </c>
      <c r="Z175" s="13">
        <f t="shared" si="35"/>
        <v>0</v>
      </c>
      <c r="AA175" s="13">
        <f t="shared" si="35"/>
        <v>24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1.0</v>
      </c>
      <c r="F177" s="73">
        <v>1.0</v>
      </c>
      <c r="G177" s="73">
        <v>2.0</v>
      </c>
      <c r="H177" s="73">
        <v>1.0</v>
      </c>
      <c r="I177" s="73">
        <v>2.0</v>
      </c>
      <c r="J177" s="73">
        <v>0.0</v>
      </c>
      <c r="K177" s="73">
        <v>4.0</v>
      </c>
      <c r="L177" s="73">
        <v>0.0</v>
      </c>
      <c r="M177" s="73">
        <v>2.0</v>
      </c>
      <c r="N177" s="73">
        <v>1.0</v>
      </c>
      <c r="O177" s="73">
        <v>0.0</v>
      </c>
      <c r="P177" s="73">
        <v>1.0</v>
      </c>
      <c r="Q177" s="73">
        <v>0.0</v>
      </c>
      <c r="R177" s="73">
        <v>0.0</v>
      </c>
      <c r="S177" s="73">
        <v>0.0</v>
      </c>
      <c r="T177" s="73">
        <v>2.0</v>
      </c>
      <c r="U177" s="73">
        <v>0.0</v>
      </c>
      <c r="V177" s="73">
        <v>0.0</v>
      </c>
      <c r="W177" s="73">
        <v>0.0</v>
      </c>
      <c r="X177" s="73">
        <v>1.0</v>
      </c>
      <c r="Y177" s="73">
        <v>0.0</v>
      </c>
      <c r="Z177" s="73">
        <v>0.0</v>
      </c>
      <c r="AA177" s="13">
        <f t="shared" ref="AA177:AA186" si="36">SUM(E177:Z177)</f>
        <v>18</v>
      </c>
    </row>
    <row r="178" ht="12.75" customHeight="1">
      <c r="A178" s="30" t="s">
        <v>39</v>
      </c>
      <c r="B178" s="49"/>
      <c r="C178" s="50" t="s">
        <v>132</v>
      </c>
      <c r="D178" s="51"/>
      <c r="E178" s="73">
        <v>3.0</v>
      </c>
      <c r="F178" s="73">
        <v>1.0</v>
      </c>
      <c r="G178" s="73">
        <v>0.0</v>
      </c>
      <c r="H178" s="73">
        <v>1.0</v>
      </c>
      <c r="I178" s="73">
        <v>1.0</v>
      </c>
      <c r="J178" s="73">
        <v>0.0</v>
      </c>
      <c r="K178" s="73">
        <v>0.0</v>
      </c>
      <c r="L178" s="73">
        <v>0.0</v>
      </c>
      <c r="M178" s="73">
        <v>2.0</v>
      </c>
      <c r="N178" s="73">
        <v>1.0</v>
      </c>
      <c r="O178" s="73">
        <v>0.0</v>
      </c>
      <c r="P178" s="73">
        <v>0.0</v>
      </c>
      <c r="Q178" s="73">
        <v>0.0</v>
      </c>
      <c r="R178" s="73">
        <v>0.0</v>
      </c>
      <c r="S178" s="73">
        <v>0.0</v>
      </c>
      <c r="T178" s="73">
        <v>23.0</v>
      </c>
      <c r="U178" s="73">
        <v>4.0</v>
      </c>
      <c r="V178" s="73">
        <v>1.0</v>
      </c>
      <c r="W178" s="73">
        <v>1.0</v>
      </c>
      <c r="X178" s="73">
        <v>3.0</v>
      </c>
      <c r="Y178" s="73">
        <v>0.0</v>
      </c>
      <c r="Z178" s="73">
        <v>0.0</v>
      </c>
      <c r="AA178" s="13">
        <f t="shared" si="36"/>
        <v>41</v>
      </c>
    </row>
    <row r="179" ht="12.75" customHeight="1">
      <c r="A179" s="18"/>
      <c r="B179" s="49"/>
      <c r="C179" s="50" t="s">
        <v>133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1.0</v>
      </c>
      <c r="N179" s="73">
        <v>0.0</v>
      </c>
      <c r="O179" s="73">
        <v>1.0</v>
      </c>
      <c r="P179" s="73">
        <v>0.0</v>
      </c>
      <c r="Q179" s="73">
        <v>0.0</v>
      </c>
      <c r="R179" s="73">
        <v>0.0</v>
      </c>
      <c r="S179" s="73">
        <v>0.0</v>
      </c>
      <c r="T179" s="73">
        <v>1.0</v>
      </c>
      <c r="U179" s="73">
        <v>0.0</v>
      </c>
      <c r="V179" s="73">
        <v>0.0</v>
      </c>
      <c r="W179" s="73">
        <v>0.0</v>
      </c>
      <c r="X179" s="73">
        <v>0.0</v>
      </c>
      <c r="Y179" s="73">
        <v>0.0</v>
      </c>
      <c r="Z179" s="73">
        <v>0.0</v>
      </c>
      <c r="AA179" s="13">
        <f t="shared" si="36"/>
        <v>3</v>
      </c>
    </row>
    <row r="180" ht="12.75" customHeight="1">
      <c r="A180" s="18"/>
      <c r="B180" s="49"/>
      <c r="C180" s="50" t="s">
        <v>134</v>
      </c>
      <c r="D180" s="51"/>
      <c r="E180" s="73">
        <v>0.0</v>
      </c>
      <c r="F180" s="73">
        <v>0.0</v>
      </c>
      <c r="G180" s="73">
        <v>0.0</v>
      </c>
      <c r="H180" s="73">
        <v>2.0</v>
      </c>
      <c r="I180" s="73">
        <v>1.0</v>
      </c>
      <c r="J180" s="73">
        <v>0.0</v>
      </c>
      <c r="K180" s="73">
        <v>0.0</v>
      </c>
      <c r="L180" s="73">
        <v>0.0</v>
      </c>
      <c r="M180" s="73">
        <v>0.0</v>
      </c>
      <c r="N180" s="73">
        <v>0.0</v>
      </c>
      <c r="O180" s="73">
        <v>0.0</v>
      </c>
      <c r="P180" s="73">
        <v>0.0</v>
      </c>
      <c r="Q180" s="73">
        <v>0.0</v>
      </c>
      <c r="R180" s="73">
        <v>0.0</v>
      </c>
      <c r="S180" s="73">
        <v>0.0</v>
      </c>
      <c r="T180" s="73">
        <v>0.0</v>
      </c>
      <c r="U180" s="73">
        <v>1.0</v>
      </c>
      <c r="V180" s="73">
        <v>0.0</v>
      </c>
      <c r="W180" s="73">
        <v>0.0</v>
      </c>
      <c r="X180" s="73">
        <v>1.0</v>
      </c>
      <c r="Y180" s="73">
        <v>0.0</v>
      </c>
      <c r="Z180" s="73">
        <v>0.0</v>
      </c>
      <c r="AA180" s="13">
        <f t="shared" si="36"/>
        <v>5</v>
      </c>
    </row>
    <row r="181" ht="12.75" customHeight="1">
      <c r="A181" s="18"/>
      <c r="B181" s="49"/>
      <c r="C181" s="50" t="s">
        <v>135</v>
      </c>
      <c r="D181" s="51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1.0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0.0</v>
      </c>
      <c r="U181" s="73">
        <v>0.0</v>
      </c>
      <c r="V181" s="73">
        <v>0.0</v>
      </c>
      <c r="W181" s="73">
        <v>0.0</v>
      </c>
      <c r="X181" s="73">
        <v>0.0</v>
      </c>
      <c r="Y181" s="73">
        <v>0.0</v>
      </c>
      <c r="Z181" s="73">
        <v>0.0</v>
      </c>
      <c r="AA181" s="13">
        <f t="shared" si="36"/>
        <v>1</v>
      </c>
    </row>
    <row r="182" ht="12.75" customHeight="1">
      <c r="A182" s="18"/>
      <c r="B182" s="49"/>
      <c r="C182" s="50" t="s">
        <v>136</v>
      </c>
      <c r="D182" s="51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73">
        <v>0.0</v>
      </c>
      <c r="T182" s="73">
        <v>0.0</v>
      </c>
      <c r="U182" s="73">
        <v>0.0</v>
      </c>
      <c r="V182" s="73">
        <v>0.0</v>
      </c>
      <c r="W182" s="73">
        <v>0.0</v>
      </c>
      <c r="X182" s="73">
        <v>0.0</v>
      </c>
      <c r="Y182" s="73">
        <v>0.0</v>
      </c>
      <c r="Z182" s="73">
        <v>0.0</v>
      </c>
      <c r="AA182" s="13">
        <f t="shared" si="36"/>
        <v>0</v>
      </c>
    </row>
    <row r="183" ht="12.75" customHeight="1">
      <c r="A183" s="18"/>
      <c r="B183" s="49"/>
      <c r="C183" s="50" t="s">
        <v>137</v>
      </c>
      <c r="D183" s="51"/>
      <c r="E183" s="73">
        <v>0.0</v>
      </c>
      <c r="F183" s="73">
        <v>0.0</v>
      </c>
      <c r="G183" s="73">
        <v>0.0</v>
      </c>
      <c r="H183" s="73">
        <v>1.0</v>
      </c>
      <c r="I183" s="73">
        <v>0.0</v>
      </c>
      <c r="J183" s="73">
        <v>0.0</v>
      </c>
      <c r="K183" s="73">
        <v>0.0</v>
      </c>
      <c r="L183" s="73">
        <v>0.0</v>
      </c>
      <c r="M183" s="73">
        <v>1.0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0.0</v>
      </c>
      <c r="T183" s="73">
        <v>0.0</v>
      </c>
      <c r="U183" s="73">
        <v>0.0</v>
      </c>
      <c r="V183" s="73">
        <v>0.0</v>
      </c>
      <c r="W183" s="73">
        <v>1.0</v>
      </c>
      <c r="X183" s="73">
        <v>0.0</v>
      </c>
      <c r="Y183" s="73">
        <v>0.0</v>
      </c>
      <c r="Z183" s="73">
        <v>0.0</v>
      </c>
      <c r="AA183" s="13">
        <f t="shared" si="36"/>
        <v>3</v>
      </c>
    </row>
    <row r="184" ht="12.75" customHeight="1">
      <c r="A184" s="18"/>
      <c r="B184" s="49"/>
      <c r="C184" s="50" t="s">
        <v>138</v>
      </c>
      <c r="D184" s="51"/>
      <c r="E184" s="73">
        <v>0.0</v>
      </c>
      <c r="F184" s="73">
        <v>0.0</v>
      </c>
      <c r="G184" s="73">
        <v>0.0</v>
      </c>
      <c r="H184" s="73">
        <v>0.0</v>
      </c>
      <c r="I184" s="73">
        <v>0.0</v>
      </c>
      <c r="J184" s="73">
        <v>1.0</v>
      </c>
      <c r="K184" s="73">
        <v>0.0</v>
      </c>
      <c r="L184" s="73">
        <v>0.0</v>
      </c>
      <c r="M184" s="73">
        <v>0.0</v>
      </c>
      <c r="N184" s="73">
        <v>0.0</v>
      </c>
      <c r="O184" s="73">
        <v>0.0</v>
      </c>
      <c r="P184" s="73">
        <v>0.0</v>
      </c>
      <c r="Q184" s="73">
        <v>0.0</v>
      </c>
      <c r="R184" s="73">
        <v>0.0</v>
      </c>
      <c r="S184" s="73">
        <v>0.0</v>
      </c>
      <c r="T184" s="73">
        <v>0.0</v>
      </c>
      <c r="U184" s="73">
        <v>0.0</v>
      </c>
      <c r="V184" s="73">
        <v>0.0</v>
      </c>
      <c r="W184" s="73">
        <v>0.0</v>
      </c>
      <c r="X184" s="73">
        <v>0.0</v>
      </c>
      <c r="Y184" s="73">
        <v>0.0</v>
      </c>
      <c r="Z184" s="73">
        <v>0.0</v>
      </c>
      <c r="AA184" s="13">
        <f t="shared" si="36"/>
        <v>1</v>
      </c>
    </row>
    <row r="185" ht="12.75" customHeight="1">
      <c r="A185" s="18"/>
      <c r="B185" s="49"/>
      <c r="C185" s="50" t="s">
        <v>139</v>
      </c>
      <c r="D185" s="51"/>
      <c r="E185" s="73">
        <v>1.0</v>
      </c>
      <c r="F185" s="73">
        <v>0.0</v>
      </c>
      <c r="G185" s="73">
        <v>0.0</v>
      </c>
      <c r="H185" s="73">
        <v>0.0</v>
      </c>
      <c r="I185" s="73">
        <v>0.0</v>
      </c>
      <c r="J185" s="73">
        <v>0.0</v>
      </c>
      <c r="K185" s="73">
        <v>0.0</v>
      </c>
      <c r="L185" s="73">
        <v>0.0</v>
      </c>
      <c r="M185" s="73">
        <v>0.0</v>
      </c>
      <c r="N185" s="73">
        <v>0.0</v>
      </c>
      <c r="O185" s="73">
        <v>0.0</v>
      </c>
      <c r="P185" s="73">
        <v>0.0</v>
      </c>
      <c r="Q185" s="73">
        <v>0.0</v>
      </c>
      <c r="R185" s="73">
        <v>0.0</v>
      </c>
      <c r="S185" s="73">
        <v>0.0</v>
      </c>
      <c r="T185" s="73">
        <v>0.0</v>
      </c>
      <c r="U185" s="73">
        <v>0.0</v>
      </c>
      <c r="V185" s="73">
        <v>0.0</v>
      </c>
      <c r="W185" s="73">
        <v>0.0</v>
      </c>
      <c r="X185" s="73">
        <v>0.0</v>
      </c>
      <c r="Y185" s="73">
        <v>0.0</v>
      </c>
      <c r="Z185" s="73">
        <v>0.0</v>
      </c>
      <c r="AA185" s="13">
        <f t="shared" si="36"/>
        <v>1</v>
      </c>
    </row>
    <row r="186" ht="12.75" customHeight="1">
      <c r="A186" s="18"/>
      <c r="B186" s="49"/>
      <c r="C186" s="50" t="s">
        <v>140</v>
      </c>
      <c r="D186" s="51"/>
      <c r="E186" s="73">
        <v>0.0</v>
      </c>
      <c r="F186" s="73">
        <v>0.0</v>
      </c>
      <c r="G186" s="73">
        <v>0.0</v>
      </c>
      <c r="H186" s="73">
        <v>0.0</v>
      </c>
      <c r="I186" s="73">
        <v>0.0</v>
      </c>
      <c r="J186" s="73">
        <v>0.0</v>
      </c>
      <c r="K186" s="73">
        <v>0.0</v>
      </c>
      <c r="L186" s="73">
        <v>0.0</v>
      </c>
      <c r="M186" s="73">
        <v>0.0</v>
      </c>
      <c r="N186" s="73">
        <v>0.0</v>
      </c>
      <c r="O186" s="73">
        <v>0.0</v>
      </c>
      <c r="P186" s="73">
        <v>0.0</v>
      </c>
      <c r="Q186" s="73">
        <v>0.0</v>
      </c>
      <c r="R186" s="73">
        <v>0.0</v>
      </c>
      <c r="S186" s="73">
        <v>0.0</v>
      </c>
      <c r="T186" s="73">
        <v>0.0</v>
      </c>
      <c r="U186" s="73">
        <v>2.0</v>
      </c>
      <c r="V186" s="73">
        <v>0.0</v>
      </c>
      <c r="W186" s="73">
        <v>0.0</v>
      </c>
      <c r="X186" s="73">
        <v>0.0</v>
      </c>
      <c r="Y186" s="73">
        <v>0.0</v>
      </c>
      <c r="Z186" s="73">
        <v>0.0</v>
      </c>
      <c r="AA186" s="13">
        <f t="shared" si="36"/>
        <v>2</v>
      </c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A187" si="37">SUM(E177:E186)</f>
        <v>5</v>
      </c>
      <c r="F187" s="13">
        <f t="shared" si="37"/>
        <v>2</v>
      </c>
      <c r="G187" s="13">
        <f t="shared" si="37"/>
        <v>2</v>
      </c>
      <c r="H187" s="13">
        <f t="shared" si="37"/>
        <v>5</v>
      </c>
      <c r="I187" s="13">
        <f t="shared" si="37"/>
        <v>4</v>
      </c>
      <c r="J187" s="13">
        <f t="shared" si="37"/>
        <v>1</v>
      </c>
      <c r="K187" s="13">
        <f t="shared" si="37"/>
        <v>4</v>
      </c>
      <c r="L187" s="13">
        <f t="shared" si="37"/>
        <v>0</v>
      </c>
      <c r="M187" s="13">
        <f t="shared" si="37"/>
        <v>7</v>
      </c>
      <c r="N187" s="13">
        <f t="shared" si="37"/>
        <v>2</v>
      </c>
      <c r="O187" s="13">
        <f t="shared" si="37"/>
        <v>1</v>
      </c>
      <c r="P187" s="13">
        <f t="shared" si="37"/>
        <v>1</v>
      </c>
      <c r="Q187" s="13">
        <f t="shared" si="37"/>
        <v>0</v>
      </c>
      <c r="R187" s="13">
        <f t="shared" si="37"/>
        <v>0</v>
      </c>
      <c r="S187" s="13">
        <f t="shared" si="37"/>
        <v>0</v>
      </c>
      <c r="T187" s="13">
        <f t="shared" si="37"/>
        <v>26</v>
      </c>
      <c r="U187" s="13">
        <f t="shared" si="37"/>
        <v>7</v>
      </c>
      <c r="V187" s="13">
        <f t="shared" si="37"/>
        <v>1</v>
      </c>
      <c r="W187" s="13">
        <f t="shared" si="37"/>
        <v>2</v>
      </c>
      <c r="X187" s="13">
        <f t="shared" si="37"/>
        <v>5</v>
      </c>
      <c r="Y187" s="13">
        <f t="shared" si="37"/>
        <v>0</v>
      </c>
      <c r="Z187" s="13">
        <f t="shared" si="37"/>
        <v>0</v>
      </c>
      <c r="AA187" s="13">
        <f t="shared" si="37"/>
        <v>75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1.0</v>
      </c>
      <c r="O189" s="73">
        <v>0.0</v>
      </c>
      <c r="P189" s="73">
        <v>0.0</v>
      </c>
      <c r="Q189" s="73">
        <v>1.0</v>
      </c>
      <c r="R189" s="73">
        <v>0.0</v>
      </c>
      <c r="S189" s="73">
        <v>0.0</v>
      </c>
      <c r="T189" s="73">
        <v>0.0</v>
      </c>
      <c r="U189" s="73">
        <v>0.0</v>
      </c>
      <c r="V189" s="73">
        <v>0.0</v>
      </c>
      <c r="W189" s="73">
        <v>0.0</v>
      </c>
      <c r="X189" s="73">
        <v>0.0</v>
      </c>
      <c r="Y189" s="73">
        <v>1.0</v>
      </c>
      <c r="Z189" s="73">
        <v>0.0</v>
      </c>
      <c r="AA189" s="13">
        <f t="shared" ref="AA189:AA198" si="38">SUM(E189:Z189)</f>
        <v>3</v>
      </c>
    </row>
    <row r="190" ht="12.75" customHeight="1">
      <c r="A190" s="30" t="s">
        <v>39</v>
      </c>
      <c r="B190" s="49"/>
      <c r="C190" s="50" t="s">
        <v>143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1.0</v>
      </c>
      <c r="N190" s="73">
        <v>0.0</v>
      </c>
      <c r="O190" s="73">
        <v>0.0</v>
      </c>
      <c r="P190" s="73">
        <v>0.0</v>
      </c>
      <c r="Q190" s="73">
        <v>0.0</v>
      </c>
      <c r="R190" s="73">
        <v>1.0</v>
      </c>
      <c r="S190" s="73">
        <v>1.0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13">
        <f t="shared" si="38"/>
        <v>3</v>
      </c>
    </row>
    <row r="191" ht="12.75" customHeight="1">
      <c r="A191" s="18"/>
      <c r="B191" s="49"/>
      <c r="C191" s="50" t="s">
        <v>144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1.0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13">
        <f t="shared" si="38"/>
        <v>1</v>
      </c>
    </row>
    <row r="192" ht="12.75" customHeight="1">
      <c r="A192" s="18"/>
      <c r="B192" s="49"/>
      <c r="C192" s="50" t="s">
        <v>145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13">
        <f t="shared" si="38"/>
        <v>0</v>
      </c>
    </row>
    <row r="193" ht="12.75" customHeight="1">
      <c r="A193" s="18"/>
      <c r="B193" s="49"/>
      <c r="C193" s="50" t="s">
        <v>146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13">
        <f t="shared" si="38"/>
        <v>0</v>
      </c>
    </row>
    <row r="194" ht="12.75" customHeight="1">
      <c r="A194" s="18"/>
      <c r="B194" s="49"/>
      <c r="C194" s="50" t="s">
        <v>147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13">
        <f t="shared" si="38"/>
        <v>0</v>
      </c>
    </row>
    <row r="195" ht="12.75" customHeight="1">
      <c r="A195" s="18"/>
      <c r="B195" s="49"/>
      <c r="C195" s="50" t="s">
        <v>148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13">
        <f t="shared" si="38"/>
        <v>0</v>
      </c>
    </row>
    <row r="196" ht="12.75" customHeight="1">
      <c r="A196" s="18"/>
      <c r="B196" s="49"/>
      <c r="C196" s="50" t="s">
        <v>149</v>
      </c>
      <c r="D196" s="51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0.0</v>
      </c>
      <c r="N196" s="73">
        <v>0.0</v>
      </c>
      <c r="O196" s="73">
        <v>0.0</v>
      </c>
      <c r="P196" s="73">
        <v>0.0</v>
      </c>
      <c r="Q196" s="73">
        <v>0.0</v>
      </c>
      <c r="R196" s="73">
        <v>0.0</v>
      </c>
      <c r="S196" s="73">
        <v>0.0</v>
      </c>
      <c r="T196" s="73">
        <v>0.0</v>
      </c>
      <c r="U196" s="73">
        <v>0.0</v>
      </c>
      <c r="V196" s="73">
        <v>0.0</v>
      </c>
      <c r="W196" s="73">
        <v>0.0</v>
      </c>
      <c r="X196" s="73">
        <v>0.0</v>
      </c>
      <c r="Y196" s="73">
        <v>0.0</v>
      </c>
      <c r="Z196" s="73">
        <v>0.0</v>
      </c>
      <c r="AA196" s="13">
        <f t="shared" si="38"/>
        <v>0</v>
      </c>
    </row>
    <row r="197" ht="12.75" customHeight="1">
      <c r="A197" s="18"/>
      <c r="B197" s="49"/>
      <c r="C197" s="50" t="s">
        <v>150</v>
      </c>
      <c r="D197" s="51"/>
      <c r="E197" s="73">
        <v>0.0</v>
      </c>
      <c r="F197" s="73">
        <v>0.0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0.0</v>
      </c>
      <c r="R197" s="73">
        <v>0.0</v>
      </c>
      <c r="S197" s="73">
        <v>0.0</v>
      </c>
      <c r="T197" s="73">
        <v>0.0</v>
      </c>
      <c r="U197" s="73">
        <v>0.0</v>
      </c>
      <c r="V197" s="73">
        <v>0.0</v>
      </c>
      <c r="W197" s="73">
        <v>0.0</v>
      </c>
      <c r="X197" s="73">
        <v>0.0</v>
      </c>
      <c r="Y197" s="73">
        <v>0.0</v>
      </c>
      <c r="Z197" s="73">
        <v>0.0</v>
      </c>
      <c r="AA197" s="13">
        <f t="shared" si="38"/>
        <v>0</v>
      </c>
    </row>
    <row r="198" ht="12.75" customHeight="1">
      <c r="A198" s="18"/>
      <c r="B198" s="49"/>
      <c r="C198" s="50" t="s">
        <v>151</v>
      </c>
      <c r="D198" s="51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73">
        <v>0.0</v>
      </c>
      <c r="R198" s="73">
        <v>0.0</v>
      </c>
      <c r="S198" s="73">
        <v>0.0</v>
      </c>
      <c r="T198" s="73">
        <v>0.0</v>
      </c>
      <c r="U198" s="73">
        <v>0.0</v>
      </c>
      <c r="V198" s="73">
        <v>1.0</v>
      </c>
      <c r="W198" s="73">
        <v>0.0</v>
      </c>
      <c r="X198" s="73">
        <v>0.0</v>
      </c>
      <c r="Y198" s="73">
        <v>0.0</v>
      </c>
      <c r="Z198" s="73">
        <v>0.0</v>
      </c>
      <c r="AA198" s="13">
        <f t="shared" si="38"/>
        <v>1</v>
      </c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A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2</v>
      </c>
      <c r="N199" s="13">
        <f t="shared" si="39"/>
        <v>1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1</v>
      </c>
      <c r="S199" s="13">
        <f t="shared" si="39"/>
        <v>1</v>
      </c>
      <c r="T199" s="13">
        <f t="shared" si="39"/>
        <v>0</v>
      </c>
      <c r="U199" s="13">
        <f t="shared" si="39"/>
        <v>0</v>
      </c>
      <c r="V199" s="13">
        <f t="shared" si="39"/>
        <v>1</v>
      </c>
      <c r="W199" s="13">
        <f t="shared" si="39"/>
        <v>0</v>
      </c>
      <c r="X199" s="13">
        <f t="shared" si="39"/>
        <v>0</v>
      </c>
      <c r="Y199" s="13">
        <f t="shared" si="39"/>
        <v>1</v>
      </c>
      <c r="Z199" s="13">
        <f t="shared" si="39"/>
        <v>0</v>
      </c>
      <c r="AA199" s="13">
        <f t="shared" si="39"/>
        <v>8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13.0</v>
      </c>
      <c r="F201" s="73">
        <v>7.0</v>
      </c>
      <c r="G201" s="73">
        <v>8.0</v>
      </c>
      <c r="H201" s="73">
        <v>5.0</v>
      </c>
      <c r="I201" s="73">
        <v>5.0</v>
      </c>
      <c r="J201" s="73">
        <v>8.0</v>
      </c>
      <c r="K201" s="73">
        <v>5.0</v>
      </c>
      <c r="L201" s="73">
        <v>3.0</v>
      </c>
      <c r="M201" s="73">
        <v>11.0</v>
      </c>
      <c r="N201" s="73">
        <v>7.0</v>
      </c>
      <c r="O201" s="73">
        <v>2.0</v>
      </c>
      <c r="P201" s="73">
        <v>20.0</v>
      </c>
      <c r="Q201" s="73">
        <v>2.0</v>
      </c>
      <c r="R201" s="73">
        <v>9.0</v>
      </c>
      <c r="S201" s="73">
        <v>4.0</v>
      </c>
      <c r="T201" s="73">
        <v>11.0</v>
      </c>
      <c r="U201" s="73">
        <v>3.0</v>
      </c>
      <c r="V201" s="73">
        <v>12.0</v>
      </c>
      <c r="W201" s="73">
        <v>6.0</v>
      </c>
      <c r="X201" s="73">
        <v>9.0</v>
      </c>
      <c r="Y201" s="73">
        <v>9.0</v>
      </c>
      <c r="Z201" s="73">
        <v>0.0</v>
      </c>
      <c r="AA201" s="13">
        <f t="shared" ref="AA201:AA210" si="40">SUM(E201:Z201)</f>
        <v>159</v>
      </c>
    </row>
    <row r="202" ht="12.75" customHeight="1">
      <c r="A202" s="30" t="s">
        <v>39</v>
      </c>
      <c r="B202" s="49"/>
      <c r="C202" s="50" t="s">
        <v>154</v>
      </c>
      <c r="D202" s="51"/>
      <c r="E202" s="73">
        <v>16.0</v>
      </c>
      <c r="F202" s="73">
        <v>19.0</v>
      </c>
      <c r="G202" s="73">
        <v>5.0</v>
      </c>
      <c r="H202" s="73">
        <v>15.0</v>
      </c>
      <c r="I202" s="73">
        <v>6.0</v>
      </c>
      <c r="J202" s="73">
        <v>6.0</v>
      </c>
      <c r="K202" s="73">
        <v>5.0</v>
      </c>
      <c r="L202" s="73">
        <v>7.0</v>
      </c>
      <c r="M202" s="73">
        <v>23.0</v>
      </c>
      <c r="N202" s="73">
        <v>6.0</v>
      </c>
      <c r="O202" s="73">
        <v>4.0</v>
      </c>
      <c r="P202" s="73">
        <v>12.0</v>
      </c>
      <c r="Q202" s="73">
        <v>1.0</v>
      </c>
      <c r="R202" s="73">
        <v>5.0</v>
      </c>
      <c r="S202" s="73">
        <v>3.0</v>
      </c>
      <c r="T202" s="73">
        <v>3.0</v>
      </c>
      <c r="U202" s="73">
        <v>1.0</v>
      </c>
      <c r="V202" s="73">
        <v>23.0</v>
      </c>
      <c r="W202" s="73">
        <v>5.0</v>
      </c>
      <c r="X202" s="73">
        <v>5.0</v>
      </c>
      <c r="Y202" s="73">
        <v>13.0</v>
      </c>
      <c r="Z202" s="73">
        <v>4.0</v>
      </c>
      <c r="AA202" s="13">
        <f t="shared" si="40"/>
        <v>187</v>
      </c>
    </row>
    <row r="203" ht="12.75" customHeight="1">
      <c r="A203" s="18"/>
      <c r="B203" s="49"/>
      <c r="C203" s="50" t="s">
        <v>155</v>
      </c>
      <c r="D203" s="51"/>
      <c r="E203" s="73">
        <v>4.0</v>
      </c>
      <c r="F203" s="73">
        <v>2.0</v>
      </c>
      <c r="G203" s="73">
        <v>0.0</v>
      </c>
      <c r="H203" s="73">
        <v>3.0</v>
      </c>
      <c r="I203" s="73">
        <v>0.0</v>
      </c>
      <c r="J203" s="73">
        <v>2.0</v>
      </c>
      <c r="K203" s="73">
        <v>3.0</v>
      </c>
      <c r="L203" s="73">
        <v>3.0</v>
      </c>
      <c r="M203" s="73">
        <v>0.0</v>
      </c>
      <c r="N203" s="73">
        <v>0.0</v>
      </c>
      <c r="O203" s="73">
        <v>2.0</v>
      </c>
      <c r="P203" s="73">
        <v>2.0</v>
      </c>
      <c r="Q203" s="73">
        <v>2.0</v>
      </c>
      <c r="R203" s="73">
        <v>1.0</v>
      </c>
      <c r="S203" s="73">
        <v>0.0</v>
      </c>
      <c r="T203" s="73">
        <v>1.0</v>
      </c>
      <c r="U203" s="73">
        <v>4.0</v>
      </c>
      <c r="V203" s="73">
        <v>2.0</v>
      </c>
      <c r="W203" s="73">
        <v>1.0</v>
      </c>
      <c r="X203" s="73">
        <v>2.0</v>
      </c>
      <c r="Y203" s="73">
        <v>2.0</v>
      </c>
      <c r="Z203" s="73">
        <v>0.0</v>
      </c>
      <c r="AA203" s="13">
        <f t="shared" si="40"/>
        <v>36</v>
      </c>
    </row>
    <row r="204" ht="12.75" customHeight="1">
      <c r="A204" s="18"/>
      <c r="B204" s="49"/>
      <c r="C204" s="50" t="s">
        <v>156</v>
      </c>
      <c r="D204" s="51"/>
      <c r="E204" s="73">
        <v>0.0</v>
      </c>
      <c r="F204" s="73">
        <v>1.0</v>
      </c>
      <c r="G204" s="73">
        <v>2.0</v>
      </c>
      <c r="H204" s="73">
        <v>3.0</v>
      </c>
      <c r="I204" s="73">
        <v>1.0</v>
      </c>
      <c r="J204" s="73">
        <v>2.0</v>
      </c>
      <c r="K204" s="73">
        <v>4.0</v>
      </c>
      <c r="L204" s="73">
        <v>0.0</v>
      </c>
      <c r="M204" s="73">
        <v>0.0</v>
      </c>
      <c r="N204" s="73">
        <v>0.0</v>
      </c>
      <c r="O204" s="73">
        <v>0.0</v>
      </c>
      <c r="P204" s="73">
        <v>1.0</v>
      </c>
      <c r="Q204" s="73">
        <v>1.0</v>
      </c>
      <c r="R204" s="73">
        <v>1.0</v>
      </c>
      <c r="S204" s="73">
        <v>0.0</v>
      </c>
      <c r="T204" s="73">
        <v>1.0</v>
      </c>
      <c r="U204" s="73">
        <v>1.0</v>
      </c>
      <c r="V204" s="73">
        <v>0.0</v>
      </c>
      <c r="W204" s="73">
        <v>0.0</v>
      </c>
      <c r="X204" s="73">
        <v>1.0</v>
      </c>
      <c r="Y204" s="73">
        <v>0.0</v>
      </c>
      <c r="Z204" s="73">
        <v>0.0</v>
      </c>
      <c r="AA204" s="13">
        <f t="shared" si="40"/>
        <v>19</v>
      </c>
    </row>
    <row r="205" ht="12.75" customHeight="1">
      <c r="A205" s="18"/>
      <c r="B205" s="49"/>
      <c r="C205" s="50" t="s">
        <v>157</v>
      </c>
      <c r="D205" s="51"/>
      <c r="E205" s="73">
        <v>1.0</v>
      </c>
      <c r="F205" s="73">
        <v>0.0</v>
      </c>
      <c r="G205" s="73">
        <v>1.0</v>
      </c>
      <c r="H205" s="73">
        <v>0.0</v>
      </c>
      <c r="I205" s="73">
        <v>0.0</v>
      </c>
      <c r="J205" s="73">
        <v>0.0</v>
      </c>
      <c r="K205" s="73">
        <v>0.0</v>
      </c>
      <c r="L205" s="73">
        <v>0.0</v>
      </c>
      <c r="M205" s="73">
        <v>0.0</v>
      </c>
      <c r="N205" s="73">
        <v>0.0</v>
      </c>
      <c r="O205" s="73">
        <v>0.0</v>
      </c>
      <c r="P205" s="73">
        <v>0.0</v>
      </c>
      <c r="Q205" s="73">
        <v>0.0</v>
      </c>
      <c r="R205" s="73">
        <v>1.0</v>
      </c>
      <c r="S205" s="73">
        <v>1.0</v>
      </c>
      <c r="T205" s="73">
        <v>0.0</v>
      </c>
      <c r="U205" s="73">
        <v>0.0</v>
      </c>
      <c r="V205" s="73">
        <v>0.0</v>
      </c>
      <c r="W205" s="73">
        <v>0.0</v>
      </c>
      <c r="X205" s="73">
        <v>0.0</v>
      </c>
      <c r="Y205" s="73">
        <v>2.0</v>
      </c>
      <c r="Z205" s="73">
        <v>0.0</v>
      </c>
      <c r="AA205" s="13">
        <f t="shared" si="40"/>
        <v>6</v>
      </c>
    </row>
    <row r="206" ht="12.75" customHeight="1">
      <c r="A206" s="18"/>
      <c r="B206" s="49"/>
      <c r="C206" s="50" t="s">
        <v>158</v>
      </c>
      <c r="D206" s="51"/>
      <c r="E206" s="73">
        <v>0.0</v>
      </c>
      <c r="F206" s="73">
        <v>0.0</v>
      </c>
      <c r="G206" s="73">
        <v>0.0</v>
      </c>
      <c r="H206" s="73">
        <v>1.0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1.0</v>
      </c>
      <c r="Q206" s="73">
        <v>0.0</v>
      </c>
      <c r="R206" s="73">
        <v>1.0</v>
      </c>
      <c r="S206" s="73">
        <v>0.0</v>
      </c>
      <c r="T206" s="73">
        <v>0.0</v>
      </c>
      <c r="U206" s="73">
        <v>0.0</v>
      </c>
      <c r="V206" s="73">
        <v>2.0</v>
      </c>
      <c r="W206" s="73">
        <v>2.0</v>
      </c>
      <c r="X206" s="73">
        <v>0.0</v>
      </c>
      <c r="Y206" s="73">
        <v>1.0</v>
      </c>
      <c r="Z206" s="73">
        <v>0.0</v>
      </c>
      <c r="AA206" s="13">
        <f t="shared" si="40"/>
        <v>8</v>
      </c>
    </row>
    <row r="207" ht="12.75" customHeight="1">
      <c r="A207" s="18"/>
      <c r="B207" s="49"/>
      <c r="C207" s="50" t="s">
        <v>159</v>
      </c>
      <c r="D207" s="51"/>
      <c r="E207" s="73">
        <v>0.0</v>
      </c>
      <c r="F207" s="73">
        <v>3.0</v>
      </c>
      <c r="G207" s="73">
        <v>0.0</v>
      </c>
      <c r="H207" s="73">
        <v>0.0</v>
      </c>
      <c r="I207" s="73">
        <v>0.0</v>
      </c>
      <c r="J207" s="73">
        <v>0.0</v>
      </c>
      <c r="K207" s="73">
        <v>0.0</v>
      </c>
      <c r="L207" s="73">
        <v>0.0</v>
      </c>
      <c r="M207" s="73">
        <v>2.0</v>
      </c>
      <c r="N207" s="73">
        <v>1.0</v>
      </c>
      <c r="O207" s="73">
        <v>0.0</v>
      </c>
      <c r="P207" s="73">
        <v>0.0</v>
      </c>
      <c r="Q207" s="73">
        <v>1.0</v>
      </c>
      <c r="R207" s="73">
        <v>2.0</v>
      </c>
      <c r="S207" s="73">
        <v>1.0</v>
      </c>
      <c r="T207" s="73">
        <v>0.0</v>
      </c>
      <c r="U207" s="73">
        <v>0.0</v>
      </c>
      <c r="V207" s="73">
        <v>0.0</v>
      </c>
      <c r="W207" s="73">
        <v>3.0</v>
      </c>
      <c r="X207" s="73">
        <v>0.0</v>
      </c>
      <c r="Y207" s="73">
        <v>1.0</v>
      </c>
      <c r="Z207" s="73">
        <v>0.0</v>
      </c>
      <c r="AA207" s="13">
        <f t="shared" si="40"/>
        <v>14</v>
      </c>
    </row>
    <row r="208" ht="12.75" customHeight="1">
      <c r="A208" s="18"/>
      <c r="B208" s="49"/>
      <c r="C208" s="50" t="s">
        <v>160</v>
      </c>
      <c r="D208" s="51"/>
      <c r="E208" s="73">
        <v>3.0</v>
      </c>
      <c r="F208" s="73">
        <v>0.0</v>
      </c>
      <c r="G208" s="73">
        <v>1.0</v>
      </c>
      <c r="H208" s="73">
        <v>1.0</v>
      </c>
      <c r="I208" s="73">
        <v>0.0</v>
      </c>
      <c r="J208" s="73">
        <v>1.0</v>
      </c>
      <c r="K208" s="73">
        <v>0.0</v>
      </c>
      <c r="L208" s="73">
        <v>0.0</v>
      </c>
      <c r="M208" s="73">
        <v>2.0</v>
      </c>
      <c r="N208" s="73">
        <v>0.0</v>
      </c>
      <c r="O208" s="73">
        <v>1.0</v>
      </c>
      <c r="P208" s="73">
        <v>0.0</v>
      </c>
      <c r="Q208" s="73">
        <v>1.0</v>
      </c>
      <c r="R208" s="73">
        <v>1.0</v>
      </c>
      <c r="S208" s="73">
        <v>2.0</v>
      </c>
      <c r="T208" s="73">
        <v>1.0</v>
      </c>
      <c r="U208" s="73">
        <v>1.0</v>
      </c>
      <c r="V208" s="73">
        <v>4.0</v>
      </c>
      <c r="W208" s="73">
        <v>1.0</v>
      </c>
      <c r="X208" s="73">
        <v>1.0</v>
      </c>
      <c r="Y208" s="73">
        <v>0.0</v>
      </c>
      <c r="Z208" s="73">
        <v>0.0</v>
      </c>
      <c r="AA208" s="13">
        <f t="shared" si="40"/>
        <v>21</v>
      </c>
    </row>
    <row r="209" ht="12.75" customHeight="1">
      <c r="A209" s="18"/>
      <c r="B209" s="49"/>
      <c r="C209" s="50" t="s">
        <v>161</v>
      </c>
      <c r="D209" s="51"/>
      <c r="E209" s="73">
        <v>0.0</v>
      </c>
      <c r="F209" s="73">
        <v>0.0</v>
      </c>
      <c r="G209" s="73">
        <v>0.0</v>
      </c>
      <c r="H209" s="73">
        <v>0.0</v>
      </c>
      <c r="I209" s="73">
        <v>0.0</v>
      </c>
      <c r="J209" s="73">
        <v>0.0</v>
      </c>
      <c r="K209" s="73">
        <v>1.0</v>
      </c>
      <c r="L209" s="73">
        <v>0.0</v>
      </c>
      <c r="M209" s="73">
        <v>0.0</v>
      </c>
      <c r="N209" s="73">
        <v>0.0</v>
      </c>
      <c r="O209" s="73">
        <v>0.0</v>
      </c>
      <c r="P209" s="73">
        <v>0.0</v>
      </c>
      <c r="Q209" s="73">
        <v>0.0</v>
      </c>
      <c r="R209" s="73">
        <v>0.0</v>
      </c>
      <c r="S209" s="73">
        <v>0.0</v>
      </c>
      <c r="T209" s="73">
        <v>0.0</v>
      </c>
      <c r="U209" s="73">
        <v>0.0</v>
      </c>
      <c r="V209" s="73">
        <v>0.0</v>
      </c>
      <c r="W209" s="73">
        <v>0.0</v>
      </c>
      <c r="X209" s="73">
        <v>0.0</v>
      </c>
      <c r="Y209" s="73">
        <v>0.0</v>
      </c>
      <c r="Z209" s="73">
        <v>0.0</v>
      </c>
      <c r="AA209" s="13">
        <f t="shared" si="40"/>
        <v>1</v>
      </c>
    </row>
    <row r="210" ht="12.75" customHeight="1">
      <c r="A210" s="18"/>
      <c r="B210" s="49"/>
      <c r="C210" s="50" t="s">
        <v>162</v>
      </c>
      <c r="D210" s="51"/>
      <c r="E210" s="73">
        <v>2.0</v>
      </c>
      <c r="F210" s="73">
        <v>1.0</v>
      </c>
      <c r="G210" s="73">
        <v>0.0</v>
      </c>
      <c r="H210" s="73">
        <v>0.0</v>
      </c>
      <c r="I210" s="73">
        <v>1.0</v>
      </c>
      <c r="J210" s="73">
        <v>1.0</v>
      </c>
      <c r="K210" s="73">
        <v>0.0</v>
      </c>
      <c r="L210" s="73">
        <v>0.0</v>
      </c>
      <c r="M210" s="73">
        <v>2.0</v>
      </c>
      <c r="N210" s="73">
        <v>1.0</v>
      </c>
      <c r="O210" s="73">
        <v>0.0</v>
      </c>
      <c r="P210" s="73">
        <v>1.0</v>
      </c>
      <c r="Q210" s="73">
        <v>0.0</v>
      </c>
      <c r="R210" s="73">
        <v>0.0</v>
      </c>
      <c r="S210" s="73">
        <v>0.0</v>
      </c>
      <c r="T210" s="73">
        <v>0.0</v>
      </c>
      <c r="U210" s="73">
        <v>1.0</v>
      </c>
      <c r="V210" s="73">
        <v>0.0</v>
      </c>
      <c r="W210" s="73">
        <v>0.0</v>
      </c>
      <c r="X210" s="73">
        <v>0.0</v>
      </c>
      <c r="Y210" s="73">
        <v>0.0</v>
      </c>
      <c r="Z210" s="73">
        <v>0.0</v>
      </c>
      <c r="AA210" s="13">
        <f t="shared" si="40"/>
        <v>10</v>
      </c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A211" si="41">SUM(E201:E210)</f>
        <v>39</v>
      </c>
      <c r="F211" s="13">
        <f t="shared" si="41"/>
        <v>33</v>
      </c>
      <c r="G211" s="13">
        <f t="shared" si="41"/>
        <v>17</v>
      </c>
      <c r="H211" s="13">
        <f t="shared" si="41"/>
        <v>28</v>
      </c>
      <c r="I211" s="13">
        <f t="shared" si="41"/>
        <v>13</v>
      </c>
      <c r="J211" s="13">
        <f t="shared" si="41"/>
        <v>20</v>
      </c>
      <c r="K211" s="13">
        <f t="shared" si="41"/>
        <v>18</v>
      </c>
      <c r="L211" s="13">
        <f t="shared" si="41"/>
        <v>13</v>
      </c>
      <c r="M211" s="13">
        <f t="shared" si="41"/>
        <v>40</v>
      </c>
      <c r="N211" s="13">
        <f t="shared" si="41"/>
        <v>15</v>
      </c>
      <c r="O211" s="13">
        <f t="shared" si="41"/>
        <v>9</v>
      </c>
      <c r="P211" s="13">
        <f t="shared" si="41"/>
        <v>37</v>
      </c>
      <c r="Q211" s="13">
        <f t="shared" si="41"/>
        <v>8</v>
      </c>
      <c r="R211" s="13">
        <f t="shared" si="41"/>
        <v>21</v>
      </c>
      <c r="S211" s="13">
        <f t="shared" si="41"/>
        <v>11</v>
      </c>
      <c r="T211" s="13">
        <f t="shared" si="41"/>
        <v>17</v>
      </c>
      <c r="U211" s="13">
        <f t="shared" si="41"/>
        <v>11</v>
      </c>
      <c r="V211" s="13">
        <f t="shared" si="41"/>
        <v>43</v>
      </c>
      <c r="W211" s="13">
        <f t="shared" si="41"/>
        <v>18</v>
      </c>
      <c r="X211" s="13">
        <f t="shared" si="41"/>
        <v>18</v>
      </c>
      <c r="Y211" s="13">
        <f t="shared" si="41"/>
        <v>28</v>
      </c>
      <c r="Z211" s="13">
        <f t="shared" si="41"/>
        <v>4</v>
      </c>
      <c r="AA211" s="13">
        <f t="shared" si="41"/>
        <v>461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1.0</v>
      </c>
      <c r="F213" s="73">
        <v>7.0</v>
      </c>
      <c r="G213" s="73">
        <v>3.0</v>
      </c>
      <c r="H213" s="73">
        <v>4.0</v>
      </c>
      <c r="I213" s="73">
        <v>4.0</v>
      </c>
      <c r="J213" s="73">
        <v>5.0</v>
      </c>
      <c r="K213" s="73">
        <v>0.0</v>
      </c>
      <c r="L213" s="73">
        <v>3.0</v>
      </c>
      <c r="M213" s="73">
        <v>0.0</v>
      </c>
      <c r="N213" s="73">
        <v>3.0</v>
      </c>
      <c r="O213" s="73">
        <v>0.0</v>
      </c>
      <c r="P213" s="73">
        <v>1.0</v>
      </c>
      <c r="Q213" s="73">
        <v>4.0</v>
      </c>
      <c r="R213" s="73">
        <v>1.0</v>
      </c>
      <c r="S213" s="73">
        <v>3.0</v>
      </c>
      <c r="T213" s="73">
        <v>0.0</v>
      </c>
      <c r="U213" s="73">
        <v>1.0</v>
      </c>
      <c r="V213" s="73">
        <v>1.0</v>
      </c>
      <c r="W213" s="73">
        <v>2.0</v>
      </c>
      <c r="X213" s="73">
        <v>0.0</v>
      </c>
      <c r="Y213" s="73">
        <v>1.0</v>
      </c>
      <c r="Z213" s="73">
        <v>0.0</v>
      </c>
      <c r="AA213" s="13">
        <f t="shared" ref="AA213:AA222" si="42">SUM(E213:Z213)</f>
        <v>44</v>
      </c>
    </row>
    <row r="214" ht="12.75" customHeight="1">
      <c r="A214" s="30" t="s">
        <v>39</v>
      </c>
      <c r="B214" s="49"/>
      <c r="C214" s="50" t="s">
        <v>165</v>
      </c>
      <c r="D214" s="51"/>
      <c r="E214" s="73">
        <v>0.0</v>
      </c>
      <c r="F214" s="73">
        <v>2.0</v>
      </c>
      <c r="G214" s="73">
        <v>2.0</v>
      </c>
      <c r="H214" s="73">
        <v>0.0</v>
      </c>
      <c r="I214" s="73">
        <v>1.0</v>
      </c>
      <c r="J214" s="73">
        <v>0.0</v>
      </c>
      <c r="K214" s="73">
        <v>2.0</v>
      </c>
      <c r="L214" s="73">
        <v>6.0</v>
      </c>
      <c r="M214" s="73">
        <v>1.0</v>
      </c>
      <c r="N214" s="73">
        <v>1.0</v>
      </c>
      <c r="O214" s="73">
        <v>2.0</v>
      </c>
      <c r="P214" s="73">
        <v>1.0</v>
      </c>
      <c r="Q214" s="73">
        <v>0.0</v>
      </c>
      <c r="R214" s="73">
        <v>1.0</v>
      </c>
      <c r="S214" s="73">
        <v>4.0</v>
      </c>
      <c r="T214" s="73">
        <v>2.0</v>
      </c>
      <c r="U214" s="73">
        <v>0.0</v>
      </c>
      <c r="V214" s="73">
        <v>1.0</v>
      </c>
      <c r="W214" s="73">
        <v>1.0</v>
      </c>
      <c r="X214" s="73">
        <v>1.0</v>
      </c>
      <c r="Y214" s="73">
        <v>0.0</v>
      </c>
      <c r="Z214" s="73">
        <v>0.0</v>
      </c>
      <c r="AA214" s="13">
        <f t="shared" si="42"/>
        <v>28</v>
      </c>
    </row>
    <row r="215" ht="12.75" customHeight="1">
      <c r="A215" s="18"/>
      <c r="B215" s="49"/>
      <c r="C215" s="50" t="s">
        <v>166</v>
      </c>
      <c r="D215" s="51"/>
      <c r="E215" s="73">
        <v>1.0</v>
      </c>
      <c r="F215" s="73">
        <v>0.0</v>
      </c>
      <c r="G215" s="73">
        <v>0.0</v>
      </c>
      <c r="H215" s="73">
        <v>2.0</v>
      </c>
      <c r="I215" s="73">
        <v>1.0</v>
      </c>
      <c r="J215" s="73">
        <v>2.0</v>
      </c>
      <c r="K215" s="73">
        <v>1.0</v>
      </c>
      <c r="L215" s="73">
        <v>1.0</v>
      </c>
      <c r="M215" s="73">
        <v>2.0</v>
      </c>
      <c r="N215" s="73">
        <v>3.0</v>
      </c>
      <c r="O215" s="73">
        <v>0.0</v>
      </c>
      <c r="P215" s="73">
        <v>2.0</v>
      </c>
      <c r="Q215" s="73">
        <v>0.0</v>
      </c>
      <c r="R215" s="73">
        <v>0.0</v>
      </c>
      <c r="S215" s="73">
        <v>1.0</v>
      </c>
      <c r="T215" s="73">
        <v>1.0</v>
      </c>
      <c r="U215" s="73">
        <v>1.0</v>
      </c>
      <c r="V215" s="73">
        <v>1.0</v>
      </c>
      <c r="W215" s="73">
        <v>1.0</v>
      </c>
      <c r="X215" s="73">
        <v>1.0</v>
      </c>
      <c r="Y215" s="73">
        <v>0.0</v>
      </c>
      <c r="Z215" s="73">
        <v>1.0</v>
      </c>
      <c r="AA215" s="13">
        <f t="shared" si="42"/>
        <v>22</v>
      </c>
    </row>
    <row r="216" ht="12.75" customHeight="1">
      <c r="A216" s="18"/>
      <c r="B216" s="49"/>
      <c r="C216" s="50" t="s">
        <v>167</v>
      </c>
      <c r="D216" s="51"/>
      <c r="E216" s="73">
        <v>0.0</v>
      </c>
      <c r="F216" s="73">
        <v>0.0</v>
      </c>
      <c r="G216" s="73">
        <v>0.0</v>
      </c>
      <c r="H216" s="73">
        <v>0.0</v>
      </c>
      <c r="I216" s="73">
        <v>1.0</v>
      </c>
      <c r="J216" s="73">
        <v>0.0</v>
      </c>
      <c r="K216" s="73">
        <v>0.0</v>
      </c>
      <c r="L216" s="73">
        <v>1.0</v>
      </c>
      <c r="M216" s="73">
        <v>2.0</v>
      </c>
      <c r="N216" s="73">
        <v>0.0</v>
      </c>
      <c r="O216" s="73">
        <v>0.0</v>
      </c>
      <c r="P216" s="73">
        <v>0.0</v>
      </c>
      <c r="Q216" s="73">
        <v>0.0</v>
      </c>
      <c r="R216" s="73">
        <v>0.0</v>
      </c>
      <c r="S216" s="73">
        <v>0.0</v>
      </c>
      <c r="T216" s="73">
        <v>0.0</v>
      </c>
      <c r="U216" s="73">
        <v>0.0</v>
      </c>
      <c r="V216" s="73">
        <v>0.0</v>
      </c>
      <c r="W216" s="73">
        <v>1.0</v>
      </c>
      <c r="X216" s="73">
        <v>0.0</v>
      </c>
      <c r="Y216" s="73">
        <v>1.0</v>
      </c>
      <c r="Z216" s="73">
        <v>0.0</v>
      </c>
      <c r="AA216" s="13">
        <f t="shared" si="42"/>
        <v>6</v>
      </c>
    </row>
    <row r="217" ht="12.75" customHeight="1">
      <c r="A217" s="18"/>
      <c r="B217" s="57"/>
      <c r="C217" s="58"/>
      <c r="D217" s="6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3">
        <f t="shared" si="42"/>
        <v>0</v>
      </c>
    </row>
    <row r="218" ht="12.75" customHeight="1">
      <c r="A218" s="18"/>
      <c r="B218" s="57"/>
      <c r="C218" s="58"/>
      <c r="D218" s="6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3">
        <f t="shared" si="42"/>
        <v>0</v>
      </c>
    </row>
    <row r="219" ht="12.75" customHeight="1">
      <c r="A219" s="18"/>
      <c r="B219" s="57"/>
      <c r="C219" s="58"/>
      <c r="D219" s="66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3">
        <f t="shared" si="42"/>
        <v>0</v>
      </c>
    </row>
    <row r="220" ht="12.75" customHeight="1">
      <c r="A220" s="18"/>
      <c r="B220" s="57"/>
      <c r="C220" s="58"/>
      <c r="D220" s="66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3">
        <f t="shared" si="42"/>
        <v>0</v>
      </c>
    </row>
    <row r="221" ht="12.75" customHeight="1">
      <c r="A221" s="18"/>
      <c r="B221" s="57"/>
      <c r="C221" s="58"/>
      <c r="D221" s="66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3">
        <f t="shared" si="42"/>
        <v>0</v>
      </c>
    </row>
    <row r="222" ht="12.75" customHeight="1">
      <c r="A222" s="18"/>
      <c r="B222" s="57"/>
      <c r="C222" s="58"/>
      <c r="D222" s="66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3">
        <f t="shared" si="42"/>
        <v>0</v>
      </c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A223" si="43">SUM(E213:E222)</f>
        <v>2</v>
      </c>
      <c r="F223" s="13">
        <f t="shared" si="43"/>
        <v>9</v>
      </c>
      <c r="G223" s="13">
        <f t="shared" si="43"/>
        <v>5</v>
      </c>
      <c r="H223" s="13">
        <f t="shared" si="43"/>
        <v>6</v>
      </c>
      <c r="I223" s="13">
        <f t="shared" si="43"/>
        <v>7</v>
      </c>
      <c r="J223" s="13">
        <f t="shared" si="43"/>
        <v>7</v>
      </c>
      <c r="K223" s="13">
        <f t="shared" si="43"/>
        <v>3</v>
      </c>
      <c r="L223" s="13">
        <f t="shared" si="43"/>
        <v>11</v>
      </c>
      <c r="M223" s="13">
        <f t="shared" si="43"/>
        <v>5</v>
      </c>
      <c r="N223" s="13">
        <f t="shared" si="43"/>
        <v>7</v>
      </c>
      <c r="O223" s="13">
        <f t="shared" si="43"/>
        <v>2</v>
      </c>
      <c r="P223" s="13">
        <f t="shared" si="43"/>
        <v>4</v>
      </c>
      <c r="Q223" s="13">
        <f t="shared" si="43"/>
        <v>4</v>
      </c>
      <c r="R223" s="13">
        <f t="shared" si="43"/>
        <v>2</v>
      </c>
      <c r="S223" s="13">
        <f t="shared" si="43"/>
        <v>8</v>
      </c>
      <c r="T223" s="13">
        <f t="shared" si="43"/>
        <v>3</v>
      </c>
      <c r="U223" s="13">
        <f t="shared" si="43"/>
        <v>2</v>
      </c>
      <c r="V223" s="13">
        <f t="shared" si="43"/>
        <v>3</v>
      </c>
      <c r="W223" s="13">
        <f t="shared" si="43"/>
        <v>5</v>
      </c>
      <c r="X223" s="13">
        <f t="shared" si="43"/>
        <v>2</v>
      </c>
      <c r="Y223" s="13">
        <f t="shared" si="43"/>
        <v>2</v>
      </c>
      <c r="Z223" s="13">
        <f t="shared" si="43"/>
        <v>1</v>
      </c>
      <c r="AA223" s="13">
        <f t="shared" si="43"/>
        <v>100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1.0</v>
      </c>
      <c r="F225" s="73">
        <v>2.0</v>
      </c>
      <c r="G225" s="73">
        <v>0.0</v>
      </c>
      <c r="H225" s="73">
        <v>0.0</v>
      </c>
      <c r="I225" s="73">
        <v>0.0</v>
      </c>
      <c r="J225" s="73">
        <v>0.0</v>
      </c>
      <c r="K225" s="73">
        <v>2.0</v>
      </c>
      <c r="L225" s="73">
        <v>0.0</v>
      </c>
      <c r="M225" s="73">
        <v>0.0</v>
      </c>
      <c r="N225" s="73">
        <v>1.0</v>
      </c>
      <c r="O225" s="73">
        <v>1.0</v>
      </c>
      <c r="P225" s="73">
        <v>0.0</v>
      </c>
      <c r="Q225" s="73">
        <v>0.0</v>
      </c>
      <c r="R225" s="73">
        <v>0.0</v>
      </c>
      <c r="S225" s="73">
        <v>0.0</v>
      </c>
      <c r="T225" s="73">
        <v>0.0</v>
      </c>
      <c r="U225" s="73">
        <v>1.0</v>
      </c>
      <c r="V225" s="73">
        <v>0.0</v>
      </c>
      <c r="W225" s="73">
        <v>0.0</v>
      </c>
      <c r="X225" s="73">
        <v>0.0</v>
      </c>
      <c r="Y225" s="73">
        <v>0.0</v>
      </c>
      <c r="Z225" s="73">
        <v>0.0</v>
      </c>
      <c r="AA225" s="13">
        <f t="shared" ref="AA225:AA234" si="44">SUM(E225:Z225)</f>
        <v>8</v>
      </c>
    </row>
    <row r="226" ht="12.75" customHeight="1">
      <c r="A226" s="30" t="s">
        <v>39</v>
      </c>
      <c r="B226" s="49"/>
      <c r="C226" s="50" t="s">
        <v>170</v>
      </c>
      <c r="D226" s="51"/>
      <c r="E226" s="73">
        <v>1.0</v>
      </c>
      <c r="F226" s="73">
        <v>3.0</v>
      </c>
      <c r="G226" s="73">
        <v>0.0</v>
      </c>
      <c r="H226" s="73">
        <v>0.0</v>
      </c>
      <c r="I226" s="73">
        <v>0.0</v>
      </c>
      <c r="J226" s="73">
        <v>0.0</v>
      </c>
      <c r="K226" s="73">
        <v>2.0</v>
      </c>
      <c r="L226" s="73">
        <v>0.0</v>
      </c>
      <c r="M226" s="73">
        <v>0.0</v>
      </c>
      <c r="N226" s="73">
        <v>1.0</v>
      </c>
      <c r="O226" s="73">
        <v>0.0</v>
      </c>
      <c r="P226" s="73">
        <v>0.0</v>
      </c>
      <c r="Q226" s="73">
        <v>0.0</v>
      </c>
      <c r="R226" s="73">
        <v>0.0</v>
      </c>
      <c r="S226" s="73">
        <v>0.0</v>
      </c>
      <c r="T226" s="73">
        <v>0.0</v>
      </c>
      <c r="U226" s="73">
        <v>0.0</v>
      </c>
      <c r="V226" s="73">
        <v>1.0</v>
      </c>
      <c r="W226" s="73">
        <v>1.0</v>
      </c>
      <c r="X226" s="73">
        <v>0.0</v>
      </c>
      <c r="Y226" s="73">
        <v>0.0</v>
      </c>
      <c r="Z226" s="73">
        <v>0.0</v>
      </c>
      <c r="AA226" s="13">
        <f t="shared" si="44"/>
        <v>9</v>
      </c>
    </row>
    <row r="227" ht="12.75" customHeight="1">
      <c r="A227" s="18"/>
      <c r="B227" s="49"/>
      <c r="C227" s="50" t="s">
        <v>171</v>
      </c>
      <c r="D227" s="51"/>
      <c r="E227" s="73">
        <v>0.0</v>
      </c>
      <c r="F227" s="73">
        <v>0.0</v>
      </c>
      <c r="G227" s="73">
        <v>1.0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0.0</v>
      </c>
      <c r="U227" s="73">
        <v>0.0</v>
      </c>
      <c r="V227" s="73">
        <v>0.0</v>
      </c>
      <c r="W227" s="73">
        <v>0.0</v>
      </c>
      <c r="X227" s="73">
        <v>0.0</v>
      </c>
      <c r="Y227" s="73">
        <v>0.0</v>
      </c>
      <c r="Z227" s="73">
        <v>0.0</v>
      </c>
      <c r="AA227" s="13">
        <f t="shared" si="44"/>
        <v>1</v>
      </c>
    </row>
    <row r="228" ht="12.75" customHeight="1">
      <c r="A228" s="18"/>
      <c r="B228" s="49"/>
      <c r="C228" s="50" t="s">
        <v>172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13">
        <f t="shared" si="44"/>
        <v>0</v>
      </c>
    </row>
    <row r="229" ht="12.75" customHeight="1">
      <c r="A229" s="18"/>
      <c r="B229" s="49"/>
      <c r="C229" s="50" t="s">
        <v>173</v>
      </c>
      <c r="D229" s="51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1.0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1.0</v>
      </c>
      <c r="S229" s="73">
        <v>0.0</v>
      </c>
      <c r="T229" s="73">
        <v>0.0</v>
      </c>
      <c r="U229" s="73">
        <v>0.0</v>
      </c>
      <c r="V229" s="73">
        <v>0.0</v>
      </c>
      <c r="W229" s="73">
        <v>0.0</v>
      </c>
      <c r="X229" s="73">
        <v>0.0</v>
      </c>
      <c r="Y229" s="73">
        <v>0.0</v>
      </c>
      <c r="Z229" s="73">
        <v>0.0</v>
      </c>
      <c r="AA229" s="13">
        <f t="shared" si="44"/>
        <v>2</v>
      </c>
    </row>
    <row r="230" ht="12.75" customHeight="1">
      <c r="A230" s="18"/>
      <c r="B230" s="57"/>
      <c r="C230" s="58"/>
      <c r="D230" s="5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3">
        <f t="shared" si="44"/>
        <v>0</v>
      </c>
    </row>
    <row r="231" ht="12.75" customHeight="1">
      <c r="A231" s="18"/>
      <c r="B231" s="57"/>
      <c r="C231" s="58"/>
      <c r="D231" s="5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3">
        <f t="shared" si="44"/>
        <v>0</v>
      </c>
    </row>
    <row r="232" ht="12.75" customHeight="1">
      <c r="A232" s="18"/>
      <c r="B232" s="57"/>
      <c r="C232" s="58"/>
      <c r="D232" s="5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3">
        <f t="shared" si="44"/>
        <v>0</v>
      </c>
    </row>
    <row r="233" ht="12.75" customHeight="1">
      <c r="A233" s="18"/>
      <c r="B233" s="57"/>
      <c r="C233" s="58"/>
      <c r="D233" s="5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3">
        <f t="shared" si="44"/>
        <v>0</v>
      </c>
    </row>
    <row r="234" ht="12.75" customHeight="1">
      <c r="A234" s="18"/>
      <c r="B234" s="57"/>
      <c r="C234" s="58"/>
      <c r="D234" s="5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3">
        <f t="shared" si="44"/>
        <v>0</v>
      </c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A235" si="45">SUM(E225:E234)</f>
        <v>2</v>
      </c>
      <c r="F235" s="13">
        <f t="shared" si="45"/>
        <v>5</v>
      </c>
      <c r="G235" s="13">
        <f t="shared" si="45"/>
        <v>1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4</v>
      </c>
      <c r="L235" s="13">
        <f t="shared" si="45"/>
        <v>1</v>
      </c>
      <c r="M235" s="13">
        <f t="shared" si="45"/>
        <v>0</v>
      </c>
      <c r="N235" s="13">
        <f t="shared" si="45"/>
        <v>2</v>
      </c>
      <c r="O235" s="13">
        <f t="shared" si="45"/>
        <v>1</v>
      </c>
      <c r="P235" s="13">
        <f t="shared" si="45"/>
        <v>0</v>
      </c>
      <c r="Q235" s="13">
        <f t="shared" si="45"/>
        <v>0</v>
      </c>
      <c r="R235" s="13">
        <f t="shared" si="45"/>
        <v>1</v>
      </c>
      <c r="S235" s="13">
        <f t="shared" si="45"/>
        <v>0</v>
      </c>
      <c r="T235" s="13">
        <f t="shared" si="45"/>
        <v>0</v>
      </c>
      <c r="U235" s="13">
        <f t="shared" si="45"/>
        <v>1</v>
      </c>
      <c r="V235" s="13">
        <f t="shared" si="45"/>
        <v>1</v>
      </c>
      <c r="W235" s="13">
        <f t="shared" si="45"/>
        <v>1</v>
      </c>
      <c r="X235" s="13">
        <f t="shared" si="45"/>
        <v>0</v>
      </c>
      <c r="Y235" s="13">
        <f t="shared" si="45"/>
        <v>0</v>
      </c>
      <c r="Z235" s="13">
        <f t="shared" si="45"/>
        <v>0</v>
      </c>
      <c r="AA235" s="13">
        <f t="shared" si="45"/>
        <v>20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0.0</v>
      </c>
      <c r="F237" s="73">
        <v>0.0</v>
      </c>
      <c r="G237" s="73">
        <v>0.0</v>
      </c>
      <c r="H237" s="73">
        <v>1.0</v>
      </c>
      <c r="I237" s="73">
        <v>1.0</v>
      </c>
      <c r="J237" s="73">
        <v>5.0</v>
      </c>
      <c r="K237" s="73">
        <v>3.0</v>
      </c>
      <c r="L237" s="73">
        <v>1.0</v>
      </c>
      <c r="M237" s="73">
        <v>3.0</v>
      </c>
      <c r="N237" s="73">
        <v>2.0</v>
      </c>
      <c r="O237" s="73">
        <v>1.0</v>
      </c>
      <c r="P237" s="73">
        <v>0.0</v>
      </c>
      <c r="Q237" s="73">
        <v>2.0</v>
      </c>
      <c r="R237" s="73">
        <v>3.0</v>
      </c>
      <c r="S237" s="73">
        <v>4.0</v>
      </c>
      <c r="T237" s="73">
        <v>0.0</v>
      </c>
      <c r="U237" s="73">
        <v>1.0</v>
      </c>
      <c r="V237" s="73">
        <v>0.0</v>
      </c>
      <c r="W237" s="73">
        <v>0.0</v>
      </c>
      <c r="X237" s="73">
        <v>0.0</v>
      </c>
      <c r="Y237" s="73">
        <v>1.0</v>
      </c>
      <c r="Z237" s="73">
        <v>0.0</v>
      </c>
      <c r="AA237" s="13">
        <f t="shared" ref="AA237:AA246" si="46">SUM(E237:Z237)</f>
        <v>28</v>
      </c>
    </row>
    <row r="238" ht="12.75" customHeight="1">
      <c r="A238" s="30" t="s">
        <v>39</v>
      </c>
      <c r="B238" s="49"/>
      <c r="C238" s="50" t="s">
        <v>176</v>
      </c>
      <c r="D238" s="51"/>
      <c r="E238" s="73">
        <v>3.0</v>
      </c>
      <c r="F238" s="73">
        <v>0.0</v>
      </c>
      <c r="G238" s="73">
        <v>2.0</v>
      </c>
      <c r="H238" s="73">
        <v>0.0</v>
      </c>
      <c r="I238" s="73">
        <v>2.0</v>
      </c>
      <c r="J238" s="73">
        <v>3.0</v>
      </c>
      <c r="K238" s="73">
        <v>1.0</v>
      </c>
      <c r="L238" s="73">
        <v>0.0</v>
      </c>
      <c r="M238" s="73">
        <v>1.0</v>
      </c>
      <c r="N238" s="73">
        <v>1.0</v>
      </c>
      <c r="O238" s="73">
        <v>1.0</v>
      </c>
      <c r="P238" s="73">
        <v>1.0</v>
      </c>
      <c r="Q238" s="73">
        <v>1.0</v>
      </c>
      <c r="R238" s="73">
        <v>0.0</v>
      </c>
      <c r="S238" s="73">
        <v>3.0</v>
      </c>
      <c r="T238" s="73">
        <v>1.0</v>
      </c>
      <c r="U238" s="73">
        <v>2.0</v>
      </c>
      <c r="V238" s="73">
        <v>2.0</v>
      </c>
      <c r="W238" s="73">
        <v>0.0</v>
      </c>
      <c r="X238" s="73">
        <v>0.0</v>
      </c>
      <c r="Y238" s="73">
        <v>1.0</v>
      </c>
      <c r="Z238" s="73">
        <v>0.0</v>
      </c>
      <c r="AA238" s="13">
        <f t="shared" si="46"/>
        <v>25</v>
      </c>
    </row>
    <row r="239" ht="12.75" customHeight="1">
      <c r="A239" s="18"/>
      <c r="B239" s="49"/>
      <c r="C239" s="50" t="s">
        <v>177</v>
      </c>
      <c r="D239" s="51"/>
      <c r="E239" s="73">
        <v>0.0</v>
      </c>
      <c r="F239" s="73">
        <v>3.0</v>
      </c>
      <c r="G239" s="73">
        <v>0.0</v>
      </c>
      <c r="H239" s="73">
        <v>0.0</v>
      </c>
      <c r="I239" s="73">
        <v>0.0</v>
      </c>
      <c r="J239" s="73">
        <v>12.0</v>
      </c>
      <c r="K239" s="73">
        <v>5.0</v>
      </c>
      <c r="L239" s="73">
        <v>2.0</v>
      </c>
      <c r="M239" s="73">
        <v>0.0</v>
      </c>
      <c r="N239" s="73">
        <v>4.0</v>
      </c>
      <c r="O239" s="73">
        <v>2.0</v>
      </c>
      <c r="P239" s="73">
        <v>1.0</v>
      </c>
      <c r="Q239" s="73">
        <v>0.0</v>
      </c>
      <c r="R239" s="73">
        <v>0.0</v>
      </c>
      <c r="S239" s="73">
        <v>0.0</v>
      </c>
      <c r="T239" s="73">
        <v>0.0</v>
      </c>
      <c r="U239" s="73">
        <v>0.0</v>
      </c>
      <c r="V239" s="73">
        <v>1.0</v>
      </c>
      <c r="W239" s="73">
        <v>0.0</v>
      </c>
      <c r="X239" s="73">
        <v>0.0</v>
      </c>
      <c r="Y239" s="73">
        <v>0.0</v>
      </c>
      <c r="Z239" s="73">
        <v>0.0</v>
      </c>
      <c r="AA239" s="13">
        <f t="shared" si="46"/>
        <v>30</v>
      </c>
    </row>
    <row r="240" ht="12.75" customHeight="1">
      <c r="A240" s="18"/>
      <c r="B240" s="49"/>
      <c r="C240" s="50" t="s">
        <v>178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1.0</v>
      </c>
      <c r="L240" s="73">
        <v>1.0</v>
      </c>
      <c r="M240" s="73">
        <v>0.0</v>
      </c>
      <c r="N240" s="73">
        <v>1.0</v>
      </c>
      <c r="O240" s="73">
        <v>0.0</v>
      </c>
      <c r="P240" s="73">
        <v>0.0</v>
      </c>
      <c r="Q240" s="73">
        <v>0.0</v>
      </c>
      <c r="R240" s="73">
        <v>1.0</v>
      </c>
      <c r="S240" s="73">
        <v>0.0</v>
      </c>
      <c r="T240" s="73">
        <v>0.0</v>
      </c>
      <c r="U240" s="73">
        <v>0.0</v>
      </c>
      <c r="V240" s="73">
        <v>0.0</v>
      </c>
      <c r="W240" s="73">
        <v>0.0</v>
      </c>
      <c r="X240" s="73">
        <v>0.0</v>
      </c>
      <c r="Y240" s="73">
        <v>0.0</v>
      </c>
      <c r="Z240" s="73">
        <v>1.0</v>
      </c>
      <c r="AA240" s="13">
        <f t="shared" si="46"/>
        <v>5</v>
      </c>
    </row>
    <row r="241" ht="12.75" customHeight="1">
      <c r="A241" s="18"/>
      <c r="B241" s="49"/>
      <c r="C241" s="50" t="s">
        <v>179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1.0</v>
      </c>
      <c r="L241" s="73">
        <v>0.0</v>
      </c>
      <c r="M241" s="73">
        <v>1.0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73">
        <v>1.0</v>
      </c>
      <c r="Z241" s="73">
        <v>0.0</v>
      </c>
      <c r="AA241" s="13">
        <f t="shared" si="46"/>
        <v>3</v>
      </c>
    </row>
    <row r="242" ht="12.75" customHeight="1">
      <c r="A242" s="18"/>
      <c r="B242" s="49"/>
      <c r="C242" s="50" t="s">
        <v>180</v>
      </c>
      <c r="D242" s="51"/>
      <c r="E242" s="73">
        <v>0.0</v>
      </c>
      <c r="F242" s="73">
        <v>0.0</v>
      </c>
      <c r="G242" s="73">
        <v>0.0</v>
      </c>
      <c r="H242" s="73">
        <v>0.0</v>
      </c>
      <c r="I242" s="73">
        <v>0.0</v>
      </c>
      <c r="J242" s="73">
        <v>1.0</v>
      </c>
      <c r="K242" s="73">
        <v>0.0</v>
      </c>
      <c r="L242" s="73">
        <v>0.0</v>
      </c>
      <c r="M242" s="73">
        <v>1.0</v>
      </c>
      <c r="N242" s="73">
        <v>0.0</v>
      </c>
      <c r="O242" s="73">
        <v>0.0</v>
      </c>
      <c r="P242" s="73">
        <v>0.0</v>
      </c>
      <c r="Q242" s="73">
        <v>1.0</v>
      </c>
      <c r="R242" s="73">
        <v>1.0</v>
      </c>
      <c r="S242" s="73">
        <v>0.0</v>
      </c>
      <c r="T242" s="73">
        <v>0.0</v>
      </c>
      <c r="U242" s="73">
        <v>0.0</v>
      </c>
      <c r="V242" s="73">
        <v>1.0</v>
      </c>
      <c r="W242" s="73">
        <v>1.0</v>
      </c>
      <c r="X242" s="73">
        <v>0.0</v>
      </c>
      <c r="Y242" s="73">
        <v>0.0</v>
      </c>
      <c r="Z242" s="73">
        <v>0.0</v>
      </c>
      <c r="AA242" s="13">
        <f t="shared" si="46"/>
        <v>6</v>
      </c>
    </row>
    <row r="243" ht="12.75" customHeight="1">
      <c r="A243" s="18"/>
      <c r="B243" s="49"/>
      <c r="C243" s="50" t="s">
        <v>181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0.0</v>
      </c>
      <c r="M243" s="73">
        <v>1.0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73">
        <v>0.0</v>
      </c>
      <c r="Z243" s="73">
        <v>0.0</v>
      </c>
      <c r="AA243" s="13">
        <f t="shared" si="46"/>
        <v>1</v>
      </c>
    </row>
    <row r="244" ht="12.75" customHeight="1">
      <c r="A244" s="18"/>
      <c r="B244" s="49"/>
      <c r="C244" s="50" t="s">
        <v>182</v>
      </c>
      <c r="D244" s="51"/>
      <c r="E244" s="73">
        <v>0.0</v>
      </c>
      <c r="F244" s="73">
        <v>0.0</v>
      </c>
      <c r="G244" s="73">
        <v>0.0</v>
      </c>
      <c r="H244" s="73">
        <v>0.0</v>
      </c>
      <c r="I244" s="73">
        <v>0.0</v>
      </c>
      <c r="J244" s="73">
        <v>1.0</v>
      </c>
      <c r="K244" s="73">
        <v>0.0</v>
      </c>
      <c r="L244" s="73">
        <v>0.0</v>
      </c>
      <c r="M244" s="73">
        <v>0.0</v>
      </c>
      <c r="N244" s="73">
        <v>0.0</v>
      </c>
      <c r="O244" s="73">
        <v>0.0</v>
      </c>
      <c r="P244" s="73">
        <v>0.0</v>
      </c>
      <c r="Q244" s="73">
        <v>0.0</v>
      </c>
      <c r="R244" s="73">
        <v>1.0</v>
      </c>
      <c r="S244" s="73">
        <v>0.0</v>
      </c>
      <c r="T244" s="73">
        <v>0.0</v>
      </c>
      <c r="U244" s="73">
        <v>0.0</v>
      </c>
      <c r="V244" s="73">
        <v>0.0</v>
      </c>
      <c r="W244" s="73">
        <v>0.0</v>
      </c>
      <c r="X244" s="73">
        <v>0.0</v>
      </c>
      <c r="Y244" s="73">
        <v>1.0</v>
      </c>
      <c r="Z244" s="73">
        <v>0.0</v>
      </c>
      <c r="AA244" s="13">
        <f t="shared" si="46"/>
        <v>3</v>
      </c>
    </row>
    <row r="245" ht="12.75" customHeight="1">
      <c r="A245" s="18"/>
      <c r="B245" s="49"/>
      <c r="C245" s="50" t="s">
        <v>183</v>
      </c>
      <c r="D245" s="51"/>
      <c r="E245" s="73">
        <v>0.0</v>
      </c>
      <c r="F245" s="73">
        <v>0.0</v>
      </c>
      <c r="G245" s="73">
        <v>0.0</v>
      </c>
      <c r="H245" s="73">
        <v>0.0</v>
      </c>
      <c r="I245" s="73">
        <v>0.0</v>
      </c>
      <c r="J245" s="73">
        <v>0.0</v>
      </c>
      <c r="K245" s="73">
        <v>0.0</v>
      </c>
      <c r="L245" s="73">
        <v>1.0</v>
      </c>
      <c r="M245" s="73">
        <v>0.0</v>
      </c>
      <c r="N245" s="73">
        <v>0.0</v>
      </c>
      <c r="O245" s="73">
        <v>0.0</v>
      </c>
      <c r="P245" s="73">
        <v>0.0</v>
      </c>
      <c r="Q245" s="73">
        <v>0.0</v>
      </c>
      <c r="R245" s="73">
        <v>0.0</v>
      </c>
      <c r="S245" s="73">
        <v>0.0</v>
      </c>
      <c r="T245" s="73">
        <v>0.0</v>
      </c>
      <c r="U245" s="73">
        <v>0.0</v>
      </c>
      <c r="V245" s="73">
        <v>0.0</v>
      </c>
      <c r="W245" s="73">
        <v>0.0</v>
      </c>
      <c r="X245" s="73">
        <v>0.0</v>
      </c>
      <c r="Y245" s="73">
        <v>0.0</v>
      </c>
      <c r="Z245" s="73">
        <v>0.0</v>
      </c>
      <c r="AA245" s="13">
        <f t="shared" si="46"/>
        <v>1</v>
      </c>
    </row>
    <row r="246" ht="12.75" customHeight="1">
      <c r="A246" s="18"/>
      <c r="B246" s="49"/>
      <c r="C246" s="50" t="s">
        <v>184</v>
      </c>
      <c r="D246" s="51"/>
      <c r="E246" s="73">
        <v>0.0</v>
      </c>
      <c r="F246" s="73">
        <v>0.0</v>
      </c>
      <c r="G246" s="73">
        <v>0.0</v>
      </c>
      <c r="H246" s="73">
        <v>0.0</v>
      </c>
      <c r="I246" s="73">
        <v>0.0</v>
      </c>
      <c r="J246" s="73">
        <v>0.0</v>
      </c>
      <c r="K246" s="73">
        <v>0.0</v>
      </c>
      <c r="L246" s="73">
        <v>0.0</v>
      </c>
      <c r="M246" s="73">
        <v>0.0</v>
      </c>
      <c r="N246" s="73">
        <v>0.0</v>
      </c>
      <c r="O246" s="73">
        <v>0.0</v>
      </c>
      <c r="P246" s="73">
        <v>0.0</v>
      </c>
      <c r="Q246" s="73">
        <v>0.0</v>
      </c>
      <c r="R246" s="73">
        <v>0.0</v>
      </c>
      <c r="S246" s="73">
        <v>0.0</v>
      </c>
      <c r="T246" s="73">
        <v>0.0</v>
      </c>
      <c r="U246" s="73">
        <v>0.0</v>
      </c>
      <c r="V246" s="73">
        <v>0.0</v>
      </c>
      <c r="W246" s="73">
        <v>0.0</v>
      </c>
      <c r="X246" s="73">
        <v>0.0</v>
      </c>
      <c r="Y246" s="73">
        <v>1.0</v>
      </c>
      <c r="Z246" s="73">
        <v>0.0</v>
      </c>
      <c r="AA246" s="13">
        <f t="shared" si="46"/>
        <v>1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A247" si="47">SUM(E237:E246)</f>
        <v>3</v>
      </c>
      <c r="F247" s="13">
        <f t="shared" si="47"/>
        <v>3</v>
      </c>
      <c r="G247" s="13">
        <f t="shared" si="47"/>
        <v>2</v>
      </c>
      <c r="H247" s="13">
        <f t="shared" si="47"/>
        <v>1</v>
      </c>
      <c r="I247" s="13">
        <f t="shared" si="47"/>
        <v>3</v>
      </c>
      <c r="J247" s="13">
        <f t="shared" si="47"/>
        <v>22</v>
      </c>
      <c r="K247" s="13">
        <f t="shared" si="47"/>
        <v>11</v>
      </c>
      <c r="L247" s="13">
        <f t="shared" si="47"/>
        <v>5</v>
      </c>
      <c r="M247" s="13">
        <f t="shared" si="47"/>
        <v>7</v>
      </c>
      <c r="N247" s="13">
        <f t="shared" si="47"/>
        <v>8</v>
      </c>
      <c r="O247" s="13">
        <f t="shared" si="47"/>
        <v>4</v>
      </c>
      <c r="P247" s="13">
        <f t="shared" si="47"/>
        <v>2</v>
      </c>
      <c r="Q247" s="13">
        <f t="shared" si="47"/>
        <v>4</v>
      </c>
      <c r="R247" s="13">
        <f t="shared" si="47"/>
        <v>6</v>
      </c>
      <c r="S247" s="13">
        <f t="shared" si="47"/>
        <v>7</v>
      </c>
      <c r="T247" s="13">
        <f t="shared" si="47"/>
        <v>1</v>
      </c>
      <c r="U247" s="13">
        <f t="shared" si="47"/>
        <v>3</v>
      </c>
      <c r="V247" s="13">
        <f t="shared" si="47"/>
        <v>4</v>
      </c>
      <c r="W247" s="13">
        <f t="shared" si="47"/>
        <v>1</v>
      </c>
      <c r="X247" s="13">
        <f t="shared" si="47"/>
        <v>0</v>
      </c>
      <c r="Y247" s="13">
        <f t="shared" si="47"/>
        <v>5</v>
      </c>
      <c r="Z247" s="13">
        <f t="shared" si="47"/>
        <v>1</v>
      </c>
      <c r="AA247" s="13">
        <f t="shared" si="47"/>
        <v>103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1.0</v>
      </c>
      <c r="G249" s="73">
        <v>0.0</v>
      </c>
      <c r="H249" s="73">
        <v>0.0</v>
      </c>
      <c r="I249" s="73">
        <v>0.0</v>
      </c>
      <c r="J249" s="73">
        <v>1.0</v>
      </c>
      <c r="K249" s="73">
        <v>0.0</v>
      </c>
      <c r="L249" s="73">
        <v>2.0</v>
      </c>
      <c r="M249" s="73">
        <v>0.0</v>
      </c>
      <c r="N249" s="73">
        <v>0.0</v>
      </c>
      <c r="O249" s="73">
        <v>0.0</v>
      </c>
      <c r="P249" s="73">
        <v>0.0</v>
      </c>
      <c r="Q249" s="73">
        <v>0.0</v>
      </c>
      <c r="R249" s="73">
        <v>0.0</v>
      </c>
      <c r="S249" s="73">
        <v>0.0</v>
      </c>
      <c r="T249" s="73">
        <v>0.0</v>
      </c>
      <c r="U249" s="73">
        <v>0.0</v>
      </c>
      <c r="V249" s="73">
        <v>1.0</v>
      </c>
      <c r="W249" s="73">
        <v>0.0</v>
      </c>
      <c r="X249" s="73">
        <v>0.0</v>
      </c>
      <c r="Y249" s="73">
        <v>0.0</v>
      </c>
      <c r="Z249" s="73">
        <v>0.0</v>
      </c>
      <c r="AA249" s="13">
        <f t="shared" ref="AA249:AA258" si="48">SUM(E249:Z249)</f>
        <v>5</v>
      </c>
    </row>
    <row r="250" ht="12.75" customHeight="1">
      <c r="A250" s="30" t="s">
        <v>39</v>
      </c>
      <c r="B250" s="49"/>
      <c r="C250" s="50" t="s">
        <v>187</v>
      </c>
      <c r="D250" s="51"/>
      <c r="E250" s="73">
        <v>0.0</v>
      </c>
      <c r="F250" s="73">
        <v>0.0</v>
      </c>
      <c r="G250" s="73">
        <v>0.0</v>
      </c>
      <c r="H250" s="73">
        <v>0.0</v>
      </c>
      <c r="I250" s="73">
        <v>0.0</v>
      </c>
      <c r="J250" s="73">
        <v>0.0</v>
      </c>
      <c r="K250" s="73">
        <v>0.0</v>
      </c>
      <c r="L250" s="73">
        <v>0.0</v>
      </c>
      <c r="M250" s="73">
        <v>0.0</v>
      </c>
      <c r="N250" s="73">
        <v>1.0</v>
      </c>
      <c r="O250" s="73">
        <v>0.0</v>
      </c>
      <c r="P250" s="73">
        <v>0.0</v>
      </c>
      <c r="Q250" s="73">
        <v>0.0</v>
      </c>
      <c r="R250" s="73">
        <v>0.0</v>
      </c>
      <c r="S250" s="73">
        <v>0.0</v>
      </c>
      <c r="T250" s="73">
        <v>0.0</v>
      </c>
      <c r="U250" s="73">
        <v>0.0</v>
      </c>
      <c r="V250" s="73">
        <v>0.0</v>
      </c>
      <c r="W250" s="73">
        <v>0.0</v>
      </c>
      <c r="X250" s="73">
        <v>0.0</v>
      </c>
      <c r="Y250" s="73">
        <v>0.0</v>
      </c>
      <c r="Z250" s="73">
        <v>0.0</v>
      </c>
      <c r="AA250" s="13">
        <f t="shared" si="48"/>
        <v>1</v>
      </c>
    </row>
    <row r="251" ht="12.75" customHeight="1">
      <c r="A251" s="18"/>
      <c r="B251" s="49"/>
      <c r="C251" s="50" t="s">
        <v>188</v>
      </c>
      <c r="D251" s="51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0.0</v>
      </c>
      <c r="Y251" s="73">
        <v>0.0</v>
      </c>
      <c r="Z251" s="73">
        <v>0.0</v>
      </c>
      <c r="AA251" s="13">
        <f t="shared" si="48"/>
        <v>0</v>
      </c>
    </row>
    <row r="252" ht="12.75" customHeight="1">
      <c r="A252" s="18"/>
      <c r="B252" s="49"/>
      <c r="C252" s="50" t="s">
        <v>189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1.0</v>
      </c>
      <c r="L252" s="73">
        <v>1.0</v>
      </c>
      <c r="M252" s="73">
        <v>1.0</v>
      </c>
      <c r="N252" s="73">
        <v>0.0</v>
      </c>
      <c r="O252" s="73">
        <v>1.0</v>
      </c>
      <c r="P252" s="73">
        <v>0.0</v>
      </c>
      <c r="Q252" s="73">
        <v>0.0</v>
      </c>
      <c r="R252" s="73">
        <v>1.0</v>
      </c>
      <c r="S252" s="73">
        <v>0.0</v>
      </c>
      <c r="T252" s="73">
        <v>1.0</v>
      </c>
      <c r="U252" s="73">
        <v>0.0</v>
      </c>
      <c r="V252" s="73">
        <v>0.0</v>
      </c>
      <c r="W252" s="73">
        <v>0.0</v>
      </c>
      <c r="X252" s="73">
        <v>0.0</v>
      </c>
      <c r="Y252" s="73">
        <v>0.0</v>
      </c>
      <c r="Z252" s="73">
        <v>0.0</v>
      </c>
      <c r="AA252" s="13">
        <f t="shared" si="48"/>
        <v>6</v>
      </c>
    </row>
    <row r="253" ht="12.75" customHeight="1">
      <c r="A253" s="18"/>
      <c r="B253" s="57"/>
      <c r="C253" s="67"/>
      <c r="D253" s="5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3">
        <f t="shared" si="48"/>
        <v>0</v>
      </c>
    </row>
    <row r="254" ht="12.75" customHeight="1">
      <c r="A254" s="18"/>
      <c r="B254" s="57"/>
      <c r="C254" s="67"/>
      <c r="D254" s="5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3">
        <f t="shared" si="48"/>
        <v>0</v>
      </c>
    </row>
    <row r="255" ht="12.75" customHeight="1">
      <c r="A255" s="18"/>
      <c r="B255" s="57"/>
      <c r="C255" s="67"/>
      <c r="D255" s="5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3">
        <f t="shared" si="48"/>
        <v>0</v>
      </c>
    </row>
    <row r="256" ht="12.75" customHeight="1">
      <c r="A256" s="18"/>
      <c r="B256" s="57"/>
      <c r="C256" s="64"/>
      <c r="D256" s="5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3">
        <f t="shared" si="48"/>
        <v>0</v>
      </c>
    </row>
    <row r="257" ht="12.75" customHeight="1">
      <c r="A257" s="18"/>
      <c r="B257" s="57"/>
      <c r="C257" s="64"/>
      <c r="D257" s="5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3">
        <f t="shared" si="48"/>
        <v>0</v>
      </c>
    </row>
    <row r="258" ht="12.75" customHeight="1">
      <c r="A258" s="18"/>
      <c r="B258" s="57"/>
      <c r="C258" s="64"/>
      <c r="D258" s="5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3">
        <f t="shared" si="48"/>
        <v>0</v>
      </c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A259" si="49">SUM(E249:E258)</f>
        <v>0</v>
      </c>
      <c r="F259" s="13">
        <f t="shared" si="49"/>
        <v>1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1</v>
      </c>
      <c r="K259" s="13">
        <f t="shared" si="49"/>
        <v>1</v>
      </c>
      <c r="L259" s="13">
        <f t="shared" si="49"/>
        <v>3</v>
      </c>
      <c r="M259" s="13">
        <f t="shared" si="49"/>
        <v>1</v>
      </c>
      <c r="N259" s="13">
        <f t="shared" si="49"/>
        <v>1</v>
      </c>
      <c r="O259" s="13">
        <f t="shared" si="49"/>
        <v>1</v>
      </c>
      <c r="P259" s="13">
        <f t="shared" si="49"/>
        <v>0</v>
      </c>
      <c r="Q259" s="13">
        <f t="shared" si="49"/>
        <v>0</v>
      </c>
      <c r="R259" s="13">
        <f t="shared" si="49"/>
        <v>1</v>
      </c>
      <c r="S259" s="13">
        <f t="shared" si="49"/>
        <v>0</v>
      </c>
      <c r="T259" s="13">
        <f t="shared" si="49"/>
        <v>1</v>
      </c>
      <c r="U259" s="13">
        <f t="shared" si="49"/>
        <v>0</v>
      </c>
      <c r="V259" s="13">
        <f t="shared" si="49"/>
        <v>1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12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13"/>
      <c r="P261" s="13"/>
      <c r="Q261" s="13"/>
      <c r="R261" s="13"/>
      <c r="S261" s="13"/>
      <c r="T261" s="13"/>
      <c r="U261" s="13"/>
      <c r="V261" s="13"/>
      <c r="W261" s="13"/>
      <c r="X261" s="76"/>
      <c r="Y261" s="13"/>
      <c r="Z261" s="13"/>
      <c r="AA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Z262" si="50">E55+E67+E79+E91+E103+E115+E127+E139+E151+E163+E175+E187+E199+E211+E223+E235+E247+E259</f>
        <v>169</v>
      </c>
      <c r="F262" s="19">
        <f t="shared" si="50"/>
        <v>146</v>
      </c>
      <c r="G262" s="19">
        <f t="shared" si="50"/>
        <v>156</v>
      </c>
      <c r="H262" s="19">
        <f t="shared" si="50"/>
        <v>185</v>
      </c>
      <c r="I262" s="19">
        <f t="shared" si="50"/>
        <v>173</v>
      </c>
      <c r="J262" s="19">
        <f t="shared" si="50"/>
        <v>146</v>
      </c>
      <c r="K262" s="19">
        <f t="shared" si="50"/>
        <v>152</v>
      </c>
      <c r="L262" s="19">
        <f t="shared" si="50"/>
        <v>179</v>
      </c>
      <c r="M262" s="19">
        <f t="shared" si="50"/>
        <v>198</v>
      </c>
      <c r="N262" s="19">
        <f t="shared" si="50"/>
        <v>197</v>
      </c>
      <c r="O262" s="19">
        <f t="shared" si="50"/>
        <v>177</v>
      </c>
      <c r="P262" s="19">
        <f t="shared" si="50"/>
        <v>139</v>
      </c>
      <c r="Q262" s="19">
        <f t="shared" si="50"/>
        <v>142</v>
      </c>
      <c r="R262" s="19">
        <f t="shared" si="50"/>
        <v>198</v>
      </c>
      <c r="S262" s="19">
        <f t="shared" si="50"/>
        <v>132</v>
      </c>
      <c r="T262" s="19">
        <f t="shared" si="50"/>
        <v>167</v>
      </c>
      <c r="U262" s="19">
        <f t="shared" si="50"/>
        <v>155</v>
      </c>
      <c r="V262" s="19">
        <f t="shared" si="50"/>
        <v>161</v>
      </c>
      <c r="W262" s="19">
        <f t="shared" si="50"/>
        <v>156</v>
      </c>
      <c r="X262" s="19">
        <f t="shared" si="50"/>
        <v>179</v>
      </c>
      <c r="Y262" s="19">
        <f t="shared" si="50"/>
        <v>135</v>
      </c>
      <c r="Z262" s="19">
        <f t="shared" si="50"/>
        <v>205</v>
      </c>
      <c r="AA262" s="13">
        <f t="shared" ref="AA262:AA264" si="51">SUM(E262:Z262)</f>
        <v>3647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20.0</v>
      </c>
      <c r="F263" s="73">
        <v>31.0</v>
      </c>
      <c r="G263" s="73">
        <v>28.0</v>
      </c>
      <c r="H263" s="73">
        <v>24.0</v>
      </c>
      <c r="I263" s="73">
        <v>26.0</v>
      </c>
      <c r="J263" s="73">
        <v>15.0</v>
      </c>
      <c r="K263" s="73">
        <v>39.0</v>
      </c>
      <c r="L263" s="73">
        <v>34.0</v>
      </c>
      <c r="M263" s="73">
        <v>15.0</v>
      </c>
      <c r="N263" s="73">
        <v>26.0</v>
      </c>
      <c r="O263" s="73">
        <v>48.0</v>
      </c>
      <c r="P263" s="73">
        <v>26.0</v>
      </c>
      <c r="Q263" s="73">
        <v>26.0</v>
      </c>
      <c r="R263" s="73">
        <v>19.0</v>
      </c>
      <c r="S263" s="73">
        <v>24.0</v>
      </c>
      <c r="T263" s="73">
        <v>11.0</v>
      </c>
      <c r="U263" s="73">
        <v>12.0</v>
      </c>
      <c r="V263" s="73">
        <v>33.0</v>
      </c>
      <c r="W263" s="73">
        <v>35.0</v>
      </c>
      <c r="X263" s="73">
        <v>9.0</v>
      </c>
      <c r="Y263" s="73">
        <v>31.0</v>
      </c>
      <c r="Z263" s="73">
        <v>9.0</v>
      </c>
      <c r="AA263" s="13">
        <f t="shared" si="51"/>
        <v>541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Z264" si="52">SUM(E262:E263)</f>
        <v>189</v>
      </c>
      <c r="F264" s="13">
        <f t="shared" si="52"/>
        <v>177</v>
      </c>
      <c r="G264" s="13">
        <f t="shared" si="52"/>
        <v>184</v>
      </c>
      <c r="H264" s="13">
        <f t="shared" si="52"/>
        <v>209</v>
      </c>
      <c r="I264" s="13">
        <f t="shared" si="52"/>
        <v>199</v>
      </c>
      <c r="J264" s="13">
        <f t="shared" si="52"/>
        <v>161</v>
      </c>
      <c r="K264" s="13">
        <f t="shared" si="52"/>
        <v>191</v>
      </c>
      <c r="L264" s="13">
        <f t="shared" si="52"/>
        <v>213</v>
      </c>
      <c r="M264" s="13">
        <f t="shared" si="52"/>
        <v>213</v>
      </c>
      <c r="N264" s="13">
        <f t="shared" si="52"/>
        <v>223</v>
      </c>
      <c r="O264" s="13">
        <f t="shared" si="52"/>
        <v>225</v>
      </c>
      <c r="P264" s="13">
        <f t="shared" si="52"/>
        <v>165</v>
      </c>
      <c r="Q264" s="13">
        <f t="shared" si="52"/>
        <v>168</v>
      </c>
      <c r="R264" s="13">
        <f t="shared" si="52"/>
        <v>217</v>
      </c>
      <c r="S264" s="13">
        <f t="shared" si="52"/>
        <v>156</v>
      </c>
      <c r="T264" s="13">
        <f t="shared" si="52"/>
        <v>178</v>
      </c>
      <c r="U264" s="13">
        <f t="shared" si="52"/>
        <v>167</v>
      </c>
      <c r="V264" s="13">
        <f t="shared" si="52"/>
        <v>194</v>
      </c>
      <c r="W264" s="13">
        <f t="shared" si="52"/>
        <v>191</v>
      </c>
      <c r="X264" s="13">
        <f t="shared" si="52"/>
        <v>188</v>
      </c>
      <c r="Y264" s="13">
        <f t="shared" si="52"/>
        <v>166</v>
      </c>
      <c r="Z264" s="13">
        <f t="shared" si="52"/>
        <v>214</v>
      </c>
      <c r="AA264" s="13">
        <f t="shared" si="51"/>
        <v>4188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Z37"/>
    <mergeCell ref="B38:D38"/>
    <mergeCell ref="B39:C41"/>
    <mergeCell ref="A42:D42"/>
    <mergeCell ref="E42:Z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Z15 E19:Z20 E22:Z23 E25:Z26 E33:Z33 E35:Z35 E39:Z40 E45:Z54 E57:Z66 E69:Z78 E81:Z90 E93:Z102 E105:Z114 E117:Z126 E129:Z138 E141:Z150 E153:Z162 E165:Z174 E177:Z186 E189:Z198 E201:Z210 E213:Z222 E225:Z234 E237:Z246 E249:Z258 E262:Z263">
    <cfRule type="containsBlanks" dxfId="1" priority="1">
      <formula>LEN(TRIM(E14))=0</formula>
    </cfRule>
  </conditionalFormatting>
  <conditionalFormatting sqref="E30:Z30">
    <cfRule type="expression" dxfId="0" priority="2">
      <formula>E30&lt;&gt;E47</formula>
    </cfRule>
  </conditionalFormatting>
  <conditionalFormatting sqref="E30:Z30">
    <cfRule type="expression" dxfId="0" priority="3">
      <formula>E30&lt;&gt;E34</formula>
    </cfRule>
  </conditionalFormatting>
  <conditionalFormatting sqref="E34:Z34">
    <cfRule type="expression" dxfId="2" priority="4">
      <formula>E30&lt;&gt;E34</formula>
    </cfRule>
  </conditionalFormatting>
  <conditionalFormatting sqref="E34:Z34">
    <cfRule type="expression" dxfId="3" priority="5">
      <formula>E30=E34</formula>
    </cfRule>
  </conditionalFormatting>
  <conditionalFormatting sqref="E34:Z34">
    <cfRule type="expression" dxfId="0" priority="6">
      <formula>E34&lt;&gt;E30</formula>
    </cfRule>
  </conditionalFormatting>
  <conditionalFormatting sqref="E34:Z34">
    <cfRule type="expression" dxfId="0" priority="7">
      <formula>E34&lt;&gt;E64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7" width="8.71"/>
    <col customWidth="1" min="48" max="48" width="13.29"/>
    <col customWidth="1" min="49" max="5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223</v>
      </c>
      <c r="AB13" s="13" t="s">
        <v>224</v>
      </c>
      <c r="AC13" s="13" t="s">
        <v>225</v>
      </c>
      <c r="AD13" s="13" t="s">
        <v>226</v>
      </c>
      <c r="AE13" s="13" t="s">
        <v>227</v>
      </c>
      <c r="AF13" s="13" t="s">
        <v>228</v>
      </c>
      <c r="AG13" s="13" t="s">
        <v>229</v>
      </c>
      <c r="AH13" s="13" t="s">
        <v>230</v>
      </c>
      <c r="AI13" s="13" t="s">
        <v>231</v>
      </c>
      <c r="AJ13" s="13" t="s">
        <v>232</v>
      </c>
      <c r="AK13" s="13" t="s">
        <v>233</v>
      </c>
      <c r="AL13" s="13" t="s">
        <v>234</v>
      </c>
      <c r="AM13" s="13" t="s">
        <v>235</v>
      </c>
      <c r="AN13" s="13" t="s">
        <v>236</v>
      </c>
      <c r="AO13" s="13" t="s">
        <v>237</v>
      </c>
      <c r="AP13" s="13" t="s">
        <v>238</v>
      </c>
      <c r="AQ13" s="13" t="s">
        <v>239</v>
      </c>
      <c r="AR13" s="13" t="s">
        <v>240</v>
      </c>
      <c r="AS13" s="13" t="s">
        <v>241</v>
      </c>
      <c r="AT13" s="13" t="s">
        <v>242</v>
      </c>
      <c r="AU13" s="13" t="s">
        <v>243</v>
      </c>
      <c r="AV13" s="36"/>
    </row>
    <row r="14" ht="12.75" customHeight="1">
      <c r="A14" s="18"/>
      <c r="B14" s="22" t="s">
        <v>11</v>
      </c>
      <c r="C14" s="23"/>
      <c r="D14" s="19" t="s">
        <v>12</v>
      </c>
      <c r="E14" s="73">
        <v>157.0</v>
      </c>
      <c r="F14" s="73">
        <v>141.0</v>
      </c>
      <c r="G14" s="73">
        <v>125.0</v>
      </c>
      <c r="H14" s="73">
        <v>133.0</v>
      </c>
      <c r="I14" s="73">
        <v>139.0</v>
      </c>
      <c r="J14" s="73">
        <v>119.0</v>
      </c>
      <c r="K14" s="73">
        <v>131.0</v>
      </c>
      <c r="L14" s="73">
        <v>139.0</v>
      </c>
      <c r="M14" s="73">
        <v>132.0</v>
      </c>
      <c r="N14" s="73">
        <v>140.0</v>
      </c>
      <c r="O14" s="73">
        <v>139.0</v>
      </c>
      <c r="P14" s="73">
        <v>114.0</v>
      </c>
      <c r="Q14" s="73">
        <v>108.0</v>
      </c>
      <c r="R14" s="73">
        <v>135.0</v>
      </c>
      <c r="S14" s="73">
        <v>126.0</v>
      </c>
      <c r="T14" s="73">
        <v>140.0</v>
      </c>
      <c r="U14" s="73">
        <v>141.0</v>
      </c>
      <c r="V14" s="73">
        <v>136.0</v>
      </c>
      <c r="W14" s="73">
        <v>135.0</v>
      </c>
      <c r="X14" s="73">
        <v>144.0</v>
      </c>
      <c r="Y14" s="73">
        <v>135.0</v>
      </c>
      <c r="Z14" s="73">
        <v>152.0</v>
      </c>
      <c r="AA14" s="73">
        <v>151.0</v>
      </c>
      <c r="AB14" s="73">
        <v>143.0</v>
      </c>
      <c r="AC14" s="73">
        <v>120.0</v>
      </c>
      <c r="AD14" s="73">
        <v>119.0</v>
      </c>
      <c r="AE14" s="73">
        <v>119.0</v>
      </c>
      <c r="AF14" s="73">
        <v>106.0</v>
      </c>
      <c r="AG14" s="82">
        <v>105.0</v>
      </c>
      <c r="AH14" s="82">
        <v>112.0</v>
      </c>
      <c r="AI14" s="73">
        <v>114.0</v>
      </c>
      <c r="AJ14" s="73">
        <v>116.0</v>
      </c>
      <c r="AK14" s="73">
        <v>123.0</v>
      </c>
      <c r="AL14" s="73">
        <v>141.0</v>
      </c>
      <c r="AM14" s="73">
        <v>136.0</v>
      </c>
      <c r="AN14" s="73">
        <v>0.0</v>
      </c>
      <c r="AO14" s="73">
        <v>0.0</v>
      </c>
      <c r="AP14" s="73">
        <v>0.0</v>
      </c>
      <c r="AQ14" s="73">
        <v>0.0</v>
      </c>
      <c r="AR14" s="73">
        <v>300.0</v>
      </c>
      <c r="AS14" s="73">
        <v>298.0</v>
      </c>
      <c r="AT14" s="73">
        <v>298.0</v>
      </c>
      <c r="AU14" s="73">
        <v>65.0</v>
      </c>
      <c r="AV14" s="13">
        <f t="shared" ref="AV14:AV16" si="1">SUM(E14:AU14)</f>
        <v>5527</v>
      </c>
    </row>
    <row r="15" ht="12.75" customHeight="1">
      <c r="A15" s="18"/>
      <c r="B15" s="26"/>
      <c r="C15" s="27"/>
      <c r="D15" s="19" t="s">
        <v>13</v>
      </c>
      <c r="E15" s="73">
        <v>142.0</v>
      </c>
      <c r="F15" s="73">
        <v>155.0</v>
      </c>
      <c r="G15" s="73">
        <v>139.0</v>
      </c>
      <c r="H15" s="73">
        <v>136.0</v>
      </c>
      <c r="I15" s="73">
        <v>132.0</v>
      </c>
      <c r="J15" s="73">
        <v>119.0</v>
      </c>
      <c r="K15" s="73">
        <v>127.0</v>
      </c>
      <c r="L15" s="73">
        <v>142.0</v>
      </c>
      <c r="M15" s="73">
        <v>132.0</v>
      </c>
      <c r="N15" s="73">
        <v>128.0</v>
      </c>
      <c r="O15" s="73">
        <v>124.0</v>
      </c>
      <c r="P15" s="73">
        <v>121.0</v>
      </c>
      <c r="Q15" s="73">
        <v>116.0</v>
      </c>
      <c r="R15" s="73">
        <v>125.0</v>
      </c>
      <c r="S15" s="73">
        <v>116.0</v>
      </c>
      <c r="T15" s="73">
        <v>122.0</v>
      </c>
      <c r="U15" s="73">
        <v>140.0</v>
      </c>
      <c r="V15" s="73">
        <v>140.0</v>
      </c>
      <c r="W15" s="73">
        <v>120.0</v>
      </c>
      <c r="X15" s="73">
        <v>135.0</v>
      </c>
      <c r="Y15" s="73">
        <v>132.0</v>
      </c>
      <c r="Z15" s="73">
        <v>143.0</v>
      </c>
      <c r="AA15" s="73">
        <v>145.0</v>
      </c>
      <c r="AB15" s="73">
        <v>151.0</v>
      </c>
      <c r="AC15" s="73">
        <v>114.0</v>
      </c>
      <c r="AD15" s="73">
        <v>111.0</v>
      </c>
      <c r="AE15" s="73">
        <v>103.0</v>
      </c>
      <c r="AF15" s="73">
        <v>125.0</v>
      </c>
      <c r="AG15" s="82">
        <v>106.0</v>
      </c>
      <c r="AH15" s="82">
        <v>84.0</v>
      </c>
      <c r="AI15" s="73">
        <v>119.0</v>
      </c>
      <c r="AJ15" s="73">
        <v>101.0</v>
      </c>
      <c r="AK15" s="73">
        <v>123.0</v>
      </c>
      <c r="AL15" s="73">
        <v>147.0</v>
      </c>
      <c r="AM15" s="73">
        <v>158.0</v>
      </c>
      <c r="AN15" s="73">
        <v>300.0</v>
      </c>
      <c r="AO15" s="73">
        <v>292.0</v>
      </c>
      <c r="AP15" s="73">
        <v>297.0</v>
      </c>
      <c r="AQ15" s="73">
        <v>187.0</v>
      </c>
      <c r="AR15" s="73">
        <v>0.0</v>
      </c>
      <c r="AS15" s="73">
        <v>0.0</v>
      </c>
      <c r="AT15" s="73">
        <v>0.0</v>
      </c>
      <c r="AU15" s="73">
        <v>0.0</v>
      </c>
      <c r="AV15" s="13">
        <f t="shared" si="1"/>
        <v>5549</v>
      </c>
    </row>
    <row r="16" ht="12.75" customHeight="1">
      <c r="A16" s="25"/>
      <c r="B16" s="21"/>
      <c r="C16" s="28"/>
      <c r="D16" s="13" t="s">
        <v>14</v>
      </c>
      <c r="E16" s="13">
        <f t="shared" ref="E16:AU16" si="2">SUM(E14:E15)</f>
        <v>299</v>
      </c>
      <c r="F16" s="13">
        <f t="shared" si="2"/>
        <v>296</v>
      </c>
      <c r="G16" s="13">
        <f t="shared" si="2"/>
        <v>264</v>
      </c>
      <c r="H16" s="13">
        <f t="shared" si="2"/>
        <v>269</v>
      </c>
      <c r="I16" s="13">
        <f t="shared" si="2"/>
        <v>271</v>
      </c>
      <c r="J16" s="13">
        <f t="shared" si="2"/>
        <v>238</v>
      </c>
      <c r="K16" s="13">
        <f t="shared" si="2"/>
        <v>258</v>
      </c>
      <c r="L16" s="13">
        <f t="shared" si="2"/>
        <v>281</v>
      </c>
      <c r="M16" s="13">
        <f t="shared" si="2"/>
        <v>264</v>
      </c>
      <c r="N16" s="13">
        <f t="shared" si="2"/>
        <v>268</v>
      </c>
      <c r="O16" s="13">
        <f t="shared" si="2"/>
        <v>263</v>
      </c>
      <c r="P16" s="13">
        <f t="shared" si="2"/>
        <v>235</v>
      </c>
      <c r="Q16" s="13">
        <f t="shared" si="2"/>
        <v>224</v>
      </c>
      <c r="R16" s="13">
        <f t="shared" si="2"/>
        <v>260</v>
      </c>
      <c r="S16" s="13">
        <f t="shared" si="2"/>
        <v>242</v>
      </c>
      <c r="T16" s="13">
        <f t="shared" si="2"/>
        <v>262</v>
      </c>
      <c r="U16" s="13">
        <f t="shared" si="2"/>
        <v>281</v>
      </c>
      <c r="V16" s="13">
        <f t="shared" si="2"/>
        <v>276</v>
      </c>
      <c r="W16" s="13">
        <f t="shared" si="2"/>
        <v>255</v>
      </c>
      <c r="X16" s="13">
        <f t="shared" si="2"/>
        <v>279</v>
      </c>
      <c r="Y16" s="13">
        <f t="shared" si="2"/>
        <v>267</v>
      </c>
      <c r="Z16" s="13">
        <f t="shared" si="2"/>
        <v>295</v>
      </c>
      <c r="AA16" s="13">
        <f t="shared" si="2"/>
        <v>296</v>
      </c>
      <c r="AB16" s="13">
        <f t="shared" si="2"/>
        <v>294</v>
      </c>
      <c r="AC16" s="13">
        <f t="shared" si="2"/>
        <v>234</v>
      </c>
      <c r="AD16" s="13">
        <f t="shared" si="2"/>
        <v>230</v>
      </c>
      <c r="AE16" s="13">
        <f t="shared" si="2"/>
        <v>222</v>
      </c>
      <c r="AF16" s="13">
        <f t="shared" si="2"/>
        <v>231</v>
      </c>
      <c r="AG16" s="13">
        <f t="shared" si="2"/>
        <v>211</v>
      </c>
      <c r="AH16" s="13">
        <f t="shared" si="2"/>
        <v>196</v>
      </c>
      <c r="AI16" s="13">
        <f t="shared" si="2"/>
        <v>233</v>
      </c>
      <c r="AJ16" s="13">
        <f t="shared" si="2"/>
        <v>217</v>
      </c>
      <c r="AK16" s="13">
        <f t="shared" si="2"/>
        <v>246</v>
      </c>
      <c r="AL16" s="13">
        <f t="shared" si="2"/>
        <v>288</v>
      </c>
      <c r="AM16" s="13">
        <f t="shared" si="2"/>
        <v>294</v>
      </c>
      <c r="AN16" s="13">
        <f t="shared" si="2"/>
        <v>300</v>
      </c>
      <c r="AO16" s="13">
        <f t="shared" si="2"/>
        <v>292</v>
      </c>
      <c r="AP16" s="13">
        <f t="shared" si="2"/>
        <v>297</v>
      </c>
      <c r="AQ16" s="13">
        <f t="shared" si="2"/>
        <v>187</v>
      </c>
      <c r="AR16" s="13">
        <f t="shared" si="2"/>
        <v>300</v>
      </c>
      <c r="AS16" s="13">
        <f t="shared" si="2"/>
        <v>298</v>
      </c>
      <c r="AT16" s="13">
        <f t="shared" si="2"/>
        <v>298</v>
      </c>
      <c r="AU16" s="13">
        <f t="shared" si="2"/>
        <v>65</v>
      </c>
      <c r="AV16" s="13">
        <f t="shared" si="1"/>
        <v>11076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113.0</v>
      </c>
      <c r="F19" s="73">
        <v>108.0</v>
      </c>
      <c r="G19" s="73">
        <v>93.0</v>
      </c>
      <c r="H19" s="73">
        <v>93.0</v>
      </c>
      <c r="I19" s="73">
        <v>106.0</v>
      </c>
      <c r="J19" s="73">
        <v>95.0</v>
      </c>
      <c r="K19" s="73">
        <v>96.0</v>
      </c>
      <c r="L19" s="73">
        <v>108.0</v>
      </c>
      <c r="M19" s="73">
        <v>91.0</v>
      </c>
      <c r="N19" s="73">
        <v>103.0</v>
      </c>
      <c r="O19" s="73">
        <v>109.0</v>
      </c>
      <c r="P19" s="73">
        <v>75.0</v>
      </c>
      <c r="Q19" s="73">
        <v>68.0</v>
      </c>
      <c r="R19" s="73">
        <v>97.0</v>
      </c>
      <c r="S19" s="73">
        <v>71.0</v>
      </c>
      <c r="T19" s="73">
        <v>114.0</v>
      </c>
      <c r="U19" s="73">
        <v>103.0</v>
      </c>
      <c r="V19" s="73">
        <v>101.0</v>
      </c>
      <c r="W19" s="73">
        <v>105.0</v>
      </c>
      <c r="X19" s="73">
        <v>108.0</v>
      </c>
      <c r="Y19" s="73">
        <v>92.0</v>
      </c>
      <c r="Z19" s="73">
        <v>104.0</v>
      </c>
      <c r="AA19" s="73">
        <v>117.0</v>
      </c>
      <c r="AB19" s="73">
        <v>101.0</v>
      </c>
      <c r="AC19" s="73">
        <v>87.0</v>
      </c>
      <c r="AD19" s="73">
        <v>79.0</v>
      </c>
      <c r="AE19" s="73">
        <v>91.0</v>
      </c>
      <c r="AF19" s="73">
        <v>77.0</v>
      </c>
      <c r="AG19" s="73">
        <v>77.0</v>
      </c>
      <c r="AH19" s="73">
        <v>81.0</v>
      </c>
      <c r="AI19" s="73">
        <v>91.0</v>
      </c>
      <c r="AJ19" s="73">
        <v>79.0</v>
      </c>
      <c r="AK19" s="73">
        <v>84.0</v>
      </c>
      <c r="AL19" s="73">
        <v>119.0</v>
      </c>
      <c r="AM19" s="73">
        <v>98.0</v>
      </c>
      <c r="AN19" s="73">
        <v>0.0</v>
      </c>
      <c r="AO19" s="73">
        <v>0.0</v>
      </c>
      <c r="AP19" s="73">
        <v>0.0</v>
      </c>
      <c r="AQ19" s="73">
        <v>0.0</v>
      </c>
      <c r="AR19" s="73">
        <v>1.0</v>
      </c>
      <c r="AS19" s="73">
        <v>0.0</v>
      </c>
      <c r="AT19" s="73">
        <v>2.0</v>
      </c>
      <c r="AU19" s="73">
        <v>0.0</v>
      </c>
      <c r="AV19" s="13">
        <f t="shared" ref="AV19:AV30" si="3">SUM(E19:AU19)</f>
        <v>3337</v>
      </c>
    </row>
    <row r="20" ht="12.75" customHeight="1">
      <c r="A20" s="33"/>
      <c r="B20" s="27"/>
      <c r="C20" s="34"/>
      <c r="D20" s="19" t="s">
        <v>13</v>
      </c>
      <c r="E20" s="73">
        <v>114.0</v>
      </c>
      <c r="F20" s="73">
        <v>124.0</v>
      </c>
      <c r="G20" s="73">
        <v>101.0</v>
      </c>
      <c r="H20" s="73">
        <v>108.0</v>
      </c>
      <c r="I20" s="73">
        <v>99.0</v>
      </c>
      <c r="J20" s="73">
        <v>98.0</v>
      </c>
      <c r="K20" s="73">
        <v>97.0</v>
      </c>
      <c r="L20" s="73">
        <v>120.0</v>
      </c>
      <c r="M20" s="73">
        <v>91.0</v>
      </c>
      <c r="N20" s="73">
        <v>99.0</v>
      </c>
      <c r="O20" s="73">
        <v>96.0</v>
      </c>
      <c r="P20" s="73">
        <v>85.0</v>
      </c>
      <c r="Q20" s="73">
        <v>83.0</v>
      </c>
      <c r="R20" s="73">
        <v>100.0</v>
      </c>
      <c r="S20" s="73">
        <v>75.0</v>
      </c>
      <c r="T20" s="73">
        <v>104.0</v>
      </c>
      <c r="U20" s="73">
        <v>102.0</v>
      </c>
      <c r="V20" s="73">
        <v>106.0</v>
      </c>
      <c r="W20" s="73">
        <v>104.0</v>
      </c>
      <c r="X20" s="73">
        <v>113.0</v>
      </c>
      <c r="Y20" s="73">
        <v>109.0</v>
      </c>
      <c r="Z20" s="73">
        <v>101.0</v>
      </c>
      <c r="AA20" s="73">
        <v>116.0</v>
      </c>
      <c r="AB20" s="73">
        <v>118.0</v>
      </c>
      <c r="AC20" s="73">
        <v>91.0</v>
      </c>
      <c r="AD20" s="73">
        <v>78.0</v>
      </c>
      <c r="AE20" s="73">
        <v>75.0</v>
      </c>
      <c r="AF20" s="73">
        <v>95.0</v>
      </c>
      <c r="AG20" s="73">
        <v>87.0</v>
      </c>
      <c r="AH20" s="73">
        <v>61.0</v>
      </c>
      <c r="AI20" s="73">
        <v>97.0</v>
      </c>
      <c r="AJ20" s="73">
        <v>82.0</v>
      </c>
      <c r="AK20" s="73">
        <v>88.0</v>
      </c>
      <c r="AL20" s="73">
        <v>124.0</v>
      </c>
      <c r="AM20" s="73">
        <v>107.0</v>
      </c>
      <c r="AN20" s="73">
        <v>0.0</v>
      </c>
      <c r="AO20" s="73">
        <v>0.0</v>
      </c>
      <c r="AP20" s="73">
        <v>3.0</v>
      </c>
      <c r="AQ20" s="73">
        <v>1.0</v>
      </c>
      <c r="AR20" s="73">
        <v>0.0</v>
      </c>
      <c r="AS20" s="73">
        <v>0.0</v>
      </c>
      <c r="AT20" s="73">
        <v>0.0</v>
      </c>
      <c r="AU20" s="73">
        <v>0.0</v>
      </c>
      <c r="AV20" s="13">
        <f t="shared" si="3"/>
        <v>3452</v>
      </c>
    </row>
    <row r="21" ht="12.75" customHeight="1">
      <c r="A21" s="35"/>
      <c r="B21" s="28"/>
      <c r="C21" s="36"/>
      <c r="D21" s="13" t="s">
        <v>14</v>
      </c>
      <c r="E21" s="13">
        <f t="shared" ref="E21:AU21" si="4">SUM(E19:E20)</f>
        <v>227</v>
      </c>
      <c r="F21" s="13">
        <f t="shared" si="4"/>
        <v>232</v>
      </c>
      <c r="G21" s="13">
        <f t="shared" si="4"/>
        <v>194</v>
      </c>
      <c r="H21" s="13">
        <f t="shared" si="4"/>
        <v>201</v>
      </c>
      <c r="I21" s="13">
        <f t="shared" si="4"/>
        <v>205</v>
      </c>
      <c r="J21" s="13">
        <f t="shared" si="4"/>
        <v>193</v>
      </c>
      <c r="K21" s="13">
        <f t="shared" si="4"/>
        <v>193</v>
      </c>
      <c r="L21" s="13">
        <f t="shared" si="4"/>
        <v>228</v>
      </c>
      <c r="M21" s="13">
        <f t="shared" si="4"/>
        <v>182</v>
      </c>
      <c r="N21" s="13">
        <f t="shared" si="4"/>
        <v>202</v>
      </c>
      <c r="O21" s="13">
        <f t="shared" si="4"/>
        <v>205</v>
      </c>
      <c r="P21" s="13">
        <f t="shared" si="4"/>
        <v>160</v>
      </c>
      <c r="Q21" s="13">
        <f t="shared" si="4"/>
        <v>151</v>
      </c>
      <c r="R21" s="13">
        <f t="shared" si="4"/>
        <v>197</v>
      </c>
      <c r="S21" s="13">
        <f t="shared" si="4"/>
        <v>146</v>
      </c>
      <c r="T21" s="13">
        <f t="shared" si="4"/>
        <v>218</v>
      </c>
      <c r="U21" s="13">
        <f t="shared" si="4"/>
        <v>205</v>
      </c>
      <c r="V21" s="13">
        <f t="shared" si="4"/>
        <v>207</v>
      </c>
      <c r="W21" s="13">
        <f t="shared" si="4"/>
        <v>209</v>
      </c>
      <c r="X21" s="13">
        <f t="shared" si="4"/>
        <v>221</v>
      </c>
      <c r="Y21" s="13">
        <f t="shared" si="4"/>
        <v>201</v>
      </c>
      <c r="Z21" s="13">
        <f t="shared" si="4"/>
        <v>205</v>
      </c>
      <c r="AA21" s="13">
        <f t="shared" si="4"/>
        <v>233</v>
      </c>
      <c r="AB21" s="13">
        <f t="shared" si="4"/>
        <v>219</v>
      </c>
      <c r="AC21" s="13">
        <f t="shared" si="4"/>
        <v>178</v>
      </c>
      <c r="AD21" s="13">
        <f t="shared" si="4"/>
        <v>157</v>
      </c>
      <c r="AE21" s="13">
        <f t="shared" si="4"/>
        <v>166</v>
      </c>
      <c r="AF21" s="13">
        <f t="shared" si="4"/>
        <v>172</v>
      </c>
      <c r="AG21" s="13">
        <f t="shared" si="4"/>
        <v>164</v>
      </c>
      <c r="AH21" s="13">
        <f t="shared" si="4"/>
        <v>142</v>
      </c>
      <c r="AI21" s="13">
        <f t="shared" si="4"/>
        <v>188</v>
      </c>
      <c r="AJ21" s="13">
        <f t="shared" si="4"/>
        <v>161</v>
      </c>
      <c r="AK21" s="13">
        <f t="shared" si="4"/>
        <v>172</v>
      </c>
      <c r="AL21" s="13">
        <f t="shared" si="4"/>
        <v>243</v>
      </c>
      <c r="AM21" s="13">
        <f t="shared" si="4"/>
        <v>205</v>
      </c>
      <c r="AN21" s="13">
        <f t="shared" si="4"/>
        <v>0</v>
      </c>
      <c r="AO21" s="13">
        <f t="shared" si="4"/>
        <v>0</v>
      </c>
      <c r="AP21" s="13">
        <f t="shared" si="4"/>
        <v>3</v>
      </c>
      <c r="AQ21" s="13">
        <f t="shared" si="4"/>
        <v>1</v>
      </c>
      <c r="AR21" s="13">
        <f t="shared" si="4"/>
        <v>1</v>
      </c>
      <c r="AS21" s="13">
        <f t="shared" si="4"/>
        <v>0</v>
      </c>
      <c r="AT21" s="13">
        <f t="shared" si="4"/>
        <v>2</v>
      </c>
      <c r="AU21" s="13">
        <f t="shared" si="4"/>
        <v>0</v>
      </c>
      <c r="AV21" s="13">
        <f t="shared" si="3"/>
        <v>6789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1.0</v>
      </c>
      <c r="G22" s="73">
        <v>0.0</v>
      </c>
      <c r="H22" s="73">
        <v>3.0</v>
      </c>
      <c r="I22" s="73">
        <v>1.0</v>
      </c>
      <c r="J22" s="73">
        <v>2.0</v>
      </c>
      <c r="K22" s="73">
        <v>1.0</v>
      </c>
      <c r="L22" s="73">
        <v>0.0</v>
      </c>
      <c r="M22" s="73">
        <v>0.0</v>
      </c>
      <c r="N22" s="73">
        <v>0.0</v>
      </c>
      <c r="O22" s="73">
        <v>0.0</v>
      </c>
      <c r="P22" s="73">
        <v>0.0</v>
      </c>
      <c r="Q22" s="73">
        <v>0.0</v>
      </c>
      <c r="R22" s="73">
        <v>1.0</v>
      </c>
      <c r="S22" s="73">
        <v>0.0</v>
      </c>
      <c r="T22" s="73">
        <v>1.0</v>
      </c>
      <c r="U22" s="73">
        <v>1.0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73">
        <v>0.0</v>
      </c>
      <c r="AB22" s="73">
        <v>1.0</v>
      </c>
      <c r="AC22" s="73">
        <v>0.0</v>
      </c>
      <c r="AD22" s="73">
        <v>0.0</v>
      </c>
      <c r="AE22" s="73">
        <v>0.0</v>
      </c>
      <c r="AF22" s="73">
        <v>0.0</v>
      </c>
      <c r="AG22" s="73">
        <v>0.0</v>
      </c>
      <c r="AH22" s="73">
        <v>0.0</v>
      </c>
      <c r="AI22" s="73">
        <v>0.0</v>
      </c>
      <c r="AJ22" s="73">
        <v>0.0</v>
      </c>
      <c r="AK22" s="73">
        <v>0.0</v>
      </c>
      <c r="AL22" s="73">
        <v>0.0</v>
      </c>
      <c r="AM22" s="73">
        <v>0.0</v>
      </c>
      <c r="AN22" s="73">
        <v>0.0</v>
      </c>
      <c r="AO22" s="73">
        <v>0.0</v>
      </c>
      <c r="AP22" s="73">
        <v>0.0</v>
      </c>
      <c r="AQ22" s="73">
        <v>0.0</v>
      </c>
      <c r="AR22" s="73">
        <v>0.0</v>
      </c>
      <c r="AS22" s="73">
        <v>0.0</v>
      </c>
      <c r="AT22" s="73">
        <v>0.0</v>
      </c>
      <c r="AU22" s="73">
        <v>0.0</v>
      </c>
      <c r="AV22" s="13">
        <f t="shared" si="3"/>
        <v>12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3.0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0.0</v>
      </c>
      <c r="N23" s="73">
        <v>0.0</v>
      </c>
      <c r="O23" s="73">
        <v>0.0</v>
      </c>
      <c r="P23" s="73">
        <v>0.0</v>
      </c>
      <c r="Q23" s="73">
        <v>0.0</v>
      </c>
      <c r="R23" s="73">
        <v>3.0</v>
      </c>
      <c r="S23" s="73">
        <v>5.0</v>
      </c>
      <c r="T23" s="73">
        <v>8.0</v>
      </c>
      <c r="U23" s="73">
        <v>2.0</v>
      </c>
      <c r="V23" s="73">
        <v>1.0</v>
      </c>
      <c r="W23" s="73">
        <v>0.0</v>
      </c>
      <c r="X23" s="73">
        <v>0.0</v>
      </c>
      <c r="Y23" s="73">
        <v>0.0</v>
      </c>
      <c r="Z23" s="73">
        <v>0.0</v>
      </c>
      <c r="AA23" s="73">
        <v>0.0</v>
      </c>
      <c r="AB23" s="73">
        <v>0.0</v>
      </c>
      <c r="AC23" s="73">
        <v>0.0</v>
      </c>
      <c r="AD23" s="73">
        <v>0.0</v>
      </c>
      <c r="AE23" s="73">
        <v>0.0</v>
      </c>
      <c r="AF23" s="73">
        <v>0.0</v>
      </c>
      <c r="AG23" s="73">
        <v>0.0</v>
      </c>
      <c r="AH23" s="73">
        <v>0.0</v>
      </c>
      <c r="AI23" s="73">
        <v>0.0</v>
      </c>
      <c r="AJ23" s="73">
        <v>0.0</v>
      </c>
      <c r="AK23" s="73">
        <v>0.0</v>
      </c>
      <c r="AL23" s="73">
        <v>0.0</v>
      </c>
      <c r="AM23" s="73">
        <v>0.0</v>
      </c>
      <c r="AN23" s="73">
        <v>0.0</v>
      </c>
      <c r="AO23" s="73">
        <v>0.0</v>
      </c>
      <c r="AP23" s="73">
        <v>0.0</v>
      </c>
      <c r="AQ23" s="73">
        <v>0.0</v>
      </c>
      <c r="AR23" s="73">
        <v>0.0</v>
      </c>
      <c r="AS23" s="73">
        <v>0.0</v>
      </c>
      <c r="AT23" s="73">
        <v>0.0</v>
      </c>
      <c r="AU23" s="73">
        <v>0.0</v>
      </c>
      <c r="AV23" s="13">
        <f t="shared" si="3"/>
        <v>22</v>
      </c>
    </row>
    <row r="24" ht="12.75" customHeight="1">
      <c r="A24" s="35"/>
      <c r="B24" s="28"/>
      <c r="C24" s="36"/>
      <c r="D24" s="13" t="s">
        <v>14</v>
      </c>
      <c r="E24" s="13">
        <f t="shared" ref="E24:AU24" si="5">SUM(E22:E23)</f>
        <v>0</v>
      </c>
      <c r="F24" s="13">
        <f t="shared" si="5"/>
        <v>4</v>
      </c>
      <c r="G24" s="13">
        <f t="shared" si="5"/>
        <v>0</v>
      </c>
      <c r="H24" s="13">
        <f t="shared" si="5"/>
        <v>3</v>
      </c>
      <c r="I24" s="13">
        <f t="shared" si="5"/>
        <v>1</v>
      </c>
      <c r="J24" s="13">
        <f t="shared" si="5"/>
        <v>2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4</v>
      </c>
      <c r="S24" s="13">
        <f t="shared" si="5"/>
        <v>5</v>
      </c>
      <c r="T24" s="13">
        <f t="shared" si="5"/>
        <v>9</v>
      </c>
      <c r="U24" s="13">
        <f t="shared" si="5"/>
        <v>3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1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3"/>
        <v>34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2.0</v>
      </c>
      <c r="F25" s="73">
        <v>3.0</v>
      </c>
      <c r="G25" s="73">
        <v>4.0</v>
      </c>
      <c r="H25" s="73">
        <v>3.0</v>
      </c>
      <c r="I25" s="73">
        <v>2.0</v>
      </c>
      <c r="J25" s="73">
        <v>3.0</v>
      </c>
      <c r="K25" s="73">
        <v>2.0</v>
      </c>
      <c r="L25" s="73">
        <v>2.0</v>
      </c>
      <c r="M25" s="73">
        <v>20.0</v>
      </c>
      <c r="N25" s="73">
        <v>11.0</v>
      </c>
      <c r="O25" s="73">
        <v>1.0</v>
      </c>
      <c r="P25" s="73">
        <v>1.0</v>
      </c>
      <c r="Q25" s="73">
        <v>1.0</v>
      </c>
      <c r="R25" s="73">
        <v>2.0</v>
      </c>
      <c r="S25" s="73">
        <v>5.0</v>
      </c>
      <c r="T25" s="73">
        <v>2.0</v>
      </c>
      <c r="U25" s="73">
        <v>2.0</v>
      </c>
      <c r="V25" s="73">
        <v>0.0</v>
      </c>
      <c r="W25" s="73">
        <v>0.0</v>
      </c>
      <c r="X25" s="73">
        <v>0.0</v>
      </c>
      <c r="Y25" s="73">
        <v>1.0</v>
      </c>
      <c r="Z25" s="73">
        <v>0.0</v>
      </c>
      <c r="AA25" s="73">
        <v>0.0</v>
      </c>
      <c r="AB25" s="73">
        <v>0.0</v>
      </c>
      <c r="AC25" s="73">
        <v>1.0</v>
      </c>
      <c r="AD25" s="73">
        <v>1.0</v>
      </c>
      <c r="AE25" s="73">
        <v>0.0</v>
      </c>
      <c r="AF25" s="73">
        <v>0.0</v>
      </c>
      <c r="AG25" s="73">
        <v>0.0</v>
      </c>
      <c r="AH25" s="73">
        <v>1.0</v>
      </c>
      <c r="AI25" s="73">
        <v>0.0</v>
      </c>
      <c r="AJ25" s="73">
        <v>0.0</v>
      </c>
      <c r="AK25" s="73">
        <v>0.0</v>
      </c>
      <c r="AL25" s="73">
        <v>3.0</v>
      </c>
      <c r="AM25" s="73">
        <v>3.0</v>
      </c>
      <c r="AN25" s="73">
        <v>0.0</v>
      </c>
      <c r="AO25" s="73">
        <v>0.0</v>
      </c>
      <c r="AP25" s="73">
        <v>0.0</v>
      </c>
      <c r="AQ25" s="73">
        <v>0.0</v>
      </c>
      <c r="AR25" s="73">
        <v>0.0</v>
      </c>
      <c r="AS25" s="73">
        <v>0.0</v>
      </c>
      <c r="AT25" s="73">
        <v>0.0</v>
      </c>
      <c r="AU25" s="73">
        <v>0.0</v>
      </c>
      <c r="AV25" s="13">
        <f t="shared" si="3"/>
        <v>76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3.0</v>
      </c>
      <c r="G26" s="73">
        <v>6.0</v>
      </c>
      <c r="H26" s="73">
        <v>6.0</v>
      </c>
      <c r="I26" s="73">
        <v>4.0</v>
      </c>
      <c r="J26" s="73">
        <v>3.0</v>
      </c>
      <c r="K26" s="73">
        <v>3.0</v>
      </c>
      <c r="L26" s="73">
        <v>2.0</v>
      </c>
      <c r="M26" s="73">
        <v>1.0</v>
      </c>
      <c r="N26" s="73">
        <v>0.0</v>
      </c>
      <c r="O26" s="73">
        <v>4.0</v>
      </c>
      <c r="P26" s="73">
        <v>0.0</v>
      </c>
      <c r="Q26" s="73">
        <v>2.0</v>
      </c>
      <c r="R26" s="73">
        <v>3.0</v>
      </c>
      <c r="S26" s="73">
        <v>5.0</v>
      </c>
      <c r="T26" s="73">
        <v>0.0</v>
      </c>
      <c r="U26" s="73">
        <v>2.0</v>
      </c>
      <c r="V26" s="73">
        <v>0.0</v>
      </c>
      <c r="W26" s="73">
        <v>1.0</v>
      </c>
      <c r="X26" s="73">
        <v>0.0</v>
      </c>
      <c r="Y26" s="73">
        <v>3.0</v>
      </c>
      <c r="Z26" s="73">
        <v>0.0</v>
      </c>
      <c r="AA26" s="73">
        <v>2.0</v>
      </c>
      <c r="AB26" s="73">
        <v>0.0</v>
      </c>
      <c r="AC26" s="73">
        <v>1.0</v>
      </c>
      <c r="AD26" s="73">
        <v>1.0</v>
      </c>
      <c r="AE26" s="73">
        <v>4.0</v>
      </c>
      <c r="AF26" s="73">
        <v>1.0</v>
      </c>
      <c r="AG26" s="73">
        <v>2.0</v>
      </c>
      <c r="AH26" s="73">
        <v>3.0</v>
      </c>
      <c r="AI26" s="73">
        <v>0.0</v>
      </c>
      <c r="AJ26" s="73">
        <v>0.0</v>
      </c>
      <c r="AK26" s="73">
        <v>1.0</v>
      </c>
      <c r="AL26" s="73">
        <v>0.0</v>
      </c>
      <c r="AM26" s="73">
        <v>5.0</v>
      </c>
      <c r="AN26" s="73">
        <v>0.0</v>
      </c>
      <c r="AO26" s="73">
        <v>0.0</v>
      </c>
      <c r="AP26" s="73">
        <v>0.0</v>
      </c>
      <c r="AQ26" s="73">
        <v>0.0</v>
      </c>
      <c r="AR26" s="73">
        <v>0.0</v>
      </c>
      <c r="AS26" s="73">
        <v>0.0</v>
      </c>
      <c r="AT26" s="73">
        <v>0.0</v>
      </c>
      <c r="AU26" s="73">
        <v>0.0</v>
      </c>
      <c r="AV26" s="13">
        <f t="shared" si="3"/>
        <v>68</v>
      </c>
    </row>
    <row r="27" ht="12.75" customHeight="1">
      <c r="A27" s="35"/>
      <c r="B27" s="28"/>
      <c r="C27" s="36"/>
      <c r="D27" s="13" t="s">
        <v>14</v>
      </c>
      <c r="E27" s="13">
        <f t="shared" ref="E27:AU27" si="6">SUM(E25:E26)</f>
        <v>2</v>
      </c>
      <c r="F27" s="13">
        <f t="shared" si="6"/>
        <v>6</v>
      </c>
      <c r="G27" s="13">
        <f t="shared" si="6"/>
        <v>10</v>
      </c>
      <c r="H27" s="13">
        <f t="shared" si="6"/>
        <v>9</v>
      </c>
      <c r="I27" s="13">
        <f t="shared" si="6"/>
        <v>6</v>
      </c>
      <c r="J27" s="13">
        <f t="shared" si="6"/>
        <v>6</v>
      </c>
      <c r="K27" s="13">
        <f t="shared" si="6"/>
        <v>5</v>
      </c>
      <c r="L27" s="13">
        <f t="shared" si="6"/>
        <v>4</v>
      </c>
      <c r="M27" s="13">
        <f t="shared" si="6"/>
        <v>21</v>
      </c>
      <c r="N27" s="13">
        <f t="shared" si="6"/>
        <v>11</v>
      </c>
      <c r="O27" s="13">
        <f t="shared" si="6"/>
        <v>5</v>
      </c>
      <c r="P27" s="13">
        <f t="shared" si="6"/>
        <v>1</v>
      </c>
      <c r="Q27" s="13">
        <f t="shared" si="6"/>
        <v>3</v>
      </c>
      <c r="R27" s="13">
        <f t="shared" si="6"/>
        <v>5</v>
      </c>
      <c r="S27" s="13">
        <f t="shared" si="6"/>
        <v>10</v>
      </c>
      <c r="T27" s="13">
        <f t="shared" si="6"/>
        <v>2</v>
      </c>
      <c r="U27" s="13">
        <f t="shared" si="6"/>
        <v>4</v>
      </c>
      <c r="V27" s="13">
        <f t="shared" si="6"/>
        <v>0</v>
      </c>
      <c r="W27" s="13">
        <f t="shared" si="6"/>
        <v>1</v>
      </c>
      <c r="X27" s="13">
        <f t="shared" si="6"/>
        <v>0</v>
      </c>
      <c r="Y27" s="13">
        <f t="shared" si="6"/>
        <v>4</v>
      </c>
      <c r="Z27" s="13">
        <f t="shared" si="6"/>
        <v>0</v>
      </c>
      <c r="AA27" s="13">
        <f t="shared" si="6"/>
        <v>2</v>
      </c>
      <c r="AB27" s="13">
        <f t="shared" si="6"/>
        <v>0</v>
      </c>
      <c r="AC27" s="13">
        <f t="shared" si="6"/>
        <v>2</v>
      </c>
      <c r="AD27" s="13">
        <f t="shared" si="6"/>
        <v>2</v>
      </c>
      <c r="AE27" s="13">
        <f t="shared" si="6"/>
        <v>4</v>
      </c>
      <c r="AF27" s="13">
        <f t="shared" si="6"/>
        <v>1</v>
      </c>
      <c r="AG27" s="13">
        <f t="shared" si="6"/>
        <v>2</v>
      </c>
      <c r="AH27" s="13">
        <f t="shared" si="6"/>
        <v>4</v>
      </c>
      <c r="AI27" s="13">
        <f t="shared" si="6"/>
        <v>0</v>
      </c>
      <c r="AJ27" s="13">
        <f t="shared" si="6"/>
        <v>0</v>
      </c>
      <c r="AK27" s="13">
        <f t="shared" si="6"/>
        <v>1</v>
      </c>
      <c r="AL27" s="13">
        <f t="shared" si="6"/>
        <v>3</v>
      </c>
      <c r="AM27" s="13">
        <f t="shared" si="6"/>
        <v>8</v>
      </c>
      <c r="AN27" s="13">
        <f t="shared" si="6"/>
        <v>0</v>
      </c>
      <c r="AO27" s="13">
        <f t="shared" si="6"/>
        <v>0</v>
      </c>
      <c r="AP27" s="13">
        <f t="shared" si="6"/>
        <v>0</v>
      </c>
      <c r="AQ27" s="13">
        <f t="shared" si="6"/>
        <v>0</v>
      </c>
      <c r="AR27" s="13">
        <f t="shared" si="6"/>
        <v>0</v>
      </c>
      <c r="AS27" s="13">
        <f t="shared" si="6"/>
        <v>0</v>
      </c>
      <c r="AT27" s="13">
        <f t="shared" si="6"/>
        <v>0</v>
      </c>
      <c r="AU27" s="13">
        <f t="shared" si="6"/>
        <v>0</v>
      </c>
      <c r="AV27" s="13">
        <f t="shared" si="3"/>
        <v>144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U28" si="7">SUM(E19,E22,E25)</f>
        <v>115</v>
      </c>
      <c r="F28" s="13">
        <f t="shared" si="7"/>
        <v>112</v>
      </c>
      <c r="G28" s="13">
        <f t="shared" si="7"/>
        <v>97</v>
      </c>
      <c r="H28" s="13">
        <f t="shared" si="7"/>
        <v>99</v>
      </c>
      <c r="I28" s="13">
        <f t="shared" si="7"/>
        <v>109</v>
      </c>
      <c r="J28" s="13">
        <f t="shared" si="7"/>
        <v>100</v>
      </c>
      <c r="K28" s="13">
        <f t="shared" si="7"/>
        <v>99</v>
      </c>
      <c r="L28" s="13">
        <f t="shared" si="7"/>
        <v>110</v>
      </c>
      <c r="M28" s="13">
        <f t="shared" si="7"/>
        <v>111</v>
      </c>
      <c r="N28" s="13">
        <f t="shared" si="7"/>
        <v>114</v>
      </c>
      <c r="O28" s="13">
        <f t="shared" si="7"/>
        <v>110</v>
      </c>
      <c r="P28" s="13">
        <f t="shared" si="7"/>
        <v>76</v>
      </c>
      <c r="Q28" s="13">
        <f t="shared" si="7"/>
        <v>69</v>
      </c>
      <c r="R28" s="13">
        <f t="shared" si="7"/>
        <v>100</v>
      </c>
      <c r="S28" s="13">
        <f t="shared" si="7"/>
        <v>76</v>
      </c>
      <c r="T28" s="13">
        <f t="shared" si="7"/>
        <v>117</v>
      </c>
      <c r="U28" s="13">
        <f t="shared" si="7"/>
        <v>106</v>
      </c>
      <c r="V28" s="13">
        <f t="shared" si="7"/>
        <v>101</v>
      </c>
      <c r="W28" s="13">
        <f t="shared" si="7"/>
        <v>105</v>
      </c>
      <c r="X28" s="13">
        <f t="shared" si="7"/>
        <v>108</v>
      </c>
      <c r="Y28" s="13">
        <f t="shared" si="7"/>
        <v>93</v>
      </c>
      <c r="Z28" s="13">
        <f t="shared" si="7"/>
        <v>104</v>
      </c>
      <c r="AA28" s="13">
        <f t="shared" si="7"/>
        <v>117</v>
      </c>
      <c r="AB28" s="13">
        <f t="shared" si="7"/>
        <v>102</v>
      </c>
      <c r="AC28" s="13">
        <f t="shared" si="7"/>
        <v>88</v>
      </c>
      <c r="AD28" s="13">
        <f t="shared" si="7"/>
        <v>80</v>
      </c>
      <c r="AE28" s="13">
        <f t="shared" si="7"/>
        <v>91</v>
      </c>
      <c r="AF28" s="13">
        <f t="shared" si="7"/>
        <v>77</v>
      </c>
      <c r="AG28" s="13">
        <f t="shared" si="7"/>
        <v>77</v>
      </c>
      <c r="AH28" s="13">
        <f t="shared" si="7"/>
        <v>82</v>
      </c>
      <c r="AI28" s="13">
        <f t="shared" si="7"/>
        <v>91</v>
      </c>
      <c r="AJ28" s="13">
        <f t="shared" si="7"/>
        <v>79</v>
      </c>
      <c r="AK28" s="13">
        <f t="shared" si="7"/>
        <v>84</v>
      </c>
      <c r="AL28" s="13">
        <f t="shared" si="7"/>
        <v>122</v>
      </c>
      <c r="AM28" s="13">
        <f t="shared" si="7"/>
        <v>101</v>
      </c>
      <c r="AN28" s="13">
        <f t="shared" si="7"/>
        <v>0</v>
      </c>
      <c r="AO28" s="13">
        <f t="shared" si="7"/>
        <v>0</v>
      </c>
      <c r="AP28" s="13">
        <f t="shared" si="7"/>
        <v>0</v>
      </c>
      <c r="AQ28" s="13">
        <f t="shared" si="7"/>
        <v>0</v>
      </c>
      <c r="AR28" s="13">
        <f t="shared" si="7"/>
        <v>1</v>
      </c>
      <c r="AS28" s="13">
        <f t="shared" si="7"/>
        <v>0</v>
      </c>
      <c r="AT28" s="13">
        <f t="shared" si="7"/>
        <v>2</v>
      </c>
      <c r="AU28" s="13">
        <f t="shared" si="7"/>
        <v>0</v>
      </c>
      <c r="AV28" s="13">
        <f t="shared" si="3"/>
        <v>3425</v>
      </c>
    </row>
    <row r="29" ht="12.75" customHeight="1">
      <c r="A29" s="35"/>
      <c r="B29" s="27"/>
      <c r="C29" s="34"/>
      <c r="D29" s="13" t="s">
        <v>13</v>
      </c>
      <c r="E29" s="13">
        <f t="shared" ref="E29:AU29" si="8">SUM(E20,E23,E26)</f>
        <v>114</v>
      </c>
      <c r="F29" s="13">
        <f t="shared" si="8"/>
        <v>130</v>
      </c>
      <c r="G29" s="13">
        <f t="shared" si="8"/>
        <v>107</v>
      </c>
      <c r="H29" s="13">
        <f t="shared" si="8"/>
        <v>114</v>
      </c>
      <c r="I29" s="13">
        <f t="shared" si="8"/>
        <v>103</v>
      </c>
      <c r="J29" s="13">
        <f t="shared" si="8"/>
        <v>101</v>
      </c>
      <c r="K29" s="13">
        <f t="shared" si="8"/>
        <v>100</v>
      </c>
      <c r="L29" s="13">
        <f t="shared" si="8"/>
        <v>122</v>
      </c>
      <c r="M29" s="13">
        <f t="shared" si="8"/>
        <v>92</v>
      </c>
      <c r="N29" s="13">
        <f t="shared" si="8"/>
        <v>99</v>
      </c>
      <c r="O29" s="13">
        <f t="shared" si="8"/>
        <v>100</v>
      </c>
      <c r="P29" s="13">
        <f t="shared" si="8"/>
        <v>85</v>
      </c>
      <c r="Q29" s="13">
        <f t="shared" si="8"/>
        <v>85</v>
      </c>
      <c r="R29" s="13">
        <f t="shared" si="8"/>
        <v>106</v>
      </c>
      <c r="S29" s="13">
        <f t="shared" si="8"/>
        <v>85</v>
      </c>
      <c r="T29" s="13">
        <f t="shared" si="8"/>
        <v>112</v>
      </c>
      <c r="U29" s="13">
        <f t="shared" si="8"/>
        <v>106</v>
      </c>
      <c r="V29" s="13">
        <f t="shared" si="8"/>
        <v>107</v>
      </c>
      <c r="W29" s="13">
        <f t="shared" si="8"/>
        <v>105</v>
      </c>
      <c r="X29" s="13">
        <f t="shared" si="8"/>
        <v>113</v>
      </c>
      <c r="Y29" s="13">
        <f t="shared" si="8"/>
        <v>112</v>
      </c>
      <c r="Z29" s="13">
        <f t="shared" si="8"/>
        <v>101</v>
      </c>
      <c r="AA29" s="13">
        <f t="shared" si="8"/>
        <v>118</v>
      </c>
      <c r="AB29" s="13">
        <f t="shared" si="8"/>
        <v>118</v>
      </c>
      <c r="AC29" s="13">
        <f t="shared" si="8"/>
        <v>92</v>
      </c>
      <c r="AD29" s="13">
        <f t="shared" si="8"/>
        <v>79</v>
      </c>
      <c r="AE29" s="13">
        <f t="shared" si="8"/>
        <v>79</v>
      </c>
      <c r="AF29" s="13">
        <f t="shared" si="8"/>
        <v>96</v>
      </c>
      <c r="AG29" s="13">
        <f t="shared" si="8"/>
        <v>89</v>
      </c>
      <c r="AH29" s="13">
        <f t="shared" si="8"/>
        <v>64</v>
      </c>
      <c r="AI29" s="13">
        <f t="shared" si="8"/>
        <v>97</v>
      </c>
      <c r="AJ29" s="13">
        <f t="shared" si="8"/>
        <v>82</v>
      </c>
      <c r="AK29" s="13">
        <f t="shared" si="8"/>
        <v>89</v>
      </c>
      <c r="AL29" s="13">
        <f t="shared" si="8"/>
        <v>124</v>
      </c>
      <c r="AM29" s="13">
        <f t="shared" si="8"/>
        <v>112</v>
      </c>
      <c r="AN29" s="13">
        <f t="shared" si="8"/>
        <v>0</v>
      </c>
      <c r="AO29" s="13">
        <f t="shared" si="8"/>
        <v>0</v>
      </c>
      <c r="AP29" s="13">
        <f t="shared" si="8"/>
        <v>3</v>
      </c>
      <c r="AQ29" s="13">
        <f t="shared" si="8"/>
        <v>1</v>
      </c>
      <c r="AR29" s="13">
        <f t="shared" si="8"/>
        <v>0</v>
      </c>
      <c r="AS29" s="13">
        <f t="shared" si="8"/>
        <v>0</v>
      </c>
      <c r="AT29" s="13">
        <f t="shared" si="8"/>
        <v>0</v>
      </c>
      <c r="AU29" s="13">
        <f t="shared" si="8"/>
        <v>0</v>
      </c>
      <c r="AV29" s="13">
        <f t="shared" si="3"/>
        <v>3542</v>
      </c>
    </row>
    <row r="30" ht="12.75" customHeight="1">
      <c r="A30" s="35"/>
      <c r="B30" s="28"/>
      <c r="C30" s="36"/>
      <c r="D30" s="13" t="s">
        <v>14</v>
      </c>
      <c r="E30" s="13">
        <f t="shared" ref="E30:AU30" si="9">SUM(E28:E29)</f>
        <v>229</v>
      </c>
      <c r="F30" s="13">
        <f t="shared" si="9"/>
        <v>242</v>
      </c>
      <c r="G30" s="13">
        <f t="shared" si="9"/>
        <v>204</v>
      </c>
      <c r="H30" s="13">
        <f t="shared" si="9"/>
        <v>213</v>
      </c>
      <c r="I30" s="13">
        <f t="shared" si="9"/>
        <v>212</v>
      </c>
      <c r="J30" s="13">
        <f t="shared" si="9"/>
        <v>201</v>
      </c>
      <c r="K30" s="13">
        <f t="shared" si="9"/>
        <v>199</v>
      </c>
      <c r="L30" s="13">
        <f t="shared" si="9"/>
        <v>232</v>
      </c>
      <c r="M30" s="13">
        <f t="shared" si="9"/>
        <v>203</v>
      </c>
      <c r="N30" s="13">
        <f t="shared" si="9"/>
        <v>213</v>
      </c>
      <c r="O30" s="13">
        <f t="shared" si="9"/>
        <v>210</v>
      </c>
      <c r="P30" s="13">
        <f t="shared" si="9"/>
        <v>161</v>
      </c>
      <c r="Q30" s="13">
        <f t="shared" si="9"/>
        <v>154</v>
      </c>
      <c r="R30" s="13">
        <f t="shared" si="9"/>
        <v>206</v>
      </c>
      <c r="S30" s="13">
        <f t="shared" si="9"/>
        <v>161</v>
      </c>
      <c r="T30" s="13">
        <f t="shared" si="9"/>
        <v>229</v>
      </c>
      <c r="U30" s="13">
        <f t="shared" si="9"/>
        <v>212</v>
      </c>
      <c r="V30" s="13">
        <f t="shared" si="9"/>
        <v>208</v>
      </c>
      <c r="W30" s="13">
        <f t="shared" si="9"/>
        <v>210</v>
      </c>
      <c r="X30" s="13">
        <f t="shared" si="9"/>
        <v>221</v>
      </c>
      <c r="Y30" s="13">
        <f t="shared" si="9"/>
        <v>205</v>
      </c>
      <c r="Z30" s="13">
        <f t="shared" si="9"/>
        <v>205</v>
      </c>
      <c r="AA30" s="13">
        <f t="shared" si="9"/>
        <v>235</v>
      </c>
      <c r="AB30" s="13">
        <f t="shared" si="9"/>
        <v>220</v>
      </c>
      <c r="AC30" s="13">
        <f t="shared" si="9"/>
        <v>180</v>
      </c>
      <c r="AD30" s="13">
        <f t="shared" si="9"/>
        <v>159</v>
      </c>
      <c r="AE30" s="13">
        <f t="shared" si="9"/>
        <v>170</v>
      </c>
      <c r="AF30" s="13">
        <f t="shared" si="9"/>
        <v>173</v>
      </c>
      <c r="AG30" s="13">
        <f t="shared" si="9"/>
        <v>166</v>
      </c>
      <c r="AH30" s="13">
        <f t="shared" si="9"/>
        <v>146</v>
      </c>
      <c r="AI30" s="13">
        <f t="shared" si="9"/>
        <v>188</v>
      </c>
      <c r="AJ30" s="13">
        <f t="shared" si="9"/>
        <v>161</v>
      </c>
      <c r="AK30" s="13">
        <f t="shared" si="9"/>
        <v>173</v>
      </c>
      <c r="AL30" s="13">
        <f t="shared" si="9"/>
        <v>246</v>
      </c>
      <c r="AM30" s="13">
        <f t="shared" si="9"/>
        <v>213</v>
      </c>
      <c r="AN30" s="13">
        <f t="shared" si="9"/>
        <v>0</v>
      </c>
      <c r="AO30" s="13">
        <f t="shared" si="9"/>
        <v>0</v>
      </c>
      <c r="AP30" s="13">
        <f t="shared" si="9"/>
        <v>3</v>
      </c>
      <c r="AQ30" s="13">
        <f t="shared" si="9"/>
        <v>1</v>
      </c>
      <c r="AR30" s="13">
        <f t="shared" si="9"/>
        <v>1</v>
      </c>
      <c r="AS30" s="13">
        <f t="shared" si="9"/>
        <v>0</v>
      </c>
      <c r="AT30" s="13">
        <f t="shared" si="9"/>
        <v>2</v>
      </c>
      <c r="AU30" s="13">
        <f t="shared" si="9"/>
        <v>0</v>
      </c>
      <c r="AV30" s="13">
        <f t="shared" si="3"/>
        <v>6967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75"/>
    </row>
    <row r="33" ht="12.75" customHeight="1">
      <c r="A33" s="19">
        <v>1.0</v>
      </c>
      <c r="B33" s="20" t="s">
        <v>27</v>
      </c>
      <c r="C33" s="15"/>
      <c r="D33" s="16"/>
      <c r="E33" s="73">
        <v>305.0</v>
      </c>
      <c r="F33" s="73">
        <v>303.0</v>
      </c>
      <c r="G33" s="73">
        <v>270.0</v>
      </c>
      <c r="H33" s="73">
        <v>275.0</v>
      </c>
      <c r="I33" s="73">
        <v>279.0</v>
      </c>
      <c r="J33" s="73">
        <v>243.0</v>
      </c>
      <c r="K33" s="73">
        <v>264.0</v>
      </c>
      <c r="L33" s="73">
        <v>287.0</v>
      </c>
      <c r="M33" s="73">
        <v>269.0</v>
      </c>
      <c r="N33" s="73">
        <v>274.0</v>
      </c>
      <c r="O33" s="73">
        <v>269.0</v>
      </c>
      <c r="P33" s="73">
        <v>245.0</v>
      </c>
      <c r="Q33" s="73">
        <v>229.0</v>
      </c>
      <c r="R33" s="73">
        <v>266.0</v>
      </c>
      <c r="S33" s="73">
        <v>247.0</v>
      </c>
      <c r="T33" s="73">
        <v>268.0</v>
      </c>
      <c r="U33" s="73">
        <v>287.0</v>
      </c>
      <c r="V33" s="73">
        <v>280.0</v>
      </c>
      <c r="W33" s="73">
        <v>260.0</v>
      </c>
      <c r="X33" s="73">
        <v>285.0</v>
      </c>
      <c r="Y33" s="73">
        <v>263.0</v>
      </c>
      <c r="Z33" s="73">
        <v>301.0</v>
      </c>
      <c r="AA33" s="73">
        <v>302.0</v>
      </c>
      <c r="AB33" s="73">
        <v>311.0</v>
      </c>
      <c r="AC33" s="73">
        <v>240.0</v>
      </c>
      <c r="AD33" s="73">
        <v>236.0</v>
      </c>
      <c r="AE33" s="73">
        <v>227.0</v>
      </c>
      <c r="AF33" s="73">
        <v>236.0</v>
      </c>
      <c r="AG33" s="73">
        <v>216.0</v>
      </c>
      <c r="AH33" s="73">
        <v>201.0</v>
      </c>
      <c r="AI33" s="73">
        <v>238.0</v>
      </c>
      <c r="AJ33" s="73">
        <v>222.0</v>
      </c>
      <c r="AK33" s="73">
        <v>251.0</v>
      </c>
      <c r="AL33" s="73">
        <v>294.0</v>
      </c>
      <c r="AM33" s="73">
        <v>300.0</v>
      </c>
      <c r="AN33" s="73">
        <v>306.0</v>
      </c>
      <c r="AO33" s="73">
        <v>299.0</v>
      </c>
      <c r="AP33" s="73">
        <v>303.0</v>
      </c>
      <c r="AQ33" s="73">
        <v>191.0</v>
      </c>
      <c r="AR33" s="73">
        <v>307.0</v>
      </c>
      <c r="AS33" s="73">
        <v>304.0</v>
      </c>
      <c r="AT33" s="73">
        <v>305.0</v>
      </c>
      <c r="AU33" s="73">
        <v>67.0</v>
      </c>
      <c r="AV33" s="13">
        <f t="shared" ref="AV33:AV36" si="10">SUM(E33:AU33)</f>
        <v>11325</v>
      </c>
    </row>
    <row r="34" ht="12.75" customHeight="1">
      <c r="A34" s="19">
        <v>2.0</v>
      </c>
      <c r="B34" s="20" t="s">
        <v>28</v>
      </c>
      <c r="C34" s="15"/>
      <c r="D34" s="16"/>
      <c r="E34" s="77">
        <v>229.0</v>
      </c>
      <c r="F34" s="77">
        <v>242.0</v>
      </c>
      <c r="G34" s="77">
        <v>204.0</v>
      </c>
      <c r="H34" s="77">
        <v>213.0</v>
      </c>
      <c r="I34" s="77">
        <v>212.0</v>
      </c>
      <c r="J34" s="77">
        <v>201.0</v>
      </c>
      <c r="K34" s="77">
        <v>199.0</v>
      </c>
      <c r="L34" s="77">
        <v>232.0</v>
      </c>
      <c r="M34" s="77">
        <v>203.0</v>
      </c>
      <c r="N34" s="77">
        <v>213.0</v>
      </c>
      <c r="O34" s="77">
        <v>210.0</v>
      </c>
      <c r="P34" s="77">
        <v>161.0</v>
      </c>
      <c r="Q34" s="77">
        <v>154.0</v>
      </c>
      <c r="R34" s="77">
        <v>206.0</v>
      </c>
      <c r="S34" s="77">
        <v>161.0</v>
      </c>
      <c r="T34" s="77">
        <v>229.0</v>
      </c>
      <c r="U34" s="77">
        <v>212.0</v>
      </c>
      <c r="V34" s="77">
        <v>208.0</v>
      </c>
      <c r="W34" s="77">
        <v>210.0</v>
      </c>
      <c r="X34" s="77">
        <v>221.0</v>
      </c>
      <c r="Y34" s="77">
        <v>205.0</v>
      </c>
      <c r="Z34" s="77">
        <v>205.0</v>
      </c>
      <c r="AA34" s="77">
        <v>235.0</v>
      </c>
      <c r="AB34" s="77">
        <v>220.0</v>
      </c>
      <c r="AC34" s="77">
        <v>180.0</v>
      </c>
      <c r="AD34" s="77">
        <v>159.0</v>
      </c>
      <c r="AE34" s="77">
        <v>170.0</v>
      </c>
      <c r="AF34" s="77">
        <v>173.0</v>
      </c>
      <c r="AG34" s="77">
        <v>166.0</v>
      </c>
      <c r="AH34" s="77">
        <v>146.0</v>
      </c>
      <c r="AI34" s="77">
        <v>188.0</v>
      </c>
      <c r="AJ34" s="77">
        <v>161.0</v>
      </c>
      <c r="AK34" s="77">
        <v>173.0</v>
      </c>
      <c r="AL34" s="77">
        <v>246.0</v>
      </c>
      <c r="AM34" s="77">
        <v>213.0</v>
      </c>
      <c r="AN34" s="77">
        <v>0.0</v>
      </c>
      <c r="AO34" s="77">
        <v>0.0</v>
      </c>
      <c r="AP34" s="77">
        <v>3.0</v>
      </c>
      <c r="AQ34" s="77">
        <v>1.0</v>
      </c>
      <c r="AR34" s="77">
        <v>1.0</v>
      </c>
      <c r="AS34" s="77">
        <v>0.0</v>
      </c>
      <c r="AT34" s="77">
        <v>2.0</v>
      </c>
      <c r="AU34" s="77">
        <v>0.0</v>
      </c>
      <c r="AV34" s="13">
        <f t="shared" si="10"/>
        <v>6967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14.0</v>
      </c>
      <c r="J35" s="73">
        <v>0.0</v>
      </c>
      <c r="K35" s="73">
        <v>1.0</v>
      </c>
      <c r="L35" s="73">
        <v>0.0</v>
      </c>
      <c r="M35" s="73">
        <v>5.0</v>
      </c>
      <c r="N35" s="73">
        <v>0.0</v>
      </c>
      <c r="O35" s="73">
        <v>0.0</v>
      </c>
      <c r="P35" s="73">
        <v>0.0</v>
      </c>
      <c r="Q35" s="73">
        <v>0.0</v>
      </c>
      <c r="R35" s="73">
        <v>0.0</v>
      </c>
      <c r="S35" s="73">
        <v>0.0</v>
      </c>
      <c r="T35" s="73">
        <v>0.0</v>
      </c>
      <c r="U35" s="73">
        <v>0.0</v>
      </c>
      <c r="V35" s="73">
        <v>0.0</v>
      </c>
      <c r="W35" s="73">
        <v>0.0</v>
      </c>
      <c r="X35" s="73">
        <v>0.0</v>
      </c>
      <c r="Y35" s="73">
        <v>0.0</v>
      </c>
      <c r="Z35" s="73">
        <v>0.0</v>
      </c>
      <c r="AA35" s="73">
        <v>0.0</v>
      </c>
      <c r="AB35" s="73">
        <v>0.0</v>
      </c>
      <c r="AC35" s="73">
        <v>0.0</v>
      </c>
      <c r="AD35" s="73">
        <v>0.0</v>
      </c>
      <c r="AE35" s="73">
        <v>0.0</v>
      </c>
      <c r="AF35" s="73">
        <v>0.0</v>
      </c>
      <c r="AG35" s="73">
        <v>0.0</v>
      </c>
      <c r="AH35" s="73">
        <v>0.0</v>
      </c>
      <c r="AI35" s="73">
        <v>1.0</v>
      </c>
      <c r="AJ35" s="73">
        <v>0.0</v>
      </c>
      <c r="AK35" s="73">
        <v>1.0</v>
      </c>
      <c r="AL35" s="73">
        <v>2.0</v>
      </c>
      <c r="AM35" s="73">
        <v>0.0</v>
      </c>
      <c r="AN35" s="73">
        <v>0.0</v>
      </c>
      <c r="AO35" s="73">
        <v>0.0</v>
      </c>
      <c r="AP35" s="73">
        <v>0.0</v>
      </c>
      <c r="AQ35" s="73">
        <v>0.0</v>
      </c>
      <c r="AR35" s="73">
        <v>0.0</v>
      </c>
      <c r="AS35" s="73">
        <v>0.0</v>
      </c>
      <c r="AT35" s="73">
        <v>0.0</v>
      </c>
      <c r="AU35" s="73">
        <v>0.0</v>
      </c>
      <c r="AV35" s="13">
        <f t="shared" si="10"/>
        <v>24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U36" si="11">E33-(E34+E35)</f>
        <v>76</v>
      </c>
      <c r="F36" s="13">
        <f t="shared" si="11"/>
        <v>61</v>
      </c>
      <c r="G36" s="13">
        <f t="shared" si="11"/>
        <v>66</v>
      </c>
      <c r="H36" s="13">
        <f t="shared" si="11"/>
        <v>62</v>
      </c>
      <c r="I36" s="13">
        <f t="shared" si="11"/>
        <v>53</v>
      </c>
      <c r="J36" s="13">
        <f t="shared" si="11"/>
        <v>42</v>
      </c>
      <c r="K36" s="13">
        <f t="shared" si="11"/>
        <v>64</v>
      </c>
      <c r="L36" s="13">
        <f t="shared" si="11"/>
        <v>55</v>
      </c>
      <c r="M36" s="13">
        <f t="shared" si="11"/>
        <v>61</v>
      </c>
      <c r="N36" s="13">
        <f t="shared" si="11"/>
        <v>61</v>
      </c>
      <c r="O36" s="13">
        <f t="shared" si="11"/>
        <v>59</v>
      </c>
      <c r="P36" s="13">
        <f t="shared" si="11"/>
        <v>84</v>
      </c>
      <c r="Q36" s="13">
        <f t="shared" si="11"/>
        <v>75</v>
      </c>
      <c r="R36" s="13">
        <f t="shared" si="11"/>
        <v>60</v>
      </c>
      <c r="S36" s="13">
        <f t="shared" si="11"/>
        <v>86</v>
      </c>
      <c r="T36" s="13">
        <f t="shared" si="11"/>
        <v>39</v>
      </c>
      <c r="U36" s="13">
        <f t="shared" si="11"/>
        <v>75</v>
      </c>
      <c r="V36" s="13">
        <f t="shared" si="11"/>
        <v>72</v>
      </c>
      <c r="W36" s="13">
        <f t="shared" si="11"/>
        <v>50</v>
      </c>
      <c r="X36" s="13">
        <f t="shared" si="11"/>
        <v>64</v>
      </c>
      <c r="Y36" s="13">
        <f t="shared" si="11"/>
        <v>58</v>
      </c>
      <c r="Z36" s="13">
        <f t="shared" si="11"/>
        <v>96</v>
      </c>
      <c r="AA36" s="13">
        <f t="shared" si="11"/>
        <v>67</v>
      </c>
      <c r="AB36" s="13">
        <f t="shared" si="11"/>
        <v>91</v>
      </c>
      <c r="AC36" s="13">
        <f t="shared" si="11"/>
        <v>60</v>
      </c>
      <c r="AD36" s="13">
        <f t="shared" si="11"/>
        <v>77</v>
      </c>
      <c r="AE36" s="13">
        <f t="shared" si="11"/>
        <v>57</v>
      </c>
      <c r="AF36" s="13">
        <f t="shared" si="11"/>
        <v>63</v>
      </c>
      <c r="AG36" s="13">
        <f t="shared" si="11"/>
        <v>50</v>
      </c>
      <c r="AH36" s="13">
        <f t="shared" si="11"/>
        <v>55</v>
      </c>
      <c r="AI36" s="13">
        <f t="shared" si="11"/>
        <v>49</v>
      </c>
      <c r="AJ36" s="13">
        <f t="shared" si="11"/>
        <v>61</v>
      </c>
      <c r="AK36" s="13">
        <f t="shared" si="11"/>
        <v>77</v>
      </c>
      <c r="AL36" s="13">
        <f t="shared" si="11"/>
        <v>46</v>
      </c>
      <c r="AM36" s="13">
        <f t="shared" si="11"/>
        <v>87</v>
      </c>
      <c r="AN36" s="13">
        <f t="shared" si="11"/>
        <v>306</v>
      </c>
      <c r="AO36" s="13">
        <f t="shared" si="11"/>
        <v>299</v>
      </c>
      <c r="AP36" s="13">
        <f t="shared" si="11"/>
        <v>300</v>
      </c>
      <c r="AQ36" s="13">
        <f t="shared" si="11"/>
        <v>190</v>
      </c>
      <c r="AR36" s="13">
        <f t="shared" si="11"/>
        <v>306</v>
      </c>
      <c r="AS36" s="13">
        <f t="shared" si="11"/>
        <v>304</v>
      </c>
      <c r="AT36" s="13">
        <f t="shared" si="11"/>
        <v>303</v>
      </c>
      <c r="AU36" s="13">
        <f t="shared" si="11"/>
        <v>67</v>
      </c>
      <c r="AV36" s="13">
        <f t="shared" si="10"/>
        <v>4334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6"/>
      <c r="AR37" s="19"/>
      <c r="AS37" s="19"/>
      <c r="AT37" s="19"/>
      <c r="AU37" s="19"/>
      <c r="AV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75"/>
    </row>
    <row r="39" ht="12.75" customHeight="1">
      <c r="A39" s="30"/>
      <c r="B39" s="43" t="s">
        <v>33</v>
      </c>
      <c r="C39" s="23"/>
      <c r="D39" s="19" t="s">
        <v>12</v>
      </c>
      <c r="E39" s="73">
        <v>1.0</v>
      </c>
      <c r="F39" s="73">
        <v>0.0</v>
      </c>
      <c r="G39" s="73">
        <v>1.0</v>
      </c>
      <c r="H39" s="73">
        <v>0.0</v>
      </c>
      <c r="I39" s="73">
        <v>0.0</v>
      </c>
      <c r="J39" s="73">
        <v>0.0</v>
      </c>
      <c r="K39" s="73">
        <v>0.0</v>
      </c>
      <c r="L39" s="73">
        <v>1.0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73">
        <v>0.0</v>
      </c>
      <c r="V39" s="73">
        <v>0.0</v>
      </c>
      <c r="W39" s="73">
        <v>0.0</v>
      </c>
      <c r="X39" s="73">
        <v>0.0</v>
      </c>
      <c r="Y39" s="73">
        <v>0.0</v>
      </c>
      <c r="Z39" s="73">
        <v>0.0</v>
      </c>
      <c r="AA39" s="73">
        <v>0.0</v>
      </c>
      <c r="AB39" s="73">
        <v>0.0</v>
      </c>
      <c r="AC39" s="73">
        <v>0.0</v>
      </c>
      <c r="AD39" s="73">
        <v>0.0</v>
      </c>
      <c r="AE39" s="73">
        <v>0.0</v>
      </c>
      <c r="AF39" s="73">
        <v>0.0</v>
      </c>
      <c r="AG39" s="73">
        <v>1.0</v>
      </c>
      <c r="AH39" s="73">
        <v>0.0</v>
      </c>
      <c r="AI39" s="73">
        <v>0.0</v>
      </c>
      <c r="AJ39" s="73">
        <v>1.0</v>
      </c>
      <c r="AK39" s="73">
        <v>0.0</v>
      </c>
      <c r="AL39" s="73">
        <v>0.0</v>
      </c>
      <c r="AM39" s="73">
        <v>0.0</v>
      </c>
      <c r="AN39" s="73">
        <v>0.0</v>
      </c>
      <c r="AO39" s="73">
        <v>0.0</v>
      </c>
      <c r="AP39" s="73">
        <v>0.0</v>
      </c>
      <c r="AQ39" s="73">
        <v>0.0</v>
      </c>
      <c r="AR39" s="73">
        <v>0.0</v>
      </c>
      <c r="AS39" s="73">
        <v>0.0</v>
      </c>
      <c r="AT39" s="73">
        <v>0.0</v>
      </c>
      <c r="AU39" s="73">
        <v>0.0</v>
      </c>
      <c r="AV39" s="13">
        <f t="shared" ref="AV39:AV41" si="12">SUM(E39:AU39)</f>
        <v>5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4.0</v>
      </c>
      <c r="H40" s="73">
        <v>0.0</v>
      </c>
      <c r="I40" s="73">
        <v>0.0</v>
      </c>
      <c r="J40" s="73">
        <v>0.0</v>
      </c>
      <c r="K40" s="73">
        <v>0.0</v>
      </c>
      <c r="L40" s="73">
        <v>1.0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0.0</v>
      </c>
      <c r="T40" s="73">
        <v>0.0</v>
      </c>
      <c r="U40" s="73">
        <v>0.0</v>
      </c>
      <c r="V40" s="73">
        <v>0.0</v>
      </c>
      <c r="W40" s="73">
        <v>0.0</v>
      </c>
      <c r="X40" s="73">
        <v>0.0</v>
      </c>
      <c r="Y40" s="73">
        <v>0.0</v>
      </c>
      <c r="Z40" s="73">
        <v>0.0</v>
      </c>
      <c r="AA40" s="73">
        <v>0.0</v>
      </c>
      <c r="AB40" s="73">
        <v>0.0</v>
      </c>
      <c r="AC40" s="73">
        <v>0.0</v>
      </c>
      <c r="AD40" s="73">
        <v>0.0</v>
      </c>
      <c r="AE40" s="73">
        <v>0.0</v>
      </c>
      <c r="AF40" s="73">
        <v>0.0</v>
      </c>
      <c r="AG40" s="73">
        <v>2.0</v>
      </c>
      <c r="AH40" s="73">
        <v>0.0</v>
      </c>
      <c r="AI40" s="73">
        <v>0.0</v>
      </c>
      <c r="AJ40" s="73">
        <v>0.0</v>
      </c>
      <c r="AK40" s="73">
        <v>0.0</v>
      </c>
      <c r="AL40" s="73">
        <v>0.0</v>
      </c>
      <c r="AM40" s="73">
        <v>1.0</v>
      </c>
      <c r="AN40" s="73">
        <v>0.0</v>
      </c>
      <c r="AO40" s="73">
        <v>0.0</v>
      </c>
      <c r="AP40" s="73">
        <v>0.0</v>
      </c>
      <c r="AQ40" s="73">
        <v>0.0</v>
      </c>
      <c r="AR40" s="73">
        <v>0.0</v>
      </c>
      <c r="AS40" s="73">
        <v>0.0</v>
      </c>
      <c r="AT40" s="73">
        <v>0.0</v>
      </c>
      <c r="AU40" s="73">
        <v>0.0</v>
      </c>
      <c r="AV40" s="13">
        <f t="shared" si="12"/>
        <v>8</v>
      </c>
    </row>
    <row r="41" ht="12.75" customHeight="1">
      <c r="A41" s="41"/>
      <c r="B41" s="44"/>
      <c r="C41" s="28"/>
      <c r="D41" s="13" t="s">
        <v>14</v>
      </c>
      <c r="E41" s="13">
        <f t="shared" ref="E41:AU41" si="13">SUM(E39:E40)</f>
        <v>1</v>
      </c>
      <c r="F41" s="13">
        <f t="shared" si="13"/>
        <v>0</v>
      </c>
      <c r="G41" s="13">
        <f t="shared" si="13"/>
        <v>5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3</v>
      </c>
      <c r="AH41" s="13">
        <f t="shared" si="13"/>
        <v>0</v>
      </c>
      <c r="AI41" s="13">
        <f t="shared" si="13"/>
        <v>0</v>
      </c>
      <c r="AJ41" s="13">
        <f t="shared" si="13"/>
        <v>1</v>
      </c>
      <c r="AK41" s="13">
        <f t="shared" si="13"/>
        <v>0</v>
      </c>
      <c r="AL41" s="13">
        <f t="shared" si="13"/>
        <v>0</v>
      </c>
      <c r="AM41" s="13">
        <f t="shared" si="13"/>
        <v>1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2"/>
        <v>13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6"/>
      <c r="AR42" s="19"/>
      <c r="AS42" s="19"/>
      <c r="AT42" s="19"/>
      <c r="AU42" s="19"/>
      <c r="A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5.0</v>
      </c>
      <c r="F45" s="73">
        <v>4.0</v>
      </c>
      <c r="G45" s="73">
        <v>2.0</v>
      </c>
      <c r="H45" s="73">
        <v>4.0</v>
      </c>
      <c r="I45" s="73">
        <v>6.0</v>
      </c>
      <c r="J45" s="73">
        <v>6.0</v>
      </c>
      <c r="K45" s="73">
        <v>0.0</v>
      </c>
      <c r="L45" s="73">
        <v>5.0</v>
      </c>
      <c r="M45" s="73">
        <v>6.0</v>
      </c>
      <c r="N45" s="73">
        <v>2.0</v>
      </c>
      <c r="O45" s="73">
        <v>4.0</v>
      </c>
      <c r="P45" s="73">
        <v>15.0</v>
      </c>
      <c r="Q45" s="73">
        <v>6.0</v>
      </c>
      <c r="R45" s="73">
        <v>18.0</v>
      </c>
      <c r="S45" s="73">
        <v>5.0</v>
      </c>
      <c r="T45" s="73">
        <v>25.0</v>
      </c>
      <c r="U45" s="73">
        <v>13.0</v>
      </c>
      <c r="V45" s="73">
        <v>30.0</v>
      </c>
      <c r="W45" s="73">
        <v>31.0</v>
      </c>
      <c r="X45" s="73">
        <v>17.0</v>
      </c>
      <c r="Y45" s="73">
        <v>31.0</v>
      </c>
      <c r="Z45" s="73">
        <v>17.0</v>
      </c>
      <c r="AA45" s="73">
        <v>14.0</v>
      </c>
      <c r="AB45" s="73">
        <v>8.0</v>
      </c>
      <c r="AC45" s="73">
        <v>5.0</v>
      </c>
      <c r="AD45" s="73">
        <v>5.0</v>
      </c>
      <c r="AE45" s="73">
        <v>6.0</v>
      </c>
      <c r="AF45" s="73">
        <v>8.0</v>
      </c>
      <c r="AG45" s="73">
        <v>1.0</v>
      </c>
      <c r="AH45" s="73">
        <v>4.0</v>
      </c>
      <c r="AI45" s="73">
        <v>2.0</v>
      </c>
      <c r="AJ45" s="73">
        <v>4.0</v>
      </c>
      <c r="AK45" s="73">
        <v>13.0</v>
      </c>
      <c r="AL45" s="73">
        <v>7.0</v>
      </c>
      <c r="AM45" s="73">
        <v>8.0</v>
      </c>
      <c r="AN45" s="73">
        <v>0.0</v>
      </c>
      <c r="AO45" s="73">
        <v>0.0</v>
      </c>
      <c r="AP45" s="73">
        <v>0.0</v>
      </c>
      <c r="AQ45" s="73">
        <v>0.0</v>
      </c>
      <c r="AR45" s="73">
        <v>0.0</v>
      </c>
      <c r="AS45" s="73">
        <v>0.0</v>
      </c>
      <c r="AT45" s="73">
        <v>1.0</v>
      </c>
      <c r="AU45" s="73">
        <v>0.0</v>
      </c>
      <c r="AV45" s="13">
        <f t="shared" ref="AV45:AV54" si="14">SUM(E45:AU45)</f>
        <v>338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12.0</v>
      </c>
      <c r="F46" s="73">
        <v>5.0</v>
      </c>
      <c r="G46" s="73">
        <v>3.0</v>
      </c>
      <c r="H46" s="73">
        <v>12.0</v>
      </c>
      <c r="I46" s="73">
        <v>12.0</v>
      </c>
      <c r="J46" s="73">
        <v>8.0</v>
      </c>
      <c r="K46" s="73">
        <v>4.0</v>
      </c>
      <c r="L46" s="73">
        <v>20.0</v>
      </c>
      <c r="M46" s="73">
        <v>11.0</v>
      </c>
      <c r="N46" s="73">
        <v>12.0</v>
      </c>
      <c r="O46" s="73">
        <v>25.0</v>
      </c>
      <c r="P46" s="73">
        <v>14.0</v>
      </c>
      <c r="Q46" s="73">
        <v>11.0</v>
      </c>
      <c r="R46" s="73">
        <v>80.0</v>
      </c>
      <c r="S46" s="73">
        <v>19.0</v>
      </c>
      <c r="T46" s="73">
        <v>79.0</v>
      </c>
      <c r="U46" s="73">
        <v>26.0</v>
      </c>
      <c r="V46" s="73">
        <v>85.0</v>
      </c>
      <c r="W46" s="73">
        <v>116.0</v>
      </c>
      <c r="X46" s="73">
        <v>118.0</v>
      </c>
      <c r="Y46" s="73">
        <v>75.0</v>
      </c>
      <c r="Z46" s="73">
        <v>44.0</v>
      </c>
      <c r="AA46" s="73">
        <v>37.0</v>
      </c>
      <c r="AB46" s="73">
        <v>28.0</v>
      </c>
      <c r="AC46" s="73">
        <v>5.0</v>
      </c>
      <c r="AD46" s="73">
        <v>12.0</v>
      </c>
      <c r="AE46" s="73">
        <v>18.0</v>
      </c>
      <c r="AF46" s="73">
        <v>11.0</v>
      </c>
      <c r="AG46" s="73">
        <v>5.0</v>
      </c>
      <c r="AH46" s="73">
        <v>9.0</v>
      </c>
      <c r="AI46" s="73">
        <v>4.0</v>
      </c>
      <c r="AJ46" s="73">
        <v>2.0</v>
      </c>
      <c r="AK46" s="73">
        <v>9.0</v>
      </c>
      <c r="AL46" s="73">
        <v>17.0</v>
      </c>
      <c r="AM46" s="73">
        <v>14.0</v>
      </c>
      <c r="AN46" s="73">
        <v>0.0</v>
      </c>
      <c r="AO46" s="73">
        <v>0.0</v>
      </c>
      <c r="AP46" s="73">
        <v>2.0</v>
      </c>
      <c r="AQ46" s="73">
        <v>1.0</v>
      </c>
      <c r="AR46" s="73">
        <v>0.0</v>
      </c>
      <c r="AS46" s="73">
        <v>0.0</v>
      </c>
      <c r="AT46" s="73">
        <v>0.0</v>
      </c>
      <c r="AU46" s="73">
        <v>0.0</v>
      </c>
      <c r="AV46" s="13">
        <f t="shared" si="14"/>
        <v>965</v>
      </c>
    </row>
    <row r="47" ht="12.75" customHeight="1">
      <c r="A47" s="18"/>
      <c r="B47" s="49"/>
      <c r="C47" s="50" t="s">
        <v>41</v>
      </c>
      <c r="D47" s="51"/>
      <c r="E47" s="73">
        <v>1.0</v>
      </c>
      <c r="F47" s="73">
        <v>4.0</v>
      </c>
      <c r="G47" s="73">
        <v>2.0</v>
      </c>
      <c r="H47" s="73">
        <v>0.0</v>
      </c>
      <c r="I47" s="73">
        <v>0.0</v>
      </c>
      <c r="J47" s="73">
        <v>1.0</v>
      </c>
      <c r="K47" s="73">
        <v>0.0</v>
      </c>
      <c r="L47" s="73">
        <v>1.0</v>
      </c>
      <c r="M47" s="73">
        <v>4.0</v>
      </c>
      <c r="N47" s="73">
        <v>4.0</v>
      </c>
      <c r="O47" s="73">
        <v>3.0</v>
      </c>
      <c r="P47" s="73">
        <v>2.0</v>
      </c>
      <c r="Q47" s="73">
        <v>1.0</v>
      </c>
      <c r="R47" s="73">
        <v>8.0</v>
      </c>
      <c r="S47" s="73">
        <v>4.0</v>
      </c>
      <c r="T47" s="73">
        <v>1.0</v>
      </c>
      <c r="U47" s="73">
        <v>3.0</v>
      </c>
      <c r="V47" s="73">
        <v>2.0</v>
      </c>
      <c r="W47" s="73">
        <v>11.0</v>
      </c>
      <c r="X47" s="73">
        <v>3.0</v>
      </c>
      <c r="Y47" s="73">
        <v>2.0</v>
      </c>
      <c r="Z47" s="73">
        <v>2.0</v>
      </c>
      <c r="AA47" s="73">
        <v>5.0</v>
      </c>
      <c r="AB47" s="73">
        <v>2.0</v>
      </c>
      <c r="AC47" s="73">
        <v>0.0</v>
      </c>
      <c r="AD47" s="73">
        <v>0.0</v>
      </c>
      <c r="AE47" s="73">
        <v>2.0</v>
      </c>
      <c r="AF47" s="73">
        <v>2.0</v>
      </c>
      <c r="AG47" s="73">
        <v>2.0</v>
      </c>
      <c r="AH47" s="73">
        <v>0.0</v>
      </c>
      <c r="AI47" s="73">
        <v>0.0</v>
      </c>
      <c r="AJ47" s="73">
        <v>4.0</v>
      </c>
      <c r="AK47" s="73">
        <v>2.0</v>
      </c>
      <c r="AL47" s="73">
        <v>1.0</v>
      </c>
      <c r="AM47" s="73">
        <v>9.0</v>
      </c>
      <c r="AN47" s="73">
        <v>0.0</v>
      </c>
      <c r="AO47" s="73">
        <v>0.0</v>
      </c>
      <c r="AP47" s="73">
        <v>0.0</v>
      </c>
      <c r="AQ47" s="73">
        <v>0.0</v>
      </c>
      <c r="AR47" s="73">
        <v>0.0</v>
      </c>
      <c r="AS47" s="73">
        <v>0.0</v>
      </c>
      <c r="AT47" s="73">
        <v>0.0</v>
      </c>
      <c r="AU47" s="73">
        <v>0.0</v>
      </c>
      <c r="AV47" s="13">
        <f t="shared" si="14"/>
        <v>88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0.0</v>
      </c>
      <c r="G48" s="73">
        <v>1.0</v>
      </c>
      <c r="H48" s="73">
        <v>2.0</v>
      </c>
      <c r="I48" s="73">
        <v>3.0</v>
      </c>
      <c r="J48" s="73">
        <v>2.0</v>
      </c>
      <c r="K48" s="73">
        <v>2.0</v>
      </c>
      <c r="L48" s="73">
        <v>0.0</v>
      </c>
      <c r="M48" s="73">
        <v>2.0</v>
      </c>
      <c r="N48" s="73">
        <v>1.0</v>
      </c>
      <c r="O48" s="73">
        <v>1.0</v>
      </c>
      <c r="P48" s="73">
        <v>1.0</v>
      </c>
      <c r="Q48" s="73">
        <v>0.0</v>
      </c>
      <c r="R48" s="73">
        <v>1.0</v>
      </c>
      <c r="S48" s="73">
        <v>0.0</v>
      </c>
      <c r="T48" s="73">
        <v>1.0</v>
      </c>
      <c r="U48" s="73">
        <v>1.0</v>
      </c>
      <c r="V48" s="73">
        <v>2.0</v>
      </c>
      <c r="W48" s="73">
        <v>1.0</v>
      </c>
      <c r="X48" s="73">
        <v>0.0</v>
      </c>
      <c r="Y48" s="73">
        <v>1.0</v>
      </c>
      <c r="Z48" s="73">
        <v>0.0</v>
      </c>
      <c r="AA48" s="73">
        <v>3.0</v>
      </c>
      <c r="AB48" s="73">
        <v>1.0</v>
      </c>
      <c r="AC48" s="73">
        <v>1.0</v>
      </c>
      <c r="AD48" s="73">
        <v>0.0</v>
      </c>
      <c r="AE48" s="73">
        <v>0.0</v>
      </c>
      <c r="AF48" s="73">
        <v>1.0</v>
      </c>
      <c r="AG48" s="73">
        <v>0.0</v>
      </c>
      <c r="AH48" s="73">
        <v>0.0</v>
      </c>
      <c r="AI48" s="73">
        <v>0.0</v>
      </c>
      <c r="AJ48" s="73">
        <v>0.0</v>
      </c>
      <c r="AK48" s="73">
        <v>0.0</v>
      </c>
      <c r="AL48" s="73">
        <v>1.0</v>
      </c>
      <c r="AM48" s="73">
        <v>0.0</v>
      </c>
      <c r="AN48" s="73">
        <v>0.0</v>
      </c>
      <c r="AO48" s="73">
        <v>0.0</v>
      </c>
      <c r="AP48" s="73">
        <v>0.0</v>
      </c>
      <c r="AQ48" s="73">
        <v>0.0</v>
      </c>
      <c r="AR48" s="73">
        <v>0.0</v>
      </c>
      <c r="AS48" s="73">
        <v>0.0</v>
      </c>
      <c r="AT48" s="73">
        <v>0.0</v>
      </c>
      <c r="AU48" s="73">
        <v>0.0</v>
      </c>
      <c r="AV48" s="13">
        <f t="shared" si="14"/>
        <v>29</v>
      </c>
    </row>
    <row r="49" ht="12.75" customHeight="1">
      <c r="A49" s="18"/>
      <c r="B49" s="49"/>
      <c r="C49" s="50" t="s">
        <v>43</v>
      </c>
      <c r="D49" s="51"/>
      <c r="E49" s="73">
        <v>0.0</v>
      </c>
      <c r="F49" s="73">
        <v>0.0</v>
      </c>
      <c r="G49" s="73">
        <v>0.0</v>
      </c>
      <c r="H49" s="73">
        <v>0.0</v>
      </c>
      <c r="I49" s="73">
        <v>2.0</v>
      </c>
      <c r="J49" s="73">
        <v>1.0</v>
      </c>
      <c r="K49" s="73">
        <v>2.0</v>
      </c>
      <c r="L49" s="73">
        <v>2.0</v>
      </c>
      <c r="M49" s="73">
        <v>0.0</v>
      </c>
      <c r="N49" s="73">
        <v>2.0</v>
      </c>
      <c r="O49" s="73">
        <v>0.0</v>
      </c>
      <c r="P49" s="73">
        <v>0.0</v>
      </c>
      <c r="Q49" s="73">
        <v>0.0</v>
      </c>
      <c r="R49" s="73">
        <v>0.0</v>
      </c>
      <c r="S49" s="73">
        <v>1.0</v>
      </c>
      <c r="T49" s="73">
        <v>2.0</v>
      </c>
      <c r="U49" s="73">
        <v>1.0</v>
      </c>
      <c r="V49" s="73">
        <v>1.0</v>
      </c>
      <c r="W49" s="73">
        <v>1.0</v>
      </c>
      <c r="X49" s="73">
        <v>1.0</v>
      </c>
      <c r="Y49" s="73">
        <v>3.0</v>
      </c>
      <c r="Z49" s="73">
        <v>0.0</v>
      </c>
      <c r="AA49" s="73">
        <v>1.0</v>
      </c>
      <c r="AB49" s="73">
        <v>0.0</v>
      </c>
      <c r="AC49" s="73">
        <v>1.0</v>
      </c>
      <c r="AD49" s="73">
        <v>2.0</v>
      </c>
      <c r="AE49" s="73">
        <v>4.0</v>
      </c>
      <c r="AF49" s="73">
        <v>1.0</v>
      </c>
      <c r="AG49" s="73">
        <v>1.0</v>
      </c>
      <c r="AH49" s="73">
        <v>0.0</v>
      </c>
      <c r="AI49" s="73">
        <v>0.0</v>
      </c>
      <c r="AJ49" s="73">
        <v>1.0</v>
      </c>
      <c r="AK49" s="73">
        <v>1.0</v>
      </c>
      <c r="AL49" s="73">
        <v>2.0</v>
      </c>
      <c r="AM49" s="73">
        <v>1.0</v>
      </c>
      <c r="AN49" s="73">
        <v>0.0</v>
      </c>
      <c r="AO49" s="73">
        <v>0.0</v>
      </c>
      <c r="AP49" s="73">
        <v>0.0</v>
      </c>
      <c r="AQ49" s="73">
        <v>0.0</v>
      </c>
      <c r="AR49" s="73">
        <v>0.0</v>
      </c>
      <c r="AS49" s="73">
        <v>0.0</v>
      </c>
      <c r="AT49" s="73">
        <v>0.0</v>
      </c>
      <c r="AU49" s="73">
        <v>0.0</v>
      </c>
      <c r="AV49" s="13">
        <f t="shared" si="14"/>
        <v>34</v>
      </c>
    </row>
    <row r="50" ht="12.75" customHeight="1">
      <c r="A50" s="18"/>
      <c r="B50" s="49"/>
      <c r="C50" s="50" t="s">
        <v>44</v>
      </c>
      <c r="D50" s="51"/>
      <c r="E50" s="73">
        <v>0.0</v>
      </c>
      <c r="F50" s="73">
        <v>3.0</v>
      </c>
      <c r="G50" s="73">
        <v>1.0</v>
      </c>
      <c r="H50" s="73">
        <v>2.0</v>
      </c>
      <c r="I50" s="73">
        <v>1.0</v>
      </c>
      <c r="J50" s="73">
        <v>0.0</v>
      </c>
      <c r="K50" s="73">
        <v>2.0</v>
      </c>
      <c r="L50" s="73">
        <v>2.0</v>
      </c>
      <c r="M50" s="73">
        <v>0.0</v>
      </c>
      <c r="N50" s="73">
        <v>0.0</v>
      </c>
      <c r="O50" s="73">
        <v>2.0</v>
      </c>
      <c r="P50" s="73">
        <v>1.0</v>
      </c>
      <c r="Q50" s="73">
        <v>0.0</v>
      </c>
      <c r="R50" s="73">
        <v>3.0</v>
      </c>
      <c r="S50" s="73">
        <v>0.0</v>
      </c>
      <c r="T50" s="73">
        <v>0.0</v>
      </c>
      <c r="U50" s="73">
        <v>0.0</v>
      </c>
      <c r="V50" s="73">
        <v>3.0</v>
      </c>
      <c r="W50" s="73">
        <v>4.0</v>
      </c>
      <c r="X50" s="73">
        <v>5.0</v>
      </c>
      <c r="Y50" s="73">
        <v>1.0</v>
      </c>
      <c r="Z50" s="73">
        <v>1.0</v>
      </c>
      <c r="AA50" s="73">
        <v>1.0</v>
      </c>
      <c r="AB50" s="73">
        <v>1.0</v>
      </c>
      <c r="AC50" s="73">
        <v>0.0</v>
      </c>
      <c r="AD50" s="73">
        <v>0.0</v>
      </c>
      <c r="AE50" s="73">
        <v>1.0</v>
      </c>
      <c r="AF50" s="73">
        <v>0.0</v>
      </c>
      <c r="AG50" s="73">
        <v>0.0</v>
      </c>
      <c r="AH50" s="73">
        <v>1.0</v>
      </c>
      <c r="AI50" s="73">
        <v>0.0</v>
      </c>
      <c r="AJ50" s="73">
        <v>0.0</v>
      </c>
      <c r="AK50" s="73">
        <v>1.0</v>
      </c>
      <c r="AL50" s="73">
        <v>0.0</v>
      </c>
      <c r="AM50" s="73">
        <v>0.0</v>
      </c>
      <c r="AN50" s="73">
        <v>0.0</v>
      </c>
      <c r="AO50" s="73">
        <v>0.0</v>
      </c>
      <c r="AP50" s="73">
        <v>0.0</v>
      </c>
      <c r="AQ50" s="73">
        <v>0.0</v>
      </c>
      <c r="AR50" s="73">
        <v>0.0</v>
      </c>
      <c r="AS50" s="73">
        <v>0.0</v>
      </c>
      <c r="AT50" s="73">
        <v>1.0</v>
      </c>
      <c r="AU50" s="73">
        <v>0.0</v>
      </c>
      <c r="AV50" s="13">
        <f t="shared" si="14"/>
        <v>37</v>
      </c>
    </row>
    <row r="51" ht="12.75" customHeight="1">
      <c r="A51" s="18"/>
      <c r="B51" s="49"/>
      <c r="C51" s="50" t="s">
        <v>45</v>
      </c>
      <c r="D51" s="51"/>
      <c r="E51" s="73">
        <v>1.0</v>
      </c>
      <c r="F51" s="73">
        <v>0.0</v>
      </c>
      <c r="G51" s="73">
        <v>1.0</v>
      </c>
      <c r="H51" s="73">
        <v>1.0</v>
      </c>
      <c r="I51" s="73">
        <v>3.0</v>
      </c>
      <c r="J51" s="19"/>
      <c r="K51" s="73">
        <v>0.0</v>
      </c>
      <c r="L51" s="73">
        <v>0.0</v>
      </c>
      <c r="M51" s="73">
        <v>1.0</v>
      </c>
      <c r="N51" s="73">
        <v>1.0</v>
      </c>
      <c r="O51" s="73">
        <v>0.0</v>
      </c>
      <c r="P51" s="73">
        <v>0.0</v>
      </c>
      <c r="Q51" s="73">
        <v>0.0</v>
      </c>
      <c r="R51" s="73">
        <v>0.0</v>
      </c>
      <c r="S51" s="73">
        <v>0.0</v>
      </c>
      <c r="T51" s="73">
        <v>0.0</v>
      </c>
      <c r="U51" s="73">
        <v>0.0</v>
      </c>
      <c r="V51" s="73">
        <v>0.0</v>
      </c>
      <c r="W51" s="73">
        <v>1.0</v>
      </c>
      <c r="X51" s="73">
        <v>1.0</v>
      </c>
      <c r="Y51" s="73">
        <v>0.0</v>
      </c>
      <c r="Z51" s="73">
        <v>2.0</v>
      </c>
      <c r="AA51" s="73">
        <v>3.0</v>
      </c>
      <c r="AB51" s="73">
        <v>0.0</v>
      </c>
      <c r="AC51" s="73">
        <v>0.0</v>
      </c>
      <c r="AD51" s="73">
        <v>0.0</v>
      </c>
      <c r="AE51" s="73">
        <v>0.0</v>
      </c>
      <c r="AF51" s="73">
        <v>1.0</v>
      </c>
      <c r="AG51" s="73">
        <v>0.0</v>
      </c>
      <c r="AH51" s="73">
        <v>0.0</v>
      </c>
      <c r="AI51" s="73">
        <v>0.0</v>
      </c>
      <c r="AJ51" s="73">
        <v>0.0</v>
      </c>
      <c r="AK51" s="73">
        <v>1.0</v>
      </c>
      <c r="AL51" s="73">
        <v>0.0</v>
      </c>
      <c r="AM51" s="73">
        <v>2.0</v>
      </c>
      <c r="AN51" s="73">
        <v>0.0</v>
      </c>
      <c r="AO51" s="73">
        <v>0.0</v>
      </c>
      <c r="AP51" s="73">
        <v>1.0</v>
      </c>
      <c r="AQ51" s="73">
        <v>0.0</v>
      </c>
      <c r="AR51" s="73">
        <v>0.0</v>
      </c>
      <c r="AS51" s="73">
        <v>0.0</v>
      </c>
      <c r="AT51" s="73">
        <v>0.0</v>
      </c>
      <c r="AU51" s="73">
        <v>0.0</v>
      </c>
      <c r="AV51" s="13">
        <f t="shared" si="14"/>
        <v>20</v>
      </c>
    </row>
    <row r="52" ht="12.75" customHeight="1">
      <c r="A52" s="18"/>
      <c r="B52" s="49"/>
      <c r="C52" s="50" t="s">
        <v>46</v>
      </c>
      <c r="D52" s="51"/>
      <c r="E52" s="73">
        <v>0.0</v>
      </c>
      <c r="F52" s="73">
        <v>0.0</v>
      </c>
      <c r="G52" s="73">
        <v>0.0</v>
      </c>
      <c r="H52" s="73">
        <v>0.0</v>
      </c>
      <c r="I52" s="73">
        <v>1.0</v>
      </c>
      <c r="J52" s="19"/>
      <c r="K52" s="73">
        <v>0.0</v>
      </c>
      <c r="L52" s="73">
        <v>1.0</v>
      </c>
      <c r="M52" s="73">
        <v>1.0</v>
      </c>
      <c r="N52" s="73">
        <v>0.0</v>
      </c>
      <c r="O52" s="73">
        <v>0.0</v>
      </c>
      <c r="P52" s="73">
        <v>0.0</v>
      </c>
      <c r="Q52" s="73">
        <v>0.0</v>
      </c>
      <c r="R52" s="73">
        <v>1.0</v>
      </c>
      <c r="S52" s="73">
        <v>0.0</v>
      </c>
      <c r="T52" s="73">
        <v>1.0</v>
      </c>
      <c r="U52" s="73">
        <v>0.0</v>
      </c>
      <c r="V52" s="73">
        <v>0.0</v>
      </c>
      <c r="W52" s="73">
        <v>0.0</v>
      </c>
      <c r="X52" s="73">
        <v>1.0</v>
      </c>
      <c r="Y52" s="73">
        <v>2.0</v>
      </c>
      <c r="Z52" s="73">
        <v>1.0</v>
      </c>
      <c r="AA52" s="73">
        <v>0.0</v>
      </c>
      <c r="AB52" s="73">
        <v>2.0</v>
      </c>
      <c r="AC52" s="73">
        <v>0.0</v>
      </c>
      <c r="AD52" s="73">
        <v>0.0</v>
      </c>
      <c r="AE52" s="73">
        <v>1.0</v>
      </c>
      <c r="AF52" s="73">
        <v>1.0</v>
      </c>
      <c r="AG52" s="73">
        <v>0.0</v>
      </c>
      <c r="AH52" s="73">
        <v>0.0</v>
      </c>
      <c r="AI52" s="73">
        <v>0.0</v>
      </c>
      <c r="AJ52" s="73">
        <v>0.0</v>
      </c>
      <c r="AK52" s="73">
        <v>0.0</v>
      </c>
      <c r="AL52" s="73">
        <v>0.0</v>
      </c>
      <c r="AM52" s="73">
        <v>0.0</v>
      </c>
      <c r="AN52" s="73">
        <v>0.0</v>
      </c>
      <c r="AO52" s="73">
        <v>0.0</v>
      </c>
      <c r="AP52" s="73">
        <v>0.0</v>
      </c>
      <c r="AQ52" s="73">
        <v>0.0</v>
      </c>
      <c r="AR52" s="73">
        <v>1.0</v>
      </c>
      <c r="AS52" s="73">
        <v>0.0</v>
      </c>
      <c r="AT52" s="73">
        <v>0.0</v>
      </c>
      <c r="AU52" s="73">
        <v>0.0</v>
      </c>
      <c r="AV52" s="13">
        <f t="shared" si="14"/>
        <v>14</v>
      </c>
    </row>
    <row r="53" ht="12.75" customHeight="1">
      <c r="A53" s="18"/>
      <c r="B53" s="49"/>
      <c r="C53" s="50" t="s">
        <v>47</v>
      </c>
      <c r="D53" s="56"/>
      <c r="E53" s="73">
        <v>0.0</v>
      </c>
      <c r="F53" s="73">
        <v>0.0</v>
      </c>
      <c r="G53" s="73">
        <v>0.0</v>
      </c>
      <c r="H53" s="73">
        <v>0.0</v>
      </c>
      <c r="I53" s="73">
        <v>0.0</v>
      </c>
      <c r="J53" s="19"/>
      <c r="K53" s="73">
        <v>0.0</v>
      </c>
      <c r="L53" s="73">
        <v>0.0</v>
      </c>
      <c r="M53" s="73">
        <v>1.0</v>
      </c>
      <c r="N53" s="73">
        <v>0.0</v>
      </c>
      <c r="O53" s="73">
        <v>1.0</v>
      </c>
      <c r="P53" s="73">
        <v>0.0</v>
      </c>
      <c r="Q53" s="73">
        <v>0.0</v>
      </c>
      <c r="R53" s="73">
        <v>0.0</v>
      </c>
      <c r="S53" s="73">
        <v>1.0</v>
      </c>
      <c r="T53" s="73">
        <v>0.0</v>
      </c>
      <c r="U53" s="73">
        <v>0.0</v>
      </c>
      <c r="V53" s="73">
        <v>0.0</v>
      </c>
      <c r="W53" s="73">
        <v>0.0</v>
      </c>
      <c r="X53" s="73">
        <v>0.0</v>
      </c>
      <c r="Y53" s="73">
        <v>0.0</v>
      </c>
      <c r="Z53" s="73">
        <v>0.0</v>
      </c>
      <c r="AA53" s="73">
        <v>0.0</v>
      </c>
      <c r="AB53" s="73">
        <v>0.0</v>
      </c>
      <c r="AC53" s="73">
        <v>0.0</v>
      </c>
      <c r="AD53" s="73">
        <v>1.0</v>
      </c>
      <c r="AE53" s="73">
        <v>1.0</v>
      </c>
      <c r="AF53" s="73">
        <v>0.0</v>
      </c>
      <c r="AG53" s="73">
        <v>0.0</v>
      </c>
      <c r="AH53" s="73">
        <v>0.0</v>
      </c>
      <c r="AI53" s="73">
        <v>0.0</v>
      </c>
      <c r="AJ53" s="73">
        <v>0.0</v>
      </c>
      <c r="AK53" s="73">
        <v>0.0</v>
      </c>
      <c r="AL53" s="73">
        <v>0.0</v>
      </c>
      <c r="AM53" s="73">
        <v>0.0</v>
      </c>
      <c r="AN53" s="73">
        <v>0.0</v>
      </c>
      <c r="AO53" s="73">
        <v>0.0</v>
      </c>
      <c r="AP53" s="73">
        <v>0.0</v>
      </c>
      <c r="AQ53" s="73">
        <v>0.0</v>
      </c>
      <c r="AR53" s="73">
        <v>0.0</v>
      </c>
      <c r="AS53" s="73">
        <v>0.0</v>
      </c>
      <c r="AT53" s="73">
        <v>0.0</v>
      </c>
      <c r="AU53" s="73">
        <v>0.0</v>
      </c>
      <c r="AV53" s="13">
        <f t="shared" si="14"/>
        <v>5</v>
      </c>
    </row>
    <row r="54" ht="12.75" customHeight="1">
      <c r="A54" s="18"/>
      <c r="B54" s="49"/>
      <c r="C54" s="50" t="s">
        <v>48</v>
      </c>
      <c r="D54" s="51"/>
      <c r="E54" s="73">
        <v>0.0</v>
      </c>
      <c r="F54" s="73">
        <v>0.0</v>
      </c>
      <c r="G54" s="73">
        <v>0.0</v>
      </c>
      <c r="H54" s="73">
        <v>0.0</v>
      </c>
      <c r="I54" s="73">
        <v>1.0</v>
      </c>
      <c r="J54" s="73">
        <v>0.0</v>
      </c>
      <c r="K54" s="73">
        <v>2.0</v>
      </c>
      <c r="L54" s="73">
        <v>0.0</v>
      </c>
      <c r="M54" s="73">
        <v>1.0</v>
      </c>
      <c r="N54" s="73">
        <v>0.0</v>
      </c>
      <c r="O54" s="73">
        <v>0.0</v>
      </c>
      <c r="P54" s="73">
        <v>0.0</v>
      </c>
      <c r="Q54" s="73">
        <v>0.0</v>
      </c>
      <c r="R54" s="73">
        <v>0.0</v>
      </c>
      <c r="S54" s="73">
        <v>0.0</v>
      </c>
      <c r="T54" s="73">
        <v>0.0</v>
      </c>
      <c r="U54" s="73">
        <v>0.0</v>
      </c>
      <c r="V54" s="73">
        <v>0.0</v>
      </c>
      <c r="W54" s="73">
        <v>1.0</v>
      </c>
      <c r="X54" s="73">
        <v>1.0</v>
      </c>
      <c r="Y54" s="73">
        <v>0.0</v>
      </c>
      <c r="Z54" s="73">
        <v>1.0</v>
      </c>
      <c r="AA54" s="73">
        <v>0.0</v>
      </c>
      <c r="AB54" s="73">
        <v>1.0</v>
      </c>
      <c r="AC54" s="73">
        <v>0.0</v>
      </c>
      <c r="AD54" s="73">
        <v>1.0</v>
      </c>
      <c r="AE54" s="73">
        <v>1.0</v>
      </c>
      <c r="AF54" s="73">
        <v>0.0</v>
      </c>
      <c r="AG54" s="73">
        <v>0.0</v>
      </c>
      <c r="AH54" s="73">
        <v>0.0</v>
      </c>
      <c r="AI54" s="73">
        <v>0.0</v>
      </c>
      <c r="AJ54" s="73">
        <v>0.0</v>
      </c>
      <c r="AK54" s="73">
        <v>0.0</v>
      </c>
      <c r="AL54" s="73">
        <v>0.0</v>
      </c>
      <c r="AM54" s="73">
        <v>1.0</v>
      </c>
      <c r="AN54" s="73">
        <v>0.0</v>
      </c>
      <c r="AO54" s="73">
        <v>0.0</v>
      </c>
      <c r="AP54" s="73">
        <v>0.0</v>
      </c>
      <c r="AQ54" s="73">
        <v>0.0</v>
      </c>
      <c r="AR54" s="73">
        <v>0.0</v>
      </c>
      <c r="AS54" s="73">
        <v>0.0</v>
      </c>
      <c r="AT54" s="73">
        <v>0.0</v>
      </c>
      <c r="AU54" s="73">
        <v>0.0</v>
      </c>
      <c r="AV54" s="13">
        <f t="shared" si="14"/>
        <v>11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V55" si="15">SUM(E45:E54)</f>
        <v>19</v>
      </c>
      <c r="F55" s="13">
        <f t="shared" si="15"/>
        <v>16</v>
      </c>
      <c r="G55" s="13">
        <f t="shared" si="15"/>
        <v>10</v>
      </c>
      <c r="H55" s="13">
        <f t="shared" si="15"/>
        <v>21</v>
      </c>
      <c r="I55" s="13">
        <f t="shared" si="15"/>
        <v>29</v>
      </c>
      <c r="J55" s="13">
        <f t="shared" si="15"/>
        <v>18</v>
      </c>
      <c r="K55" s="13">
        <f t="shared" si="15"/>
        <v>12</v>
      </c>
      <c r="L55" s="13">
        <f t="shared" si="15"/>
        <v>31</v>
      </c>
      <c r="M55" s="13">
        <f t="shared" si="15"/>
        <v>27</v>
      </c>
      <c r="N55" s="13">
        <f t="shared" si="15"/>
        <v>22</v>
      </c>
      <c r="O55" s="13">
        <f t="shared" si="15"/>
        <v>36</v>
      </c>
      <c r="P55" s="13">
        <f t="shared" si="15"/>
        <v>33</v>
      </c>
      <c r="Q55" s="13">
        <f t="shared" si="15"/>
        <v>18</v>
      </c>
      <c r="R55" s="13">
        <f t="shared" si="15"/>
        <v>111</v>
      </c>
      <c r="S55" s="13">
        <f t="shared" si="15"/>
        <v>30</v>
      </c>
      <c r="T55" s="13">
        <f t="shared" si="15"/>
        <v>109</v>
      </c>
      <c r="U55" s="13">
        <f t="shared" si="15"/>
        <v>44</v>
      </c>
      <c r="V55" s="13">
        <f t="shared" si="15"/>
        <v>123</v>
      </c>
      <c r="W55" s="13">
        <f t="shared" si="15"/>
        <v>166</v>
      </c>
      <c r="X55" s="13">
        <f t="shared" si="15"/>
        <v>147</v>
      </c>
      <c r="Y55" s="13">
        <f t="shared" si="15"/>
        <v>115</v>
      </c>
      <c r="Z55" s="13">
        <f t="shared" si="15"/>
        <v>68</v>
      </c>
      <c r="AA55" s="13">
        <f t="shared" si="15"/>
        <v>64</v>
      </c>
      <c r="AB55" s="13">
        <f t="shared" si="15"/>
        <v>43</v>
      </c>
      <c r="AC55" s="13">
        <f t="shared" si="15"/>
        <v>12</v>
      </c>
      <c r="AD55" s="13">
        <f t="shared" si="15"/>
        <v>21</v>
      </c>
      <c r="AE55" s="13">
        <f t="shared" si="15"/>
        <v>34</v>
      </c>
      <c r="AF55" s="13">
        <f t="shared" si="15"/>
        <v>25</v>
      </c>
      <c r="AG55" s="13">
        <f t="shared" si="15"/>
        <v>9</v>
      </c>
      <c r="AH55" s="13">
        <f t="shared" si="15"/>
        <v>14</v>
      </c>
      <c r="AI55" s="13">
        <f t="shared" si="15"/>
        <v>6</v>
      </c>
      <c r="AJ55" s="13">
        <f t="shared" si="15"/>
        <v>11</v>
      </c>
      <c r="AK55" s="13">
        <f t="shared" si="15"/>
        <v>27</v>
      </c>
      <c r="AL55" s="13">
        <f t="shared" si="15"/>
        <v>28</v>
      </c>
      <c r="AM55" s="13">
        <f t="shared" si="15"/>
        <v>35</v>
      </c>
      <c r="AN55" s="13">
        <f t="shared" si="15"/>
        <v>0</v>
      </c>
      <c r="AO55" s="13">
        <f t="shared" si="15"/>
        <v>0</v>
      </c>
      <c r="AP55" s="13">
        <f t="shared" si="15"/>
        <v>3</v>
      </c>
      <c r="AQ55" s="13">
        <f t="shared" si="15"/>
        <v>1</v>
      </c>
      <c r="AR55" s="13">
        <f t="shared" si="15"/>
        <v>1</v>
      </c>
      <c r="AS55" s="13">
        <f t="shared" si="15"/>
        <v>0</v>
      </c>
      <c r="AT55" s="13">
        <f t="shared" si="15"/>
        <v>2</v>
      </c>
      <c r="AU55" s="13">
        <f t="shared" si="15"/>
        <v>0</v>
      </c>
      <c r="AV55" s="13">
        <f t="shared" si="15"/>
        <v>1541</v>
      </c>
    </row>
    <row r="56" ht="12.75" customHeight="1">
      <c r="A56" s="45"/>
      <c r="B56" s="44"/>
      <c r="C56" s="44"/>
      <c r="D56" s="44"/>
      <c r="E56" s="44"/>
      <c r="AV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8.0</v>
      </c>
      <c r="F57" s="73">
        <v>2.0</v>
      </c>
      <c r="G57" s="73">
        <v>7.0</v>
      </c>
      <c r="H57" s="73">
        <v>7.0</v>
      </c>
      <c r="I57" s="73">
        <v>7.0</v>
      </c>
      <c r="J57" s="73">
        <v>11.0</v>
      </c>
      <c r="K57" s="73">
        <v>3.0</v>
      </c>
      <c r="L57" s="73">
        <v>10.0</v>
      </c>
      <c r="M57" s="73">
        <v>16.0</v>
      </c>
      <c r="N57" s="73">
        <v>19.0</v>
      </c>
      <c r="O57" s="73">
        <v>10.0</v>
      </c>
      <c r="P57" s="73">
        <v>9.0</v>
      </c>
      <c r="Q57" s="73">
        <v>10.0</v>
      </c>
      <c r="R57" s="73">
        <v>3.0</v>
      </c>
      <c r="S57" s="73">
        <v>8.0</v>
      </c>
      <c r="T57" s="73">
        <v>2.0</v>
      </c>
      <c r="U57" s="73">
        <v>9.0</v>
      </c>
      <c r="V57" s="73">
        <v>6.0</v>
      </c>
      <c r="W57" s="73">
        <v>1.0</v>
      </c>
      <c r="X57" s="73">
        <v>3.0</v>
      </c>
      <c r="Y57" s="73">
        <v>7.0</v>
      </c>
      <c r="Z57" s="73">
        <v>12.0</v>
      </c>
      <c r="AA57" s="73">
        <v>14.0</v>
      </c>
      <c r="AB57" s="73">
        <v>12.0</v>
      </c>
      <c r="AC57" s="73">
        <v>7.0</v>
      </c>
      <c r="AD57" s="73">
        <v>5.0</v>
      </c>
      <c r="AE57" s="73">
        <v>17.0</v>
      </c>
      <c r="AF57" s="73">
        <v>7.0</v>
      </c>
      <c r="AG57" s="73">
        <v>9.0</v>
      </c>
      <c r="AH57" s="73">
        <v>6.0</v>
      </c>
      <c r="AI57" s="73">
        <v>5.0</v>
      </c>
      <c r="AJ57" s="73">
        <v>9.0</v>
      </c>
      <c r="AK57" s="73">
        <v>16.0</v>
      </c>
      <c r="AL57" s="73">
        <v>8.0</v>
      </c>
      <c r="AM57" s="73">
        <v>14.0</v>
      </c>
      <c r="AN57" s="73">
        <v>0.0</v>
      </c>
      <c r="AO57" s="73">
        <v>0.0</v>
      </c>
      <c r="AP57" s="73">
        <v>0.0</v>
      </c>
      <c r="AQ57" s="73">
        <v>0.0</v>
      </c>
      <c r="AR57" s="73">
        <v>0.0</v>
      </c>
      <c r="AS57" s="73">
        <v>0.0</v>
      </c>
      <c r="AT57" s="73">
        <v>0.0</v>
      </c>
      <c r="AU57" s="73">
        <v>0.0</v>
      </c>
      <c r="AV57" s="13">
        <f t="shared" ref="AV57:AV66" si="16">SUM(E57:AU57)</f>
        <v>299</v>
      </c>
    </row>
    <row r="58" ht="12.75" customHeight="1">
      <c r="A58" s="30" t="s">
        <v>39</v>
      </c>
      <c r="B58" s="49"/>
      <c r="C58" s="50" t="s">
        <v>51</v>
      </c>
      <c r="D58" s="51"/>
      <c r="E58" s="73">
        <v>4.0</v>
      </c>
      <c r="F58" s="73">
        <v>14.0</v>
      </c>
      <c r="G58" s="73">
        <v>5.0</v>
      </c>
      <c r="H58" s="73">
        <v>8.0</v>
      </c>
      <c r="I58" s="73">
        <v>10.0</v>
      </c>
      <c r="J58" s="73">
        <v>5.0</v>
      </c>
      <c r="K58" s="73">
        <v>6.0</v>
      </c>
      <c r="L58" s="73">
        <v>9.0</v>
      </c>
      <c r="M58" s="73">
        <v>10.0</v>
      </c>
      <c r="N58" s="73">
        <v>8.0</v>
      </c>
      <c r="O58" s="73">
        <v>5.0</v>
      </c>
      <c r="P58" s="73">
        <v>2.0</v>
      </c>
      <c r="Q58" s="73">
        <v>6.0</v>
      </c>
      <c r="R58" s="73">
        <v>10.0</v>
      </c>
      <c r="S58" s="73">
        <v>2.0</v>
      </c>
      <c r="T58" s="73">
        <v>22.0</v>
      </c>
      <c r="U58" s="73">
        <v>37.0</v>
      </c>
      <c r="V58" s="73">
        <v>18.0</v>
      </c>
      <c r="W58" s="73">
        <v>16.0</v>
      </c>
      <c r="X58" s="73">
        <v>14.0</v>
      </c>
      <c r="Y58" s="73">
        <v>6.0</v>
      </c>
      <c r="Z58" s="73">
        <v>19.0</v>
      </c>
      <c r="AA58" s="73">
        <v>23.0</v>
      </c>
      <c r="AB58" s="73">
        <v>18.0</v>
      </c>
      <c r="AC58" s="73">
        <v>12.0</v>
      </c>
      <c r="AD58" s="73">
        <v>6.0</v>
      </c>
      <c r="AE58" s="73">
        <v>7.0</v>
      </c>
      <c r="AF58" s="73">
        <v>6.0</v>
      </c>
      <c r="AG58" s="73">
        <v>8.0</v>
      </c>
      <c r="AH58" s="73">
        <v>4.0</v>
      </c>
      <c r="AI58" s="73">
        <v>3.0</v>
      </c>
      <c r="AJ58" s="73">
        <v>2.0</v>
      </c>
      <c r="AK58" s="73">
        <v>4.0</v>
      </c>
      <c r="AL58" s="73">
        <v>12.0</v>
      </c>
      <c r="AM58" s="73">
        <v>7.0</v>
      </c>
      <c r="AN58" s="73">
        <v>0.0</v>
      </c>
      <c r="AO58" s="73">
        <v>0.0</v>
      </c>
      <c r="AP58" s="73">
        <v>0.0</v>
      </c>
      <c r="AQ58" s="73">
        <v>0.0</v>
      </c>
      <c r="AR58" s="73">
        <v>0.0</v>
      </c>
      <c r="AS58" s="73">
        <v>0.0</v>
      </c>
      <c r="AT58" s="73">
        <v>0.0</v>
      </c>
      <c r="AU58" s="73">
        <v>0.0</v>
      </c>
      <c r="AV58" s="13">
        <f t="shared" si="16"/>
        <v>348</v>
      </c>
    </row>
    <row r="59" ht="12.75" customHeight="1">
      <c r="A59" s="18"/>
      <c r="B59" s="49"/>
      <c r="C59" s="50" t="s">
        <v>52</v>
      </c>
      <c r="D59" s="51"/>
      <c r="E59" s="73">
        <v>23.0</v>
      </c>
      <c r="F59" s="73">
        <v>11.0</v>
      </c>
      <c r="G59" s="73">
        <v>8.0</v>
      </c>
      <c r="H59" s="73">
        <v>23.0</v>
      </c>
      <c r="I59" s="73">
        <v>7.0</v>
      </c>
      <c r="J59" s="73">
        <v>8.0</v>
      </c>
      <c r="K59" s="73">
        <v>96.0</v>
      </c>
      <c r="L59" s="73">
        <v>30.0</v>
      </c>
      <c r="M59" s="73">
        <v>33.0</v>
      </c>
      <c r="N59" s="73">
        <v>25.0</v>
      </c>
      <c r="O59" s="73">
        <v>14.0</v>
      </c>
      <c r="P59" s="73">
        <v>30.0</v>
      </c>
      <c r="Q59" s="73">
        <v>18.0</v>
      </c>
      <c r="R59" s="73">
        <v>4.0</v>
      </c>
      <c r="S59" s="73">
        <v>21.0</v>
      </c>
      <c r="T59" s="73">
        <v>2.0</v>
      </c>
      <c r="U59" s="73">
        <v>10.0</v>
      </c>
      <c r="V59" s="73">
        <v>3.0</v>
      </c>
      <c r="W59" s="73">
        <v>2.0</v>
      </c>
      <c r="X59" s="73">
        <v>2.0</v>
      </c>
      <c r="Y59" s="73">
        <v>11.0</v>
      </c>
      <c r="Z59" s="73">
        <v>37.0</v>
      </c>
      <c r="AA59" s="73">
        <v>30.0</v>
      </c>
      <c r="AB59" s="73">
        <v>26.0</v>
      </c>
      <c r="AC59" s="73">
        <v>21.0</v>
      </c>
      <c r="AD59" s="73">
        <v>23.0</v>
      </c>
      <c r="AE59" s="73">
        <v>40.0</v>
      </c>
      <c r="AF59" s="73">
        <v>16.0</v>
      </c>
      <c r="AG59" s="73">
        <v>59.0</v>
      </c>
      <c r="AH59" s="73">
        <v>13.0</v>
      </c>
      <c r="AI59" s="73">
        <v>78.0</v>
      </c>
      <c r="AJ59" s="73">
        <v>12.0</v>
      </c>
      <c r="AK59" s="73">
        <v>10.0</v>
      </c>
      <c r="AL59" s="73">
        <v>22.0</v>
      </c>
      <c r="AM59" s="73">
        <v>31.0</v>
      </c>
      <c r="AN59" s="73">
        <v>0.0</v>
      </c>
      <c r="AO59" s="73">
        <v>0.0</v>
      </c>
      <c r="AP59" s="73">
        <v>0.0</v>
      </c>
      <c r="AQ59" s="73">
        <v>0.0</v>
      </c>
      <c r="AR59" s="73">
        <v>0.0</v>
      </c>
      <c r="AS59" s="73">
        <v>0.0</v>
      </c>
      <c r="AT59" s="73">
        <v>0.0</v>
      </c>
      <c r="AU59" s="73">
        <v>0.0</v>
      </c>
      <c r="AV59" s="13">
        <f t="shared" si="16"/>
        <v>799</v>
      </c>
    </row>
    <row r="60" ht="12.75" customHeight="1">
      <c r="A60" s="18"/>
      <c r="B60" s="49"/>
      <c r="C60" s="50" t="s">
        <v>53</v>
      </c>
      <c r="D60" s="51"/>
      <c r="E60" s="73">
        <v>0.0</v>
      </c>
      <c r="F60" s="73">
        <v>1.0</v>
      </c>
      <c r="G60" s="73">
        <v>2.0</v>
      </c>
      <c r="H60" s="73">
        <v>4.0</v>
      </c>
      <c r="I60" s="73">
        <v>1.0</v>
      </c>
      <c r="J60" s="73">
        <v>4.0</v>
      </c>
      <c r="K60" s="73">
        <v>6.0</v>
      </c>
      <c r="L60" s="73">
        <v>0.0</v>
      </c>
      <c r="M60" s="73">
        <v>2.0</v>
      </c>
      <c r="N60" s="73">
        <v>5.0</v>
      </c>
      <c r="O60" s="73">
        <v>2.0</v>
      </c>
      <c r="P60" s="73">
        <v>1.0</v>
      </c>
      <c r="Q60" s="73">
        <v>4.0</v>
      </c>
      <c r="R60" s="73">
        <v>1.0</v>
      </c>
      <c r="S60" s="73">
        <v>3.0</v>
      </c>
      <c r="T60" s="73">
        <v>0.0</v>
      </c>
      <c r="U60" s="73">
        <v>2.0</v>
      </c>
      <c r="V60" s="73">
        <v>0.0</v>
      </c>
      <c r="W60" s="73">
        <v>0.0</v>
      </c>
      <c r="X60" s="73">
        <v>1.0</v>
      </c>
      <c r="Y60" s="73">
        <v>0.0</v>
      </c>
      <c r="Z60" s="73">
        <v>2.0</v>
      </c>
      <c r="AA60" s="73">
        <v>3.0</v>
      </c>
      <c r="AB60" s="73">
        <v>1.0</v>
      </c>
      <c r="AC60" s="73">
        <v>0.0</v>
      </c>
      <c r="AD60" s="73">
        <v>2.0</v>
      </c>
      <c r="AE60" s="73">
        <v>2.0</v>
      </c>
      <c r="AF60" s="73">
        <v>1.0</v>
      </c>
      <c r="AG60" s="73">
        <v>1.0</v>
      </c>
      <c r="AH60" s="73">
        <v>0.0</v>
      </c>
      <c r="AI60" s="73">
        <v>2.0</v>
      </c>
      <c r="AJ60" s="73">
        <v>2.0</v>
      </c>
      <c r="AK60" s="73">
        <v>0.0</v>
      </c>
      <c r="AL60" s="73">
        <v>1.0</v>
      </c>
      <c r="AM60" s="73">
        <v>1.0</v>
      </c>
      <c r="AN60" s="73">
        <v>0.0</v>
      </c>
      <c r="AO60" s="73">
        <v>0.0</v>
      </c>
      <c r="AP60" s="73">
        <v>0.0</v>
      </c>
      <c r="AQ60" s="73">
        <v>0.0</v>
      </c>
      <c r="AR60" s="73">
        <v>0.0</v>
      </c>
      <c r="AS60" s="73">
        <v>0.0</v>
      </c>
      <c r="AT60" s="73">
        <v>0.0</v>
      </c>
      <c r="AU60" s="73">
        <v>0.0</v>
      </c>
      <c r="AV60" s="13">
        <f t="shared" si="16"/>
        <v>57</v>
      </c>
    </row>
    <row r="61" ht="12.75" customHeight="1">
      <c r="A61" s="18"/>
      <c r="B61" s="49"/>
      <c r="C61" s="50" t="s">
        <v>54</v>
      </c>
      <c r="D61" s="51"/>
      <c r="E61" s="73">
        <v>1.0</v>
      </c>
      <c r="F61" s="73">
        <v>0.0</v>
      </c>
      <c r="G61" s="73">
        <v>1.0</v>
      </c>
      <c r="H61" s="73">
        <v>2.0</v>
      </c>
      <c r="I61" s="73">
        <v>2.0</v>
      </c>
      <c r="J61" s="73">
        <v>0.0</v>
      </c>
      <c r="K61" s="73">
        <v>2.0</v>
      </c>
      <c r="L61" s="73">
        <v>7.0</v>
      </c>
      <c r="M61" s="73">
        <v>5.0</v>
      </c>
      <c r="N61" s="73">
        <v>1.0</v>
      </c>
      <c r="O61" s="73">
        <v>3.0</v>
      </c>
      <c r="P61" s="73">
        <v>1.0</v>
      </c>
      <c r="Q61" s="73">
        <v>1.0</v>
      </c>
      <c r="R61" s="73">
        <v>0.0</v>
      </c>
      <c r="S61" s="73">
        <v>0.0</v>
      </c>
      <c r="T61" s="73">
        <v>4.0</v>
      </c>
      <c r="U61" s="73">
        <v>5.0</v>
      </c>
      <c r="V61" s="73">
        <v>2.0</v>
      </c>
      <c r="W61" s="73">
        <v>1.0</v>
      </c>
      <c r="X61" s="73">
        <v>0.0</v>
      </c>
      <c r="Y61" s="73">
        <v>3.0</v>
      </c>
      <c r="Z61" s="73">
        <v>4.0</v>
      </c>
      <c r="AA61" s="73">
        <v>2.0</v>
      </c>
      <c r="AB61" s="73">
        <v>3.0</v>
      </c>
      <c r="AC61" s="73">
        <v>28.0</v>
      </c>
      <c r="AD61" s="73">
        <v>22.0</v>
      </c>
      <c r="AE61" s="73">
        <v>0.0</v>
      </c>
      <c r="AF61" s="73">
        <v>2.0</v>
      </c>
      <c r="AG61" s="73">
        <v>13.0</v>
      </c>
      <c r="AH61" s="73">
        <v>9.0</v>
      </c>
      <c r="AI61" s="73">
        <v>2.0</v>
      </c>
      <c r="AJ61" s="73">
        <v>10.0</v>
      </c>
      <c r="AK61" s="73">
        <v>3.0</v>
      </c>
      <c r="AL61" s="73">
        <v>74.0</v>
      </c>
      <c r="AM61" s="73">
        <v>5.0</v>
      </c>
      <c r="AN61" s="73">
        <v>0.0</v>
      </c>
      <c r="AO61" s="73">
        <v>0.0</v>
      </c>
      <c r="AP61" s="73">
        <v>0.0</v>
      </c>
      <c r="AQ61" s="73">
        <v>0.0</v>
      </c>
      <c r="AR61" s="73">
        <v>0.0</v>
      </c>
      <c r="AS61" s="73">
        <v>0.0</v>
      </c>
      <c r="AT61" s="73">
        <v>0.0</v>
      </c>
      <c r="AU61" s="73">
        <v>0.0</v>
      </c>
      <c r="AV61" s="13">
        <f t="shared" si="16"/>
        <v>218</v>
      </c>
    </row>
    <row r="62" ht="12.75" customHeight="1">
      <c r="A62" s="18"/>
      <c r="B62" s="49"/>
      <c r="C62" s="50" t="s">
        <v>55</v>
      </c>
      <c r="D62" s="51"/>
      <c r="E62" s="73">
        <v>0.0</v>
      </c>
      <c r="F62" s="73">
        <v>2.0</v>
      </c>
      <c r="G62" s="73">
        <v>1.0</v>
      </c>
      <c r="H62" s="73">
        <v>1.0</v>
      </c>
      <c r="I62" s="73">
        <v>0.0</v>
      </c>
      <c r="J62" s="73">
        <v>1.0</v>
      </c>
      <c r="K62" s="73">
        <v>2.0</v>
      </c>
      <c r="L62" s="73">
        <v>3.0</v>
      </c>
      <c r="M62" s="73">
        <v>2.0</v>
      </c>
      <c r="N62" s="73">
        <v>2.0</v>
      </c>
      <c r="O62" s="73">
        <v>4.0</v>
      </c>
      <c r="P62" s="73">
        <v>1.0</v>
      </c>
      <c r="Q62" s="73">
        <v>0.0</v>
      </c>
      <c r="R62" s="73">
        <v>0.0</v>
      </c>
      <c r="S62" s="73">
        <v>4.0</v>
      </c>
      <c r="T62" s="73">
        <v>1.0</v>
      </c>
      <c r="U62" s="73">
        <v>1.0</v>
      </c>
      <c r="V62" s="73">
        <v>0.0</v>
      </c>
      <c r="W62" s="73">
        <v>0.0</v>
      </c>
      <c r="X62" s="73">
        <v>1.0</v>
      </c>
      <c r="Y62" s="73">
        <v>2.0</v>
      </c>
      <c r="Z62" s="73">
        <v>1.0</v>
      </c>
      <c r="AA62" s="73">
        <v>0.0</v>
      </c>
      <c r="AB62" s="73">
        <v>2.0</v>
      </c>
      <c r="AC62" s="73">
        <v>1.0</v>
      </c>
      <c r="AD62" s="73">
        <v>2.0</v>
      </c>
      <c r="AE62" s="73">
        <v>0.0</v>
      </c>
      <c r="AF62" s="73">
        <v>1.0</v>
      </c>
      <c r="AG62" s="73">
        <v>0.0</v>
      </c>
      <c r="AH62" s="73">
        <v>0.0</v>
      </c>
      <c r="AI62" s="73">
        <v>0.0</v>
      </c>
      <c r="AJ62" s="73">
        <v>0.0</v>
      </c>
      <c r="AK62" s="73">
        <v>2.0</v>
      </c>
      <c r="AL62" s="73">
        <v>0.0</v>
      </c>
      <c r="AM62" s="73">
        <v>0.0</v>
      </c>
      <c r="AN62" s="73">
        <v>0.0</v>
      </c>
      <c r="AO62" s="73">
        <v>0.0</v>
      </c>
      <c r="AP62" s="73">
        <v>0.0</v>
      </c>
      <c r="AQ62" s="73">
        <v>0.0</v>
      </c>
      <c r="AR62" s="73">
        <v>0.0</v>
      </c>
      <c r="AS62" s="73">
        <v>0.0</v>
      </c>
      <c r="AT62" s="73">
        <v>0.0</v>
      </c>
      <c r="AU62" s="73">
        <v>0.0</v>
      </c>
      <c r="AV62" s="13">
        <f t="shared" si="16"/>
        <v>37</v>
      </c>
    </row>
    <row r="63" ht="12.75" customHeight="1">
      <c r="A63" s="18"/>
      <c r="B63" s="49"/>
      <c r="C63" s="50" t="s">
        <v>56</v>
      </c>
      <c r="D63" s="51"/>
      <c r="E63" s="73">
        <v>1.0</v>
      </c>
      <c r="F63" s="73">
        <v>1.0</v>
      </c>
      <c r="G63" s="73">
        <v>0.0</v>
      </c>
      <c r="H63" s="73">
        <v>0.0</v>
      </c>
      <c r="I63" s="73">
        <v>2.0</v>
      </c>
      <c r="J63" s="73">
        <v>0.0</v>
      </c>
      <c r="K63" s="73">
        <v>0.0</v>
      </c>
      <c r="L63" s="73">
        <v>1.0</v>
      </c>
      <c r="M63" s="73">
        <v>2.0</v>
      </c>
      <c r="N63" s="73">
        <v>0.0</v>
      </c>
      <c r="O63" s="73">
        <v>0.0</v>
      </c>
      <c r="P63" s="73">
        <v>0.0</v>
      </c>
      <c r="Q63" s="73">
        <v>1.0</v>
      </c>
      <c r="R63" s="73">
        <v>0.0</v>
      </c>
      <c r="S63" s="73">
        <v>0.0</v>
      </c>
      <c r="T63" s="73">
        <v>0.0</v>
      </c>
      <c r="U63" s="73">
        <v>0.0</v>
      </c>
      <c r="V63" s="73">
        <v>0.0</v>
      </c>
      <c r="W63" s="73">
        <v>0.0</v>
      </c>
      <c r="X63" s="73">
        <v>0.0</v>
      </c>
      <c r="Y63" s="73">
        <v>0.0</v>
      </c>
      <c r="Z63" s="73">
        <v>1.0</v>
      </c>
      <c r="AA63" s="73">
        <v>0.0</v>
      </c>
      <c r="AB63" s="73">
        <v>0.0</v>
      </c>
      <c r="AC63" s="73">
        <v>1.0</v>
      </c>
      <c r="AD63" s="73">
        <v>0.0</v>
      </c>
      <c r="AE63" s="73">
        <v>0.0</v>
      </c>
      <c r="AF63" s="73">
        <v>0.0</v>
      </c>
      <c r="AG63" s="73">
        <v>0.0</v>
      </c>
      <c r="AH63" s="73">
        <v>0.0</v>
      </c>
      <c r="AI63" s="73">
        <v>0.0</v>
      </c>
      <c r="AJ63" s="73">
        <v>0.0</v>
      </c>
      <c r="AK63" s="73">
        <v>0.0</v>
      </c>
      <c r="AL63" s="73">
        <v>1.0</v>
      </c>
      <c r="AM63" s="73">
        <v>0.0</v>
      </c>
      <c r="AN63" s="73">
        <v>0.0</v>
      </c>
      <c r="AO63" s="73">
        <v>0.0</v>
      </c>
      <c r="AP63" s="73">
        <v>0.0</v>
      </c>
      <c r="AQ63" s="73">
        <v>0.0</v>
      </c>
      <c r="AR63" s="73">
        <v>0.0</v>
      </c>
      <c r="AS63" s="73">
        <v>0.0</v>
      </c>
      <c r="AT63" s="73">
        <v>0.0</v>
      </c>
      <c r="AU63" s="73">
        <v>0.0</v>
      </c>
      <c r="AV63" s="13">
        <f t="shared" si="16"/>
        <v>11</v>
      </c>
    </row>
    <row r="64" ht="12.75" customHeight="1">
      <c r="A64" s="18"/>
      <c r="B64" s="49"/>
      <c r="C64" s="50" t="s">
        <v>57</v>
      </c>
      <c r="D64" s="51"/>
      <c r="E64" s="73">
        <v>0.0</v>
      </c>
      <c r="F64" s="73">
        <v>0.0</v>
      </c>
      <c r="G64" s="73">
        <v>0.0</v>
      </c>
      <c r="H64" s="73">
        <v>0.0</v>
      </c>
      <c r="I64" s="73">
        <v>0.0</v>
      </c>
      <c r="J64" s="73">
        <v>1.0</v>
      </c>
      <c r="K64" s="73">
        <v>0.0</v>
      </c>
      <c r="L64" s="73">
        <v>0.0</v>
      </c>
      <c r="M64" s="73">
        <v>0.0</v>
      </c>
      <c r="N64" s="73">
        <v>0.0</v>
      </c>
      <c r="O64" s="73">
        <v>1.0</v>
      </c>
      <c r="P64" s="73">
        <v>1.0</v>
      </c>
      <c r="Q64" s="73">
        <v>0.0</v>
      </c>
      <c r="R64" s="73">
        <v>1.0</v>
      </c>
      <c r="S64" s="73">
        <v>0.0</v>
      </c>
      <c r="T64" s="73">
        <v>0.0</v>
      </c>
      <c r="U64" s="73">
        <v>1.0</v>
      </c>
      <c r="V64" s="73">
        <v>0.0</v>
      </c>
      <c r="W64" s="73">
        <v>0.0</v>
      </c>
      <c r="X64" s="73">
        <v>0.0</v>
      </c>
      <c r="Y64" s="73">
        <v>0.0</v>
      </c>
      <c r="Z64" s="73">
        <v>0.0</v>
      </c>
      <c r="AA64" s="73">
        <v>0.0</v>
      </c>
      <c r="AB64" s="73">
        <v>0.0</v>
      </c>
      <c r="AC64" s="73">
        <v>1.0</v>
      </c>
      <c r="AD64" s="73">
        <v>0.0</v>
      </c>
      <c r="AE64" s="73">
        <v>0.0</v>
      </c>
      <c r="AF64" s="73">
        <v>0.0</v>
      </c>
      <c r="AG64" s="73">
        <v>0.0</v>
      </c>
      <c r="AH64" s="73">
        <v>0.0</v>
      </c>
      <c r="AI64" s="73">
        <v>0.0</v>
      </c>
      <c r="AJ64" s="73">
        <v>0.0</v>
      </c>
      <c r="AK64" s="73">
        <v>0.0</v>
      </c>
      <c r="AL64" s="73">
        <v>0.0</v>
      </c>
      <c r="AM64" s="73">
        <v>0.0</v>
      </c>
      <c r="AN64" s="73">
        <v>0.0</v>
      </c>
      <c r="AO64" s="73">
        <v>0.0</v>
      </c>
      <c r="AP64" s="73">
        <v>0.0</v>
      </c>
      <c r="AQ64" s="73">
        <v>0.0</v>
      </c>
      <c r="AR64" s="73">
        <v>0.0</v>
      </c>
      <c r="AS64" s="73">
        <v>0.0</v>
      </c>
      <c r="AT64" s="73">
        <v>0.0</v>
      </c>
      <c r="AU64" s="73">
        <v>0.0</v>
      </c>
      <c r="AV64" s="13">
        <f t="shared" si="16"/>
        <v>6</v>
      </c>
    </row>
    <row r="65" ht="12.75" customHeight="1">
      <c r="A65" s="18"/>
      <c r="B65" s="49"/>
      <c r="C65" s="50" t="s">
        <v>58</v>
      </c>
      <c r="D65" s="51"/>
      <c r="E65" s="73">
        <v>0.0</v>
      </c>
      <c r="F65" s="73">
        <v>0.0</v>
      </c>
      <c r="G65" s="73">
        <v>0.0</v>
      </c>
      <c r="H65" s="73">
        <v>0.0</v>
      </c>
      <c r="I65" s="73">
        <v>0.0</v>
      </c>
      <c r="J65" s="73">
        <v>0.0</v>
      </c>
      <c r="K65" s="73">
        <v>0.0</v>
      </c>
      <c r="L65" s="73">
        <v>0.0</v>
      </c>
      <c r="M65" s="73">
        <v>1.0</v>
      </c>
      <c r="N65" s="73">
        <v>1.0</v>
      </c>
      <c r="O65" s="73">
        <v>1.0</v>
      </c>
      <c r="P65" s="73">
        <v>0.0</v>
      </c>
      <c r="Q65" s="73">
        <v>0.0</v>
      </c>
      <c r="R65" s="73">
        <v>0.0</v>
      </c>
      <c r="S65" s="73">
        <v>0.0</v>
      </c>
      <c r="T65" s="73">
        <v>0.0</v>
      </c>
      <c r="U65" s="73">
        <v>0.0</v>
      </c>
      <c r="V65" s="73">
        <v>0.0</v>
      </c>
      <c r="W65" s="73">
        <v>0.0</v>
      </c>
      <c r="X65" s="73">
        <v>0.0</v>
      </c>
      <c r="Y65" s="73">
        <v>0.0</v>
      </c>
      <c r="Z65" s="73">
        <v>1.0</v>
      </c>
      <c r="AA65" s="73">
        <v>0.0</v>
      </c>
      <c r="AB65" s="73">
        <v>1.0</v>
      </c>
      <c r="AC65" s="73">
        <v>0.0</v>
      </c>
      <c r="AD65" s="73">
        <v>0.0</v>
      </c>
      <c r="AE65" s="73">
        <v>0.0</v>
      </c>
      <c r="AF65" s="73">
        <v>0.0</v>
      </c>
      <c r="AG65" s="73">
        <v>0.0</v>
      </c>
      <c r="AH65" s="73">
        <v>1.0</v>
      </c>
      <c r="AI65" s="73">
        <v>0.0</v>
      </c>
      <c r="AJ65" s="73">
        <v>0.0</v>
      </c>
      <c r="AK65" s="73">
        <v>0.0</v>
      </c>
      <c r="AL65" s="73">
        <v>0.0</v>
      </c>
      <c r="AM65" s="73">
        <v>0.0</v>
      </c>
      <c r="AN65" s="73">
        <v>0.0</v>
      </c>
      <c r="AO65" s="73">
        <v>0.0</v>
      </c>
      <c r="AP65" s="73">
        <v>0.0</v>
      </c>
      <c r="AQ65" s="73">
        <v>0.0</v>
      </c>
      <c r="AR65" s="73">
        <v>0.0</v>
      </c>
      <c r="AS65" s="73">
        <v>0.0</v>
      </c>
      <c r="AT65" s="73">
        <v>0.0</v>
      </c>
      <c r="AU65" s="73">
        <v>0.0</v>
      </c>
      <c r="AV65" s="13">
        <f t="shared" si="16"/>
        <v>6</v>
      </c>
    </row>
    <row r="66" ht="12.75" customHeight="1">
      <c r="A66" s="18"/>
      <c r="B66" s="49"/>
      <c r="C66" s="50" t="s">
        <v>59</v>
      </c>
      <c r="D66" s="51"/>
      <c r="E66" s="73">
        <v>1.0</v>
      </c>
      <c r="F66" s="73">
        <v>0.0</v>
      </c>
      <c r="G66" s="73">
        <v>2.0</v>
      </c>
      <c r="H66" s="73">
        <v>1.0</v>
      </c>
      <c r="I66" s="73">
        <v>1.0</v>
      </c>
      <c r="J66" s="73">
        <v>0.0</v>
      </c>
      <c r="K66" s="73">
        <v>1.0</v>
      </c>
      <c r="L66" s="73">
        <v>0.0</v>
      </c>
      <c r="M66" s="73">
        <v>2.0</v>
      </c>
      <c r="N66" s="73">
        <v>0.0</v>
      </c>
      <c r="O66" s="73">
        <v>0.0</v>
      </c>
      <c r="P66" s="73">
        <v>0.0</v>
      </c>
      <c r="Q66" s="73">
        <v>1.0</v>
      </c>
      <c r="R66" s="73">
        <v>0.0</v>
      </c>
      <c r="S66" s="73">
        <v>1.0</v>
      </c>
      <c r="T66" s="73">
        <v>0.0</v>
      </c>
      <c r="U66" s="73">
        <v>1.0</v>
      </c>
      <c r="V66" s="73">
        <v>0.0</v>
      </c>
      <c r="W66" s="73">
        <v>1.0</v>
      </c>
      <c r="X66" s="73">
        <v>0.0</v>
      </c>
      <c r="Y66" s="73">
        <v>1.0</v>
      </c>
      <c r="Z66" s="73">
        <v>1.0</v>
      </c>
      <c r="AA66" s="73">
        <v>0.0</v>
      </c>
      <c r="AB66" s="73">
        <v>0.0</v>
      </c>
      <c r="AC66" s="73">
        <v>0.0</v>
      </c>
      <c r="AD66" s="73">
        <v>1.0</v>
      </c>
      <c r="AE66" s="73">
        <v>1.0</v>
      </c>
      <c r="AF66" s="73">
        <v>1.0</v>
      </c>
      <c r="AG66" s="73">
        <v>0.0</v>
      </c>
      <c r="AH66" s="73">
        <v>0.0</v>
      </c>
      <c r="AI66" s="73">
        <v>0.0</v>
      </c>
      <c r="AJ66" s="73">
        <v>0.0</v>
      </c>
      <c r="AK66" s="73">
        <v>1.0</v>
      </c>
      <c r="AL66" s="73">
        <v>0.0</v>
      </c>
      <c r="AM66" s="73">
        <v>0.0</v>
      </c>
      <c r="AN66" s="73">
        <v>0.0</v>
      </c>
      <c r="AO66" s="73">
        <v>0.0</v>
      </c>
      <c r="AP66" s="73">
        <v>0.0</v>
      </c>
      <c r="AQ66" s="73">
        <v>0.0</v>
      </c>
      <c r="AR66" s="73">
        <v>0.0</v>
      </c>
      <c r="AS66" s="73">
        <v>0.0</v>
      </c>
      <c r="AT66" s="73">
        <v>0.0</v>
      </c>
      <c r="AU66" s="73">
        <v>0.0</v>
      </c>
      <c r="AV66" s="13">
        <f t="shared" si="16"/>
        <v>18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V67" si="17">SUM(E57:E66)</f>
        <v>38</v>
      </c>
      <c r="F67" s="13">
        <f t="shared" si="17"/>
        <v>31</v>
      </c>
      <c r="G67" s="13">
        <f t="shared" si="17"/>
        <v>26</v>
      </c>
      <c r="H67" s="13">
        <f t="shared" si="17"/>
        <v>46</v>
      </c>
      <c r="I67" s="13">
        <f t="shared" si="17"/>
        <v>30</v>
      </c>
      <c r="J67" s="13">
        <f t="shared" si="17"/>
        <v>30</v>
      </c>
      <c r="K67" s="13">
        <f t="shared" si="17"/>
        <v>116</v>
      </c>
      <c r="L67" s="13">
        <f t="shared" si="17"/>
        <v>60</v>
      </c>
      <c r="M67" s="13">
        <f t="shared" si="17"/>
        <v>73</v>
      </c>
      <c r="N67" s="13">
        <f t="shared" si="17"/>
        <v>61</v>
      </c>
      <c r="O67" s="13">
        <f t="shared" si="17"/>
        <v>40</v>
      </c>
      <c r="P67" s="13">
        <f t="shared" si="17"/>
        <v>45</v>
      </c>
      <c r="Q67" s="13">
        <f t="shared" si="17"/>
        <v>41</v>
      </c>
      <c r="R67" s="13">
        <f t="shared" si="17"/>
        <v>19</v>
      </c>
      <c r="S67" s="13">
        <f t="shared" si="17"/>
        <v>39</v>
      </c>
      <c r="T67" s="13">
        <f t="shared" si="17"/>
        <v>31</v>
      </c>
      <c r="U67" s="13">
        <f t="shared" si="17"/>
        <v>66</v>
      </c>
      <c r="V67" s="13">
        <f t="shared" si="17"/>
        <v>29</v>
      </c>
      <c r="W67" s="13">
        <f t="shared" si="17"/>
        <v>21</v>
      </c>
      <c r="X67" s="13">
        <f t="shared" si="17"/>
        <v>21</v>
      </c>
      <c r="Y67" s="13">
        <f t="shared" si="17"/>
        <v>30</v>
      </c>
      <c r="Z67" s="13">
        <f t="shared" si="17"/>
        <v>78</v>
      </c>
      <c r="AA67" s="13">
        <f t="shared" si="17"/>
        <v>72</v>
      </c>
      <c r="AB67" s="13">
        <f t="shared" si="17"/>
        <v>63</v>
      </c>
      <c r="AC67" s="13">
        <f t="shared" si="17"/>
        <v>71</v>
      </c>
      <c r="AD67" s="13">
        <f t="shared" si="17"/>
        <v>61</v>
      </c>
      <c r="AE67" s="13">
        <f t="shared" si="17"/>
        <v>67</v>
      </c>
      <c r="AF67" s="13">
        <f t="shared" si="17"/>
        <v>34</v>
      </c>
      <c r="AG67" s="13">
        <f t="shared" si="17"/>
        <v>90</v>
      </c>
      <c r="AH67" s="13">
        <f t="shared" si="17"/>
        <v>33</v>
      </c>
      <c r="AI67" s="13">
        <f t="shared" si="17"/>
        <v>90</v>
      </c>
      <c r="AJ67" s="13">
        <f t="shared" si="17"/>
        <v>35</v>
      </c>
      <c r="AK67" s="13">
        <f t="shared" si="17"/>
        <v>36</v>
      </c>
      <c r="AL67" s="13">
        <f t="shared" si="17"/>
        <v>118</v>
      </c>
      <c r="AM67" s="13">
        <f t="shared" si="17"/>
        <v>58</v>
      </c>
      <c r="AN67" s="13">
        <f t="shared" si="17"/>
        <v>0</v>
      </c>
      <c r="AO67" s="13">
        <f t="shared" si="17"/>
        <v>0</v>
      </c>
      <c r="AP67" s="13">
        <f t="shared" si="17"/>
        <v>0</v>
      </c>
      <c r="AQ67" s="13">
        <f t="shared" si="17"/>
        <v>0</v>
      </c>
      <c r="AR67" s="13">
        <f t="shared" si="17"/>
        <v>0</v>
      </c>
      <c r="AS67" s="13">
        <f t="shared" si="17"/>
        <v>0</v>
      </c>
      <c r="AT67" s="13">
        <f t="shared" si="17"/>
        <v>0</v>
      </c>
      <c r="AU67" s="13">
        <f t="shared" si="17"/>
        <v>0</v>
      </c>
      <c r="AV67" s="13">
        <f t="shared" si="17"/>
        <v>1799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30.0</v>
      </c>
      <c r="F69" s="73">
        <v>25.0</v>
      </c>
      <c r="G69" s="73">
        <v>33.0</v>
      </c>
      <c r="H69" s="73">
        <v>22.0</v>
      </c>
      <c r="I69" s="73">
        <v>26.0</v>
      </c>
      <c r="J69" s="73">
        <v>31.0</v>
      </c>
      <c r="K69" s="73">
        <v>4.0</v>
      </c>
      <c r="L69" s="73">
        <v>14.0</v>
      </c>
      <c r="M69" s="73">
        <v>13.0</v>
      </c>
      <c r="N69" s="73">
        <v>24.0</v>
      </c>
      <c r="O69" s="73">
        <v>15.0</v>
      </c>
      <c r="P69" s="73">
        <v>12.0</v>
      </c>
      <c r="Q69" s="73">
        <v>9.0</v>
      </c>
      <c r="R69" s="73">
        <v>5.0</v>
      </c>
      <c r="S69" s="73">
        <v>9.0</v>
      </c>
      <c r="T69" s="73">
        <v>10.0</v>
      </c>
      <c r="U69" s="73">
        <v>15.0</v>
      </c>
      <c r="V69" s="73">
        <v>2.0</v>
      </c>
      <c r="W69" s="73">
        <v>0.0</v>
      </c>
      <c r="X69" s="73">
        <v>2.0</v>
      </c>
      <c r="Y69" s="73">
        <v>3.0</v>
      </c>
      <c r="Z69" s="73">
        <v>5.0</v>
      </c>
      <c r="AA69" s="73">
        <v>12.0</v>
      </c>
      <c r="AB69" s="73">
        <v>36.0</v>
      </c>
      <c r="AC69" s="73">
        <v>13.0</v>
      </c>
      <c r="AD69" s="73">
        <v>19.0</v>
      </c>
      <c r="AE69" s="73">
        <v>16.0</v>
      </c>
      <c r="AF69" s="73">
        <v>26.0</v>
      </c>
      <c r="AG69" s="73">
        <v>12.0</v>
      </c>
      <c r="AH69" s="73">
        <v>26.0</v>
      </c>
      <c r="AI69" s="73">
        <v>15.0</v>
      </c>
      <c r="AJ69" s="73">
        <v>22.0</v>
      </c>
      <c r="AK69" s="73">
        <v>10.0</v>
      </c>
      <c r="AL69" s="73">
        <v>7.0</v>
      </c>
      <c r="AM69" s="73">
        <v>20.0</v>
      </c>
      <c r="AN69" s="73">
        <v>0.0</v>
      </c>
      <c r="AO69" s="73">
        <v>0.0</v>
      </c>
      <c r="AP69" s="73">
        <v>0.0</v>
      </c>
      <c r="AQ69" s="73">
        <v>0.0</v>
      </c>
      <c r="AR69" s="73">
        <v>0.0</v>
      </c>
      <c r="AS69" s="73">
        <v>0.0</v>
      </c>
      <c r="AT69" s="73">
        <v>0.0</v>
      </c>
      <c r="AU69" s="73">
        <v>0.0</v>
      </c>
      <c r="AV69" s="13">
        <f t="shared" ref="AV69:AV78" si="18">SUM(E69:AU69)</f>
        <v>543</v>
      </c>
    </row>
    <row r="70" ht="12.75" customHeight="1">
      <c r="A70" s="30" t="s">
        <v>39</v>
      </c>
      <c r="B70" s="49"/>
      <c r="C70" s="50" t="s">
        <v>61</v>
      </c>
      <c r="D70" s="51"/>
      <c r="E70" s="73">
        <v>24.0</v>
      </c>
      <c r="F70" s="73">
        <v>38.0</v>
      </c>
      <c r="G70" s="73">
        <v>21.0</v>
      </c>
      <c r="H70" s="73">
        <v>42.0</v>
      </c>
      <c r="I70" s="73">
        <v>15.0</v>
      </c>
      <c r="J70" s="73">
        <v>16.0</v>
      </c>
      <c r="K70" s="73">
        <v>5.0</v>
      </c>
      <c r="L70" s="73">
        <v>11.0</v>
      </c>
      <c r="M70" s="73">
        <v>0.0</v>
      </c>
      <c r="N70" s="73">
        <v>8.0</v>
      </c>
      <c r="O70" s="73">
        <v>10.0</v>
      </c>
      <c r="P70" s="73">
        <v>5.0</v>
      </c>
      <c r="Q70" s="73">
        <v>9.0</v>
      </c>
      <c r="R70" s="73">
        <v>2.0</v>
      </c>
      <c r="S70" s="73">
        <v>4.0</v>
      </c>
      <c r="T70" s="73">
        <v>2.0</v>
      </c>
      <c r="U70" s="73">
        <v>7.0</v>
      </c>
      <c r="V70" s="73">
        <v>1.0</v>
      </c>
      <c r="W70" s="73">
        <v>1.0</v>
      </c>
      <c r="X70" s="73">
        <v>2.0</v>
      </c>
      <c r="Y70" s="73">
        <v>2.0</v>
      </c>
      <c r="Z70" s="73">
        <v>1.0</v>
      </c>
      <c r="AA70" s="73">
        <v>4.0</v>
      </c>
      <c r="AB70" s="73">
        <v>5.0</v>
      </c>
      <c r="AC70" s="73">
        <v>3.0</v>
      </c>
      <c r="AD70" s="73">
        <v>4.0</v>
      </c>
      <c r="AE70" s="73">
        <v>9.0</v>
      </c>
      <c r="AF70" s="73">
        <v>9.0</v>
      </c>
      <c r="AG70" s="73">
        <v>14.0</v>
      </c>
      <c r="AH70" s="73">
        <v>17.0</v>
      </c>
      <c r="AI70" s="73">
        <v>18.0</v>
      </c>
      <c r="AJ70" s="73">
        <v>16.0</v>
      </c>
      <c r="AK70" s="73">
        <v>5.0</v>
      </c>
      <c r="AL70" s="73">
        <v>8.0</v>
      </c>
      <c r="AM70" s="73">
        <v>4.0</v>
      </c>
      <c r="AN70" s="73">
        <v>0.0</v>
      </c>
      <c r="AO70" s="73">
        <v>0.0</v>
      </c>
      <c r="AP70" s="73">
        <v>0.0</v>
      </c>
      <c r="AQ70" s="73">
        <v>0.0</v>
      </c>
      <c r="AR70" s="73">
        <v>0.0</v>
      </c>
      <c r="AS70" s="73">
        <v>0.0</v>
      </c>
      <c r="AT70" s="73">
        <v>0.0</v>
      </c>
      <c r="AU70" s="73">
        <v>0.0</v>
      </c>
      <c r="AV70" s="13">
        <f t="shared" si="18"/>
        <v>342</v>
      </c>
    </row>
    <row r="71" ht="12.75" customHeight="1">
      <c r="A71" s="18"/>
      <c r="B71" s="49"/>
      <c r="C71" s="50" t="s">
        <v>62</v>
      </c>
      <c r="D71" s="51"/>
      <c r="E71" s="73">
        <v>12.0</v>
      </c>
      <c r="F71" s="73">
        <v>43.0</v>
      </c>
      <c r="G71" s="73">
        <v>9.0</v>
      </c>
      <c r="H71" s="73">
        <v>19.0</v>
      </c>
      <c r="I71" s="73">
        <v>11.0</v>
      </c>
      <c r="J71" s="73">
        <v>5.0</v>
      </c>
      <c r="K71" s="73">
        <v>5.0</v>
      </c>
      <c r="L71" s="73">
        <v>5.0</v>
      </c>
      <c r="M71" s="73">
        <v>2.0</v>
      </c>
      <c r="N71" s="73">
        <v>8.0</v>
      </c>
      <c r="O71" s="73">
        <v>6.0</v>
      </c>
      <c r="P71" s="73">
        <v>4.0</v>
      </c>
      <c r="Q71" s="73">
        <v>5.0</v>
      </c>
      <c r="R71" s="73">
        <v>2.0</v>
      </c>
      <c r="S71" s="73">
        <v>4.0</v>
      </c>
      <c r="T71" s="73">
        <v>5.0</v>
      </c>
      <c r="U71" s="73">
        <v>5.0</v>
      </c>
      <c r="V71" s="73">
        <v>5.0</v>
      </c>
      <c r="W71" s="73">
        <v>0.0</v>
      </c>
      <c r="X71" s="73">
        <v>1.0</v>
      </c>
      <c r="Y71" s="73">
        <v>2.0</v>
      </c>
      <c r="Z71" s="73">
        <v>1.0</v>
      </c>
      <c r="AA71" s="73">
        <v>5.0</v>
      </c>
      <c r="AB71" s="73">
        <v>2.0</v>
      </c>
      <c r="AC71" s="73">
        <v>5.0</v>
      </c>
      <c r="AD71" s="73">
        <v>3.0</v>
      </c>
      <c r="AE71" s="73">
        <v>3.0</v>
      </c>
      <c r="AF71" s="73">
        <v>2.0</v>
      </c>
      <c r="AG71" s="73">
        <v>5.0</v>
      </c>
      <c r="AH71" s="73">
        <v>7.0</v>
      </c>
      <c r="AI71" s="73">
        <v>7.0</v>
      </c>
      <c r="AJ71" s="73">
        <v>19.0</v>
      </c>
      <c r="AK71" s="73">
        <v>2.0</v>
      </c>
      <c r="AL71" s="73">
        <v>6.0</v>
      </c>
      <c r="AM71" s="73">
        <v>2.0</v>
      </c>
      <c r="AN71" s="73">
        <v>0.0</v>
      </c>
      <c r="AO71" s="73">
        <v>0.0</v>
      </c>
      <c r="AP71" s="73">
        <v>0.0</v>
      </c>
      <c r="AQ71" s="73">
        <v>0.0</v>
      </c>
      <c r="AR71" s="73">
        <v>0.0</v>
      </c>
      <c r="AS71" s="73">
        <v>0.0</v>
      </c>
      <c r="AT71" s="73">
        <v>0.0</v>
      </c>
      <c r="AU71" s="73">
        <v>0.0</v>
      </c>
      <c r="AV71" s="13">
        <f t="shared" si="18"/>
        <v>227</v>
      </c>
    </row>
    <row r="72" ht="12.75" customHeight="1">
      <c r="A72" s="18"/>
      <c r="B72" s="49"/>
      <c r="C72" s="50" t="s">
        <v>63</v>
      </c>
      <c r="D72" s="51"/>
      <c r="E72" s="73">
        <v>10.0</v>
      </c>
      <c r="F72" s="73">
        <v>11.0</v>
      </c>
      <c r="G72" s="73">
        <v>9.0</v>
      </c>
      <c r="H72" s="73">
        <v>6.0</v>
      </c>
      <c r="I72" s="73">
        <v>5.0</v>
      </c>
      <c r="J72" s="73">
        <v>7.0</v>
      </c>
      <c r="K72" s="73">
        <v>6.0</v>
      </c>
      <c r="L72" s="73">
        <v>6.0</v>
      </c>
      <c r="M72" s="73">
        <v>5.0</v>
      </c>
      <c r="N72" s="73">
        <v>3.0</v>
      </c>
      <c r="O72" s="73">
        <v>3.0</v>
      </c>
      <c r="P72" s="73">
        <v>1.0</v>
      </c>
      <c r="Q72" s="73">
        <v>5.0</v>
      </c>
      <c r="R72" s="73">
        <v>3.0</v>
      </c>
      <c r="S72" s="73">
        <v>1.0</v>
      </c>
      <c r="T72" s="73">
        <v>5.0</v>
      </c>
      <c r="U72" s="73">
        <v>1.0</v>
      </c>
      <c r="V72" s="73">
        <v>0.0</v>
      </c>
      <c r="W72" s="73">
        <v>1.0</v>
      </c>
      <c r="X72" s="73">
        <v>2.0</v>
      </c>
      <c r="Y72" s="73">
        <v>0.0</v>
      </c>
      <c r="Z72" s="73">
        <v>2.0</v>
      </c>
      <c r="AA72" s="73">
        <v>5.0</v>
      </c>
      <c r="AB72" s="73">
        <v>6.0</v>
      </c>
      <c r="AC72" s="73">
        <v>4.0</v>
      </c>
      <c r="AD72" s="73">
        <v>4.0</v>
      </c>
      <c r="AE72" s="73">
        <v>2.0</v>
      </c>
      <c r="AF72" s="73">
        <v>2.0</v>
      </c>
      <c r="AG72" s="73">
        <v>7.0</v>
      </c>
      <c r="AH72" s="73">
        <v>2.0</v>
      </c>
      <c r="AI72" s="73">
        <v>10.0</v>
      </c>
      <c r="AJ72" s="73">
        <v>3.0</v>
      </c>
      <c r="AK72" s="73">
        <v>6.0</v>
      </c>
      <c r="AL72" s="73">
        <v>6.0</v>
      </c>
      <c r="AM72" s="73">
        <v>0.0</v>
      </c>
      <c r="AN72" s="73">
        <v>0.0</v>
      </c>
      <c r="AO72" s="73">
        <v>0.0</v>
      </c>
      <c r="AP72" s="73">
        <v>0.0</v>
      </c>
      <c r="AQ72" s="73">
        <v>0.0</v>
      </c>
      <c r="AR72" s="73">
        <v>0.0</v>
      </c>
      <c r="AS72" s="73">
        <v>0.0</v>
      </c>
      <c r="AT72" s="73">
        <v>0.0</v>
      </c>
      <c r="AU72" s="73">
        <v>0.0</v>
      </c>
      <c r="AV72" s="13">
        <f t="shared" si="18"/>
        <v>149</v>
      </c>
    </row>
    <row r="73" ht="12.75" customHeight="1">
      <c r="A73" s="18"/>
      <c r="B73" s="49"/>
      <c r="C73" s="50" t="s">
        <v>64</v>
      </c>
      <c r="D73" s="51"/>
      <c r="E73" s="73">
        <v>4.0</v>
      </c>
      <c r="F73" s="73">
        <v>6.0</v>
      </c>
      <c r="G73" s="73">
        <v>4.0</v>
      </c>
      <c r="H73" s="73">
        <v>4.0</v>
      </c>
      <c r="I73" s="73">
        <v>12.0</v>
      </c>
      <c r="J73" s="73">
        <v>5.0</v>
      </c>
      <c r="K73" s="73">
        <v>4.0</v>
      </c>
      <c r="L73" s="73">
        <v>13.0</v>
      </c>
      <c r="M73" s="73">
        <v>6.0</v>
      </c>
      <c r="N73" s="73">
        <v>5.0</v>
      </c>
      <c r="O73" s="73">
        <v>6.0</v>
      </c>
      <c r="P73" s="73">
        <v>9.0</v>
      </c>
      <c r="Q73" s="73">
        <v>2.0</v>
      </c>
      <c r="R73" s="73">
        <v>2.0</v>
      </c>
      <c r="S73" s="73">
        <v>5.0</v>
      </c>
      <c r="T73" s="73">
        <v>3.0</v>
      </c>
      <c r="U73" s="73">
        <v>6.0</v>
      </c>
      <c r="V73" s="73">
        <v>4.0</v>
      </c>
      <c r="W73" s="73">
        <v>0.0</v>
      </c>
      <c r="X73" s="73">
        <v>0.0</v>
      </c>
      <c r="Y73" s="73">
        <v>7.0</v>
      </c>
      <c r="Z73" s="73">
        <v>2.0</v>
      </c>
      <c r="AA73" s="73">
        <v>2.0</v>
      </c>
      <c r="AB73" s="73">
        <v>10.0</v>
      </c>
      <c r="AC73" s="73">
        <v>12.0</v>
      </c>
      <c r="AD73" s="73">
        <v>5.0</v>
      </c>
      <c r="AE73" s="73">
        <v>6.0</v>
      </c>
      <c r="AF73" s="73">
        <v>13.0</v>
      </c>
      <c r="AG73" s="73">
        <v>5.0</v>
      </c>
      <c r="AH73" s="73">
        <v>4.0</v>
      </c>
      <c r="AI73" s="73">
        <v>5.0</v>
      </c>
      <c r="AJ73" s="73">
        <v>11.0</v>
      </c>
      <c r="AK73" s="73">
        <v>4.0</v>
      </c>
      <c r="AL73" s="73">
        <v>3.0</v>
      </c>
      <c r="AM73" s="73">
        <v>2.0</v>
      </c>
      <c r="AN73" s="73">
        <v>0.0</v>
      </c>
      <c r="AO73" s="73">
        <v>0.0</v>
      </c>
      <c r="AP73" s="73">
        <v>0.0</v>
      </c>
      <c r="AQ73" s="73">
        <v>0.0</v>
      </c>
      <c r="AR73" s="73">
        <v>0.0</v>
      </c>
      <c r="AS73" s="73">
        <v>0.0</v>
      </c>
      <c r="AT73" s="73">
        <v>0.0</v>
      </c>
      <c r="AU73" s="73">
        <v>0.0</v>
      </c>
      <c r="AV73" s="13">
        <f t="shared" si="18"/>
        <v>191</v>
      </c>
    </row>
    <row r="74" ht="12.75" customHeight="1">
      <c r="A74" s="18"/>
      <c r="B74" s="49"/>
      <c r="C74" s="50" t="s">
        <v>65</v>
      </c>
      <c r="D74" s="51"/>
      <c r="E74" s="73">
        <v>4.0</v>
      </c>
      <c r="F74" s="73">
        <v>2.0</v>
      </c>
      <c r="G74" s="73">
        <v>13.0</v>
      </c>
      <c r="H74" s="73">
        <v>6.0</v>
      </c>
      <c r="I74" s="73">
        <v>5.0</v>
      </c>
      <c r="J74" s="73">
        <v>4.0</v>
      </c>
      <c r="K74" s="73">
        <v>3.0</v>
      </c>
      <c r="L74" s="73">
        <v>4.0</v>
      </c>
      <c r="M74" s="73">
        <v>3.0</v>
      </c>
      <c r="N74" s="73">
        <v>4.0</v>
      </c>
      <c r="O74" s="73">
        <v>2.0</v>
      </c>
      <c r="P74" s="73">
        <v>2.0</v>
      </c>
      <c r="Q74" s="73">
        <v>2.0</v>
      </c>
      <c r="R74" s="73">
        <v>2.0</v>
      </c>
      <c r="S74" s="73">
        <v>2.0</v>
      </c>
      <c r="T74" s="73">
        <v>2.0</v>
      </c>
      <c r="U74" s="73">
        <v>2.0</v>
      </c>
      <c r="V74" s="73">
        <v>0.0</v>
      </c>
      <c r="W74" s="73">
        <v>0.0</v>
      </c>
      <c r="X74" s="73">
        <v>0.0</v>
      </c>
      <c r="Y74" s="73">
        <v>2.0</v>
      </c>
      <c r="Z74" s="73">
        <v>0.0</v>
      </c>
      <c r="AA74" s="73">
        <v>0.0</v>
      </c>
      <c r="AB74" s="73">
        <v>2.0</v>
      </c>
      <c r="AC74" s="73">
        <v>4.0</v>
      </c>
      <c r="AD74" s="73">
        <v>2.0</v>
      </c>
      <c r="AE74" s="73">
        <v>1.0</v>
      </c>
      <c r="AF74" s="73">
        <v>1.0</v>
      </c>
      <c r="AG74" s="73">
        <v>3.0</v>
      </c>
      <c r="AH74" s="73">
        <v>1.0</v>
      </c>
      <c r="AI74" s="73">
        <v>1.0</v>
      </c>
      <c r="AJ74" s="73">
        <v>2.0</v>
      </c>
      <c r="AK74" s="73">
        <v>0.0</v>
      </c>
      <c r="AL74" s="73">
        <v>4.0</v>
      </c>
      <c r="AM74" s="73">
        <v>2.0</v>
      </c>
      <c r="AN74" s="73">
        <v>0.0</v>
      </c>
      <c r="AO74" s="73">
        <v>0.0</v>
      </c>
      <c r="AP74" s="73">
        <v>0.0</v>
      </c>
      <c r="AQ74" s="73">
        <v>0.0</v>
      </c>
      <c r="AR74" s="73">
        <v>0.0</v>
      </c>
      <c r="AS74" s="73">
        <v>0.0</v>
      </c>
      <c r="AT74" s="73">
        <v>0.0</v>
      </c>
      <c r="AU74" s="73">
        <v>0.0</v>
      </c>
      <c r="AV74" s="13">
        <f t="shared" si="18"/>
        <v>87</v>
      </c>
    </row>
    <row r="75" ht="12.75" customHeight="1">
      <c r="A75" s="18"/>
      <c r="B75" s="49"/>
      <c r="C75" s="50" t="s">
        <v>66</v>
      </c>
      <c r="D75" s="51"/>
      <c r="E75" s="73">
        <v>4.0</v>
      </c>
      <c r="F75" s="73">
        <v>4.0</v>
      </c>
      <c r="G75" s="73">
        <v>1.0</v>
      </c>
      <c r="H75" s="73">
        <v>4.0</v>
      </c>
      <c r="I75" s="73">
        <v>5.0</v>
      </c>
      <c r="J75" s="73">
        <v>1.0</v>
      </c>
      <c r="K75" s="73">
        <v>3.0</v>
      </c>
      <c r="L75" s="73">
        <v>2.0</v>
      </c>
      <c r="M75" s="73">
        <v>4.0</v>
      </c>
      <c r="N75" s="73">
        <v>2.0</v>
      </c>
      <c r="O75" s="73">
        <v>0.0</v>
      </c>
      <c r="P75" s="73">
        <v>2.0</v>
      </c>
      <c r="Q75" s="73">
        <v>0.0</v>
      </c>
      <c r="R75" s="73">
        <v>1.0</v>
      </c>
      <c r="S75" s="73">
        <v>3.0</v>
      </c>
      <c r="T75" s="73">
        <v>2.0</v>
      </c>
      <c r="U75" s="73">
        <v>2.0</v>
      </c>
      <c r="V75" s="73">
        <v>0.0</v>
      </c>
      <c r="W75" s="73">
        <v>0.0</v>
      </c>
      <c r="X75" s="73">
        <v>0.0</v>
      </c>
      <c r="Y75" s="73">
        <v>3.0</v>
      </c>
      <c r="Z75" s="73">
        <v>2.0</v>
      </c>
      <c r="AA75" s="73">
        <v>0.0</v>
      </c>
      <c r="AB75" s="73">
        <v>2.0</v>
      </c>
      <c r="AC75" s="73">
        <v>2.0</v>
      </c>
      <c r="AD75" s="73">
        <v>2.0</v>
      </c>
      <c r="AE75" s="73">
        <v>0.0</v>
      </c>
      <c r="AF75" s="73">
        <v>1.0</v>
      </c>
      <c r="AG75" s="73">
        <v>0.0</v>
      </c>
      <c r="AH75" s="73">
        <v>0.0</v>
      </c>
      <c r="AI75" s="73">
        <v>0.0</v>
      </c>
      <c r="AJ75" s="73">
        <v>0.0</v>
      </c>
      <c r="AK75" s="73">
        <v>0.0</v>
      </c>
      <c r="AL75" s="73">
        <v>1.0</v>
      </c>
      <c r="AM75" s="73">
        <v>3.0</v>
      </c>
      <c r="AN75" s="73">
        <v>0.0</v>
      </c>
      <c r="AO75" s="73">
        <v>0.0</v>
      </c>
      <c r="AP75" s="73">
        <v>0.0</v>
      </c>
      <c r="AQ75" s="73">
        <v>0.0</v>
      </c>
      <c r="AR75" s="73">
        <v>0.0</v>
      </c>
      <c r="AS75" s="73">
        <v>0.0</v>
      </c>
      <c r="AT75" s="73">
        <v>0.0</v>
      </c>
      <c r="AU75" s="73">
        <v>0.0</v>
      </c>
      <c r="AV75" s="13">
        <f t="shared" si="18"/>
        <v>56</v>
      </c>
    </row>
    <row r="76" ht="12.75" customHeight="1">
      <c r="A76" s="18"/>
      <c r="B76" s="49"/>
      <c r="C76" s="50" t="s">
        <v>67</v>
      </c>
      <c r="D76" s="51"/>
      <c r="E76" s="73">
        <v>1.0</v>
      </c>
      <c r="F76" s="73">
        <v>1.0</v>
      </c>
      <c r="G76" s="73">
        <v>0.0</v>
      </c>
      <c r="H76" s="73">
        <v>2.0</v>
      </c>
      <c r="I76" s="73">
        <v>2.0</v>
      </c>
      <c r="J76" s="73">
        <v>1.0</v>
      </c>
      <c r="K76" s="73">
        <v>2.0</v>
      </c>
      <c r="L76" s="73">
        <v>1.0</v>
      </c>
      <c r="M76" s="73">
        <v>0.0</v>
      </c>
      <c r="N76" s="73">
        <v>1.0</v>
      </c>
      <c r="O76" s="73">
        <v>1.0</v>
      </c>
      <c r="P76" s="73">
        <v>0.0</v>
      </c>
      <c r="Q76" s="73">
        <v>0.0</v>
      </c>
      <c r="R76" s="73">
        <v>1.0</v>
      </c>
      <c r="S76" s="73">
        <v>1.0</v>
      </c>
      <c r="T76" s="73">
        <v>1.0</v>
      </c>
      <c r="U76" s="73">
        <v>0.0</v>
      </c>
      <c r="V76" s="73">
        <v>0.0</v>
      </c>
      <c r="W76" s="73">
        <v>0.0</v>
      </c>
      <c r="X76" s="73">
        <v>1.0</v>
      </c>
      <c r="Y76" s="73">
        <v>1.0</v>
      </c>
      <c r="Z76" s="73">
        <v>1.0</v>
      </c>
      <c r="AA76" s="73">
        <v>2.0</v>
      </c>
      <c r="AB76" s="73">
        <v>1.0</v>
      </c>
      <c r="AC76" s="73">
        <v>1.0</v>
      </c>
      <c r="AD76" s="73">
        <v>1.0</v>
      </c>
      <c r="AE76" s="73">
        <v>1.0</v>
      </c>
      <c r="AF76" s="73">
        <v>1.0</v>
      </c>
      <c r="AG76" s="73">
        <v>0.0</v>
      </c>
      <c r="AH76" s="73">
        <v>1.0</v>
      </c>
      <c r="AI76" s="73">
        <v>0.0</v>
      </c>
      <c r="AJ76" s="73">
        <v>2.0</v>
      </c>
      <c r="AK76" s="73">
        <v>0.0</v>
      </c>
      <c r="AL76" s="73">
        <v>1.0</v>
      </c>
      <c r="AM76" s="73">
        <v>0.0</v>
      </c>
      <c r="AN76" s="73">
        <v>0.0</v>
      </c>
      <c r="AO76" s="73">
        <v>0.0</v>
      </c>
      <c r="AP76" s="73">
        <v>0.0</v>
      </c>
      <c r="AQ76" s="73">
        <v>0.0</v>
      </c>
      <c r="AR76" s="73">
        <v>0.0</v>
      </c>
      <c r="AS76" s="73">
        <v>0.0</v>
      </c>
      <c r="AT76" s="73">
        <v>0.0</v>
      </c>
      <c r="AU76" s="73">
        <v>0.0</v>
      </c>
      <c r="AV76" s="13">
        <f t="shared" si="18"/>
        <v>29</v>
      </c>
    </row>
    <row r="77" ht="12.75" customHeight="1">
      <c r="A77" s="18"/>
      <c r="B77" s="49"/>
      <c r="C77" s="50" t="s">
        <v>68</v>
      </c>
      <c r="D77" s="51"/>
      <c r="E77" s="73">
        <v>3.0</v>
      </c>
      <c r="F77" s="73">
        <v>0.0</v>
      </c>
      <c r="G77" s="73">
        <v>2.0</v>
      </c>
      <c r="H77" s="73">
        <v>0.0</v>
      </c>
      <c r="I77" s="73">
        <v>1.0</v>
      </c>
      <c r="J77" s="73">
        <v>0.0</v>
      </c>
      <c r="K77" s="73">
        <v>1.0</v>
      </c>
      <c r="L77" s="73">
        <v>3.0</v>
      </c>
      <c r="M77" s="73">
        <v>0.0</v>
      </c>
      <c r="N77" s="73">
        <v>1.0</v>
      </c>
      <c r="O77" s="73">
        <v>2.0</v>
      </c>
      <c r="P77" s="73">
        <v>0.0</v>
      </c>
      <c r="Q77" s="73">
        <v>0.0</v>
      </c>
      <c r="R77" s="73">
        <v>0.0</v>
      </c>
      <c r="S77" s="73">
        <v>0.0</v>
      </c>
      <c r="T77" s="73">
        <v>1.0</v>
      </c>
      <c r="U77" s="73">
        <v>2.0</v>
      </c>
      <c r="V77" s="73">
        <v>0.0</v>
      </c>
      <c r="W77" s="73">
        <v>0.0</v>
      </c>
      <c r="X77" s="73">
        <v>0.0</v>
      </c>
      <c r="Y77" s="73">
        <v>0.0</v>
      </c>
      <c r="Z77" s="73">
        <v>1.0</v>
      </c>
      <c r="AA77" s="73">
        <v>2.0</v>
      </c>
      <c r="AB77" s="73">
        <v>1.0</v>
      </c>
      <c r="AC77" s="73">
        <v>0.0</v>
      </c>
      <c r="AD77" s="73">
        <v>2.0</v>
      </c>
      <c r="AE77" s="73">
        <v>0.0</v>
      </c>
      <c r="AF77" s="73">
        <v>1.0</v>
      </c>
      <c r="AG77" s="73">
        <v>0.0</v>
      </c>
      <c r="AH77" s="73">
        <v>2.0</v>
      </c>
      <c r="AI77" s="73">
        <v>0.0</v>
      </c>
      <c r="AJ77" s="73">
        <v>0.0</v>
      </c>
      <c r="AK77" s="73">
        <v>0.0</v>
      </c>
      <c r="AL77" s="73">
        <v>0.0</v>
      </c>
      <c r="AM77" s="73">
        <v>0.0</v>
      </c>
      <c r="AN77" s="73">
        <v>0.0</v>
      </c>
      <c r="AO77" s="73">
        <v>0.0</v>
      </c>
      <c r="AP77" s="73">
        <v>0.0</v>
      </c>
      <c r="AQ77" s="73">
        <v>0.0</v>
      </c>
      <c r="AR77" s="73">
        <v>0.0</v>
      </c>
      <c r="AS77" s="73">
        <v>0.0</v>
      </c>
      <c r="AT77" s="73">
        <v>0.0</v>
      </c>
      <c r="AU77" s="73">
        <v>0.0</v>
      </c>
      <c r="AV77" s="13">
        <f t="shared" si="18"/>
        <v>25</v>
      </c>
    </row>
    <row r="78" ht="12.75" customHeight="1">
      <c r="A78" s="18"/>
      <c r="B78" s="49"/>
      <c r="C78" s="50" t="s">
        <v>69</v>
      </c>
      <c r="D78" s="51"/>
      <c r="E78" s="73">
        <v>2.0</v>
      </c>
      <c r="F78" s="73">
        <v>5.0</v>
      </c>
      <c r="G78" s="73">
        <v>1.0</v>
      </c>
      <c r="H78" s="73">
        <v>1.0</v>
      </c>
      <c r="I78" s="73">
        <v>3.0</v>
      </c>
      <c r="J78" s="73">
        <v>0.0</v>
      </c>
      <c r="K78" s="73">
        <v>0.0</v>
      </c>
      <c r="L78" s="73">
        <v>2.0</v>
      </c>
      <c r="M78" s="73">
        <v>1.0</v>
      </c>
      <c r="N78" s="73">
        <v>0.0</v>
      </c>
      <c r="O78" s="73">
        <v>1.0</v>
      </c>
      <c r="P78" s="73">
        <v>0.0</v>
      </c>
      <c r="Q78" s="73">
        <v>1.0</v>
      </c>
      <c r="R78" s="73">
        <v>0.0</v>
      </c>
      <c r="S78" s="73">
        <v>0.0</v>
      </c>
      <c r="T78" s="73">
        <v>1.0</v>
      </c>
      <c r="U78" s="73">
        <v>2.0</v>
      </c>
      <c r="V78" s="73">
        <v>0.0</v>
      </c>
      <c r="W78" s="73">
        <v>0.0</v>
      </c>
      <c r="X78" s="73">
        <v>0.0</v>
      </c>
      <c r="Y78" s="73">
        <v>0.0</v>
      </c>
      <c r="Z78" s="73">
        <v>0.0</v>
      </c>
      <c r="AA78" s="73">
        <v>1.0</v>
      </c>
      <c r="AB78" s="73">
        <v>1.0</v>
      </c>
      <c r="AC78" s="73">
        <v>0.0</v>
      </c>
      <c r="AD78" s="73">
        <v>0.0</v>
      </c>
      <c r="AE78" s="73">
        <v>0.0</v>
      </c>
      <c r="AF78" s="73">
        <v>1.0</v>
      </c>
      <c r="AG78" s="73">
        <v>0.0</v>
      </c>
      <c r="AH78" s="73">
        <v>0.0</v>
      </c>
      <c r="AI78" s="73">
        <v>1.0</v>
      </c>
      <c r="AJ78" s="73">
        <v>0.0</v>
      </c>
      <c r="AK78" s="73">
        <v>1.0</v>
      </c>
      <c r="AL78" s="73">
        <v>0.0</v>
      </c>
      <c r="AM78" s="73">
        <v>1.0</v>
      </c>
      <c r="AN78" s="73">
        <v>0.0</v>
      </c>
      <c r="AO78" s="73">
        <v>0.0</v>
      </c>
      <c r="AP78" s="73">
        <v>0.0</v>
      </c>
      <c r="AQ78" s="73">
        <v>0.0</v>
      </c>
      <c r="AR78" s="73">
        <v>0.0</v>
      </c>
      <c r="AS78" s="73">
        <v>0.0</v>
      </c>
      <c r="AT78" s="73">
        <v>0.0</v>
      </c>
      <c r="AU78" s="73">
        <v>0.0</v>
      </c>
      <c r="AV78" s="13">
        <f t="shared" si="18"/>
        <v>26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V79" si="19">SUM(E69:E78)</f>
        <v>94</v>
      </c>
      <c r="F79" s="13">
        <f t="shared" si="19"/>
        <v>135</v>
      </c>
      <c r="G79" s="13">
        <f t="shared" si="19"/>
        <v>93</v>
      </c>
      <c r="H79" s="13">
        <f t="shared" si="19"/>
        <v>106</v>
      </c>
      <c r="I79" s="13">
        <f t="shared" si="19"/>
        <v>85</v>
      </c>
      <c r="J79" s="13">
        <f t="shared" si="19"/>
        <v>70</v>
      </c>
      <c r="K79" s="13">
        <f t="shared" si="19"/>
        <v>33</v>
      </c>
      <c r="L79" s="13">
        <f t="shared" si="19"/>
        <v>61</v>
      </c>
      <c r="M79" s="13">
        <f t="shared" si="19"/>
        <v>34</v>
      </c>
      <c r="N79" s="13">
        <f t="shared" si="19"/>
        <v>56</v>
      </c>
      <c r="O79" s="13">
        <f t="shared" si="19"/>
        <v>46</v>
      </c>
      <c r="P79" s="13">
        <f t="shared" si="19"/>
        <v>35</v>
      </c>
      <c r="Q79" s="13">
        <f t="shared" si="19"/>
        <v>33</v>
      </c>
      <c r="R79" s="13">
        <f t="shared" si="19"/>
        <v>18</v>
      </c>
      <c r="S79" s="13">
        <f t="shared" si="19"/>
        <v>29</v>
      </c>
      <c r="T79" s="13">
        <f t="shared" si="19"/>
        <v>32</v>
      </c>
      <c r="U79" s="13">
        <f t="shared" si="19"/>
        <v>42</v>
      </c>
      <c r="V79" s="13">
        <f t="shared" si="19"/>
        <v>12</v>
      </c>
      <c r="W79" s="13">
        <f t="shared" si="19"/>
        <v>2</v>
      </c>
      <c r="X79" s="13">
        <f t="shared" si="19"/>
        <v>8</v>
      </c>
      <c r="Y79" s="13">
        <f t="shared" si="19"/>
        <v>20</v>
      </c>
      <c r="Z79" s="13">
        <f t="shared" si="19"/>
        <v>15</v>
      </c>
      <c r="AA79" s="13">
        <f t="shared" si="19"/>
        <v>33</v>
      </c>
      <c r="AB79" s="13">
        <f t="shared" si="19"/>
        <v>66</v>
      </c>
      <c r="AC79" s="13">
        <f t="shared" si="19"/>
        <v>44</v>
      </c>
      <c r="AD79" s="13">
        <f t="shared" si="19"/>
        <v>42</v>
      </c>
      <c r="AE79" s="13">
        <f t="shared" si="19"/>
        <v>38</v>
      </c>
      <c r="AF79" s="13">
        <f t="shared" si="19"/>
        <v>57</v>
      </c>
      <c r="AG79" s="13">
        <f t="shared" si="19"/>
        <v>46</v>
      </c>
      <c r="AH79" s="13">
        <f t="shared" si="19"/>
        <v>60</v>
      </c>
      <c r="AI79" s="13">
        <f t="shared" si="19"/>
        <v>57</v>
      </c>
      <c r="AJ79" s="13">
        <f t="shared" si="19"/>
        <v>75</v>
      </c>
      <c r="AK79" s="13">
        <f t="shared" si="19"/>
        <v>28</v>
      </c>
      <c r="AL79" s="13">
        <f t="shared" si="19"/>
        <v>36</v>
      </c>
      <c r="AM79" s="13">
        <f t="shared" si="19"/>
        <v>34</v>
      </c>
      <c r="AN79" s="13">
        <f t="shared" si="19"/>
        <v>0</v>
      </c>
      <c r="AO79" s="13">
        <f t="shared" si="19"/>
        <v>0</v>
      </c>
      <c r="AP79" s="13">
        <f t="shared" si="19"/>
        <v>0</v>
      </c>
      <c r="AQ79" s="13">
        <f t="shared" si="19"/>
        <v>0</v>
      </c>
      <c r="AR79" s="13">
        <f t="shared" si="19"/>
        <v>0</v>
      </c>
      <c r="AS79" s="13">
        <f t="shared" si="19"/>
        <v>0</v>
      </c>
      <c r="AT79" s="13">
        <f t="shared" si="19"/>
        <v>0</v>
      </c>
      <c r="AU79" s="13">
        <f t="shared" si="19"/>
        <v>0</v>
      </c>
      <c r="AV79" s="13">
        <f t="shared" si="19"/>
        <v>1675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8.0</v>
      </c>
      <c r="F81" s="73">
        <v>6.0</v>
      </c>
      <c r="G81" s="73">
        <v>7.0</v>
      </c>
      <c r="H81" s="73">
        <v>4.0</v>
      </c>
      <c r="I81" s="73">
        <v>8.0</v>
      </c>
      <c r="J81" s="73">
        <v>5.0</v>
      </c>
      <c r="K81" s="73">
        <v>0.0</v>
      </c>
      <c r="L81" s="73">
        <v>3.0</v>
      </c>
      <c r="M81" s="73">
        <v>4.0</v>
      </c>
      <c r="N81" s="73">
        <v>4.0</v>
      </c>
      <c r="O81" s="73">
        <v>4.0</v>
      </c>
      <c r="P81" s="73">
        <v>2.0</v>
      </c>
      <c r="Q81" s="73">
        <v>4.0</v>
      </c>
      <c r="R81" s="73">
        <v>2.0</v>
      </c>
      <c r="S81" s="73">
        <v>16.0</v>
      </c>
      <c r="T81" s="73">
        <v>2.0</v>
      </c>
      <c r="U81" s="73">
        <v>0.0</v>
      </c>
      <c r="V81" s="73">
        <v>0.0</v>
      </c>
      <c r="W81" s="73">
        <v>0.0</v>
      </c>
      <c r="X81" s="73">
        <v>1.0</v>
      </c>
      <c r="Y81" s="73">
        <v>0.0</v>
      </c>
      <c r="Z81" s="73">
        <v>2.0</v>
      </c>
      <c r="AA81" s="73">
        <v>1.0</v>
      </c>
      <c r="AB81" s="73">
        <v>2.0</v>
      </c>
      <c r="AC81" s="73">
        <v>3.0</v>
      </c>
      <c r="AD81" s="73">
        <v>1.0</v>
      </c>
      <c r="AE81" s="73">
        <v>1.0</v>
      </c>
      <c r="AF81" s="73">
        <v>4.0</v>
      </c>
      <c r="AG81" s="73">
        <v>1.0</v>
      </c>
      <c r="AH81" s="73">
        <v>0.0</v>
      </c>
      <c r="AI81" s="73">
        <v>3.0</v>
      </c>
      <c r="AJ81" s="73">
        <v>3.0</v>
      </c>
      <c r="AK81" s="73">
        <v>3.0</v>
      </c>
      <c r="AL81" s="73">
        <v>2.0</v>
      </c>
      <c r="AM81" s="73">
        <v>3.0</v>
      </c>
      <c r="AN81" s="73">
        <v>0.0</v>
      </c>
      <c r="AO81" s="73">
        <v>0.0</v>
      </c>
      <c r="AP81" s="73">
        <v>0.0</v>
      </c>
      <c r="AQ81" s="73">
        <v>0.0</v>
      </c>
      <c r="AR81" s="73">
        <v>0.0</v>
      </c>
      <c r="AS81" s="73">
        <v>0.0</v>
      </c>
      <c r="AT81" s="73">
        <v>0.0</v>
      </c>
      <c r="AU81" s="73">
        <v>0.0</v>
      </c>
      <c r="AV81" s="13">
        <f t="shared" ref="AV81:AV90" si="20">SUM(E81:AU81)</f>
        <v>109</v>
      </c>
    </row>
    <row r="82" ht="12.75" customHeight="1">
      <c r="A82" s="30" t="s">
        <v>39</v>
      </c>
      <c r="B82" s="49"/>
      <c r="C82" s="50" t="s">
        <v>71</v>
      </c>
      <c r="D82" s="51"/>
      <c r="E82" s="73">
        <v>5.0</v>
      </c>
      <c r="F82" s="73">
        <v>4.0</v>
      </c>
      <c r="G82" s="73">
        <v>6.0</v>
      </c>
      <c r="H82" s="73">
        <v>2.0</v>
      </c>
      <c r="I82" s="73">
        <v>1.0</v>
      </c>
      <c r="J82" s="73">
        <v>1.0</v>
      </c>
      <c r="K82" s="73">
        <v>1.0</v>
      </c>
      <c r="L82" s="73">
        <v>4.0</v>
      </c>
      <c r="M82" s="73">
        <v>2.0</v>
      </c>
      <c r="N82" s="73">
        <v>1.0</v>
      </c>
      <c r="O82" s="73">
        <v>0.0</v>
      </c>
      <c r="P82" s="73">
        <v>1.0</v>
      </c>
      <c r="Q82" s="73">
        <v>1.0</v>
      </c>
      <c r="R82" s="73">
        <v>0.0</v>
      </c>
      <c r="S82" s="73">
        <v>0.0</v>
      </c>
      <c r="T82" s="73">
        <v>1.0</v>
      </c>
      <c r="U82" s="73">
        <v>10.0</v>
      </c>
      <c r="V82" s="73">
        <v>5.0</v>
      </c>
      <c r="W82" s="73">
        <v>0.0</v>
      </c>
      <c r="X82" s="73">
        <v>1.0</v>
      </c>
      <c r="Y82" s="73">
        <v>2.0</v>
      </c>
      <c r="Z82" s="73">
        <v>0.0</v>
      </c>
      <c r="AA82" s="73">
        <v>3.0</v>
      </c>
      <c r="AB82" s="73">
        <v>3.0</v>
      </c>
      <c r="AC82" s="73">
        <v>2.0</v>
      </c>
      <c r="AD82" s="73">
        <v>0.0</v>
      </c>
      <c r="AE82" s="73">
        <v>3.0</v>
      </c>
      <c r="AF82" s="73">
        <v>12.0</v>
      </c>
      <c r="AG82" s="73">
        <v>7.0</v>
      </c>
      <c r="AH82" s="73">
        <v>1.0</v>
      </c>
      <c r="AI82" s="73">
        <v>14.0</v>
      </c>
      <c r="AJ82" s="73">
        <v>3.0</v>
      </c>
      <c r="AK82" s="73">
        <v>2.0</v>
      </c>
      <c r="AL82" s="73">
        <v>4.0</v>
      </c>
      <c r="AM82" s="73">
        <v>2.0</v>
      </c>
      <c r="AN82" s="73">
        <v>0.0</v>
      </c>
      <c r="AO82" s="73">
        <v>0.0</v>
      </c>
      <c r="AP82" s="73">
        <v>0.0</v>
      </c>
      <c r="AQ82" s="73">
        <v>0.0</v>
      </c>
      <c r="AR82" s="73">
        <v>0.0</v>
      </c>
      <c r="AS82" s="73">
        <v>0.0</v>
      </c>
      <c r="AT82" s="73">
        <v>0.0</v>
      </c>
      <c r="AU82" s="73">
        <v>0.0</v>
      </c>
      <c r="AV82" s="13">
        <f t="shared" si="20"/>
        <v>104</v>
      </c>
    </row>
    <row r="83" ht="12.75" customHeight="1">
      <c r="A83" s="18"/>
      <c r="B83" s="49"/>
      <c r="C83" s="50" t="s">
        <v>72</v>
      </c>
      <c r="D83" s="51"/>
      <c r="E83" s="73">
        <v>2.0</v>
      </c>
      <c r="F83" s="73">
        <v>1.0</v>
      </c>
      <c r="G83" s="73">
        <v>0.0</v>
      </c>
      <c r="H83" s="73">
        <v>0.0</v>
      </c>
      <c r="I83" s="73">
        <v>0.0</v>
      </c>
      <c r="J83" s="73">
        <v>0.0</v>
      </c>
      <c r="K83" s="73">
        <v>0.0</v>
      </c>
      <c r="L83" s="73">
        <v>1.0</v>
      </c>
      <c r="M83" s="73">
        <v>0.0</v>
      </c>
      <c r="N83" s="73">
        <v>0.0</v>
      </c>
      <c r="O83" s="73">
        <v>1.0</v>
      </c>
      <c r="P83" s="73">
        <v>0.0</v>
      </c>
      <c r="Q83" s="73">
        <v>0.0</v>
      </c>
      <c r="R83" s="73">
        <v>0.0</v>
      </c>
      <c r="S83" s="73">
        <v>0.0</v>
      </c>
      <c r="T83" s="73">
        <v>1.0</v>
      </c>
      <c r="U83" s="73">
        <v>1.0</v>
      </c>
      <c r="V83" s="73">
        <v>0.0</v>
      </c>
      <c r="W83" s="73">
        <v>0.0</v>
      </c>
      <c r="X83" s="73">
        <v>0.0</v>
      </c>
      <c r="Y83" s="73">
        <v>0.0</v>
      </c>
      <c r="Z83" s="73">
        <v>0.0</v>
      </c>
      <c r="AA83" s="73">
        <v>0.0</v>
      </c>
      <c r="AB83" s="73">
        <v>0.0</v>
      </c>
      <c r="AC83" s="73">
        <v>0.0</v>
      </c>
      <c r="AD83" s="73">
        <v>1.0</v>
      </c>
      <c r="AE83" s="73">
        <v>0.0</v>
      </c>
      <c r="AF83" s="73">
        <v>0.0</v>
      </c>
      <c r="AG83" s="73">
        <v>0.0</v>
      </c>
      <c r="AH83" s="73">
        <v>0.0</v>
      </c>
      <c r="AI83" s="73">
        <v>0.0</v>
      </c>
      <c r="AJ83" s="73">
        <v>0.0</v>
      </c>
      <c r="AK83" s="73">
        <v>0.0</v>
      </c>
      <c r="AL83" s="73">
        <v>0.0</v>
      </c>
      <c r="AM83" s="73">
        <v>1.0</v>
      </c>
      <c r="AN83" s="73">
        <v>0.0</v>
      </c>
      <c r="AO83" s="73">
        <v>0.0</v>
      </c>
      <c r="AP83" s="73">
        <v>0.0</v>
      </c>
      <c r="AQ83" s="73">
        <v>0.0</v>
      </c>
      <c r="AR83" s="73">
        <v>0.0</v>
      </c>
      <c r="AS83" s="73">
        <v>0.0</v>
      </c>
      <c r="AT83" s="73">
        <v>0.0</v>
      </c>
      <c r="AU83" s="73">
        <v>0.0</v>
      </c>
      <c r="AV83" s="13">
        <f t="shared" si="20"/>
        <v>9</v>
      </c>
    </row>
    <row r="84" ht="12.75" customHeight="1">
      <c r="A84" s="18"/>
      <c r="B84" s="49"/>
      <c r="C84" s="50" t="s">
        <v>73</v>
      </c>
      <c r="D84" s="51"/>
      <c r="E84" s="73">
        <v>1.0</v>
      </c>
      <c r="F84" s="73">
        <v>2.0</v>
      </c>
      <c r="G84" s="73">
        <v>0.0</v>
      </c>
      <c r="H84" s="73">
        <v>0.0</v>
      </c>
      <c r="I84" s="73">
        <v>2.0</v>
      </c>
      <c r="J84" s="73">
        <v>1.0</v>
      </c>
      <c r="K84" s="73">
        <v>0.0</v>
      </c>
      <c r="L84" s="73">
        <v>0.0</v>
      </c>
      <c r="M84" s="73">
        <v>1.0</v>
      </c>
      <c r="N84" s="73">
        <v>0.0</v>
      </c>
      <c r="O84" s="73">
        <v>0.0</v>
      </c>
      <c r="P84" s="73">
        <v>0.0</v>
      </c>
      <c r="Q84" s="73">
        <v>1.0</v>
      </c>
      <c r="R84" s="73">
        <v>0.0</v>
      </c>
      <c r="S84" s="73">
        <v>1.0</v>
      </c>
      <c r="T84" s="73">
        <v>0.0</v>
      </c>
      <c r="U84" s="73">
        <v>1.0</v>
      </c>
      <c r="V84" s="73">
        <v>0.0</v>
      </c>
      <c r="W84" s="73">
        <v>0.0</v>
      </c>
      <c r="X84" s="73">
        <v>0.0</v>
      </c>
      <c r="Y84" s="73">
        <v>0.0</v>
      </c>
      <c r="Z84" s="73">
        <v>1.0</v>
      </c>
      <c r="AA84" s="73">
        <v>1.0</v>
      </c>
      <c r="AB84" s="73">
        <v>0.0</v>
      </c>
      <c r="AC84" s="73">
        <v>2.0</v>
      </c>
      <c r="AD84" s="73">
        <v>0.0</v>
      </c>
      <c r="AE84" s="73">
        <v>0.0</v>
      </c>
      <c r="AF84" s="73">
        <v>1.0</v>
      </c>
      <c r="AG84" s="73">
        <v>0.0</v>
      </c>
      <c r="AH84" s="73">
        <v>1.0</v>
      </c>
      <c r="AI84" s="73">
        <v>2.0</v>
      </c>
      <c r="AJ84" s="73">
        <v>0.0</v>
      </c>
      <c r="AK84" s="73">
        <v>0.0</v>
      </c>
      <c r="AL84" s="73">
        <v>1.0</v>
      </c>
      <c r="AM84" s="73">
        <v>1.0</v>
      </c>
      <c r="AN84" s="73">
        <v>0.0</v>
      </c>
      <c r="AO84" s="73">
        <v>0.0</v>
      </c>
      <c r="AP84" s="73">
        <v>0.0</v>
      </c>
      <c r="AQ84" s="73">
        <v>0.0</v>
      </c>
      <c r="AR84" s="73">
        <v>0.0</v>
      </c>
      <c r="AS84" s="73">
        <v>0.0</v>
      </c>
      <c r="AT84" s="73">
        <v>0.0</v>
      </c>
      <c r="AU84" s="73">
        <v>0.0</v>
      </c>
      <c r="AV84" s="13">
        <f t="shared" si="20"/>
        <v>20</v>
      </c>
    </row>
    <row r="85" ht="12.75" customHeight="1">
      <c r="A85" s="18"/>
      <c r="B85" s="49"/>
      <c r="C85" s="50" t="s">
        <v>74</v>
      </c>
      <c r="D85" s="51"/>
      <c r="E85" s="73">
        <v>0.0</v>
      </c>
      <c r="F85" s="73">
        <v>2.0</v>
      </c>
      <c r="G85" s="73">
        <v>0.0</v>
      </c>
      <c r="H85" s="73">
        <v>0.0</v>
      </c>
      <c r="I85" s="73">
        <v>4.0</v>
      </c>
      <c r="J85" s="73">
        <v>2.0</v>
      </c>
      <c r="K85" s="73">
        <v>1.0</v>
      </c>
      <c r="L85" s="73">
        <v>2.0</v>
      </c>
      <c r="M85" s="73">
        <v>2.0</v>
      </c>
      <c r="N85" s="73">
        <v>0.0</v>
      </c>
      <c r="O85" s="73">
        <v>1.0</v>
      </c>
      <c r="P85" s="73">
        <v>1.0</v>
      </c>
      <c r="Q85" s="73">
        <v>2.0</v>
      </c>
      <c r="R85" s="73">
        <v>0.0</v>
      </c>
      <c r="S85" s="73">
        <v>1.0</v>
      </c>
      <c r="T85" s="73">
        <v>0.0</v>
      </c>
      <c r="U85" s="73">
        <v>1.0</v>
      </c>
      <c r="V85" s="73">
        <v>0.0</v>
      </c>
      <c r="W85" s="73">
        <v>0.0</v>
      </c>
      <c r="X85" s="73">
        <v>0.0</v>
      </c>
      <c r="Y85" s="73">
        <v>1.0</v>
      </c>
      <c r="Z85" s="73">
        <v>1.0</v>
      </c>
      <c r="AA85" s="73">
        <v>1.0</v>
      </c>
      <c r="AB85" s="73">
        <v>0.0</v>
      </c>
      <c r="AC85" s="73">
        <v>1.0</v>
      </c>
      <c r="AD85" s="73">
        <v>0.0</v>
      </c>
      <c r="AE85" s="73">
        <v>2.0</v>
      </c>
      <c r="AF85" s="73">
        <v>1.0</v>
      </c>
      <c r="AG85" s="73">
        <v>0.0</v>
      </c>
      <c r="AH85" s="73">
        <v>0.0</v>
      </c>
      <c r="AI85" s="73">
        <v>0.0</v>
      </c>
      <c r="AJ85" s="73">
        <v>0.0</v>
      </c>
      <c r="AK85" s="73">
        <v>1.0</v>
      </c>
      <c r="AL85" s="73">
        <v>0.0</v>
      </c>
      <c r="AM85" s="73">
        <v>1.0</v>
      </c>
      <c r="AN85" s="73">
        <v>0.0</v>
      </c>
      <c r="AO85" s="73">
        <v>0.0</v>
      </c>
      <c r="AP85" s="73">
        <v>0.0</v>
      </c>
      <c r="AQ85" s="73">
        <v>0.0</v>
      </c>
      <c r="AR85" s="73">
        <v>0.0</v>
      </c>
      <c r="AS85" s="73">
        <v>0.0</v>
      </c>
      <c r="AT85" s="73">
        <v>0.0</v>
      </c>
      <c r="AU85" s="73">
        <v>0.0</v>
      </c>
      <c r="AV85" s="13">
        <f t="shared" si="20"/>
        <v>28</v>
      </c>
    </row>
    <row r="86" ht="12.75" customHeight="1">
      <c r="A86" s="18"/>
      <c r="B86" s="49"/>
      <c r="C86" s="50" t="s">
        <v>75</v>
      </c>
      <c r="D86" s="51"/>
      <c r="E86" s="73">
        <v>7.0</v>
      </c>
      <c r="F86" s="73">
        <v>0.0</v>
      </c>
      <c r="G86" s="73">
        <v>0.0</v>
      </c>
      <c r="H86" s="73">
        <v>0.0</v>
      </c>
      <c r="I86" s="73">
        <v>0.0</v>
      </c>
      <c r="J86" s="73">
        <v>0.0</v>
      </c>
      <c r="K86" s="73">
        <v>0.0</v>
      </c>
      <c r="L86" s="73">
        <v>1.0</v>
      </c>
      <c r="M86" s="73">
        <v>1.0</v>
      </c>
      <c r="N86" s="73">
        <v>3.0</v>
      </c>
      <c r="O86" s="73">
        <v>1.0</v>
      </c>
      <c r="P86" s="73">
        <v>1.0</v>
      </c>
      <c r="Q86" s="73">
        <v>0.0</v>
      </c>
      <c r="R86" s="73">
        <v>0.0</v>
      </c>
      <c r="S86" s="73">
        <v>0.0</v>
      </c>
      <c r="T86" s="73">
        <v>0.0</v>
      </c>
      <c r="U86" s="73">
        <v>0.0</v>
      </c>
      <c r="V86" s="73">
        <v>0.0</v>
      </c>
      <c r="W86" s="73">
        <v>0.0</v>
      </c>
      <c r="X86" s="73">
        <v>0.0</v>
      </c>
      <c r="Y86" s="73">
        <v>0.0</v>
      </c>
      <c r="Z86" s="73">
        <v>1.0</v>
      </c>
      <c r="AA86" s="73">
        <v>0.0</v>
      </c>
      <c r="AB86" s="73">
        <v>0.0</v>
      </c>
      <c r="AC86" s="73">
        <v>1.0</v>
      </c>
      <c r="AD86" s="73">
        <v>0.0</v>
      </c>
      <c r="AE86" s="73">
        <v>0.0</v>
      </c>
      <c r="AF86" s="73">
        <v>2.0</v>
      </c>
      <c r="AG86" s="73">
        <v>0.0</v>
      </c>
      <c r="AH86" s="73">
        <v>3.0</v>
      </c>
      <c r="AI86" s="73">
        <v>0.0</v>
      </c>
      <c r="AJ86" s="73">
        <v>5.0</v>
      </c>
      <c r="AK86" s="73">
        <v>0.0</v>
      </c>
      <c r="AL86" s="73">
        <v>2.0</v>
      </c>
      <c r="AM86" s="73">
        <v>1.0</v>
      </c>
      <c r="AN86" s="73">
        <v>0.0</v>
      </c>
      <c r="AO86" s="73">
        <v>0.0</v>
      </c>
      <c r="AP86" s="73">
        <v>0.0</v>
      </c>
      <c r="AQ86" s="73">
        <v>0.0</v>
      </c>
      <c r="AR86" s="73">
        <v>0.0</v>
      </c>
      <c r="AS86" s="73">
        <v>0.0</v>
      </c>
      <c r="AT86" s="73">
        <v>0.0</v>
      </c>
      <c r="AU86" s="73">
        <v>0.0</v>
      </c>
      <c r="AV86" s="13">
        <f t="shared" si="20"/>
        <v>29</v>
      </c>
    </row>
    <row r="87" ht="12.75" customHeight="1">
      <c r="A87" s="18"/>
      <c r="B87" s="49"/>
      <c r="C87" s="50" t="s">
        <v>76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0.0</v>
      </c>
      <c r="M87" s="73">
        <v>0.0</v>
      </c>
      <c r="N87" s="73">
        <v>1.0</v>
      </c>
      <c r="O87" s="73">
        <v>0.0</v>
      </c>
      <c r="P87" s="73">
        <v>0.0</v>
      </c>
      <c r="Q87" s="73">
        <v>0.0</v>
      </c>
      <c r="R87" s="73">
        <v>0.0</v>
      </c>
      <c r="S87" s="73">
        <v>0.0</v>
      </c>
      <c r="T87" s="73">
        <v>0.0</v>
      </c>
      <c r="U87" s="73">
        <v>0.0</v>
      </c>
      <c r="V87" s="73">
        <v>0.0</v>
      </c>
      <c r="W87" s="73">
        <v>0.0</v>
      </c>
      <c r="X87" s="73">
        <v>0.0</v>
      </c>
      <c r="Y87" s="73">
        <v>0.0</v>
      </c>
      <c r="Z87" s="73">
        <v>0.0</v>
      </c>
      <c r="AA87" s="73">
        <v>0.0</v>
      </c>
      <c r="AB87" s="73">
        <v>0.0</v>
      </c>
      <c r="AC87" s="73">
        <v>0.0</v>
      </c>
      <c r="AD87" s="73">
        <v>0.0</v>
      </c>
      <c r="AE87" s="73">
        <v>0.0</v>
      </c>
      <c r="AF87" s="73">
        <v>0.0</v>
      </c>
      <c r="AG87" s="73">
        <v>0.0</v>
      </c>
      <c r="AH87" s="73">
        <v>0.0</v>
      </c>
      <c r="AI87" s="73">
        <v>1.0</v>
      </c>
      <c r="AJ87" s="73">
        <v>0.0</v>
      </c>
      <c r="AK87" s="73">
        <v>0.0</v>
      </c>
      <c r="AL87" s="73">
        <v>2.0</v>
      </c>
      <c r="AM87" s="73">
        <v>0.0</v>
      </c>
      <c r="AN87" s="73">
        <v>0.0</v>
      </c>
      <c r="AO87" s="73">
        <v>0.0</v>
      </c>
      <c r="AP87" s="73">
        <v>0.0</v>
      </c>
      <c r="AQ87" s="73">
        <v>0.0</v>
      </c>
      <c r="AR87" s="73">
        <v>0.0</v>
      </c>
      <c r="AS87" s="73">
        <v>0.0</v>
      </c>
      <c r="AT87" s="73">
        <v>0.0</v>
      </c>
      <c r="AU87" s="73">
        <v>0.0</v>
      </c>
      <c r="AV87" s="13">
        <f t="shared" si="20"/>
        <v>4</v>
      </c>
    </row>
    <row r="88" ht="12.75" customHeight="1">
      <c r="A88" s="18"/>
      <c r="B88" s="49"/>
      <c r="C88" s="50" t="s">
        <v>77</v>
      </c>
      <c r="D88" s="51"/>
      <c r="E88" s="73">
        <v>1.0</v>
      </c>
      <c r="F88" s="73">
        <v>0.0</v>
      </c>
      <c r="G88" s="73">
        <v>0.0</v>
      </c>
      <c r="H88" s="73">
        <v>0.0</v>
      </c>
      <c r="I88" s="73">
        <v>0.0</v>
      </c>
      <c r="J88" s="73">
        <v>0.0</v>
      </c>
      <c r="K88" s="73">
        <v>0.0</v>
      </c>
      <c r="L88" s="73">
        <v>0.0</v>
      </c>
      <c r="M88" s="73">
        <v>0.0</v>
      </c>
      <c r="N88" s="73">
        <v>0.0</v>
      </c>
      <c r="O88" s="73">
        <v>0.0</v>
      </c>
      <c r="P88" s="73">
        <v>0.0</v>
      </c>
      <c r="Q88" s="73">
        <v>0.0</v>
      </c>
      <c r="R88" s="73">
        <v>0.0</v>
      </c>
      <c r="S88" s="73">
        <v>0.0</v>
      </c>
      <c r="T88" s="73">
        <v>0.0</v>
      </c>
      <c r="U88" s="73">
        <v>0.0</v>
      </c>
      <c r="V88" s="73">
        <v>0.0</v>
      </c>
      <c r="W88" s="73">
        <v>0.0</v>
      </c>
      <c r="X88" s="73">
        <v>0.0</v>
      </c>
      <c r="Y88" s="73">
        <v>0.0</v>
      </c>
      <c r="Z88" s="73">
        <v>0.0</v>
      </c>
      <c r="AA88" s="73">
        <v>0.0</v>
      </c>
      <c r="AB88" s="73">
        <v>0.0</v>
      </c>
      <c r="AC88" s="73">
        <v>0.0</v>
      </c>
      <c r="AD88" s="73">
        <v>0.0</v>
      </c>
      <c r="AE88" s="73">
        <v>0.0</v>
      </c>
      <c r="AF88" s="73">
        <v>0.0</v>
      </c>
      <c r="AG88" s="73">
        <v>0.0</v>
      </c>
      <c r="AH88" s="73">
        <v>0.0</v>
      </c>
      <c r="AI88" s="73">
        <v>0.0</v>
      </c>
      <c r="AJ88" s="73">
        <v>0.0</v>
      </c>
      <c r="AK88" s="73">
        <v>0.0</v>
      </c>
      <c r="AL88" s="73">
        <v>0.0</v>
      </c>
      <c r="AM88" s="73">
        <v>0.0</v>
      </c>
      <c r="AN88" s="73">
        <v>0.0</v>
      </c>
      <c r="AO88" s="73">
        <v>0.0</v>
      </c>
      <c r="AP88" s="73">
        <v>0.0</v>
      </c>
      <c r="AQ88" s="73">
        <v>0.0</v>
      </c>
      <c r="AR88" s="73">
        <v>0.0</v>
      </c>
      <c r="AS88" s="73">
        <v>0.0</v>
      </c>
      <c r="AT88" s="73">
        <v>0.0</v>
      </c>
      <c r="AU88" s="73">
        <v>0.0</v>
      </c>
      <c r="AV88" s="13">
        <f t="shared" si="20"/>
        <v>1</v>
      </c>
    </row>
    <row r="89" ht="12.75" customHeight="1">
      <c r="A89" s="18"/>
      <c r="B89" s="49"/>
      <c r="C89" s="50" t="s">
        <v>78</v>
      </c>
      <c r="D89" s="51"/>
      <c r="E89" s="73">
        <v>0.0</v>
      </c>
      <c r="F89" s="73">
        <v>0.0</v>
      </c>
      <c r="G89" s="73">
        <v>0.0</v>
      </c>
      <c r="H89" s="73">
        <v>0.0</v>
      </c>
      <c r="I89" s="73">
        <v>0.0</v>
      </c>
      <c r="J89" s="73">
        <v>0.0</v>
      </c>
      <c r="K89" s="73">
        <v>0.0</v>
      </c>
      <c r="L89" s="73">
        <v>0.0</v>
      </c>
      <c r="M89" s="73">
        <v>1.0</v>
      </c>
      <c r="N89" s="73">
        <v>0.0</v>
      </c>
      <c r="O89" s="73">
        <v>0.0</v>
      </c>
      <c r="P89" s="73">
        <v>0.0</v>
      </c>
      <c r="Q89" s="73">
        <v>0.0</v>
      </c>
      <c r="R89" s="73">
        <v>0.0</v>
      </c>
      <c r="S89" s="73">
        <v>0.0</v>
      </c>
      <c r="T89" s="73">
        <v>0.0</v>
      </c>
      <c r="U89" s="73">
        <v>2.0</v>
      </c>
      <c r="V89" s="73">
        <v>0.0</v>
      </c>
      <c r="W89" s="73">
        <v>0.0</v>
      </c>
      <c r="X89" s="73">
        <v>0.0</v>
      </c>
      <c r="Y89" s="73">
        <v>0.0</v>
      </c>
      <c r="Z89" s="73">
        <v>0.0</v>
      </c>
      <c r="AA89" s="73">
        <v>0.0</v>
      </c>
      <c r="AB89" s="73">
        <v>0.0</v>
      </c>
      <c r="AC89" s="73">
        <v>1.0</v>
      </c>
      <c r="AD89" s="73">
        <v>0.0</v>
      </c>
      <c r="AE89" s="73">
        <v>0.0</v>
      </c>
      <c r="AF89" s="73">
        <v>0.0</v>
      </c>
      <c r="AG89" s="73">
        <v>0.0</v>
      </c>
      <c r="AH89" s="73">
        <v>0.0</v>
      </c>
      <c r="AI89" s="73">
        <v>0.0</v>
      </c>
      <c r="AJ89" s="73">
        <v>0.0</v>
      </c>
      <c r="AK89" s="73">
        <v>0.0</v>
      </c>
      <c r="AL89" s="73">
        <v>0.0</v>
      </c>
      <c r="AM89" s="73">
        <v>0.0</v>
      </c>
      <c r="AN89" s="73">
        <v>0.0</v>
      </c>
      <c r="AO89" s="73">
        <v>0.0</v>
      </c>
      <c r="AP89" s="73">
        <v>0.0</v>
      </c>
      <c r="AQ89" s="73">
        <v>0.0</v>
      </c>
      <c r="AR89" s="73">
        <v>0.0</v>
      </c>
      <c r="AS89" s="73">
        <v>0.0</v>
      </c>
      <c r="AT89" s="73">
        <v>0.0</v>
      </c>
      <c r="AU89" s="73">
        <v>0.0</v>
      </c>
      <c r="AV89" s="13">
        <f t="shared" si="20"/>
        <v>4</v>
      </c>
    </row>
    <row r="90" ht="12.75" customHeight="1">
      <c r="A90" s="18"/>
      <c r="B90" s="49"/>
      <c r="C90" s="50" t="s">
        <v>79</v>
      </c>
      <c r="D90" s="51"/>
      <c r="E90" s="73">
        <v>0.0</v>
      </c>
      <c r="F90" s="73">
        <v>0.0</v>
      </c>
      <c r="G90" s="73">
        <v>0.0</v>
      </c>
      <c r="H90" s="73">
        <v>0.0</v>
      </c>
      <c r="I90" s="73">
        <v>1.0</v>
      </c>
      <c r="J90" s="73">
        <v>0.0</v>
      </c>
      <c r="K90" s="73">
        <v>0.0</v>
      </c>
      <c r="L90" s="73">
        <v>0.0</v>
      </c>
      <c r="M90" s="73">
        <v>0.0</v>
      </c>
      <c r="N90" s="73">
        <v>2.0</v>
      </c>
      <c r="O90" s="73">
        <v>1.0</v>
      </c>
      <c r="P90" s="73">
        <v>0.0</v>
      </c>
      <c r="Q90" s="73">
        <v>0.0</v>
      </c>
      <c r="R90" s="73">
        <v>0.0</v>
      </c>
      <c r="S90" s="73">
        <v>0.0</v>
      </c>
      <c r="T90" s="73">
        <v>1.0</v>
      </c>
      <c r="U90" s="73">
        <v>0.0</v>
      </c>
      <c r="V90" s="73">
        <v>0.0</v>
      </c>
      <c r="W90" s="73">
        <v>0.0</v>
      </c>
      <c r="X90" s="73">
        <v>0.0</v>
      </c>
      <c r="Y90" s="73">
        <v>0.0</v>
      </c>
      <c r="Z90" s="73">
        <v>0.0</v>
      </c>
      <c r="AA90" s="73">
        <v>0.0</v>
      </c>
      <c r="AB90" s="73">
        <v>1.0</v>
      </c>
      <c r="AC90" s="73">
        <v>0.0</v>
      </c>
      <c r="AD90" s="73">
        <v>0.0</v>
      </c>
      <c r="AE90" s="73">
        <v>1.0</v>
      </c>
      <c r="AF90" s="73">
        <v>0.0</v>
      </c>
      <c r="AG90" s="73">
        <v>0.0</v>
      </c>
      <c r="AH90" s="73">
        <v>0.0</v>
      </c>
      <c r="AI90" s="73">
        <v>0.0</v>
      </c>
      <c r="AJ90" s="73">
        <v>0.0</v>
      </c>
      <c r="AK90" s="73">
        <v>0.0</v>
      </c>
      <c r="AL90" s="73">
        <v>0.0</v>
      </c>
      <c r="AM90" s="73">
        <v>1.0</v>
      </c>
      <c r="AN90" s="73">
        <v>0.0</v>
      </c>
      <c r="AO90" s="73">
        <v>0.0</v>
      </c>
      <c r="AP90" s="73">
        <v>0.0</v>
      </c>
      <c r="AQ90" s="73">
        <v>0.0</v>
      </c>
      <c r="AR90" s="73">
        <v>0.0</v>
      </c>
      <c r="AS90" s="73">
        <v>0.0</v>
      </c>
      <c r="AT90" s="73">
        <v>0.0</v>
      </c>
      <c r="AU90" s="73">
        <v>0.0</v>
      </c>
      <c r="AV90" s="13">
        <f t="shared" si="20"/>
        <v>8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V91" si="21">SUM(E81:E90)</f>
        <v>24</v>
      </c>
      <c r="F91" s="13">
        <f t="shared" si="21"/>
        <v>15</v>
      </c>
      <c r="G91" s="13">
        <f t="shared" si="21"/>
        <v>13</v>
      </c>
      <c r="H91" s="13">
        <f t="shared" si="21"/>
        <v>6</v>
      </c>
      <c r="I91" s="13">
        <f t="shared" si="21"/>
        <v>16</v>
      </c>
      <c r="J91" s="13">
        <f t="shared" si="21"/>
        <v>9</v>
      </c>
      <c r="K91" s="13">
        <f t="shared" si="21"/>
        <v>2</v>
      </c>
      <c r="L91" s="13">
        <f t="shared" si="21"/>
        <v>11</v>
      </c>
      <c r="M91" s="13">
        <f t="shared" si="21"/>
        <v>11</v>
      </c>
      <c r="N91" s="13">
        <f t="shared" si="21"/>
        <v>11</v>
      </c>
      <c r="O91" s="13">
        <f t="shared" si="21"/>
        <v>8</v>
      </c>
      <c r="P91" s="13">
        <f t="shared" si="21"/>
        <v>5</v>
      </c>
      <c r="Q91" s="13">
        <f t="shared" si="21"/>
        <v>8</v>
      </c>
      <c r="R91" s="13">
        <f t="shared" si="21"/>
        <v>2</v>
      </c>
      <c r="S91" s="13">
        <f t="shared" si="21"/>
        <v>18</v>
      </c>
      <c r="T91" s="13">
        <f t="shared" si="21"/>
        <v>5</v>
      </c>
      <c r="U91" s="13">
        <f t="shared" si="21"/>
        <v>15</v>
      </c>
      <c r="V91" s="13">
        <f t="shared" si="21"/>
        <v>5</v>
      </c>
      <c r="W91" s="13">
        <f t="shared" si="21"/>
        <v>0</v>
      </c>
      <c r="X91" s="13">
        <f t="shared" si="21"/>
        <v>2</v>
      </c>
      <c r="Y91" s="13">
        <f t="shared" si="21"/>
        <v>3</v>
      </c>
      <c r="Z91" s="13">
        <f t="shared" si="21"/>
        <v>5</v>
      </c>
      <c r="AA91" s="13">
        <f t="shared" si="21"/>
        <v>6</v>
      </c>
      <c r="AB91" s="13">
        <f t="shared" si="21"/>
        <v>6</v>
      </c>
      <c r="AC91" s="13">
        <f t="shared" si="21"/>
        <v>10</v>
      </c>
      <c r="AD91" s="13">
        <f t="shared" si="21"/>
        <v>2</v>
      </c>
      <c r="AE91" s="13">
        <f t="shared" si="21"/>
        <v>7</v>
      </c>
      <c r="AF91" s="13">
        <f t="shared" si="21"/>
        <v>20</v>
      </c>
      <c r="AG91" s="13">
        <f t="shared" si="21"/>
        <v>8</v>
      </c>
      <c r="AH91" s="13">
        <f t="shared" si="21"/>
        <v>5</v>
      </c>
      <c r="AI91" s="13">
        <f t="shared" si="21"/>
        <v>20</v>
      </c>
      <c r="AJ91" s="13">
        <f t="shared" si="21"/>
        <v>11</v>
      </c>
      <c r="AK91" s="13">
        <f t="shared" si="21"/>
        <v>6</v>
      </c>
      <c r="AL91" s="13">
        <f t="shared" si="21"/>
        <v>11</v>
      </c>
      <c r="AM91" s="13">
        <f t="shared" si="21"/>
        <v>10</v>
      </c>
      <c r="AN91" s="13">
        <f t="shared" si="21"/>
        <v>0</v>
      </c>
      <c r="AO91" s="13">
        <f t="shared" si="21"/>
        <v>0</v>
      </c>
      <c r="AP91" s="13">
        <f t="shared" si="21"/>
        <v>0</v>
      </c>
      <c r="AQ91" s="13">
        <f t="shared" si="21"/>
        <v>0</v>
      </c>
      <c r="AR91" s="13">
        <f t="shared" si="21"/>
        <v>0</v>
      </c>
      <c r="AS91" s="13">
        <f t="shared" si="21"/>
        <v>0</v>
      </c>
      <c r="AT91" s="13">
        <f t="shared" si="21"/>
        <v>0</v>
      </c>
      <c r="AU91" s="13">
        <f t="shared" si="21"/>
        <v>0</v>
      </c>
      <c r="AV91" s="13">
        <f t="shared" si="21"/>
        <v>316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2.0</v>
      </c>
      <c r="F93" s="73">
        <v>1.0</v>
      </c>
      <c r="G93" s="73">
        <v>0.0</v>
      </c>
      <c r="H93" s="73">
        <v>1.0</v>
      </c>
      <c r="I93" s="73">
        <v>1.0</v>
      </c>
      <c r="J93" s="73">
        <v>1.0</v>
      </c>
      <c r="K93" s="73">
        <v>0.0</v>
      </c>
      <c r="L93" s="73">
        <v>0.0</v>
      </c>
      <c r="M93" s="73">
        <v>0.0</v>
      </c>
      <c r="N93" s="73">
        <v>0.0</v>
      </c>
      <c r="O93" s="73">
        <v>0.0</v>
      </c>
      <c r="P93" s="73">
        <v>2.0</v>
      </c>
      <c r="Q93" s="73">
        <v>1.0</v>
      </c>
      <c r="R93" s="73">
        <v>0.0</v>
      </c>
      <c r="S93" s="73">
        <v>1.0</v>
      </c>
      <c r="T93" s="73">
        <v>1.0</v>
      </c>
      <c r="U93" s="73">
        <v>0.0</v>
      </c>
      <c r="V93" s="73">
        <v>1.0</v>
      </c>
      <c r="W93" s="73">
        <v>0.0</v>
      </c>
      <c r="X93" s="73">
        <v>0.0</v>
      </c>
      <c r="Y93" s="73">
        <v>0.0</v>
      </c>
      <c r="Z93" s="73">
        <v>0.0</v>
      </c>
      <c r="AA93" s="73">
        <v>0.0</v>
      </c>
      <c r="AB93" s="73">
        <v>1.0</v>
      </c>
      <c r="AC93" s="73">
        <v>0.0</v>
      </c>
      <c r="AD93" s="73">
        <v>1.0</v>
      </c>
      <c r="AE93" s="73">
        <v>0.0</v>
      </c>
      <c r="AF93" s="73">
        <v>0.0</v>
      </c>
      <c r="AG93" s="73">
        <v>0.0</v>
      </c>
      <c r="AH93" s="73">
        <v>1.0</v>
      </c>
      <c r="AI93" s="73">
        <v>0.0</v>
      </c>
      <c r="AJ93" s="73">
        <v>0.0</v>
      </c>
      <c r="AK93" s="73">
        <v>2.0</v>
      </c>
      <c r="AL93" s="73">
        <v>1.0</v>
      </c>
      <c r="AM93" s="73">
        <v>2.0</v>
      </c>
      <c r="AN93" s="73">
        <v>0.0</v>
      </c>
      <c r="AO93" s="73">
        <v>0.0</v>
      </c>
      <c r="AP93" s="73">
        <v>0.0</v>
      </c>
      <c r="AQ93" s="73">
        <v>0.0</v>
      </c>
      <c r="AR93" s="73">
        <v>0.0</v>
      </c>
      <c r="AS93" s="73">
        <v>0.0</v>
      </c>
      <c r="AT93" s="73">
        <v>0.0</v>
      </c>
      <c r="AU93" s="73">
        <v>0.0</v>
      </c>
      <c r="AV93" s="13">
        <f t="shared" ref="AV93:AV102" si="22">SUM(E93:AU93)</f>
        <v>20</v>
      </c>
    </row>
    <row r="94" ht="12.75" customHeight="1">
      <c r="A94" s="30" t="s">
        <v>39</v>
      </c>
      <c r="B94" s="49"/>
      <c r="C94" s="50" t="s">
        <v>82</v>
      </c>
      <c r="D94" s="56"/>
      <c r="E94" s="73">
        <v>6.0</v>
      </c>
      <c r="F94" s="73">
        <v>0.0</v>
      </c>
      <c r="G94" s="73">
        <v>0.0</v>
      </c>
      <c r="H94" s="73">
        <v>0.0</v>
      </c>
      <c r="I94" s="73">
        <v>0.0</v>
      </c>
      <c r="J94" s="73">
        <v>0.0</v>
      </c>
      <c r="K94" s="73">
        <v>1.0</v>
      </c>
      <c r="L94" s="73">
        <v>0.0</v>
      </c>
      <c r="M94" s="73">
        <v>2.0</v>
      </c>
      <c r="N94" s="73">
        <v>0.0</v>
      </c>
      <c r="O94" s="73">
        <v>15.0</v>
      </c>
      <c r="P94" s="73">
        <v>9.0</v>
      </c>
      <c r="Q94" s="73">
        <v>1.0</v>
      </c>
      <c r="R94" s="73">
        <v>0.0</v>
      </c>
      <c r="S94" s="73">
        <v>0.0</v>
      </c>
      <c r="T94" s="73">
        <v>7.0</v>
      </c>
      <c r="U94" s="73">
        <v>1.0</v>
      </c>
      <c r="V94" s="73">
        <v>1.0</v>
      </c>
      <c r="W94" s="73">
        <v>1.0</v>
      </c>
      <c r="X94" s="73">
        <v>0.0</v>
      </c>
      <c r="Y94" s="73">
        <v>2.0</v>
      </c>
      <c r="Z94" s="73">
        <v>0.0</v>
      </c>
      <c r="AA94" s="73">
        <v>8.0</v>
      </c>
      <c r="AB94" s="73">
        <v>1.0</v>
      </c>
      <c r="AC94" s="73">
        <v>1.0</v>
      </c>
      <c r="AD94" s="73">
        <v>2.0</v>
      </c>
      <c r="AE94" s="73">
        <v>1.0</v>
      </c>
      <c r="AF94" s="73">
        <v>1.0</v>
      </c>
      <c r="AG94" s="73">
        <v>0.0</v>
      </c>
      <c r="AH94" s="73">
        <v>1.0</v>
      </c>
      <c r="AI94" s="73">
        <v>0.0</v>
      </c>
      <c r="AJ94" s="73">
        <v>1.0</v>
      </c>
      <c r="AK94" s="73">
        <v>0.0</v>
      </c>
      <c r="AL94" s="73">
        <v>4.0</v>
      </c>
      <c r="AM94" s="73">
        <v>5.0</v>
      </c>
      <c r="AN94" s="73">
        <v>0.0</v>
      </c>
      <c r="AO94" s="73">
        <v>0.0</v>
      </c>
      <c r="AP94" s="73">
        <v>0.0</v>
      </c>
      <c r="AQ94" s="73">
        <v>0.0</v>
      </c>
      <c r="AR94" s="73">
        <v>0.0</v>
      </c>
      <c r="AS94" s="73">
        <v>0.0</v>
      </c>
      <c r="AT94" s="73">
        <v>0.0</v>
      </c>
      <c r="AU94" s="73">
        <v>0.0</v>
      </c>
      <c r="AV94" s="13">
        <f t="shared" si="22"/>
        <v>71</v>
      </c>
    </row>
    <row r="95" ht="12.75" customHeight="1">
      <c r="A95" s="18"/>
      <c r="B95" s="49"/>
      <c r="C95" s="50" t="s">
        <v>83</v>
      </c>
      <c r="D95" s="56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0.0</v>
      </c>
      <c r="L95" s="73">
        <v>0.0</v>
      </c>
      <c r="M95" s="73">
        <v>0.0</v>
      </c>
      <c r="N95" s="73">
        <v>0.0</v>
      </c>
      <c r="O95" s="73">
        <v>0.0</v>
      </c>
      <c r="P95" s="73">
        <v>1.0</v>
      </c>
      <c r="Q95" s="73">
        <v>0.0</v>
      </c>
      <c r="R95" s="73">
        <v>0.0</v>
      </c>
      <c r="S95" s="73">
        <v>0.0</v>
      </c>
      <c r="T95" s="73">
        <v>0.0</v>
      </c>
      <c r="U95" s="73">
        <v>0.0</v>
      </c>
      <c r="V95" s="73">
        <v>0.0</v>
      </c>
      <c r="W95" s="73">
        <v>0.0</v>
      </c>
      <c r="X95" s="73">
        <v>0.0</v>
      </c>
      <c r="Y95" s="73">
        <v>0.0</v>
      </c>
      <c r="Z95" s="73">
        <v>0.0</v>
      </c>
      <c r="AA95" s="73">
        <v>0.0</v>
      </c>
      <c r="AB95" s="73">
        <v>0.0</v>
      </c>
      <c r="AC95" s="73">
        <v>0.0</v>
      </c>
      <c r="AD95" s="73">
        <v>0.0</v>
      </c>
      <c r="AE95" s="73">
        <v>1.0</v>
      </c>
      <c r="AF95" s="73">
        <v>0.0</v>
      </c>
      <c r="AG95" s="73">
        <v>0.0</v>
      </c>
      <c r="AH95" s="73">
        <v>0.0</v>
      </c>
      <c r="AI95" s="73">
        <v>0.0</v>
      </c>
      <c r="AJ95" s="73">
        <v>0.0</v>
      </c>
      <c r="AK95" s="73">
        <v>0.0</v>
      </c>
      <c r="AL95" s="73">
        <v>0.0</v>
      </c>
      <c r="AM95" s="73">
        <v>1.0</v>
      </c>
      <c r="AN95" s="73">
        <v>0.0</v>
      </c>
      <c r="AO95" s="73">
        <v>0.0</v>
      </c>
      <c r="AP95" s="73">
        <v>0.0</v>
      </c>
      <c r="AQ95" s="73">
        <v>0.0</v>
      </c>
      <c r="AR95" s="73">
        <v>0.0</v>
      </c>
      <c r="AS95" s="73">
        <v>0.0</v>
      </c>
      <c r="AT95" s="73">
        <v>0.0</v>
      </c>
      <c r="AU95" s="73">
        <v>0.0</v>
      </c>
      <c r="AV95" s="13">
        <f t="shared" si="22"/>
        <v>3</v>
      </c>
    </row>
    <row r="96" ht="12.75" customHeight="1">
      <c r="A96" s="18"/>
      <c r="B96" s="49"/>
      <c r="C96" s="50" t="s">
        <v>84</v>
      </c>
      <c r="D96" s="56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73">
        <v>1.0</v>
      </c>
      <c r="U96" s="73">
        <v>0.0</v>
      </c>
      <c r="V96" s="73">
        <v>0.0</v>
      </c>
      <c r="W96" s="73">
        <v>0.0</v>
      </c>
      <c r="X96" s="73">
        <v>0.0</v>
      </c>
      <c r="Y96" s="73">
        <v>0.0</v>
      </c>
      <c r="Z96" s="73">
        <v>0.0</v>
      </c>
      <c r="AA96" s="73">
        <v>0.0</v>
      </c>
      <c r="AB96" s="73">
        <v>0.0</v>
      </c>
      <c r="AC96" s="73">
        <v>0.0</v>
      </c>
      <c r="AD96" s="73">
        <v>0.0</v>
      </c>
      <c r="AE96" s="73">
        <v>0.0</v>
      </c>
      <c r="AF96" s="73">
        <v>0.0</v>
      </c>
      <c r="AG96" s="73">
        <v>0.0</v>
      </c>
      <c r="AH96" s="73">
        <v>0.0</v>
      </c>
      <c r="AI96" s="73">
        <v>0.0</v>
      </c>
      <c r="AJ96" s="73">
        <v>0.0</v>
      </c>
      <c r="AK96" s="73">
        <v>0.0</v>
      </c>
      <c r="AL96" s="73">
        <v>0.0</v>
      </c>
      <c r="AM96" s="73">
        <v>0.0</v>
      </c>
      <c r="AN96" s="73">
        <v>0.0</v>
      </c>
      <c r="AO96" s="73">
        <v>0.0</v>
      </c>
      <c r="AP96" s="73">
        <v>0.0</v>
      </c>
      <c r="AQ96" s="73">
        <v>0.0</v>
      </c>
      <c r="AR96" s="73">
        <v>0.0</v>
      </c>
      <c r="AS96" s="73">
        <v>0.0</v>
      </c>
      <c r="AT96" s="73">
        <v>0.0</v>
      </c>
      <c r="AU96" s="73">
        <v>0.0</v>
      </c>
      <c r="AV96" s="13">
        <f t="shared" si="22"/>
        <v>1</v>
      </c>
    </row>
    <row r="97" ht="12.75" customHeight="1">
      <c r="A97" s="18"/>
      <c r="B97" s="49"/>
      <c r="C97" s="50" t="s">
        <v>85</v>
      </c>
      <c r="D97" s="56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1.0</v>
      </c>
      <c r="P97" s="73">
        <v>0.0</v>
      </c>
      <c r="Q97" s="73">
        <v>0.0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73">
        <v>0.0</v>
      </c>
      <c r="Y97" s="73">
        <v>0.0</v>
      </c>
      <c r="Z97" s="73">
        <v>0.0</v>
      </c>
      <c r="AA97" s="73">
        <v>1.0</v>
      </c>
      <c r="AB97" s="73">
        <v>0.0</v>
      </c>
      <c r="AC97" s="73">
        <v>0.0</v>
      </c>
      <c r="AD97" s="73">
        <v>0.0</v>
      </c>
      <c r="AE97" s="73">
        <v>0.0</v>
      </c>
      <c r="AF97" s="73">
        <v>0.0</v>
      </c>
      <c r="AG97" s="73">
        <v>0.0</v>
      </c>
      <c r="AH97" s="73">
        <v>0.0</v>
      </c>
      <c r="AI97" s="73">
        <v>0.0</v>
      </c>
      <c r="AJ97" s="73">
        <v>0.0</v>
      </c>
      <c r="AK97" s="73">
        <v>0.0</v>
      </c>
      <c r="AL97" s="73">
        <v>1.0</v>
      </c>
      <c r="AM97" s="73">
        <v>1.0</v>
      </c>
      <c r="AN97" s="73">
        <v>0.0</v>
      </c>
      <c r="AO97" s="73">
        <v>0.0</v>
      </c>
      <c r="AP97" s="73">
        <v>0.0</v>
      </c>
      <c r="AQ97" s="73">
        <v>0.0</v>
      </c>
      <c r="AR97" s="73">
        <v>0.0</v>
      </c>
      <c r="AS97" s="73">
        <v>0.0</v>
      </c>
      <c r="AT97" s="73">
        <v>0.0</v>
      </c>
      <c r="AU97" s="73">
        <v>0.0</v>
      </c>
      <c r="AV97" s="13">
        <f t="shared" si="22"/>
        <v>4</v>
      </c>
    </row>
    <row r="98" ht="12.75" customHeight="1">
      <c r="A98" s="18"/>
      <c r="B98" s="49"/>
      <c r="C98" s="50" t="s">
        <v>86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73">
        <v>0.0</v>
      </c>
      <c r="M98" s="73">
        <v>0.0</v>
      </c>
      <c r="N98" s="73">
        <v>1.0</v>
      </c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73">
        <v>0.0</v>
      </c>
      <c r="Z98" s="73">
        <v>0.0</v>
      </c>
      <c r="AA98" s="73">
        <v>0.0</v>
      </c>
      <c r="AB98" s="73">
        <v>0.0</v>
      </c>
      <c r="AC98" s="73">
        <v>0.0</v>
      </c>
      <c r="AD98" s="73">
        <v>0.0</v>
      </c>
      <c r="AE98" s="73">
        <v>0.0</v>
      </c>
      <c r="AF98" s="73">
        <v>0.0</v>
      </c>
      <c r="AG98" s="73">
        <v>0.0</v>
      </c>
      <c r="AH98" s="73">
        <v>0.0</v>
      </c>
      <c r="AI98" s="73">
        <v>0.0</v>
      </c>
      <c r="AJ98" s="73">
        <v>0.0</v>
      </c>
      <c r="AK98" s="73">
        <v>0.0</v>
      </c>
      <c r="AL98" s="73">
        <v>0.0</v>
      </c>
      <c r="AM98" s="73">
        <v>0.0</v>
      </c>
      <c r="AN98" s="73">
        <v>0.0</v>
      </c>
      <c r="AO98" s="73">
        <v>0.0</v>
      </c>
      <c r="AP98" s="73">
        <v>0.0</v>
      </c>
      <c r="AQ98" s="73">
        <v>0.0</v>
      </c>
      <c r="AR98" s="73">
        <v>0.0</v>
      </c>
      <c r="AS98" s="73">
        <v>0.0</v>
      </c>
      <c r="AT98" s="73">
        <v>0.0</v>
      </c>
      <c r="AU98" s="73">
        <v>0.0</v>
      </c>
      <c r="AV98" s="13">
        <f t="shared" si="22"/>
        <v>1</v>
      </c>
    </row>
    <row r="99" ht="12.75" customHeight="1">
      <c r="A99" s="18"/>
      <c r="B99" s="49"/>
      <c r="C99" s="50" t="s">
        <v>87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1.0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0.0</v>
      </c>
      <c r="AA99" s="73">
        <v>0.0</v>
      </c>
      <c r="AB99" s="73">
        <v>0.0</v>
      </c>
      <c r="AC99" s="73">
        <v>0.0</v>
      </c>
      <c r="AD99" s="73">
        <v>0.0</v>
      </c>
      <c r="AE99" s="73">
        <v>0.0</v>
      </c>
      <c r="AF99" s="73">
        <v>0.0</v>
      </c>
      <c r="AG99" s="73">
        <v>0.0</v>
      </c>
      <c r="AH99" s="73">
        <v>0.0</v>
      </c>
      <c r="AI99" s="73">
        <v>0.0</v>
      </c>
      <c r="AJ99" s="73">
        <v>0.0</v>
      </c>
      <c r="AK99" s="73">
        <v>0.0</v>
      </c>
      <c r="AL99" s="73">
        <v>0.0</v>
      </c>
      <c r="AM99" s="73">
        <v>0.0</v>
      </c>
      <c r="AN99" s="73">
        <v>0.0</v>
      </c>
      <c r="AO99" s="73">
        <v>0.0</v>
      </c>
      <c r="AP99" s="73">
        <v>0.0</v>
      </c>
      <c r="AQ99" s="73">
        <v>0.0</v>
      </c>
      <c r="AR99" s="73">
        <v>0.0</v>
      </c>
      <c r="AS99" s="73">
        <v>0.0</v>
      </c>
      <c r="AT99" s="73">
        <v>0.0</v>
      </c>
      <c r="AU99" s="73">
        <v>0.0</v>
      </c>
      <c r="AV99" s="13">
        <f t="shared" si="22"/>
        <v>1</v>
      </c>
    </row>
    <row r="100" ht="12.75" customHeight="1">
      <c r="A100" s="18"/>
      <c r="B100" s="49"/>
      <c r="C100" s="50" t="s">
        <v>88</v>
      </c>
      <c r="D100" s="56"/>
      <c r="E100" s="73">
        <v>0.0</v>
      </c>
      <c r="F100" s="73">
        <v>0.0</v>
      </c>
      <c r="G100" s="73">
        <v>0.0</v>
      </c>
      <c r="H100" s="73">
        <v>0.0</v>
      </c>
      <c r="I100" s="73">
        <v>0.0</v>
      </c>
      <c r="J100" s="73">
        <v>0.0</v>
      </c>
      <c r="K100" s="73">
        <v>0.0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73">
        <v>0.0</v>
      </c>
      <c r="R100" s="73">
        <v>0.0</v>
      </c>
      <c r="S100" s="73">
        <v>0.0</v>
      </c>
      <c r="T100" s="73">
        <v>0.0</v>
      </c>
      <c r="U100" s="73">
        <v>0.0</v>
      </c>
      <c r="V100" s="73">
        <v>0.0</v>
      </c>
      <c r="W100" s="73">
        <v>0.0</v>
      </c>
      <c r="X100" s="73">
        <v>0.0</v>
      </c>
      <c r="Y100" s="73">
        <v>0.0</v>
      </c>
      <c r="Z100" s="73">
        <v>0.0</v>
      </c>
      <c r="AA100" s="73">
        <v>0.0</v>
      </c>
      <c r="AB100" s="73">
        <v>0.0</v>
      </c>
      <c r="AC100" s="73">
        <v>1.0</v>
      </c>
      <c r="AD100" s="73">
        <v>0.0</v>
      </c>
      <c r="AE100" s="73">
        <v>0.0</v>
      </c>
      <c r="AF100" s="73">
        <v>0.0</v>
      </c>
      <c r="AG100" s="73">
        <v>0.0</v>
      </c>
      <c r="AH100" s="73">
        <v>0.0</v>
      </c>
      <c r="AI100" s="73">
        <v>0.0</v>
      </c>
      <c r="AJ100" s="73">
        <v>0.0</v>
      </c>
      <c r="AK100" s="73">
        <v>0.0</v>
      </c>
      <c r="AL100" s="73">
        <v>0.0</v>
      </c>
      <c r="AM100" s="73">
        <v>0.0</v>
      </c>
      <c r="AN100" s="73">
        <v>0.0</v>
      </c>
      <c r="AO100" s="73">
        <v>0.0</v>
      </c>
      <c r="AP100" s="73">
        <v>0.0</v>
      </c>
      <c r="AQ100" s="73">
        <v>0.0</v>
      </c>
      <c r="AR100" s="73">
        <v>0.0</v>
      </c>
      <c r="AS100" s="73">
        <v>0.0</v>
      </c>
      <c r="AT100" s="73">
        <v>0.0</v>
      </c>
      <c r="AU100" s="73">
        <v>0.0</v>
      </c>
      <c r="AV100" s="13">
        <f t="shared" si="22"/>
        <v>1</v>
      </c>
    </row>
    <row r="101" ht="12.75" customHeight="1">
      <c r="A101" s="18"/>
      <c r="B101" s="49"/>
      <c r="C101" s="50" t="s">
        <v>89</v>
      </c>
      <c r="D101" s="56"/>
      <c r="E101" s="73">
        <v>0.0</v>
      </c>
      <c r="F101" s="73">
        <v>0.0</v>
      </c>
      <c r="G101" s="73">
        <v>0.0</v>
      </c>
      <c r="H101" s="73">
        <v>0.0</v>
      </c>
      <c r="I101" s="73">
        <v>0.0</v>
      </c>
      <c r="J101" s="73">
        <v>0.0</v>
      </c>
      <c r="K101" s="73">
        <v>0.0</v>
      </c>
      <c r="L101" s="73">
        <v>0.0</v>
      </c>
      <c r="M101" s="73">
        <v>0.0</v>
      </c>
      <c r="N101" s="73">
        <v>0.0</v>
      </c>
      <c r="O101" s="73">
        <v>0.0</v>
      </c>
      <c r="P101" s="73">
        <v>0.0</v>
      </c>
      <c r="Q101" s="73">
        <v>0.0</v>
      </c>
      <c r="R101" s="73">
        <v>0.0</v>
      </c>
      <c r="S101" s="73">
        <v>1.0</v>
      </c>
      <c r="T101" s="73">
        <v>1.0</v>
      </c>
      <c r="U101" s="73">
        <v>0.0</v>
      </c>
      <c r="V101" s="73">
        <v>0.0</v>
      </c>
      <c r="W101" s="73">
        <v>0.0</v>
      </c>
      <c r="X101" s="73">
        <v>0.0</v>
      </c>
      <c r="Y101" s="73">
        <v>0.0</v>
      </c>
      <c r="Z101" s="73">
        <v>0.0</v>
      </c>
      <c r="AA101" s="73">
        <v>0.0</v>
      </c>
      <c r="AB101" s="73">
        <v>0.0</v>
      </c>
      <c r="AC101" s="73">
        <v>0.0</v>
      </c>
      <c r="AD101" s="73">
        <v>0.0</v>
      </c>
      <c r="AE101" s="73">
        <v>0.0</v>
      </c>
      <c r="AF101" s="73">
        <v>0.0</v>
      </c>
      <c r="AG101" s="73">
        <v>0.0</v>
      </c>
      <c r="AH101" s="73">
        <v>0.0</v>
      </c>
      <c r="AI101" s="73">
        <v>0.0</v>
      </c>
      <c r="AJ101" s="73">
        <v>0.0</v>
      </c>
      <c r="AK101" s="73">
        <v>0.0</v>
      </c>
      <c r="AL101" s="73">
        <v>0.0</v>
      </c>
      <c r="AM101" s="73">
        <v>1.0</v>
      </c>
      <c r="AN101" s="73">
        <v>0.0</v>
      </c>
      <c r="AO101" s="73">
        <v>0.0</v>
      </c>
      <c r="AP101" s="73">
        <v>0.0</v>
      </c>
      <c r="AQ101" s="73">
        <v>0.0</v>
      </c>
      <c r="AR101" s="73">
        <v>0.0</v>
      </c>
      <c r="AS101" s="73">
        <v>0.0</v>
      </c>
      <c r="AT101" s="73">
        <v>0.0</v>
      </c>
      <c r="AU101" s="73">
        <v>0.0</v>
      </c>
      <c r="AV101" s="13">
        <f t="shared" si="22"/>
        <v>3</v>
      </c>
    </row>
    <row r="102" ht="12.75" customHeight="1">
      <c r="A102" s="18"/>
      <c r="B102" s="49"/>
      <c r="C102" s="50" t="s">
        <v>90</v>
      </c>
      <c r="D102" s="56"/>
      <c r="E102" s="73">
        <v>0.0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0.0</v>
      </c>
      <c r="L102" s="73">
        <v>0.0</v>
      </c>
      <c r="M102" s="73">
        <v>0.0</v>
      </c>
      <c r="N102" s="73">
        <v>0.0</v>
      </c>
      <c r="O102" s="73">
        <v>0.0</v>
      </c>
      <c r="P102" s="73">
        <v>0.0</v>
      </c>
      <c r="Q102" s="73">
        <v>0.0</v>
      </c>
      <c r="R102" s="73">
        <v>0.0</v>
      </c>
      <c r="S102" s="73">
        <v>0.0</v>
      </c>
      <c r="T102" s="73">
        <v>0.0</v>
      </c>
      <c r="U102" s="73">
        <v>0.0</v>
      </c>
      <c r="V102" s="73">
        <v>0.0</v>
      </c>
      <c r="W102" s="73">
        <v>0.0</v>
      </c>
      <c r="X102" s="73">
        <v>0.0</v>
      </c>
      <c r="Y102" s="73">
        <v>0.0</v>
      </c>
      <c r="Z102" s="73">
        <v>0.0</v>
      </c>
      <c r="AA102" s="73">
        <v>0.0</v>
      </c>
      <c r="AB102" s="73">
        <v>0.0</v>
      </c>
      <c r="AC102" s="73">
        <v>0.0</v>
      </c>
      <c r="AD102" s="73">
        <v>0.0</v>
      </c>
      <c r="AE102" s="73">
        <v>0.0</v>
      </c>
      <c r="AF102" s="73">
        <v>0.0</v>
      </c>
      <c r="AG102" s="73">
        <v>0.0</v>
      </c>
      <c r="AH102" s="73">
        <v>0.0</v>
      </c>
      <c r="AI102" s="73">
        <v>0.0</v>
      </c>
      <c r="AJ102" s="73">
        <v>0.0</v>
      </c>
      <c r="AK102" s="73">
        <v>0.0</v>
      </c>
      <c r="AL102" s="73">
        <v>0.0</v>
      </c>
      <c r="AM102" s="73">
        <v>0.0</v>
      </c>
      <c r="AN102" s="73">
        <v>0.0</v>
      </c>
      <c r="AO102" s="73">
        <v>0.0</v>
      </c>
      <c r="AP102" s="73">
        <v>0.0</v>
      </c>
      <c r="AQ102" s="73">
        <v>0.0</v>
      </c>
      <c r="AR102" s="73">
        <v>0.0</v>
      </c>
      <c r="AS102" s="73">
        <v>0.0</v>
      </c>
      <c r="AT102" s="73">
        <v>0.0</v>
      </c>
      <c r="AU102" s="73">
        <v>0.0</v>
      </c>
      <c r="AV102" s="13">
        <f t="shared" si="22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V103" si="23">SUM(E93:E102)</f>
        <v>8</v>
      </c>
      <c r="F103" s="13">
        <f t="shared" si="23"/>
        <v>1</v>
      </c>
      <c r="G103" s="13">
        <f t="shared" si="23"/>
        <v>0</v>
      </c>
      <c r="H103" s="13">
        <f t="shared" si="23"/>
        <v>1</v>
      </c>
      <c r="I103" s="13">
        <f t="shared" si="23"/>
        <v>1</v>
      </c>
      <c r="J103" s="13">
        <f t="shared" si="23"/>
        <v>2</v>
      </c>
      <c r="K103" s="13">
        <f t="shared" si="23"/>
        <v>1</v>
      </c>
      <c r="L103" s="13">
        <f t="shared" si="23"/>
        <v>0</v>
      </c>
      <c r="M103" s="13">
        <f t="shared" si="23"/>
        <v>2</v>
      </c>
      <c r="N103" s="13">
        <f t="shared" si="23"/>
        <v>1</v>
      </c>
      <c r="O103" s="13">
        <f t="shared" si="23"/>
        <v>16</v>
      </c>
      <c r="P103" s="13">
        <f t="shared" si="23"/>
        <v>12</v>
      </c>
      <c r="Q103" s="13">
        <f t="shared" si="23"/>
        <v>2</v>
      </c>
      <c r="R103" s="13">
        <f t="shared" si="23"/>
        <v>0</v>
      </c>
      <c r="S103" s="13">
        <f t="shared" si="23"/>
        <v>2</v>
      </c>
      <c r="T103" s="13">
        <f t="shared" si="23"/>
        <v>10</v>
      </c>
      <c r="U103" s="13">
        <f t="shared" si="23"/>
        <v>1</v>
      </c>
      <c r="V103" s="13">
        <f t="shared" si="23"/>
        <v>2</v>
      </c>
      <c r="W103" s="13">
        <f t="shared" si="23"/>
        <v>1</v>
      </c>
      <c r="X103" s="13">
        <f t="shared" si="23"/>
        <v>0</v>
      </c>
      <c r="Y103" s="13">
        <f t="shared" si="23"/>
        <v>2</v>
      </c>
      <c r="Z103" s="13">
        <f t="shared" si="23"/>
        <v>0</v>
      </c>
      <c r="AA103" s="13">
        <f t="shared" si="23"/>
        <v>9</v>
      </c>
      <c r="AB103" s="13">
        <f t="shared" si="23"/>
        <v>2</v>
      </c>
      <c r="AC103" s="13">
        <f t="shared" si="23"/>
        <v>2</v>
      </c>
      <c r="AD103" s="13">
        <f t="shared" si="23"/>
        <v>3</v>
      </c>
      <c r="AE103" s="13">
        <f t="shared" si="23"/>
        <v>2</v>
      </c>
      <c r="AF103" s="13">
        <f t="shared" si="23"/>
        <v>1</v>
      </c>
      <c r="AG103" s="13">
        <f t="shared" si="23"/>
        <v>0</v>
      </c>
      <c r="AH103" s="13">
        <f t="shared" si="23"/>
        <v>2</v>
      </c>
      <c r="AI103" s="13">
        <f t="shared" si="23"/>
        <v>0</v>
      </c>
      <c r="AJ103" s="13">
        <f t="shared" si="23"/>
        <v>1</v>
      </c>
      <c r="AK103" s="13">
        <f t="shared" si="23"/>
        <v>2</v>
      </c>
      <c r="AL103" s="13">
        <f t="shared" si="23"/>
        <v>6</v>
      </c>
      <c r="AM103" s="13">
        <f t="shared" si="23"/>
        <v>10</v>
      </c>
      <c r="AN103" s="13">
        <f t="shared" si="23"/>
        <v>0</v>
      </c>
      <c r="AO103" s="13">
        <f t="shared" si="23"/>
        <v>0</v>
      </c>
      <c r="AP103" s="13">
        <f t="shared" si="23"/>
        <v>0</v>
      </c>
      <c r="AQ103" s="13">
        <f t="shared" si="23"/>
        <v>0</v>
      </c>
      <c r="AR103" s="13">
        <f t="shared" si="23"/>
        <v>0</v>
      </c>
      <c r="AS103" s="13">
        <f t="shared" si="23"/>
        <v>0</v>
      </c>
      <c r="AT103" s="13">
        <f t="shared" si="23"/>
        <v>0</v>
      </c>
      <c r="AU103" s="13">
        <f t="shared" si="23"/>
        <v>0</v>
      </c>
      <c r="AV103" s="13">
        <f t="shared" si="23"/>
        <v>105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0.0</v>
      </c>
      <c r="F105" s="73">
        <v>0.0</v>
      </c>
      <c r="G105" s="73">
        <v>0.0</v>
      </c>
      <c r="H105" s="73">
        <v>0.0</v>
      </c>
      <c r="I105" s="73">
        <v>0.0</v>
      </c>
      <c r="J105" s="73">
        <v>2.0</v>
      </c>
      <c r="K105" s="73">
        <v>1.0</v>
      </c>
      <c r="L105" s="73">
        <v>0.0</v>
      </c>
      <c r="M105" s="73">
        <v>0.0</v>
      </c>
      <c r="N105" s="73">
        <v>1.0</v>
      </c>
      <c r="O105" s="73">
        <v>2.0</v>
      </c>
      <c r="P105" s="73">
        <v>0.0</v>
      </c>
      <c r="Q105" s="73">
        <v>0.0</v>
      </c>
      <c r="R105" s="73">
        <v>0.0</v>
      </c>
      <c r="S105" s="73">
        <v>1.0</v>
      </c>
      <c r="T105" s="73">
        <v>0.0</v>
      </c>
      <c r="U105" s="73">
        <v>2.0</v>
      </c>
      <c r="V105" s="73">
        <v>0.0</v>
      </c>
      <c r="W105" s="73">
        <v>0.0</v>
      </c>
      <c r="X105" s="73">
        <v>0.0</v>
      </c>
      <c r="Y105" s="73">
        <v>1.0</v>
      </c>
      <c r="Z105" s="73">
        <v>1.0</v>
      </c>
      <c r="AA105" s="73">
        <v>0.0</v>
      </c>
      <c r="AB105" s="73">
        <v>0.0</v>
      </c>
      <c r="AC105" s="73">
        <v>0.0</v>
      </c>
      <c r="AD105" s="73">
        <v>3.0</v>
      </c>
      <c r="AE105" s="73">
        <v>0.0</v>
      </c>
      <c r="AF105" s="73">
        <v>2.0</v>
      </c>
      <c r="AG105" s="73">
        <v>1.0</v>
      </c>
      <c r="AH105" s="73">
        <v>0.0</v>
      </c>
      <c r="AI105" s="73">
        <v>0.0</v>
      </c>
      <c r="AJ105" s="73">
        <v>0.0</v>
      </c>
      <c r="AK105" s="73">
        <v>3.0</v>
      </c>
      <c r="AL105" s="73">
        <v>1.0</v>
      </c>
      <c r="AM105" s="73">
        <v>1.0</v>
      </c>
      <c r="AN105" s="73">
        <v>0.0</v>
      </c>
      <c r="AO105" s="73">
        <v>0.0</v>
      </c>
      <c r="AP105" s="73">
        <v>0.0</v>
      </c>
      <c r="AQ105" s="73">
        <v>0.0</v>
      </c>
      <c r="AR105" s="73">
        <v>0.0</v>
      </c>
      <c r="AS105" s="73">
        <v>0.0</v>
      </c>
      <c r="AT105" s="73">
        <v>0.0</v>
      </c>
      <c r="AU105" s="73">
        <v>0.0</v>
      </c>
      <c r="AV105" s="13">
        <f t="shared" ref="AV105:AV114" si="24">SUM(E105:AU105)</f>
        <v>22</v>
      </c>
    </row>
    <row r="106" ht="12.75" customHeight="1">
      <c r="A106" s="30" t="s">
        <v>39</v>
      </c>
      <c r="B106" s="49"/>
      <c r="C106" s="50" t="s">
        <v>93</v>
      </c>
      <c r="D106" s="51"/>
      <c r="E106" s="73">
        <v>0.0</v>
      </c>
      <c r="F106" s="73">
        <v>0.0</v>
      </c>
      <c r="G106" s="73">
        <v>0.0</v>
      </c>
      <c r="H106" s="73">
        <v>0.0</v>
      </c>
      <c r="I106" s="73">
        <v>1.0</v>
      </c>
      <c r="J106" s="73">
        <v>0.0</v>
      </c>
      <c r="K106" s="73">
        <v>0.0</v>
      </c>
      <c r="L106" s="73">
        <v>0.0</v>
      </c>
      <c r="M106" s="73">
        <v>0.0</v>
      </c>
      <c r="N106" s="73">
        <v>0.0</v>
      </c>
      <c r="O106" s="73">
        <v>1.0</v>
      </c>
      <c r="P106" s="73">
        <v>0.0</v>
      </c>
      <c r="Q106" s="73">
        <v>0.0</v>
      </c>
      <c r="R106" s="73">
        <v>0.0</v>
      </c>
      <c r="S106" s="73">
        <v>0.0</v>
      </c>
      <c r="T106" s="73">
        <v>0.0</v>
      </c>
      <c r="U106" s="73">
        <v>0.0</v>
      </c>
      <c r="V106" s="73">
        <v>0.0</v>
      </c>
      <c r="W106" s="73">
        <v>0.0</v>
      </c>
      <c r="X106" s="73">
        <v>0.0</v>
      </c>
      <c r="Y106" s="73">
        <v>1.0</v>
      </c>
      <c r="Z106" s="73">
        <v>0.0</v>
      </c>
      <c r="AA106" s="73">
        <v>0.0</v>
      </c>
      <c r="AB106" s="73">
        <v>0.0</v>
      </c>
      <c r="AC106" s="73">
        <v>0.0</v>
      </c>
      <c r="AD106" s="73">
        <v>0.0</v>
      </c>
      <c r="AE106" s="73">
        <v>0.0</v>
      </c>
      <c r="AF106" s="73">
        <v>1.0</v>
      </c>
      <c r="AG106" s="73">
        <v>0.0</v>
      </c>
      <c r="AH106" s="73">
        <v>0.0</v>
      </c>
      <c r="AI106" s="73">
        <v>0.0</v>
      </c>
      <c r="AJ106" s="73">
        <v>0.0</v>
      </c>
      <c r="AK106" s="73">
        <v>0.0</v>
      </c>
      <c r="AL106" s="73">
        <v>0.0</v>
      </c>
      <c r="AM106" s="73">
        <v>0.0</v>
      </c>
      <c r="AN106" s="73">
        <v>0.0</v>
      </c>
      <c r="AO106" s="73">
        <v>0.0</v>
      </c>
      <c r="AP106" s="73">
        <v>0.0</v>
      </c>
      <c r="AQ106" s="73">
        <v>0.0</v>
      </c>
      <c r="AR106" s="73">
        <v>0.0</v>
      </c>
      <c r="AS106" s="73">
        <v>0.0</v>
      </c>
      <c r="AT106" s="73">
        <v>0.0</v>
      </c>
      <c r="AU106" s="73">
        <v>0.0</v>
      </c>
      <c r="AV106" s="13">
        <f t="shared" si="24"/>
        <v>4</v>
      </c>
    </row>
    <row r="107" ht="12.75" customHeight="1">
      <c r="A107" s="18"/>
      <c r="B107" s="49"/>
      <c r="C107" s="50" t="s">
        <v>94</v>
      </c>
      <c r="D107" s="51"/>
      <c r="E107" s="73">
        <v>0.0</v>
      </c>
      <c r="F107" s="73">
        <v>0.0</v>
      </c>
      <c r="G107" s="73">
        <v>0.0</v>
      </c>
      <c r="H107" s="73">
        <v>0.0</v>
      </c>
      <c r="I107" s="73">
        <v>0.0</v>
      </c>
      <c r="J107" s="73">
        <v>0.0</v>
      </c>
      <c r="K107" s="73">
        <v>0.0</v>
      </c>
      <c r="L107" s="73">
        <v>0.0</v>
      </c>
      <c r="M107" s="73">
        <v>0.0</v>
      </c>
      <c r="N107" s="73">
        <v>1.0</v>
      </c>
      <c r="O107" s="73">
        <v>0.0</v>
      </c>
      <c r="P107" s="73">
        <v>0.0</v>
      </c>
      <c r="Q107" s="73">
        <v>0.0</v>
      </c>
      <c r="R107" s="73">
        <v>0.0</v>
      </c>
      <c r="S107" s="73">
        <v>0.0</v>
      </c>
      <c r="T107" s="73">
        <v>0.0</v>
      </c>
      <c r="U107" s="73">
        <v>0.0</v>
      </c>
      <c r="V107" s="73">
        <v>0.0</v>
      </c>
      <c r="W107" s="73">
        <v>0.0</v>
      </c>
      <c r="X107" s="73">
        <v>0.0</v>
      </c>
      <c r="Y107" s="73">
        <v>0.0</v>
      </c>
      <c r="Z107" s="73">
        <v>0.0</v>
      </c>
      <c r="AA107" s="73">
        <v>0.0</v>
      </c>
      <c r="AB107" s="73">
        <v>0.0</v>
      </c>
      <c r="AC107" s="73">
        <v>0.0</v>
      </c>
      <c r="AD107" s="73">
        <v>0.0</v>
      </c>
      <c r="AE107" s="73">
        <v>0.0</v>
      </c>
      <c r="AF107" s="73">
        <v>0.0</v>
      </c>
      <c r="AG107" s="73">
        <v>0.0</v>
      </c>
      <c r="AH107" s="73">
        <v>0.0</v>
      </c>
      <c r="AI107" s="73">
        <v>0.0</v>
      </c>
      <c r="AJ107" s="73">
        <v>0.0</v>
      </c>
      <c r="AK107" s="73">
        <v>0.0</v>
      </c>
      <c r="AL107" s="73">
        <v>1.0</v>
      </c>
      <c r="AM107" s="73">
        <v>1.0</v>
      </c>
      <c r="AN107" s="73">
        <v>0.0</v>
      </c>
      <c r="AO107" s="73">
        <v>0.0</v>
      </c>
      <c r="AP107" s="73">
        <v>0.0</v>
      </c>
      <c r="AQ107" s="73">
        <v>0.0</v>
      </c>
      <c r="AR107" s="73">
        <v>0.0</v>
      </c>
      <c r="AS107" s="73">
        <v>0.0</v>
      </c>
      <c r="AT107" s="73">
        <v>0.0</v>
      </c>
      <c r="AU107" s="73">
        <v>0.0</v>
      </c>
      <c r="AV107" s="13">
        <f t="shared" si="24"/>
        <v>3</v>
      </c>
    </row>
    <row r="108" ht="12.75" customHeight="1">
      <c r="A108" s="18"/>
      <c r="B108" s="57"/>
      <c r="C108" s="58"/>
      <c r="D108" s="59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3">
        <f t="shared" si="24"/>
        <v>0</v>
      </c>
    </row>
    <row r="109" ht="12.75" customHeight="1">
      <c r="A109" s="18"/>
      <c r="B109" s="57"/>
      <c r="C109" s="58"/>
      <c r="D109" s="59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3">
        <f t="shared" si="24"/>
        <v>0</v>
      </c>
    </row>
    <row r="110" ht="12.75" customHeight="1">
      <c r="A110" s="18"/>
      <c r="B110" s="57"/>
      <c r="C110" s="58"/>
      <c r="D110" s="59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3">
        <f t="shared" si="24"/>
        <v>0</v>
      </c>
    </row>
    <row r="111" ht="12.75" customHeight="1">
      <c r="A111" s="18"/>
      <c r="B111" s="57"/>
      <c r="C111" s="58"/>
      <c r="D111" s="59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3">
        <f t="shared" si="24"/>
        <v>0</v>
      </c>
    </row>
    <row r="112" ht="12.75" customHeight="1">
      <c r="A112" s="18"/>
      <c r="B112" s="57"/>
      <c r="C112" s="58"/>
      <c r="D112" s="59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3">
        <f t="shared" si="24"/>
        <v>0</v>
      </c>
    </row>
    <row r="113" ht="12.75" customHeight="1">
      <c r="A113" s="18"/>
      <c r="B113" s="57"/>
      <c r="C113" s="58"/>
      <c r="D113" s="59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3">
        <f t="shared" si="24"/>
        <v>0</v>
      </c>
    </row>
    <row r="114" ht="12.75" customHeight="1">
      <c r="A114" s="18"/>
      <c r="B114" s="57"/>
      <c r="C114" s="58"/>
      <c r="D114" s="59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3">
        <f t="shared" si="24"/>
        <v>0</v>
      </c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V115" si="25">SUM(E105:E114)</f>
        <v>0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1</v>
      </c>
      <c r="J115" s="13">
        <f t="shared" si="25"/>
        <v>2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5"/>
        <v>2</v>
      </c>
      <c r="O115" s="13">
        <f t="shared" si="25"/>
        <v>3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1</v>
      </c>
      <c r="T115" s="13">
        <f t="shared" si="25"/>
        <v>0</v>
      </c>
      <c r="U115" s="13">
        <f t="shared" si="25"/>
        <v>2</v>
      </c>
      <c r="V115" s="13">
        <f t="shared" si="25"/>
        <v>0</v>
      </c>
      <c r="W115" s="13">
        <f t="shared" si="25"/>
        <v>0</v>
      </c>
      <c r="X115" s="13">
        <f t="shared" si="25"/>
        <v>0</v>
      </c>
      <c r="Y115" s="13">
        <f t="shared" si="25"/>
        <v>2</v>
      </c>
      <c r="Z115" s="13">
        <f t="shared" si="25"/>
        <v>1</v>
      </c>
      <c r="AA115" s="13">
        <f t="shared" si="25"/>
        <v>0</v>
      </c>
      <c r="AB115" s="13">
        <f t="shared" si="25"/>
        <v>0</v>
      </c>
      <c r="AC115" s="13">
        <f t="shared" si="25"/>
        <v>0</v>
      </c>
      <c r="AD115" s="13">
        <f t="shared" si="25"/>
        <v>3</v>
      </c>
      <c r="AE115" s="13">
        <f t="shared" si="25"/>
        <v>0</v>
      </c>
      <c r="AF115" s="13">
        <f t="shared" si="25"/>
        <v>3</v>
      </c>
      <c r="AG115" s="13">
        <f t="shared" si="25"/>
        <v>1</v>
      </c>
      <c r="AH115" s="13">
        <f t="shared" si="25"/>
        <v>0</v>
      </c>
      <c r="AI115" s="13">
        <f t="shared" si="25"/>
        <v>0</v>
      </c>
      <c r="AJ115" s="13">
        <f t="shared" si="25"/>
        <v>0</v>
      </c>
      <c r="AK115" s="13">
        <f t="shared" si="25"/>
        <v>3</v>
      </c>
      <c r="AL115" s="13">
        <f t="shared" si="25"/>
        <v>2</v>
      </c>
      <c r="AM115" s="13">
        <f t="shared" si="25"/>
        <v>2</v>
      </c>
      <c r="AN115" s="13">
        <f t="shared" si="25"/>
        <v>0</v>
      </c>
      <c r="AO115" s="13">
        <f t="shared" si="25"/>
        <v>0</v>
      </c>
      <c r="AP115" s="13">
        <f t="shared" si="25"/>
        <v>0</v>
      </c>
      <c r="AQ115" s="13">
        <f t="shared" si="25"/>
        <v>0</v>
      </c>
      <c r="AR115" s="13">
        <f t="shared" si="25"/>
        <v>0</v>
      </c>
      <c r="AS115" s="13">
        <f t="shared" si="25"/>
        <v>0</v>
      </c>
      <c r="AT115" s="13">
        <f t="shared" si="25"/>
        <v>0</v>
      </c>
      <c r="AU115" s="13">
        <f t="shared" si="25"/>
        <v>0</v>
      </c>
      <c r="AV115" s="13">
        <f t="shared" si="25"/>
        <v>29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  <c r="AU116" s="78"/>
      <c r="AV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1.0</v>
      </c>
      <c r="F117" s="73">
        <v>0.0</v>
      </c>
      <c r="G117" s="73">
        <v>1.0</v>
      </c>
      <c r="H117" s="73">
        <v>0.0</v>
      </c>
      <c r="I117" s="73">
        <v>1.0</v>
      </c>
      <c r="J117" s="73">
        <v>1.0</v>
      </c>
      <c r="K117" s="73">
        <v>0.0</v>
      </c>
      <c r="L117" s="73">
        <v>1.0</v>
      </c>
      <c r="M117" s="73">
        <v>1.0</v>
      </c>
      <c r="N117" s="73">
        <v>0.0</v>
      </c>
      <c r="O117" s="73">
        <v>0.0</v>
      </c>
      <c r="P117" s="73">
        <v>2.0</v>
      </c>
      <c r="Q117" s="73">
        <v>0.0</v>
      </c>
      <c r="R117" s="73">
        <v>0.0</v>
      </c>
      <c r="S117" s="73">
        <v>0.0</v>
      </c>
      <c r="T117" s="73">
        <v>1.0</v>
      </c>
      <c r="U117" s="73">
        <v>0.0</v>
      </c>
      <c r="V117" s="73">
        <v>1.0</v>
      </c>
      <c r="W117" s="73">
        <v>0.0</v>
      </c>
      <c r="X117" s="73">
        <v>0.0</v>
      </c>
      <c r="Y117" s="73">
        <v>1.0</v>
      </c>
      <c r="Z117" s="73">
        <v>1.0</v>
      </c>
      <c r="AA117" s="73">
        <v>1.0</v>
      </c>
      <c r="AB117" s="73">
        <v>2.0</v>
      </c>
      <c r="AC117" s="73">
        <v>0.0</v>
      </c>
      <c r="AD117" s="73">
        <v>1.0</v>
      </c>
      <c r="AE117" s="73">
        <v>0.0</v>
      </c>
      <c r="AF117" s="73">
        <v>0.0</v>
      </c>
      <c r="AG117" s="73">
        <v>1.0</v>
      </c>
      <c r="AH117" s="73">
        <v>0.0</v>
      </c>
      <c r="AI117" s="73">
        <v>0.0</v>
      </c>
      <c r="AJ117" s="73">
        <v>3.0</v>
      </c>
      <c r="AK117" s="73">
        <v>3.0</v>
      </c>
      <c r="AL117" s="73">
        <v>2.0</v>
      </c>
      <c r="AM117" s="73">
        <v>0.0</v>
      </c>
      <c r="AN117" s="73">
        <v>0.0</v>
      </c>
      <c r="AO117" s="73">
        <v>0.0</v>
      </c>
      <c r="AP117" s="73">
        <v>0.0</v>
      </c>
      <c r="AQ117" s="73">
        <v>0.0</v>
      </c>
      <c r="AR117" s="73">
        <v>0.0</v>
      </c>
      <c r="AS117" s="73">
        <v>0.0</v>
      </c>
      <c r="AT117" s="73">
        <v>0.0</v>
      </c>
      <c r="AU117" s="73">
        <v>0.0</v>
      </c>
      <c r="AV117" s="13">
        <f t="shared" ref="AV117:AV126" si="26">SUM(E117:AU117)</f>
        <v>25</v>
      </c>
      <c r="AW117" s="5"/>
      <c r="AX117" s="5"/>
    </row>
    <row r="118" ht="12.75" customHeight="1">
      <c r="A118" s="30" t="s">
        <v>39</v>
      </c>
      <c r="B118" s="49"/>
      <c r="C118" s="50" t="s">
        <v>97</v>
      </c>
      <c r="D118" s="51"/>
      <c r="E118" s="73">
        <v>1.0</v>
      </c>
      <c r="F118" s="73">
        <v>0.0</v>
      </c>
      <c r="G118" s="73">
        <v>0.0</v>
      </c>
      <c r="H118" s="73">
        <v>2.0</v>
      </c>
      <c r="I118" s="73">
        <v>0.0</v>
      </c>
      <c r="J118" s="73">
        <v>1.0</v>
      </c>
      <c r="K118" s="73">
        <v>0.0</v>
      </c>
      <c r="L118" s="73">
        <v>0.0</v>
      </c>
      <c r="M118" s="73">
        <v>0.0</v>
      </c>
      <c r="N118" s="73">
        <v>1.0</v>
      </c>
      <c r="O118" s="73">
        <v>0.0</v>
      </c>
      <c r="P118" s="73">
        <v>0.0</v>
      </c>
      <c r="Q118" s="73">
        <v>1.0</v>
      </c>
      <c r="R118" s="73">
        <v>1.0</v>
      </c>
      <c r="S118" s="73">
        <v>0.0</v>
      </c>
      <c r="T118" s="73">
        <v>1.0</v>
      </c>
      <c r="U118" s="73">
        <v>0.0</v>
      </c>
      <c r="V118" s="73">
        <v>0.0</v>
      </c>
      <c r="W118" s="73">
        <v>0.0</v>
      </c>
      <c r="X118" s="73">
        <v>0.0</v>
      </c>
      <c r="Y118" s="73">
        <v>0.0</v>
      </c>
      <c r="Z118" s="73">
        <v>0.0</v>
      </c>
      <c r="AA118" s="73">
        <v>0.0</v>
      </c>
      <c r="AB118" s="73">
        <v>0.0</v>
      </c>
      <c r="AC118" s="73">
        <v>0.0</v>
      </c>
      <c r="AD118" s="73">
        <v>1.0</v>
      </c>
      <c r="AE118" s="73">
        <v>0.0</v>
      </c>
      <c r="AF118" s="73">
        <v>0.0</v>
      </c>
      <c r="AG118" s="73">
        <v>1.0</v>
      </c>
      <c r="AH118" s="73">
        <v>0.0</v>
      </c>
      <c r="AI118" s="73">
        <v>0.0</v>
      </c>
      <c r="AJ118" s="73">
        <v>0.0</v>
      </c>
      <c r="AK118" s="73">
        <v>1.0</v>
      </c>
      <c r="AL118" s="73">
        <v>3.0</v>
      </c>
      <c r="AM118" s="73">
        <v>0.0</v>
      </c>
      <c r="AN118" s="73">
        <v>0.0</v>
      </c>
      <c r="AO118" s="73">
        <v>0.0</v>
      </c>
      <c r="AP118" s="73">
        <v>0.0</v>
      </c>
      <c r="AQ118" s="73">
        <v>0.0</v>
      </c>
      <c r="AR118" s="73">
        <v>0.0</v>
      </c>
      <c r="AS118" s="73">
        <v>0.0</v>
      </c>
      <c r="AT118" s="73">
        <v>0.0</v>
      </c>
      <c r="AU118" s="73">
        <v>0.0</v>
      </c>
      <c r="AV118" s="13">
        <f t="shared" si="26"/>
        <v>14</v>
      </c>
      <c r="AW118" s="5"/>
      <c r="AX118" s="5"/>
    </row>
    <row r="119" ht="12.75" customHeight="1">
      <c r="A119" s="18"/>
      <c r="B119" s="49"/>
      <c r="C119" s="50" t="s">
        <v>98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0.0</v>
      </c>
      <c r="Z119" s="73">
        <v>0.0</v>
      </c>
      <c r="AA119" s="73">
        <v>0.0</v>
      </c>
      <c r="AB119" s="73">
        <v>1.0</v>
      </c>
      <c r="AC119" s="73">
        <v>0.0</v>
      </c>
      <c r="AD119" s="73">
        <v>1.0</v>
      </c>
      <c r="AE119" s="73">
        <v>0.0</v>
      </c>
      <c r="AF119" s="73">
        <v>0.0</v>
      </c>
      <c r="AG119" s="73">
        <v>0.0</v>
      </c>
      <c r="AH119" s="73">
        <v>0.0</v>
      </c>
      <c r="AI119" s="73">
        <v>0.0</v>
      </c>
      <c r="AJ119" s="73">
        <v>0.0</v>
      </c>
      <c r="AK119" s="73">
        <v>0.0</v>
      </c>
      <c r="AL119" s="73">
        <v>1.0</v>
      </c>
      <c r="AM119" s="73">
        <v>1.0</v>
      </c>
      <c r="AN119" s="73">
        <v>0.0</v>
      </c>
      <c r="AO119" s="73">
        <v>0.0</v>
      </c>
      <c r="AP119" s="73">
        <v>0.0</v>
      </c>
      <c r="AQ119" s="73">
        <v>0.0</v>
      </c>
      <c r="AR119" s="73">
        <v>0.0</v>
      </c>
      <c r="AS119" s="73">
        <v>0.0</v>
      </c>
      <c r="AT119" s="73">
        <v>0.0</v>
      </c>
      <c r="AU119" s="73">
        <v>0.0</v>
      </c>
      <c r="AV119" s="13">
        <f t="shared" si="26"/>
        <v>4</v>
      </c>
      <c r="AW119" s="5"/>
      <c r="AX119" s="5"/>
    </row>
    <row r="120" ht="12.75" customHeight="1">
      <c r="A120" s="18"/>
      <c r="B120" s="49"/>
      <c r="C120" s="50" t="s">
        <v>99</v>
      </c>
      <c r="D120" s="51"/>
      <c r="E120" s="73">
        <v>2.0</v>
      </c>
      <c r="F120" s="73">
        <v>0.0</v>
      </c>
      <c r="G120" s="73">
        <v>0.0</v>
      </c>
      <c r="H120" s="73">
        <v>1.0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1.0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73">
        <v>1.0</v>
      </c>
      <c r="AB120" s="73">
        <v>1.0</v>
      </c>
      <c r="AC120" s="73">
        <v>0.0</v>
      </c>
      <c r="AD120" s="73">
        <v>0.0</v>
      </c>
      <c r="AE120" s="73">
        <v>0.0</v>
      </c>
      <c r="AF120" s="73">
        <v>0.0</v>
      </c>
      <c r="AG120" s="73">
        <v>0.0</v>
      </c>
      <c r="AH120" s="73">
        <v>0.0</v>
      </c>
      <c r="AI120" s="73">
        <v>0.0</v>
      </c>
      <c r="AJ120" s="73">
        <v>0.0</v>
      </c>
      <c r="AK120" s="73">
        <v>0.0</v>
      </c>
      <c r="AL120" s="73">
        <v>0.0</v>
      </c>
      <c r="AM120" s="73">
        <v>0.0</v>
      </c>
      <c r="AN120" s="73">
        <v>0.0</v>
      </c>
      <c r="AO120" s="73">
        <v>0.0</v>
      </c>
      <c r="AP120" s="73">
        <v>0.0</v>
      </c>
      <c r="AQ120" s="73">
        <v>0.0</v>
      </c>
      <c r="AR120" s="73">
        <v>0.0</v>
      </c>
      <c r="AS120" s="73">
        <v>0.0</v>
      </c>
      <c r="AT120" s="73">
        <v>0.0</v>
      </c>
      <c r="AU120" s="73">
        <v>0.0</v>
      </c>
      <c r="AV120" s="13">
        <f t="shared" si="26"/>
        <v>6</v>
      </c>
      <c r="AW120" s="5"/>
      <c r="AX120" s="5"/>
    </row>
    <row r="121" ht="12.75" customHeight="1">
      <c r="A121" s="18"/>
      <c r="B121" s="49"/>
      <c r="C121" s="50" t="s">
        <v>100</v>
      </c>
      <c r="D121" s="51"/>
      <c r="E121" s="73">
        <v>0.0</v>
      </c>
      <c r="F121" s="73">
        <v>0.0</v>
      </c>
      <c r="G121" s="73">
        <v>1.0</v>
      </c>
      <c r="H121" s="73">
        <v>0.0</v>
      </c>
      <c r="I121" s="73">
        <v>0.0</v>
      </c>
      <c r="J121" s="73">
        <v>0.0</v>
      </c>
      <c r="K121" s="73">
        <v>0.0</v>
      </c>
      <c r="L121" s="73">
        <v>0.0</v>
      </c>
      <c r="M121" s="73">
        <v>0.0</v>
      </c>
      <c r="N121" s="73">
        <v>0.0</v>
      </c>
      <c r="O121" s="73">
        <v>0.0</v>
      </c>
      <c r="P121" s="73">
        <v>0.0</v>
      </c>
      <c r="Q121" s="73">
        <v>0.0</v>
      </c>
      <c r="R121" s="73">
        <v>0.0</v>
      </c>
      <c r="S121" s="73">
        <v>0.0</v>
      </c>
      <c r="T121" s="73">
        <v>0.0</v>
      </c>
      <c r="U121" s="73">
        <v>0.0</v>
      </c>
      <c r="V121" s="73">
        <v>0.0</v>
      </c>
      <c r="W121" s="73">
        <v>0.0</v>
      </c>
      <c r="X121" s="73">
        <v>0.0</v>
      </c>
      <c r="Y121" s="73">
        <v>0.0</v>
      </c>
      <c r="Z121" s="73">
        <v>0.0</v>
      </c>
      <c r="AA121" s="73">
        <v>0.0</v>
      </c>
      <c r="AB121" s="73">
        <v>0.0</v>
      </c>
      <c r="AC121" s="73">
        <v>0.0</v>
      </c>
      <c r="AD121" s="73">
        <v>0.0</v>
      </c>
      <c r="AE121" s="73">
        <v>0.0</v>
      </c>
      <c r="AF121" s="73">
        <v>0.0</v>
      </c>
      <c r="AG121" s="73">
        <v>0.0</v>
      </c>
      <c r="AH121" s="73">
        <v>0.0</v>
      </c>
      <c r="AI121" s="73">
        <v>0.0</v>
      </c>
      <c r="AJ121" s="73">
        <v>0.0</v>
      </c>
      <c r="AK121" s="73">
        <v>0.0</v>
      </c>
      <c r="AL121" s="73">
        <v>0.0</v>
      </c>
      <c r="AM121" s="73">
        <v>2.0</v>
      </c>
      <c r="AN121" s="73">
        <v>0.0</v>
      </c>
      <c r="AO121" s="73">
        <v>0.0</v>
      </c>
      <c r="AP121" s="73">
        <v>0.0</v>
      </c>
      <c r="AQ121" s="73">
        <v>0.0</v>
      </c>
      <c r="AR121" s="73">
        <v>0.0</v>
      </c>
      <c r="AS121" s="73">
        <v>0.0</v>
      </c>
      <c r="AT121" s="73">
        <v>0.0</v>
      </c>
      <c r="AU121" s="73">
        <v>0.0</v>
      </c>
      <c r="AV121" s="13">
        <f t="shared" si="26"/>
        <v>3</v>
      </c>
      <c r="AW121" s="5"/>
      <c r="AX121" s="5"/>
    </row>
    <row r="122" ht="12.75" customHeight="1">
      <c r="A122" s="18"/>
      <c r="B122" s="49"/>
      <c r="C122" s="50" t="s">
        <v>101</v>
      </c>
      <c r="D122" s="51"/>
      <c r="E122" s="73">
        <v>0.0</v>
      </c>
      <c r="F122" s="73">
        <v>0.0</v>
      </c>
      <c r="G122" s="73">
        <v>0.0</v>
      </c>
      <c r="H122" s="73">
        <v>1.0</v>
      </c>
      <c r="I122" s="73">
        <v>1.0</v>
      </c>
      <c r="J122" s="73">
        <v>0.0</v>
      </c>
      <c r="K122" s="73">
        <v>0.0</v>
      </c>
      <c r="L122" s="73">
        <v>0.0</v>
      </c>
      <c r="M122" s="73">
        <v>0.0</v>
      </c>
      <c r="N122" s="73">
        <v>0.0</v>
      </c>
      <c r="O122" s="73">
        <v>0.0</v>
      </c>
      <c r="P122" s="73">
        <v>0.0</v>
      </c>
      <c r="Q122" s="73">
        <v>0.0</v>
      </c>
      <c r="R122" s="73">
        <v>0.0</v>
      </c>
      <c r="S122" s="73">
        <v>0.0</v>
      </c>
      <c r="T122" s="73">
        <v>0.0</v>
      </c>
      <c r="U122" s="73">
        <v>0.0</v>
      </c>
      <c r="V122" s="73">
        <v>0.0</v>
      </c>
      <c r="W122" s="73">
        <v>0.0</v>
      </c>
      <c r="X122" s="73">
        <v>0.0</v>
      </c>
      <c r="Y122" s="73">
        <v>1.0</v>
      </c>
      <c r="Z122" s="73">
        <v>0.0</v>
      </c>
      <c r="AA122" s="73">
        <v>0.0</v>
      </c>
      <c r="AB122" s="73">
        <v>0.0</v>
      </c>
      <c r="AC122" s="73">
        <v>0.0</v>
      </c>
      <c r="AD122" s="73">
        <v>0.0</v>
      </c>
      <c r="AE122" s="73">
        <v>0.0</v>
      </c>
      <c r="AF122" s="73">
        <v>0.0</v>
      </c>
      <c r="AG122" s="73">
        <v>0.0</v>
      </c>
      <c r="AH122" s="73">
        <v>0.0</v>
      </c>
      <c r="AI122" s="73">
        <v>0.0</v>
      </c>
      <c r="AJ122" s="73">
        <v>0.0</v>
      </c>
      <c r="AK122" s="73">
        <v>0.0</v>
      </c>
      <c r="AL122" s="73">
        <v>0.0</v>
      </c>
      <c r="AM122" s="73">
        <v>0.0</v>
      </c>
      <c r="AN122" s="73">
        <v>0.0</v>
      </c>
      <c r="AO122" s="73">
        <v>0.0</v>
      </c>
      <c r="AP122" s="73">
        <v>0.0</v>
      </c>
      <c r="AQ122" s="73">
        <v>0.0</v>
      </c>
      <c r="AR122" s="73">
        <v>0.0</v>
      </c>
      <c r="AS122" s="73">
        <v>0.0</v>
      </c>
      <c r="AT122" s="73">
        <v>0.0</v>
      </c>
      <c r="AU122" s="73">
        <v>0.0</v>
      </c>
      <c r="AV122" s="13">
        <f t="shared" si="26"/>
        <v>3</v>
      </c>
      <c r="AW122" s="5"/>
      <c r="AX122" s="5"/>
    </row>
    <row r="123" ht="12.75" customHeight="1">
      <c r="A123" s="18"/>
      <c r="B123" s="57"/>
      <c r="C123" s="58"/>
      <c r="D123" s="59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13">
        <f t="shared" si="26"/>
        <v>0</v>
      </c>
      <c r="AW123" s="5"/>
      <c r="AX123" s="5"/>
    </row>
    <row r="124" ht="12.75" customHeight="1">
      <c r="A124" s="18"/>
      <c r="B124" s="57"/>
      <c r="C124" s="58"/>
      <c r="D124" s="59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13">
        <f t="shared" si="26"/>
        <v>0</v>
      </c>
      <c r="AW124" s="5"/>
      <c r="AX124" s="5"/>
    </row>
    <row r="125" ht="12.75" customHeight="1">
      <c r="A125" s="18"/>
      <c r="B125" s="57"/>
      <c r="C125" s="58"/>
      <c r="D125" s="59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13">
        <f t="shared" si="26"/>
        <v>0</v>
      </c>
      <c r="AW125" s="5"/>
      <c r="AX125" s="5"/>
    </row>
    <row r="126" ht="12.75" customHeight="1">
      <c r="A126" s="18"/>
      <c r="B126" s="57"/>
      <c r="C126" s="58"/>
      <c r="D126" s="59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13">
        <f t="shared" si="26"/>
        <v>0</v>
      </c>
      <c r="AW126" s="5"/>
      <c r="AX126" s="5"/>
    </row>
    <row r="127" ht="12.75" customHeight="1">
      <c r="A127" s="19" t="s">
        <v>15</v>
      </c>
      <c r="B127" s="47" t="s">
        <v>49</v>
      </c>
      <c r="C127" s="15"/>
      <c r="D127" s="16"/>
      <c r="E127" s="13">
        <f t="shared" ref="E127:AV127" si="27">SUM(E117:E126)</f>
        <v>4</v>
      </c>
      <c r="F127" s="13">
        <f t="shared" si="27"/>
        <v>0</v>
      </c>
      <c r="G127" s="13">
        <f t="shared" si="27"/>
        <v>2</v>
      </c>
      <c r="H127" s="13">
        <f t="shared" si="27"/>
        <v>4</v>
      </c>
      <c r="I127" s="13">
        <f t="shared" si="27"/>
        <v>2</v>
      </c>
      <c r="J127" s="13">
        <f t="shared" si="27"/>
        <v>2</v>
      </c>
      <c r="K127" s="13">
        <f t="shared" si="27"/>
        <v>0</v>
      </c>
      <c r="L127" s="13">
        <f t="shared" si="27"/>
        <v>1</v>
      </c>
      <c r="M127" s="13">
        <f t="shared" si="27"/>
        <v>1</v>
      </c>
      <c r="N127" s="13">
        <f t="shared" si="27"/>
        <v>1</v>
      </c>
      <c r="O127" s="13">
        <f t="shared" si="27"/>
        <v>0</v>
      </c>
      <c r="P127" s="13">
        <f t="shared" si="27"/>
        <v>3</v>
      </c>
      <c r="Q127" s="13">
        <f t="shared" si="27"/>
        <v>1</v>
      </c>
      <c r="R127" s="13">
        <f t="shared" si="27"/>
        <v>1</v>
      </c>
      <c r="S127" s="13">
        <f t="shared" si="27"/>
        <v>0</v>
      </c>
      <c r="T127" s="13">
        <f t="shared" si="27"/>
        <v>2</v>
      </c>
      <c r="U127" s="13">
        <f t="shared" si="27"/>
        <v>0</v>
      </c>
      <c r="V127" s="13">
        <f t="shared" si="27"/>
        <v>1</v>
      </c>
      <c r="W127" s="13">
        <f t="shared" si="27"/>
        <v>0</v>
      </c>
      <c r="X127" s="13">
        <f t="shared" si="27"/>
        <v>0</v>
      </c>
      <c r="Y127" s="13">
        <f t="shared" si="27"/>
        <v>2</v>
      </c>
      <c r="Z127" s="13">
        <f t="shared" si="27"/>
        <v>1</v>
      </c>
      <c r="AA127" s="13">
        <f t="shared" si="27"/>
        <v>2</v>
      </c>
      <c r="AB127" s="13">
        <f t="shared" si="27"/>
        <v>4</v>
      </c>
      <c r="AC127" s="13">
        <f t="shared" si="27"/>
        <v>0</v>
      </c>
      <c r="AD127" s="13">
        <f t="shared" si="27"/>
        <v>3</v>
      </c>
      <c r="AE127" s="13">
        <f t="shared" si="27"/>
        <v>0</v>
      </c>
      <c r="AF127" s="13">
        <f t="shared" si="27"/>
        <v>0</v>
      </c>
      <c r="AG127" s="13">
        <f t="shared" si="27"/>
        <v>2</v>
      </c>
      <c r="AH127" s="13">
        <f t="shared" si="27"/>
        <v>0</v>
      </c>
      <c r="AI127" s="13">
        <f t="shared" si="27"/>
        <v>0</v>
      </c>
      <c r="AJ127" s="13">
        <f t="shared" si="27"/>
        <v>3</v>
      </c>
      <c r="AK127" s="13">
        <f t="shared" si="27"/>
        <v>4</v>
      </c>
      <c r="AL127" s="13">
        <f t="shared" si="27"/>
        <v>6</v>
      </c>
      <c r="AM127" s="13">
        <f t="shared" si="27"/>
        <v>3</v>
      </c>
      <c r="AN127" s="13">
        <f t="shared" si="27"/>
        <v>0</v>
      </c>
      <c r="AO127" s="13">
        <f t="shared" si="27"/>
        <v>0</v>
      </c>
      <c r="AP127" s="13">
        <f t="shared" si="27"/>
        <v>0</v>
      </c>
      <c r="AQ127" s="13">
        <f t="shared" si="27"/>
        <v>0</v>
      </c>
      <c r="AR127" s="13">
        <f t="shared" si="27"/>
        <v>0</v>
      </c>
      <c r="AS127" s="13">
        <f t="shared" si="27"/>
        <v>0</v>
      </c>
      <c r="AT127" s="13">
        <f t="shared" si="27"/>
        <v>0</v>
      </c>
      <c r="AU127" s="13">
        <f t="shared" si="27"/>
        <v>0</v>
      </c>
      <c r="AV127" s="13">
        <f t="shared" si="27"/>
        <v>55</v>
      </c>
      <c r="AW127" s="5"/>
      <c r="AX127" s="5"/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5"/>
      <c r="AX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0.0</v>
      </c>
      <c r="F129" s="73">
        <v>0.0</v>
      </c>
      <c r="G129" s="73">
        <v>0.0</v>
      </c>
      <c r="H129" s="73">
        <v>0.0</v>
      </c>
      <c r="I129" s="73">
        <v>0.0</v>
      </c>
      <c r="J129" s="73">
        <v>1.0</v>
      </c>
      <c r="K129" s="73">
        <v>0.0</v>
      </c>
      <c r="L129" s="73">
        <v>1.0</v>
      </c>
      <c r="M129" s="73">
        <v>1.0</v>
      </c>
      <c r="N129" s="73">
        <v>0.0</v>
      </c>
      <c r="O129" s="73">
        <v>0.0</v>
      </c>
      <c r="P129" s="73">
        <v>0.0</v>
      </c>
      <c r="Q129" s="73">
        <v>0.0</v>
      </c>
      <c r="R129" s="73">
        <v>0.0</v>
      </c>
      <c r="S129" s="73">
        <v>0.0</v>
      </c>
      <c r="T129" s="73">
        <v>1.0</v>
      </c>
      <c r="U129" s="73">
        <v>0.0</v>
      </c>
      <c r="V129" s="73">
        <v>0.0</v>
      </c>
      <c r="W129" s="73">
        <v>0.0</v>
      </c>
      <c r="X129" s="73">
        <v>0.0</v>
      </c>
      <c r="Y129" s="73">
        <v>0.0</v>
      </c>
      <c r="Z129" s="73">
        <v>0.0</v>
      </c>
      <c r="AA129" s="73">
        <v>1.0</v>
      </c>
      <c r="AB129" s="73">
        <v>2.0</v>
      </c>
      <c r="AC129" s="73">
        <v>1.0</v>
      </c>
      <c r="AD129" s="73">
        <v>0.0</v>
      </c>
      <c r="AE129" s="73">
        <v>0.0</v>
      </c>
      <c r="AF129" s="73">
        <v>2.0</v>
      </c>
      <c r="AG129" s="73">
        <v>0.0</v>
      </c>
      <c r="AH129" s="73">
        <v>0.0</v>
      </c>
      <c r="AI129" s="73">
        <v>0.0</v>
      </c>
      <c r="AJ129" s="73">
        <v>0.0</v>
      </c>
      <c r="AK129" s="73">
        <v>0.0</v>
      </c>
      <c r="AL129" s="73">
        <v>0.0</v>
      </c>
      <c r="AM129" s="73">
        <v>1.0</v>
      </c>
      <c r="AN129" s="73">
        <v>0.0</v>
      </c>
      <c r="AO129" s="73">
        <v>0.0</v>
      </c>
      <c r="AP129" s="73">
        <v>0.0</v>
      </c>
      <c r="AQ129" s="73">
        <v>0.0</v>
      </c>
      <c r="AR129" s="73">
        <v>0.0</v>
      </c>
      <c r="AS129" s="73">
        <v>0.0</v>
      </c>
      <c r="AT129" s="73">
        <v>0.0</v>
      </c>
      <c r="AU129" s="73">
        <v>0.0</v>
      </c>
      <c r="AV129" s="13">
        <f t="shared" ref="AV129:AV138" si="28">SUM(E129:AU129)</f>
        <v>11</v>
      </c>
      <c r="AW129" s="5"/>
      <c r="AX129" s="5"/>
    </row>
    <row r="130" ht="12.75" customHeight="1">
      <c r="A130" s="30" t="s">
        <v>39</v>
      </c>
      <c r="B130" s="49"/>
      <c r="C130" s="50" t="s">
        <v>104</v>
      </c>
      <c r="D130" s="51"/>
      <c r="E130" s="73">
        <v>0.0</v>
      </c>
      <c r="F130" s="73">
        <v>0.0</v>
      </c>
      <c r="G130" s="73">
        <v>0.0</v>
      </c>
      <c r="H130" s="73">
        <v>0.0</v>
      </c>
      <c r="I130" s="73">
        <v>4.0</v>
      </c>
      <c r="J130" s="73">
        <v>1.0</v>
      </c>
      <c r="K130" s="73">
        <v>0.0</v>
      </c>
      <c r="L130" s="73">
        <v>0.0</v>
      </c>
      <c r="M130" s="73">
        <v>1.0</v>
      </c>
      <c r="N130" s="73">
        <v>0.0</v>
      </c>
      <c r="O130" s="73">
        <v>1.0</v>
      </c>
      <c r="P130" s="73">
        <v>0.0</v>
      </c>
      <c r="Q130" s="73">
        <v>2.0</v>
      </c>
      <c r="R130" s="73">
        <v>0.0</v>
      </c>
      <c r="S130" s="73">
        <v>2.0</v>
      </c>
      <c r="T130" s="73">
        <v>0.0</v>
      </c>
      <c r="U130" s="73">
        <v>0.0</v>
      </c>
      <c r="V130" s="73">
        <v>0.0</v>
      </c>
      <c r="W130" s="73">
        <v>1.0</v>
      </c>
      <c r="X130" s="73">
        <v>2.0</v>
      </c>
      <c r="Y130" s="73">
        <v>1.0</v>
      </c>
      <c r="Z130" s="73">
        <v>0.0</v>
      </c>
      <c r="AA130" s="73">
        <v>2.0</v>
      </c>
      <c r="AB130" s="73">
        <v>0.0</v>
      </c>
      <c r="AC130" s="73">
        <v>0.0</v>
      </c>
      <c r="AD130" s="73">
        <v>0.0</v>
      </c>
      <c r="AE130" s="73">
        <v>1.0</v>
      </c>
      <c r="AF130" s="73">
        <v>0.0</v>
      </c>
      <c r="AG130" s="73">
        <v>0.0</v>
      </c>
      <c r="AH130" s="73">
        <v>0.0</v>
      </c>
      <c r="AI130" s="73">
        <v>0.0</v>
      </c>
      <c r="AJ130" s="73">
        <v>0.0</v>
      </c>
      <c r="AK130" s="73">
        <v>0.0</v>
      </c>
      <c r="AL130" s="73">
        <v>2.0</v>
      </c>
      <c r="AM130" s="73">
        <v>8.0</v>
      </c>
      <c r="AN130" s="73">
        <v>0.0</v>
      </c>
      <c r="AO130" s="73">
        <v>0.0</v>
      </c>
      <c r="AP130" s="73">
        <v>0.0</v>
      </c>
      <c r="AQ130" s="73">
        <v>0.0</v>
      </c>
      <c r="AR130" s="73">
        <v>0.0</v>
      </c>
      <c r="AS130" s="73">
        <v>0.0</v>
      </c>
      <c r="AT130" s="73">
        <v>0.0</v>
      </c>
      <c r="AU130" s="73">
        <v>0.0</v>
      </c>
      <c r="AV130" s="13">
        <f t="shared" si="28"/>
        <v>28</v>
      </c>
      <c r="AW130" s="1"/>
      <c r="AX130" s="1"/>
    </row>
    <row r="131" ht="12.75" customHeight="1">
      <c r="A131" s="18"/>
      <c r="B131" s="49"/>
      <c r="C131" s="50" t="s">
        <v>105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1.0</v>
      </c>
      <c r="K131" s="73">
        <v>0.0</v>
      </c>
      <c r="L131" s="73">
        <v>0.0</v>
      </c>
      <c r="M131" s="73">
        <v>0.0</v>
      </c>
      <c r="N131" s="73">
        <v>1.0</v>
      </c>
      <c r="O131" s="73">
        <v>0.0</v>
      </c>
      <c r="P131" s="73">
        <v>0.0</v>
      </c>
      <c r="Q131" s="73">
        <v>0.0</v>
      </c>
      <c r="R131" s="73">
        <v>0.0</v>
      </c>
      <c r="S131" s="73">
        <v>0.0</v>
      </c>
      <c r="T131" s="73">
        <v>0.0</v>
      </c>
      <c r="U131" s="73">
        <v>0.0</v>
      </c>
      <c r="V131" s="73">
        <v>0.0</v>
      </c>
      <c r="W131" s="73">
        <v>0.0</v>
      </c>
      <c r="X131" s="73">
        <v>0.0</v>
      </c>
      <c r="Y131" s="73">
        <v>0.0</v>
      </c>
      <c r="Z131" s="73">
        <v>0.0</v>
      </c>
      <c r="AA131" s="73">
        <v>0.0</v>
      </c>
      <c r="AB131" s="73">
        <v>0.0</v>
      </c>
      <c r="AC131" s="73">
        <v>2.0</v>
      </c>
      <c r="AD131" s="73">
        <v>0.0</v>
      </c>
      <c r="AE131" s="73">
        <v>0.0</v>
      </c>
      <c r="AF131" s="73">
        <v>0.0</v>
      </c>
      <c r="AG131" s="73">
        <v>0.0</v>
      </c>
      <c r="AH131" s="73">
        <v>0.0</v>
      </c>
      <c r="AI131" s="73">
        <v>0.0</v>
      </c>
      <c r="AJ131" s="73">
        <v>0.0</v>
      </c>
      <c r="AK131" s="73">
        <v>0.0</v>
      </c>
      <c r="AL131" s="73">
        <v>0.0</v>
      </c>
      <c r="AM131" s="73">
        <v>0.0</v>
      </c>
      <c r="AN131" s="73">
        <v>0.0</v>
      </c>
      <c r="AO131" s="73">
        <v>0.0</v>
      </c>
      <c r="AP131" s="73">
        <v>0.0</v>
      </c>
      <c r="AQ131" s="73">
        <v>0.0</v>
      </c>
      <c r="AR131" s="73">
        <v>0.0</v>
      </c>
      <c r="AS131" s="73">
        <v>0.0</v>
      </c>
      <c r="AT131" s="73">
        <v>0.0</v>
      </c>
      <c r="AU131" s="73">
        <v>0.0</v>
      </c>
      <c r="AV131" s="13">
        <f t="shared" si="28"/>
        <v>4</v>
      </c>
      <c r="AW131" s="53"/>
      <c r="AX131" s="53"/>
    </row>
    <row r="132" ht="12.75" customHeight="1">
      <c r="A132" s="18"/>
      <c r="B132" s="49"/>
      <c r="C132" s="50" t="s">
        <v>106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0.0</v>
      </c>
      <c r="V132" s="73">
        <v>0.0</v>
      </c>
      <c r="W132" s="73">
        <v>0.0</v>
      </c>
      <c r="X132" s="73">
        <v>0.0</v>
      </c>
      <c r="Y132" s="73">
        <v>0.0</v>
      </c>
      <c r="Z132" s="73">
        <v>0.0</v>
      </c>
      <c r="AA132" s="73">
        <v>0.0</v>
      </c>
      <c r="AB132" s="73">
        <v>0.0</v>
      </c>
      <c r="AC132" s="73">
        <v>0.0</v>
      </c>
      <c r="AD132" s="73">
        <v>0.0</v>
      </c>
      <c r="AE132" s="73">
        <v>0.0</v>
      </c>
      <c r="AF132" s="73">
        <v>0.0</v>
      </c>
      <c r="AG132" s="73">
        <v>0.0</v>
      </c>
      <c r="AH132" s="73">
        <v>0.0</v>
      </c>
      <c r="AI132" s="73">
        <v>0.0</v>
      </c>
      <c r="AJ132" s="73">
        <v>0.0</v>
      </c>
      <c r="AK132" s="73">
        <v>0.0</v>
      </c>
      <c r="AL132" s="73">
        <v>0.0</v>
      </c>
      <c r="AM132" s="73">
        <v>0.0</v>
      </c>
      <c r="AN132" s="73">
        <v>0.0</v>
      </c>
      <c r="AO132" s="73">
        <v>0.0</v>
      </c>
      <c r="AP132" s="73">
        <v>0.0</v>
      </c>
      <c r="AQ132" s="73">
        <v>0.0</v>
      </c>
      <c r="AR132" s="73">
        <v>0.0</v>
      </c>
      <c r="AS132" s="73">
        <v>0.0</v>
      </c>
      <c r="AT132" s="73">
        <v>0.0</v>
      </c>
      <c r="AU132" s="73">
        <v>0.0</v>
      </c>
      <c r="AV132" s="13">
        <f t="shared" si="28"/>
        <v>0</v>
      </c>
      <c r="AW132" s="5"/>
      <c r="AX132" s="5"/>
    </row>
    <row r="133" ht="12.75" customHeight="1">
      <c r="A133" s="18"/>
      <c r="B133" s="49"/>
      <c r="C133" s="50" t="s">
        <v>107</v>
      </c>
      <c r="D133" s="51"/>
      <c r="E133" s="73">
        <v>0.0</v>
      </c>
      <c r="F133" s="73">
        <v>1.0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73">
        <v>0.0</v>
      </c>
      <c r="AC133" s="73">
        <v>0.0</v>
      </c>
      <c r="AD133" s="73">
        <v>0.0</v>
      </c>
      <c r="AE133" s="73">
        <v>0.0</v>
      </c>
      <c r="AF133" s="73">
        <v>0.0</v>
      </c>
      <c r="AG133" s="73">
        <v>0.0</v>
      </c>
      <c r="AH133" s="73">
        <v>0.0</v>
      </c>
      <c r="AI133" s="73">
        <v>0.0</v>
      </c>
      <c r="AJ133" s="73">
        <v>0.0</v>
      </c>
      <c r="AK133" s="73">
        <v>0.0</v>
      </c>
      <c r="AL133" s="73">
        <v>0.0</v>
      </c>
      <c r="AM133" s="73">
        <v>0.0</v>
      </c>
      <c r="AN133" s="73">
        <v>0.0</v>
      </c>
      <c r="AO133" s="73">
        <v>0.0</v>
      </c>
      <c r="AP133" s="73">
        <v>0.0</v>
      </c>
      <c r="AQ133" s="73">
        <v>0.0</v>
      </c>
      <c r="AR133" s="73">
        <v>0.0</v>
      </c>
      <c r="AS133" s="73">
        <v>0.0</v>
      </c>
      <c r="AT133" s="73">
        <v>0.0</v>
      </c>
      <c r="AU133" s="73">
        <v>0.0</v>
      </c>
      <c r="AV133" s="13">
        <f t="shared" si="28"/>
        <v>1</v>
      </c>
      <c r="AW133" s="5"/>
      <c r="AX133" s="5"/>
    </row>
    <row r="134" ht="12.75" customHeight="1">
      <c r="A134" s="18"/>
      <c r="B134" s="49"/>
      <c r="C134" s="50" t="s">
        <v>108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0.0</v>
      </c>
      <c r="Y134" s="73">
        <v>0.0</v>
      </c>
      <c r="Z134" s="73">
        <v>0.0</v>
      </c>
      <c r="AA134" s="73">
        <v>0.0</v>
      </c>
      <c r="AB134" s="73">
        <v>0.0</v>
      </c>
      <c r="AC134" s="73">
        <v>0.0</v>
      </c>
      <c r="AD134" s="73">
        <v>0.0</v>
      </c>
      <c r="AE134" s="73">
        <v>0.0</v>
      </c>
      <c r="AF134" s="73">
        <v>0.0</v>
      </c>
      <c r="AG134" s="73">
        <v>0.0</v>
      </c>
      <c r="AH134" s="73">
        <v>0.0</v>
      </c>
      <c r="AI134" s="73">
        <v>0.0</v>
      </c>
      <c r="AJ134" s="73">
        <v>0.0</v>
      </c>
      <c r="AK134" s="73">
        <v>0.0</v>
      </c>
      <c r="AL134" s="73">
        <v>0.0</v>
      </c>
      <c r="AM134" s="73">
        <v>0.0</v>
      </c>
      <c r="AN134" s="73">
        <v>0.0</v>
      </c>
      <c r="AO134" s="73">
        <v>0.0</v>
      </c>
      <c r="AP134" s="73">
        <v>0.0</v>
      </c>
      <c r="AQ134" s="73">
        <v>0.0</v>
      </c>
      <c r="AR134" s="73">
        <v>0.0</v>
      </c>
      <c r="AS134" s="73">
        <v>0.0</v>
      </c>
      <c r="AT134" s="73">
        <v>0.0</v>
      </c>
      <c r="AU134" s="73">
        <v>0.0</v>
      </c>
      <c r="AV134" s="13">
        <f t="shared" si="28"/>
        <v>0</v>
      </c>
      <c r="AW134" s="5"/>
      <c r="AX134" s="5"/>
    </row>
    <row r="135" ht="12.75" customHeight="1">
      <c r="A135" s="18"/>
      <c r="B135" s="49"/>
      <c r="C135" s="50" t="s">
        <v>109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0.0</v>
      </c>
      <c r="AA135" s="73">
        <v>0.0</v>
      </c>
      <c r="AB135" s="73">
        <v>0.0</v>
      </c>
      <c r="AC135" s="73">
        <v>0.0</v>
      </c>
      <c r="AD135" s="73">
        <v>0.0</v>
      </c>
      <c r="AE135" s="73">
        <v>0.0</v>
      </c>
      <c r="AF135" s="73">
        <v>0.0</v>
      </c>
      <c r="AG135" s="73">
        <v>0.0</v>
      </c>
      <c r="AH135" s="73">
        <v>0.0</v>
      </c>
      <c r="AI135" s="73">
        <v>0.0</v>
      </c>
      <c r="AJ135" s="73">
        <v>0.0</v>
      </c>
      <c r="AK135" s="73">
        <v>0.0</v>
      </c>
      <c r="AL135" s="73">
        <v>0.0</v>
      </c>
      <c r="AM135" s="73">
        <v>0.0</v>
      </c>
      <c r="AN135" s="73">
        <v>0.0</v>
      </c>
      <c r="AO135" s="73">
        <v>0.0</v>
      </c>
      <c r="AP135" s="73">
        <v>0.0</v>
      </c>
      <c r="AQ135" s="73">
        <v>0.0</v>
      </c>
      <c r="AR135" s="73">
        <v>0.0</v>
      </c>
      <c r="AS135" s="73">
        <v>0.0</v>
      </c>
      <c r="AT135" s="73">
        <v>0.0</v>
      </c>
      <c r="AU135" s="73">
        <v>0.0</v>
      </c>
      <c r="AV135" s="13">
        <f t="shared" si="28"/>
        <v>0</v>
      </c>
      <c r="AW135" s="5"/>
      <c r="AX135" s="5"/>
    </row>
    <row r="136" ht="12.75" customHeight="1">
      <c r="A136" s="18"/>
      <c r="B136" s="49"/>
      <c r="C136" s="50" t="s">
        <v>110</v>
      </c>
      <c r="D136" s="51"/>
      <c r="E136" s="73">
        <v>0.0</v>
      </c>
      <c r="F136" s="73">
        <v>0.0</v>
      </c>
      <c r="G136" s="73">
        <v>0.0</v>
      </c>
      <c r="H136" s="73">
        <v>0.0</v>
      </c>
      <c r="I136" s="73">
        <v>0.0</v>
      </c>
      <c r="J136" s="73">
        <v>0.0</v>
      </c>
      <c r="K136" s="73">
        <v>0.0</v>
      </c>
      <c r="L136" s="73">
        <v>0.0</v>
      </c>
      <c r="M136" s="73">
        <v>0.0</v>
      </c>
      <c r="N136" s="73">
        <v>0.0</v>
      </c>
      <c r="O136" s="73">
        <v>0.0</v>
      </c>
      <c r="P136" s="73">
        <v>0.0</v>
      </c>
      <c r="Q136" s="73">
        <v>0.0</v>
      </c>
      <c r="R136" s="73">
        <v>0.0</v>
      </c>
      <c r="S136" s="73">
        <v>0.0</v>
      </c>
      <c r="T136" s="73">
        <v>0.0</v>
      </c>
      <c r="U136" s="73">
        <v>0.0</v>
      </c>
      <c r="V136" s="73">
        <v>0.0</v>
      </c>
      <c r="W136" s="73">
        <v>0.0</v>
      </c>
      <c r="X136" s="73">
        <v>0.0</v>
      </c>
      <c r="Y136" s="73">
        <v>0.0</v>
      </c>
      <c r="Z136" s="73">
        <v>0.0</v>
      </c>
      <c r="AA136" s="73">
        <v>0.0</v>
      </c>
      <c r="AB136" s="73">
        <v>0.0</v>
      </c>
      <c r="AC136" s="73">
        <v>0.0</v>
      </c>
      <c r="AD136" s="73">
        <v>0.0</v>
      </c>
      <c r="AE136" s="73">
        <v>0.0</v>
      </c>
      <c r="AF136" s="73">
        <v>0.0</v>
      </c>
      <c r="AG136" s="73">
        <v>0.0</v>
      </c>
      <c r="AH136" s="73">
        <v>0.0</v>
      </c>
      <c r="AI136" s="73">
        <v>0.0</v>
      </c>
      <c r="AJ136" s="73">
        <v>0.0</v>
      </c>
      <c r="AK136" s="73">
        <v>0.0</v>
      </c>
      <c r="AL136" s="73">
        <v>0.0</v>
      </c>
      <c r="AM136" s="73">
        <v>0.0</v>
      </c>
      <c r="AN136" s="73">
        <v>0.0</v>
      </c>
      <c r="AO136" s="73">
        <v>0.0</v>
      </c>
      <c r="AP136" s="73">
        <v>0.0</v>
      </c>
      <c r="AQ136" s="73">
        <v>0.0</v>
      </c>
      <c r="AR136" s="73">
        <v>0.0</v>
      </c>
      <c r="AS136" s="73">
        <v>0.0</v>
      </c>
      <c r="AT136" s="73">
        <v>0.0</v>
      </c>
      <c r="AU136" s="73">
        <v>0.0</v>
      </c>
      <c r="AV136" s="13">
        <f t="shared" si="28"/>
        <v>0</v>
      </c>
      <c r="AW136" s="5"/>
      <c r="AX136" s="5"/>
    </row>
    <row r="137" ht="12.75" customHeight="1">
      <c r="A137" s="18"/>
      <c r="B137" s="49"/>
      <c r="C137" s="50" t="s">
        <v>111</v>
      </c>
      <c r="D137" s="51"/>
      <c r="E137" s="73">
        <v>0.0</v>
      </c>
      <c r="F137" s="73">
        <v>0.0</v>
      </c>
      <c r="G137" s="73">
        <v>0.0</v>
      </c>
      <c r="H137" s="73">
        <v>0.0</v>
      </c>
      <c r="I137" s="73">
        <v>2.0</v>
      </c>
      <c r="J137" s="73">
        <v>0.0</v>
      </c>
      <c r="K137" s="73">
        <v>0.0</v>
      </c>
      <c r="L137" s="73">
        <v>0.0</v>
      </c>
      <c r="M137" s="73">
        <v>0.0</v>
      </c>
      <c r="N137" s="73">
        <v>0.0</v>
      </c>
      <c r="O137" s="73">
        <v>0.0</v>
      </c>
      <c r="P137" s="73">
        <v>0.0</v>
      </c>
      <c r="Q137" s="73">
        <v>1.0</v>
      </c>
      <c r="R137" s="73">
        <v>0.0</v>
      </c>
      <c r="S137" s="73">
        <v>0.0</v>
      </c>
      <c r="T137" s="73">
        <v>0.0</v>
      </c>
      <c r="U137" s="73">
        <v>0.0</v>
      </c>
      <c r="V137" s="73">
        <v>0.0</v>
      </c>
      <c r="W137" s="73">
        <v>0.0</v>
      </c>
      <c r="X137" s="73">
        <v>0.0</v>
      </c>
      <c r="Y137" s="73">
        <v>0.0</v>
      </c>
      <c r="Z137" s="73">
        <v>0.0</v>
      </c>
      <c r="AA137" s="73">
        <v>0.0</v>
      </c>
      <c r="AB137" s="73">
        <v>0.0</v>
      </c>
      <c r="AC137" s="73">
        <v>0.0</v>
      </c>
      <c r="AD137" s="73">
        <v>0.0</v>
      </c>
      <c r="AE137" s="73">
        <v>0.0</v>
      </c>
      <c r="AF137" s="73">
        <v>0.0</v>
      </c>
      <c r="AG137" s="73">
        <v>0.0</v>
      </c>
      <c r="AH137" s="73">
        <v>0.0</v>
      </c>
      <c r="AI137" s="73">
        <v>0.0</v>
      </c>
      <c r="AJ137" s="73">
        <v>0.0</v>
      </c>
      <c r="AK137" s="73">
        <v>0.0</v>
      </c>
      <c r="AL137" s="73">
        <v>0.0</v>
      </c>
      <c r="AM137" s="73">
        <v>0.0</v>
      </c>
      <c r="AN137" s="73">
        <v>0.0</v>
      </c>
      <c r="AO137" s="73">
        <v>0.0</v>
      </c>
      <c r="AP137" s="73">
        <v>0.0</v>
      </c>
      <c r="AQ137" s="73">
        <v>0.0</v>
      </c>
      <c r="AR137" s="73">
        <v>0.0</v>
      </c>
      <c r="AS137" s="73">
        <v>0.0</v>
      </c>
      <c r="AT137" s="73">
        <v>0.0</v>
      </c>
      <c r="AU137" s="73">
        <v>0.0</v>
      </c>
      <c r="AV137" s="13">
        <f t="shared" si="28"/>
        <v>3</v>
      </c>
      <c r="AW137" s="5"/>
      <c r="AX137" s="5"/>
    </row>
    <row r="138" ht="12.75" customHeight="1">
      <c r="A138" s="18"/>
      <c r="B138" s="49"/>
      <c r="C138" s="50" t="s">
        <v>112</v>
      </c>
      <c r="D138" s="51"/>
      <c r="E138" s="73">
        <v>0.0</v>
      </c>
      <c r="F138" s="73">
        <v>0.0</v>
      </c>
      <c r="G138" s="73">
        <v>0.0</v>
      </c>
      <c r="H138" s="73">
        <v>0.0</v>
      </c>
      <c r="I138" s="73">
        <v>0.0</v>
      </c>
      <c r="J138" s="73">
        <v>0.0</v>
      </c>
      <c r="K138" s="73">
        <v>0.0</v>
      </c>
      <c r="L138" s="73">
        <v>1.0</v>
      </c>
      <c r="M138" s="73">
        <v>0.0</v>
      </c>
      <c r="N138" s="73">
        <v>0.0</v>
      </c>
      <c r="O138" s="73">
        <v>0.0</v>
      </c>
      <c r="P138" s="73">
        <v>0.0</v>
      </c>
      <c r="Q138" s="73">
        <v>0.0</v>
      </c>
      <c r="R138" s="73">
        <v>0.0</v>
      </c>
      <c r="S138" s="73">
        <v>0.0</v>
      </c>
      <c r="T138" s="73">
        <v>0.0</v>
      </c>
      <c r="U138" s="73">
        <v>0.0</v>
      </c>
      <c r="V138" s="73">
        <v>0.0</v>
      </c>
      <c r="W138" s="73">
        <v>0.0</v>
      </c>
      <c r="X138" s="73">
        <v>0.0</v>
      </c>
      <c r="Y138" s="73">
        <v>0.0</v>
      </c>
      <c r="Z138" s="73">
        <v>0.0</v>
      </c>
      <c r="AA138" s="73">
        <v>0.0</v>
      </c>
      <c r="AB138" s="73">
        <v>0.0</v>
      </c>
      <c r="AC138" s="73">
        <v>0.0</v>
      </c>
      <c r="AD138" s="73">
        <v>0.0</v>
      </c>
      <c r="AE138" s="73">
        <v>0.0</v>
      </c>
      <c r="AF138" s="73">
        <v>0.0</v>
      </c>
      <c r="AG138" s="73">
        <v>0.0</v>
      </c>
      <c r="AH138" s="73">
        <v>0.0</v>
      </c>
      <c r="AI138" s="73">
        <v>0.0</v>
      </c>
      <c r="AJ138" s="73">
        <v>0.0</v>
      </c>
      <c r="AK138" s="73">
        <v>0.0</v>
      </c>
      <c r="AL138" s="73">
        <v>0.0</v>
      </c>
      <c r="AM138" s="73">
        <v>0.0</v>
      </c>
      <c r="AN138" s="73">
        <v>0.0</v>
      </c>
      <c r="AO138" s="73">
        <v>0.0</v>
      </c>
      <c r="AP138" s="73">
        <v>0.0</v>
      </c>
      <c r="AQ138" s="73">
        <v>0.0</v>
      </c>
      <c r="AR138" s="73">
        <v>0.0</v>
      </c>
      <c r="AS138" s="73">
        <v>0.0</v>
      </c>
      <c r="AT138" s="73">
        <v>0.0</v>
      </c>
      <c r="AU138" s="73">
        <v>0.0</v>
      </c>
      <c r="AV138" s="13">
        <f t="shared" si="28"/>
        <v>1</v>
      </c>
      <c r="AW138" s="5"/>
      <c r="AX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V139" si="29">SUM(E129:E138)</f>
        <v>0</v>
      </c>
      <c r="F139" s="13">
        <f t="shared" si="29"/>
        <v>1</v>
      </c>
      <c r="G139" s="13">
        <f t="shared" si="29"/>
        <v>0</v>
      </c>
      <c r="H139" s="13">
        <f t="shared" si="29"/>
        <v>0</v>
      </c>
      <c r="I139" s="13">
        <f t="shared" si="29"/>
        <v>6</v>
      </c>
      <c r="J139" s="13">
        <f t="shared" si="29"/>
        <v>3</v>
      </c>
      <c r="K139" s="13">
        <f t="shared" si="29"/>
        <v>0</v>
      </c>
      <c r="L139" s="13">
        <f t="shared" si="29"/>
        <v>2</v>
      </c>
      <c r="M139" s="13">
        <f t="shared" si="29"/>
        <v>2</v>
      </c>
      <c r="N139" s="13">
        <f t="shared" si="29"/>
        <v>1</v>
      </c>
      <c r="O139" s="13">
        <f t="shared" si="29"/>
        <v>1</v>
      </c>
      <c r="P139" s="13">
        <f t="shared" si="29"/>
        <v>0</v>
      </c>
      <c r="Q139" s="13">
        <f t="shared" si="29"/>
        <v>3</v>
      </c>
      <c r="R139" s="13">
        <f t="shared" si="29"/>
        <v>0</v>
      </c>
      <c r="S139" s="13">
        <f t="shared" si="29"/>
        <v>2</v>
      </c>
      <c r="T139" s="13">
        <f t="shared" si="29"/>
        <v>1</v>
      </c>
      <c r="U139" s="13">
        <f t="shared" si="29"/>
        <v>0</v>
      </c>
      <c r="V139" s="13">
        <f t="shared" si="29"/>
        <v>0</v>
      </c>
      <c r="W139" s="13">
        <f t="shared" si="29"/>
        <v>1</v>
      </c>
      <c r="X139" s="13">
        <f t="shared" si="29"/>
        <v>2</v>
      </c>
      <c r="Y139" s="13">
        <f t="shared" si="29"/>
        <v>1</v>
      </c>
      <c r="Z139" s="13">
        <f t="shared" si="29"/>
        <v>0</v>
      </c>
      <c r="AA139" s="13">
        <f t="shared" si="29"/>
        <v>3</v>
      </c>
      <c r="AB139" s="13">
        <f t="shared" si="29"/>
        <v>2</v>
      </c>
      <c r="AC139" s="13">
        <f t="shared" si="29"/>
        <v>3</v>
      </c>
      <c r="AD139" s="13">
        <f t="shared" si="29"/>
        <v>0</v>
      </c>
      <c r="AE139" s="13">
        <f t="shared" si="29"/>
        <v>1</v>
      </c>
      <c r="AF139" s="13">
        <f t="shared" si="29"/>
        <v>2</v>
      </c>
      <c r="AG139" s="13">
        <f t="shared" si="29"/>
        <v>0</v>
      </c>
      <c r="AH139" s="13">
        <f t="shared" si="29"/>
        <v>0</v>
      </c>
      <c r="AI139" s="13">
        <f t="shared" si="29"/>
        <v>0</v>
      </c>
      <c r="AJ139" s="13">
        <f t="shared" si="29"/>
        <v>0</v>
      </c>
      <c r="AK139" s="13">
        <f t="shared" si="29"/>
        <v>0</v>
      </c>
      <c r="AL139" s="13">
        <f t="shared" si="29"/>
        <v>2</v>
      </c>
      <c r="AM139" s="13">
        <f t="shared" si="29"/>
        <v>9</v>
      </c>
      <c r="AN139" s="13">
        <f t="shared" si="29"/>
        <v>0</v>
      </c>
      <c r="AO139" s="13">
        <f t="shared" si="29"/>
        <v>0</v>
      </c>
      <c r="AP139" s="13">
        <f t="shared" si="29"/>
        <v>0</v>
      </c>
      <c r="AQ139" s="13">
        <f t="shared" si="29"/>
        <v>0</v>
      </c>
      <c r="AR139" s="13">
        <f t="shared" si="29"/>
        <v>0</v>
      </c>
      <c r="AS139" s="13">
        <f t="shared" si="29"/>
        <v>0</v>
      </c>
      <c r="AT139" s="13">
        <f t="shared" si="29"/>
        <v>0</v>
      </c>
      <c r="AU139" s="13">
        <f t="shared" si="29"/>
        <v>0</v>
      </c>
      <c r="AV139" s="13">
        <f t="shared" si="29"/>
        <v>48</v>
      </c>
      <c r="AW139" s="5"/>
      <c r="AX139" s="5"/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5"/>
      <c r="AX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73">
        <v>0.0</v>
      </c>
      <c r="AC141" s="73">
        <v>0.0</v>
      </c>
      <c r="AD141" s="73">
        <v>0.0</v>
      </c>
      <c r="AE141" s="73">
        <v>0.0</v>
      </c>
      <c r="AF141" s="73">
        <v>0.0</v>
      </c>
      <c r="AG141" s="73">
        <v>0.0</v>
      </c>
      <c r="AH141" s="73">
        <v>0.0</v>
      </c>
      <c r="AI141" s="73">
        <v>0.0</v>
      </c>
      <c r="AJ141" s="73">
        <v>0.0</v>
      </c>
      <c r="AK141" s="73">
        <v>0.0</v>
      </c>
      <c r="AL141" s="73">
        <v>0.0</v>
      </c>
      <c r="AM141" s="73">
        <v>0.0</v>
      </c>
      <c r="AN141" s="73">
        <v>0.0</v>
      </c>
      <c r="AO141" s="73">
        <v>0.0</v>
      </c>
      <c r="AP141" s="73">
        <v>0.0</v>
      </c>
      <c r="AQ141" s="73">
        <v>0.0</v>
      </c>
      <c r="AR141" s="73">
        <v>0.0</v>
      </c>
      <c r="AS141" s="73">
        <v>0.0</v>
      </c>
      <c r="AT141" s="73">
        <v>0.0</v>
      </c>
      <c r="AU141" s="73">
        <v>0.0</v>
      </c>
      <c r="AV141" s="13">
        <f t="shared" ref="AV141:AV150" si="30">SUM(E141:AU141)</f>
        <v>0</v>
      </c>
      <c r="AW141" s="1"/>
      <c r="AX141" s="1"/>
    </row>
    <row r="142" ht="12.75" customHeight="1">
      <c r="A142" s="30" t="s">
        <v>39</v>
      </c>
      <c r="B142" s="49"/>
      <c r="C142" s="50" t="s">
        <v>115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1.0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73">
        <v>0.0</v>
      </c>
      <c r="AB142" s="73">
        <v>0.0</v>
      </c>
      <c r="AC142" s="73">
        <v>0.0</v>
      </c>
      <c r="AD142" s="73">
        <v>0.0</v>
      </c>
      <c r="AE142" s="73">
        <v>0.0</v>
      </c>
      <c r="AF142" s="73">
        <v>0.0</v>
      </c>
      <c r="AG142" s="73">
        <v>0.0</v>
      </c>
      <c r="AH142" s="73">
        <v>0.0</v>
      </c>
      <c r="AI142" s="73">
        <v>0.0</v>
      </c>
      <c r="AJ142" s="73">
        <v>0.0</v>
      </c>
      <c r="AK142" s="73">
        <v>0.0</v>
      </c>
      <c r="AL142" s="73">
        <v>0.0</v>
      </c>
      <c r="AM142" s="73">
        <v>0.0</v>
      </c>
      <c r="AN142" s="73">
        <v>0.0</v>
      </c>
      <c r="AO142" s="73">
        <v>0.0</v>
      </c>
      <c r="AP142" s="73">
        <v>0.0</v>
      </c>
      <c r="AQ142" s="73">
        <v>0.0</v>
      </c>
      <c r="AR142" s="73">
        <v>0.0</v>
      </c>
      <c r="AS142" s="73">
        <v>0.0</v>
      </c>
      <c r="AT142" s="73">
        <v>0.0</v>
      </c>
      <c r="AU142" s="73">
        <v>0.0</v>
      </c>
      <c r="AV142" s="13">
        <f t="shared" si="30"/>
        <v>1</v>
      </c>
      <c r="AW142" s="53"/>
      <c r="AX142" s="53"/>
    </row>
    <row r="143" ht="12.75" customHeight="1">
      <c r="A143" s="18"/>
      <c r="B143" s="49"/>
      <c r="C143" s="50" t="s">
        <v>116</v>
      </c>
      <c r="D143" s="51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73">
        <v>0.0</v>
      </c>
      <c r="W143" s="73">
        <v>0.0</v>
      </c>
      <c r="X143" s="73">
        <v>0.0</v>
      </c>
      <c r="Y143" s="73">
        <v>0.0</v>
      </c>
      <c r="Z143" s="73">
        <v>0.0</v>
      </c>
      <c r="AA143" s="73">
        <v>0.0</v>
      </c>
      <c r="AB143" s="73">
        <v>0.0</v>
      </c>
      <c r="AC143" s="73">
        <v>0.0</v>
      </c>
      <c r="AD143" s="73">
        <v>0.0</v>
      </c>
      <c r="AE143" s="73">
        <v>0.0</v>
      </c>
      <c r="AF143" s="73">
        <v>0.0</v>
      </c>
      <c r="AG143" s="73">
        <v>0.0</v>
      </c>
      <c r="AH143" s="73">
        <v>0.0</v>
      </c>
      <c r="AI143" s="73">
        <v>0.0</v>
      </c>
      <c r="AJ143" s="73">
        <v>0.0</v>
      </c>
      <c r="AK143" s="73">
        <v>0.0</v>
      </c>
      <c r="AL143" s="73">
        <v>0.0</v>
      </c>
      <c r="AM143" s="73">
        <v>0.0</v>
      </c>
      <c r="AN143" s="73">
        <v>0.0</v>
      </c>
      <c r="AO143" s="73">
        <v>0.0</v>
      </c>
      <c r="AP143" s="73">
        <v>0.0</v>
      </c>
      <c r="AQ143" s="73">
        <v>0.0</v>
      </c>
      <c r="AR143" s="73">
        <v>0.0</v>
      </c>
      <c r="AS143" s="73">
        <v>0.0</v>
      </c>
      <c r="AT143" s="73">
        <v>0.0</v>
      </c>
      <c r="AU143" s="73">
        <v>0.0</v>
      </c>
      <c r="AV143" s="13">
        <f t="shared" si="30"/>
        <v>0</v>
      </c>
      <c r="AW143" s="5"/>
      <c r="AX143" s="5"/>
    </row>
    <row r="144" ht="12.75" customHeight="1">
      <c r="A144" s="18"/>
      <c r="B144" s="49"/>
      <c r="C144" s="50" t="s">
        <v>117</v>
      </c>
      <c r="D144" s="51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73">
        <v>0.0</v>
      </c>
      <c r="W144" s="73">
        <v>0.0</v>
      </c>
      <c r="X144" s="73">
        <v>0.0</v>
      </c>
      <c r="Y144" s="73">
        <v>0.0</v>
      </c>
      <c r="Z144" s="73">
        <v>0.0</v>
      </c>
      <c r="AA144" s="73">
        <v>0.0</v>
      </c>
      <c r="AB144" s="73">
        <v>0.0</v>
      </c>
      <c r="AC144" s="73">
        <v>0.0</v>
      </c>
      <c r="AD144" s="73">
        <v>0.0</v>
      </c>
      <c r="AE144" s="73">
        <v>0.0</v>
      </c>
      <c r="AF144" s="73">
        <v>0.0</v>
      </c>
      <c r="AG144" s="73">
        <v>0.0</v>
      </c>
      <c r="AH144" s="73">
        <v>0.0</v>
      </c>
      <c r="AI144" s="73">
        <v>0.0</v>
      </c>
      <c r="AJ144" s="73">
        <v>0.0</v>
      </c>
      <c r="AK144" s="73">
        <v>0.0</v>
      </c>
      <c r="AL144" s="73">
        <v>0.0</v>
      </c>
      <c r="AM144" s="73">
        <v>0.0</v>
      </c>
      <c r="AN144" s="73">
        <v>0.0</v>
      </c>
      <c r="AO144" s="73">
        <v>0.0</v>
      </c>
      <c r="AP144" s="73">
        <v>0.0</v>
      </c>
      <c r="AQ144" s="73">
        <v>0.0</v>
      </c>
      <c r="AR144" s="73">
        <v>0.0</v>
      </c>
      <c r="AS144" s="73">
        <v>0.0</v>
      </c>
      <c r="AT144" s="73">
        <v>0.0</v>
      </c>
      <c r="AU144" s="73">
        <v>0.0</v>
      </c>
      <c r="AV144" s="13">
        <f t="shared" si="30"/>
        <v>0</v>
      </c>
      <c r="AW144" s="5"/>
      <c r="AX144" s="5"/>
    </row>
    <row r="145" ht="12.75" customHeight="1">
      <c r="A145" s="18"/>
      <c r="B145" s="57"/>
      <c r="C145" s="58"/>
      <c r="D145" s="5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3">
        <f t="shared" si="30"/>
        <v>0</v>
      </c>
      <c r="AW145" s="5"/>
      <c r="AX145" s="5"/>
    </row>
    <row r="146" ht="12.75" customHeight="1">
      <c r="A146" s="18"/>
      <c r="B146" s="57"/>
      <c r="C146" s="58"/>
      <c r="D146" s="5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3">
        <f t="shared" si="30"/>
        <v>0</v>
      </c>
      <c r="AW146" s="5"/>
      <c r="AX146" s="5"/>
    </row>
    <row r="147" ht="12.75" customHeight="1">
      <c r="A147" s="18"/>
      <c r="B147" s="57"/>
      <c r="C147" s="58"/>
      <c r="D147" s="5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3">
        <f t="shared" si="30"/>
        <v>0</v>
      </c>
      <c r="AW147" s="5"/>
      <c r="AX147" s="5"/>
    </row>
    <row r="148" ht="12.75" customHeight="1">
      <c r="A148" s="18"/>
      <c r="B148" s="57"/>
      <c r="C148" s="58"/>
      <c r="D148" s="5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3">
        <f t="shared" si="30"/>
        <v>0</v>
      </c>
      <c r="AW148" s="5"/>
      <c r="AX148" s="5"/>
    </row>
    <row r="149" ht="12.75" customHeight="1">
      <c r="A149" s="18"/>
      <c r="B149" s="57"/>
      <c r="C149" s="58"/>
      <c r="D149" s="5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3">
        <f t="shared" si="30"/>
        <v>0</v>
      </c>
      <c r="AW149" s="5"/>
      <c r="AX149" s="5"/>
    </row>
    <row r="150" ht="12.75" customHeight="1">
      <c r="A150" s="18"/>
      <c r="B150" s="57"/>
      <c r="C150" s="58"/>
      <c r="D150" s="5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3">
        <f t="shared" si="30"/>
        <v>0</v>
      </c>
      <c r="AW150" s="5"/>
      <c r="AX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V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1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0</v>
      </c>
      <c r="AV151" s="13">
        <f t="shared" si="31"/>
        <v>1</v>
      </c>
      <c r="AW151" s="1"/>
      <c r="AX151" s="1"/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13"/>
      <c r="AW152" s="53"/>
      <c r="AX152" s="53"/>
    </row>
    <row r="153" ht="12.75" customHeight="1">
      <c r="A153" s="30" t="s">
        <v>37</v>
      </c>
      <c r="B153" s="17" t="s">
        <v>118</v>
      </c>
      <c r="C153" s="62" t="s">
        <v>119</v>
      </c>
      <c r="D153" s="23"/>
      <c r="E153" s="73">
        <v>0.0</v>
      </c>
      <c r="F153" s="73">
        <v>0.0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73">
        <v>0.0</v>
      </c>
      <c r="U153" s="73">
        <v>0.0</v>
      </c>
      <c r="V153" s="73">
        <v>0.0</v>
      </c>
      <c r="W153" s="73">
        <v>0.0</v>
      </c>
      <c r="X153" s="73">
        <v>0.0</v>
      </c>
      <c r="Y153" s="73">
        <v>0.0</v>
      </c>
      <c r="Z153" s="73">
        <v>0.0</v>
      </c>
      <c r="AA153" s="73">
        <v>0.0</v>
      </c>
      <c r="AB153" s="73">
        <v>0.0</v>
      </c>
      <c r="AC153" s="73">
        <v>1.0</v>
      </c>
      <c r="AD153" s="73">
        <v>0.0</v>
      </c>
      <c r="AE153" s="73">
        <v>0.0</v>
      </c>
      <c r="AF153" s="73">
        <v>0.0</v>
      </c>
      <c r="AG153" s="73">
        <v>0.0</v>
      </c>
      <c r="AH153" s="73">
        <v>0.0</v>
      </c>
      <c r="AI153" s="73">
        <v>0.0</v>
      </c>
      <c r="AJ153" s="73">
        <v>0.0</v>
      </c>
      <c r="AK153" s="73">
        <v>0.0</v>
      </c>
      <c r="AL153" s="73">
        <v>0.0</v>
      </c>
      <c r="AM153" s="73">
        <v>0.0</v>
      </c>
      <c r="AN153" s="73">
        <v>0.0</v>
      </c>
      <c r="AO153" s="73">
        <v>0.0</v>
      </c>
      <c r="AP153" s="73">
        <v>0.0</v>
      </c>
      <c r="AQ153" s="73">
        <v>0.0</v>
      </c>
      <c r="AR153" s="73">
        <v>0.0</v>
      </c>
      <c r="AS153" s="73">
        <v>0.0</v>
      </c>
      <c r="AT153" s="73">
        <v>0.0</v>
      </c>
      <c r="AU153" s="73">
        <v>0.0</v>
      </c>
      <c r="AV153" s="13">
        <f t="shared" ref="AV153:AV156" si="32">SUM(E154:AU154)</f>
        <v>1</v>
      </c>
      <c r="AW153" s="5"/>
      <c r="AX153" s="5"/>
    </row>
    <row r="154" ht="12.75" customHeight="1">
      <c r="A154" s="63" t="s">
        <v>39</v>
      </c>
      <c r="B154" s="49"/>
      <c r="C154" s="50" t="s">
        <v>120</v>
      </c>
      <c r="D154" s="51"/>
      <c r="E154" s="80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0.0</v>
      </c>
      <c r="M154" s="73">
        <v>0.0</v>
      </c>
      <c r="N154" s="73">
        <v>0.0</v>
      </c>
      <c r="O154" s="73">
        <v>0.0</v>
      </c>
      <c r="P154" s="73">
        <v>0.0</v>
      </c>
      <c r="Q154" s="73">
        <v>0.0</v>
      </c>
      <c r="R154" s="73">
        <v>0.0</v>
      </c>
      <c r="S154" s="73">
        <v>0.0</v>
      </c>
      <c r="T154" s="73">
        <v>1.0</v>
      </c>
      <c r="U154" s="73">
        <v>0.0</v>
      </c>
      <c r="V154" s="73">
        <v>0.0</v>
      </c>
      <c r="W154" s="73">
        <v>0.0</v>
      </c>
      <c r="X154" s="73">
        <v>0.0</v>
      </c>
      <c r="Y154" s="73">
        <v>0.0</v>
      </c>
      <c r="Z154" s="73">
        <v>0.0</v>
      </c>
      <c r="AA154" s="73">
        <v>0.0</v>
      </c>
      <c r="AB154" s="73">
        <v>0.0</v>
      </c>
      <c r="AC154" s="73">
        <v>0.0</v>
      </c>
      <c r="AD154" s="73">
        <v>0.0</v>
      </c>
      <c r="AE154" s="73">
        <v>0.0</v>
      </c>
      <c r="AF154" s="73">
        <v>0.0</v>
      </c>
      <c r="AG154" s="73">
        <v>0.0</v>
      </c>
      <c r="AH154" s="73">
        <v>0.0</v>
      </c>
      <c r="AI154" s="73">
        <v>0.0</v>
      </c>
      <c r="AJ154" s="73">
        <v>0.0</v>
      </c>
      <c r="AK154" s="73">
        <v>0.0</v>
      </c>
      <c r="AL154" s="73">
        <v>0.0</v>
      </c>
      <c r="AM154" s="73">
        <v>0.0</v>
      </c>
      <c r="AN154" s="73">
        <v>0.0</v>
      </c>
      <c r="AO154" s="73">
        <v>0.0</v>
      </c>
      <c r="AP154" s="73">
        <v>0.0</v>
      </c>
      <c r="AQ154" s="73">
        <v>0.0</v>
      </c>
      <c r="AR154" s="73">
        <v>0.0</v>
      </c>
      <c r="AS154" s="73">
        <v>0.0</v>
      </c>
      <c r="AT154" s="73">
        <v>0.0</v>
      </c>
      <c r="AU154" s="73">
        <v>0.0</v>
      </c>
      <c r="AV154" s="13">
        <f t="shared" si="32"/>
        <v>1</v>
      </c>
      <c r="AW154" s="5"/>
      <c r="AX154" s="5"/>
    </row>
    <row r="155" ht="12.75" customHeight="1">
      <c r="A155" s="18"/>
      <c r="B155" s="49"/>
      <c r="C155" s="50" t="s">
        <v>121</v>
      </c>
      <c r="D155" s="51"/>
      <c r="E155" s="80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73">
        <v>0.0</v>
      </c>
      <c r="W155" s="73">
        <v>1.0</v>
      </c>
      <c r="X155" s="73">
        <v>0.0</v>
      </c>
      <c r="Y155" s="73">
        <v>0.0</v>
      </c>
      <c r="Z155" s="73">
        <v>0.0</v>
      </c>
      <c r="AA155" s="73">
        <v>0.0</v>
      </c>
      <c r="AB155" s="73">
        <v>0.0</v>
      </c>
      <c r="AC155" s="73">
        <v>0.0</v>
      </c>
      <c r="AD155" s="73">
        <v>0.0</v>
      </c>
      <c r="AE155" s="73">
        <v>0.0</v>
      </c>
      <c r="AF155" s="73">
        <v>0.0</v>
      </c>
      <c r="AG155" s="73">
        <v>0.0</v>
      </c>
      <c r="AH155" s="73">
        <v>0.0</v>
      </c>
      <c r="AI155" s="73">
        <v>0.0</v>
      </c>
      <c r="AJ155" s="73">
        <v>0.0</v>
      </c>
      <c r="AK155" s="73">
        <v>0.0</v>
      </c>
      <c r="AL155" s="73">
        <v>0.0</v>
      </c>
      <c r="AM155" s="73">
        <v>0.0</v>
      </c>
      <c r="AN155" s="73">
        <v>0.0</v>
      </c>
      <c r="AO155" s="73">
        <v>0.0</v>
      </c>
      <c r="AP155" s="73">
        <v>0.0</v>
      </c>
      <c r="AQ155" s="73">
        <v>0.0</v>
      </c>
      <c r="AR155" s="73">
        <v>0.0</v>
      </c>
      <c r="AS155" s="73">
        <v>0.0</v>
      </c>
      <c r="AT155" s="73">
        <v>0.0</v>
      </c>
      <c r="AU155" s="73">
        <v>0.0</v>
      </c>
      <c r="AV155" s="13">
        <f t="shared" si="32"/>
        <v>3</v>
      </c>
      <c r="AW155" s="5"/>
      <c r="AX155" s="5"/>
    </row>
    <row r="156" ht="12.75" customHeight="1">
      <c r="A156" s="18"/>
      <c r="B156" s="49"/>
      <c r="C156" s="50" t="s">
        <v>122</v>
      </c>
      <c r="D156" s="51"/>
      <c r="E156" s="80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1.0</v>
      </c>
      <c r="AA156" s="73">
        <v>0.0</v>
      </c>
      <c r="AB156" s="73">
        <v>0.0</v>
      </c>
      <c r="AC156" s="73">
        <v>1.0</v>
      </c>
      <c r="AD156" s="73">
        <v>0.0</v>
      </c>
      <c r="AE156" s="73">
        <v>1.0</v>
      </c>
      <c r="AF156" s="73">
        <v>0.0</v>
      </c>
      <c r="AG156" s="73">
        <v>0.0</v>
      </c>
      <c r="AH156" s="73">
        <v>0.0</v>
      </c>
      <c r="AI156" s="73">
        <v>0.0</v>
      </c>
      <c r="AJ156" s="73">
        <v>0.0</v>
      </c>
      <c r="AK156" s="73">
        <v>0.0</v>
      </c>
      <c r="AL156" s="73">
        <v>0.0</v>
      </c>
      <c r="AM156" s="73">
        <v>0.0</v>
      </c>
      <c r="AN156" s="73">
        <v>0.0</v>
      </c>
      <c r="AO156" s="73">
        <v>0.0</v>
      </c>
      <c r="AP156" s="73">
        <v>0.0</v>
      </c>
      <c r="AQ156" s="73">
        <v>0.0</v>
      </c>
      <c r="AR156" s="73">
        <v>0.0</v>
      </c>
      <c r="AS156" s="73">
        <v>0.0</v>
      </c>
      <c r="AT156" s="73">
        <v>0.0</v>
      </c>
      <c r="AU156" s="73">
        <v>0.0</v>
      </c>
      <c r="AV156" s="13">
        <f t="shared" si="32"/>
        <v>0</v>
      </c>
      <c r="AW156" s="5"/>
      <c r="AX156" s="5"/>
    </row>
    <row r="157" ht="12.75" customHeight="1">
      <c r="A157" s="18"/>
      <c r="B157" s="49"/>
      <c r="C157" s="50" t="s">
        <v>123</v>
      </c>
      <c r="D157" s="51"/>
      <c r="E157" s="80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73">
        <v>0.0</v>
      </c>
      <c r="AC157" s="73">
        <v>0.0</v>
      </c>
      <c r="AD157" s="73">
        <v>0.0</v>
      </c>
      <c r="AE157" s="73">
        <v>0.0</v>
      </c>
      <c r="AF157" s="73">
        <v>0.0</v>
      </c>
      <c r="AG157" s="73">
        <v>0.0</v>
      </c>
      <c r="AH157" s="73">
        <v>0.0</v>
      </c>
      <c r="AI157" s="73">
        <v>0.0</v>
      </c>
      <c r="AJ157" s="73">
        <v>0.0</v>
      </c>
      <c r="AK157" s="73">
        <v>0.0</v>
      </c>
      <c r="AL157" s="73">
        <v>0.0</v>
      </c>
      <c r="AM157" s="73">
        <v>0.0</v>
      </c>
      <c r="AN157" s="73">
        <v>0.0</v>
      </c>
      <c r="AO157" s="73">
        <v>0.0</v>
      </c>
      <c r="AP157" s="73">
        <v>0.0</v>
      </c>
      <c r="AQ157" s="73">
        <v>0.0</v>
      </c>
      <c r="AR157" s="73">
        <v>0.0</v>
      </c>
      <c r="AS157" s="73">
        <v>0.0</v>
      </c>
      <c r="AT157" s="73">
        <v>0.0</v>
      </c>
      <c r="AU157" s="73">
        <v>0.0</v>
      </c>
      <c r="AV157" s="13">
        <f t="shared" ref="AV157:AV162" si="33">SUM(E163:AU163)</f>
        <v>11</v>
      </c>
      <c r="AW157" s="5"/>
      <c r="AX157" s="5"/>
    </row>
    <row r="158" ht="12.75" customHeight="1">
      <c r="A158" s="18"/>
      <c r="B158" s="49"/>
      <c r="C158" s="50" t="s">
        <v>124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1.0</v>
      </c>
      <c r="Q158" s="73">
        <v>1.0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0.0</v>
      </c>
      <c r="Z158" s="73">
        <v>0.0</v>
      </c>
      <c r="AA158" s="73">
        <v>0.0</v>
      </c>
      <c r="AB158" s="73">
        <v>1.0</v>
      </c>
      <c r="AC158" s="73">
        <v>0.0</v>
      </c>
      <c r="AD158" s="73">
        <v>0.0</v>
      </c>
      <c r="AE158" s="73">
        <v>0.0</v>
      </c>
      <c r="AF158" s="73">
        <v>0.0</v>
      </c>
      <c r="AG158" s="73">
        <v>0.0</v>
      </c>
      <c r="AH158" s="73">
        <v>0.0</v>
      </c>
      <c r="AI158" s="73">
        <v>0.0</v>
      </c>
      <c r="AJ158" s="73">
        <v>0.0</v>
      </c>
      <c r="AK158" s="73">
        <v>0.0</v>
      </c>
      <c r="AL158" s="73">
        <v>0.0</v>
      </c>
      <c r="AM158" s="73">
        <v>0.0</v>
      </c>
      <c r="AN158" s="73">
        <v>0.0</v>
      </c>
      <c r="AO158" s="73">
        <v>0.0</v>
      </c>
      <c r="AP158" s="73">
        <v>0.0</v>
      </c>
      <c r="AQ158" s="73">
        <v>0.0</v>
      </c>
      <c r="AR158" s="73">
        <v>0.0</v>
      </c>
      <c r="AS158" s="73">
        <v>0.0</v>
      </c>
      <c r="AT158" s="73">
        <v>0.0</v>
      </c>
      <c r="AU158" s="73">
        <v>0.0</v>
      </c>
      <c r="AV158" s="13">
        <f t="shared" si="33"/>
        <v>0</v>
      </c>
      <c r="AW158" s="5"/>
      <c r="AX158" s="5"/>
    </row>
    <row r="159" ht="12.75" customHeight="1">
      <c r="A159" s="18"/>
      <c r="B159" s="49"/>
      <c r="C159" s="50" t="s">
        <v>125</v>
      </c>
      <c r="D159" s="51"/>
      <c r="E159" s="80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1.0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73">
        <v>0.0</v>
      </c>
      <c r="AB159" s="73">
        <v>0.0</v>
      </c>
      <c r="AC159" s="73">
        <v>0.0</v>
      </c>
      <c r="AD159" s="73">
        <v>0.0</v>
      </c>
      <c r="AE159" s="73">
        <v>0.0</v>
      </c>
      <c r="AF159" s="73">
        <v>0.0</v>
      </c>
      <c r="AG159" s="73">
        <v>0.0</v>
      </c>
      <c r="AH159" s="73">
        <v>0.0</v>
      </c>
      <c r="AI159" s="73">
        <v>0.0</v>
      </c>
      <c r="AJ159" s="73">
        <v>0.0</v>
      </c>
      <c r="AK159" s="73">
        <v>0.0</v>
      </c>
      <c r="AL159" s="73">
        <v>0.0</v>
      </c>
      <c r="AM159" s="73">
        <v>0.0</v>
      </c>
      <c r="AN159" s="73">
        <v>0.0</v>
      </c>
      <c r="AO159" s="73">
        <v>0.0</v>
      </c>
      <c r="AP159" s="73">
        <v>0.0</v>
      </c>
      <c r="AQ159" s="73">
        <v>0.0</v>
      </c>
      <c r="AR159" s="73">
        <v>0.0</v>
      </c>
      <c r="AS159" s="73">
        <v>0.0</v>
      </c>
      <c r="AT159" s="73">
        <v>0.0</v>
      </c>
      <c r="AU159" s="73">
        <v>0.0</v>
      </c>
      <c r="AV159" s="13">
        <f t="shared" si="33"/>
        <v>4</v>
      </c>
      <c r="AW159" s="5"/>
      <c r="AX159" s="5"/>
    </row>
    <row r="160" ht="12.75" customHeight="1">
      <c r="A160" s="18"/>
      <c r="B160" s="49"/>
      <c r="C160" s="50" t="s">
        <v>126</v>
      </c>
      <c r="D160" s="51"/>
      <c r="E160" s="80">
        <v>0.0</v>
      </c>
      <c r="F160" s="73">
        <v>0.0</v>
      </c>
      <c r="G160" s="73">
        <v>0.0</v>
      </c>
      <c r="H160" s="73">
        <v>0.0</v>
      </c>
      <c r="I160" s="73">
        <v>0.0</v>
      </c>
      <c r="J160" s="73">
        <v>0.0</v>
      </c>
      <c r="K160" s="73">
        <v>0.0</v>
      </c>
      <c r="L160" s="73">
        <v>0.0</v>
      </c>
      <c r="M160" s="73">
        <v>0.0</v>
      </c>
      <c r="N160" s="73">
        <v>0.0</v>
      </c>
      <c r="O160" s="73">
        <v>0.0</v>
      </c>
      <c r="P160" s="73">
        <v>0.0</v>
      </c>
      <c r="Q160" s="73">
        <v>0.0</v>
      </c>
      <c r="R160" s="73">
        <v>0.0</v>
      </c>
      <c r="S160" s="73">
        <v>0.0</v>
      </c>
      <c r="T160" s="73">
        <v>0.0</v>
      </c>
      <c r="U160" s="73">
        <v>0.0</v>
      </c>
      <c r="V160" s="73">
        <v>0.0</v>
      </c>
      <c r="W160" s="73">
        <v>0.0</v>
      </c>
      <c r="X160" s="73">
        <v>0.0</v>
      </c>
      <c r="Y160" s="73">
        <v>0.0</v>
      </c>
      <c r="Z160" s="73">
        <v>0.0</v>
      </c>
      <c r="AA160" s="73">
        <v>0.0</v>
      </c>
      <c r="AB160" s="73">
        <v>1.0</v>
      </c>
      <c r="AC160" s="73">
        <v>0.0</v>
      </c>
      <c r="AD160" s="73">
        <v>0.0</v>
      </c>
      <c r="AE160" s="73">
        <v>0.0</v>
      </c>
      <c r="AF160" s="73">
        <v>0.0</v>
      </c>
      <c r="AG160" s="73">
        <v>0.0</v>
      </c>
      <c r="AH160" s="73">
        <v>0.0</v>
      </c>
      <c r="AI160" s="73">
        <v>0.0</v>
      </c>
      <c r="AJ160" s="73">
        <v>0.0</v>
      </c>
      <c r="AK160" s="73">
        <v>0.0</v>
      </c>
      <c r="AL160" s="73">
        <v>0.0</v>
      </c>
      <c r="AM160" s="73">
        <v>0.0</v>
      </c>
      <c r="AN160" s="73">
        <v>0.0</v>
      </c>
      <c r="AO160" s="73">
        <v>0.0</v>
      </c>
      <c r="AP160" s="73">
        <v>0.0</v>
      </c>
      <c r="AQ160" s="73">
        <v>0.0</v>
      </c>
      <c r="AR160" s="73">
        <v>0.0</v>
      </c>
      <c r="AS160" s="73">
        <v>0.0</v>
      </c>
      <c r="AT160" s="73">
        <v>0.0</v>
      </c>
      <c r="AU160" s="73">
        <v>0.0</v>
      </c>
      <c r="AV160" s="13">
        <f t="shared" si="33"/>
        <v>9</v>
      </c>
      <c r="AW160" s="5"/>
      <c r="AX160" s="5"/>
    </row>
    <row r="161" ht="12.75" customHeight="1">
      <c r="A161" s="18"/>
      <c r="B161" s="57"/>
      <c r="C161" s="64"/>
      <c r="D161" s="59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3">
        <f t="shared" si="33"/>
        <v>0</v>
      </c>
      <c r="AW161" s="5"/>
      <c r="AX161" s="5"/>
    </row>
    <row r="162" ht="12.75" customHeight="1">
      <c r="A162" s="18"/>
      <c r="B162" s="57"/>
      <c r="C162" s="64"/>
      <c r="D162" s="59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3">
        <f t="shared" si="33"/>
        <v>0</v>
      </c>
      <c r="AW162" s="5"/>
      <c r="AX162" s="5"/>
    </row>
    <row r="163" ht="12.75" customHeight="1">
      <c r="A163" s="19" t="s">
        <v>15</v>
      </c>
      <c r="B163" s="65" t="s">
        <v>49</v>
      </c>
      <c r="C163" s="44"/>
      <c r="D163" s="28"/>
      <c r="E163" s="13">
        <f t="shared" ref="E163:AV163" si="34">SUM(E153:E162)</f>
        <v>0</v>
      </c>
      <c r="F163" s="13">
        <f t="shared" si="34"/>
        <v>0</v>
      </c>
      <c r="G163" s="13">
        <f t="shared" si="34"/>
        <v>0</v>
      </c>
      <c r="H163" s="13">
        <f t="shared" si="34"/>
        <v>0</v>
      </c>
      <c r="I163" s="13">
        <f t="shared" si="34"/>
        <v>0</v>
      </c>
      <c r="J163" s="13">
        <f t="shared" si="34"/>
        <v>0</v>
      </c>
      <c r="K163" s="13">
        <f t="shared" si="34"/>
        <v>0</v>
      </c>
      <c r="L163" s="13">
        <f t="shared" si="34"/>
        <v>0</v>
      </c>
      <c r="M163" s="13">
        <f t="shared" si="34"/>
        <v>0</v>
      </c>
      <c r="N163" s="13">
        <f t="shared" si="34"/>
        <v>0</v>
      </c>
      <c r="O163" s="13">
        <f t="shared" si="34"/>
        <v>1</v>
      </c>
      <c r="P163" s="13">
        <f t="shared" si="34"/>
        <v>1</v>
      </c>
      <c r="Q163" s="13">
        <f t="shared" si="34"/>
        <v>1</v>
      </c>
      <c r="R163" s="13">
        <f t="shared" si="34"/>
        <v>0</v>
      </c>
      <c r="S163" s="13">
        <f t="shared" si="34"/>
        <v>0</v>
      </c>
      <c r="T163" s="13">
        <f t="shared" si="34"/>
        <v>1</v>
      </c>
      <c r="U163" s="13">
        <f t="shared" si="34"/>
        <v>0</v>
      </c>
      <c r="V163" s="13">
        <f t="shared" si="34"/>
        <v>0</v>
      </c>
      <c r="W163" s="13">
        <f t="shared" si="34"/>
        <v>1</v>
      </c>
      <c r="X163" s="13">
        <f t="shared" si="34"/>
        <v>0</v>
      </c>
      <c r="Y163" s="13">
        <f t="shared" si="34"/>
        <v>0</v>
      </c>
      <c r="Z163" s="13">
        <f t="shared" si="34"/>
        <v>1</v>
      </c>
      <c r="AA163" s="13">
        <f t="shared" si="34"/>
        <v>0</v>
      </c>
      <c r="AB163" s="13">
        <f t="shared" si="34"/>
        <v>2</v>
      </c>
      <c r="AC163" s="13">
        <f t="shared" si="34"/>
        <v>2</v>
      </c>
      <c r="AD163" s="13">
        <f t="shared" si="34"/>
        <v>0</v>
      </c>
      <c r="AE163" s="13">
        <f t="shared" si="34"/>
        <v>1</v>
      </c>
      <c r="AF163" s="13">
        <f t="shared" si="34"/>
        <v>0</v>
      </c>
      <c r="AG163" s="13">
        <f t="shared" si="34"/>
        <v>0</v>
      </c>
      <c r="AH163" s="13">
        <f t="shared" si="34"/>
        <v>0</v>
      </c>
      <c r="AI163" s="13">
        <f t="shared" si="34"/>
        <v>0</v>
      </c>
      <c r="AJ163" s="13">
        <f t="shared" si="34"/>
        <v>0</v>
      </c>
      <c r="AK163" s="13">
        <f t="shared" si="34"/>
        <v>0</v>
      </c>
      <c r="AL163" s="13">
        <f t="shared" si="34"/>
        <v>0</v>
      </c>
      <c r="AM163" s="13">
        <f t="shared" si="34"/>
        <v>0</v>
      </c>
      <c r="AN163" s="13">
        <f t="shared" si="34"/>
        <v>0</v>
      </c>
      <c r="AO163" s="13">
        <f t="shared" si="34"/>
        <v>0</v>
      </c>
      <c r="AP163" s="13">
        <f t="shared" si="34"/>
        <v>0</v>
      </c>
      <c r="AQ163" s="13">
        <f t="shared" si="34"/>
        <v>0</v>
      </c>
      <c r="AR163" s="13">
        <f t="shared" si="34"/>
        <v>0</v>
      </c>
      <c r="AS163" s="13">
        <f t="shared" si="34"/>
        <v>0</v>
      </c>
      <c r="AT163" s="13">
        <f t="shared" si="34"/>
        <v>0</v>
      </c>
      <c r="AU163" s="13">
        <f t="shared" si="34"/>
        <v>0</v>
      </c>
      <c r="AV163" s="13">
        <f t="shared" si="34"/>
        <v>29</v>
      </c>
      <c r="AW163" s="5"/>
      <c r="AX163" s="5"/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5"/>
      <c r="AX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0.0</v>
      </c>
      <c r="F165" s="73">
        <v>0.0</v>
      </c>
      <c r="G165" s="73">
        <v>1.0</v>
      </c>
      <c r="H165" s="73">
        <v>0.0</v>
      </c>
      <c r="I165" s="73">
        <v>1.0</v>
      </c>
      <c r="J165" s="73">
        <v>0.0</v>
      </c>
      <c r="K165" s="73">
        <v>0.0</v>
      </c>
      <c r="L165" s="73">
        <v>1.0</v>
      </c>
      <c r="M165" s="73">
        <v>0.0</v>
      </c>
      <c r="N165" s="73">
        <v>1.0</v>
      </c>
      <c r="O165" s="73">
        <v>0.0</v>
      </c>
      <c r="P165" s="73">
        <v>0.0</v>
      </c>
      <c r="Q165" s="73">
        <v>0.0</v>
      </c>
      <c r="R165" s="73">
        <v>0.0</v>
      </c>
      <c r="S165" s="73">
        <v>0.0</v>
      </c>
      <c r="T165" s="73">
        <v>0.0</v>
      </c>
      <c r="U165" s="73">
        <v>0.0</v>
      </c>
      <c r="V165" s="73">
        <v>0.0</v>
      </c>
      <c r="W165" s="73">
        <v>0.0</v>
      </c>
      <c r="X165" s="73">
        <v>0.0</v>
      </c>
      <c r="Y165" s="73">
        <v>0.0</v>
      </c>
      <c r="Z165" s="73">
        <v>0.0</v>
      </c>
      <c r="AA165" s="73">
        <v>0.0</v>
      </c>
      <c r="AB165" s="73">
        <v>0.0</v>
      </c>
      <c r="AC165" s="73">
        <v>0.0</v>
      </c>
      <c r="AD165" s="73">
        <v>0.0</v>
      </c>
      <c r="AE165" s="73">
        <v>0.0</v>
      </c>
      <c r="AF165" s="73">
        <v>0.0</v>
      </c>
      <c r="AG165" s="73">
        <v>0.0</v>
      </c>
      <c r="AH165" s="73">
        <v>0.0</v>
      </c>
      <c r="AI165" s="73">
        <v>0.0</v>
      </c>
      <c r="AJ165" s="73">
        <v>0.0</v>
      </c>
      <c r="AK165" s="73">
        <v>0.0</v>
      </c>
      <c r="AL165" s="73">
        <v>0.0</v>
      </c>
      <c r="AM165" s="73">
        <v>0.0</v>
      </c>
      <c r="AN165" s="73">
        <v>0.0</v>
      </c>
      <c r="AO165" s="73">
        <v>0.0</v>
      </c>
      <c r="AP165" s="73">
        <v>0.0</v>
      </c>
      <c r="AQ165" s="73">
        <v>0.0</v>
      </c>
      <c r="AR165" s="73">
        <v>0.0</v>
      </c>
      <c r="AS165" s="73">
        <v>0.0</v>
      </c>
      <c r="AT165" s="73">
        <v>0.0</v>
      </c>
      <c r="AU165" s="73">
        <v>0.0</v>
      </c>
      <c r="AV165" s="13">
        <f t="shared" ref="AV165:AV174" si="35">SUM(E165:AU165)</f>
        <v>4</v>
      </c>
      <c r="AW165" s="1"/>
      <c r="AX165" s="1"/>
    </row>
    <row r="166" ht="12.75" customHeight="1">
      <c r="A166" s="30" t="s">
        <v>39</v>
      </c>
      <c r="B166" s="49"/>
      <c r="C166" s="50" t="s">
        <v>129</v>
      </c>
      <c r="D166" s="51"/>
      <c r="E166" s="73">
        <v>1.0</v>
      </c>
      <c r="F166" s="73">
        <v>0.0</v>
      </c>
      <c r="G166" s="73">
        <v>0.0</v>
      </c>
      <c r="H166" s="73">
        <v>0.0</v>
      </c>
      <c r="I166" s="73">
        <v>0.0</v>
      </c>
      <c r="J166" s="73">
        <v>0.0</v>
      </c>
      <c r="K166" s="73">
        <v>0.0</v>
      </c>
      <c r="L166" s="73">
        <v>0.0</v>
      </c>
      <c r="M166" s="73">
        <v>0.0</v>
      </c>
      <c r="N166" s="73">
        <v>3.0</v>
      </c>
      <c r="O166" s="73">
        <v>0.0</v>
      </c>
      <c r="P166" s="73">
        <v>0.0</v>
      </c>
      <c r="Q166" s="73">
        <v>0.0</v>
      </c>
      <c r="R166" s="73">
        <v>0.0</v>
      </c>
      <c r="S166" s="73">
        <v>0.0</v>
      </c>
      <c r="T166" s="73">
        <v>0.0</v>
      </c>
      <c r="U166" s="73">
        <v>1.0</v>
      </c>
      <c r="V166" s="73">
        <v>0.0</v>
      </c>
      <c r="W166" s="73">
        <v>0.0</v>
      </c>
      <c r="X166" s="73">
        <v>0.0</v>
      </c>
      <c r="Y166" s="73">
        <v>0.0</v>
      </c>
      <c r="Z166" s="73">
        <v>0.0</v>
      </c>
      <c r="AA166" s="73">
        <v>0.0</v>
      </c>
      <c r="AB166" s="73">
        <v>0.0</v>
      </c>
      <c r="AC166" s="73">
        <v>0.0</v>
      </c>
      <c r="AD166" s="73">
        <v>0.0</v>
      </c>
      <c r="AE166" s="73">
        <v>0.0</v>
      </c>
      <c r="AF166" s="73">
        <v>1.0</v>
      </c>
      <c r="AG166" s="73">
        <v>0.0</v>
      </c>
      <c r="AH166" s="73">
        <v>0.0</v>
      </c>
      <c r="AI166" s="73">
        <v>0.0</v>
      </c>
      <c r="AJ166" s="73">
        <v>1.0</v>
      </c>
      <c r="AK166" s="73">
        <v>0.0</v>
      </c>
      <c r="AL166" s="73">
        <v>1.0</v>
      </c>
      <c r="AM166" s="73">
        <v>1.0</v>
      </c>
      <c r="AN166" s="73">
        <v>0.0</v>
      </c>
      <c r="AO166" s="73">
        <v>0.0</v>
      </c>
      <c r="AP166" s="73">
        <v>0.0</v>
      </c>
      <c r="AQ166" s="73">
        <v>0.0</v>
      </c>
      <c r="AR166" s="73">
        <v>0.0</v>
      </c>
      <c r="AS166" s="73">
        <v>0.0</v>
      </c>
      <c r="AT166" s="73">
        <v>0.0</v>
      </c>
      <c r="AU166" s="73">
        <v>0.0</v>
      </c>
      <c r="AV166" s="13">
        <f t="shared" si="35"/>
        <v>9</v>
      </c>
      <c r="AW166" s="53"/>
      <c r="AX166" s="53"/>
    </row>
    <row r="167" ht="12.75" customHeight="1">
      <c r="A167" s="18"/>
      <c r="B167" s="57"/>
      <c r="C167" s="58"/>
      <c r="D167" s="5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3">
        <f t="shared" si="35"/>
        <v>0</v>
      </c>
      <c r="AW167" s="5"/>
      <c r="AX167" s="5"/>
    </row>
    <row r="168" ht="12.75" customHeight="1">
      <c r="A168" s="18"/>
      <c r="B168" s="57"/>
      <c r="C168" s="58"/>
      <c r="D168" s="5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3">
        <f t="shared" si="35"/>
        <v>0</v>
      </c>
      <c r="AW168" s="5"/>
      <c r="AX168" s="5"/>
    </row>
    <row r="169" ht="12.75" customHeight="1">
      <c r="A169" s="18"/>
      <c r="B169" s="57"/>
      <c r="C169" s="58"/>
      <c r="D169" s="5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3">
        <f t="shared" si="35"/>
        <v>0</v>
      </c>
      <c r="AW169" s="5"/>
      <c r="AX169" s="5"/>
    </row>
    <row r="170" ht="12.75" customHeight="1">
      <c r="A170" s="18"/>
      <c r="B170" s="57"/>
      <c r="C170" s="58"/>
      <c r="D170" s="5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3">
        <f t="shared" si="35"/>
        <v>0</v>
      </c>
      <c r="AW170" s="5"/>
      <c r="AX170" s="5"/>
    </row>
    <row r="171" ht="12.75" customHeight="1">
      <c r="A171" s="18"/>
      <c r="B171" s="57"/>
      <c r="C171" s="58"/>
      <c r="D171" s="5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3">
        <f t="shared" si="35"/>
        <v>0</v>
      </c>
      <c r="AW171" s="5"/>
      <c r="AX171" s="5"/>
    </row>
    <row r="172" ht="12.75" customHeight="1">
      <c r="A172" s="18"/>
      <c r="B172" s="57"/>
      <c r="C172" s="58"/>
      <c r="D172" s="5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3">
        <f t="shared" si="35"/>
        <v>0</v>
      </c>
      <c r="AW172" s="5"/>
      <c r="AX172" s="5"/>
    </row>
    <row r="173" ht="12.75" customHeight="1">
      <c r="A173" s="18"/>
      <c r="B173" s="57"/>
      <c r="C173" s="58"/>
      <c r="D173" s="5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3">
        <f t="shared" si="35"/>
        <v>0</v>
      </c>
      <c r="AW173" s="5"/>
      <c r="AX173" s="5"/>
    </row>
    <row r="174" ht="12.75" customHeight="1">
      <c r="A174" s="18"/>
      <c r="B174" s="57"/>
      <c r="C174" s="58"/>
      <c r="D174" s="5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3">
        <f t="shared" si="35"/>
        <v>0</v>
      </c>
      <c r="AW174" s="5"/>
      <c r="AX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V175" si="36">SUM(E165:E174)</f>
        <v>1</v>
      </c>
      <c r="F175" s="13">
        <f t="shared" si="36"/>
        <v>0</v>
      </c>
      <c r="G175" s="13">
        <f t="shared" si="36"/>
        <v>1</v>
      </c>
      <c r="H175" s="13">
        <f t="shared" si="36"/>
        <v>0</v>
      </c>
      <c r="I175" s="13">
        <f t="shared" si="36"/>
        <v>1</v>
      </c>
      <c r="J175" s="13">
        <f t="shared" si="36"/>
        <v>0</v>
      </c>
      <c r="K175" s="13">
        <f t="shared" si="36"/>
        <v>0</v>
      </c>
      <c r="L175" s="13">
        <f t="shared" si="36"/>
        <v>1</v>
      </c>
      <c r="M175" s="13">
        <f t="shared" si="36"/>
        <v>0</v>
      </c>
      <c r="N175" s="13">
        <f t="shared" si="36"/>
        <v>4</v>
      </c>
      <c r="O175" s="13">
        <f t="shared" si="36"/>
        <v>0</v>
      </c>
      <c r="P175" s="13">
        <f t="shared" si="36"/>
        <v>0</v>
      </c>
      <c r="Q175" s="13">
        <f t="shared" si="36"/>
        <v>0</v>
      </c>
      <c r="R175" s="13">
        <f t="shared" si="36"/>
        <v>0</v>
      </c>
      <c r="S175" s="13">
        <f t="shared" si="36"/>
        <v>0</v>
      </c>
      <c r="T175" s="13">
        <f t="shared" si="36"/>
        <v>0</v>
      </c>
      <c r="U175" s="13">
        <f t="shared" si="36"/>
        <v>1</v>
      </c>
      <c r="V175" s="13">
        <f t="shared" si="36"/>
        <v>0</v>
      </c>
      <c r="W175" s="13">
        <f t="shared" si="36"/>
        <v>0</v>
      </c>
      <c r="X175" s="13">
        <f t="shared" si="36"/>
        <v>0</v>
      </c>
      <c r="Y175" s="13">
        <f t="shared" si="36"/>
        <v>0</v>
      </c>
      <c r="Z175" s="13">
        <f t="shared" si="36"/>
        <v>0</v>
      </c>
      <c r="AA175" s="13">
        <f t="shared" si="36"/>
        <v>0</v>
      </c>
      <c r="AB175" s="13">
        <f t="shared" si="36"/>
        <v>0</v>
      </c>
      <c r="AC175" s="13">
        <f t="shared" si="36"/>
        <v>0</v>
      </c>
      <c r="AD175" s="13">
        <f t="shared" si="36"/>
        <v>0</v>
      </c>
      <c r="AE175" s="13">
        <f t="shared" si="36"/>
        <v>0</v>
      </c>
      <c r="AF175" s="13">
        <f t="shared" si="36"/>
        <v>1</v>
      </c>
      <c r="AG175" s="13">
        <f t="shared" si="36"/>
        <v>0</v>
      </c>
      <c r="AH175" s="13">
        <f t="shared" si="36"/>
        <v>0</v>
      </c>
      <c r="AI175" s="13">
        <f t="shared" si="36"/>
        <v>0</v>
      </c>
      <c r="AJ175" s="13">
        <f t="shared" si="36"/>
        <v>1</v>
      </c>
      <c r="AK175" s="13">
        <f t="shared" si="36"/>
        <v>0</v>
      </c>
      <c r="AL175" s="13">
        <f t="shared" si="36"/>
        <v>1</v>
      </c>
      <c r="AM175" s="13">
        <f t="shared" si="36"/>
        <v>1</v>
      </c>
      <c r="AN175" s="13">
        <f t="shared" si="36"/>
        <v>0</v>
      </c>
      <c r="AO175" s="13">
        <f t="shared" si="36"/>
        <v>0</v>
      </c>
      <c r="AP175" s="13">
        <f t="shared" si="36"/>
        <v>0</v>
      </c>
      <c r="AQ175" s="13">
        <f t="shared" si="36"/>
        <v>0</v>
      </c>
      <c r="AR175" s="13">
        <f t="shared" si="36"/>
        <v>0</v>
      </c>
      <c r="AS175" s="13">
        <f t="shared" si="36"/>
        <v>0</v>
      </c>
      <c r="AT175" s="13">
        <f t="shared" si="36"/>
        <v>0</v>
      </c>
      <c r="AU175" s="13">
        <f t="shared" si="36"/>
        <v>0</v>
      </c>
      <c r="AV175" s="13">
        <f t="shared" si="36"/>
        <v>13</v>
      </c>
      <c r="AW175" s="5"/>
      <c r="AX175" s="5"/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1"/>
      <c r="AX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1.0</v>
      </c>
      <c r="F177" s="73">
        <v>1.0</v>
      </c>
      <c r="G177" s="73">
        <v>0.0</v>
      </c>
      <c r="H177" s="73">
        <v>0.0</v>
      </c>
      <c r="I177" s="73">
        <v>0.0</v>
      </c>
      <c r="J177" s="73">
        <v>1.0</v>
      </c>
      <c r="K177" s="73">
        <v>0.0</v>
      </c>
      <c r="L177" s="73">
        <v>1.0</v>
      </c>
      <c r="M177" s="73">
        <v>0.0</v>
      </c>
      <c r="N177" s="73">
        <v>1.0</v>
      </c>
      <c r="O177" s="73">
        <v>0.0</v>
      </c>
      <c r="P177" s="73">
        <v>1.0</v>
      </c>
      <c r="Q177" s="73">
        <v>0.0</v>
      </c>
      <c r="R177" s="73">
        <v>1.0</v>
      </c>
      <c r="S177" s="73">
        <v>1.0</v>
      </c>
      <c r="T177" s="73">
        <v>1.0</v>
      </c>
      <c r="U177" s="73">
        <v>0.0</v>
      </c>
      <c r="V177" s="73">
        <v>0.0</v>
      </c>
      <c r="W177" s="73">
        <v>0.0</v>
      </c>
      <c r="X177" s="73">
        <v>0.0</v>
      </c>
      <c r="Y177" s="73">
        <v>0.0</v>
      </c>
      <c r="Z177" s="73">
        <v>0.0</v>
      </c>
      <c r="AA177" s="73">
        <v>0.0</v>
      </c>
      <c r="AB177" s="73">
        <v>0.0</v>
      </c>
      <c r="AC177" s="73">
        <v>0.0</v>
      </c>
      <c r="AD177" s="73">
        <v>2.0</v>
      </c>
      <c r="AE177" s="73">
        <v>0.0</v>
      </c>
      <c r="AF177" s="73">
        <v>0.0</v>
      </c>
      <c r="AG177" s="73">
        <v>0.0</v>
      </c>
      <c r="AH177" s="73">
        <v>2.0</v>
      </c>
      <c r="AI177" s="73">
        <v>1.0</v>
      </c>
      <c r="AJ177" s="73">
        <v>0.0</v>
      </c>
      <c r="AK177" s="73">
        <v>0.0</v>
      </c>
      <c r="AL177" s="73">
        <v>0.0</v>
      </c>
      <c r="AM177" s="73">
        <v>0.0</v>
      </c>
      <c r="AN177" s="73">
        <v>0.0</v>
      </c>
      <c r="AO177" s="73">
        <v>0.0</v>
      </c>
      <c r="AP177" s="73">
        <v>0.0</v>
      </c>
      <c r="AQ177" s="73">
        <v>0.0</v>
      </c>
      <c r="AR177" s="73">
        <v>0.0</v>
      </c>
      <c r="AS177" s="73">
        <v>0.0</v>
      </c>
      <c r="AT177" s="73">
        <v>0.0</v>
      </c>
      <c r="AU177" s="73">
        <v>0.0</v>
      </c>
      <c r="AV177" s="13">
        <f t="shared" ref="AV177:AV186" si="37">SUM(E177:AU177)</f>
        <v>14</v>
      </c>
    </row>
    <row r="178" ht="12.75" customHeight="1">
      <c r="A178" s="30" t="s">
        <v>39</v>
      </c>
      <c r="B178" s="49"/>
      <c r="C178" s="50" t="s">
        <v>132</v>
      </c>
      <c r="D178" s="51"/>
      <c r="E178" s="73">
        <v>0.0</v>
      </c>
      <c r="F178" s="73">
        <v>0.0</v>
      </c>
      <c r="G178" s="73">
        <v>1.0</v>
      </c>
      <c r="H178" s="73">
        <v>0.0</v>
      </c>
      <c r="I178" s="73">
        <v>0.0</v>
      </c>
      <c r="J178" s="73">
        <v>0.0</v>
      </c>
      <c r="K178" s="73">
        <v>1.0</v>
      </c>
      <c r="L178" s="73">
        <v>0.0</v>
      </c>
      <c r="M178" s="73">
        <v>0.0</v>
      </c>
      <c r="N178" s="73">
        <v>0.0</v>
      </c>
      <c r="O178" s="73">
        <v>1.0</v>
      </c>
      <c r="P178" s="73">
        <v>0.0</v>
      </c>
      <c r="Q178" s="73">
        <v>1.0</v>
      </c>
      <c r="R178" s="73">
        <v>0.0</v>
      </c>
      <c r="S178" s="73">
        <v>0.0</v>
      </c>
      <c r="T178" s="73">
        <v>0.0</v>
      </c>
      <c r="U178" s="73">
        <v>5.0</v>
      </c>
      <c r="V178" s="73">
        <v>5.0</v>
      </c>
      <c r="W178" s="73">
        <v>2.0</v>
      </c>
      <c r="X178" s="73">
        <v>1.0</v>
      </c>
      <c r="Y178" s="73">
        <v>1.0</v>
      </c>
      <c r="Z178" s="73">
        <v>0.0</v>
      </c>
      <c r="AA178" s="73">
        <v>3.0</v>
      </c>
      <c r="AB178" s="73">
        <v>2.0</v>
      </c>
      <c r="AC178" s="73">
        <v>0.0</v>
      </c>
      <c r="AD178" s="73">
        <v>2.0</v>
      </c>
      <c r="AE178" s="73">
        <v>0.0</v>
      </c>
      <c r="AF178" s="73">
        <v>0.0</v>
      </c>
      <c r="AG178" s="73">
        <v>0.0</v>
      </c>
      <c r="AH178" s="73">
        <v>0.0</v>
      </c>
      <c r="AI178" s="73">
        <v>0.0</v>
      </c>
      <c r="AJ178" s="73">
        <v>0.0</v>
      </c>
      <c r="AK178" s="73">
        <v>0.0</v>
      </c>
      <c r="AL178" s="73">
        <v>1.0</v>
      </c>
      <c r="AM178" s="73">
        <v>0.0</v>
      </c>
      <c r="AN178" s="73">
        <v>0.0</v>
      </c>
      <c r="AO178" s="73">
        <v>0.0</v>
      </c>
      <c r="AP178" s="73">
        <v>0.0</v>
      </c>
      <c r="AQ178" s="73">
        <v>0.0</v>
      </c>
      <c r="AR178" s="73">
        <v>0.0</v>
      </c>
      <c r="AS178" s="73">
        <v>0.0</v>
      </c>
      <c r="AT178" s="73">
        <v>0.0</v>
      </c>
      <c r="AU178" s="73">
        <v>0.0</v>
      </c>
      <c r="AV178" s="13">
        <f t="shared" si="37"/>
        <v>26</v>
      </c>
      <c r="AW178" s="5"/>
      <c r="AX178" s="5"/>
    </row>
    <row r="179" ht="12.75" customHeight="1">
      <c r="A179" s="18"/>
      <c r="B179" s="49"/>
      <c r="C179" s="50" t="s">
        <v>133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1.0</v>
      </c>
      <c r="O179" s="73">
        <v>0.0</v>
      </c>
      <c r="P179" s="73">
        <v>0.0</v>
      </c>
      <c r="Q179" s="73">
        <v>0.0</v>
      </c>
      <c r="R179" s="73">
        <v>1.0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73">
        <v>0.0</v>
      </c>
      <c r="Y179" s="73">
        <v>0.0</v>
      </c>
      <c r="Z179" s="73">
        <v>0.0</v>
      </c>
      <c r="AA179" s="73">
        <v>0.0</v>
      </c>
      <c r="AB179" s="73">
        <v>0.0</v>
      </c>
      <c r="AC179" s="73">
        <v>0.0</v>
      </c>
      <c r="AD179" s="73">
        <v>0.0</v>
      </c>
      <c r="AE179" s="73">
        <v>0.0</v>
      </c>
      <c r="AF179" s="73">
        <v>0.0</v>
      </c>
      <c r="AG179" s="73">
        <v>0.0</v>
      </c>
      <c r="AH179" s="73">
        <v>0.0</v>
      </c>
      <c r="AI179" s="73">
        <v>0.0</v>
      </c>
      <c r="AJ179" s="73">
        <v>0.0</v>
      </c>
      <c r="AK179" s="73">
        <v>0.0</v>
      </c>
      <c r="AL179" s="73">
        <v>0.0</v>
      </c>
      <c r="AM179" s="73">
        <v>0.0</v>
      </c>
      <c r="AN179" s="73">
        <v>0.0</v>
      </c>
      <c r="AO179" s="73">
        <v>0.0</v>
      </c>
      <c r="AP179" s="73">
        <v>0.0</v>
      </c>
      <c r="AQ179" s="73">
        <v>0.0</v>
      </c>
      <c r="AR179" s="73">
        <v>0.0</v>
      </c>
      <c r="AS179" s="73">
        <v>0.0</v>
      </c>
      <c r="AT179" s="73">
        <v>0.0</v>
      </c>
      <c r="AU179" s="73">
        <v>0.0</v>
      </c>
      <c r="AV179" s="13">
        <f t="shared" si="37"/>
        <v>2</v>
      </c>
      <c r="AW179" s="5"/>
      <c r="AX179" s="5"/>
    </row>
    <row r="180" ht="12.75" customHeight="1">
      <c r="A180" s="18"/>
      <c r="B180" s="49"/>
      <c r="C180" s="50" t="s">
        <v>134</v>
      </c>
      <c r="D180" s="51"/>
      <c r="E180" s="73">
        <v>0.0</v>
      </c>
      <c r="F180" s="73">
        <v>0.0</v>
      </c>
      <c r="G180" s="73">
        <v>0.0</v>
      </c>
      <c r="H180" s="73">
        <v>0.0</v>
      </c>
      <c r="I180" s="73">
        <v>1.0</v>
      </c>
      <c r="J180" s="73">
        <v>0.0</v>
      </c>
      <c r="K180" s="73">
        <v>0.0</v>
      </c>
      <c r="L180" s="73">
        <v>0.0</v>
      </c>
      <c r="M180" s="73">
        <v>0.0</v>
      </c>
      <c r="N180" s="73">
        <v>0.0</v>
      </c>
      <c r="O180" s="73">
        <v>0.0</v>
      </c>
      <c r="P180" s="73">
        <v>0.0</v>
      </c>
      <c r="Q180" s="73">
        <v>0.0</v>
      </c>
      <c r="R180" s="73">
        <v>0.0</v>
      </c>
      <c r="S180" s="73">
        <v>0.0</v>
      </c>
      <c r="T180" s="73">
        <v>0.0</v>
      </c>
      <c r="U180" s="73">
        <v>0.0</v>
      </c>
      <c r="V180" s="73">
        <v>0.0</v>
      </c>
      <c r="W180" s="73">
        <v>0.0</v>
      </c>
      <c r="X180" s="73">
        <v>0.0</v>
      </c>
      <c r="Y180" s="73">
        <v>1.0</v>
      </c>
      <c r="Z180" s="73">
        <v>0.0</v>
      </c>
      <c r="AA180" s="73">
        <v>0.0</v>
      </c>
      <c r="AB180" s="73">
        <v>0.0</v>
      </c>
      <c r="AC180" s="73">
        <v>0.0</v>
      </c>
      <c r="AD180" s="73">
        <v>0.0</v>
      </c>
      <c r="AE180" s="73">
        <v>0.0</v>
      </c>
      <c r="AF180" s="73">
        <v>1.0</v>
      </c>
      <c r="AG180" s="73">
        <v>0.0</v>
      </c>
      <c r="AH180" s="73">
        <v>0.0</v>
      </c>
      <c r="AI180" s="73">
        <v>1.0</v>
      </c>
      <c r="AJ180" s="73">
        <v>0.0</v>
      </c>
      <c r="AK180" s="73">
        <v>0.0</v>
      </c>
      <c r="AL180" s="73">
        <v>0.0</v>
      </c>
      <c r="AM180" s="73">
        <v>0.0</v>
      </c>
      <c r="AN180" s="73">
        <v>0.0</v>
      </c>
      <c r="AO180" s="73">
        <v>0.0</v>
      </c>
      <c r="AP180" s="73">
        <v>0.0</v>
      </c>
      <c r="AQ180" s="73">
        <v>0.0</v>
      </c>
      <c r="AR180" s="73">
        <v>0.0</v>
      </c>
      <c r="AS180" s="73">
        <v>0.0</v>
      </c>
      <c r="AT180" s="73">
        <v>0.0</v>
      </c>
      <c r="AU180" s="73">
        <v>0.0</v>
      </c>
      <c r="AV180" s="13">
        <f t="shared" si="37"/>
        <v>4</v>
      </c>
      <c r="AW180" s="5"/>
      <c r="AX180" s="5"/>
    </row>
    <row r="181" ht="12.75" customHeight="1">
      <c r="A181" s="18"/>
      <c r="B181" s="49"/>
      <c r="C181" s="50" t="s">
        <v>135</v>
      </c>
      <c r="D181" s="51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0.0</v>
      </c>
      <c r="U181" s="73">
        <v>0.0</v>
      </c>
      <c r="V181" s="73">
        <v>0.0</v>
      </c>
      <c r="W181" s="73">
        <v>0.0</v>
      </c>
      <c r="X181" s="73">
        <v>0.0</v>
      </c>
      <c r="Y181" s="73">
        <v>0.0</v>
      </c>
      <c r="Z181" s="73">
        <v>0.0</v>
      </c>
      <c r="AA181" s="73">
        <v>0.0</v>
      </c>
      <c r="AB181" s="73">
        <v>0.0</v>
      </c>
      <c r="AC181" s="73">
        <v>0.0</v>
      </c>
      <c r="AD181" s="73">
        <v>0.0</v>
      </c>
      <c r="AE181" s="73">
        <v>0.0</v>
      </c>
      <c r="AF181" s="73">
        <v>0.0</v>
      </c>
      <c r="AG181" s="73">
        <v>0.0</v>
      </c>
      <c r="AH181" s="73">
        <v>0.0</v>
      </c>
      <c r="AI181" s="73">
        <v>0.0</v>
      </c>
      <c r="AJ181" s="73">
        <v>0.0</v>
      </c>
      <c r="AK181" s="73">
        <v>0.0</v>
      </c>
      <c r="AL181" s="73">
        <v>0.0</v>
      </c>
      <c r="AM181" s="73">
        <v>0.0</v>
      </c>
      <c r="AN181" s="73">
        <v>0.0</v>
      </c>
      <c r="AO181" s="73">
        <v>0.0</v>
      </c>
      <c r="AP181" s="73">
        <v>0.0</v>
      </c>
      <c r="AQ181" s="73">
        <v>0.0</v>
      </c>
      <c r="AR181" s="73">
        <v>0.0</v>
      </c>
      <c r="AS181" s="73">
        <v>0.0</v>
      </c>
      <c r="AT181" s="73">
        <v>0.0</v>
      </c>
      <c r="AU181" s="73">
        <v>0.0</v>
      </c>
      <c r="AV181" s="13">
        <f t="shared" si="37"/>
        <v>0</v>
      </c>
      <c r="AW181" s="5"/>
      <c r="AX181" s="5"/>
    </row>
    <row r="182" ht="12.75" customHeight="1">
      <c r="A182" s="18"/>
      <c r="B182" s="49"/>
      <c r="C182" s="50" t="s">
        <v>136</v>
      </c>
      <c r="D182" s="51"/>
      <c r="E182" s="73">
        <v>0.0</v>
      </c>
      <c r="F182" s="73">
        <v>2.0</v>
      </c>
      <c r="G182" s="73">
        <v>0.0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73">
        <v>1.0</v>
      </c>
      <c r="T182" s="73">
        <v>0.0</v>
      </c>
      <c r="U182" s="73">
        <v>0.0</v>
      </c>
      <c r="V182" s="73">
        <v>0.0</v>
      </c>
      <c r="W182" s="73">
        <v>0.0</v>
      </c>
      <c r="X182" s="73">
        <v>0.0</v>
      </c>
      <c r="Y182" s="73">
        <v>0.0</v>
      </c>
      <c r="Z182" s="73">
        <v>0.0</v>
      </c>
      <c r="AA182" s="73">
        <v>0.0</v>
      </c>
      <c r="AB182" s="73">
        <v>0.0</v>
      </c>
      <c r="AC182" s="73">
        <v>0.0</v>
      </c>
      <c r="AD182" s="73">
        <v>0.0</v>
      </c>
      <c r="AE182" s="73">
        <v>0.0</v>
      </c>
      <c r="AF182" s="73">
        <v>0.0</v>
      </c>
      <c r="AG182" s="73">
        <v>0.0</v>
      </c>
      <c r="AH182" s="73">
        <v>0.0</v>
      </c>
      <c r="AI182" s="73">
        <v>0.0</v>
      </c>
      <c r="AJ182" s="73">
        <v>0.0</v>
      </c>
      <c r="AK182" s="73">
        <v>0.0</v>
      </c>
      <c r="AL182" s="73">
        <v>0.0</v>
      </c>
      <c r="AM182" s="73">
        <v>0.0</v>
      </c>
      <c r="AN182" s="73">
        <v>0.0</v>
      </c>
      <c r="AO182" s="73">
        <v>0.0</v>
      </c>
      <c r="AP182" s="73">
        <v>0.0</v>
      </c>
      <c r="AQ182" s="73">
        <v>0.0</v>
      </c>
      <c r="AR182" s="73">
        <v>0.0</v>
      </c>
      <c r="AS182" s="73">
        <v>0.0</v>
      </c>
      <c r="AT182" s="73">
        <v>0.0</v>
      </c>
      <c r="AU182" s="73">
        <v>0.0</v>
      </c>
      <c r="AV182" s="13">
        <f t="shared" si="37"/>
        <v>3</v>
      </c>
      <c r="AW182" s="5"/>
      <c r="AX182" s="5"/>
    </row>
    <row r="183" ht="12.75" customHeight="1">
      <c r="A183" s="18"/>
      <c r="B183" s="49"/>
      <c r="C183" s="50" t="s">
        <v>137</v>
      </c>
      <c r="D183" s="51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0.0</v>
      </c>
      <c r="T183" s="73">
        <v>0.0</v>
      </c>
      <c r="U183" s="73">
        <v>0.0</v>
      </c>
      <c r="V183" s="73">
        <v>0.0</v>
      </c>
      <c r="W183" s="73">
        <v>0.0</v>
      </c>
      <c r="X183" s="73">
        <v>0.0</v>
      </c>
      <c r="Y183" s="73">
        <v>0.0</v>
      </c>
      <c r="Z183" s="73">
        <v>0.0</v>
      </c>
      <c r="AA183" s="73">
        <v>0.0</v>
      </c>
      <c r="AB183" s="73">
        <v>0.0</v>
      </c>
      <c r="AC183" s="73">
        <v>0.0</v>
      </c>
      <c r="AD183" s="73">
        <v>0.0</v>
      </c>
      <c r="AE183" s="73">
        <v>0.0</v>
      </c>
      <c r="AF183" s="73">
        <v>0.0</v>
      </c>
      <c r="AG183" s="73">
        <v>0.0</v>
      </c>
      <c r="AH183" s="73">
        <v>0.0</v>
      </c>
      <c r="AI183" s="73">
        <v>0.0</v>
      </c>
      <c r="AJ183" s="73">
        <v>0.0</v>
      </c>
      <c r="AK183" s="73">
        <v>0.0</v>
      </c>
      <c r="AL183" s="73">
        <v>0.0</v>
      </c>
      <c r="AM183" s="73">
        <v>0.0</v>
      </c>
      <c r="AN183" s="73">
        <v>0.0</v>
      </c>
      <c r="AO183" s="73">
        <v>0.0</v>
      </c>
      <c r="AP183" s="73">
        <v>0.0</v>
      </c>
      <c r="AQ183" s="73">
        <v>0.0</v>
      </c>
      <c r="AR183" s="73">
        <v>0.0</v>
      </c>
      <c r="AS183" s="73">
        <v>0.0</v>
      </c>
      <c r="AT183" s="73">
        <v>0.0</v>
      </c>
      <c r="AU183" s="73">
        <v>0.0</v>
      </c>
      <c r="AV183" s="13">
        <f t="shared" si="37"/>
        <v>0</v>
      </c>
      <c r="AW183" s="5"/>
      <c r="AX183" s="5"/>
    </row>
    <row r="184" ht="12.75" customHeight="1">
      <c r="A184" s="18"/>
      <c r="B184" s="49"/>
      <c r="C184" s="50" t="s">
        <v>138</v>
      </c>
      <c r="D184" s="51"/>
      <c r="E184" s="73">
        <v>0.0</v>
      </c>
      <c r="F184" s="73">
        <v>0.0</v>
      </c>
      <c r="G184" s="73">
        <v>0.0</v>
      </c>
      <c r="H184" s="73">
        <v>0.0</v>
      </c>
      <c r="I184" s="73">
        <v>0.0</v>
      </c>
      <c r="J184" s="73">
        <v>0.0</v>
      </c>
      <c r="K184" s="73">
        <v>1.0</v>
      </c>
      <c r="L184" s="73">
        <v>0.0</v>
      </c>
      <c r="M184" s="73">
        <v>0.0</v>
      </c>
      <c r="N184" s="73">
        <v>0.0</v>
      </c>
      <c r="O184" s="73">
        <v>0.0</v>
      </c>
      <c r="P184" s="73">
        <v>1.0</v>
      </c>
      <c r="Q184" s="73">
        <v>0.0</v>
      </c>
      <c r="R184" s="73">
        <v>0.0</v>
      </c>
      <c r="S184" s="73">
        <v>0.0</v>
      </c>
      <c r="T184" s="73">
        <v>0.0</v>
      </c>
      <c r="U184" s="73">
        <v>0.0</v>
      </c>
      <c r="V184" s="73">
        <v>0.0</v>
      </c>
      <c r="W184" s="73">
        <v>0.0</v>
      </c>
      <c r="X184" s="73">
        <v>0.0</v>
      </c>
      <c r="Y184" s="73">
        <v>0.0</v>
      </c>
      <c r="Z184" s="73">
        <v>0.0</v>
      </c>
      <c r="AA184" s="73">
        <v>0.0</v>
      </c>
      <c r="AB184" s="73">
        <v>0.0</v>
      </c>
      <c r="AC184" s="73">
        <v>0.0</v>
      </c>
      <c r="AD184" s="73">
        <v>0.0</v>
      </c>
      <c r="AE184" s="73">
        <v>0.0</v>
      </c>
      <c r="AF184" s="73">
        <v>0.0</v>
      </c>
      <c r="AG184" s="73">
        <v>0.0</v>
      </c>
      <c r="AH184" s="73">
        <v>0.0</v>
      </c>
      <c r="AI184" s="73">
        <v>0.0</v>
      </c>
      <c r="AJ184" s="73">
        <v>0.0</v>
      </c>
      <c r="AK184" s="73">
        <v>0.0</v>
      </c>
      <c r="AL184" s="73">
        <v>0.0</v>
      </c>
      <c r="AM184" s="73">
        <v>0.0</v>
      </c>
      <c r="AN184" s="73">
        <v>0.0</v>
      </c>
      <c r="AO184" s="73">
        <v>0.0</v>
      </c>
      <c r="AP184" s="73">
        <v>0.0</v>
      </c>
      <c r="AQ184" s="73">
        <v>0.0</v>
      </c>
      <c r="AR184" s="73">
        <v>0.0</v>
      </c>
      <c r="AS184" s="73">
        <v>0.0</v>
      </c>
      <c r="AT184" s="73">
        <v>0.0</v>
      </c>
      <c r="AU184" s="73">
        <v>0.0</v>
      </c>
      <c r="AV184" s="13">
        <f t="shared" si="37"/>
        <v>2</v>
      </c>
      <c r="AW184" s="5"/>
      <c r="AX184" s="5"/>
    </row>
    <row r="185" ht="12.75" customHeight="1">
      <c r="A185" s="18"/>
      <c r="B185" s="49"/>
      <c r="C185" s="50" t="s">
        <v>139</v>
      </c>
      <c r="D185" s="51"/>
      <c r="E185" s="73">
        <v>0.0</v>
      </c>
      <c r="F185" s="73">
        <v>0.0</v>
      </c>
      <c r="G185" s="73">
        <v>0.0</v>
      </c>
      <c r="H185" s="73">
        <v>0.0</v>
      </c>
      <c r="I185" s="73">
        <v>0.0</v>
      </c>
      <c r="J185" s="73">
        <v>0.0</v>
      </c>
      <c r="K185" s="73">
        <v>0.0</v>
      </c>
      <c r="L185" s="73">
        <v>0.0</v>
      </c>
      <c r="M185" s="73">
        <v>0.0</v>
      </c>
      <c r="N185" s="73">
        <v>0.0</v>
      </c>
      <c r="O185" s="73">
        <v>0.0</v>
      </c>
      <c r="P185" s="73">
        <v>0.0</v>
      </c>
      <c r="Q185" s="73">
        <v>0.0</v>
      </c>
      <c r="R185" s="73">
        <v>0.0</v>
      </c>
      <c r="S185" s="73">
        <v>0.0</v>
      </c>
      <c r="T185" s="73">
        <v>0.0</v>
      </c>
      <c r="U185" s="73">
        <v>0.0</v>
      </c>
      <c r="V185" s="73">
        <v>0.0</v>
      </c>
      <c r="W185" s="73">
        <v>0.0</v>
      </c>
      <c r="X185" s="73">
        <v>0.0</v>
      </c>
      <c r="Y185" s="73">
        <v>0.0</v>
      </c>
      <c r="Z185" s="73">
        <v>0.0</v>
      </c>
      <c r="AA185" s="73">
        <v>0.0</v>
      </c>
      <c r="AB185" s="73">
        <v>0.0</v>
      </c>
      <c r="AC185" s="73">
        <v>0.0</v>
      </c>
      <c r="AD185" s="73">
        <v>0.0</v>
      </c>
      <c r="AE185" s="73">
        <v>0.0</v>
      </c>
      <c r="AF185" s="73">
        <v>0.0</v>
      </c>
      <c r="AG185" s="73">
        <v>0.0</v>
      </c>
      <c r="AH185" s="73">
        <v>0.0</v>
      </c>
      <c r="AI185" s="73">
        <v>0.0</v>
      </c>
      <c r="AJ185" s="73">
        <v>0.0</v>
      </c>
      <c r="AK185" s="73">
        <v>0.0</v>
      </c>
      <c r="AL185" s="73">
        <v>0.0</v>
      </c>
      <c r="AM185" s="73">
        <v>0.0</v>
      </c>
      <c r="AN185" s="73">
        <v>0.0</v>
      </c>
      <c r="AO185" s="73">
        <v>0.0</v>
      </c>
      <c r="AP185" s="73">
        <v>0.0</v>
      </c>
      <c r="AQ185" s="73">
        <v>0.0</v>
      </c>
      <c r="AR185" s="73">
        <v>0.0</v>
      </c>
      <c r="AS185" s="73">
        <v>0.0</v>
      </c>
      <c r="AT185" s="73">
        <v>0.0</v>
      </c>
      <c r="AU185" s="73">
        <v>0.0</v>
      </c>
      <c r="AV185" s="13">
        <f t="shared" si="37"/>
        <v>0</v>
      </c>
      <c r="AW185" s="5"/>
      <c r="AX185" s="5"/>
    </row>
    <row r="186" ht="12.75" customHeight="1">
      <c r="A186" s="18"/>
      <c r="B186" s="49"/>
      <c r="C186" s="50" t="s">
        <v>140</v>
      </c>
      <c r="D186" s="51"/>
      <c r="E186" s="73">
        <v>0.0</v>
      </c>
      <c r="F186" s="73">
        <v>0.0</v>
      </c>
      <c r="G186" s="73">
        <v>0.0</v>
      </c>
      <c r="H186" s="73">
        <v>0.0</v>
      </c>
      <c r="I186" s="73">
        <v>0.0</v>
      </c>
      <c r="J186" s="73">
        <v>0.0</v>
      </c>
      <c r="K186" s="73">
        <v>0.0</v>
      </c>
      <c r="L186" s="73">
        <v>0.0</v>
      </c>
      <c r="M186" s="73">
        <v>0.0</v>
      </c>
      <c r="N186" s="73">
        <v>0.0</v>
      </c>
      <c r="O186" s="73">
        <v>0.0</v>
      </c>
      <c r="P186" s="73">
        <v>0.0</v>
      </c>
      <c r="Q186" s="73">
        <v>0.0</v>
      </c>
      <c r="R186" s="73">
        <v>0.0</v>
      </c>
      <c r="S186" s="73">
        <v>0.0</v>
      </c>
      <c r="T186" s="73">
        <v>0.0</v>
      </c>
      <c r="U186" s="73">
        <v>0.0</v>
      </c>
      <c r="V186" s="73">
        <v>0.0</v>
      </c>
      <c r="W186" s="73">
        <v>0.0</v>
      </c>
      <c r="X186" s="73">
        <v>0.0</v>
      </c>
      <c r="Y186" s="73">
        <v>0.0</v>
      </c>
      <c r="Z186" s="73">
        <v>0.0</v>
      </c>
      <c r="AA186" s="73">
        <v>0.0</v>
      </c>
      <c r="AB186" s="73">
        <v>0.0</v>
      </c>
      <c r="AC186" s="73">
        <v>0.0</v>
      </c>
      <c r="AD186" s="73">
        <v>0.0</v>
      </c>
      <c r="AE186" s="73">
        <v>0.0</v>
      </c>
      <c r="AF186" s="73">
        <v>0.0</v>
      </c>
      <c r="AG186" s="73">
        <v>0.0</v>
      </c>
      <c r="AH186" s="73">
        <v>0.0</v>
      </c>
      <c r="AI186" s="73">
        <v>0.0</v>
      </c>
      <c r="AJ186" s="73">
        <v>0.0</v>
      </c>
      <c r="AK186" s="73">
        <v>0.0</v>
      </c>
      <c r="AL186" s="73">
        <v>0.0</v>
      </c>
      <c r="AM186" s="73">
        <v>0.0</v>
      </c>
      <c r="AN186" s="73">
        <v>0.0</v>
      </c>
      <c r="AO186" s="73">
        <v>0.0</v>
      </c>
      <c r="AP186" s="73">
        <v>0.0</v>
      </c>
      <c r="AQ186" s="73">
        <v>0.0</v>
      </c>
      <c r="AR186" s="73">
        <v>0.0</v>
      </c>
      <c r="AS186" s="73">
        <v>0.0</v>
      </c>
      <c r="AT186" s="73">
        <v>0.0</v>
      </c>
      <c r="AU186" s="73">
        <v>0.0</v>
      </c>
      <c r="AV186" s="13">
        <f t="shared" si="37"/>
        <v>0</v>
      </c>
      <c r="AW186" s="5"/>
      <c r="AX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V187" si="38">SUM(E177:E186)</f>
        <v>1</v>
      </c>
      <c r="F187" s="13">
        <f t="shared" si="38"/>
        <v>3</v>
      </c>
      <c r="G187" s="13">
        <f t="shared" si="38"/>
        <v>1</v>
      </c>
      <c r="H187" s="13">
        <f t="shared" si="38"/>
        <v>0</v>
      </c>
      <c r="I187" s="13">
        <f t="shared" si="38"/>
        <v>1</v>
      </c>
      <c r="J187" s="13">
        <f t="shared" si="38"/>
        <v>1</v>
      </c>
      <c r="K187" s="13">
        <f t="shared" si="38"/>
        <v>2</v>
      </c>
      <c r="L187" s="13">
        <f t="shared" si="38"/>
        <v>1</v>
      </c>
      <c r="M187" s="13">
        <f t="shared" si="38"/>
        <v>0</v>
      </c>
      <c r="N187" s="13">
        <f t="shared" si="38"/>
        <v>2</v>
      </c>
      <c r="O187" s="13">
        <f t="shared" si="38"/>
        <v>1</v>
      </c>
      <c r="P187" s="13">
        <f t="shared" si="38"/>
        <v>2</v>
      </c>
      <c r="Q187" s="13">
        <f t="shared" si="38"/>
        <v>1</v>
      </c>
      <c r="R187" s="13">
        <f t="shared" si="38"/>
        <v>2</v>
      </c>
      <c r="S187" s="13">
        <f t="shared" si="38"/>
        <v>2</v>
      </c>
      <c r="T187" s="13">
        <f t="shared" si="38"/>
        <v>1</v>
      </c>
      <c r="U187" s="13">
        <f t="shared" si="38"/>
        <v>5</v>
      </c>
      <c r="V187" s="13">
        <f t="shared" si="38"/>
        <v>5</v>
      </c>
      <c r="W187" s="13">
        <f t="shared" si="38"/>
        <v>2</v>
      </c>
      <c r="X187" s="13">
        <f t="shared" si="38"/>
        <v>1</v>
      </c>
      <c r="Y187" s="13">
        <f t="shared" si="38"/>
        <v>2</v>
      </c>
      <c r="Z187" s="13">
        <f t="shared" si="38"/>
        <v>0</v>
      </c>
      <c r="AA187" s="13">
        <f t="shared" si="38"/>
        <v>3</v>
      </c>
      <c r="AB187" s="13">
        <f t="shared" si="38"/>
        <v>2</v>
      </c>
      <c r="AC187" s="13">
        <f t="shared" si="38"/>
        <v>0</v>
      </c>
      <c r="AD187" s="13">
        <f t="shared" si="38"/>
        <v>4</v>
      </c>
      <c r="AE187" s="13">
        <f t="shared" si="38"/>
        <v>0</v>
      </c>
      <c r="AF187" s="13">
        <f t="shared" si="38"/>
        <v>1</v>
      </c>
      <c r="AG187" s="13">
        <f t="shared" si="38"/>
        <v>0</v>
      </c>
      <c r="AH187" s="13">
        <f t="shared" si="38"/>
        <v>2</v>
      </c>
      <c r="AI187" s="13">
        <f t="shared" si="38"/>
        <v>2</v>
      </c>
      <c r="AJ187" s="13">
        <f t="shared" si="38"/>
        <v>0</v>
      </c>
      <c r="AK187" s="13">
        <f t="shared" si="38"/>
        <v>0</v>
      </c>
      <c r="AL187" s="13">
        <f t="shared" si="38"/>
        <v>1</v>
      </c>
      <c r="AM187" s="13">
        <f t="shared" si="38"/>
        <v>0</v>
      </c>
      <c r="AN187" s="13">
        <f t="shared" si="38"/>
        <v>0</v>
      </c>
      <c r="AO187" s="13">
        <f t="shared" si="38"/>
        <v>0</v>
      </c>
      <c r="AP187" s="13">
        <f t="shared" si="38"/>
        <v>0</v>
      </c>
      <c r="AQ187" s="13">
        <f t="shared" si="38"/>
        <v>0</v>
      </c>
      <c r="AR187" s="13">
        <f t="shared" si="38"/>
        <v>0</v>
      </c>
      <c r="AS187" s="13">
        <f t="shared" si="38"/>
        <v>0</v>
      </c>
      <c r="AT187" s="13">
        <f t="shared" si="38"/>
        <v>0</v>
      </c>
      <c r="AU187" s="13">
        <f t="shared" si="38"/>
        <v>0</v>
      </c>
      <c r="AV187" s="13">
        <f t="shared" si="38"/>
        <v>51</v>
      </c>
      <c r="AW187" s="1"/>
      <c r="AX187" s="1"/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1.0</v>
      </c>
      <c r="P189" s="73">
        <v>0.0</v>
      </c>
      <c r="Q189" s="73">
        <v>0.0</v>
      </c>
      <c r="R189" s="73">
        <v>0.0</v>
      </c>
      <c r="S189" s="73">
        <v>0.0</v>
      </c>
      <c r="T189" s="73">
        <v>0.0</v>
      </c>
      <c r="U189" s="73">
        <v>0.0</v>
      </c>
      <c r="V189" s="73">
        <v>0.0</v>
      </c>
      <c r="W189" s="73">
        <v>0.0</v>
      </c>
      <c r="X189" s="73">
        <v>0.0</v>
      </c>
      <c r="Y189" s="73">
        <v>0.0</v>
      </c>
      <c r="Z189" s="73">
        <v>0.0</v>
      </c>
      <c r="AA189" s="73">
        <v>0.0</v>
      </c>
      <c r="AB189" s="73">
        <v>0.0</v>
      </c>
      <c r="AC189" s="73">
        <v>0.0</v>
      </c>
      <c r="AD189" s="73">
        <v>0.0</v>
      </c>
      <c r="AE189" s="73">
        <v>0.0</v>
      </c>
      <c r="AF189" s="73">
        <v>0.0</v>
      </c>
      <c r="AG189" s="73">
        <v>0.0</v>
      </c>
      <c r="AH189" s="73">
        <v>1.0</v>
      </c>
      <c r="AI189" s="73">
        <v>0.0</v>
      </c>
      <c r="AJ189" s="73">
        <v>0.0</v>
      </c>
      <c r="AK189" s="73">
        <v>0.0</v>
      </c>
      <c r="AL189" s="73">
        <v>0.0</v>
      </c>
      <c r="AM189" s="73">
        <v>1.0</v>
      </c>
      <c r="AN189" s="73">
        <v>0.0</v>
      </c>
      <c r="AO189" s="73">
        <v>0.0</v>
      </c>
      <c r="AP189" s="73">
        <v>0.0</v>
      </c>
      <c r="AQ189" s="73">
        <v>0.0</v>
      </c>
      <c r="AR189" s="73">
        <v>0.0</v>
      </c>
      <c r="AS189" s="73">
        <v>0.0</v>
      </c>
      <c r="AT189" s="73">
        <v>0.0</v>
      </c>
      <c r="AU189" s="73">
        <v>0.0</v>
      </c>
      <c r="AV189" s="13">
        <f t="shared" ref="AV189:AV198" si="39">SUM(E189:AU189)</f>
        <v>3</v>
      </c>
      <c r="AW189" s="5"/>
      <c r="AX189" s="5"/>
    </row>
    <row r="190" ht="12.75" customHeight="1">
      <c r="A190" s="30" t="s">
        <v>39</v>
      </c>
      <c r="B190" s="49"/>
      <c r="C190" s="50" t="s">
        <v>143</v>
      </c>
      <c r="D190" s="51"/>
      <c r="E190" s="73">
        <v>1.0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73">
        <v>0.0</v>
      </c>
      <c r="AC190" s="73">
        <v>0.0</v>
      </c>
      <c r="AD190" s="73">
        <v>0.0</v>
      </c>
      <c r="AE190" s="73">
        <v>0.0</v>
      </c>
      <c r="AF190" s="73">
        <v>0.0</v>
      </c>
      <c r="AG190" s="73">
        <v>0.0</v>
      </c>
      <c r="AH190" s="73">
        <v>0.0</v>
      </c>
      <c r="AI190" s="73">
        <v>0.0</v>
      </c>
      <c r="AJ190" s="73">
        <v>0.0</v>
      </c>
      <c r="AK190" s="73">
        <v>0.0</v>
      </c>
      <c r="AL190" s="73">
        <v>0.0</v>
      </c>
      <c r="AM190" s="73">
        <v>0.0</v>
      </c>
      <c r="AN190" s="73">
        <v>0.0</v>
      </c>
      <c r="AO190" s="73">
        <v>0.0</v>
      </c>
      <c r="AP190" s="73">
        <v>0.0</v>
      </c>
      <c r="AQ190" s="73">
        <v>0.0</v>
      </c>
      <c r="AR190" s="73">
        <v>0.0</v>
      </c>
      <c r="AS190" s="73">
        <v>0.0</v>
      </c>
      <c r="AT190" s="73">
        <v>0.0</v>
      </c>
      <c r="AU190" s="73">
        <v>0.0</v>
      </c>
      <c r="AV190" s="13">
        <f t="shared" si="39"/>
        <v>1</v>
      </c>
      <c r="AW190" s="5"/>
      <c r="AX190" s="5"/>
    </row>
    <row r="191" ht="12.75" customHeight="1">
      <c r="A191" s="18"/>
      <c r="B191" s="49"/>
      <c r="C191" s="50" t="s">
        <v>144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73">
        <v>0.0</v>
      </c>
      <c r="AB191" s="73">
        <v>0.0</v>
      </c>
      <c r="AC191" s="73">
        <v>0.0</v>
      </c>
      <c r="AD191" s="73">
        <v>0.0</v>
      </c>
      <c r="AE191" s="73">
        <v>0.0</v>
      </c>
      <c r="AF191" s="73">
        <v>1.0</v>
      </c>
      <c r="AG191" s="73">
        <v>0.0</v>
      </c>
      <c r="AH191" s="73">
        <v>0.0</v>
      </c>
      <c r="AI191" s="73">
        <v>0.0</v>
      </c>
      <c r="AJ191" s="73">
        <v>0.0</v>
      </c>
      <c r="AK191" s="73">
        <v>0.0</v>
      </c>
      <c r="AL191" s="73">
        <v>0.0</v>
      </c>
      <c r="AM191" s="73">
        <v>0.0</v>
      </c>
      <c r="AN191" s="73">
        <v>0.0</v>
      </c>
      <c r="AO191" s="73">
        <v>0.0</v>
      </c>
      <c r="AP191" s="73">
        <v>0.0</v>
      </c>
      <c r="AQ191" s="73">
        <v>0.0</v>
      </c>
      <c r="AR191" s="73">
        <v>0.0</v>
      </c>
      <c r="AS191" s="73">
        <v>0.0</v>
      </c>
      <c r="AT191" s="73">
        <v>0.0</v>
      </c>
      <c r="AU191" s="73">
        <v>0.0</v>
      </c>
      <c r="AV191" s="13">
        <f t="shared" si="39"/>
        <v>1</v>
      </c>
      <c r="AW191" s="5"/>
      <c r="AX191" s="5"/>
    </row>
    <row r="192" ht="12.75" customHeight="1">
      <c r="A192" s="18"/>
      <c r="B192" s="49"/>
      <c r="C192" s="50" t="s">
        <v>145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1.0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73">
        <v>0.0</v>
      </c>
      <c r="AC192" s="73">
        <v>0.0</v>
      </c>
      <c r="AD192" s="73">
        <v>0.0</v>
      </c>
      <c r="AE192" s="73">
        <v>0.0</v>
      </c>
      <c r="AF192" s="73">
        <v>0.0</v>
      </c>
      <c r="AG192" s="73">
        <v>0.0</v>
      </c>
      <c r="AH192" s="73">
        <v>0.0</v>
      </c>
      <c r="AI192" s="73">
        <v>0.0</v>
      </c>
      <c r="AJ192" s="73">
        <v>0.0</v>
      </c>
      <c r="AK192" s="73">
        <v>0.0</v>
      </c>
      <c r="AL192" s="73">
        <v>0.0</v>
      </c>
      <c r="AM192" s="73">
        <v>0.0</v>
      </c>
      <c r="AN192" s="73">
        <v>0.0</v>
      </c>
      <c r="AO192" s="73">
        <v>0.0</v>
      </c>
      <c r="AP192" s="73">
        <v>0.0</v>
      </c>
      <c r="AQ192" s="73">
        <v>0.0</v>
      </c>
      <c r="AR192" s="73">
        <v>0.0</v>
      </c>
      <c r="AS192" s="73">
        <v>0.0</v>
      </c>
      <c r="AT192" s="73">
        <v>0.0</v>
      </c>
      <c r="AU192" s="73">
        <v>0.0</v>
      </c>
      <c r="AV192" s="13">
        <f t="shared" si="39"/>
        <v>1</v>
      </c>
      <c r="AW192" s="5"/>
      <c r="AX192" s="5"/>
    </row>
    <row r="193" ht="12.75" customHeight="1">
      <c r="A193" s="18"/>
      <c r="B193" s="49"/>
      <c r="C193" s="50" t="s">
        <v>146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0.0</v>
      </c>
      <c r="AC193" s="73">
        <v>0.0</v>
      </c>
      <c r="AD193" s="73">
        <v>0.0</v>
      </c>
      <c r="AE193" s="73">
        <v>0.0</v>
      </c>
      <c r="AF193" s="73">
        <v>0.0</v>
      </c>
      <c r="AG193" s="73">
        <v>0.0</v>
      </c>
      <c r="AH193" s="73">
        <v>0.0</v>
      </c>
      <c r="AI193" s="73">
        <v>0.0</v>
      </c>
      <c r="AJ193" s="73">
        <v>0.0</v>
      </c>
      <c r="AK193" s="73">
        <v>0.0</v>
      </c>
      <c r="AL193" s="73">
        <v>0.0</v>
      </c>
      <c r="AM193" s="73">
        <v>0.0</v>
      </c>
      <c r="AN193" s="73">
        <v>0.0</v>
      </c>
      <c r="AO193" s="73">
        <v>0.0</v>
      </c>
      <c r="AP193" s="73">
        <v>0.0</v>
      </c>
      <c r="AQ193" s="73">
        <v>0.0</v>
      </c>
      <c r="AR193" s="73">
        <v>0.0</v>
      </c>
      <c r="AS193" s="73">
        <v>0.0</v>
      </c>
      <c r="AT193" s="73">
        <v>0.0</v>
      </c>
      <c r="AU193" s="73">
        <v>0.0</v>
      </c>
      <c r="AV193" s="13">
        <f t="shared" si="39"/>
        <v>0</v>
      </c>
      <c r="AW193" s="5"/>
      <c r="AX193" s="5"/>
    </row>
    <row r="194" ht="12.75" customHeight="1">
      <c r="A194" s="18"/>
      <c r="B194" s="49"/>
      <c r="C194" s="50" t="s">
        <v>147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0.0</v>
      </c>
      <c r="AD194" s="73">
        <v>0.0</v>
      </c>
      <c r="AE194" s="73">
        <v>0.0</v>
      </c>
      <c r="AF194" s="73">
        <v>0.0</v>
      </c>
      <c r="AG194" s="73">
        <v>0.0</v>
      </c>
      <c r="AH194" s="73">
        <v>0.0</v>
      </c>
      <c r="AI194" s="73">
        <v>0.0</v>
      </c>
      <c r="AJ194" s="73">
        <v>0.0</v>
      </c>
      <c r="AK194" s="73">
        <v>0.0</v>
      </c>
      <c r="AL194" s="73">
        <v>0.0</v>
      </c>
      <c r="AM194" s="73">
        <v>0.0</v>
      </c>
      <c r="AN194" s="73">
        <v>0.0</v>
      </c>
      <c r="AO194" s="73">
        <v>0.0</v>
      </c>
      <c r="AP194" s="73">
        <v>0.0</v>
      </c>
      <c r="AQ194" s="73">
        <v>0.0</v>
      </c>
      <c r="AR194" s="73">
        <v>0.0</v>
      </c>
      <c r="AS194" s="73">
        <v>0.0</v>
      </c>
      <c r="AT194" s="73">
        <v>0.0</v>
      </c>
      <c r="AU194" s="73">
        <v>0.0</v>
      </c>
      <c r="AV194" s="13">
        <f t="shared" si="39"/>
        <v>0</v>
      </c>
      <c r="AW194" s="5"/>
      <c r="AX194" s="5"/>
    </row>
    <row r="195" ht="12.75" customHeight="1">
      <c r="A195" s="18"/>
      <c r="B195" s="49"/>
      <c r="C195" s="50" t="s">
        <v>148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1.0</v>
      </c>
      <c r="AA195" s="73">
        <v>0.0</v>
      </c>
      <c r="AB195" s="73">
        <v>0.0</v>
      </c>
      <c r="AC195" s="73">
        <v>0.0</v>
      </c>
      <c r="AD195" s="73">
        <v>0.0</v>
      </c>
      <c r="AE195" s="73">
        <v>0.0</v>
      </c>
      <c r="AF195" s="73">
        <v>0.0</v>
      </c>
      <c r="AG195" s="73">
        <v>0.0</v>
      </c>
      <c r="AH195" s="73">
        <v>0.0</v>
      </c>
      <c r="AI195" s="73">
        <v>0.0</v>
      </c>
      <c r="AJ195" s="73">
        <v>0.0</v>
      </c>
      <c r="AK195" s="73">
        <v>0.0</v>
      </c>
      <c r="AL195" s="73">
        <v>0.0</v>
      </c>
      <c r="AM195" s="73">
        <v>0.0</v>
      </c>
      <c r="AN195" s="73">
        <v>0.0</v>
      </c>
      <c r="AO195" s="73">
        <v>0.0</v>
      </c>
      <c r="AP195" s="73">
        <v>0.0</v>
      </c>
      <c r="AQ195" s="73">
        <v>0.0</v>
      </c>
      <c r="AR195" s="73">
        <v>0.0</v>
      </c>
      <c r="AS195" s="73">
        <v>0.0</v>
      </c>
      <c r="AT195" s="73">
        <v>0.0</v>
      </c>
      <c r="AU195" s="73">
        <v>0.0</v>
      </c>
      <c r="AV195" s="13">
        <f t="shared" si="39"/>
        <v>1</v>
      </c>
      <c r="AW195" s="5"/>
      <c r="AX195" s="5"/>
    </row>
    <row r="196" ht="12.75" customHeight="1">
      <c r="A196" s="18"/>
      <c r="B196" s="49"/>
      <c r="C196" s="50" t="s">
        <v>149</v>
      </c>
      <c r="D196" s="51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0.0</v>
      </c>
      <c r="N196" s="73">
        <v>0.0</v>
      </c>
      <c r="O196" s="73">
        <v>0.0</v>
      </c>
      <c r="P196" s="73">
        <v>0.0</v>
      </c>
      <c r="Q196" s="73">
        <v>0.0</v>
      </c>
      <c r="R196" s="73">
        <v>0.0</v>
      </c>
      <c r="S196" s="73">
        <v>0.0</v>
      </c>
      <c r="T196" s="73">
        <v>0.0</v>
      </c>
      <c r="U196" s="73">
        <v>0.0</v>
      </c>
      <c r="V196" s="73">
        <v>0.0</v>
      </c>
      <c r="W196" s="73">
        <v>0.0</v>
      </c>
      <c r="X196" s="73">
        <v>0.0</v>
      </c>
      <c r="Y196" s="73">
        <v>0.0</v>
      </c>
      <c r="Z196" s="73">
        <v>0.0</v>
      </c>
      <c r="AA196" s="73">
        <v>0.0</v>
      </c>
      <c r="AB196" s="73">
        <v>0.0</v>
      </c>
      <c r="AC196" s="73">
        <v>0.0</v>
      </c>
      <c r="AD196" s="73">
        <v>0.0</v>
      </c>
      <c r="AE196" s="73">
        <v>0.0</v>
      </c>
      <c r="AF196" s="73">
        <v>0.0</v>
      </c>
      <c r="AG196" s="73">
        <v>0.0</v>
      </c>
      <c r="AH196" s="73">
        <v>0.0</v>
      </c>
      <c r="AI196" s="73">
        <v>0.0</v>
      </c>
      <c r="AJ196" s="73">
        <v>0.0</v>
      </c>
      <c r="AK196" s="73">
        <v>0.0</v>
      </c>
      <c r="AL196" s="73">
        <v>0.0</v>
      </c>
      <c r="AM196" s="73">
        <v>0.0</v>
      </c>
      <c r="AN196" s="73">
        <v>0.0</v>
      </c>
      <c r="AO196" s="73">
        <v>0.0</v>
      </c>
      <c r="AP196" s="73">
        <v>0.0</v>
      </c>
      <c r="AQ196" s="73">
        <v>0.0</v>
      </c>
      <c r="AR196" s="73">
        <v>0.0</v>
      </c>
      <c r="AS196" s="73">
        <v>0.0</v>
      </c>
      <c r="AT196" s="73">
        <v>0.0</v>
      </c>
      <c r="AU196" s="73">
        <v>0.0</v>
      </c>
      <c r="AV196" s="13">
        <f t="shared" si="39"/>
        <v>0</v>
      </c>
      <c r="AW196" s="1"/>
      <c r="AX196" s="1"/>
    </row>
    <row r="197" ht="12.75" customHeight="1">
      <c r="A197" s="18"/>
      <c r="B197" s="49"/>
      <c r="C197" s="50" t="s">
        <v>150</v>
      </c>
      <c r="D197" s="51"/>
      <c r="E197" s="73">
        <v>0.0</v>
      </c>
      <c r="F197" s="73">
        <v>0.0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0.0</v>
      </c>
      <c r="R197" s="73">
        <v>0.0</v>
      </c>
      <c r="S197" s="73">
        <v>0.0</v>
      </c>
      <c r="T197" s="73">
        <v>0.0</v>
      </c>
      <c r="U197" s="73">
        <v>0.0</v>
      </c>
      <c r="V197" s="73">
        <v>0.0</v>
      </c>
      <c r="W197" s="73">
        <v>0.0</v>
      </c>
      <c r="X197" s="73">
        <v>0.0</v>
      </c>
      <c r="Y197" s="73">
        <v>0.0</v>
      </c>
      <c r="Z197" s="73">
        <v>0.0</v>
      </c>
      <c r="AA197" s="73">
        <v>0.0</v>
      </c>
      <c r="AB197" s="73">
        <v>0.0</v>
      </c>
      <c r="AC197" s="73">
        <v>0.0</v>
      </c>
      <c r="AD197" s="73">
        <v>0.0</v>
      </c>
      <c r="AE197" s="73">
        <v>0.0</v>
      </c>
      <c r="AF197" s="73">
        <v>0.0</v>
      </c>
      <c r="AG197" s="73">
        <v>0.0</v>
      </c>
      <c r="AH197" s="73">
        <v>0.0</v>
      </c>
      <c r="AI197" s="73">
        <v>0.0</v>
      </c>
      <c r="AJ197" s="73">
        <v>0.0</v>
      </c>
      <c r="AK197" s="73">
        <v>0.0</v>
      </c>
      <c r="AL197" s="73">
        <v>0.0</v>
      </c>
      <c r="AM197" s="73">
        <v>0.0</v>
      </c>
      <c r="AN197" s="73">
        <v>0.0</v>
      </c>
      <c r="AO197" s="73">
        <v>0.0</v>
      </c>
      <c r="AP197" s="73">
        <v>0.0</v>
      </c>
      <c r="AQ197" s="73">
        <v>0.0</v>
      </c>
      <c r="AR197" s="73">
        <v>0.0</v>
      </c>
      <c r="AS197" s="73">
        <v>0.0</v>
      </c>
      <c r="AT197" s="73">
        <v>0.0</v>
      </c>
      <c r="AU197" s="73">
        <v>0.0</v>
      </c>
      <c r="AV197" s="13">
        <f t="shared" si="39"/>
        <v>0</v>
      </c>
      <c r="AW197" s="1"/>
      <c r="AX197" s="1"/>
    </row>
    <row r="198" ht="12.75" customHeight="1">
      <c r="A198" s="18"/>
      <c r="B198" s="49"/>
      <c r="C198" s="50" t="s">
        <v>151</v>
      </c>
      <c r="D198" s="51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1.0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73">
        <v>0.0</v>
      </c>
      <c r="R198" s="73">
        <v>0.0</v>
      </c>
      <c r="S198" s="73">
        <v>0.0</v>
      </c>
      <c r="T198" s="73">
        <v>0.0</v>
      </c>
      <c r="U198" s="73">
        <v>0.0</v>
      </c>
      <c r="V198" s="73">
        <v>0.0</v>
      </c>
      <c r="W198" s="73">
        <v>0.0</v>
      </c>
      <c r="X198" s="73">
        <v>0.0</v>
      </c>
      <c r="Y198" s="73">
        <v>0.0</v>
      </c>
      <c r="Z198" s="73">
        <v>0.0</v>
      </c>
      <c r="AA198" s="73">
        <v>0.0</v>
      </c>
      <c r="AB198" s="73">
        <v>0.0</v>
      </c>
      <c r="AC198" s="73">
        <v>0.0</v>
      </c>
      <c r="AD198" s="73">
        <v>0.0</v>
      </c>
      <c r="AE198" s="73">
        <v>0.0</v>
      </c>
      <c r="AF198" s="73">
        <v>0.0</v>
      </c>
      <c r="AG198" s="73">
        <v>0.0</v>
      </c>
      <c r="AH198" s="73">
        <v>0.0</v>
      </c>
      <c r="AI198" s="73">
        <v>0.0</v>
      </c>
      <c r="AJ198" s="73">
        <v>0.0</v>
      </c>
      <c r="AK198" s="73">
        <v>0.0</v>
      </c>
      <c r="AL198" s="73">
        <v>0.0</v>
      </c>
      <c r="AM198" s="73">
        <v>0.0</v>
      </c>
      <c r="AN198" s="73">
        <v>0.0</v>
      </c>
      <c r="AO198" s="73">
        <v>0.0</v>
      </c>
      <c r="AP198" s="73">
        <v>0.0</v>
      </c>
      <c r="AQ198" s="73">
        <v>0.0</v>
      </c>
      <c r="AR198" s="73">
        <v>0.0</v>
      </c>
      <c r="AS198" s="73">
        <v>0.0</v>
      </c>
      <c r="AT198" s="73">
        <v>0.0</v>
      </c>
      <c r="AU198" s="73">
        <v>0.0</v>
      </c>
      <c r="AV198" s="13">
        <f t="shared" si="39"/>
        <v>1</v>
      </c>
      <c r="AW198" s="1"/>
      <c r="AX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V199" si="40">SUM(E189:E198)</f>
        <v>1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1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1</v>
      </c>
      <c r="P199" s="13">
        <f t="shared" si="40"/>
        <v>0</v>
      </c>
      <c r="Q199" s="13">
        <f t="shared" si="40"/>
        <v>0</v>
      </c>
      <c r="R199" s="13">
        <f t="shared" si="40"/>
        <v>1</v>
      </c>
      <c r="S199" s="13">
        <f t="shared" si="40"/>
        <v>0</v>
      </c>
      <c r="T199" s="13">
        <f t="shared" si="40"/>
        <v>0</v>
      </c>
      <c r="U199" s="13">
        <f t="shared" si="40"/>
        <v>0</v>
      </c>
      <c r="V199" s="13">
        <f t="shared" si="40"/>
        <v>0</v>
      </c>
      <c r="W199" s="13">
        <f t="shared" si="40"/>
        <v>0</v>
      </c>
      <c r="X199" s="13">
        <f t="shared" si="40"/>
        <v>0</v>
      </c>
      <c r="Y199" s="13">
        <f t="shared" si="40"/>
        <v>0</v>
      </c>
      <c r="Z199" s="13">
        <f t="shared" si="40"/>
        <v>1</v>
      </c>
      <c r="AA199" s="13">
        <f t="shared" si="40"/>
        <v>0</v>
      </c>
      <c r="AB199" s="13">
        <f t="shared" si="40"/>
        <v>0</v>
      </c>
      <c r="AC199" s="13">
        <f t="shared" si="40"/>
        <v>0</v>
      </c>
      <c r="AD199" s="13">
        <f t="shared" si="40"/>
        <v>0</v>
      </c>
      <c r="AE199" s="13">
        <f t="shared" si="40"/>
        <v>0</v>
      </c>
      <c r="AF199" s="13">
        <f t="shared" si="40"/>
        <v>1</v>
      </c>
      <c r="AG199" s="13">
        <f t="shared" si="40"/>
        <v>0</v>
      </c>
      <c r="AH199" s="13">
        <f t="shared" si="40"/>
        <v>1</v>
      </c>
      <c r="AI199" s="13">
        <f t="shared" si="40"/>
        <v>0</v>
      </c>
      <c r="AJ199" s="13">
        <f t="shared" si="40"/>
        <v>0</v>
      </c>
      <c r="AK199" s="13">
        <f t="shared" si="40"/>
        <v>0</v>
      </c>
      <c r="AL199" s="13">
        <f t="shared" si="40"/>
        <v>0</v>
      </c>
      <c r="AM199" s="13">
        <f t="shared" si="40"/>
        <v>1</v>
      </c>
      <c r="AN199" s="13">
        <f t="shared" si="40"/>
        <v>0</v>
      </c>
      <c r="AO199" s="13">
        <f t="shared" si="40"/>
        <v>0</v>
      </c>
      <c r="AP199" s="13">
        <f t="shared" si="40"/>
        <v>0</v>
      </c>
      <c r="AQ199" s="13">
        <f t="shared" si="40"/>
        <v>0</v>
      </c>
      <c r="AR199" s="13">
        <f t="shared" si="40"/>
        <v>0</v>
      </c>
      <c r="AS199" s="13">
        <f t="shared" si="40"/>
        <v>0</v>
      </c>
      <c r="AT199" s="13">
        <f t="shared" si="40"/>
        <v>0</v>
      </c>
      <c r="AU199" s="13">
        <f t="shared" si="40"/>
        <v>0</v>
      </c>
      <c r="AV199" s="13">
        <f t="shared" si="40"/>
        <v>8</v>
      </c>
      <c r="AW199" s="53"/>
      <c r="AX199" s="53"/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5"/>
      <c r="AX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0.0</v>
      </c>
      <c r="F201" s="73">
        <v>4.0</v>
      </c>
      <c r="G201" s="73">
        <v>0.0</v>
      </c>
      <c r="H201" s="73">
        <v>2.0</v>
      </c>
      <c r="I201" s="73">
        <v>1.0</v>
      </c>
      <c r="J201" s="73">
        <v>4.0</v>
      </c>
      <c r="K201" s="73">
        <v>0.0</v>
      </c>
      <c r="L201" s="73">
        <v>2.0</v>
      </c>
      <c r="M201" s="73">
        <v>4.0</v>
      </c>
      <c r="N201" s="73">
        <v>6.0</v>
      </c>
      <c r="O201" s="73">
        <v>2.0</v>
      </c>
      <c r="P201" s="73">
        <v>0.0</v>
      </c>
      <c r="Q201" s="73">
        <v>1.0</v>
      </c>
      <c r="R201" s="73">
        <v>0.0</v>
      </c>
      <c r="S201" s="73">
        <v>1.0</v>
      </c>
      <c r="T201" s="73">
        <v>1.0</v>
      </c>
      <c r="U201" s="73">
        <v>3.0</v>
      </c>
      <c r="V201" s="73">
        <v>1.0</v>
      </c>
      <c r="W201" s="73">
        <v>0.0</v>
      </c>
      <c r="X201" s="73">
        <v>3.0</v>
      </c>
      <c r="Y201" s="73">
        <v>0.0</v>
      </c>
      <c r="Z201" s="73">
        <v>0.0</v>
      </c>
      <c r="AA201" s="73">
        <v>2.0</v>
      </c>
      <c r="AB201" s="73">
        <v>2.0</v>
      </c>
      <c r="AC201" s="73">
        <v>1.0</v>
      </c>
      <c r="AD201" s="73">
        <v>0.0</v>
      </c>
      <c r="AE201" s="73">
        <v>0.0</v>
      </c>
      <c r="AF201" s="73">
        <v>0.0</v>
      </c>
      <c r="AG201" s="73">
        <v>1.0</v>
      </c>
      <c r="AH201" s="73">
        <v>6.0</v>
      </c>
      <c r="AI201" s="73">
        <v>0.0</v>
      </c>
      <c r="AJ201" s="73">
        <v>4.0</v>
      </c>
      <c r="AK201" s="73">
        <v>20.0</v>
      </c>
      <c r="AL201" s="73">
        <v>10.0</v>
      </c>
      <c r="AM201" s="73">
        <v>4.0</v>
      </c>
      <c r="AN201" s="73">
        <v>0.0</v>
      </c>
      <c r="AO201" s="73">
        <v>0.0</v>
      </c>
      <c r="AP201" s="73">
        <v>0.0</v>
      </c>
      <c r="AQ201" s="73">
        <v>0.0</v>
      </c>
      <c r="AR201" s="73">
        <v>0.0</v>
      </c>
      <c r="AS201" s="73">
        <v>0.0</v>
      </c>
      <c r="AT201" s="73">
        <v>0.0</v>
      </c>
      <c r="AU201" s="73">
        <v>0.0</v>
      </c>
      <c r="AV201" s="13">
        <f t="shared" ref="AV201:AV210" si="41">SUM(E201:AU201)</f>
        <v>85</v>
      </c>
      <c r="AW201" s="5"/>
      <c r="AX201" s="5"/>
    </row>
    <row r="202" ht="12.75" customHeight="1">
      <c r="A202" s="30" t="s">
        <v>39</v>
      </c>
      <c r="B202" s="49"/>
      <c r="C202" s="50" t="s">
        <v>154</v>
      </c>
      <c r="D202" s="51"/>
      <c r="E202" s="73">
        <v>4.0</v>
      </c>
      <c r="F202" s="73">
        <v>4.0</v>
      </c>
      <c r="G202" s="73">
        <v>1.0</v>
      </c>
      <c r="H202" s="73">
        <v>2.0</v>
      </c>
      <c r="I202" s="73">
        <v>14.0</v>
      </c>
      <c r="J202" s="73">
        <v>24.0</v>
      </c>
      <c r="K202" s="73">
        <v>0.0</v>
      </c>
      <c r="L202" s="73">
        <v>3.0</v>
      </c>
      <c r="M202" s="73">
        <v>8.0</v>
      </c>
      <c r="N202" s="73">
        <v>10.0</v>
      </c>
      <c r="O202" s="73">
        <v>3.0</v>
      </c>
      <c r="P202" s="73">
        <v>1.0</v>
      </c>
      <c r="Q202" s="73">
        <v>2.0</v>
      </c>
      <c r="R202" s="73">
        <v>3.0</v>
      </c>
      <c r="S202" s="73">
        <v>2.0</v>
      </c>
      <c r="T202" s="73">
        <v>2.0</v>
      </c>
      <c r="U202" s="73">
        <v>1.0</v>
      </c>
      <c r="V202" s="73">
        <v>3.0</v>
      </c>
      <c r="W202" s="73">
        <v>3.0</v>
      </c>
      <c r="X202" s="73">
        <v>1.0</v>
      </c>
      <c r="Y202" s="73">
        <v>0.0</v>
      </c>
      <c r="Z202" s="73">
        <v>1.0</v>
      </c>
      <c r="AA202" s="73">
        <v>6.0</v>
      </c>
      <c r="AB202" s="73">
        <v>1.0</v>
      </c>
      <c r="AC202" s="73">
        <v>2.0</v>
      </c>
      <c r="AD202" s="73">
        <v>2.0</v>
      </c>
      <c r="AE202" s="73">
        <v>0.0</v>
      </c>
      <c r="AF202" s="73">
        <v>4.0</v>
      </c>
      <c r="AG202" s="73">
        <v>2.0</v>
      </c>
      <c r="AH202" s="73">
        <v>5.0</v>
      </c>
      <c r="AI202" s="73">
        <v>5.0</v>
      </c>
      <c r="AJ202" s="73">
        <v>1.0</v>
      </c>
      <c r="AK202" s="73">
        <v>12.0</v>
      </c>
      <c r="AL202" s="73">
        <v>6.0</v>
      </c>
      <c r="AM202" s="73">
        <v>5.0</v>
      </c>
      <c r="AN202" s="73">
        <v>0.0</v>
      </c>
      <c r="AO202" s="73">
        <v>0.0</v>
      </c>
      <c r="AP202" s="73">
        <v>0.0</v>
      </c>
      <c r="AQ202" s="73">
        <v>0.0</v>
      </c>
      <c r="AR202" s="73">
        <v>0.0</v>
      </c>
      <c r="AS202" s="73">
        <v>0.0</v>
      </c>
      <c r="AT202" s="73">
        <v>0.0</v>
      </c>
      <c r="AU202" s="73">
        <v>0.0</v>
      </c>
      <c r="AV202" s="13">
        <f t="shared" si="41"/>
        <v>143</v>
      </c>
      <c r="AW202" s="5"/>
      <c r="AX202" s="5"/>
    </row>
    <row r="203" ht="12.75" customHeight="1">
      <c r="A203" s="18"/>
      <c r="B203" s="49"/>
      <c r="C203" s="50" t="s">
        <v>155</v>
      </c>
      <c r="D203" s="51"/>
      <c r="E203" s="73">
        <v>0.0</v>
      </c>
      <c r="F203" s="73">
        <v>0.0</v>
      </c>
      <c r="G203" s="73">
        <v>0.0</v>
      </c>
      <c r="H203" s="73">
        <v>1.0</v>
      </c>
      <c r="I203" s="73">
        <v>1.0</v>
      </c>
      <c r="J203" s="73">
        <v>0.0</v>
      </c>
      <c r="K203" s="73">
        <v>0.0</v>
      </c>
      <c r="L203" s="73">
        <v>0.0</v>
      </c>
      <c r="M203" s="73">
        <v>2.0</v>
      </c>
      <c r="N203" s="73">
        <v>1.0</v>
      </c>
      <c r="O203" s="73">
        <v>0.0</v>
      </c>
      <c r="P203" s="73">
        <v>0.0</v>
      </c>
      <c r="Q203" s="73">
        <v>0.0</v>
      </c>
      <c r="R203" s="73">
        <v>0.0</v>
      </c>
      <c r="S203" s="73">
        <v>0.0</v>
      </c>
      <c r="T203" s="73">
        <v>0.0</v>
      </c>
      <c r="U203" s="73">
        <v>1.0</v>
      </c>
      <c r="V203" s="73">
        <v>0.0</v>
      </c>
      <c r="W203" s="73">
        <v>0.0</v>
      </c>
      <c r="X203" s="73">
        <v>0.0</v>
      </c>
      <c r="Y203" s="73">
        <v>0.0</v>
      </c>
      <c r="Z203" s="73">
        <v>1.0</v>
      </c>
      <c r="AA203" s="73">
        <v>1.0</v>
      </c>
      <c r="AB203" s="73">
        <v>0.0</v>
      </c>
      <c r="AC203" s="73">
        <v>0.0</v>
      </c>
      <c r="AD203" s="73">
        <v>1.0</v>
      </c>
      <c r="AE203" s="73">
        <v>3.0</v>
      </c>
      <c r="AF203" s="73">
        <v>1.0</v>
      </c>
      <c r="AG203" s="73">
        <v>0.0</v>
      </c>
      <c r="AH203" s="73">
        <v>0.0</v>
      </c>
      <c r="AI203" s="73">
        <v>1.0</v>
      </c>
      <c r="AJ203" s="73">
        <v>2.0</v>
      </c>
      <c r="AK203" s="73">
        <v>4.0</v>
      </c>
      <c r="AL203" s="73">
        <v>0.0</v>
      </c>
      <c r="AM203" s="73">
        <v>3.0</v>
      </c>
      <c r="AN203" s="73">
        <v>0.0</v>
      </c>
      <c r="AO203" s="73">
        <v>0.0</v>
      </c>
      <c r="AP203" s="73">
        <v>0.0</v>
      </c>
      <c r="AQ203" s="73">
        <v>0.0</v>
      </c>
      <c r="AR203" s="73">
        <v>0.0</v>
      </c>
      <c r="AS203" s="73">
        <v>0.0</v>
      </c>
      <c r="AT203" s="73">
        <v>0.0</v>
      </c>
      <c r="AU203" s="73">
        <v>0.0</v>
      </c>
      <c r="AV203" s="13">
        <f t="shared" si="41"/>
        <v>23</v>
      </c>
      <c r="AW203" s="5"/>
      <c r="AX203" s="5"/>
    </row>
    <row r="204" ht="12.75" customHeight="1">
      <c r="A204" s="18"/>
      <c r="B204" s="49"/>
      <c r="C204" s="50" t="s">
        <v>156</v>
      </c>
      <c r="D204" s="51"/>
      <c r="E204" s="73">
        <v>0.0</v>
      </c>
      <c r="F204" s="73">
        <v>2.0</v>
      </c>
      <c r="G204" s="73">
        <v>0.0</v>
      </c>
      <c r="H204" s="73">
        <v>0.0</v>
      </c>
      <c r="I204" s="73">
        <v>0.0</v>
      </c>
      <c r="J204" s="73">
        <v>0.0</v>
      </c>
      <c r="K204" s="73">
        <v>0.0</v>
      </c>
      <c r="L204" s="73">
        <v>2.0</v>
      </c>
      <c r="M204" s="73">
        <v>1.0</v>
      </c>
      <c r="N204" s="73">
        <v>0.0</v>
      </c>
      <c r="O204" s="73">
        <v>0.0</v>
      </c>
      <c r="P204" s="73">
        <v>0.0</v>
      </c>
      <c r="Q204" s="73">
        <v>0.0</v>
      </c>
      <c r="R204" s="73">
        <v>0.0</v>
      </c>
      <c r="S204" s="73">
        <v>1.0</v>
      </c>
      <c r="T204" s="73">
        <v>0.0</v>
      </c>
      <c r="U204" s="73">
        <v>0.0</v>
      </c>
      <c r="V204" s="73">
        <v>0.0</v>
      </c>
      <c r="W204" s="73">
        <v>0.0</v>
      </c>
      <c r="X204" s="73">
        <v>0.0</v>
      </c>
      <c r="Y204" s="73">
        <v>1.0</v>
      </c>
      <c r="Z204" s="73">
        <v>0.0</v>
      </c>
      <c r="AA204" s="73">
        <v>0.0</v>
      </c>
      <c r="AB204" s="73">
        <v>0.0</v>
      </c>
      <c r="AC204" s="73">
        <v>0.0</v>
      </c>
      <c r="AD204" s="73">
        <v>0.0</v>
      </c>
      <c r="AE204" s="73">
        <v>0.0</v>
      </c>
      <c r="AF204" s="73">
        <v>0.0</v>
      </c>
      <c r="AG204" s="73">
        <v>1.0</v>
      </c>
      <c r="AH204" s="73">
        <v>0.0</v>
      </c>
      <c r="AI204" s="73">
        <v>0.0</v>
      </c>
      <c r="AJ204" s="73">
        <v>1.0</v>
      </c>
      <c r="AK204" s="73">
        <v>1.0</v>
      </c>
      <c r="AL204" s="73">
        <v>0.0</v>
      </c>
      <c r="AM204" s="73">
        <v>2.0</v>
      </c>
      <c r="AN204" s="73">
        <v>0.0</v>
      </c>
      <c r="AO204" s="73">
        <v>0.0</v>
      </c>
      <c r="AP204" s="73">
        <v>0.0</v>
      </c>
      <c r="AQ204" s="73">
        <v>0.0</v>
      </c>
      <c r="AR204" s="73">
        <v>0.0</v>
      </c>
      <c r="AS204" s="73">
        <v>0.0</v>
      </c>
      <c r="AT204" s="73">
        <v>0.0</v>
      </c>
      <c r="AU204" s="73">
        <v>0.0</v>
      </c>
      <c r="AV204" s="13">
        <f t="shared" si="41"/>
        <v>12</v>
      </c>
      <c r="AW204" s="5"/>
      <c r="AX204" s="5"/>
    </row>
    <row r="205" ht="12.75" customHeight="1">
      <c r="A205" s="18"/>
      <c r="B205" s="49"/>
      <c r="C205" s="50" t="s">
        <v>157</v>
      </c>
      <c r="D205" s="51"/>
      <c r="E205" s="73">
        <v>0.0</v>
      </c>
      <c r="F205" s="73">
        <v>0.0</v>
      </c>
      <c r="G205" s="73">
        <v>0.0</v>
      </c>
      <c r="H205" s="73">
        <v>0.0</v>
      </c>
      <c r="I205" s="73">
        <v>0.0</v>
      </c>
      <c r="J205" s="73">
        <v>0.0</v>
      </c>
      <c r="K205" s="73">
        <v>0.0</v>
      </c>
      <c r="L205" s="73">
        <v>0.0</v>
      </c>
      <c r="M205" s="73">
        <v>0.0</v>
      </c>
      <c r="N205" s="73">
        <v>0.0</v>
      </c>
      <c r="O205" s="73">
        <v>0.0</v>
      </c>
      <c r="P205" s="73">
        <v>0.0</v>
      </c>
      <c r="Q205" s="73">
        <v>0.0</v>
      </c>
      <c r="R205" s="73">
        <v>0.0</v>
      </c>
      <c r="S205" s="73">
        <v>0.0</v>
      </c>
      <c r="T205" s="73">
        <v>0.0</v>
      </c>
      <c r="U205" s="73">
        <v>0.0</v>
      </c>
      <c r="V205" s="73">
        <v>0.0</v>
      </c>
      <c r="W205" s="73">
        <v>0.0</v>
      </c>
      <c r="X205" s="73">
        <v>0.0</v>
      </c>
      <c r="Y205" s="73">
        <v>0.0</v>
      </c>
      <c r="Z205" s="73">
        <v>0.0</v>
      </c>
      <c r="AA205" s="73">
        <v>0.0</v>
      </c>
      <c r="AB205" s="73">
        <v>0.0</v>
      </c>
      <c r="AC205" s="73">
        <v>0.0</v>
      </c>
      <c r="AD205" s="73">
        <v>0.0</v>
      </c>
      <c r="AE205" s="73">
        <v>0.0</v>
      </c>
      <c r="AF205" s="73">
        <v>0.0</v>
      </c>
      <c r="AG205" s="73">
        <v>1.0</v>
      </c>
      <c r="AH205" s="73">
        <v>0.0</v>
      </c>
      <c r="AI205" s="73">
        <v>1.0</v>
      </c>
      <c r="AJ205" s="73">
        <v>0.0</v>
      </c>
      <c r="AK205" s="73">
        <v>1.0</v>
      </c>
      <c r="AL205" s="73">
        <v>0.0</v>
      </c>
      <c r="AM205" s="73">
        <v>0.0</v>
      </c>
      <c r="AN205" s="73">
        <v>0.0</v>
      </c>
      <c r="AO205" s="73">
        <v>0.0</v>
      </c>
      <c r="AP205" s="73">
        <v>0.0</v>
      </c>
      <c r="AQ205" s="73">
        <v>0.0</v>
      </c>
      <c r="AR205" s="73">
        <v>0.0</v>
      </c>
      <c r="AS205" s="73">
        <v>0.0</v>
      </c>
      <c r="AT205" s="73">
        <v>0.0</v>
      </c>
      <c r="AU205" s="73">
        <v>0.0</v>
      </c>
      <c r="AV205" s="13">
        <f t="shared" si="41"/>
        <v>3</v>
      </c>
      <c r="AW205" s="5"/>
      <c r="AX205" s="5"/>
    </row>
    <row r="206" ht="12.75" customHeight="1">
      <c r="A206" s="18"/>
      <c r="B206" s="49"/>
      <c r="C206" s="50" t="s">
        <v>158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1.0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73">
        <v>0.0</v>
      </c>
      <c r="Y206" s="73">
        <v>0.0</v>
      </c>
      <c r="Z206" s="73">
        <v>0.0</v>
      </c>
      <c r="AA206" s="73">
        <v>0.0</v>
      </c>
      <c r="AB206" s="73">
        <v>0.0</v>
      </c>
      <c r="AC206" s="73">
        <v>0.0</v>
      </c>
      <c r="AD206" s="73">
        <v>0.0</v>
      </c>
      <c r="AE206" s="73">
        <v>0.0</v>
      </c>
      <c r="AF206" s="73">
        <v>0.0</v>
      </c>
      <c r="AG206" s="73">
        <v>0.0</v>
      </c>
      <c r="AH206" s="73">
        <v>0.0</v>
      </c>
      <c r="AI206" s="73">
        <v>0.0</v>
      </c>
      <c r="AJ206" s="73">
        <v>0.0</v>
      </c>
      <c r="AK206" s="73">
        <v>0.0</v>
      </c>
      <c r="AL206" s="73">
        <v>1.0</v>
      </c>
      <c r="AM206" s="73">
        <v>0.0</v>
      </c>
      <c r="AN206" s="73">
        <v>0.0</v>
      </c>
      <c r="AO206" s="73">
        <v>0.0</v>
      </c>
      <c r="AP206" s="73">
        <v>0.0</v>
      </c>
      <c r="AQ206" s="73">
        <v>0.0</v>
      </c>
      <c r="AR206" s="73">
        <v>0.0</v>
      </c>
      <c r="AS206" s="73">
        <v>0.0</v>
      </c>
      <c r="AT206" s="73">
        <v>0.0</v>
      </c>
      <c r="AU206" s="73">
        <v>0.0</v>
      </c>
      <c r="AV206" s="13">
        <f t="shared" si="41"/>
        <v>2</v>
      </c>
      <c r="AW206" s="5"/>
      <c r="AX206" s="5"/>
    </row>
    <row r="207" ht="12.75" customHeight="1">
      <c r="A207" s="18"/>
      <c r="B207" s="49"/>
      <c r="C207" s="50" t="s">
        <v>159</v>
      </c>
      <c r="D207" s="51"/>
      <c r="E207" s="73">
        <v>1.0</v>
      </c>
      <c r="F207" s="73">
        <v>1.0</v>
      </c>
      <c r="G207" s="73">
        <v>0.0</v>
      </c>
      <c r="H207" s="73">
        <v>0.0</v>
      </c>
      <c r="I207" s="73">
        <v>0.0</v>
      </c>
      <c r="J207" s="73">
        <v>0.0</v>
      </c>
      <c r="K207" s="73">
        <v>0.0</v>
      </c>
      <c r="L207" s="73">
        <v>0.0</v>
      </c>
      <c r="M207" s="73">
        <v>0.0</v>
      </c>
      <c r="N207" s="73">
        <v>0.0</v>
      </c>
      <c r="O207" s="73">
        <v>0.0</v>
      </c>
      <c r="P207" s="73">
        <v>0.0</v>
      </c>
      <c r="Q207" s="73">
        <v>0.0</v>
      </c>
      <c r="R207" s="73">
        <v>0.0</v>
      </c>
      <c r="S207" s="73">
        <v>0.0</v>
      </c>
      <c r="T207" s="73">
        <v>0.0</v>
      </c>
      <c r="U207" s="73">
        <v>1.0</v>
      </c>
      <c r="V207" s="73">
        <v>0.0</v>
      </c>
      <c r="W207" s="73">
        <v>0.0</v>
      </c>
      <c r="X207" s="73">
        <v>0.0</v>
      </c>
      <c r="Y207" s="73">
        <v>0.0</v>
      </c>
      <c r="Z207" s="73">
        <v>0.0</v>
      </c>
      <c r="AA207" s="73">
        <v>0.0</v>
      </c>
      <c r="AB207" s="73">
        <v>0.0</v>
      </c>
      <c r="AC207" s="73">
        <v>0.0</v>
      </c>
      <c r="AD207" s="73">
        <v>0.0</v>
      </c>
      <c r="AE207" s="73">
        <v>0.0</v>
      </c>
      <c r="AF207" s="73">
        <v>0.0</v>
      </c>
      <c r="AG207" s="73">
        <v>0.0</v>
      </c>
      <c r="AH207" s="73">
        <v>0.0</v>
      </c>
      <c r="AI207" s="73">
        <v>0.0</v>
      </c>
      <c r="AJ207" s="73">
        <v>1.0</v>
      </c>
      <c r="AK207" s="73">
        <v>2.0</v>
      </c>
      <c r="AL207" s="73">
        <v>2.0</v>
      </c>
      <c r="AM207" s="73">
        <v>2.0</v>
      </c>
      <c r="AN207" s="73">
        <v>0.0</v>
      </c>
      <c r="AO207" s="73">
        <v>0.0</v>
      </c>
      <c r="AP207" s="73">
        <v>0.0</v>
      </c>
      <c r="AQ207" s="73">
        <v>0.0</v>
      </c>
      <c r="AR207" s="73">
        <v>0.0</v>
      </c>
      <c r="AS207" s="73">
        <v>0.0</v>
      </c>
      <c r="AT207" s="73">
        <v>0.0</v>
      </c>
      <c r="AU207" s="73">
        <v>0.0</v>
      </c>
      <c r="AV207" s="13">
        <f t="shared" si="41"/>
        <v>10</v>
      </c>
      <c r="AW207" s="1"/>
      <c r="AX207" s="1"/>
    </row>
    <row r="208" ht="12.75" customHeight="1">
      <c r="A208" s="18"/>
      <c r="B208" s="49"/>
      <c r="C208" s="50" t="s">
        <v>160</v>
      </c>
      <c r="D208" s="51"/>
      <c r="E208" s="73">
        <v>1.0</v>
      </c>
      <c r="F208" s="73">
        <v>0.0</v>
      </c>
      <c r="G208" s="73">
        <v>1.0</v>
      </c>
      <c r="H208" s="73">
        <v>0.0</v>
      </c>
      <c r="I208" s="73">
        <v>2.0</v>
      </c>
      <c r="J208" s="73">
        <v>0.0</v>
      </c>
      <c r="K208" s="73">
        <v>0.0</v>
      </c>
      <c r="L208" s="73">
        <v>0.0</v>
      </c>
      <c r="M208" s="73">
        <v>3.0</v>
      </c>
      <c r="N208" s="73">
        <v>0.0</v>
      </c>
      <c r="O208" s="73">
        <v>0.0</v>
      </c>
      <c r="P208" s="73">
        <v>0.0</v>
      </c>
      <c r="Q208" s="73">
        <v>1.0</v>
      </c>
      <c r="R208" s="73">
        <v>0.0</v>
      </c>
      <c r="S208" s="73">
        <v>0.0</v>
      </c>
      <c r="T208" s="73">
        <v>1.0</v>
      </c>
      <c r="U208" s="73">
        <v>0.0</v>
      </c>
      <c r="V208" s="73">
        <v>0.0</v>
      </c>
      <c r="W208" s="73">
        <v>0.0</v>
      </c>
      <c r="X208" s="73">
        <v>0.0</v>
      </c>
      <c r="Y208" s="73">
        <v>0.0</v>
      </c>
      <c r="Z208" s="73">
        <v>0.0</v>
      </c>
      <c r="AA208" s="73">
        <v>0.0</v>
      </c>
      <c r="AB208" s="73">
        <v>1.0</v>
      </c>
      <c r="AC208" s="73">
        <v>0.0</v>
      </c>
      <c r="AD208" s="73">
        <v>0.0</v>
      </c>
      <c r="AE208" s="73">
        <v>0.0</v>
      </c>
      <c r="AF208" s="73">
        <v>0.0</v>
      </c>
      <c r="AG208" s="73">
        <v>1.0</v>
      </c>
      <c r="AH208" s="73">
        <v>0.0</v>
      </c>
      <c r="AI208" s="73">
        <v>0.0</v>
      </c>
      <c r="AJ208" s="73">
        <v>0.0</v>
      </c>
      <c r="AK208" s="73">
        <v>0.0</v>
      </c>
      <c r="AL208" s="73">
        <v>4.0</v>
      </c>
      <c r="AM208" s="73">
        <v>0.0</v>
      </c>
      <c r="AN208" s="73">
        <v>0.0</v>
      </c>
      <c r="AO208" s="73">
        <v>0.0</v>
      </c>
      <c r="AP208" s="73">
        <v>0.0</v>
      </c>
      <c r="AQ208" s="73">
        <v>0.0</v>
      </c>
      <c r="AR208" s="73">
        <v>0.0</v>
      </c>
      <c r="AS208" s="73">
        <v>0.0</v>
      </c>
      <c r="AT208" s="73">
        <v>0.0</v>
      </c>
      <c r="AU208" s="73">
        <v>0.0</v>
      </c>
      <c r="AV208" s="13">
        <f t="shared" si="41"/>
        <v>15</v>
      </c>
      <c r="AW208" s="53"/>
      <c r="AX208" s="53"/>
    </row>
    <row r="209" ht="12.75" customHeight="1">
      <c r="A209" s="18"/>
      <c r="B209" s="49"/>
      <c r="C209" s="50" t="s">
        <v>161</v>
      </c>
      <c r="D209" s="51"/>
      <c r="E209" s="73">
        <v>0.0</v>
      </c>
      <c r="F209" s="73">
        <v>0.0</v>
      </c>
      <c r="G209" s="73">
        <v>0.0</v>
      </c>
      <c r="H209" s="73">
        <v>0.0</v>
      </c>
      <c r="I209" s="73">
        <v>0.0</v>
      </c>
      <c r="J209" s="73">
        <v>0.0</v>
      </c>
      <c r="K209" s="73">
        <v>0.0</v>
      </c>
      <c r="L209" s="73">
        <v>0.0</v>
      </c>
      <c r="M209" s="73">
        <v>0.0</v>
      </c>
      <c r="N209" s="73">
        <v>1.0</v>
      </c>
      <c r="O209" s="73">
        <v>0.0</v>
      </c>
      <c r="P209" s="73">
        <v>0.0</v>
      </c>
      <c r="Q209" s="73">
        <v>0.0</v>
      </c>
      <c r="R209" s="73">
        <v>0.0</v>
      </c>
      <c r="S209" s="73">
        <v>0.0</v>
      </c>
      <c r="T209" s="73">
        <v>0.0</v>
      </c>
      <c r="U209" s="73">
        <v>0.0</v>
      </c>
      <c r="V209" s="73">
        <v>0.0</v>
      </c>
      <c r="W209" s="73">
        <v>0.0</v>
      </c>
      <c r="X209" s="73">
        <v>0.0</v>
      </c>
      <c r="Y209" s="73">
        <v>0.0</v>
      </c>
      <c r="Z209" s="73">
        <v>0.0</v>
      </c>
      <c r="AA209" s="73">
        <v>0.0</v>
      </c>
      <c r="AB209" s="73">
        <v>0.0</v>
      </c>
      <c r="AC209" s="73">
        <v>0.0</v>
      </c>
      <c r="AD209" s="73">
        <v>0.0</v>
      </c>
      <c r="AE209" s="73">
        <v>0.0</v>
      </c>
      <c r="AF209" s="73">
        <v>0.0</v>
      </c>
      <c r="AG209" s="73">
        <v>0.0</v>
      </c>
      <c r="AH209" s="73">
        <v>0.0</v>
      </c>
      <c r="AI209" s="73">
        <v>0.0</v>
      </c>
      <c r="AJ209" s="73">
        <v>0.0</v>
      </c>
      <c r="AK209" s="73">
        <v>0.0</v>
      </c>
      <c r="AL209" s="73">
        <v>0.0</v>
      </c>
      <c r="AM209" s="73">
        <v>0.0</v>
      </c>
      <c r="AN209" s="73">
        <v>0.0</v>
      </c>
      <c r="AO209" s="73">
        <v>0.0</v>
      </c>
      <c r="AP209" s="73">
        <v>0.0</v>
      </c>
      <c r="AQ209" s="73">
        <v>0.0</v>
      </c>
      <c r="AR209" s="73">
        <v>0.0</v>
      </c>
      <c r="AS209" s="73">
        <v>0.0</v>
      </c>
      <c r="AT209" s="73">
        <v>0.0</v>
      </c>
      <c r="AU209" s="73">
        <v>0.0</v>
      </c>
      <c r="AV209" s="13">
        <f t="shared" si="41"/>
        <v>1</v>
      </c>
      <c r="AW209" s="53"/>
      <c r="AX209" s="53"/>
    </row>
    <row r="210" ht="12.75" customHeight="1">
      <c r="A210" s="18"/>
      <c r="B210" s="49"/>
      <c r="C210" s="50" t="s">
        <v>162</v>
      </c>
      <c r="D210" s="51"/>
      <c r="E210" s="73">
        <v>0.0</v>
      </c>
      <c r="F210" s="73">
        <v>0.0</v>
      </c>
      <c r="G210" s="73">
        <v>0.0</v>
      </c>
      <c r="H210" s="73">
        <v>0.0</v>
      </c>
      <c r="I210" s="73">
        <v>0.0</v>
      </c>
      <c r="J210" s="73">
        <v>0.0</v>
      </c>
      <c r="K210" s="73">
        <v>0.0</v>
      </c>
      <c r="L210" s="73">
        <v>0.0</v>
      </c>
      <c r="M210" s="73">
        <v>0.0</v>
      </c>
      <c r="N210" s="73">
        <v>0.0</v>
      </c>
      <c r="O210" s="73">
        <v>0.0</v>
      </c>
      <c r="P210" s="73">
        <v>0.0</v>
      </c>
      <c r="Q210" s="73">
        <v>0.0</v>
      </c>
      <c r="R210" s="73">
        <v>0.0</v>
      </c>
      <c r="S210" s="73">
        <v>0.0</v>
      </c>
      <c r="T210" s="73">
        <v>0.0</v>
      </c>
      <c r="U210" s="73">
        <v>0.0</v>
      </c>
      <c r="V210" s="73">
        <v>0.0</v>
      </c>
      <c r="W210" s="73">
        <v>0.0</v>
      </c>
      <c r="X210" s="73">
        <v>0.0</v>
      </c>
      <c r="Y210" s="73">
        <v>0.0</v>
      </c>
      <c r="Z210" s="73">
        <v>0.0</v>
      </c>
      <c r="AA210" s="73">
        <v>0.0</v>
      </c>
      <c r="AB210" s="73">
        <v>0.0</v>
      </c>
      <c r="AC210" s="73">
        <v>0.0</v>
      </c>
      <c r="AD210" s="73">
        <v>0.0</v>
      </c>
      <c r="AE210" s="73">
        <v>0.0</v>
      </c>
      <c r="AF210" s="73">
        <v>0.0</v>
      </c>
      <c r="AG210" s="73">
        <v>0.0</v>
      </c>
      <c r="AH210" s="73">
        <v>0.0</v>
      </c>
      <c r="AI210" s="73">
        <v>0.0</v>
      </c>
      <c r="AJ210" s="73">
        <v>0.0</v>
      </c>
      <c r="AK210" s="73">
        <v>1.0</v>
      </c>
      <c r="AL210" s="73">
        <v>0.0</v>
      </c>
      <c r="AM210" s="73">
        <v>0.0</v>
      </c>
      <c r="AN210" s="73">
        <v>0.0</v>
      </c>
      <c r="AO210" s="73">
        <v>0.0</v>
      </c>
      <c r="AP210" s="73">
        <v>0.0</v>
      </c>
      <c r="AQ210" s="73">
        <v>0.0</v>
      </c>
      <c r="AR210" s="73">
        <v>0.0</v>
      </c>
      <c r="AS210" s="73">
        <v>0.0</v>
      </c>
      <c r="AT210" s="73">
        <v>0.0</v>
      </c>
      <c r="AU210" s="73">
        <v>0.0</v>
      </c>
      <c r="AV210" s="13">
        <f t="shared" si="41"/>
        <v>1</v>
      </c>
      <c r="AW210" s="53"/>
      <c r="AX210" s="53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V211" si="42">SUM(E201:E210)</f>
        <v>6</v>
      </c>
      <c r="F211" s="13">
        <f t="shared" si="42"/>
        <v>11</v>
      </c>
      <c r="G211" s="13">
        <f t="shared" si="42"/>
        <v>2</v>
      </c>
      <c r="H211" s="13">
        <f t="shared" si="42"/>
        <v>5</v>
      </c>
      <c r="I211" s="13">
        <f t="shared" si="42"/>
        <v>18</v>
      </c>
      <c r="J211" s="13">
        <f t="shared" si="42"/>
        <v>28</v>
      </c>
      <c r="K211" s="13">
        <f t="shared" si="42"/>
        <v>0</v>
      </c>
      <c r="L211" s="13">
        <f t="shared" si="42"/>
        <v>7</v>
      </c>
      <c r="M211" s="13">
        <f t="shared" si="42"/>
        <v>18</v>
      </c>
      <c r="N211" s="13">
        <f t="shared" si="42"/>
        <v>18</v>
      </c>
      <c r="O211" s="13">
        <f t="shared" si="42"/>
        <v>6</v>
      </c>
      <c r="P211" s="13">
        <f t="shared" si="42"/>
        <v>1</v>
      </c>
      <c r="Q211" s="13">
        <f t="shared" si="42"/>
        <v>4</v>
      </c>
      <c r="R211" s="13">
        <f t="shared" si="42"/>
        <v>3</v>
      </c>
      <c r="S211" s="13">
        <f t="shared" si="42"/>
        <v>4</v>
      </c>
      <c r="T211" s="13">
        <f t="shared" si="42"/>
        <v>4</v>
      </c>
      <c r="U211" s="13">
        <f t="shared" si="42"/>
        <v>6</v>
      </c>
      <c r="V211" s="13">
        <f t="shared" si="42"/>
        <v>4</v>
      </c>
      <c r="W211" s="13">
        <f t="shared" si="42"/>
        <v>3</v>
      </c>
      <c r="X211" s="13">
        <f t="shared" si="42"/>
        <v>4</v>
      </c>
      <c r="Y211" s="13">
        <f t="shared" si="42"/>
        <v>1</v>
      </c>
      <c r="Z211" s="13">
        <f t="shared" si="42"/>
        <v>2</v>
      </c>
      <c r="AA211" s="13">
        <f t="shared" si="42"/>
        <v>9</v>
      </c>
      <c r="AB211" s="13">
        <f t="shared" si="42"/>
        <v>4</v>
      </c>
      <c r="AC211" s="13">
        <f t="shared" si="42"/>
        <v>3</v>
      </c>
      <c r="AD211" s="13">
        <f t="shared" si="42"/>
        <v>3</v>
      </c>
      <c r="AE211" s="13">
        <f t="shared" si="42"/>
        <v>3</v>
      </c>
      <c r="AF211" s="13">
        <f t="shared" si="42"/>
        <v>5</v>
      </c>
      <c r="AG211" s="13">
        <f t="shared" si="42"/>
        <v>6</v>
      </c>
      <c r="AH211" s="13">
        <f t="shared" si="42"/>
        <v>11</v>
      </c>
      <c r="AI211" s="13">
        <f t="shared" si="42"/>
        <v>7</v>
      </c>
      <c r="AJ211" s="13">
        <f t="shared" si="42"/>
        <v>9</v>
      </c>
      <c r="AK211" s="13">
        <f t="shared" si="42"/>
        <v>41</v>
      </c>
      <c r="AL211" s="13">
        <f t="shared" si="42"/>
        <v>23</v>
      </c>
      <c r="AM211" s="13">
        <f t="shared" si="42"/>
        <v>16</v>
      </c>
      <c r="AN211" s="13">
        <f t="shared" si="42"/>
        <v>0</v>
      </c>
      <c r="AO211" s="13">
        <f t="shared" si="42"/>
        <v>0</v>
      </c>
      <c r="AP211" s="13">
        <f t="shared" si="42"/>
        <v>0</v>
      </c>
      <c r="AQ211" s="13">
        <f t="shared" si="42"/>
        <v>0</v>
      </c>
      <c r="AR211" s="13">
        <f t="shared" si="42"/>
        <v>0</v>
      </c>
      <c r="AS211" s="13">
        <f t="shared" si="42"/>
        <v>0</v>
      </c>
      <c r="AT211" s="13">
        <f t="shared" si="42"/>
        <v>0</v>
      </c>
      <c r="AU211" s="13">
        <f t="shared" si="42"/>
        <v>0</v>
      </c>
      <c r="AV211" s="13">
        <f t="shared" si="42"/>
        <v>295</v>
      </c>
      <c r="AW211" s="5"/>
      <c r="AX211" s="5"/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5"/>
      <c r="AX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3.0</v>
      </c>
      <c r="F213" s="73">
        <v>1.0</v>
      </c>
      <c r="G213" s="73">
        <v>4.0</v>
      </c>
      <c r="H213" s="73">
        <v>1.0</v>
      </c>
      <c r="I213" s="73">
        <v>2.0</v>
      </c>
      <c r="J213" s="73">
        <v>1.0</v>
      </c>
      <c r="K213" s="73">
        <v>1.0</v>
      </c>
      <c r="L213" s="73">
        <v>2.0</v>
      </c>
      <c r="M213" s="73">
        <v>2.0</v>
      </c>
      <c r="N213" s="73">
        <v>3.0</v>
      </c>
      <c r="O213" s="73">
        <v>6.0</v>
      </c>
      <c r="P213" s="73">
        <v>4.0</v>
      </c>
      <c r="Q213" s="73">
        <v>0.0</v>
      </c>
      <c r="R213" s="73">
        <v>2.0</v>
      </c>
      <c r="S213" s="73">
        <v>1.0</v>
      </c>
      <c r="T213" s="73">
        <v>2.0</v>
      </c>
      <c r="U213" s="73">
        <v>0.0</v>
      </c>
      <c r="V213" s="73">
        <v>0.0</v>
      </c>
      <c r="W213" s="73">
        <v>1.0</v>
      </c>
      <c r="X213" s="73">
        <v>4.0</v>
      </c>
      <c r="Y213" s="73">
        <v>0.0</v>
      </c>
      <c r="Z213" s="73">
        <v>2.0</v>
      </c>
      <c r="AA213" s="73">
        <v>1.0</v>
      </c>
      <c r="AB213" s="73">
        <v>4.0</v>
      </c>
      <c r="AC213" s="73">
        <v>3.0</v>
      </c>
      <c r="AD213" s="73">
        <v>1.0</v>
      </c>
      <c r="AE213" s="73">
        <v>3.0</v>
      </c>
      <c r="AF213" s="73">
        <v>0.0</v>
      </c>
      <c r="AG213" s="73">
        <v>0.0</v>
      </c>
      <c r="AH213" s="73">
        <v>0.0</v>
      </c>
      <c r="AI213" s="73">
        <v>0.0</v>
      </c>
      <c r="AJ213" s="73">
        <v>0.0</v>
      </c>
      <c r="AK213" s="73">
        <v>1.0</v>
      </c>
      <c r="AL213" s="73">
        <v>0.0</v>
      </c>
      <c r="AM213" s="73">
        <v>0.0</v>
      </c>
      <c r="AN213" s="73">
        <v>0.0</v>
      </c>
      <c r="AO213" s="73">
        <v>0.0</v>
      </c>
      <c r="AP213" s="73">
        <v>0.0</v>
      </c>
      <c r="AQ213" s="73">
        <v>0.0</v>
      </c>
      <c r="AR213" s="73">
        <v>0.0</v>
      </c>
      <c r="AS213" s="73">
        <v>0.0</v>
      </c>
      <c r="AT213" s="73">
        <v>0.0</v>
      </c>
      <c r="AU213" s="73">
        <v>0.0</v>
      </c>
      <c r="AV213" s="13">
        <f t="shared" ref="AV213:AV222" si="43">SUM(E213:AU213)</f>
        <v>55</v>
      </c>
      <c r="AW213" s="5"/>
      <c r="AX213" s="5"/>
    </row>
    <row r="214" ht="12.75" customHeight="1">
      <c r="A214" s="30" t="s">
        <v>39</v>
      </c>
      <c r="B214" s="49"/>
      <c r="C214" s="50" t="s">
        <v>165</v>
      </c>
      <c r="D214" s="51"/>
      <c r="E214" s="73">
        <v>1.0</v>
      </c>
      <c r="F214" s="73">
        <v>3.0</v>
      </c>
      <c r="G214" s="73">
        <v>0.0</v>
      </c>
      <c r="H214" s="73">
        <v>1.0</v>
      </c>
      <c r="I214" s="73">
        <v>0.0</v>
      </c>
      <c r="J214" s="73">
        <v>1.0</v>
      </c>
      <c r="K214" s="73">
        <v>3.0</v>
      </c>
      <c r="L214" s="73">
        <v>2.0</v>
      </c>
      <c r="M214" s="73">
        <v>3.0</v>
      </c>
      <c r="N214" s="73">
        <v>1.0</v>
      </c>
      <c r="O214" s="73">
        <v>3.0</v>
      </c>
      <c r="P214" s="73">
        <v>1.0</v>
      </c>
      <c r="Q214" s="73">
        <v>2.0</v>
      </c>
      <c r="R214" s="73">
        <v>3.0</v>
      </c>
      <c r="S214" s="73">
        <v>1.0</v>
      </c>
      <c r="T214" s="73">
        <v>1.0</v>
      </c>
      <c r="U214" s="73">
        <v>2.0</v>
      </c>
      <c r="V214" s="73">
        <v>1.0</v>
      </c>
      <c r="W214" s="73">
        <v>2.0</v>
      </c>
      <c r="X214" s="73">
        <v>1.0</v>
      </c>
      <c r="Y214" s="73">
        <v>2.0</v>
      </c>
      <c r="Z214" s="73">
        <v>0.0</v>
      </c>
      <c r="AA214" s="73">
        <v>2.0</v>
      </c>
      <c r="AB214" s="73">
        <v>1.0</v>
      </c>
      <c r="AC214" s="73">
        <v>2.0</v>
      </c>
      <c r="AD214" s="73">
        <v>1.0</v>
      </c>
      <c r="AE214" s="73">
        <v>0.0</v>
      </c>
      <c r="AF214" s="73">
        <v>2.0</v>
      </c>
      <c r="AG214" s="73">
        <v>1.0</v>
      </c>
      <c r="AH214" s="73">
        <v>0.0</v>
      </c>
      <c r="AI214" s="73">
        <v>0.0</v>
      </c>
      <c r="AJ214" s="73">
        <v>0.0</v>
      </c>
      <c r="AK214" s="73">
        <v>0.0</v>
      </c>
      <c r="AL214" s="73">
        <v>2.0</v>
      </c>
      <c r="AM214" s="73">
        <v>1.0</v>
      </c>
      <c r="AN214" s="73">
        <v>0.0</v>
      </c>
      <c r="AO214" s="73">
        <v>0.0</v>
      </c>
      <c r="AP214" s="73">
        <v>0.0</v>
      </c>
      <c r="AQ214" s="73">
        <v>0.0</v>
      </c>
      <c r="AR214" s="73">
        <v>0.0</v>
      </c>
      <c r="AS214" s="73">
        <v>0.0</v>
      </c>
      <c r="AT214" s="73">
        <v>0.0</v>
      </c>
      <c r="AU214" s="73">
        <v>0.0</v>
      </c>
      <c r="AV214" s="13">
        <f t="shared" si="43"/>
        <v>46</v>
      </c>
      <c r="AW214" s="5"/>
      <c r="AX214" s="5"/>
    </row>
    <row r="215" ht="12.75" customHeight="1">
      <c r="A215" s="18"/>
      <c r="B215" s="49"/>
      <c r="C215" s="50" t="s">
        <v>166</v>
      </c>
      <c r="D215" s="51"/>
      <c r="E215" s="73">
        <v>0.0</v>
      </c>
      <c r="F215" s="73">
        <v>2.0</v>
      </c>
      <c r="G215" s="73">
        <v>2.0</v>
      </c>
      <c r="H215" s="73">
        <v>2.0</v>
      </c>
      <c r="I215" s="73">
        <v>1.0</v>
      </c>
      <c r="J215" s="73">
        <v>1.0</v>
      </c>
      <c r="K215" s="73">
        <v>0.0</v>
      </c>
      <c r="L215" s="73">
        <v>0.0</v>
      </c>
      <c r="M215" s="73">
        <v>0.0</v>
      </c>
      <c r="N215" s="73">
        <v>2.0</v>
      </c>
      <c r="O215" s="73">
        <v>0.0</v>
      </c>
      <c r="P215" s="73">
        <v>1.0</v>
      </c>
      <c r="Q215" s="73">
        <v>2.0</v>
      </c>
      <c r="R215" s="73">
        <v>0.0</v>
      </c>
      <c r="S215" s="73">
        <v>1.0</v>
      </c>
      <c r="T215" s="73">
        <v>1.0</v>
      </c>
      <c r="U215" s="73">
        <v>2.0</v>
      </c>
      <c r="V215" s="73">
        <v>0.0</v>
      </c>
      <c r="W215" s="73">
        <v>1.0</v>
      </c>
      <c r="X215" s="73">
        <v>0.0</v>
      </c>
      <c r="Y215" s="73">
        <v>1.0</v>
      </c>
      <c r="Z215" s="73">
        <v>0.0</v>
      </c>
      <c r="AA215" s="73">
        <v>2.0</v>
      </c>
      <c r="AB215" s="73">
        <v>0.0</v>
      </c>
      <c r="AC215" s="73">
        <v>0.0</v>
      </c>
      <c r="AD215" s="73">
        <v>0.0</v>
      </c>
      <c r="AE215" s="73">
        <v>0.0</v>
      </c>
      <c r="AF215" s="73">
        <v>0.0</v>
      </c>
      <c r="AG215" s="73">
        <v>0.0</v>
      </c>
      <c r="AH215" s="73">
        <v>0.0</v>
      </c>
      <c r="AI215" s="73">
        <v>0.0</v>
      </c>
      <c r="AJ215" s="73">
        <v>0.0</v>
      </c>
      <c r="AK215" s="73">
        <v>2.0</v>
      </c>
      <c r="AL215" s="73">
        <v>0.0</v>
      </c>
      <c r="AM215" s="73">
        <v>2.0</v>
      </c>
      <c r="AN215" s="73">
        <v>0.0</v>
      </c>
      <c r="AO215" s="73">
        <v>0.0</v>
      </c>
      <c r="AP215" s="73">
        <v>0.0</v>
      </c>
      <c r="AQ215" s="73">
        <v>0.0</v>
      </c>
      <c r="AR215" s="73">
        <v>0.0</v>
      </c>
      <c r="AS215" s="73">
        <v>0.0</v>
      </c>
      <c r="AT215" s="73">
        <v>0.0</v>
      </c>
      <c r="AU215" s="73">
        <v>0.0</v>
      </c>
      <c r="AV215" s="13">
        <f t="shared" si="43"/>
        <v>25</v>
      </c>
      <c r="AW215" s="5"/>
      <c r="AX215" s="5"/>
    </row>
    <row r="216" ht="12.75" customHeight="1">
      <c r="A216" s="18"/>
      <c r="B216" s="49"/>
      <c r="C216" s="50" t="s">
        <v>167</v>
      </c>
      <c r="D216" s="51"/>
      <c r="E216" s="73">
        <v>0.0</v>
      </c>
      <c r="F216" s="73">
        <v>0.0</v>
      </c>
      <c r="G216" s="73">
        <v>0.0</v>
      </c>
      <c r="H216" s="73">
        <v>0.0</v>
      </c>
      <c r="I216" s="73">
        <v>0.0</v>
      </c>
      <c r="J216" s="73">
        <v>1.0</v>
      </c>
      <c r="K216" s="73">
        <v>0.0</v>
      </c>
      <c r="L216" s="73">
        <v>1.0</v>
      </c>
      <c r="M216" s="73">
        <v>0.0</v>
      </c>
      <c r="N216" s="73">
        <v>1.0</v>
      </c>
      <c r="O216" s="73">
        <v>0.0</v>
      </c>
      <c r="P216" s="73">
        <v>0.0</v>
      </c>
      <c r="Q216" s="73">
        <v>0.0</v>
      </c>
      <c r="R216" s="73">
        <v>0.0</v>
      </c>
      <c r="S216" s="73">
        <v>0.0</v>
      </c>
      <c r="T216" s="73">
        <v>0.0</v>
      </c>
      <c r="U216" s="73">
        <v>0.0</v>
      </c>
      <c r="V216" s="73">
        <v>0.0</v>
      </c>
      <c r="W216" s="73">
        <v>0.0</v>
      </c>
      <c r="X216" s="73">
        <v>0.0</v>
      </c>
      <c r="Y216" s="73">
        <v>0.0</v>
      </c>
      <c r="Z216" s="73">
        <v>0.0</v>
      </c>
      <c r="AA216" s="73">
        <v>0.0</v>
      </c>
      <c r="AB216" s="73">
        <v>0.0</v>
      </c>
      <c r="AC216" s="73">
        <v>1.0</v>
      </c>
      <c r="AD216" s="73">
        <v>0.0</v>
      </c>
      <c r="AE216" s="73">
        <v>0.0</v>
      </c>
      <c r="AF216" s="73">
        <v>0.0</v>
      </c>
      <c r="AG216" s="73">
        <v>0.0</v>
      </c>
      <c r="AH216" s="73">
        <v>0.0</v>
      </c>
      <c r="AI216" s="73">
        <v>0.0</v>
      </c>
      <c r="AJ216" s="73">
        <v>0.0</v>
      </c>
      <c r="AK216" s="73">
        <v>0.0</v>
      </c>
      <c r="AL216" s="73">
        <v>0.0</v>
      </c>
      <c r="AM216" s="73">
        <v>0.0</v>
      </c>
      <c r="AN216" s="73">
        <v>0.0</v>
      </c>
      <c r="AO216" s="73">
        <v>0.0</v>
      </c>
      <c r="AP216" s="73">
        <v>0.0</v>
      </c>
      <c r="AQ216" s="73">
        <v>0.0</v>
      </c>
      <c r="AR216" s="73">
        <v>0.0</v>
      </c>
      <c r="AS216" s="73">
        <v>0.0</v>
      </c>
      <c r="AT216" s="73">
        <v>0.0</v>
      </c>
      <c r="AU216" s="73">
        <v>0.0</v>
      </c>
      <c r="AV216" s="13">
        <f t="shared" si="43"/>
        <v>4</v>
      </c>
      <c r="AW216" s="5"/>
      <c r="AX216" s="5"/>
    </row>
    <row r="217" ht="12.75" customHeight="1">
      <c r="A217" s="18"/>
      <c r="B217" s="57"/>
      <c r="C217" s="58"/>
      <c r="D217" s="6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3">
        <f t="shared" si="43"/>
        <v>0</v>
      </c>
      <c r="AW217" s="5"/>
      <c r="AX217" s="5"/>
    </row>
    <row r="218" ht="12.75" customHeight="1">
      <c r="A218" s="18"/>
      <c r="B218" s="57"/>
      <c r="C218" s="58"/>
      <c r="D218" s="6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3">
        <f t="shared" si="43"/>
        <v>0</v>
      </c>
      <c r="AW218" s="1"/>
      <c r="AX218" s="1"/>
    </row>
    <row r="219" ht="12.75" customHeight="1">
      <c r="A219" s="18"/>
      <c r="B219" s="57"/>
      <c r="C219" s="58"/>
      <c r="D219" s="66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3">
        <f t="shared" si="43"/>
        <v>0</v>
      </c>
      <c r="AW219" s="53"/>
      <c r="AX219" s="53"/>
    </row>
    <row r="220" ht="12.75" customHeight="1">
      <c r="A220" s="18"/>
      <c r="B220" s="57"/>
      <c r="C220" s="58"/>
      <c r="D220" s="66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3">
        <f t="shared" si="43"/>
        <v>0</v>
      </c>
      <c r="AW220" s="5"/>
      <c r="AX220" s="5"/>
    </row>
    <row r="221" ht="12.75" customHeight="1">
      <c r="A221" s="18"/>
      <c r="B221" s="57"/>
      <c r="C221" s="58"/>
      <c r="D221" s="66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3">
        <f t="shared" si="43"/>
        <v>0</v>
      </c>
      <c r="AW221" s="5"/>
      <c r="AX221" s="5"/>
    </row>
    <row r="222" ht="12.75" customHeight="1">
      <c r="A222" s="18"/>
      <c r="B222" s="57"/>
      <c r="C222" s="58"/>
      <c r="D222" s="66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3">
        <f t="shared" si="43"/>
        <v>0</v>
      </c>
      <c r="AW222" s="5"/>
      <c r="AX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V223" si="44">SUM(E213:E222)</f>
        <v>4</v>
      </c>
      <c r="F223" s="13">
        <f t="shared" si="44"/>
        <v>6</v>
      </c>
      <c r="G223" s="13">
        <f t="shared" si="44"/>
        <v>6</v>
      </c>
      <c r="H223" s="13">
        <f t="shared" si="44"/>
        <v>4</v>
      </c>
      <c r="I223" s="13">
        <f t="shared" si="44"/>
        <v>3</v>
      </c>
      <c r="J223" s="13">
        <f t="shared" si="44"/>
        <v>4</v>
      </c>
      <c r="K223" s="13">
        <f t="shared" si="44"/>
        <v>4</v>
      </c>
      <c r="L223" s="13">
        <f t="shared" si="44"/>
        <v>5</v>
      </c>
      <c r="M223" s="13">
        <f t="shared" si="44"/>
        <v>5</v>
      </c>
      <c r="N223" s="13">
        <f t="shared" si="44"/>
        <v>7</v>
      </c>
      <c r="O223" s="13">
        <f t="shared" si="44"/>
        <v>9</v>
      </c>
      <c r="P223" s="13">
        <f t="shared" si="44"/>
        <v>6</v>
      </c>
      <c r="Q223" s="13">
        <f t="shared" si="44"/>
        <v>4</v>
      </c>
      <c r="R223" s="13">
        <f t="shared" si="44"/>
        <v>5</v>
      </c>
      <c r="S223" s="13">
        <f t="shared" si="44"/>
        <v>3</v>
      </c>
      <c r="T223" s="13">
        <f t="shared" si="44"/>
        <v>4</v>
      </c>
      <c r="U223" s="13">
        <f t="shared" si="44"/>
        <v>4</v>
      </c>
      <c r="V223" s="13">
        <f t="shared" si="44"/>
        <v>1</v>
      </c>
      <c r="W223" s="13">
        <f t="shared" si="44"/>
        <v>4</v>
      </c>
      <c r="X223" s="13">
        <f t="shared" si="44"/>
        <v>5</v>
      </c>
      <c r="Y223" s="13">
        <f t="shared" si="44"/>
        <v>3</v>
      </c>
      <c r="Z223" s="13">
        <f t="shared" si="44"/>
        <v>2</v>
      </c>
      <c r="AA223" s="13">
        <f t="shared" si="44"/>
        <v>5</v>
      </c>
      <c r="AB223" s="13">
        <f t="shared" si="44"/>
        <v>5</v>
      </c>
      <c r="AC223" s="13">
        <f t="shared" si="44"/>
        <v>6</v>
      </c>
      <c r="AD223" s="13">
        <f t="shared" si="44"/>
        <v>2</v>
      </c>
      <c r="AE223" s="13">
        <f t="shared" si="44"/>
        <v>3</v>
      </c>
      <c r="AF223" s="13">
        <f t="shared" si="44"/>
        <v>2</v>
      </c>
      <c r="AG223" s="13">
        <f t="shared" si="44"/>
        <v>1</v>
      </c>
      <c r="AH223" s="13">
        <f t="shared" si="44"/>
        <v>0</v>
      </c>
      <c r="AI223" s="13">
        <f t="shared" si="44"/>
        <v>0</v>
      </c>
      <c r="AJ223" s="13">
        <f t="shared" si="44"/>
        <v>0</v>
      </c>
      <c r="AK223" s="13">
        <f t="shared" si="44"/>
        <v>3</v>
      </c>
      <c r="AL223" s="13">
        <f t="shared" si="44"/>
        <v>2</v>
      </c>
      <c r="AM223" s="13">
        <f t="shared" si="44"/>
        <v>3</v>
      </c>
      <c r="AN223" s="13">
        <f t="shared" si="44"/>
        <v>0</v>
      </c>
      <c r="AO223" s="13">
        <f t="shared" si="44"/>
        <v>0</v>
      </c>
      <c r="AP223" s="13">
        <f t="shared" si="44"/>
        <v>0</v>
      </c>
      <c r="AQ223" s="13">
        <f t="shared" si="44"/>
        <v>0</v>
      </c>
      <c r="AR223" s="13">
        <f t="shared" si="44"/>
        <v>0</v>
      </c>
      <c r="AS223" s="13">
        <f t="shared" si="44"/>
        <v>0</v>
      </c>
      <c r="AT223" s="13">
        <f t="shared" si="44"/>
        <v>0</v>
      </c>
      <c r="AU223" s="13">
        <f t="shared" si="44"/>
        <v>0</v>
      </c>
      <c r="AV223" s="13">
        <f t="shared" si="44"/>
        <v>130</v>
      </c>
      <c r="AW223" s="5"/>
      <c r="AX223" s="5"/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5"/>
      <c r="AX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0.0</v>
      </c>
      <c r="F225" s="73">
        <v>0.0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1.0</v>
      </c>
      <c r="N225" s="73">
        <v>0.0</v>
      </c>
      <c r="O225" s="73">
        <v>0.0</v>
      </c>
      <c r="P225" s="73">
        <v>0.0</v>
      </c>
      <c r="Q225" s="73">
        <v>0.0</v>
      </c>
      <c r="R225" s="73">
        <v>0.0</v>
      </c>
      <c r="S225" s="73">
        <v>0.0</v>
      </c>
      <c r="T225" s="73">
        <v>0.0</v>
      </c>
      <c r="U225" s="73">
        <v>0.0</v>
      </c>
      <c r="V225" s="73">
        <v>0.0</v>
      </c>
      <c r="W225" s="73">
        <v>0.0</v>
      </c>
      <c r="X225" s="73">
        <v>0.0</v>
      </c>
      <c r="Y225" s="73">
        <v>0.0</v>
      </c>
      <c r="Z225" s="73">
        <v>0.0</v>
      </c>
      <c r="AA225" s="73">
        <v>0.0</v>
      </c>
      <c r="AB225" s="73">
        <v>0.0</v>
      </c>
      <c r="AC225" s="73">
        <v>0.0</v>
      </c>
      <c r="AD225" s="73">
        <v>0.0</v>
      </c>
      <c r="AE225" s="73">
        <v>0.0</v>
      </c>
      <c r="AF225" s="73">
        <v>0.0</v>
      </c>
      <c r="AG225" s="73">
        <v>0.0</v>
      </c>
      <c r="AH225" s="73">
        <v>0.0</v>
      </c>
      <c r="AI225" s="73">
        <v>0.0</v>
      </c>
      <c r="AJ225" s="73">
        <v>0.0</v>
      </c>
      <c r="AK225" s="73">
        <v>0.0</v>
      </c>
      <c r="AL225" s="73">
        <v>0.0</v>
      </c>
      <c r="AM225" s="73">
        <v>0.0</v>
      </c>
      <c r="AN225" s="73">
        <v>0.0</v>
      </c>
      <c r="AO225" s="73">
        <v>0.0</v>
      </c>
      <c r="AP225" s="73">
        <v>0.0</v>
      </c>
      <c r="AQ225" s="73">
        <v>0.0</v>
      </c>
      <c r="AR225" s="73">
        <v>0.0</v>
      </c>
      <c r="AS225" s="73">
        <v>0.0</v>
      </c>
      <c r="AT225" s="73">
        <v>0.0</v>
      </c>
      <c r="AU225" s="73">
        <v>0.0</v>
      </c>
      <c r="AV225" s="13">
        <f t="shared" ref="AV225:AV234" si="45">SUM(E225:AU225)</f>
        <v>1</v>
      </c>
      <c r="AW225" s="5"/>
      <c r="AX225" s="5"/>
    </row>
    <row r="226" ht="12.75" customHeight="1">
      <c r="A226" s="30" t="s">
        <v>39</v>
      </c>
      <c r="B226" s="49"/>
      <c r="C226" s="50" t="s">
        <v>170</v>
      </c>
      <c r="D226" s="51"/>
      <c r="E226" s="73">
        <v>0.0</v>
      </c>
      <c r="F226" s="73">
        <v>0.0</v>
      </c>
      <c r="G226" s="73">
        <v>1.0</v>
      </c>
      <c r="H226" s="73">
        <v>0.0</v>
      </c>
      <c r="I226" s="73">
        <v>3.0</v>
      </c>
      <c r="J226" s="73">
        <v>6.0</v>
      </c>
      <c r="K226" s="73">
        <v>0.0</v>
      </c>
      <c r="L226" s="73">
        <v>2.0</v>
      </c>
      <c r="M226" s="73">
        <v>0.0</v>
      </c>
      <c r="N226" s="73">
        <v>0.0</v>
      </c>
      <c r="O226" s="73">
        <v>0.0</v>
      </c>
      <c r="P226" s="73">
        <v>1.0</v>
      </c>
      <c r="Q226" s="73">
        <v>0.0</v>
      </c>
      <c r="R226" s="73">
        <v>0.0</v>
      </c>
      <c r="S226" s="73">
        <v>0.0</v>
      </c>
      <c r="T226" s="73">
        <v>0.0</v>
      </c>
      <c r="U226" s="73">
        <v>0.0</v>
      </c>
      <c r="V226" s="73">
        <v>0.0</v>
      </c>
      <c r="W226" s="73">
        <v>0.0</v>
      </c>
      <c r="X226" s="73">
        <v>0.0</v>
      </c>
      <c r="Y226" s="73">
        <v>0.0</v>
      </c>
      <c r="Z226" s="73">
        <v>1.0</v>
      </c>
      <c r="AA226" s="73">
        <v>0.0</v>
      </c>
      <c r="AB226" s="73">
        <v>0.0</v>
      </c>
      <c r="AC226" s="73">
        <v>0.0</v>
      </c>
      <c r="AD226" s="73">
        <v>0.0</v>
      </c>
      <c r="AE226" s="73">
        <v>0.0</v>
      </c>
      <c r="AF226" s="73">
        <v>0.0</v>
      </c>
      <c r="AG226" s="73">
        <v>1.0</v>
      </c>
      <c r="AH226" s="73">
        <v>0.0</v>
      </c>
      <c r="AI226" s="73">
        <v>0.0</v>
      </c>
      <c r="AJ226" s="73">
        <v>0.0</v>
      </c>
      <c r="AK226" s="73">
        <v>1.0</v>
      </c>
      <c r="AL226" s="73">
        <v>0.0</v>
      </c>
      <c r="AM226" s="73">
        <v>0.0</v>
      </c>
      <c r="AN226" s="73">
        <v>0.0</v>
      </c>
      <c r="AO226" s="73">
        <v>0.0</v>
      </c>
      <c r="AP226" s="73">
        <v>0.0</v>
      </c>
      <c r="AQ226" s="73">
        <v>0.0</v>
      </c>
      <c r="AR226" s="73">
        <v>0.0</v>
      </c>
      <c r="AS226" s="73">
        <v>0.0</v>
      </c>
      <c r="AT226" s="73">
        <v>0.0</v>
      </c>
      <c r="AU226" s="73">
        <v>0.0</v>
      </c>
      <c r="AV226" s="13">
        <f t="shared" si="45"/>
        <v>16</v>
      </c>
      <c r="AW226" s="5"/>
      <c r="AX226" s="5"/>
    </row>
    <row r="227" ht="12.75" customHeight="1">
      <c r="A227" s="18"/>
      <c r="B227" s="49"/>
      <c r="C227" s="50" t="s">
        <v>171</v>
      </c>
      <c r="D227" s="51"/>
      <c r="E227" s="73">
        <v>0.0</v>
      </c>
      <c r="F227" s="73">
        <v>0.0</v>
      </c>
      <c r="G227" s="73">
        <v>1.0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1.0</v>
      </c>
      <c r="U227" s="73">
        <v>0.0</v>
      </c>
      <c r="V227" s="73">
        <v>0.0</v>
      </c>
      <c r="W227" s="73">
        <v>0.0</v>
      </c>
      <c r="X227" s="73">
        <v>0.0</v>
      </c>
      <c r="Y227" s="73">
        <v>0.0</v>
      </c>
      <c r="Z227" s="73">
        <v>0.0</v>
      </c>
      <c r="AA227" s="73">
        <v>0.0</v>
      </c>
      <c r="AB227" s="73">
        <v>0.0</v>
      </c>
      <c r="AC227" s="73">
        <v>0.0</v>
      </c>
      <c r="AD227" s="73">
        <v>0.0</v>
      </c>
      <c r="AE227" s="73">
        <v>0.0</v>
      </c>
      <c r="AF227" s="73">
        <v>1.0</v>
      </c>
      <c r="AG227" s="73">
        <v>0.0</v>
      </c>
      <c r="AH227" s="73">
        <v>0.0</v>
      </c>
      <c r="AI227" s="73">
        <v>0.0</v>
      </c>
      <c r="AJ227" s="73">
        <v>0.0</v>
      </c>
      <c r="AK227" s="73">
        <v>1.0</v>
      </c>
      <c r="AL227" s="73">
        <v>0.0</v>
      </c>
      <c r="AM227" s="73">
        <v>0.0</v>
      </c>
      <c r="AN227" s="73">
        <v>0.0</v>
      </c>
      <c r="AO227" s="73">
        <v>0.0</v>
      </c>
      <c r="AP227" s="73">
        <v>0.0</v>
      </c>
      <c r="AQ227" s="73">
        <v>0.0</v>
      </c>
      <c r="AR227" s="73">
        <v>0.0</v>
      </c>
      <c r="AS227" s="73">
        <v>0.0</v>
      </c>
      <c r="AT227" s="73">
        <v>0.0</v>
      </c>
      <c r="AU227" s="73">
        <v>0.0</v>
      </c>
      <c r="AV227" s="13">
        <f t="shared" si="45"/>
        <v>4</v>
      </c>
      <c r="AW227" s="5"/>
      <c r="AX227" s="5"/>
    </row>
    <row r="228" ht="12.75" customHeight="1">
      <c r="A228" s="18"/>
      <c r="B228" s="49"/>
      <c r="C228" s="50" t="s">
        <v>172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1.0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73">
        <v>0.0</v>
      </c>
      <c r="AB228" s="73">
        <v>1.0</v>
      </c>
      <c r="AC228" s="73">
        <v>0.0</v>
      </c>
      <c r="AD228" s="73">
        <v>0.0</v>
      </c>
      <c r="AE228" s="73">
        <v>0.0</v>
      </c>
      <c r="AF228" s="73">
        <v>0.0</v>
      </c>
      <c r="AG228" s="73">
        <v>0.0</v>
      </c>
      <c r="AH228" s="73">
        <v>0.0</v>
      </c>
      <c r="AI228" s="73">
        <v>0.0</v>
      </c>
      <c r="AJ228" s="73">
        <v>0.0</v>
      </c>
      <c r="AK228" s="73">
        <v>0.0</v>
      </c>
      <c r="AL228" s="73">
        <v>0.0</v>
      </c>
      <c r="AM228" s="73">
        <v>0.0</v>
      </c>
      <c r="AN228" s="73">
        <v>0.0</v>
      </c>
      <c r="AO228" s="73">
        <v>0.0</v>
      </c>
      <c r="AP228" s="73">
        <v>0.0</v>
      </c>
      <c r="AQ228" s="73">
        <v>0.0</v>
      </c>
      <c r="AR228" s="73">
        <v>0.0</v>
      </c>
      <c r="AS228" s="73">
        <v>0.0</v>
      </c>
      <c r="AT228" s="73">
        <v>0.0</v>
      </c>
      <c r="AU228" s="73">
        <v>0.0</v>
      </c>
      <c r="AV228" s="13">
        <f t="shared" si="45"/>
        <v>2</v>
      </c>
      <c r="AW228" s="5"/>
      <c r="AX228" s="5"/>
    </row>
    <row r="229" ht="12.75" customHeight="1">
      <c r="A229" s="18"/>
      <c r="B229" s="49"/>
      <c r="C229" s="50" t="s">
        <v>173</v>
      </c>
      <c r="D229" s="51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1.0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73">
        <v>0.0</v>
      </c>
      <c r="W229" s="73">
        <v>0.0</v>
      </c>
      <c r="X229" s="73">
        <v>0.0</v>
      </c>
      <c r="Y229" s="73">
        <v>0.0</v>
      </c>
      <c r="Z229" s="73">
        <v>0.0</v>
      </c>
      <c r="AA229" s="73">
        <v>0.0</v>
      </c>
      <c r="AB229" s="73">
        <v>0.0</v>
      </c>
      <c r="AC229" s="73">
        <v>0.0</v>
      </c>
      <c r="AD229" s="73">
        <v>0.0</v>
      </c>
      <c r="AE229" s="73">
        <v>0.0</v>
      </c>
      <c r="AF229" s="73">
        <v>0.0</v>
      </c>
      <c r="AG229" s="73">
        <v>0.0</v>
      </c>
      <c r="AH229" s="73">
        <v>0.0</v>
      </c>
      <c r="AI229" s="73">
        <v>0.0</v>
      </c>
      <c r="AJ229" s="73">
        <v>0.0</v>
      </c>
      <c r="AK229" s="73">
        <v>0.0</v>
      </c>
      <c r="AL229" s="73">
        <v>0.0</v>
      </c>
      <c r="AM229" s="73">
        <v>0.0</v>
      </c>
      <c r="AN229" s="73">
        <v>0.0</v>
      </c>
      <c r="AO229" s="73">
        <v>0.0</v>
      </c>
      <c r="AP229" s="73">
        <v>0.0</v>
      </c>
      <c r="AQ229" s="73">
        <v>0.0</v>
      </c>
      <c r="AR229" s="73">
        <v>0.0</v>
      </c>
      <c r="AS229" s="73">
        <v>0.0</v>
      </c>
      <c r="AT229" s="73">
        <v>0.0</v>
      </c>
      <c r="AU229" s="73">
        <v>0.0</v>
      </c>
      <c r="AV229" s="13">
        <f t="shared" si="45"/>
        <v>1</v>
      </c>
      <c r="AW229" s="1"/>
      <c r="AX229" s="1"/>
    </row>
    <row r="230" ht="12.75" customHeight="1">
      <c r="A230" s="18"/>
      <c r="B230" s="57"/>
      <c r="C230" s="58"/>
      <c r="D230" s="5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3">
        <f t="shared" si="45"/>
        <v>0</v>
      </c>
      <c r="AW230" s="53"/>
      <c r="AX230" s="53"/>
    </row>
    <row r="231" ht="12.75" customHeight="1">
      <c r="A231" s="18"/>
      <c r="B231" s="57"/>
      <c r="C231" s="58"/>
      <c r="D231" s="5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3">
        <f t="shared" si="45"/>
        <v>0</v>
      </c>
      <c r="AW231" s="5"/>
      <c r="AX231" s="5"/>
    </row>
    <row r="232" ht="12.75" customHeight="1">
      <c r="A232" s="18"/>
      <c r="B232" s="57"/>
      <c r="C232" s="58"/>
      <c r="D232" s="5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3">
        <f t="shared" si="45"/>
        <v>0</v>
      </c>
      <c r="AW232" s="5"/>
      <c r="AX232" s="5"/>
    </row>
    <row r="233" ht="12.75" customHeight="1">
      <c r="A233" s="18"/>
      <c r="B233" s="57"/>
      <c r="C233" s="58"/>
      <c r="D233" s="5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3">
        <f t="shared" si="45"/>
        <v>0</v>
      </c>
      <c r="AW233" s="5"/>
      <c r="AX233" s="5"/>
    </row>
    <row r="234" ht="12.75" customHeight="1">
      <c r="A234" s="18"/>
      <c r="B234" s="57"/>
      <c r="C234" s="58"/>
      <c r="D234" s="5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3">
        <f t="shared" si="45"/>
        <v>0</v>
      </c>
      <c r="AW234" s="5"/>
      <c r="AX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V235" si="46">SUM(E225:E234)</f>
        <v>0</v>
      </c>
      <c r="F235" s="13">
        <f t="shared" si="46"/>
        <v>0</v>
      </c>
      <c r="G235" s="13">
        <f t="shared" si="46"/>
        <v>2</v>
      </c>
      <c r="H235" s="13">
        <f t="shared" si="46"/>
        <v>0</v>
      </c>
      <c r="I235" s="13">
        <f t="shared" si="46"/>
        <v>3</v>
      </c>
      <c r="J235" s="13">
        <f t="shared" si="46"/>
        <v>8</v>
      </c>
      <c r="K235" s="13">
        <f t="shared" si="46"/>
        <v>0</v>
      </c>
      <c r="L235" s="13">
        <f t="shared" si="46"/>
        <v>2</v>
      </c>
      <c r="M235" s="13">
        <f t="shared" si="46"/>
        <v>1</v>
      </c>
      <c r="N235" s="13">
        <f t="shared" si="46"/>
        <v>0</v>
      </c>
      <c r="O235" s="13">
        <f t="shared" si="46"/>
        <v>0</v>
      </c>
      <c r="P235" s="13">
        <f t="shared" si="46"/>
        <v>1</v>
      </c>
      <c r="Q235" s="13">
        <f t="shared" si="46"/>
        <v>0</v>
      </c>
      <c r="R235" s="13">
        <f t="shared" si="46"/>
        <v>0</v>
      </c>
      <c r="S235" s="13">
        <f t="shared" si="46"/>
        <v>0</v>
      </c>
      <c r="T235" s="13">
        <f t="shared" si="46"/>
        <v>1</v>
      </c>
      <c r="U235" s="13">
        <f t="shared" si="46"/>
        <v>0</v>
      </c>
      <c r="V235" s="13">
        <f t="shared" si="46"/>
        <v>0</v>
      </c>
      <c r="W235" s="13">
        <f t="shared" si="46"/>
        <v>0</v>
      </c>
      <c r="X235" s="13">
        <f t="shared" si="46"/>
        <v>0</v>
      </c>
      <c r="Y235" s="13">
        <f t="shared" si="46"/>
        <v>0</v>
      </c>
      <c r="Z235" s="13">
        <f t="shared" si="46"/>
        <v>1</v>
      </c>
      <c r="AA235" s="13">
        <f t="shared" si="46"/>
        <v>0</v>
      </c>
      <c r="AB235" s="13">
        <f t="shared" si="46"/>
        <v>1</v>
      </c>
      <c r="AC235" s="13">
        <f t="shared" si="46"/>
        <v>0</v>
      </c>
      <c r="AD235" s="13">
        <f t="shared" si="46"/>
        <v>0</v>
      </c>
      <c r="AE235" s="13">
        <f t="shared" si="46"/>
        <v>0</v>
      </c>
      <c r="AF235" s="13">
        <f t="shared" si="46"/>
        <v>1</v>
      </c>
      <c r="AG235" s="13">
        <f t="shared" si="46"/>
        <v>1</v>
      </c>
      <c r="AH235" s="13">
        <f t="shared" si="46"/>
        <v>0</v>
      </c>
      <c r="AI235" s="13">
        <f t="shared" si="46"/>
        <v>0</v>
      </c>
      <c r="AJ235" s="13">
        <f t="shared" si="46"/>
        <v>0</v>
      </c>
      <c r="AK235" s="13">
        <f t="shared" si="46"/>
        <v>2</v>
      </c>
      <c r="AL235" s="13">
        <f t="shared" si="46"/>
        <v>0</v>
      </c>
      <c r="AM235" s="13">
        <f t="shared" si="46"/>
        <v>0</v>
      </c>
      <c r="AN235" s="13">
        <f t="shared" si="46"/>
        <v>0</v>
      </c>
      <c r="AO235" s="13">
        <f t="shared" si="46"/>
        <v>0</v>
      </c>
      <c r="AP235" s="13">
        <f t="shared" si="46"/>
        <v>0</v>
      </c>
      <c r="AQ235" s="13">
        <f t="shared" si="46"/>
        <v>0</v>
      </c>
      <c r="AR235" s="13">
        <f t="shared" si="46"/>
        <v>0</v>
      </c>
      <c r="AS235" s="13">
        <f t="shared" si="46"/>
        <v>0</v>
      </c>
      <c r="AT235" s="13">
        <f t="shared" si="46"/>
        <v>0</v>
      </c>
      <c r="AU235" s="13">
        <f t="shared" si="46"/>
        <v>0</v>
      </c>
      <c r="AV235" s="13">
        <f t="shared" si="46"/>
        <v>24</v>
      </c>
      <c r="AW235" s="5"/>
      <c r="AX235" s="5"/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5"/>
      <c r="AX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1.0</v>
      </c>
      <c r="F237" s="73">
        <v>1.0</v>
      </c>
      <c r="G237" s="73">
        <v>2.0</v>
      </c>
      <c r="H237" s="73">
        <v>2.0</v>
      </c>
      <c r="I237" s="73">
        <v>1.0</v>
      </c>
      <c r="J237" s="73">
        <v>0.0</v>
      </c>
      <c r="K237" s="73">
        <v>0.0</v>
      </c>
      <c r="L237" s="73">
        <v>1.0</v>
      </c>
      <c r="M237" s="73">
        <v>1.0</v>
      </c>
      <c r="N237" s="73">
        <v>0.0</v>
      </c>
      <c r="O237" s="73">
        <v>0.0</v>
      </c>
      <c r="P237" s="73">
        <v>1.0</v>
      </c>
      <c r="Q237" s="73">
        <v>0.0</v>
      </c>
      <c r="R237" s="73">
        <v>8.0</v>
      </c>
      <c r="S237" s="73">
        <v>1.0</v>
      </c>
      <c r="T237" s="73">
        <v>5.0</v>
      </c>
      <c r="U237" s="73">
        <v>1.0</v>
      </c>
      <c r="V237" s="73">
        <v>4.0</v>
      </c>
      <c r="W237" s="73">
        <v>1.0</v>
      </c>
      <c r="X237" s="73">
        <v>0.0</v>
      </c>
      <c r="Y237" s="73">
        <v>4.0</v>
      </c>
      <c r="Z237" s="73">
        <v>4.0</v>
      </c>
      <c r="AA237" s="73">
        <v>4.0</v>
      </c>
      <c r="AB237" s="73">
        <v>0.0</v>
      </c>
      <c r="AC237" s="73">
        <v>1.0</v>
      </c>
      <c r="AD237" s="73">
        <v>2.0</v>
      </c>
      <c r="AE237" s="73">
        <v>0.0</v>
      </c>
      <c r="AF237" s="73">
        <v>2.0</v>
      </c>
      <c r="AG237" s="73">
        <v>0.0</v>
      </c>
      <c r="AH237" s="73">
        <v>0.0</v>
      </c>
      <c r="AI237" s="73">
        <v>0.0</v>
      </c>
      <c r="AJ237" s="73">
        <v>0.0</v>
      </c>
      <c r="AK237" s="73">
        <v>0.0</v>
      </c>
      <c r="AL237" s="73">
        <v>1.0</v>
      </c>
      <c r="AM237" s="73">
        <v>2.0</v>
      </c>
      <c r="AN237" s="73">
        <v>0.0</v>
      </c>
      <c r="AO237" s="73">
        <v>0.0</v>
      </c>
      <c r="AP237" s="73">
        <v>0.0</v>
      </c>
      <c r="AQ237" s="73">
        <v>0.0</v>
      </c>
      <c r="AR237" s="73">
        <v>0.0</v>
      </c>
      <c r="AS237" s="73">
        <v>0.0</v>
      </c>
      <c r="AT237" s="73">
        <v>0.0</v>
      </c>
      <c r="AU237" s="73">
        <v>0.0</v>
      </c>
      <c r="AV237" s="13">
        <f t="shared" ref="AV237:AV246" si="47">SUM(E237:AU237)</f>
        <v>50</v>
      </c>
      <c r="AW237" s="5"/>
      <c r="AX237" s="5"/>
    </row>
    <row r="238" ht="12.75" customHeight="1">
      <c r="A238" s="30" t="s">
        <v>39</v>
      </c>
      <c r="B238" s="49"/>
      <c r="C238" s="50" t="s">
        <v>176</v>
      </c>
      <c r="D238" s="51"/>
      <c r="E238" s="73">
        <v>2.0</v>
      </c>
      <c r="F238" s="73">
        <v>1.0</v>
      </c>
      <c r="G238" s="73">
        <v>4.0</v>
      </c>
      <c r="H238" s="73">
        <v>3.0</v>
      </c>
      <c r="I238" s="73">
        <v>1.0</v>
      </c>
      <c r="J238" s="73">
        <v>0.0</v>
      </c>
      <c r="K238" s="73">
        <v>0.0</v>
      </c>
      <c r="L238" s="73">
        <v>0.0</v>
      </c>
      <c r="M238" s="73">
        <v>0.0</v>
      </c>
      <c r="N238" s="73">
        <v>2.0</v>
      </c>
      <c r="O238" s="73">
        <v>0.0</v>
      </c>
      <c r="P238" s="73">
        <v>1.0</v>
      </c>
      <c r="Q238" s="73">
        <v>1.0</v>
      </c>
      <c r="R238" s="73">
        <v>4.0</v>
      </c>
      <c r="S238" s="73">
        <v>0.0</v>
      </c>
      <c r="T238" s="73">
        <v>1.0</v>
      </c>
      <c r="U238" s="73">
        <v>1.0</v>
      </c>
      <c r="V238" s="73">
        <v>1.0</v>
      </c>
      <c r="W238" s="73">
        <v>0.0</v>
      </c>
      <c r="X238" s="73">
        <v>3.0</v>
      </c>
      <c r="Y238" s="73">
        <v>1.0</v>
      </c>
      <c r="Z238" s="73">
        <v>4.0</v>
      </c>
      <c r="AA238" s="73">
        <v>1.0</v>
      </c>
      <c r="AB238" s="73">
        <v>0.0</v>
      </c>
      <c r="AC238" s="73">
        <v>2.0</v>
      </c>
      <c r="AD238" s="73">
        <v>0.0</v>
      </c>
      <c r="AE238" s="73">
        <v>0.0</v>
      </c>
      <c r="AF238" s="73">
        <v>1.0</v>
      </c>
      <c r="AG238" s="73">
        <v>0.0</v>
      </c>
      <c r="AH238" s="73">
        <v>0.0</v>
      </c>
      <c r="AI238" s="73">
        <v>0.0</v>
      </c>
      <c r="AJ238" s="73">
        <v>0.0</v>
      </c>
      <c r="AK238" s="73">
        <v>0.0</v>
      </c>
      <c r="AL238" s="73">
        <v>2.0</v>
      </c>
      <c r="AM238" s="73">
        <v>2.0</v>
      </c>
      <c r="AN238" s="73">
        <v>0.0</v>
      </c>
      <c r="AO238" s="73">
        <v>0.0</v>
      </c>
      <c r="AP238" s="73">
        <v>0.0</v>
      </c>
      <c r="AQ238" s="73">
        <v>0.0</v>
      </c>
      <c r="AR238" s="73">
        <v>0.0</v>
      </c>
      <c r="AS238" s="73">
        <v>0.0</v>
      </c>
      <c r="AT238" s="73">
        <v>0.0</v>
      </c>
      <c r="AU238" s="73">
        <v>0.0</v>
      </c>
      <c r="AV238" s="13">
        <f t="shared" si="47"/>
        <v>38</v>
      </c>
      <c r="AW238" s="5"/>
      <c r="AX238" s="5"/>
    </row>
    <row r="239" ht="12.75" customHeight="1">
      <c r="A239" s="18"/>
      <c r="B239" s="49"/>
      <c r="C239" s="50" t="s">
        <v>177</v>
      </c>
      <c r="D239" s="51"/>
      <c r="E239" s="73">
        <v>1.0</v>
      </c>
      <c r="F239" s="73">
        <v>0.0</v>
      </c>
      <c r="G239" s="73">
        <v>0.0</v>
      </c>
      <c r="H239" s="73">
        <v>0.0</v>
      </c>
      <c r="I239" s="73">
        <v>0.0</v>
      </c>
      <c r="J239" s="73">
        <v>0.0</v>
      </c>
      <c r="K239" s="73">
        <v>0.0</v>
      </c>
      <c r="L239" s="73">
        <v>0.0</v>
      </c>
      <c r="M239" s="73">
        <v>0.0</v>
      </c>
      <c r="N239" s="73">
        <v>0.0</v>
      </c>
      <c r="O239" s="73">
        <v>0.0</v>
      </c>
      <c r="P239" s="73">
        <v>0.0</v>
      </c>
      <c r="Q239" s="73">
        <v>0.0</v>
      </c>
      <c r="R239" s="73">
        <v>5.0</v>
      </c>
      <c r="S239" s="73">
        <v>0.0</v>
      </c>
      <c r="T239" s="73">
        <v>3.0</v>
      </c>
      <c r="U239" s="73">
        <v>0.0</v>
      </c>
      <c r="V239" s="73">
        <v>1.0</v>
      </c>
      <c r="W239" s="73">
        <v>2.0</v>
      </c>
      <c r="X239" s="73">
        <v>2.0</v>
      </c>
      <c r="Y239" s="73">
        <v>1.0</v>
      </c>
      <c r="Z239" s="73">
        <v>0.0</v>
      </c>
      <c r="AA239" s="73">
        <v>1.0</v>
      </c>
      <c r="AB239" s="73">
        <v>1.0</v>
      </c>
      <c r="AC239" s="73">
        <v>0.0</v>
      </c>
      <c r="AD239" s="73">
        <v>0.0</v>
      </c>
      <c r="AE239" s="73">
        <v>0.0</v>
      </c>
      <c r="AF239" s="73">
        <v>0.0</v>
      </c>
      <c r="AG239" s="73">
        <v>0.0</v>
      </c>
      <c r="AH239" s="73">
        <v>0.0</v>
      </c>
      <c r="AI239" s="73">
        <v>0.0</v>
      </c>
      <c r="AJ239" s="73">
        <v>0.0</v>
      </c>
      <c r="AK239" s="73">
        <v>0.0</v>
      </c>
      <c r="AL239" s="73">
        <v>0.0</v>
      </c>
      <c r="AM239" s="73">
        <v>3.0</v>
      </c>
      <c r="AN239" s="73">
        <v>0.0</v>
      </c>
      <c r="AO239" s="73">
        <v>0.0</v>
      </c>
      <c r="AP239" s="73">
        <v>0.0</v>
      </c>
      <c r="AQ239" s="73">
        <v>0.0</v>
      </c>
      <c r="AR239" s="73">
        <v>0.0</v>
      </c>
      <c r="AS239" s="73">
        <v>0.0</v>
      </c>
      <c r="AT239" s="73">
        <v>0.0</v>
      </c>
      <c r="AU239" s="73">
        <v>0.0</v>
      </c>
      <c r="AV239" s="13">
        <f t="shared" si="47"/>
        <v>20</v>
      </c>
      <c r="AW239" s="5"/>
      <c r="AX239" s="5"/>
    </row>
    <row r="240" ht="12.75" customHeight="1">
      <c r="A240" s="18"/>
      <c r="B240" s="49"/>
      <c r="C240" s="50" t="s">
        <v>178</v>
      </c>
      <c r="D240" s="51"/>
      <c r="E240" s="73">
        <v>0.0</v>
      </c>
      <c r="F240" s="73">
        <v>0.0</v>
      </c>
      <c r="G240" s="73">
        <v>1.0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73">
        <v>0.0</v>
      </c>
      <c r="N240" s="73">
        <v>0.0</v>
      </c>
      <c r="O240" s="73">
        <v>0.0</v>
      </c>
      <c r="P240" s="73">
        <v>0.0</v>
      </c>
      <c r="Q240" s="73">
        <v>0.0</v>
      </c>
      <c r="R240" s="73">
        <v>1.0</v>
      </c>
      <c r="S240" s="73">
        <v>0.0</v>
      </c>
      <c r="T240" s="73">
        <v>0.0</v>
      </c>
      <c r="U240" s="73">
        <v>0.0</v>
      </c>
      <c r="V240" s="73">
        <v>0.0</v>
      </c>
      <c r="W240" s="73">
        <v>0.0</v>
      </c>
      <c r="X240" s="73">
        <v>0.0</v>
      </c>
      <c r="Y240" s="73">
        <v>1.0</v>
      </c>
      <c r="Z240" s="73">
        <v>0.0</v>
      </c>
      <c r="AA240" s="73">
        <v>1.0</v>
      </c>
      <c r="AB240" s="73">
        <v>0.0</v>
      </c>
      <c r="AC240" s="73">
        <v>0.0</v>
      </c>
      <c r="AD240" s="73">
        <v>0.0</v>
      </c>
      <c r="AE240" s="73">
        <v>0.0</v>
      </c>
      <c r="AF240" s="73">
        <v>0.0</v>
      </c>
      <c r="AG240" s="73">
        <v>0.0</v>
      </c>
      <c r="AH240" s="73">
        <v>0.0</v>
      </c>
      <c r="AI240" s="73">
        <v>0.0</v>
      </c>
      <c r="AJ240" s="73">
        <v>0.0</v>
      </c>
      <c r="AK240" s="73">
        <v>1.0</v>
      </c>
      <c r="AL240" s="73">
        <v>0.0</v>
      </c>
      <c r="AM240" s="73">
        <v>0.0</v>
      </c>
      <c r="AN240" s="73">
        <v>0.0</v>
      </c>
      <c r="AO240" s="73">
        <v>0.0</v>
      </c>
      <c r="AP240" s="73">
        <v>0.0</v>
      </c>
      <c r="AQ240" s="73">
        <v>0.0</v>
      </c>
      <c r="AR240" s="73">
        <v>0.0</v>
      </c>
      <c r="AS240" s="73">
        <v>0.0</v>
      </c>
      <c r="AT240" s="73">
        <v>0.0</v>
      </c>
      <c r="AU240" s="73">
        <v>0.0</v>
      </c>
      <c r="AV240" s="13">
        <f t="shared" si="47"/>
        <v>5</v>
      </c>
      <c r="AW240" s="1"/>
      <c r="AX240" s="1"/>
    </row>
    <row r="241" ht="12.75" customHeight="1">
      <c r="A241" s="18"/>
      <c r="B241" s="49"/>
      <c r="C241" s="50" t="s">
        <v>179</v>
      </c>
      <c r="D241" s="51"/>
      <c r="E241" s="73">
        <v>1.0</v>
      </c>
      <c r="F241" s="73">
        <v>0.0</v>
      </c>
      <c r="G241" s="73">
        <v>1.0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1.0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1.0</v>
      </c>
      <c r="T241" s="73">
        <v>2.0</v>
      </c>
      <c r="U241" s="73">
        <v>0.0</v>
      </c>
      <c r="V241" s="73">
        <v>0.0</v>
      </c>
      <c r="W241" s="73">
        <v>0.0</v>
      </c>
      <c r="X241" s="73">
        <v>0.0</v>
      </c>
      <c r="Y241" s="73">
        <v>0.0</v>
      </c>
      <c r="Z241" s="73">
        <v>0.0</v>
      </c>
      <c r="AA241" s="73">
        <v>1.0</v>
      </c>
      <c r="AB241" s="73">
        <v>0.0</v>
      </c>
      <c r="AC241" s="73">
        <v>0.0</v>
      </c>
      <c r="AD241" s="73">
        <v>0.0</v>
      </c>
      <c r="AE241" s="73">
        <v>0.0</v>
      </c>
      <c r="AF241" s="73">
        <v>0.0</v>
      </c>
      <c r="AG241" s="73">
        <v>0.0</v>
      </c>
      <c r="AH241" s="73">
        <v>0.0</v>
      </c>
      <c r="AI241" s="73">
        <v>0.0</v>
      </c>
      <c r="AJ241" s="73">
        <v>0.0</v>
      </c>
      <c r="AK241" s="73">
        <v>0.0</v>
      </c>
      <c r="AL241" s="73">
        <v>0.0</v>
      </c>
      <c r="AM241" s="73">
        <v>0.0</v>
      </c>
      <c r="AN241" s="73">
        <v>0.0</v>
      </c>
      <c r="AO241" s="73">
        <v>0.0</v>
      </c>
      <c r="AP241" s="73">
        <v>0.0</v>
      </c>
      <c r="AQ241" s="73">
        <v>0.0</v>
      </c>
      <c r="AR241" s="73">
        <v>0.0</v>
      </c>
      <c r="AS241" s="73">
        <v>0.0</v>
      </c>
      <c r="AT241" s="73">
        <v>0.0</v>
      </c>
      <c r="AU241" s="73">
        <v>0.0</v>
      </c>
      <c r="AV241" s="13">
        <f t="shared" si="47"/>
        <v>7</v>
      </c>
    </row>
    <row r="242" ht="12.75" customHeight="1">
      <c r="A242" s="18"/>
      <c r="B242" s="49"/>
      <c r="C242" s="50" t="s">
        <v>180</v>
      </c>
      <c r="D242" s="51"/>
      <c r="E242" s="73">
        <v>0.0</v>
      </c>
      <c r="F242" s="73">
        <v>0.0</v>
      </c>
      <c r="G242" s="73">
        <v>0.0</v>
      </c>
      <c r="H242" s="73">
        <v>2.0</v>
      </c>
      <c r="I242" s="73">
        <v>1.0</v>
      </c>
      <c r="J242" s="73">
        <v>0.0</v>
      </c>
      <c r="K242" s="73">
        <v>0.0</v>
      </c>
      <c r="L242" s="73">
        <v>1.0</v>
      </c>
      <c r="M242" s="73">
        <v>0.0</v>
      </c>
      <c r="N242" s="73">
        <v>1.0</v>
      </c>
      <c r="O242" s="73">
        <v>0.0</v>
      </c>
      <c r="P242" s="73">
        <v>0.0</v>
      </c>
      <c r="Q242" s="73">
        <v>0.0</v>
      </c>
      <c r="R242" s="73">
        <v>1.0</v>
      </c>
      <c r="S242" s="73">
        <v>1.0</v>
      </c>
      <c r="T242" s="73">
        <v>2.0</v>
      </c>
      <c r="U242" s="73">
        <v>1.0</v>
      </c>
      <c r="V242" s="73">
        <v>1.0</v>
      </c>
      <c r="W242" s="73">
        <v>0.0</v>
      </c>
      <c r="X242" s="73">
        <v>0.0</v>
      </c>
      <c r="Y242" s="73">
        <v>0.0</v>
      </c>
      <c r="Z242" s="73">
        <v>1.0</v>
      </c>
      <c r="AA242" s="73">
        <v>1.0</v>
      </c>
      <c r="AB242" s="73">
        <v>0.0</v>
      </c>
      <c r="AC242" s="73">
        <v>1.0</v>
      </c>
      <c r="AD242" s="73">
        <v>0.0</v>
      </c>
      <c r="AE242" s="73">
        <v>0.0</v>
      </c>
      <c r="AF242" s="73">
        <v>0.0</v>
      </c>
      <c r="AG242" s="73">
        <v>0.0</v>
      </c>
      <c r="AH242" s="73">
        <v>0.0</v>
      </c>
      <c r="AI242" s="73">
        <v>0.0</v>
      </c>
      <c r="AJ242" s="73">
        <v>0.0</v>
      </c>
      <c r="AK242" s="73">
        <v>0.0</v>
      </c>
      <c r="AL242" s="73">
        <v>0.0</v>
      </c>
      <c r="AM242" s="73">
        <v>0.0</v>
      </c>
      <c r="AN242" s="73">
        <v>0.0</v>
      </c>
      <c r="AO242" s="73">
        <v>0.0</v>
      </c>
      <c r="AP242" s="73">
        <v>0.0</v>
      </c>
      <c r="AQ242" s="73">
        <v>0.0</v>
      </c>
      <c r="AR242" s="73">
        <v>0.0</v>
      </c>
      <c r="AS242" s="73">
        <v>0.0</v>
      </c>
      <c r="AT242" s="73">
        <v>0.0</v>
      </c>
      <c r="AU242" s="73">
        <v>0.0</v>
      </c>
      <c r="AV242" s="13">
        <f t="shared" si="47"/>
        <v>14</v>
      </c>
    </row>
    <row r="243" ht="12.75" customHeight="1">
      <c r="A243" s="18"/>
      <c r="B243" s="49"/>
      <c r="C243" s="50" t="s">
        <v>181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0.0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1.0</v>
      </c>
      <c r="Y243" s="73">
        <v>1.0</v>
      </c>
      <c r="Z243" s="73">
        <v>0.0</v>
      </c>
      <c r="AA243" s="73">
        <v>1.0</v>
      </c>
      <c r="AB243" s="73">
        <v>0.0</v>
      </c>
      <c r="AC243" s="73">
        <v>0.0</v>
      </c>
      <c r="AD243" s="73">
        <v>1.0</v>
      </c>
      <c r="AE243" s="73">
        <v>0.0</v>
      </c>
      <c r="AF243" s="73">
        <v>0.0</v>
      </c>
      <c r="AG243" s="73">
        <v>0.0</v>
      </c>
      <c r="AH243" s="73">
        <v>0.0</v>
      </c>
      <c r="AI243" s="73">
        <v>0.0</v>
      </c>
      <c r="AJ243" s="73">
        <v>0.0</v>
      </c>
      <c r="AK243" s="73">
        <v>0.0</v>
      </c>
      <c r="AL243" s="73">
        <v>0.0</v>
      </c>
      <c r="AM243" s="73">
        <v>0.0</v>
      </c>
      <c r="AN243" s="73">
        <v>0.0</v>
      </c>
      <c r="AO243" s="73">
        <v>0.0</v>
      </c>
      <c r="AP243" s="73">
        <v>0.0</v>
      </c>
      <c r="AQ243" s="73">
        <v>0.0</v>
      </c>
      <c r="AR243" s="73">
        <v>0.0</v>
      </c>
      <c r="AS243" s="73">
        <v>0.0</v>
      </c>
      <c r="AT243" s="73">
        <v>0.0</v>
      </c>
      <c r="AU243" s="73">
        <v>0.0</v>
      </c>
      <c r="AV243" s="13">
        <f t="shared" si="47"/>
        <v>4</v>
      </c>
    </row>
    <row r="244" ht="12.75" customHeight="1">
      <c r="A244" s="18"/>
      <c r="B244" s="49"/>
      <c r="C244" s="50" t="s">
        <v>182</v>
      </c>
      <c r="D244" s="51"/>
      <c r="E244" s="73">
        <v>0.0</v>
      </c>
      <c r="F244" s="73">
        <v>0.0</v>
      </c>
      <c r="G244" s="73">
        <v>0.0</v>
      </c>
      <c r="H244" s="73">
        <v>0.0</v>
      </c>
      <c r="I244" s="73">
        <v>0.0</v>
      </c>
      <c r="J244" s="73">
        <v>0.0</v>
      </c>
      <c r="K244" s="73">
        <v>0.0</v>
      </c>
      <c r="L244" s="73">
        <v>0.0</v>
      </c>
      <c r="M244" s="73">
        <v>0.0</v>
      </c>
      <c r="N244" s="73">
        <v>0.0</v>
      </c>
      <c r="O244" s="73">
        <v>0.0</v>
      </c>
      <c r="P244" s="73">
        <v>0.0</v>
      </c>
      <c r="Q244" s="73">
        <v>0.0</v>
      </c>
      <c r="R244" s="73">
        <v>0.0</v>
      </c>
      <c r="S244" s="73">
        <v>0.0</v>
      </c>
      <c r="T244" s="73">
        <v>0.0</v>
      </c>
      <c r="U244" s="73">
        <v>0.0</v>
      </c>
      <c r="V244" s="73">
        <v>0.0</v>
      </c>
      <c r="W244" s="73">
        <v>0.0</v>
      </c>
      <c r="X244" s="73">
        <v>0.0</v>
      </c>
      <c r="Y244" s="73">
        <v>0.0</v>
      </c>
      <c r="Z244" s="73">
        <v>0.0</v>
      </c>
      <c r="AA244" s="73">
        <v>0.0</v>
      </c>
      <c r="AB244" s="73">
        <v>0.0</v>
      </c>
      <c r="AC244" s="73">
        <v>0.0</v>
      </c>
      <c r="AD244" s="73">
        <v>0.0</v>
      </c>
      <c r="AE244" s="73">
        <v>0.0</v>
      </c>
      <c r="AF244" s="73">
        <v>0.0</v>
      </c>
      <c r="AG244" s="73">
        <v>0.0</v>
      </c>
      <c r="AH244" s="73">
        <v>0.0</v>
      </c>
      <c r="AI244" s="73">
        <v>0.0</v>
      </c>
      <c r="AJ244" s="73">
        <v>0.0</v>
      </c>
      <c r="AK244" s="73">
        <v>0.0</v>
      </c>
      <c r="AL244" s="73">
        <v>0.0</v>
      </c>
      <c r="AM244" s="73">
        <v>0.0</v>
      </c>
      <c r="AN244" s="73">
        <v>0.0</v>
      </c>
      <c r="AO244" s="73">
        <v>0.0</v>
      </c>
      <c r="AP244" s="73">
        <v>0.0</v>
      </c>
      <c r="AQ244" s="73">
        <v>0.0</v>
      </c>
      <c r="AR244" s="73">
        <v>0.0</v>
      </c>
      <c r="AS244" s="73">
        <v>0.0</v>
      </c>
      <c r="AT244" s="73">
        <v>0.0</v>
      </c>
      <c r="AU244" s="73">
        <v>0.0</v>
      </c>
      <c r="AV244" s="13">
        <f t="shared" si="47"/>
        <v>0</v>
      </c>
    </row>
    <row r="245" ht="12.75" customHeight="1">
      <c r="A245" s="18"/>
      <c r="B245" s="49"/>
      <c r="C245" s="50" t="s">
        <v>183</v>
      </c>
      <c r="D245" s="51"/>
      <c r="E245" s="73">
        <v>0.0</v>
      </c>
      <c r="F245" s="73">
        <v>0.0</v>
      </c>
      <c r="G245" s="73">
        <v>0.0</v>
      </c>
      <c r="H245" s="73">
        <v>0.0</v>
      </c>
      <c r="I245" s="73">
        <v>0.0</v>
      </c>
      <c r="J245" s="73">
        <v>0.0</v>
      </c>
      <c r="K245" s="73">
        <v>0.0</v>
      </c>
      <c r="L245" s="73">
        <v>0.0</v>
      </c>
      <c r="M245" s="73">
        <v>1.0</v>
      </c>
      <c r="N245" s="73">
        <v>0.0</v>
      </c>
      <c r="O245" s="73">
        <v>0.0</v>
      </c>
      <c r="P245" s="73">
        <v>0.0</v>
      </c>
      <c r="Q245" s="73">
        <v>0.0</v>
      </c>
      <c r="R245" s="73">
        <v>0.0</v>
      </c>
      <c r="S245" s="73">
        <v>0.0</v>
      </c>
      <c r="T245" s="73">
        <v>0.0</v>
      </c>
      <c r="U245" s="73">
        <v>0.0</v>
      </c>
      <c r="V245" s="73">
        <v>0.0</v>
      </c>
      <c r="W245" s="73">
        <v>0.0</v>
      </c>
      <c r="X245" s="73">
        <v>0.0</v>
      </c>
      <c r="Y245" s="73">
        <v>1.0</v>
      </c>
      <c r="Z245" s="73">
        <v>0.0</v>
      </c>
      <c r="AA245" s="73">
        <v>0.0</v>
      </c>
      <c r="AB245" s="73">
        <v>0.0</v>
      </c>
      <c r="AC245" s="73">
        <v>0.0</v>
      </c>
      <c r="AD245" s="73">
        <v>0.0</v>
      </c>
      <c r="AE245" s="73">
        <v>0.0</v>
      </c>
      <c r="AF245" s="73">
        <v>0.0</v>
      </c>
      <c r="AG245" s="73">
        <v>0.0</v>
      </c>
      <c r="AH245" s="73">
        <v>0.0</v>
      </c>
      <c r="AI245" s="73">
        <v>0.0</v>
      </c>
      <c r="AJ245" s="73">
        <v>0.0</v>
      </c>
      <c r="AK245" s="73">
        <v>0.0</v>
      </c>
      <c r="AL245" s="73">
        <v>0.0</v>
      </c>
      <c r="AM245" s="73">
        <v>0.0</v>
      </c>
      <c r="AN245" s="73">
        <v>0.0</v>
      </c>
      <c r="AO245" s="73">
        <v>0.0</v>
      </c>
      <c r="AP245" s="73">
        <v>0.0</v>
      </c>
      <c r="AQ245" s="73">
        <v>0.0</v>
      </c>
      <c r="AR245" s="73">
        <v>0.0</v>
      </c>
      <c r="AS245" s="73">
        <v>0.0</v>
      </c>
      <c r="AT245" s="73">
        <v>0.0</v>
      </c>
      <c r="AU245" s="73">
        <v>0.0</v>
      </c>
      <c r="AV245" s="13">
        <f t="shared" si="47"/>
        <v>2</v>
      </c>
    </row>
    <row r="246" ht="12.75" customHeight="1">
      <c r="A246" s="18"/>
      <c r="B246" s="49"/>
      <c r="C246" s="50" t="s">
        <v>184</v>
      </c>
      <c r="D246" s="51"/>
      <c r="E246" s="73">
        <v>0.0</v>
      </c>
      <c r="F246" s="73">
        <v>0.0</v>
      </c>
      <c r="G246" s="73">
        <v>0.0</v>
      </c>
      <c r="H246" s="73">
        <v>0.0</v>
      </c>
      <c r="I246" s="73">
        <v>0.0</v>
      </c>
      <c r="J246" s="73">
        <v>0.0</v>
      </c>
      <c r="K246" s="73">
        <v>0.0</v>
      </c>
      <c r="L246" s="73">
        <v>0.0</v>
      </c>
      <c r="M246" s="73">
        <v>0.0</v>
      </c>
      <c r="N246" s="73">
        <v>0.0</v>
      </c>
      <c r="O246" s="73">
        <v>0.0</v>
      </c>
      <c r="P246" s="73">
        <v>0.0</v>
      </c>
      <c r="Q246" s="73">
        <v>0.0</v>
      </c>
      <c r="R246" s="73">
        <v>2.0</v>
      </c>
      <c r="S246" s="73">
        <v>0.0</v>
      </c>
      <c r="T246" s="73">
        <v>0.0</v>
      </c>
      <c r="U246" s="73">
        <v>0.0</v>
      </c>
      <c r="V246" s="73">
        <v>0.0</v>
      </c>
      <c r="W246" s="73">
        <v>0.0</v>
      </c>
      <c r="X246" s="73">
        <v>0.0</v>
      </c>
      <c r="Y246" s="73">
        <v>0.0</v>
      </c>
      <c r="Z246" s="73">
        <v>0.0</v>
      </c>
      <c r="AA246" s="73">
        <v>0.0</v>
      </c>
      <c r="AB246" s="73">
        <v>0.0</v>
      </c>
      <c r="AC246" s="73">
        <v>0.0</v>
      </c>
      <c r="AD246" s="73">
        <v>0.0</v>
      </c>
      <c r="AE246" s="73">
        <v>0.0</v>
      </c>
      <c r="AF246" s="73">
        <v>0.0</v>
      </c>
      <c r="AG246" s="73">
        <v>0.0</v>
      </c>
      <c r="AH246" s="73">
        <v>0.0</v>
      </c>
      <c r="AI246" s="73">
        <v>0.0</v>
      </c>
      <c r="AJ246" s="73">
        <v>0.0</v>
      </c>
      <c r="AK246" s="73">
        <v>0.0</v>
      </c>
      <c r="AL246" s="73">
        <v>0.0</v>
      </c>
      <c r="AM246" s="73">
        <v>1.0</v>
      </c>
      <c r="AN246" s="73">
        <v>0.0</v>
      </c>
      <c r="AO246" s="73">
        <v>0.0</v>
      </c>
      <c r="AP246" s="73">
        <v>0.0</v>
      </c>
      <c r="AQ246" s="73">
        <v>0.0</v>
      </c>
      <c r="AR246" s="73">
        <v>0.0</v>
      </c>
      <c r="AS246" s="73">
        <v>0.0</v>
      </c>
      <c r="AT246" s="73">
        <v>0.0</v>
      </c>
      <c r="AU246" s="73">
        <v>0.0</v>
      </c>
      <c r="AV246" s="13">
        <f t="shared" si="47"/>
        <v>3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V247" si="48">SUM(E237:E246)</f>
        <v>5</v>
      </c>
      <c r="F247" s="13">
        <f t="shared" si="48"/>
        <v>2</v>
      </c>
      <c r="G247" s="13">
        <f t="shared" si="48"/>
        <v>8</v>
      </c>
      <c r="H247" s="13">
        <f t="shared" si="48"/>
        <v>7</v>
      </c>
      <c r="I247" s="13">
        <f t="shared" si="48"/>
        <v>3</v>
      </c>
      <c r="J247" s="13">
        <f t="shared" si="48"/>
        <v>0</v>
      </c>
      <c r="K247" s="13">
        <f t="shared" si="48"/>
        <v>0</v>
      </c>
      <c r="L247" s="13">
        <f t="shared" si="48"/>
        <v>2</v>
      </c>
      <c r="M247" s="13">
        <f t="shared" si="48"/>
        <v>3</v>
      </c>
      <c r="N247" s="13">
        <f t="shared" si="48"/>
        <v>3</v>
      </c>
      <c r="O247" s="13">
        <f t="shared" si="48"/>
        <v>0</v>
      </c>
      <c r="P247" s="13">
        <f t="shared" si="48"/>
        <v>2</v>
      </c>
      <c r="Q247" s="13">
        <f t="shared" si="48"/>
        <v>1</v>
      </c>
      <c r="R247" s="13">
        <f t="shared" si="48"/>
        <v>21</v>
      </c>
      <c r="S247" s="13">
        <f t="shared" si="48"/>
        <v>3</v>
      </c>
      <c r="T247" s="13">
        <f t="shared" si="48"/>
        <v>13</v>
      </c>
      <c r="U247" s="13">
        <f t="shared" si="48"/>
        <v>3</v>
      </c>
      <c r="V247" s="13">
        <f t="shared" si="48"/>
        <v>7</v>
      </c>
      <c r="W247" s="13">
        <f t="shared" si="48"/>
        <v>3</v>
      </c>
      <c r="X247" s="13">
        <f t="shared" si="48"/>
        <v>6</v>
      </c>
      <c r="Y247" s="13">
        <f t="shared" si="48"/>
        <v>9</v>
      </c>
      <c r="Z247" s="13">
        <f t="shared" si="48"/>
        <v>9</v>
      </c>
      <c r="AA247" s="13">
        <f t="shared" si="48"/>
        <v>10</v>
      </c>
      <c r="AB247" s="13">
        <f t="shared" si="48"/>
        <v>1</v>
      </c>
      <c r="AC247" s="13">
        <f t="shared" si="48"/>
        <v>4</v>
      </c>
      <c r="AD247" s="13">
        <f t="shared" si="48"/>
        <v>3</v>
      </c>
      <c r="AE247" s="13">
        <f t="shared" si="48"/>
        <v>0</v>
      </c>
      <c r="AF247" s="13">
        <f t="shared" si="48"/>
        <v>3</v>
      </c>
      <c r="AG247" s="13">
        <f t="shared" si="48"/>
        <v>0</v>
      </c>
      <c r="AH247" s="13">
        <f t="shared" si="48"/>
        <v>0</v>
      </c>
      <c r="AI247" s="13">
        <f t="shared" si="48"/>
        <v>0</v>
      </c>
      <c r="AJ247" s="13">
        <f t="shared" si="48"/>
        <v>0</v>
      </c>
      <c r="AK247" s="13">
        <f t="shared" si="48"/>
        <v>1</v>
      </c>
      <c r="AL247" s="13">
        <f t="shared" si="48"/>
        <v>3</v>
      </c>
      <c r="AM247" s="13">
        <f t="shared" si="48"/>
        <v>8</v>
      </c>
      <c r="AN247" s="13">
        <f t="shared" si="48"/>
        <v>0</v>
      </c>
      <c r="AO247" s="13">
        <f t="shared" si="48"/>
        <v>0</v>
      </c>
      <c r="AP247" s="13">
        <f t="shared" si="48"/>
        <v>0</v>
      </c>
      <c r="AQ247" s="13">
        <f t="shared" si="48"/>
        <v>0</v>
      </c>
      <c r="AR247" s="13">
        <f t="shared" si="48"/>
        <v>0</v>
      </c>
      <c r="AS247" s="13">
        <f t="shared" si="48"/>
        <v>0</v>
      </c>
      <c r="AT247" s="13">
        <f t="shared" si="48"/>
        <v>0</v>
      </c>
      <c r="AU247" s="13">
        <f t="shared" si="48"/>
        <v>0</v>
      </c>
      <c r="AV247" s="13">
        <f t="shared" si="48"/>
        <v>143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0.0</v>
      </c>
      <c r="G249" s="73">
        <v>0.0</v>
      </c>
      <c r="H249" s="73">
        <v>1.0</v>
      </c>
      <c r="I249" s="73">
        <v>0.0</v>
      </c>
      <c r="J249" s="73">
        <v>0.0</v>
      </c>
      <c r="K249" s="73">
        <v>0.0</v>
      </c>
      <c r="L249" s="73">
        <v>0.0</v>
      </c>
      <c r="M249" s="73">
        <v>1.0</v>
      </c>
      <c r="N249" s="73">
        <v>0.0</v>
      </c>
      <c r="O249" s="73">
        <v>0.0</v>
      </c>
      <c r="P249" s="73">
        <v>0.0</v>
      </c>
      <c r="Q249" s="73">
        <v>0.0</v>
      </c>
      <c r="R249" s="73">
        <v>0.0</v>
      </c>
      <c r="S249" s="73">
        <v>0.0</v>
      </c>
      <c r="T249" s="73">
        <v>0.0</v>
      </c>
      <c r="U249" s="73">
        <v>0.0</v>
      </c>
      <c r="V249" s="73">
        <v>0.0</v>
      </c>
      <c r="W249" s="73">
        <v>0.0</v>
      </c>
      <c r="X249" s="73">
        <v>0.0</v>
      </c>
      <c r="Y249" s="73">
        <v>1.0</v>
      </c>
      <c r="Z249" s="73">
        <v>0.0</v>
      </c>
      <c r="AA249" s="73">
        <v>1.0</v>
      </c>
      <c r="AB249" s="73">
        <v>0.0</v>
      </c>
      <c r="AC249" s="73">
        <v>0.0</v>
      </c>
      <c r="AD249" s="73">
        <v>0.0</v>
      </c>
      <c r="AE249" s="73">
        <v>0.0</v>
      </c>
      <c r="AF249" s="73">
        <v>0.0</v>
      </c>
      <c r="AG249" s="73">
        <v>0.0</v>
      </c>
      <c r="AH249" s="73">
        <v>0.0</v>
      </c>
      <c r="AI249" s="73">
        <v>0.0</v>
      </c>
      <c r="AJ249" s="73">
        <v>0.0</v>
      </c>
      <c r="AK249" s="73">
        <v>0.0</v>
      </c>
      <c r="AL249" s="73">
        <v>0.0</v>
      </c>
      <c r="AM249" s="73">
        <v>0.0</v>
      </c>
      <c r="AN249" s="73">
        <v>0.0</v>
      </c>
      <c r="AO249" s="73">
        <v>0.0</v>
      </c>
      <c r="AP249" s="73">
        <v>0.0</v>
      </c>
      <c r="AQ249" s="73">
        <v>0.0</v>
      </c>
      <c r="AR249" s="73">
        <v>0.0</v>
      </c>
      <c r="AS249" s="73">
        <v>0.0</v>
      </c>
      <c r="AT249" s="73">
        <v>0.0</v>
      </c>
      <c r="AU249" s="73">
        <v>0.0</v>
      </c>
      <c r="AV249" s="13">
        <f t="shared" ref="AV249:AV258" si="49">SUM(E249:AU249)</f>
        <v>4</v>
      </c>
    </row>
    <row r="250" ht="12.75" customHeight="1">
      <c r="A250" s="30" t="s">
        <v>39</v>
      </c>
      <c r="B250" s="49"/>
      <c r="C250" s="50" t="s">
        <v>187</v>
      </c>
      <c r="D250" s="51"/>
      <c r="E250" s="73">
        <v>0.0</v>
      </c>
      <c r="F250" s="73">
        <v>0.0</v>
      </c>
      <c r="G250" s="73">
        <v>0.0</v>
      </c>
      <c r="H250" s="73">
        <v>0.0</v>
      </c>
      <c r="I250" s="73">
        <v>0.0</v>
      </c>
      <c r="J250" s="73">
        <v>0.0</v>
      </c>
      <c r="K250" s="73">
        <v>0.0</v>
      </c>
      <c r="L250" s="73">
        <v>0.0</v>
      </c>
      <c r="M250" s="73">
        <v>0.0</v>
      </c>
      <c r="N250" s="73">
        <v>0.0</v>
      </c>
      <c r="O250" s="73">
        <v>0.0</v>
      </c>
      <c r="P250" s="73">
        <v>0.0</v>
      </c>
      <c r="Q250" s="73">
        <v>0.0</v>
      </c>
      <c r="R250" s="73">
        <v>0.0</v>
      </c>
      <c r="S250" s="73">
        <v>0.0</v>
      </c>
      <c r="T250" s="73">
        <v>0.0</v>
      </c>
      <c r="U250" s="73">
        <v>0.0</v>
      </c>
      <c r="V250" s="73">
        <v>0.0</v>
      </c>
      <c r="W250" s="73">
        <v>0.0</v>
      </c>
      <c r="X250" s="73">
        <v>0.0</v>
      </c>
      <c r="Y250" s="73">
        <v>2.0</v>
      </c>
      <c r="Z250" s="73">
        <v>0.0</v>
      </c>
      <c r="AA250" s="73">
        <v>0.0</v>
      </c>
      <c r="AB250" s="73">
        <v>0.0</v>
      </c>
      <c r="AC250" s="73">
        <v>0.0</v>
      </c>
      <c r="AD250" s="73">
        <v>0.0</v>
      </c>
      <c r="AE250" s="73">
        <v>0.0</v>
      </c>
      <c r="AF250" s="73">
        <v>0.0</v>
      </c>
      <c r="AG250" s="73">
        <v>0.0</v>
      </c>
      <c r="AH250" s="73">
        <v>0.0</v>
      </c>
      <c r="AI250" s="73">
        <v>0.0</v>
      </c>
      <c r="AJ250" s="73">
        <v>0.0</v>
      </c>
      <c r="AK250" s="73">
        <v>0.0</v>
      </c>
      <c r="AL250" s="73">
        <v>0.0</v>
      </c>
      <c r="AM250" s="73">
        <v>0.0</v>
      </c>
      <c r="AN250" s="73">
        <v>0.0</v>
      </c>
      <c r="AO250" s="73">
        <v>0.0</v>
      </c>
      <c r="AP250" s="73">
        <v>0.0</v>
      </c>
      <c r="AQ250" s="73">
        <v>0.0</v>
      </c>
      <c r="AR250" s="73">
        <v>0.0</v>
      </c>
      <c r="AS250" s="73">
        <v>0.0</v>
      </c>
      <c r="AT250" s="73">
        <v>0.0</v>
      </c>
      <c r="AU250" s="73">
        <v>0.0</v>
      </c>
      <c r="AV250" s="13">
        <f t="shared" si="49"/>
        <v>2</v>
      </c>
    </row>
    <row r="251" ht="12.75" customHeight="1">
      <c r="A251" s="18"/>
      <c r="B251" s="49"/>
      <c r="C251" s="50" t="s">
        <v>188</v>
      </c>
      <c r="D251" s="51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0.0</v>
      </c>
      <c r="Y251" s="73">
        <v>0.0</v>
      </c>
      <c r="Z251" s="73">
        <v>0.0</v>
      </c>
      <c r="AA251" s="73">
        <v>0.0</v>
      </c>
      <c r="AB251" s="73">
        <v>0.0</v>
      </c>
      <c r="AC251" s="73">
        <v>0.0</v>
      </c>
      <c r="AD251" s="73">
        <v>0.0</v>
      </c>
      <c r="AE251" s="73">
        <v>0.0</v>
      </c>
      <c r="AF251" s="73">
        <v>0.0</v>
      </c>
      <c r="AG251" s="73">
        <v>0.0</v>
      </c>
      <c r="AH251" s="73">
        <v>0.0</v>
      </c>
      <c r="AI251" s="73">
        <v>0.0</v>
      </c>
      <c r="AJ251" s="73">
        <v>0.0</v>
      </c>
      <c r="AK251" s="73">
        <v>0.0</v>
      </c>
      <c r="AL251" s="73">
        <v>0.0</v>
      </c>
      <c r="AM251" s="73">
        <v>0.0</v>
      </c>
      <c r="AN251" s="73">
        <v>0.0</v>
      </c>
      <c r="AO251" s="73">
        <v>0.0</v>
      </c>
      <c r="AP251" s="73">
        <v>0.0</v>
      </c>
      <c r="AQ251" s="73">
        <v>0.0</v>
      </c>
      <c r="AR251" s="73">
        <v>0.0</v>
      </c>
      <c r="AS251" s="73">
        <v>0.0</v>
      </c>
      <c r="AT251" s="73">
        <v>0.0</v>
      </c>
      <c r="AU251" s="73">
        <v>0.0</v>
      </c>
      <c r="AV251" s="13">
        <f t="shared" si="49"/>
        <v>0</v>
      </c>
    </row>
    <row r="252" ht="12.75" customHeight="1">
      <c r="A252" s="18"/>
      <c r="B252" s="49"/>
      <c r="C252" s="50" t="s">
        <v>189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73">
        <v>0.0</v>
      </c>
      <c r="S252" s="73">
        <v>0.0</v>
      </c>
      <c r="T252" s="73">
        <v>0.0</v>
      </c>
      <c r="U252" s="73">
        <v>0.0</v>
      </c>
      <c r="V252" s="73">
        <v>0.0</v>
      </c>
      <c r="W252" s="73">
        <v>0.0</v>
      </c>
      <c r="X252" s="73">
        <v>0.0</v>
      </c>
      <c r="Y252" s="73">
        <v>0.0</v>
      </c>
      <c r="Z252" s="73">
        <v>0.0</v>
      </c>
      <c r="AA252" s="73">
        <v>0.0</v>
      </c>
      <c r="AB252" s="73">
        <v>0.0</v>
      </c>
      <c r="AC252" s="73">
        <v>0.0</v>
      </c>
      <c r="AD252" s="73">
        <v>0.0</v>
      </c>
      <c r="AE252" s="73">
        <v>0.0</v>
      </c>
      <c r="AF252" s="73">
        <v>0.0</v>
      </c>
      <c r="AG252" s="73">
        <v>0.0</v>
      </c>
      <c r="AH252" s="73">
        <v>0.0</v>
      </c>
      <c r="AI252" s="73">
        <v>0.0</v>
      </c>
      <c r="AJ252" s="73">
        <v>0.0</v>
      </c>
      <c r="AK252" s="73">
        <v>0.0</v>
      </c>
      <c r="AL252" s="73">
        <v>0.0</v>
      </c>
      <c r="AM252" s="73">
        <v>0.0</v>
      </c>
      <c r="AN252" s="73">
        <v>0.0</v>
      </c>
      <c r="AO252" s="73">
        <v>0.0</v>
      </c>
      <c r="AP252" s="73">
        <v>0.0</v>
      </c>
      <c r="AQ252" s="73">
        <v>0.0</v>
      </c>
      <c r="AR252" s="73">
        <v>0.0</v>
      </c>
      <c r="AS252" s="73">
        <v>0.0</v>
      </c>
      <c r="AT252" s="73">
        <v>0.0</v>
      </c>
      <c r="AU252" s="73">
        <v>0.0</v>
      </c>
      <c r="AV252" s="13">
        <f t="shared" si="49"/>
        <v>0</v>
      </c>
    </row>
    <row r="253" ht="12.75" customHeight="1">
      <c r="A253" s="18"/>
      <c r="B253" s="57"/>
      <c r="C253" s="67"/>
      <c r="D253" s="5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3">
        <f t="shared" si="49"/>
        <v>0</v>
      </c>
    </row>
    <row r="254" ht="12.75" customHeight="1">
      <c r="A254" s="18"/>
      <c r="B254" s="57"/>
      <c r="C254" s="67"/>
      <c r="D254" s="5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3">
        <f t="shared" si="49"/>
        <v>0</v>
      </c>
    </row>
    <row r="255" ht="12.75" customHeight="1">
      <c r="A255" s="18"/>
      <c r="B255" s="57"/>
      <c r="C255" s="67"/>
      <c r="D255" s="5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3">
        <f t="shared" si="49"/>
        <v>0</v>
      </c>
    </row>
    <row r="256" ht="12.75" customHeight="1">
      <c r="A256" s="18"/>
      <c r="B256" s="57"/>
      <c r="C256" s="64"/>
      <c r="D256" s="5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3">
        <f t="shared" si="49"/>
        <v>0</v>
      </c>
    </row>
    <row r="257" ht="12.75" customHeight="1">
      <c r="A257" s="18"/>
      <c r="B257" s="57"/>
      <c r="C257" s="64"/>
      <c r="D257" s="5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3">
        <f t="shared" si="49"/>
        <v>0</v>
      </c>
    </row>
    <row r="258" ht="12.75" customHeight="1">
      <c r="A258" s="18"/>
      <c r="B258" s="57"/>
      <c r="C258" s="64"/>
      <c r="D258" s="5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3">
        <f t="shared" si="49"/>
        <v>0</v>
      </c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V259" si="50">SUM(E249:E258)</f>
        <v>0</v>
      </c>
      <c r="F259" s="13">
        <f t="shared" si="50"/>
        <v>0</v>
      </c>
      <c r="G259" s="13">
        <f t="shared" si="50"/>
        <v>0</v>
      </c>
      <c r="H259" s="13">
        <f t="shared" si="50"/>
        <v>1</v>
      </c>
      <c r="I259" s="13">
        <f t="shared" si="50"/>
        <v>0</v>
      </c>
      <c r="J259" s="13">
        <f t="shared" si="50"/>
        <v>0</v>
      </c>
      <c r="K259" s="13">
        <f t="shared" si="50"/>
        <v>0</v>
      </c>
      <c r="L259" s="13">
        <f t="shared" si="50"/>
        <v>0</v>
      </c>
      <c r="M259" s="13">
        <f t="shared" si="50"/>
        <v>1</v>
      </c>
      <c r="N259" s="13">
        <f t="shared" si="50"/>
        <v>0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0</v>
      </c>
      <c r="T259" s="13">
        <f t="shared" si="50"/>
        <v>0</v>
      </c>
      <c r="U259" s="13">
        <f t="shared" si="50"/>
        <v>0</v>
      </c>
      <c r="V259" s="13">
        <f t="shared" si="50"/>
        <v>0</v>
      </c>
      <c r="W259" s="13">
        <f t="shared" si="50"/>
        <v>0</v>
      </c>
      <c r="X259" s="13">
        <f t="shared" si="50"/>
        <v>0</v>
      </c>
      <c r="Y259" s="13">
        <f t="shared" si="50"/>
        <v>3</v>
      </c>
      <c r="Z259" s="13">
        <f t="shared" si="50"/>
        <v>0</v>
      </c>
      <c r="AA259" s="13">
        <f t="shared" si="50"/>
        <v>1</v>
      </c>
      <c r="AB259" s="13">
        <f t="shared" si="50"/>
        <v>0</v>
      </c>
      <c r="AC259" s="13">
        <f t="shared" si="50"/>
        <v>0</v>
      </c>
      <c r="AD259" s="13">
        <f t="shared" si="50"/>
        <v>0</v>
      </c>
      <c r="AE259" s="13">
        <f t="shared" si="50"/>
        <v>0</v>
      </c>
      <c r="AF259" s="13">
        <f t="shared" si="50"/>
        <v>0</v>
      </c>
      <c r="AG259" s="13">
        <f t="shared" si="50"/>
        <v>0</v>
      </c>
      <c r="AH259" s="13">
        <f t="shared" si="50"/>
        <v>0</v>
      </c>
      <c r="AI259" s="13">
        <f t="shared" si="50"/>
        <v>0</v>
      </c>
      <c r="AJ259" s="13">
        <f t="shared" si="50"/>
        <v>0</v>
      </c>
      <c r="AK259" s="13">
        <f t="shared" si="50"/>
        <v>0</v>
      </c>
      <c r="AL259" s="13">
        <f t="shared" si="50"/>
        <v>0</v>
      </c>
      <c r="AM259" s="13">
        <f t="shared" si="50"/>
        <v>0</v>
      </c>
      <c r="AN259" s="13">
        <f t="shared" si="50"/>
        <v>0</v>
      </c>
      <c r="AO259" s="13">
        <f t="shared" si="50"/>
        <v>0</v>
      </c>
      <c r="AP259" s="13">
        <f t="shared" si="50"/>
        <v>0</v>
      </c>
      <c r="AQ259" s="13">
        <f t="shared" si="50"/>
        <v>0</v>
      </c>
      <c r="AR259" s="13">
        <f t="shared" si="50"/>
        <v>0</v>
      </c>
      <c r="AS259" s="13">
        <f t="shared" si="50"/>
        <v>0</v>
      </c>
      <c r="AT259" s="13">
        <f t="shared" si="50"/>
        <v>0</v>
      </c>
      <c r="AU259" s="13">
        <f t="shared" si="50"/>
        <v>0</v>
      </c>
      <c r="AV259" s="13">
        <f t="shared" si="50"/>
        <v>6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AU262" si="51">E55+E67+E79+E91+E103+E115+E127+E139+E151+E163+E175+E187+E199+E211+E223+E235+E247+E259</f>
        <v>205</v>
      </c>
      <c r="F262" s="19">
        <f t="shared" si="51"/>
        <v>221</v>
      </c>
      <c r="G262" s="19">
        <f t="shared" si="51"/>
        <v>164</v>
      </c>
      <c r="H262" s="19">
        <f t="shared" si="51"/>
        <v>201</v>
      </c>
      <c r="I262" s="19">
        <f t="shared" si="51"/>
        <v>199</v>
      </c>
      <c r="J262" s="19">
        <f t="shared" si="51"/>
        <v>178</v>
      </c>
      <c r="K262" s="19">
        <f t="shared" si="51"/>
        <v>171</v>
      </c>
      <c r="L262" s="19">
        <f t="shared" si="51"/>
        <v>184</v>
      </c>
      <c r="M262" s="19">
        <f t="shared" si="51"/>
        <v>178</v>
      </c>
      <c r="N262" s="19">
        <f t="shared" si="51"/>
        <v>189</v>
      </c>
      <c r="O262" s="19">
        <f t="shared" si="51"/>
        <v>168</v>
      </c>
      <c r="P262" s="19">
        <f t="shared" si="51"/>
        <v>146</v>
      </c>
      <c r="Q262" s="19">
        <f t="shared" si="51"/>
        <v>117</v>
      </c>
      <c r="R262" s="19">
        <f t="shared" si="51"/>
        <v>183</v>
      </c>
      <c r="S262" s="19">
        <f t="shared" si="51"/>
        <v>133</v>
      </c>
      <c r="T262" s="19">
        <f t="shared" si="51"/>
        <v>214</v>
      </c>
      <c r="U262" s="19">
        <f t="shared" si="51"/>
        <v>190</v>
      </c>
      <c r="V262" s="19">
        <f t="shared" si="51"/>
        <v>189</v>
      </c>
      <c r="W262" s="19">
        <f t="shared" si="51"/>
        <v>204</v>
      </c>
      <c r="X262" s="19">
        <f t="shared" si="51"/>
        <v>196</v>
      </c>
      <c r="Y262" s="19">
        <f t="shared" si="51"/>
        <v>193</v>
      </c>
      <c r="Z262" s="19">
        <f t="shared" si="51"/>
        <v>184</v>
      </c>
      <c r="AA262" s="19">
        <f t="shared" si="51"/>
        <v>217</v>
      </c>
      <c r="AB262" s="19">
        <f t="shared" si="51"/>
        <v>201</v>
      </c>
      <c r="AC262" s="19">
        <f t="shared" si="51"/>
        <v>157</v>
      </c>
      <c r="AD262" s="19">
        <f t="shared" si="51"/>
        <v>147</v>
      </c>
      <c r="AE262" s="19">
        <f t="shared" si="51"/>
        <v>156</v>
      </c>
      <c r="AF262" s="19">
        <f t="shared" si="51"/>
        <v>156</v>
      </c>
      <c r="AG262" s="19">
        <f t="shared" si="51"/>
        <v>164</v>
      </c>
      <c r="AH262" s="19">
        <f t="shared" si="51"/>
        <v>128</v>
      </c>
      <c r="AI262" s="19">
        <f t="shared" si="51"/>
        <v>182</v>
      </c>
      <c r="AJ262" s="19">
        <f t="shared" si="51"/>
        <v>146</v>
      </c>
      <c r="AK262" s="19">
        <f t="shared" si="51"/>
        <v>153</v>
      </c>
      <c r="AL262" s="19">
        <f t="shared" si="51"/>
        <v>239</v>
      </c>
      <c r="AM262" s="19">
        <f t="shared" si="51"/>
        <v>190</v>
      </c>
      <c r="AN262" s="19">
        <f t="shared" si="51"/>
        <v>0</v>
      </c>
      <c r="AO262" s="19">
        <f t="shared" si="51"/>
        <v>0</v>
      </c>
      <c r="AP262" s="19">
        <f t="shared" si="51"/>
        <v>3</v>
      </c>
      <c r="AQ262" s="19">
        <f t="shared" si="51"/>
        <v>1</v>
      </c>
      <c r="AR262" s="19">
        <f t="shared" si="51"/>
        <v>1</v>
      </c>
      <c r="AS262" s="19">
        <f t="shared" si="51"/>
        <v>0</v>
      </c>
      <c r="AT262" s="19">
        <f t="shared" si="51"/>
        <v>2</v>
      </c>
      <c r="AU262" s="19">
        <f t="shared" si="51"/>
        <v>0</v>
      </c>
      <c r="AV262" s="13">
        <f t="shared" ref="AV262:AV264" si="52">SUM(E262:AU262)</f>
        <v>6250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24.0</v>
      </c>
      <c r="F263" s="73">
        <v>21.0</v>
      </c>
      <c r="G263" s="73">
        <v>40.0</v>
      </c>
      <c r="H263" s="73">
        <v>12.0</v>
      </c>
      <c r="I263" s="73">
        <v>13.0</v>
      </c>
      <c r="J263" s="73">
        <v>23.0</v>
      </c>
      <c r="K263" s="73">
        <v>28.0</v>
      </c>
      <c r="L263" s="73">
        <v>48.0</v>
      </c>
      <c r="M263" s="73">
        <v>25.0</v>
      </c>
      <c r="N263" s="73">
        <v>24.0</v>
      </c>
      <c r="O263" s="73">
        <v>42.0</v>
      </c>
      <c r="P263" s="73">
        <v>15.0</v>
      </c>
      <c r="Q263" s="73">
        <v>37.0</v>
      </c>
      <c r="R263" s="73">
        <v>23.0</v>
      </c>
      <c r="S263" s="73">
        <v>28.0</v>
      </c>
      <c r="T263" s="73">
        <v>15.0</v>
      </c>
      <c r="U263" s="73">
        <v>22.0</v>
      </c>
      <c r="V263" s="73">
        <v>19.0</v>
      </c>
      <c r="W263" s="73">
        <v>6.0</v>
      </c>
      <c r="X263" s="73">
        <v>25.0</v>
      </c>
      <c r="Y263" s="73">
        <v>12.0</v>
      </c>
      <c r="Z263" s="73">
        <v>21.0</v>
      </c>
      <c r="AA263" s="73">
        <v>18.0</v>
      </c>
      <c r="AB263" s="73">
        <v>19.0</v>
      </c>
      <c r="AC263" s="73">
        <v>23.0</v>
      </c>
      <c r="AD263" s="73">
        <v>12.0</v>
      </c>
      <c r="AE263" s="73">
        <v>14.0</v>
      </c>
      <c r="AF263" s="73">
        <v>17.0</v>
      </c>
      <c r="AG263" s="73">
        <v>2.0</v>
      </c>
      <c r="AH263" s="73">
        <v>18.0</v>
      </c>
      <c r="AI263" s="73">
        <v>6.0</v>
      </c>
      <c r="AJ263" s="73">
        <v>15.0</v>
      </c>
      <c r="AK263" s="73">
        <v>20.0</v>
      </c>
      <c r="AL263" s="73">
        <v>7.0</v>
      </c>
      <c r="AM263" s="73">
        <v>23.0</v>
      </c>
      <c r="AN263" s="73">
        <v>0.0</v>
      </c>
      <c r="AO263" s="73">
        <v>0.0</v>
      </c>
      <c r="AP263" s="73">
        <v>0.0</v>
      </c>
      <c r="AQ263" s="73">
        <v>0.0</v>
      </c>
      <c r="AR263" s="73">
        <v>0.0</v>
      </c>
      <c r="AS263" s="73">
        <v>0.0</v>
      </c>
      <c r="AT263" s="73">
        <v>0.0</v>
      </c>
      <c r="AU263" s="73">
        <v>0.0</v>
      </c>
      <c r="AV263" s="13">
        <f t="shared" si="52"/>
        <v>717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AU264" si="53">SUM(E262:E263)</f>
        <v>229</v>
      </c>
      <c r="F264" s="13">
        <f t="shared" si="53"/>
        <v>242</v>
      </c>
      <c r="G264" s="13">
        <f t="shared" si="53"/>
        <v>204</v>
      </c>
      <c r="H264" s="13">
        <f t="shared" si="53"/>
        <v>213</v>
      </c>
      <c r="I264" s="13">
        <f t="shared" si="53"/>
        <v>212</v>
      </c>
      <c r="J264" s="13">
        <f t="shared" si="53"/>
        <v>201</v>
      </c>
      <c r="K264" s="13">
        <f t="shared" si="53"/>
        <v>199</v>
      </c>
      <c r="L264" s="13">
        <f t="shared" si="53"/>
        <v>232</v>
      </c>
      <c r="M264" s="13">
        <f t="shared" si="53"/>
        <v>203</v>
      </c>
      <c r="N264" s="13">
        <f t="shared" si="53"/>
        <v>213</v>
      </c>
      <c r="O264" s="13">
        <f t="shared" si="53"/>
        <v>210</v>
      </c>
      <c r="P264" s="13">
        <f t="shared" si="53"/>
        <v>161</v>
      </c>
      <c r="Q264" s="13">
        <f t="shared" si="53"/>
        <v>154</v>
      </c>
      <c r="R264" s="13">
        <f t="shared" si="53"/>
        <v>206</v>
      </c>
      <c r="S264" s="13">
        <f t="shared" si="53"/>
        <v>161</v>
      </c>
      <c r="T264" s="13">
        <f t="shared" si="53"/>
        <v>229</v>
      </c>
      <c r="U264" s="13">
        <f t="shared" si="53"/>
        <v>212</v>
      </c>
      <c r="V264" s="13">
        <f t="shared" si="53"/>
        <v>208</v>
      </c>
      <c r="W264" s="13">
        <f t="shared" si="53"/>
        <v>210</v>
      </c>
      <c r="X264" s="13">
        <f t="shared" si="53"/>
        <v>221</v>
      </c>
      <c r="Y264" s="13">
        <f t="shared" si="53"/>
        <v>205</v>
      </c>
      <c r="Z264" s="13">
        <f t="shared" si="53"/>
        <v>205</v>
      </c>
      <c r="AA264" s="13">
        <f t="shared" si="53"/>
        <v>235</v>
      </c>
      <c r="AB264" s="13">
        <f t="shared" si="53"/>
        <v>220</v>
      </c>
      <c r="AC264" s="13">
        <f t="shared" si="53"/>
        <v>180</v>
      </c>
      <c r="AD264" s="13">
        <f t="shared" si="53"/>
        <v>159</v>
      </c>
      <c r="AE264" s="13">
        <f t="shared" si="53"/>
        <v>170</v>
      </c>
      <c r="AF264" s="13">
        <f t="shared" si="53"/>
        <v>173</v>
      </c>
      <c r="AG264" s="13">
        <f t="shared" si="53"/>
        <v>166</v>
      </c>
      <c r="AH264" s="13">
        <f t="shared" si="53"/>
        <v>146</v>
      </c>
      <c r="AI264" s="13">
        <f t="shared" si="53"/>
        <v>188</v>
      </c>
      <c r="AJ264" s="13">
        <f t="shared" si="53"/>
        <v>161</v>
      </c>
      <c r="AK264" s="13">
        <f t="shared" si="53"/>
        <v>173</v>
      </c>
      <c r="AL264" s="13">
        <f t="shared" si="53"/>
        <v>246</v>
      </c>
      <c r="AM264" s="13">
        <f t="shared" si="53"/>
        <v>213</v>
      </c>
      <c r="AN264" s="13">
        <f t="shared" si="53"/>
        <v>0</v>
      </c>
      <c r="AO264" s="13">
        <f t="shared" si="53"/>
        <v>0</v>
      </c>
      <c r="AP264" s="13">
        <f t="shared" si="53"/>
        <v>3</v>
      </c>
      <c r="AQ264" s="13">
        <f t="shared" si="53"/>
        <v>1</v>
      </c>
      <c r="AR264" s="13">
        <f t="shared" si="53"/>
        <v>1</v>
      </c>
      <c r="AS264" s="13">
        <f t="shared" si="53"/>
        <v>0</v>
      </c>
      <c r="AT264" s="13">
        <f t="shared" si="53"/>
        <v>2</v>
      </c>
      <c r="AU264" s="13">
        <f t="shared" si="53"/>
        <v>0</v>
      </c>
      <c r="AV264" s="13">
        <f t="shared" si="52"/>
        <v>6967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A248:E248"/>
    <mergeCell ref="C249:D249"/>
    <mergeCell ref="B259:D259"/>
    <mergeCell ref="B261:D261"/>
    <mergeCell ref="C262:D262"/>
    <mergeCell ref="C263:D263"/>
    <mergeCell ref="C264:D264"/>
    <mergeCell ref="B223:D223"/>
    <mergeCell ref="A224:E224"/>
    <mergeCell ref="C225:D225"/>
    <mergeCell ref="B235:D235"/>
    <mergeCell ref="A236:E236"/>
    <mergeCell ref="C237:D237"/>
    <mergeCell ref="B247:D247"/>
    <mergeCell ref="B12:D12"/>
    <mergeCell ref="E12:AU12"/>
    <mergeCell ref="AV12:A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Q37"/>
    <mergeCell ref="B38:D38"/>
    <mergeCell ref="B39:C41"/>
    <mergeCell ref="A42:D42"/>
    <mergeCell ref="E42:AQ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B55:D55"/>
    <mergeCell ref="A56:E56"/>
    <mergeCell ref="C57:D57"/>
    <mergeCell ref="B67:D67"/>
    <mergeCell ref="B127:D127"/>
    <mergeCell ref="A128:E128"/>
    <mergeCell ref="C129:D129"/>
  </mergeCells>
  <conditionalFormatting sqref="E14:AU15 E19:AU20 E22:AU23 E25:AU26 E33:AU33 E35:AU35 E39:AU40 E45:AU54 E57:AU66 E69:AU78 E81:AU90 E93:AU102 E105:AU114 E117:AU126 E129:AU138 E141:AU150 E153:AU162 E165:AU174 E177:AU186 E189:AU198 E201:AU210 E213:AU222 E225:AU234 E237:AU246 E249:AU258 E262:AU263">
    <cfRule type="containsBlanks" dxfId="1" priority="1">
      <formula>LEN(TRIM(E14))=0</formula>
    </cfRule>
  </conditionalFormatting>
  <conditionalFormatting sqref="E30:AU30">
    <cfRule type="expression" dxfId="0" priority="2">
      <formula>E30&lt;&gt;E47</formula>
    </cfRule>
  </conditionalFormatting>
  <conditionalFormatting sqref="E30:AU30">
    <cfRule type="expression" dxfId="0" priority="3">
      <formula>E30&lt;&gt;E34</formula>
    </cfRule>
  </conditionalFormatting>
  <conditionalFormatting sqref="E34:AU34">
    <cfRule type="expression" dxfId="2" priority="4">
      <formula>E30&lt;&gt;E34</formula>
    </cfRule>
  </conditionalFormatting>
  <conditionalFormatting sqref="E34:AU34">
    <cfRule type="expression" dxfId="3" priority="5">
      <formula>E30=E34</formula>
    </cfRule>
  </conditionalFormatting>
  <conditionalFormatting sqref="E34:AU34">
    <cfRule type="expression" dxfId="0" priority="6">
      <formula>E34&lt;&gt;E30</formula>
    </cfRule>
  </conditionalFormatting>
  <conditionalFormatting sqref="E34:AU34">
    <cfRule type="expression" dxfId="0" priority="7">
      <formula>E34&lt;&gt;E64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  <col customWidth="1" min="2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36"/>
    </row>
    <row r="14" ht="12.75" customHeight="1">
      <c r="A14" s="18"/>
      <c r="B14" s="22" t="s">
        <v>11</v>
      </c>
      <c r="C14" s="23"/>
      <c r="D14" s="19" t="s">
        <v>12</v>
      </c>
      <c r="E14" s="73">
        <v>134.0</v>
      </c>
      <c r="F14" s="73">
        <v>122.0</v>
      </c>
      <c r="G14" s="73">
        <v>127.0</v>
      </c>
      <c r="H14" s="73">
        <v>124.0</v>
      </c>
      <c r="I14" s="73">
        <v>130.0</v>
      </c>
      <c r="J14" s="73">
        <v>113.0</v>
      </c>
      <c r="K14" s="73">
        <v>133.0</v>
      </c>
      <c r="L14" s="73">
        <v>118.0</v>
      </c>
      <c r="M14" s="73">
        <v>138.0</v>
      </c>
      <c r="N14" s="73">
        <v>145.0</v>
      </c>
      <c r="O14" s="73">
        <v>127.0</v>
      </c>
      <c r="P14" s="73">
        <v>128.0</v>
      </c>
      <c r="Q14" s="73">
        <v>135.0</v>
      </c>
      <c r="R14" s="73">
        <v>117.0</v>
      </c>
      <c r="S14" s="73">
        <v>107.0</v>
      </c>
      <c r="T14" s="73">
        <v>118.0</v>
      </c>
      <c r="U14" s="73">
        <v>120.0</v>
      </c>
      <c r="V14" s="73">
        <v>134.0</v>
      </c>
      <c r="W14" s="13">
        <f t="shared" ref="W14:W16" si="1">SUM(E14:V14)</f>
        <v>2270</v>
      </c>
    </row>
    <row r="15" ht="12.75" customHeight="1">
      <c r="A15" s="18"/>
      <c r="B15" s="26"/>
      <c r="C15" s="27"/>
      <c r="D15" s="19" t="s">
        <v>13</v>
      </c>
      <c r="E15" s="73">
        <v>122.0</v>
      </c>
      <c r="F15" s="73">
        <v>131.0</v>
      </c>
      <c r="G15" s="73">
        <v>128.0</v>
      </c>
      <c r="H15" s="73">
        <v>136.0</v>
      </c>
      <c r="I15" s="73">
        <v>120.0</v>
      </c>
      <c r="J15" s="73">
        <v>127.0</v>
      </c>
      <c r="K15" s="73">
        <v>117.0</v>
      </c>
      <c r="L15" s="73">
        <v>125.0</v>
      </c>
      <c r="M15" s="73">
        <v>132.0</v>
      </c>
      <c r="N15" s="73">
        <v>131.0</v>
      </c>
      <c r="O15" s="73">
        <v>147.0</v>
      </c>
      <c r="P15" s="73">
        <v>128.0</v>
      </c>
      <c r="Q15" s="73">
        <v>125.0</v>
      </c>
      <c r="R15" s="73">
        <v>125.0</v>
      </c>
      <c r="S15" s="73">
        <v>99.0</v>
      </c>
      <c r="T15" s="73">
        <v>132.0</v>
      </c>
      <c r="U15" s="73">
        <v>117.0</v>
      </c>
      <c r="V15" s="73">
        <v>134.0</v>
      </c>
      <c r="W15" s="13">
        <f t="shared" si="1"/>
        <v>2276</v>
      </c>
    </row>
    <row r="16" ht="12.75" customHeight="1">
      <c r="A16" s="25"/>
      <c r="B16" s="21"/>
      <c r="C16" s="28"/>
      <c r="D16" s="13" t="s">
        <v>14</v>
      </c>
      <c r="E16" s="13">
        <f t="shared" ref="E16:V16" si="2">SUM(E14:E15)</f>
        <v>256</v>
      </c>
      <c r="F16" s="13">
        <f t="shared" si="2"/>
        <v>253</v>
      </c>
      <c r="G16" s="13">
        <f t="shared" si="2"/>
        <v>255</v>
      </c>
      <c r="H16" s="13">
        <f t="shared" si="2"/>
        <v>260</v>
      </c>
      <c r="I16" s="13">
        <f t="shared" si="2"/>
        <v>250</v>
      </c>
      <c r="J16" s="13">
        <f t="shared" si="2"/>
        <v>240</v>
      </c>
      <c r="K16" s="13">
        <f t="shared" si="2"/>
        <v>250</v>
      </c>
      <c r="L16" s="13">
        <f t="shared" si="2"/>
        <v>243</v>
      </c>
      <c r="M16" s="13">
        <f t="shared" si="2"/>
        <v>270</v>
      </c>
      <c r="N16" s="13">
        <f t="shared" si="2"/>
        <v>276</v>
      </c>
      <c r="O16" s="13">
        <f t="shared" si="2"/>
        <v>274</v>
      </c>
      <c r="P16" s="13">
        <f t="shared" si="2"/>
        <v>256</v>
      </c>
      <c r="Q16" s="13">
        <f t="shared" si="2"/>
        <v>260</v>
      </c>
      <c r="R16" s="13">
        <f t="shared" si="2"/>
        <v>242</v>
      </c>
      <c r="S16" s="13">
        <f t="shared" si="2"/>
        <v>206</v>
      </c>
      <c r="T16" s="13">
        <f t="shared" si="2"/>
        <v>250</v>
      </c>
      <c r="U16" s="13">
        <f t="shared" si="2"/>
        <v>237</v>
      </c>
      <c r="V16" s="13">
        <f t="shared" si="2"/>
        <v>268</v>
      </c>
      <c r="W16" s="13">
        <f t="shared" si="1"/>
        <v>4546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74"/>
      <c r="S17" s="74"/>
      <c r="T17" s="74"/>
      <c r="U17" s="74"/>
      <c r="V17" s="74"/>
      <c r="W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74"/>
      <c r="S18" s="74"/>
      <c r="T18" s="74"/>
      <c r="U18" s="74"/>
      <c r="V18" s="74"/>
      <c r="W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93.0</v>
      </c>
      <c r="F19" s="73">
        <v>88.0</v>
      </c>
      <c r="G19" s="73">
        <v>91.0</v>
      </c>
      <c r="H19" s="73">
        <v>86.0</v>
      </c>
      <c r="I19" s="73">
        <v>101.0</v>
      </c>
      <c r="J19" s="73">
        <v>82.0</v>
      </c>
      <c r="K19" s="73">
        <v>106.0</v>
      </c>
      <c r="L19" s="73">
        <v>89.0</v>
      </c>
      <c r="M19" s="73">
        <v>105.0</v>
      </c>
      <c r="N19" s="73">
        <v>110.0</v>
      </c>
      <c r="O19" s="73">
        <v>96.0</v>
      </c>
      <c r="P19" s="73">
        <v>85.0</v>
      </c>
      <c r="Q19" s="73">
        <v>103.0</v>
      </c>
      <c r="R19" s="73">
        <v>78.0</v>
      </c>
      <c r="S19" s="73">
        <v>73.0</v>
      </c>
      <c r="T19" s="73">
        <v>86.0</v>
      </c>
      <c r="U19" s="73">
        <v>95.0</v>
      </c>
      <c r="V19" s="73">
        <v>102.0</v>
      </c>
      <c r="W19" s="13">
        <f t="shared" ref="W19:W30" si="3">SUM(E19:V19)</f>
        <v>1669</v>
      </c>
    </row>
    <row r="20" ht="12.75" customHeight="1">
      <c r="A20" s="33"/>
      <c r="B20" s="27"/>
      <c r="C20" s="34"/>
      <c r="D20" s="19" t="s">
        <v>13</v>
      </c>
      <c r="E20" s="73">
        <v>88.0</v>
      </c>
      <c r="F20" s="73">
        <v>105.0</v>
      </c>
      <c r="G20" s="73">
        <v>99.0</v>
      </c>
      <c r="H20" s="73">
        <v>99.0</v>
      </c>
      <c r="I20" s="73">
        <v>93.0</v>
      </c>
      <c r="J20" s="73">
        <v>94.0</v>
      </c>
      <c r="K20" s="73">
        <v>94.0</v>
      </c>
      <c r="L20" s="73">
        <v>104.0</v>
      </c>
      <c r="M20" s="73">
        <v>105.0</v>
      </c>
      <c r="N20" s="73">
        <v>100.0</v>
      </c>
      <c r="O20" s="73">
        <v>111.0</v>
      </c>
      <c r="P20" s="73">
        <v>99.0</v>
      </c>
      <c r="Q20" s="73">
        <v>98.0</v>
      </c>
      <c r="R20" s="73">
        <v>97.0</v>
      </c>
      <c r="S20" s="73">
        <v>71.0</v>
      </c>
      <c r="T20" s="73">
        <v>100.0</v>
      </c>
      <c r="U20" s="73">
        <v>102.0</v>
      </c>
      <c r="V20" s="73">
        <v>99.0</v>
      </c>
      <c r="W20" s="13">
        <f t="shared" si="3"/>
        <v>1758</v>
      </c>
    </row>
    <row r="21" ht="12.75" customHeight="1">
      <c r="A21" s="35"/>
      <c r="B21" s="28"/>
      <c r="C21" s="36"/>
      <c r="D21" s="13" t="s">
        <v>14</v>
      </c>
      <c r="E21" s="13">
        <f t="shared" ref="E21:V21" si="4">SUM(E19:E20)</f>
        <v>181</v>
      </c>
      <c r="F21" s="13">
        <f t="shared" si="4"/>
        <v>193</v>
      </c>
      <c r="G21" s="13">
        <f t="shared" si="4"/>
        <v>190</v>
      </c>
      <c r="H21" s="13">
        <f t="shared" si="4"/>
        <v>185</v>
      </c>
      <c r="I21" s="13">
        <f t="shared" si="4"/>
        <v>194</v>
      </c>
      <c r="J21" s="13">
        <f t="shared" si="4"/>
        <v>176</v>
      </c>
      <c r="K21" s="13">
        <f t="shared" si="4"/>
        <v>200</v>
      </c>
      <c r="L21" s="13">
        <f t="shared" si="4"/>
        <v>193</v>
      </c>
      <c r="M21" s="13">
        <f t="shared" si="4"/>
        <v>210</v>
      </c>
      <c r="N21" s="13">
        <f t="shared" si="4"/>
        <v>210</v>
      </c>
      <c r="O21" s="13">
        <f t="shared" si="4"/>
        <v>207</v>
      </c>
      <c r="P21" s="13">
        <f t="shared" si="4"/>
        <v>184</v>
      </c>
      <c r="Q21" s="13">
        <f t="shared" si="4"/>
        <v>201</v>
      </c>
      <c r="R21" s="13">
        <f t="shared" si="4"/>
        <v>175</v>
      </c>
      <c r="S21" s="13">
        <f t="shared" si="4"/>
        <v>144</v>
      </c>
      <c r="T21" s="13">
        <f t="shared" si="4"/>
        <v>186</v>
      </c>
      <c r="U21" s="13">
        <f t="shared" si="4"/>
        <v>197</v>
      </c>
      <c r="V21" s="13">
        <f t="shared" si="4"/>
        <v>201</v>
      </c>
      <c r="W21" s="13">
        <f t="shared" si="3"/>
        <v>3427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1.0</v>
      </c>
      <c r="H22" s="73">
        <v>0.0</v>
      </c>
      <c r="I22" s="73">
        <v>0.0</v>
      </c>
      <c r="J22" s="73">
        <v>0.0</v>
      </c>
      <c r="K22" s="73">
        <v>0.0</v>
      </c>
      <c r="L22" s="73">
        <v>0.0</v>
      </c>
      <c r="M22" s="73">
        <v>0.0</v>
      </c>
      <c r="N22" s="73">
        <v>0.0</v>
      </c>
      <c r="O22" s="73">
        <v>0.0</v>
      </c>
      <c r="P22" s="73">
        <v>0.0</v>
      </c>
      <c r="Q22" s="73">
        <v>0.0</v>
      </c>
      <c r="R22" s="73">
        <v>0.0</v>
      </c>
      <c r="S22" s="73">
        <v>0.0</v>
      </c>
      <c r="T22" s="73">
        <v>0.0</v>
      </c>
      <c r="U22" s="73">
        <v>1.0</v>
      </c>
      <c r="V22" s="73">
        <v>0.0</v>
      </c>
      <c r="W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0.0</v>
      </c>
      <c r="N23" s="73">
        <v>0.0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0.0</v>
      </c>
      <c r="U23" s="73">
        <v>0.0</v>
      </c>
      <c r="V23" s="73">
        <v>0.0</v>
      </c>
      <c r="W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V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1</v>
      </c>
      <c r="V24" s="13">
        <f t="shared" si="5"/>
        <v>0</v>
      </c>
      <c r="W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1.0</v>
      </c>
      <c r="F25" s="73">
        <v>0.0</v>
      </c>
      <c r="G25" s="73">
        <v>0.0</v>
      </c>
      <c r="H25" s="73">
        <v>1.0</v>
      </c>
      <c r="I25" s="73">
        <v>0.0</v>
      </c>
      <c r="J25" s="73">
        <v>2.0</v>
      </c>
      <c r="K25" s="73">
        <v>0.0</v>
      </c>
      <c r="L25" s="73">
        <v>0.0</v>
      </c>
      <c r="M25" s="73">
        <v>0.0</v>
      </c>
      <c r="N25" s="73">
        <v>0.0</v>
      </c>
      <c r="O25" s="73">
        <v>3.0</v>
      </c>
      <c r="P25" s="73">
        <v>1.0</v>
      </c>
      <c r="Q25" s="73">
        <v>2.0</v>
      </c>
      <c r="R25" s="73">
        <v>1.0</v>
      </c>
      <c r="S25" s="73">
        <v>0.0</v>
      </c>
      <c r="T25" s="73">
        <v>1.0</v>
      </c>
      <c r="U25" s="73">
        <v>2.0</v>
      </c>
      <c r="V25" s="73">
        <v>0.0</v>
      </c>
      <c r="W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73">
        <v>2.0</v>
      </c>
      <c r="F26" s="73">
        <v>0.0</v>
      </c>
      <c r="G26" s="73">
        <v>0.0</v>
      </c>
      <c r="H26" s="73">
        <v>1.0</v>
      </c>
      <c r="I26" s="73">
        <v>0.0</v>
      </c>
      <c r="J26" s="73">
        <v>0.0</v>
      </c>
      <c r="K26" s="73">
        <v>0.0</v>
      </c>
      <c r="L26" s="73">
        <v>0.0</v>
      </c>
      <c r="M26" s="73">
        <v>1.0</v>
      </c>
      <c r="N26" s="73">
        <v>2.0</v>
      </c>
      <c r="O26" s="73">
        <v>1.0</v>
      </c>
      <c r="P26" s="73">
        <v>1.0</v>
      </c>
      <c r="Q26" s="73">
        <v>2.0</v>
      </c>
      <c r="R26" s="73">
        <v>2.0</v>
      </c>
      <c r="S26" s="73">
        <v>0.0</v>
      </c>
      <c r="T26" s="73">
        <v>6.0</v>
      </c>
      <c r="U26" s="73">
        <v>1.0</v>
      </c>
      <c r="V26" s="73">
        <v>1.0</v>
      </c>
      <c r="W26" s="13">
        <f t="shared" si="3"/>
        <v>20</v>
      </c>
    </row>
    <row r="27" ht="12.75" customHeight="1">
      <c r="A27" s="35"/>
      <c r="B27" s="28"/>
      <c r="C27" s="36"/>
      <c r="D27" s="13" t="s">
        <v>14</v>
      </c>
      <c r="E27" s="13">
        <f t="shared" ref="E27:V27" si="6">SUM(E25:E26)</f>
        <v>3</v>
      </c>
      <c r="F27" s="13">
        <f t="shared" si="6"/>
        <v>0</v>
      </c>
      <c r="G27" s="13">
        <f t="shared" si="6"/>
        <v>0</v>
      </c>
      <c r="H27" s="13">
        <f t="shared" si="6"/>
        <v>2</v>
      </c>
      <c r="I27" s="13">
        <f t="shared" si="6"/>
        <v>0</v>
      </c>
      <c r="J27" s="13">
        <f t="shared" si="6"/>
        <v>2</v>
      </c>
      <c r="K27" s="13">
        <f t="shared" si="6"/>
        <v>0</v>
      </c>
      <c r="L27" s="13">
        <f t="shared" si="6"/>
        <v>0</v>
      </c>
      <c r="M27" s="13">
        <f t="shared" si="6"/>
        <v>1</v>
      </c>
      <c r="N27" s="13">
        <f t="shared" si="6"/>
        <v>2</v>
      </c>
      <c r="O27" s="13">
        <f t="shared" si="6"/>
        <v>4</v>
      </c>
      <c r="P27" s="13">
        <f t="shared" si="6"/>
        <v>2</v>
      </c>
      <c r="Q27" s="13">
        <f t="shared" si="6"/>
        <v>4</v>
      </c>
      <c r="R27" s="13">
        <f t="shared" si="6"/>
        <v>3</v>
      </c>
      <c r="S27" s="13">
        <f t="shared" si="6"/>
        <v>0</v>
      </c>
      <c r="T27" s="13">
        <f t="shared" si="6"/>
        <v>7</v>
      </c>
      <c r="U27" s="13">
        <f t="shared" si="6"/>
        <v>3</v>
      </c>
      <c r="V27" s="13">
        <f t="shared" si="6"/>
        <v>1</v>
      </c>
      <c r="W27" s="13">
        <f t="shared" si="3"/>
        <v>34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V28" si="7">SUM(E19,E22,E25)</f>
        <v>94</v>
      </c>
      <c r="F28" s="13">
        <f t="shared" si="7"/>
        <v>88</v>
      </c>
      <c r="G28" s="13">
        <f t="shared" si="7"/>
        <v>92</v>
      </c>
      <c r="H28" s="13">
        <f t="shared" si="7"/>
        <v>87</v>
      </c>
      <c r="I28" s="13">
        <f t="shared" si="7"/>
        <v>101</v>
      </c>
      <c r="J28" s="13">
        <f t="shared" si="7"/>
        <v>84</v>
      </c>
      <c r="K28" s="13">
        <f t="shared" si="7"/>
        <v>106</v>
      </c>
      <c r="L28" s="13">
        <f t="shared" si="7"/>
        <v>89</v>
      </c>
      <c r="M28" s="13">
        <f t="shared" si="7"/>
        <v>105</v>
      </c>
      <c r="N28" s="13">
        <f t="shared" si="7"/>
        <v>110</v>
      </c>
      <c r="O28" s="13">
        <f t="shared" si="7"/>
        <v>99</v>
      </c>
      <c r="P28" s="13">
        <f t="shared" si="7"/>
        <v>86</v>
      </c>
      <c r="Q28" s="13">
        <f t="shared" si="7"/>
        <v>105</v>
      </c>
      <c r="R28" s="13">
        <f t="shared" si="7"/>
        <v>79</v>
      </c>
      <c r="S28" s="13">
        <f t="shared" si="7"/>
        <v>73</v>
      </c>
      <c r="T28" s="13">
        <f t="shared" si="7"/>
        <v>87</v>
      </c>
      <c r="U28" s="13">
        <f t="shared" si="7"/>
        <v>98</v>
      </c>
      <c r="V28" s="13">
        <f t="shared" si="7"/>
        <v>102</v>
      </c>
      <c r="W28" s="13">
        <f t="shared" si="3"/>
        <v>1685</v>
      </c>
    </row>
    <row r="29" ht="12.75" customHeight="1">
      <c r="A29" s="35"/>
      <c r="B29" s="27"/>
      <c r="C29" s="34"/>
      <c r="D29" s="13" t="s">
        <v>13</v>
      </c>
      <c r="E29" s="13">
        <f t="shared" ref="E29:V29" si="8">SUM(E20,E23,E26)</f>
        <v>90</v>
      </c>
      <c r="F29" s="13">
        <f t="shared" si="8"/>
        <v>105</v>
      </c>
      <c r="G29" s="13">
        <f t="shared" si="8"/>
        <v>99</v>
      </c>
      <c r="H29" s="13">
        <f t="shared" si="8"/>
        <v>100</v>
      </c>
      <c r="I29" s="13">
        <f t="shared" si="8"/>
        <v>93</v>
      </c>
      <c r="J29" s="13">
        <f t="shared" si="8"/>
        <v>94</v>
      </c>
      <c r="K29" s="13">
        <f t="shared" si="8"/>
        <v>94</v>
      </c>
      <c r="L29" s="13">
        <f t="shared" si="8"/>
        <v>104</v>
      </c>
      <c r="M29" s="13">
        <f t="shared" si="8"/>
        <v>106</v>
      </c>
      <c r="N29" s="13">
        <f t="shared" si="8"/>
        <v>102</v>
      </c>
      <c r="O29" s="13">
        <f t="shared" si="8"/>
        <v>112</v>
      </c>
      <c r="P29" s="13">
        <f t="shared" si="8"/>
        <v>100</v>
      </c>
      <c r="Q29" s="13">
        <f t="shared" si="8"/>
        <v>100</v>
      </c>
      <c r="R29" s="13">
        <f t="shared" si="8"/>
        <v>99</v>
      </c>
      <c r="S29" s="13">
        <f t="shared" si="8"/>
        <v>71</v>
      </c>
      <c r="T29" s="13">
        <f t="shared" si="8"/>
        <v>106</v>
      </c>
      <c r="U29" s="13">
        <f t="shared" si="8"/>
        <v>103</v>
      </c>
      <c r="V29" s="13">
        <f t="shared" si="8"/>
        <v>100</v>
      </c>
      <c r="W29" s="13">
        <f t="shared" si="3"/>
        <v>1778</v>
      </c>
    </row>
    <row r="30" ht="12.75" customHeight="1">
      <c r="A30" s="35"/>
      <c r="B30" s="28"/>
      <c r="C30" s="36"/>
      <c r="D30" s="13" t="s">
        <v>14</v>
      </c>
      <c r="E30" s="13">
        <f t="shared" ref="E30:V30" si="9">SUM(E28:E29)</f>
        <v>184</v>
      </c>
      <c r="F30" s="13">
        <f t="shared" si="9"/>
        <v>193</v>
      </c>
      <c r="G30" s="13">
        <f t="shared" si="9"/>
        <v>191</v>
      </c>
      <c r="H30" s="13">
        <f t="shared" si="9"/>
        <v>187</v>
      </c>
      <c r="I30" s="13">
        <f t="shared" si="9"/>
        <v>194</v>
      </c>
      <c r="J30" s="13">
        <f t="shared" si="9"/>
        <v>178</v>
      </c>
      <c r="K30" s="13">
        <f t="shared" si="9"/>
        <v>200</v>
      </c>
      <c r="L30" s="13">
        <f t="shared" si="9"/>
        <v>193</v>
      </c>
      <c r="M30" s="13">
        <f t="shared" si="9"/>
        <v>211</v>
      </c>
      <c r="N30" s="13">
        <f t="shared" si="9"/>
        <v>212</v>
      </c>
      <c r="O30" s="13">
        <f t="shared" si="9"/>
        <v>211</v>
      </c>
      <c r="P30" s="13">
        <f t="shared" si="9"/>
        <v>186</v>
      </c>
      <c r="Q30" s="13">
        <f t="shared" si="9"/>
        <v>205</v>
      </c>
      <c r="R30" s="13">
        <f t="shared" si="9"/>
        <v>178</v>
      </c>
      <c r="S30" s="13">
        <f t="shared" si="9"/>
        <v>144</v>
      </c>
      <c r="T30" s="13">
        <f t="shared" si="9"/>
        <v>193</v>
      </c>
      <c r="U30" s="13">
        <f t="shared" si="9"/>
        <v>201</v>
      </c>
      <c r="V30" s="13">
        <f t="shared" si="9"/>
        <v>202</v>
      </c>
      <c r="W30" s="13">
        <f t="shared" si="3"/>
        <v>3463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74"/>
      <c r="S31" s="74"/>
      <c r="T31" s="74"/>
      <c r="U31" s="74"/>
      <c r="V31" s="74"/>
      <c r="W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76"/>
      <c r="S32" s="76"/>
      <c r="T32" s="76"/>
      <c r="U32" s="76"/>
      <c r="V32" s="76"/>
      <c r="W32" s="75"/>
    </row>
    <row r="33" ht="12.75" customHeight="1">
      <c r="A33" s="19">
        <v>1.0</v>
      </c>
      <c r="B33" s="20" t="s">
        <v>27</v>
      </c>
      <c r="C33" s="15"/>
      <c r="D33" s="16"/>
      <c r="E33" s="73">
        <v>262.0</v>
      </c>
      <c r="F33" s="73">
        <v>259.0</v>
      </c>
      <c r="G33" s="73">
        <v>261.0</v>
      </c>
      <c r="H33" s="73">
        <v>266.0</v>
      </c>
      <c r="I33" s="73">
        <v>255.0</v>
      </c>
      <c r="J33" s="73">
        <v>245.0</v>
      </c>
      <c r="K33" s="73">
        <v>255.0</v>
      </c>
      <c r="L33" s="73">
        <v>248.0</v>
      </c>
      <c r="M33" s="73">
        <v>276.0</v>
      </c>
      <c r="N33" s="73">
        <v>282.0</v>
      </c>
      <c r="O33" s="73">
        <v>280.0</v>
      </c>
      <c r="P33" s="73">
        <v>262.0</v>
      </c>
      <c r="Q33" s="73">
        <v>266.0</v>
      </c>
      <c r="R33" s="73">
        <v>247.0</v>
      </c>
      <c r="S33" s="73">
        <v>211.0</v>
      </c>
      <c r="T33" s="73">
        <v>255.0</v>
      </c>
      <c r="U33" s="73">
        <v>242.0</v>
      </c>
      <c r="V33" s="73">
        <v>274.0</v>
      </c>
      <c r="W33" s="13">
        <f t="shared" ref="W33:W36" si="10">SUM(E33:V33)</f>
        <v>4646</v>
      </c>
    </row>
    <row r="34" ht="12.75" customHeight="1">
      <c r="A34" s="19">
        <v>2.0</v>
      </c>
      <c r="B34" s="20" t="s">
        <v>28</v>
      </c>
      <c r="C34" s="15"/>
      <c r="D34" s="16"/>
      <c r="E34" s="77">
        <v>184.0</v>
      </c>
      <c r="F34" s="77">
        <v>193.0</v>
      </c>
      <c r="G34" s="77">
        <v>191.0</v>
      </c>
      <c r="H34" s="77">
        <v>187.0</v>
      </c>
      <c r="I34" s="77">
        <v>194.0</v>
      </c>
      <c r="J34" s="77">
        <v>178.0</v>
      </c>
      <c r="K34" s="77">
        <v>200.0</v>
      </c>
      <c r="L34" s="77">
        <v>193.0</v>
      </c>
      <c r="M34" s="77">
        <v>211.0</v>
      </c>
      <c r="N34" s="77">
        <v>212.0</v>
      </c>
      <c r="O34" s="77">
        <v>211.0</v>
      </c>
      <c r="P34" s="77">
        <v>186.0</v>
      </c>
      <c r="Q34" s="77">
        <v>205.0</v>
      </c>
      <c r="R34" s="77">
        <v>178.0</v>
      </c>
      <c r="S34" s="77">
        <v>144.0</v>
      </c>
      <c r="T34" s="77">
        <v>193.0</v>
      </c>
      <c r="U34" s="77">
        <v>201.0</v>
      </c>
      <c r="V34" s="77">
        <v>202.0</v>
      </c>
      <c r="W34" s="13">
        <f t="shared" si="10"/>
        <v>3463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0.0</v>
      </c>
      <c r="L35" s="73">
        <v>0.0</v>
      </c>
      <c r="M35" s="73">
        <v>1.0</v>
      </c>
      <c r="N35" s="73">
        <v>0.0</v>
      </c>
      <c r="O35" s="73">
        <v>1.0</v>
      </c>
      <c r="P35" s="73">
        <v>0.0</v>
      </c>
      <c r="Q35" s="73">
        <v>0.0</v>
      </c>
      <c r="R35" s="73">
        <v>0.0</v>
      </c>
      <c r="S35" s="73">
        <v>0.0</v>
      </c>
      <c r="T35" s="73">
        <v>2.0</v>
      </c>
      <c r="U35" s="73">
        <v>1.0</v>
      </c>
      <c r="V35" s="73">
        <v>0.0</v>
      </c>
      <c r="W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V36" si="11">E33-(E34+E35)</f>
        <v>78</v>
      </c>
      <c r="F36" s="13">
        <f t="shared" si="11"/>
        <v>66</v>
      </c>
      <c r="G36" s="13">
        <f t="shared" si="11"/>
        <v>70</v>
      </c>
      <c r="H36" s="13">
        <f t="shared" si="11"/>
        <v>79</v>
      </c>
      <c r="I36" s="13">
        <f t="shared" si="11"/>
        <v>61</v>
      </c>
      <c r="J36" s="13">
        <f t="shared" si="11"/>
        <v>67</v>
      </c>
      <c r="K36" s="13">
        <f t="shared" si="11"/>
        <v>55</v>
      </c>
      <c r="L36" s="13">
        <f t="shared" si="11"/>
        <v>55</v>
      </c>
      <c r="M36" s="13">
        <f t="shared" si="11"/>
        <v>64</v>
      </c>
      <c r="N36" s="13">
        <f t="shared" si="11"/>
        <v>70</v>
      </c>
      <c r="O36" s="13">
        <f t="shared" si="11"/>
        <v>68</v>
      </c>
      <c r="P36" s="13">
        <f t="shared" si="11"/>
        <v>76</v>
      </c>
      <c r="Q36" s="13">
        <f t="shared" si="11"/>
        <v>61</v>
      </c>
      <c r="R36" s="13">
        <f t="shared" si="11"/>
        <v>69</v>
      </c>
      <c r="S36" s="13">
        <f t="shared" si="11"/>
        <v>67</v>
      </c>
      <c r="T36" s="13">
        <f t="shared" si="11"/>
        <v>60</v>
      </c>
      <c r="U36" s="13">
        <f t="shared" si="11"/>
        <v>40</v>
      </c>
      <c r="V36" s="13">
        <f t="shared" si="11"/>
        <v>72</v>
      </c>
      <c r="W36" s="13">
        <f t="shared" si="10"/>
        <v>1178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83"/>
      <c r="P37" s="83"/>
      <c r="Q37" s="83"/>
      <c r="R37" s="83"/>
      <c r="S37" s="83"/>
      <c r="T37" s="83"/>
      <c r="U37" s="83"/>
      <c r="V37" s="83"/>
      <c r="W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76"/>
      <c r="S38" s="76"/>
      <c r="T38" s="76"/>
      <c r="U38" s="76"/>
      <c r="V38" s="76"/>
      <c r="W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1.0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73">
        <v>0.0</v>
      </c>
      <c r="V39" s="73">
        <v>0.0</v>
      </c>
      <c r="W39" s="13">
        <f t="shared" ref="W39:W41" si="12">SUM(E39:V39)</f>
        <v>1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0.0</v>
      </c>
      <c r="T40" s="73">
        <v>0.0</v>
      </c>
      <c r="U40" s="73">
        <v>0.0</v>
      </c>
      <c r="V40" s="73">
        <v>0.0</v>
      </c>
      <c r="W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V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74"/>
      <c r="Q42" s="19"/>
      <c r="R42" s="74"/>
      <c r="S42" s="19"/>
      <c r="T42" s="74"/>
      <c r="U42" s="19"/>
      <c r="V42" s="74"/>
      <c r="W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76"/>
      <c r="S43" s="13"/>
      <c r="T43" s="76"/>
      <c r="U43" s="13"/>
      <c r="V43" s="76"/>
      <c r="W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74"/>
      <c r="S44" s="19"/>
      <c r="T44" s="74"/>
      <c r="U44" s="19"/>
      <c r="V44" s="74"/>
      <c r="W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1.0</v>
      </c>
      <c r="F45" s="73">
        <v>8.0</v>
      </c>
      <c r="G45" s="73">
        <v>4.0</v>
      </c>
      <c r="H45" s="73">
        <v>8.0</v>
      </c>
      <c r="I45" s="73">
        <v>4.0</v>
      </c>
      <c r="J45" s="73">
        <v>1.0</v>
      </c>
      <c r="K45" s="73">
        <v>9.0</v>
      </c>
      <c r="L45" s="73">
        <v>6.0</v>
      </c>
      <c r="M45" s="73">
        <v>14.0</v>
      </c>
      <c r="N45" s="73">
        <v>4.0</v>
      </c>
      <c r="O45" s="73">
        <v>5.0</v>
      </c>
      <c r="P45" s="73">
        <v>13.0</v>
      </c>
      <c r="Q45" s="73">
        <v>8.0</v>
      </c>
      <c r="R45" s="73">
        <v>6.0</v>
      </c>
      <c r="S45" s="73">
        <v>3.0</v>
      </c>
      <c r="T45" s="73">
        <v>7.0</v>
      </c>
      <c r="U45" s="73">
        <v>5.0</v>
      </c>
      <c r="V45" s="73">
        <v>11.0</v>
      </c>
      <c r="W45" s="13">
        <f t="shared" ref="W45:W54" si="14">SUM(E45:V45)</f>
        <v>117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26.0</v>
      </c>
      <c r="F46" s="73">
        <v>15.0</v>
      </c>
      <c r="G46" s="73">
        <v>17.0</v>
      </c>
      <c r="H46" s="73">
        <v>23.0</v>
      </c>
      <c r="I46" s="73">
        <v>13.0</v>
      </c>
      <c r="J46" s="73">
        <v>10.0</v>
      </c>
      <c r="K46" s="73">
        <v>11.0</v>
      </c>
      <c r="L46" s="73">
        <v>5.0</v>
      </c>
      <c r="M46" s="73">
        <v>22.0</v>
      </c>
      <c r="N46" s="73">
        <v>18.0</v>
      </c>
      <c r="O46" s="73">
        <v>7.0</v>
      </c>
      <c r="P46" s="73">
        <v>29.0</v>
      </c>
      <c r="Q46" s="73">
        <v>21.0</v>
      </c>
      <c r="R46" s="73">
        <v>8.0</v>
      </c>
      <c r="S46" s="73">
        <v>8.0</v>
      </c>
      <c r="T46" s="73">
        <v>7.0</v>
      </c>
      <c r="U46" s="73">
        <v>16.0</v>
      </c>
      <c r="V46" s="73">
        <v>34.0</v>
      </c>
      <c r="W46" s="13">
        <f t="shared" si="14"/>
        <v>290</v>
      </c>
    </row>
    <row r="47" ht="12.75" customHeight="1">
      <c r="A47" s="18"/>
      <c r="B47" s="49"/>
      <c r="C47" s="50" t="s">
        <v>41</v>
      </c>
      <c r="D47" s="51"/>
      <c r="E47" s="73">
        <v>0.0</v>
      </c>
      <c r="F47" s="73">
        <v>1.0</v>
      </c>
      <c r="G47" s="73">
        <v>3.0</v>
      </c>
      <c r="H47" s="73">
        <v>1.0</v>
      </c>
      <c r="I47" s="73">
        <v>1.0</v>
      </c>
      <c r="J47" s="73">
        <v>0.0</v>
      </c>
      <c r="K47" s="73">
        <v>1.0</v>
      </c>
      <c r="L47" s="73">
        <v>0.0</v>
      </c>
      <c r="M47" s="73">
        <v>3.0</v>
      </c>
      <c r="N47" s="73">
        <v>5.0</v>
      </c>
      <c r="O47" s="73">
        <v>0.0</v>
      </c>
      <c r="P47" s="73">
        <v>4.0</v>
      </c>
      <c r="Q47" s="73">
        <v>1.0</v>
      </c>
      <c r="R47" s="73">
        <v>2.0</v>
      </c>
      <c r="S47" s="73">
        <v>0.0</v>
      </c>
      <c r="T47" s="73">
        <v>2.0</v>
      </c>
      <c r="U47" s="73">
        <v>2.0</v>
      </c>
      <c r="V47" s="73">
        <v>2.0</v>
      </c>
      <c r="W47" s="13">
        <f t="shared" si="14"/>
        <v>28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2.0</v>
      </c>
      <c r="G48" s="73">
        <v>2.0</v>
      </c>
      <c r="H48" s="73">
        <v>1.0</v>
      </c>
      <c r="I48" s="73">
        <v>0.0</v>
      </c>
      <c r="J48" s="73">
        <v>1.0</v>
      </c>
      <c r="K48" s="73">
        <v>0.0</v>
      </c>
      <c r="L48" s="73">
        <v>0.0</v>
      </c>
      <c r="M48" s="73">
        <v>1.0</v>
      </c>
      <c r="N48" s="73">
        <v>0.0</v>
      </c>
      <c r="O48" s="73">
        <v>0.0</v>
      </c>
      <c r="P48" s="73">
        <v>2.0</v>
      </c>
      <c r="Q48" s="73">
        <v>1.0</v>
      </c>
      <c r="R48" s="73">
        <v>0.0</v>
      </c>
      <c r="S48" s="73">
        <v>1.0</v>
      </c>
      <c r="T48" s="73">
        <v>1.0</v>
      </c>
      <c r="U48" s="73">
        <v>0.0</v>
      </c>
      <c r="V48" s="73">
        <v>0.0</v>
      </c>
      <c r="W48" s="13">
        <f t="shared" si="14"/>
        <v>12</v>
      </c>
    </row>
    <row r="49" ht="12.75" customHeight="1">
      <c r="A49" s="18"/>
      <c r="B49" s="49"/>
      <c r="C49" s="50" t="s">
        <v>43</v>
      </c>
      <c r="D49" s="51"/>
      <c r="E49" s="73">
        <v>1.0</v>
      </c>
      <c r="F49" s="73">
        <v>2.0</v>
      </c>
      <c r="G49" s="73">
        <v>1.0</v>
      </c>
      <c r="H49" s="73">
        <v>1.0</v>
      </c>
      <c r="I49" s="73">
        <v>1.0</v>
      </c>
      <c r="J49" s="73">
        <v>1.0</v>
      </c>
      <c r="K49" s="73">
        <v>3.0</v>
      </c>
      <c r="L49" s="73">
        <v>1.0</v>
      </c>
      <c r="M49" s="73">
        <v>2.0</v>
      </c>
      <c r="N49" s="73">
        <v>0.0</v>
      </c>
      <c r="O49" s="73">
        <v>1.0</v>
      </c>
      <c r="P49" s="73">
        <v>2.0</v>
      </c>
      <c r="Q49" s="73">
        <v>0.0</v>
      </c>
      <c r="R49" s="73">
        <v>2.0</v>
      </c>
      <c r="S49" s="73">
        <v>0.0</v>
      </c>
      <c r="T49" s="73">
        <v>0.0</v>
      </c>
      <c r="U49" s="73">
        <v>3.0</v>
      </c>
      <c r="V49" s="73">
        <v>2.0</v>
      </c>
      <c r="W49" s="13">
        <f t="shared" si="14"/>
        <v>23</v>
      </c>
    </row>
    <row r="50" ht="12.75" customHeight="1">
      <c r="A50" s="18"/>
      <c r="B50" s="49"/>
      <c r="C50" s="50" t="s">
        <v>44</v>
      </c>
      <c r="D50" s="51"/>
      <c r="E50" s="73">
        <v>0.0</v>
      </c>
      <c r="F50" s="73">
        <v>0.0</v>
      </c>
      <c r="G50" s="73">
        <v>0.0</v>
      </c>
      <c r="H50" s="73">
        <v>1.0</v>
      </c>
      <c r="I50" s="73">
        <v>0.0</v>
      </c>
      <c r="J50" s="73">
        <v>1.0</v>
      </c>
      <c r="K50" s="73">
        <v>0.0</v>
      </c>
      <c r="L50" s="73">
        <v>1.0</v>
      </c>
      <c r="M50" s="73">
        <v>1.0</v>
      </c>
      <c r="N50" s="73">
        <v>2.0</v>
      </c>
      <c r="O50" s="73">
        <v>0.0</v>
      </c>
      <c r="P50" s="73">
        <v>0.0</v>
      </c>
      <c r="Q50" s="73">
        <v>1.0</v>
      </c>
      <c r="R50" s="73">
        <v>0.0</v>
      </c>
      <c r="S50" s="73">
        <v>1.0</v>
      </c>
      <c r="T50" s="73">
        <v>0.0</v>
      </c>
      <c r="U50" s="73">
        <v>1.0</v>
      </c>
      <c r="V50" s="73">
        <v>2.0</v>
      </c>
      <c r="W50" s="13">
        <f t="shared" si="14"/>
        <v>11</v>
      </c>
    </row>
    <row r="51" ht="12.75" customHeight="1">
      <c r="A51" s="18"/>
      <c r="B51" s="49"/>
      <c r="C51" s="50" t="s">
        <v>45</v>
      </c>
      <c r="D51" s="51"/>
      <c r="E51" s="73">
        <v>0.0</v>
      </c>
      <c r="F51" s="73">
        <v>1.0</v>
      </c>
      <c r="G51" s="73">
        <v>2.0</v>
      </c>
      <c r="H51" s="73">
        <v>1.0</v>
      </c>
      <c r="I51" s="73">
        <v>0.0</v>
      </c>
      <c r="J51" s="73">
        <v>0.0</v>
      </c>
      <c r="K51" s="73">
        <v>0.0</v>
      </c>
      <c r="L51" s="73">
        <v>0.0</v>
      </c>
      <c r="M51" s="73">
        <v>1.0</v>
      </c>
      <c r="N51" s="73">
        <v>0.0</v>
      </c>
      <c r="O51" s="73">
        <v>0.0</v>
      </c>
      <c r="P51" s="73">
        <v>0.0</v>
      </c>
      <c r="Q51" s="73">
        <v>0.0</v>
      </c>
      <c r="R51" s="73">
        <v>0.0</v>
      </c>
      <c r="S51" s="73">
        <v>0.0</v>
      </c>
      <c r="T51" s="73">
        <v>2.0</v>
      </c>
      <c r="U51" s="73">
        <v>2.0</v>
      </c>
      <c r="V51" s="73">
        <v>1.0</v>
      </c>
      <c r="W51" s="13">
        <f t="shared" si="14"/>
        <v>10</v>
      </c>
    </row>
    <row r="52" ht="12.75" customHeight="1">
      <c r="A52" s="18"/>
      <c r="B52" s="49"/>
      <c r="C52" s="50" t="s">
        <v>46</v>
      </c>
      <c r="D52" s="51"/>
      <c r="E52" s="73">
        <v>1.0</v>
      </c>
      <c r="F52" s="73">
        <v>0.0</v>
      </c>
      <c r="G52" s="73">
        <v>0.0</v>
      </c>
      <c r="H52" s="73">
        <v>0.0</v>
      </c>
      <c r="I52" s="73">
        <v>1.0</v>
      </c>
      <c r="J52" s="73">
        <v>0.0</v>
      </c>
      <c r="K52" s="73">
        <v>0.0</v>
      </c>
      <c r="L52" s="73">
        <v>1.0</v>
      </c>
      <c r="M52" s="73">
        <v>0.0</v>
      </c>
      <c r="N52" s="73">
        <v>0.0</v>
      </c>
      <c r="O52" s="73">
        <v>0.0</v>
      </c>
      <c r="P52" s="73">
        <v>1.0</v>
      </c>
      <c r="Q52" s="73">
        <v>0.0</v>
      </c>
      <c r="R52" s="73">
        <v>0.0</v>
      </c>
      <c r="S52" s="73">
        <v>0.0</v>
      </c>
      <c r="T52" s="73">
        <v>0.0</v>
      </c>
      <c r="U52" s="73">
        <v>2.0</v>
      </c>
      <c r="V52" s="73">
        <v>2.0</v>
      </c>
      <c r="W52" s="13">
        <f t="shared" si="14"/>
        <v>8</v>
      </c>
    </row>
    <row r="53" ht="12.75" customHeight="1">
      <c r="A53" s="18"/>
      <c r="B53" s="49"/>
      <c r="C53" s="50" t="s">
        <v>47</v>
      </c>
      <c r="D53" s="56"/>
      <c r="E53" s="73">
        <v>0.0</v>
      </c>
      <c r="F53" s="73">
        <v>0.0</v>
      </c>
      <c r="G53" s="73">
        <v>0.0</v>
      </c>
      <c r="H53" s="73">
        <v>0.0</v>
      </c>
      <c r="I53" s="73">
        <v>0.0</v>
      </c>
      <c r="J53" s="73">
        <v>0.0</v>
      </c>
      <c r="K53" s="73">
        <v>0.0</v>
      </c>
      <c r="L53" s="73">
        <v>1.0</v>
      </c>
      <c r="M53" s="73">
        <v>1.0</v>
      </c>
      <c r="N53" s="73">
        <v>0.0</v>
      </c>
      <c r="O53" s="73">
        <v>0.0</v>
      </c>
      <c r="P53" s="73">
        <v>1.0</v>
      </c>
      <c r="Q53" s="73">
        <v>0.0</v>
      </c>
      <c r="R53" s="73">
        <v>0.0</v>
      </c>
      <c r="S53" s="73">
        <v>0.0</v>
      </c>
      <c r="T53" s="73">
        <v>0.0</v>
      </c>
      <c r="U53" s="73">
        <v>0.0</v>
      </c>
      <c r="V53" s="73">
        <v>0.0</v>
      </c>
      <c r="W53" s="13">
        <f t="shared" si="14"/>
        <v>3</v>
      </c>
    </row>
    <row r="54" ht="12.75" customHeight="1">
      <c r="A54" s="18"/>
      <c r="B54" s="49"/>
      <c r="C54" s="50" t="s">
        <v>48</v>
      </c>
      <c r="D54" s="51"/>
      <c r="E54" s="73">
        <v>2.0</v>
      </c>
      <c r="F54" s="73">
        <v>3.0</v>
      </c>
      <c r="G54" s="73">
        <v>0.0</v>
      </c>
      <c r="H54" s="73">
        <v>1.0</v>
      </c>
      <c r="I54" s="73">
        <v>0.0</v>
      </c>
      <c r="J54" s="73">
        <v>1.0</v>
      </c>
      <c r="K54" s="73">
        <v>0.0</v>
      </c>
      <c r="L54" s="73">
        <v>0.0</v>
      </c>
      <c r="M54" s="73">
        <v>0.0</v>
      </c>
      <c r="N54" s="73">
        <v>0.0</v>
      </c>
      <c r="O54" s="73">
        <v>0.0</v>
      </c>
      <c r="P54" s="73">
        <v>0.0</v>
      </c>
      <c r="Q54" s="73">
        <v>1.0</v>
      </c>
      <c r="R54" s="73">
        <v>0.0</v>
      </c>
      <c r="S54" s="73">
        <v>0.0</v>
      </c>
      <c r="T54" s="73">
        <v>2.0</v>
      </c>
      <c r="U54" s="73">
        <v>1.0</v>
      </c>
      <c r="V54" s="73">
        <v>0.0</v>
      </c>
      <c r="W54" s="13">
        <f t="shared" si="14"/>
        <v>11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W55" si="15">SUM(E45:E54)</f>
        <v>31</v>
      </c>
      <c r="F55" s="13">
        <f t="shared" si="15"/>
        <v>32</v>
      </c>
      <c r="G55" s="13">
        <f t="shared" si="15"/>
        <v>29</v>
      </c>
      <c r="H55" s="13">
        <f t="shared" si="15"/>
        <v>37</v>
      </c>
      <c r="I55" s="13">
        <f t="shared" si="15"/>
        <v>20</v>
      </c>
      <c r="J55" s="13">
        <f t="shared" si="15"/>
        <v>15</v>
      </c>
      <c r="K55" s="13">
        <f t="shared" si="15"/>
        <v>24</v>
      </c>
      <c r="L55" s="13">
        <f t="shared" si="15"/>
        <v>15</v>
      </c>
      <c r="M55" s="13">
        <f t="shared" si="15"/>
        <v>45</v>
      </c>
      <c r="N55" s="13">
        <f t="shared" si="15"/>
        <v>29</v>
      </c>
      <c r="O55" s="13">
        <f t="shared" si="15"/>
        <v>13</v>
      </c>
      <c r="P55" s="13">
        <f t="shared" si="15"/>
        <v>52</v>
      </c>
      <c r="Q55" s="13">
        <f t="shared" si="15"/>
        <v>33</v>
      </c>
      <c r="R55" s="13">
        <f t="shared" si="15"/>
        <v>18</v>
      </c>
      <c r="S55" s="13">
        <f t="shared" si="15"/>
        <v>13</v>
      </c>
      <c r="T55" s="13">
        <f t="shared" si="15"/>
        <v>21</v>
      </c>
      <c r="U55" s="13">
        <f t="shared" si="15"/>
        <v>32</v>
      </c>
      <c r="V55" s="13">
        <f t="shared" si="15"/>
        <v>54</v>
      </c>
      <c r="W55" s="13">
        <f t="shared" si="15"/>
        <v>513</v>
      </c>
    </row>
    <row r="56" ht="12.75" customHeight="1">
      <c r="A56" s="45"/>
      <c r="B56" s="44"/>
      <c r="C56" s="44"/>
      <c r="D56" s="44"/>
      <c r="E56" s="44"/>
      <c r="W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6.0</v>
      </c>
      <c r="F57" s="73">
        <v>8.0</v>
      </c>
      <c r="G57" s="73">
        <v>10.0</v>
      </c>
      <c r="H57" s="73">
        <v>9.0</v>
      </c>
      <c r="I57" s="73">
        <v>8.0</v>
      </c>
      <c r="J57" s="73">
        <v>1.0</v>
      </c>
      <c r="K57" s="73">
        <v>9.0</v>
      </c>
      <c r="L57" s="73">
        <v>3.0</v>
      </c>
      <c r="M57" s="73">
        <v>5.0</v>
      </c>
      <c r="N57" s="73">
        <v>8.0</v>
      </c>
      <c r="O57" s="73">
        <v>16.0</v>
      </c>
      <c r="P57" s="73">
        <v>4.0</v>
      </c>
      <c r="Q57" s="73">
        <v>2.0</v>
      </c>
      <c r="R57" s="73">
        <v>1.0</v>
      </c>
      <c r="S57" s="73">
        <v>3.0</v>
      </c>
      <c r="T57" s="73">
        <v>15.0</v>
      </c>
      <c r="U57" s="73">
        <v>4.0</v>
      </c>
      <c r="V57" s="73">
        <v>8.0</v>
      </c>
      <c r="W57" s="13">
        <f t="shared" ref="W57:W66" si="16">SUM(E57:V57)</f>
        <v>120</v>
      </c>
    </row>
    <row r="58" ht="12.75" customHeight="1">
      <c r="A58" s="30" t="s">
        <v>39</v>
      </c>
      <c r="B58" s="49"/>
      <c r="C58" s="50" t="s">
        <v>51</v>
      </c>
      <c r="D58" s="51"/>
      <c r="E58" s="73">
        <v>12.0</v>
      </c>
      <c r="F58" s="73">
        <v>17.0</v>
      </c>
      <c r="G58" s="73">
        <v>46.0</v>
      </c>
      <c r="H58" s="73">
        <v>37.0</v>
      </c>
      <c r="I58" s="73">
        <v>17.0</v>
      </c>
      <c r="J58" s="73">
        <v>8.0</v>
      </c>
      <c r="K58" s="73">
        <v>2.0</v>
      </c>
      <c r="L58" s="73">
        <v>7.0</v>
      </c>
      <c r="M58" s="73">
        <v>11.0</v>
      </c>
      <c r="N58" s="73">
        <v>14.0</v>
      </c>
      <c r="O58" s="73">
        <v>5.0</v>
      </c>
      <c r="P58" s="73">
        <v>25.0</v>
      </c>
      <c r="Q58" s="73">
        <v>18.0</v>
      </c>
      <c r="R58" s="73">
        <v>4.0</v>
      </c>
      <c r="S58" s="73">
        <v>4.0</v>
      </c>
      <c r="T58" s="73">
        <v>6.0</v>
      </c>
      <c r="U58" s="73">
        <v>28.0</v>
      </c>
      <c r="V58" s="73">
        <v>11.0</v>
      </c>
      <c r="W58" s="13">
        <f t="shared" si="16"/>
        <v>272</v>
      </c>
    </row>
    <row r="59" ht="12.75" customHeight="1">
      <c r="A59" s="18"/>
      <c r="B59" s="49"/>
      <c r="C59" s="50" t="s">
        <v>52</v>
      </c>
      <c r="D59" s="51"/>
      <c r="E59" s="73">
        <v>7.0</v>
      </c>
      <c r="F59" s="73">
        <v>6.0</v>
      </c>
      <c r="G59" s="73">
        <v>7.0</v>
      </c>
      <c r="H59" s="73">
        <v>4.0</v>
      </c>
      <c r="I59" s="73">
        <v>8.0</v>
      </c>
      <c r="J59" s="73">
        <v>2.0</v>
      </c>
      <c r="K59" s="73">
        <v>12.0</v>
      </c>
      <c r="L59" s="73">
        <v>7.0</v>
      </c>
      <c r="M59" s="73">
        <v>10.0</v>
      </c>
      <c r="N59" s="73">
        <v>14.0</v>
      </c>
      <c r="O59" s="73">
        <v>7.0</v>
      </c>
      <c r="P59" s="73">
        <v>10.0</v>
      </c>
      <c r="Q59" s="73">
        <v>3.0</v>
      </c>
      <c r="R59" s="73">
        <v>14.0</v>
      </c>
      <c r="S59" s="73">
        <v>12.0</v>
      </c>
      <c r="T59" s="73">
        <v>23.0</v>
      </c>
      <c r="U59" s="73">
        <v>10.0</v>
      </c>
      <c r="V59" s="73">
        <v>9.0</v>
      </c>
      <c r="W59" s="13">
        <f t="shared" si="16"/>
        <v>165</v>
      </c>
    </row>
    <row r="60" ht="12.75" customHeight="1">
      <c r="A60" s="18"/>
      <c r="B60" s="49"/>
      <c r="C60" s="50" t="s">
        <v>53</v>
      </c>
      <c r="D60" s="51"/>
      <c r="E60" s="73">
        <v>1.0</v>
      </c>
      <c r="F60" s="73">
        <v>1.0</v>
      </c>
      <c r="G60" s="73">
        <v>0.0</v>
      </c>
      <c r="H60" s="73">
        <v>0.0</v>
      </c>
      <c r="I60" s="73">
        <v>2.0</v>
      </c>
      <c r="J60" s="73">
        <v>0.0</v>
      </c>
      <c r="K60" s="73">
        <v>0.0</v>
      </c>
      <c r="L60" s="73">
        <v>2.0</v>
      </c>
      <c r="M60" s="73">
        <v>2.0</v>
      </c>
      <c r="N60" s="73">
        <v>0.0</v>
      </c>
      <c r="O60" s="73">
        <v>1.0</v>
      </c>
      <c r="P60" s="73">
        <v>0.0</v>
      </c>
      <c r="Q60" s="73">
        <v>2.0</v>
      </c>
      <c r="R60" s="73">
        <v>1.0</v>
      </c>
      <c r="S60" s="73">
        <v>1.0</v>
      </c>
      <c r="T60" s="73">
        <v>1.0</v>
      </c>
      <c r="U60" s="73">
        <v>0.0</v>
      </c>
      <c r="V60" s="73">
        <v>2.0</v>
      </c>
      <c r="W60" s="13">
        <f t="shared" si="16"/>
        <v>16</v>
      </c>
    </row>
    <row r="61" ht="12.75" customHeight="1">
      <c r="A61" s="18"/>
      <c r="B61" s="49"/>
      <c r="C61" s="50" t="s">
        <v>54</v>
      </c>
      <c r="D61" s="51"/>
      <c r="E61" s="73">
        <v>4.0</v>
      </c>
      <c r="F61" s="73">
        <v>9.0</v>
      </c>
      <c r="G61" s="73">
        <v>3.0</v>
      </c>
      <c r="H61" s="73">
        <v>5.0</v>
      </c>
      <c r="I61" s="73">
        <v>5.0</v>
      </c>
      <c r="J61" s="73">
        <v>15.0</v>
      </c>
      <c r="K61" s="73">
        <v>23.0</v>
      </c>
      <c r="L61" s="73">
        <v>0.0</v>
      </c>
      <c r="M61" s="73">
        <v>18.0</v>
      </c>
      <c r="N61" s="73">
        <v>43.0</v>
      </c>
      <c r="O61" s="73">
        <v>18.0</v>
      </c>
      <c r="P61" s="73">
        <v>5.0</v>
      </c>
      <c r="Q61" s="73">
        <v>43.0</v>
      </c>
      <c r="R61" s="73">
        <v>5.0</v>
      </c>
      <c r="S61" s="73">
        <v>2.0</v>
      </c>
      <c r="T61" s="73">
        <v>12.0</v>
      </c>
      <c r="U61" s="73">
        <v>2.0</v>
      </c>
      <c r="V61" s="73">
        <v>31.0</v>
      </c>
      <c r="W61" s="13">
        <f t="shared" si="16"/>
        <v>243</v>
      </c>
    </row>
    <row r="62" ht="12.75" customHeight="1">
      <c r="A62" s="18"/>
      <c r="B62" s="49"/>
      <c r="C62" s="50" t="s">
        <v>55</v>
      </c>
      <c r="D62" s="51"/>
      <c r="E62" s="73">
        <v>2.0</v>
      </c>
      <c r="F62" s="73">
        <v>1.0</v>
      </c>
      <c r="G62" s="73">
        <v>1.0</v>
      </c>
      <c r="H62" s="73">
        <v>0.0</v>
      </c>
      <c r="I62" s="73">
        <v>2.0</v>
      </c>
      <c r="J62" s="73">
        <v>1.0</v>
      </c>
      <c r="K62" s="73">
        <v>1.0</v>
      </c>
      <c r="L62" s="73">
        <v>1.0</v>
      </c>
      <c r="M62" s="73">
        <v>0.0</v>
      </c>
      <c r="N62" s="73">
        <v>2.0</v>
      </c>
      <c r="O62" s="73">
        <v>1.0</v>
      </c>
      <c r="P62" s="73">
        <v>0.0</v>
      </c>
      <c r="Q62" s="73">
        <v>1.0</v>
      </c>
      <c r="R62" s="73">
        <v>1.0</v>
      </c>
      <c r="S62" s="73">
        <v>0.0</v>
      </c>
      <c r="T62" s="73">
        <v>0.0</v>
      </c>
      <c r="U62" s="73">
        <v>0.0</v>
      </c>
      <c r="V62" s="73">
        <v>1.0</v>
      </c>
      <c r="W62" s="13">
        <f t="shared" si="16"/>
        <v>15</v>
      </c>
    </row>
    <row r="63" ht="12.75" customHeight="1">
      <c r="A63" s="18"/>
      <c r="B63" s="49"/>
      <c r="C63" s="50" t="s">
        <v>56</v>
      </c>
      <c r="D63" s="51"/>
      <c r="E63" s="73">
        <v>0.0</v>
      </c>
      <c r="F63" s="73">
        <v>0.0</v>
      </c>
      <c r="G63" s="73">
        <v>0.0</v>
      </c>
      <c r="H63" s="73">
        <v>1.0</v>
      </c>
      <c r="I63" s="73">
        <v>0.0</v>
      </c>
      <c r="J63" s="73">
        <v>1.0</v>
      </c>
      <c r="K63" s="73">
        <v>0.0</v>
      </c>
      <c r="L63" s="73">
        <v>0.0</v>
      </c>
      <c r="M63" s="73">
        <v>0.0</v>
      </c>
      <c r="N63" s="73">
        <v>2.0</v>
      </c>
      <c r="O63" s="73">
        <v>0.0</v>
      </c>
      <c r="P63" s="73">
        <v>1.0</v>
      </c>
      <c r="Q63" s="73">
        <v>0.0</v>
      </c>
      <c r="R63" s="73">
        <v>0.0</v>
      </c>
      <c r="S63" s="73">
        <v>0.0</v>
      </c>
      <c r="T63" s="73">
        <v>2.0</v>
      </c>
      <c r="U63" s="73">
        <v>1.0</v>
      </c>
      <c r="V63" s="73">
        <v>0.0</v>
      </c>
      <c r="W63" s="13">
        <f t="shared" si="16"/>
        <v>8</v>
      </c>
    </row>
    <row r="64" ht="12.75" customHeight="1">
      <c r="A64" s="18"/>
      <c r="B64" s="49"/>
      <c r="C64" s="50" t="s">
        <v>57</v>
      </c>
      <c r="D64" s="51"/>
      <c r="E64" s="73">
        <v>0.0</v>
      </c>
      <c r="F64" s="73">
        <v>0.0</v>
      </c>
      <c r="G64" s="73">
        <v>0.0</v>
      </c>
      <c r="H64" s="73">
        <v>0.0</v>
      </c>
      <c r="I64" s="73">
        <v>0.0</v>
      </c>
      <c r="J64" s="73">
        <v>0.0</v>
      </c>
      <c r="K64" s="73">
        <v>0.0</v>
      </c>
      <c r="L64" s="73">
        <v>0.0</v>
      </c>
      <c r="M64" s="73">
        <v>0.0</v>
      </c>
      <c r="N64" s="73">
        <v>0.0</v>
      </c>
      <c r="O64" s="73">
        <v>0.0</v>
      </c>
      <c r="P64" s="73">
        <v>0.0</v>
      </c>
      <c r="Q64" s="73">
        <v>1.0</v>
      </c>
      <c r="R64" s="73">
        <v>0.0</v>
      </c>
      <c r="S64" s="73">
        <v>1.0</v>
      </c>
      <c r="T64" s="73">
        <v>0.0</v>
      </c>
      <c r="U64" s="73">
        <v>0.0</v>
      </c>
      <c r="V64" s="73">
        <v>0.0</v>
      </c>
      <c r="W64" s="13">
        <f t="shared" si="16"/>
        <v>2</v>
      </c>
    </row>
    <row r="65" ht="12.75" customHeight="1">
      <c r="A65" s="18"/>
      <c r="B65" s="49"/>
      <c r="C65" s="50" t="s">
        <v>58</v>
      </c>
      <c r="D65" s="51"/>
      <c r="E65" s="73">
        <v>0.0</v>
      </c>
      <c r="F65" s="73">
        <v>0.0</v>
      </c>
      <c r="G65" s="73">
        <v>0.0</v>
      </c>
      <c r="H65" s="73">
        <v>0.0</v>
      </c>
      <c r="I65" s="73">
        <v>0.0</v>
      </c>
      <c r="J65" s="73">
        <v>0.0</v>
      </c>
      <c r="K65" s="73">
        <v>0.0</v>
      </c>
      <c r="L65" s="73">
        <v>1.0</v>
      </c>
      <c r="M65" s="73">
        <v>0.0</v>
      </c>
      <c r="N65" s="73">
        <v>0.0</v>
      </c>
      <c r="O65" s="73">
        <v>1.0</v>
      </c>
      <c r="P65" s="73">
        <v>0.0</v>
      </c>
      <c r="Q65" s="73">
        <v>1.0</v>
      </c>
      <c r="R65" s="73">
        <v>1.0</v>
      </c>
      <c r="S65" s="73">
        <v>0.0</v>
      </c>
      <c r="T65" s="73">
        <v>0.0</v>
      </c>
      <c r="U65" s="73">
        <v>0.0</v>
      </c>
      <c r="V65" s="73">
        <v>0.0</v>
      </c>
      <c r="W65" s="13">
        <f t="shared" si="16"/>
        <v>4</v>
      </c>
    </row>
    <row r="66" ht="12.75" customHeight="1">
      <c r="A66" s="18"/>
      <c r="B66" s="49"/>
      <c r="C66" s="50" t="s">
        <v>59</v>
      </c>
      <c r="D66" s="51"/>
      <c r="E66" s="73">
        <v>1.0</v>
      </c>
      <c r="F66" s="73">
        <v>0.0</v>
      </c>
      <c r="G66" s="73">
        <v>2.0</v>
      </c>
      <c r="H66" s="73">
        <v>0.0</v>
      </c>
      <c r="I66" s="73">
        <v>0.0</v>
      </c>
      <c r="J66" s="73">
        <v>0.0</v>
      </c>
      <c r="K66" s="73">
        <v>0.0</v>
      </c>
      <c r="L66" s="73">
        <v>0.0</v>
      </c>
      <c r="M66" s="73">
        <v>0.0</v>
      </c>
      <c r="N66" s="73">
        <v>0.0</v>
      </c>
      <c r="O66" s="73">
        <v>0.0</v>
      </c>
      <c r="P66" s="73">
        <v>1.0</v>
      </c>
      <c r="Q66" s="73">
        <v>0.0</v>
      </c>
      <c r="R66" s="73">
        <v>1.0</v>
      </c>
      <c r="S66" s="73">
        <v>1.0</v>
      </c>
      <c r="T66" s="73">
        <v>0.0</v>
      </c>
      <c r="U66" s="73">
        <v>0.0</v>
      </c>
      <c r="V66" s="73">
        <v>0.0</v>
      </c>
      <c r="W66" s="13">
        <f t="shared" si="16"/>
        <v>6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W67" si="17">SUM(E57:E66)</f>
        <v>33</v>
      </c>
      <c r="F67" s="13">
        <f t="shared" si="17"/>
        <v>42</v>
      </c>
      <c r="G67" s="13">
        <f t="shared" si="17"/>
        <v>69</v>
      </c>
      <c r="H67" s="13">
        <f t="shared" si="17"/>
        <v>56</v>
      </c>
      <c r="I67" s="13">
        <f t="shared" si="17"/>
        <v>42</v>
      </c>
      <c r="J67" s="13">
        <f t="shared" si="17"/>
        <v>28</v>
      </c>
      <c r="K67" s="13">
        <f t="shared" si="17"/>
        <v>47</v>
      </c>
      <c r="L67" s="13">
        <f t="shared" si="17"/>
        <v>21</v>
      </c>
      <c r="M67" s="13">
        <f t="shared" si="17"/>
        <v>46</v>
      </c>
      <c r="N67" s="13">
        <f t="shared" si="17"/>
        <v>83</v>
      </c>
      <c r="O67" s="13">
        <f t="shared" si="17"/>
        <v>49</v>
      </c>
      <c r="P67" s="13">
        <f t="shared" si="17"/>
        <v>46</v>
      </c>
      <c r="Q67" s="13">
        <f t="shared" si="17"/>
        <v>71</v>
      </c>
      <c r="R67" s="13">
        <f t="shared" si="17"/>
        <v>28</v>
      </c>
      <c r="S67" s="13">
        <f t="shared" si="17"/>
        <v>24</v>
      </c>
      <c r="T67" s="13">
        <f t="shared" si="17"/>
        <v>59</v>
      </c>
      <c r="U67" s="13">
        <f t="shared" si="17"/>
        <v>45</v>
      </c>
      <c r="V67" s="13">
        <f t="shared" si="17"/>
        <v>62</v>
      </c>
      <c r="W67" s="13">
        <f t="shared" si="17"/>
        <v>851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3.0</v>
      </c>
      <c r="F69" s="73">
        <v>12.0</v>
      </c>
      <c r="G69" s="73">
        <v>7.0</v>
      </c>
      <c r="H69" s="73">
        <v>7.0</v>
      </c>
      <c r="I69" s="73">
        <v>9.0</v>
      </c>
      <c r="J69" s="73">
        <v>10.0</v>
      </c>
      <c r="K69" s="73">
        <v>5.0</v>
      </c>
      <c r="L69" s="73">
        <v>17.0</v>
      </c>
      <c r="M69" s="73">
        <v>11.0</v>
      </c>
      <c r="N69" s="73">
        <v>6.0</v>
      </c>
      <c r="O69" s="73">
        <v>16.0</v>
      </c>
      <c r="P69" s="73">
        <v>13.0</v>
      </c>
      <c r="Q69" s="73">
        <v>12.0</v>
      </c>
      <c r="R69" s="73">
        <v>8.0</v>
      </c>
      <c r="S69" s="73">
        <v>5.0</v>
      </c>
      <c r="T69" s="73">
        <v>11.0</v>
      </c>
      <c r="U69" s="73">
        <v>8.0</v>
      </c>
      <c r="V69" s="73">
        <v>5.0</v>
      </c>
      <c r="W69" s="13">
        <f t="shared" ref="W69:W78" si="18">SUM(E69:V69)</f>
        <v>165</v>
      </c>
    </row>
    <row r="70" ht="12.75" customHeight="1">
      <c r="A70" s="30" t="s">
        <v>39</v>
      </c>
      <c r="B70" s="49"/>
      <c r="C70" s="50" t="s">
        <v>61</v>
      </c>
      <c r="D70" s="51"/>
      <c r="E70" s="73">
        <v>7.0</v>
      </c>
      <c r="F70" s="73">
        <v>5.0</v>
      </c>
      <c r="G70" s="73">
        <v>4.0</v>
      </c>
      <c r="H70" s="73">
        <v>0.0</v>
      </c>
      <c r="I70" s="73">
        <v>2.0</v>
      </c>
      <c r="J70" s="73">
        <v>3.0</v>
      </c>
      <c r="K70" s="73">
        <v>2.0</v>
      </c>
      <c r="L70" s="73">
        <v>11.0</v>
      </c>
      <c r="M70" s="73">
        <v>6.0</v>
      </c>
      <c r="N70" s="73">
        <v>2.0</v>
      </c>
      <c r="O70" s="73">
        <v>8.0</v>
      </c>
      <c r="P70" s="73">
        <v>7.0</v>
      </c>
      <c r="Q70" s="73">
        <v>2.0</v>
      </c>
      <c r="R70" s="73">
        <v>5.0</v>
      </c>
      <c r="S70" s="73">
        <v>4.0</v>
      </c>
      <c r="T70" s="73">
        <v>5.0</v>
      </c>
      <c r="U70" s="73">
        <v>10.0</v>
      </c>
      <c r="V70" s="73">
        <v>8.0</v>
      </c>
      <c r="W70" s="13">
        <f t="shared" si="18"/>
        <v>91</v>
      </c>
    </row>
    <row r="71" ht="12.75" customHeight="1">
      <c r="A71" s="18"/>
      <c r="B71" s="49"/>
      <c r="C71" s="50" t="s">
        <v>62</v>
      </c>
      <c r="D71" s="51"/>
      <c r="E71" s="73">
        <v>2.0</v>
      </c>
      <c r="F71" s="73">
        <v>3.0</v>
      </c>
      <c r="G71" s="73">
        <v>2.0</v>
      </c>
      <c r="H71" s="73">
        <v>0.0</v>
      </c>
      <c r="I71" s="73">
        <v>1.0</v>
      </c>
      <c r="J71" s="73">
        <v>9.0</v>
      </c>
      <c r="K71" s="73">
        <v>6.0</v>
      </c>
      <c r="L71" s="73">
        <v>3.0</v>
      </c>
      <c r="M71" s="73">
        <v>2.0</v>
      </c>
      <c r="N71" s="73">
        <v>3.0</v>
      </c>
      <c r="O71" s="73">
        <v>0.0</v>
      </c>
      <c r="P71" s="73">
        <v>1.0</v>
      </c>
      <c r="Q71" s="73">
        <v>3.0</v>
      </c>
      <c r="R71" s="73">
        <v>9.0</v>
      </c>
      <c r="S71" s="73">
        <v>5.0</v>
      </c>
      <c r="T71" s="73">
        <v>1.0</v>
      </c>
      <c r="U71" s="73">
        <v>5.0</v>
      </c>
      <c r="V71" s="73">
        <v>5.0</v>
      </c>
      <c r="W71" s="13">
        <f t="shared" si="18"/>
        <v>60</v>
      </c>
    </row>
    <row r="72" ht="12.75" customHeight="1">
      <c r="A72" s="18"/>
      <c r="B72" s="49"/>
      <c r="C72" s="50" t="s">
        <v>63</v>
      </c>
      <c r="D72" s="51"/>
      <c r="E72" s="73">
        <v>4.0</v>
      </c>
      <c r="F72" s="73">
        <v>5.0</v>
      </c>
      <c r="G72" s="73">
        <v>3.0</v>
      </c>
      <c r="H72" s="73">
        <v>4.0</v>
      </c>
      <c r="I72" s="73">
        <v>6.0</v>
      </c>
      <c r="J72" s="73">
        <v>5.0</v>
      </c>
      <c r="K72" s="73">
        <v>1.0</v>
      </c>
      <c r="L72" s="73">
        <v>6.0</v>
      </c>
      <c r="M72" s="73">
        <v>4.0</v>
      </c>
      <c r="N72" s="73">
        <v>4.0</v>
      </c>
      <c r="O72" s="73">
        <v>3.0</v>
      </c>
      <c r="P72" s="73">
        <v>3.0</v>
      </c>
      <c r="Q72" s="73">
        <v>4.0</v>
      </c>
      <c r="R72" s="73">
        <v>5.0</v>
      </c>
      <c r="S72" s="73">
        <v>1.0</v>
      </c>
      <c r="T72" s="73">
        <v>7.0</v>
      </c>
      <c r="U72" s="73">
        <v>3.0</v>
      </c>
      <c r="V72" s="73">
        <v>4.0</v>
      </c>
      <c r="W72" s="13">
        <f t="shared" si="18"/>
        <v>72</v>
      </c>
    </row>
    <row r="73" ht="12.75" customHeight="1">
      <c r="A73" s="18"/>
      <c r="B73" s="49"/>
      <c r="C73" s="50" t="s">
        <v>64</v>
      </c>
      <c r="D73" s="51"/>
      <c r="E73" s="73">
        <v>2.0</v>
      </c>
      <c r="F73" s="73">
        <v>1.0</v>
      </c>
      <c r="G73" s="73">
        <v>0.0</v>
      </c>
      <c r="H73" s="73">
        <v>1.0</v>
      </c>
      <c r="I73" s="73">
        <v>0.0</v>
      </c>
      <c r="J73" s="73">
        <v>1.0</v>
      </c>
      <c r="K73" s="73">
        <v>3.0</v>
      </c>
      <c r="L73" s="73">
        <v>3.0</v>
      </c>
      <c r="M73" s="73">
        <v>1.0</v>
      </c>
      <c r="N73" s="73">
        <v>5.0</v>
      </c>
      <c r="O73" s="73">
        <v>2.0</v>
      </c>
      <c r="P73" s="73">
        <v>7.0</v>
      </c>
      <c r="Q73" s="73">
        <v>2.0</v>
      </c>
      <c r="R73" s="73">
        <v>1.0</v>
      </c>
      <c r="S73" s="73">
        <v>0.0</v>
      </c>
      <c r="T73" s="73">
        <v>4.0</v>
      </c>
      <c r="U73" s="73">
        <v>3.0</v>
      </c>
      <c r="V73" s="73">
        <v>3.0</v>
      </c>
      <c r="W73" s="13">
        <f t="shared" si="18"/>
        <v>39</v>
      </c>
    </row>
    <row r="74" ht="12.75" customHeight="1">
      <c r="A74" s="18"/>
      <c r="B74" s="49"/>
      <c r="C74" s="50" t="s">
        <v>65</v>
      </c>
      <c r="D74" s="51"/>
      <c r="E74" s="73">
        <v>1.0</v>
      </c>
      <c r="F74" s="73">
        <v>0.0</v>
      </c>
      <c r="G74" s="73">
        <v>0.0</v>
      </c>
      <c r="H74" s="73">
        <v>0.0</v>
      </c>
      <c r="I74" s="73">
        <v>0.0</v>
      </c>
      <c r="J74" s="73">
        <v>0.0</v>
      </c>
      <c r="K74" s="73">
        <v>2.0</v>
      </c>
      <c r="L74" s="73">
        <v>4.0</v>
      </c>
      <c r="M74" s="73">
        <v>6.0</v>
      </c>
      <c r="N74" s="73">
        <v>2.0</v>
      </c>
      <c r="O74" s="73">
        <v>3.0</v>
      </c>
      <c r="P74" s="73">
        <v>1.0</v>
      </c>
      <c r="Q74" s="73">
        <v>2.0</v>
      </c>
      <c r="R74" s="73">
        <v>1.0</v>
      </c>
      <c r="S74" s="73">
        <v>0.0</v>
      </c>
      <c r="T74" s="73">
        <v>2.0</v>
      </c>
      <c r="U74" s="73">
        <v>2.0</v>
      </c>
      <c r="V74" s="73">
        <v>3.0</v>
      </c>
      <c r="W74" s="13">
        <f t="shared" si="18"/>
        <v>29</v>
      </c>
    </row>
    <row r="75" ht="12.75" customHeight="1">
      <c r="A75" s="18"/>
      <c r="B75" s="49"/>
      <c r="C75" s="50" t="s">
        <v>66</v>
      </c>
      <c r="D75" s="51"/>
      <c r="E75" s="73">
        <v>2.0</v>
      </c>
      <c r="F75" s="73">
        <v>2.0</v>
      </c>
      <c r="G75" s="73">
        <v>0.0</v>
      </c>
      <c r="H75" s="73">
        <v>0.0</v>
      </c>
      <c r="I75" s="73">
        <v>0.0</v>
      </c>
      <c r="J75" s="73">
        <v>0.0</v>
      </c>
      <c r="K75" s="73">
        <v>1.0</v>
      </c>
      <c r="L75" s="73">
        <v>0.0</v>
      </c>
      <c r="M75" s="73">
        <v>0.0</v>
      </c>
      <c r="N75" s="73">
        <v>1.0</v>
      </c>
      <c r="O75" s="73">
        <v>2.0</v>
      </c>
      <c r="P75" s="73">
        <v>2.0</v>
      </c>
      <c r="Q75" s="73">
        <v>0.0</v>
      </c>
      <c r="R75" s="73">
        <v>0.0</v>
      </c>
      <c r="S75" s="73">
        <v>0.0</v>
      </c>
      <c r="T75" s="73">
        <v>1.0</v>
      </c>
      <c r="U75" s="73">
        <v>0.0</v>
      </c>
      <c r="V75" s="73">
        <v>1.0</v>
      </c>
      <c r="W75" s="13">
        <f t="shared" si="18"/>
        <v>12</v>
      </c>
    </row>
    <row r="76" ht="12.75" customHeight="1">
      <c r="A76" s="18"/>
      <c r="B76" s="49"/>
      <c r="C76" s="50" t="s">
        <v>67</v>
      </c>
      <c r="D76" s="51"/>
      <c r="E76" s="73">
        <v>0.0</v>
      </c>
      <c r="F76" s="73">
        <v>0.0</v>
      </c>
      <c r="G76" s="73">
        <v>0.0</v>
      </c>
      <c r="H76" s="73">
        <v>0.0</v>
      </c>
      <c r="I76" s="73">
        <v>0.0</v>
      </c>
      <c r="J76" s="73">
        <v>0.0</v>
      </c>
      <c r="K76" s="73">
        <v>0.0</v>
      </c>
      <c r="L76" s="73">
        <v>0.0</v>
      </c>
      <c r="M76" s="73">
        <v>1.0</v>
      </c>
      <c r="N76" s="73">
        <v>0.0</v>
      </c>
      <c r="O76" s="73">
        <v>0.0</v>
      </c>
      <c r="P76" s="73">
        <v>1.0</v>
      </c>
      <c r="Q76" s="73">
        <v>0.0</v>
      </c>
      <c r="R76" s="73">
        <v>1.0</v>
      </c>
      <c r="S76" s="73">
        <v>1.0</v>
      </c>
      <c r="T76" s="73">
        <v>2.0</v>
      </c>
      <c r="U76" s="73">
        <v>1.0</v>
      </c>
      <c r="V76" s="73">
        <v>0.0</v>
      </c>
      <c r="W76" s="13">
        <f t="shared" si="18"/>
        <v>7</v>
      </c>
    </row>
    <row r="77" ht="12.75" customHeight="1">
      <c r="A77" s="18"/>
      <c r="B77" s="49"/>
      <c r="C77" s="50" t="s">
        <v>68</v>
      </c>
      <c r="D77" s="51"/>
      <c r="E77" s="73">
        <v>1.0</v>
      </c>
      <c r="F77" s="73">
        <v>2.0</v>
      </c>
      <c r="G77" s="73">
        <v>0.0</v>
      </c>
      <c r="H77" s="73">
        <v>0.0</v>
      </c>
      <c r="I77" s="73">
        <v>1.0</v>
      </c>
      <c r="J77" s="73">
        <v>0.0</v>
      </c>
      <c r="K77" s="73">
        <v>0.0</v>
      </c>
      <c r="L77" s="73">
        <v>3.0</v>
      </c>
      <c r="M77" s="73">
        <v>0.0</v>
      </c>
      <c r="N77" s="73">
        <v>0.0</v>
      </c>
      <c r="O77" s="73">
        <v>1.0</v>
      </c>
      <c r="P77" s="73">
        <v>1.0</v>
      </c>
      <c r="Q77" s="73">
        <v>1.0</v>
      </c>
      <c r="R77" s="73">
        <v>1.0</v>
      </c>
      <c r="S77" s="73">
        <v>0.0</v>
      </c>
      <c r="T77" s="73">
        <v>1.0</v>
      </c>
      <c r="U77" s="73">
        <v>0.0</v>
      </c>
      <c r="V77" s="73">
        <v>0.0</v>
      </c>
      <c r="W77" s="13">
        <f t="shared" si="18"/>
        <v>12</v>
      </c>
    </row>
    <row r="78" ht="12.75" customHeight="1">
      <c r="A78" s="18"/>
      <c r="B78" s="49"/>
      <c r="C78" s="50" t="s">
        <v>69</v>
      </c>
      <c r="D78" s="51"/>
      <c r="E78" s="73">
        <v>0.0</v>
      </c>
      <c r="F78" s="73">
        <v>0.0</v>
      </c>
      <c r="G78" s="73">
        <v>0.0</v>
      </c>
      <c r="H78" s="73">
        <v>1.0</v>
      </c>
      <c r="I78" s="73">
        <v>0.0</v>
      </c>
      <c r="J78" s="73">
        <v>0.0</v>
      </c>
      <c r="K78" s="73">
        <v>0.0</v>
      </c>
      <c r="L78" s="73">
        <v>1.0</v>
      </c>
      <c r="M78" s="73">
        <v>0.0</v>
      </c>
      <c r="N78" s="73">
        <v>1.0</v>
      </c>
      <c r="O78" s="73">
        <v>1.0</v>
      </c>
      <c r="P78" s="73">
        <v>0.0</v>
      </c>
      <c r="Q78" s="73">
        <v>0.0</v>
      </c>
      <c r="R78" s="73">
        <v>0.0</v>
      </c>
      <c r="S78" s="73">
        <v>0.0</v>
      </c>
      <c r="T78" s="73">
        <v>0.0</v>
      </c>
      <c r="U78" s="73">
        <v>0.0</v>
      </c>
      <c r="V78" s="73">
        <v>1.0</v>
      </c>
      <c r="W78" s="13">
        <f t="shared" si="18"/>
        <v>5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W79" si="19">SUM(E69:E78)</f>
        <v>22</v>
      </c>
      <c r="F79" s="13">
        <f t="shared" si="19"/>
        <v>30</v>
      </c>
      <c r="G79" s="13">
        <f t="shared" si="19"/>
        <v>16</v>
      </c>
      <c r="H79" s="13">
        <f t="shared" si="19"/>
        <v>13</v>
      </c>
      <c r="I79" s="13">
        <f t="shared" si="19"/>
        <v>19</v>
      </c>
      <c r="J79" s="13">
        <f t="shared" si="19"/>
        <v>28</v>
      </c>
      <c r="K79" s="13">
        <f t="shared" si="19"/>
        <v>20</v>
      </c>
      <c r="L79" s="13">
        <f t="shared" si="19"/>
        <v>48</v>
      </c>
      <c r="M79" s="13">
        <f t="shared" si="19"/>
        <v>31</v>
      </c>
      <c r="N79" s="13">
        <f t="shared" si="19"/>
        <v>24</v>
      </c>
      <c r="O79" s="13">
        <f t="shared" si="19"/>
        <v>36</v>
      </c>
      <c r="P79" s="13">
        <f t="shared" si="19"/>
        <v>36</v>
      </c>
      <c r="Q79" s="13">
        <f t="shared" si="19"/>
        <v>26</v>
      </c>
      <c r="R79" s="13">
        <f t="shared" si="19"/>
        <v>31</v>
      </c>
      <c r="S79" s="13">
        <f t="shared" si="19"/>
        <v>16</v>
      </c>
      <c r="T79" s="13">
        <f t="shared" si="19"/>
        <v>34</v>
      </c>
      <c r="U79" s="13">
        <f t="shared" si="19"/>
        <v>32</v>
      </c>
      <c r="V79" s="13">
        <f t="shared" si="19"/>
        <v>30</v>
      </c>
      <c r="W79" s="13">
        <f t="shared" si="19"/>
        <v>492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2.0</v>
      </c>
      <c r="F81" s="73">
        <v>5.0</v>
      </c>
      <c r="G81" s="73">
        <v>4.0</v>
      </c>
      <c r="H81" s="73">
        <v>1.0</v>
      </c>
      <c r="I81" s="73">
        <v>5.0</v>
      </c>
      <c r="J81" s="73">
        <v>9.0</v>
      </c>
      <c r="K81" s="73">
        <v>4.0</v>
      </c>
      <c r="L81" s="73">
        <v>3.0</v>
      </c>
      <c r="M81" s="73">
        <v>4.0</v>
      </c>
      <c r="N81" s="73">
        <v>7.0</v>
      </c>
      <c r="O81" s="73">
        <v>6.0</v>
      </c>
      <c r="P81" s="73">
        <v>2.0</v>
      </c>
      <c r="Q81" s="73">
        <v>2.0</v>
      </c>
      <c r="R81" s="73">
        <v>8.0</v>
      </c>
      <c r="S81" s="73">
        <v>2.0</v>
      </c>
      <c r="T81" s="73">
        <v>2.0</v>
      </c>
      <c r="U81" s="73">
        <v>9.0</v>
      </c>
      <c r="V81" s="73">
        <v>1.0</v>
      </c>
      <c r="W81" s="13">
        <f t="shared" ref="W81:W90" si="20">SUM(E81:V81)</f>
        <v>76</v>
      </c>
    </row>
    <row r="82" ht="12.75" customHeight="1">
      <c r="A82" s="30" t="s">
        <v>39</v>
      </c>
      <c r="B82" s="49"/>
      <c r="C82" s="50" t="s">
        <v>71</v>
      </c>
      <c r="D82" s="51"/>
      <c r="E82" s="73">
        <v>6.0</v>
      </c>
      <c r="F82" s="73">
        <v>10.0</v>
      </c>
      <c r="G82" s="73">
        <v>20.0</v>
      </c>
      <c r="H82" s="73">
        <v>19.0</v>
      </c>
      <c r="I82" s="73">
        <v>28.0</v>
      </c>
      <c r="J82" s="73">
        <v>38.0</v>
      </c>
      <c r="K82" s="73">
        <v>64.0</v>
      </c>
      <c r="L82" s="73">
        <v>43.0</v>
      </c>
      <c r="M82" s="73">
        <v>14.0</v>
      </c>
      <c r="N82" s="73">
        <v>16.0</v>
      </c>
      <c r="O82" s="73">
        <v>20.0</v>
      </c>
      <c r="P82" s="73">
        <v>4.0</v>
      </c>
      <c r="Q82" s="73">
        <v>2.0</v>
      </c>
      <c r="R82" s="73">
        <v>15.0</v>
      </c>
      <c r="S82" s="73">
        <v>28.0</v>
      </c>
      <c r="T82" s="73">
        <v>25.0</v>
      </c>
      <c r="U82" s="73">
        <v>25.0</v>
      </c>
      <c r="V82" s="73">
        <v>5.0</v>
      </c>
      <c r="W82" s="13">
        <f t="shared" si="20"/>
        <v>382</v>
      </c>
    </row>
    <row r="83" ht="12.75" customHeight="1">
      <c r="A83" s="18"/>
      <c r="B83" s="49"/>
      <c r="C83" s="50" t="s">
        <v>72</v>
      </c>
      <c r="D83" s="51"/>
      <c r="E83" s="73">
        <v>3.0</v>
      </c>
      <c r="F83" s="73">
        <v>1.0</v>
      </c>
      <c r="G83" s="73">
        <v>0.0</v>
      </c>
      <c r="H83" s="73">
        <v>0.0</v>
      </c>
      <c r="I83" s="73">
        <v>1.0</v>
      </c>
      <c r="J83" s="73">
        <v>0.0</v>
      </c>
      <c r="K83" s="73">
        <v>1.0</v>
      </c>
      <c r="L83" s="73">
        <v>0.0</v>
      </c>
      <c r="M83" s="73">
        <v>0.0</v>
      </c>
      <c r="N83" s="73">
        <v>2.0</v>
      </c>
      <c r="O83" s="73">
        <v>0.0</v>
      </c>
      <c r="P83" s="73">
        <v>0.0</v>
      </c>
      <c r="Q83" s="73">
        <v>0.0</v>
      </c>
      <c r="R83" s="73">
        <v>1.0</v>
      </c>
      <c r="S83" s="73">
        <v>1.0</v>
      </c>
      <c r="T83" s="73">
        <v>2.0</v>
      </c>
      <c r="U83" s="73">
        <v>1.0</v>
      </c>
      <c r="V83" s="73">
        <v>0.0</v>
      </c>
      <c r="W83" s="13">
        <f t="shared" si="20"/>
        <v>13</v>
      </c>
    </row>
    <row r="84" ht="12.75" customHeight="1">
      <c r="A84" s="18"/>
      <c r="B84" s="49"/>
      <c r="C84" s="50" t="s">
        <v>73</v>
      </c>
      <c r="D84" s="51"/>
      <c r="E84" s="73">
        <v>0.0</v>
      </c>
      <c r="F84" s="73">
        <v>1.0</v>
      </c>
      <c r="G84" s="73">
        <v>1.0</v>
      </c>
      <c r="H84" s="73">
        <v>1.0</v>
      </c>
      <c r="I84" s="73">
        <v>0.0</v>
      </c>
      <c r="J84" s="73">
        <v>0.0</v>
      </c>
      <c r="K84" s="73">
        <v>0.0</v>
      </c>
      <c r="L84" s="73">
        <v>2.0</v>
      </c>
      <c r="M84" s="73">
        <v>0.0</v>
      </c>
      <c r="N84" s="73">
        <v>0.0</v>
      </c>
      <c r="O84" s="73">
        <v>0.0</v>
      </c>
      <c r="P84" s="73">
        <v>4.0</v>
      </c>
      <c r="Q84" s="73">
        <v>2.0</v>
      </c>
      <c r="R84" s="73">
        <v>0.0</v>
      </c>
      <c r="S84" s="73">
        <v>1.0</v>
      </c>
      <c r="T84" s="73">
        <v>1.0</v>
      </c>
      <c r="U84" s="73">
        <v>0.0</v>
      </c>
      <c r="V84" s="73">
        <v>0.0</v>
      </c>
      <c r="W84" s="13">
        <f t="shared" si="20"/>
        <v>13</v>
      </c>
    </row>
    <row r="85" ht="12.75" customHeight="1">
      <c r="A85" s="18"/>
      <c r="B85" s="49"/>
      <c r="C85" s="50" t="s">
        <v>74</v>
      </c>
      <c r="D85" s="51"/>
      <c r="E85" s="73">
        <v>1.0</v>
      </c>
      <c r="F85" s="73">
        <v>1.0</v>
      </c>
      <c r="G85" s="73">
        <v>1.0</v>
      </c>
      <c r="H85" s="73">
        <v>1.0</v>
      </c>
      <c r="I85" s="73">
        <v>0.0</v>
      </c>
      <c r="J85" s="73">
        <v>2.0</v>
      </c>
      <c r="K85" s="73">
        <v>0.0</v>
      </c>
      <c r="L85" s="73">
        <v>3.0</v>
      </c>
      <c r="M85" s="73">
        <v>2.0</v>
      </c>
      <c r="N85" s="73">
        <v>2.0</v>
      </c>
      <c r="O85" s="73">
        <v>3.0</v>
      </c>
      <c r="P85" s="73">
        <v>0.0</v>
      </c>
      <c r="Q85" s="73">
        <v>1.0</v>
      </c>
      <c r="R85" s="73">
        <v>1.0</v>
      </c>
      <c r="S85" s="73">
        <v>0.0</v>
      </c>
      <c r="T85" s="73">
        <v>1.0</v>
      </c>
      <c r="U85" s="73">
        <v>2.0</v>
      </c>
      <c r="V85" s="73">
        <v>0.0</v>
      </c>
      <c r="W85" s="13">
        <f t="shared" si="20"/>
        <v>21</v>
      </c>
    </row>
    <row r="86" ht="12.75" customHeight="1">
      <c r="A86" s="18"/>
      <c r="B86" s="49"/>
      <c r="C86" s="50" t="s">
        <v>75</v>
      </c>
      <c r="D86" s="51"/>
      <c r="E86" s="73">
        <v>9.0</v>
      </c>
      <c r="F86" s="73">
        <v>0.0</v>
      </c>
      <c r="G86" s="73">
        <v>0.0</v>
      </c>
      <c r="H86" s="73">
        <v>0.0</v>
      </c>
      <c r="I86" s="73">
        <v>0.0</v>
      </c>
      <c r="J86" s="73">
        <v>0.0</v>
      </c>
      <c r="K86" s="73">
        <v>1.0</v>
      </c>
      <c r="L86" s="73">
        <v>1.0</v>
      </c>
      <c r="M86" s="73">
        <v>0.0</v>
      </c>
      <c r="N86" s="73">
        <v>0.0</v>
      </c>
      <c r="O86" s="73">
        <v>2.0</v>
      </c>
      <c r="P86" s="73">
        <v>5.0</v>
      </c>
      <c r="Q86" s="73">
        <v>0.0</v>
      </c>
      <c r="R86" s="73">
        <v>0.0</v>
      </c>
      <c r="S86" s="73">
        <v>0.0</v>
      </c>
      <c r="T86" s="73">
        <v>0.0</v>
      </c>
      <c r="U86" s="73">
        <v>2.0</v>
      </c>
      <c r="V86" s="73">
        <v>1.0</v>
      </c>
      <c r="W86" s="13">
        <f t="shared" si="20"/>
        <v>21</v>
      </c>
    </row>
    <row r="87" ht="12.75" customHeight="1">
      <c r="A87" s="18"/>
      <c r="B87" s="49"/>
      <c r="C87" s="50" t="s">
        <v>76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0.0</v>
      </c>
      <c r="M87" s="73">
        <v>0.0</v>
      </c>
      <c r="N87" s="73">
        <v>0.0</v>
      </c>
      <c r="O87" s="73">
        <v>1.0</v>
      </c>
      <c r="P87" s="73">
        <v>0.0</v>
      </c>
      <c r="Q87" s="73">
        <v>0.0</v>
      </c>
      <c r="R87" s="73">
        <v>0.0</v>
      </c>
      <c r="S87" s="73">
        <v>0.0</v>
      </c>
      <c r="T87" s="73">
        <v>0.0</v>
      </c>
      <c r="U87" s="73">
        <v>0.0</v>
      </c>
      <c r="V87" s="73">
        <v>1.0</v>
      </c>
      <c r="W87" s="13">
        <f t="shared" si="20"/>
        <v>2</v>
      </c>
    </row>
    <row r="88" ht="12.75" customHeight="1">
      <c r="A88" s="18"/>
      <c r="B88" s="49"/>
      <c r="C88" s="50" t="s">
        <v>77</v>
      </c>
      <c r="D88" s="51"/>
      <c r="E88" s="73">
        <v>0.0</v>
      </c>
      <c r="F88" s="73">
        <v>0.0</v>
      </c>
      <c r="G88" s="73">
        <v>0.0</v>
      </c>
      <c r="H88" s="73">
        <v>0.0</v>
      </c>
      <c r="I88" s="73">
        <v>0.0</v>
      </c>
      <c r="J88" s="73">
        <v>0.0</v>
      </c>
      <c r="K88" s="73">
        <v>0.0</v>
      </c>
      <c r="L88" s="73">
        <v>0.0</v>
      </c>
      <c r="M88" s="73">
        <v>0.0</v>
      </c>
      <c r="N88" s="73">
        <v>0.0</v>
      </c>
      <c r="O88" s="73">
        <v>0.0</v>
      </c>
      <c r="P88" s="73">
        <v>0.0</v>
      </c>
      <c r="Q88" s="73">
        <v>0.0</v>
      </c>
      <c r="R88" s="73">
        <v>0.0</v>
      </c>
      <c r="S88" s="73">
        <v>0.0</v>
      </c>
      <c r="T88" s="73">
        <v>0.0</v>
      </c>
      <c r="U88" s="73">
        <v>0.0</v>
      </c>
      <c r="V88" s="73">
        <v>0.0</v>
      </c>
      <c r="W88" s="13">
        <f t="shared" si="20"/>
        <v>0</v>
      </c>
    </row>
    <row r="89" ht="12.75" customHeight="1">
      <c r="A89" s="18"/>
      <c r="B89" s="49"/>
      <c r="C89" s="50" t="s">
        <v>78</v>
      </c>
      <c r="D89" s="51"/>
      <c r="E89" s="73">
        <v>0.0</v>
      </c>
      <c r="F89" s="73">
        <v>0.0</v>
      </c>
      <c r="G89" s="73">
        <v>0.0</v>
      </c>
      <c r="H89" s="73">
        <v>0.0</v>
      </c>
      <c r="I89" s="73">
        <v>0.0</v>
      </c>
      <c r="J89" s="73">
        <v>0.0</v>
      </c>
      <c r="K89" s="73">
        <v>0.0</v>
      </c>
      <c r="L89" s="73">
        <v>0.0</v>
      </c>
      <c r="M89" s="73">
        <v>0.0</v>
      </c>
      <c r="N89" s="73">
        <v>1.0</v>
      </c>
      <c r="O89" s="73">
        <v>0.0</v>
      </c>
      <c r="P89" s="73">
        <v>0.0</v>
      </c>
      <c r="Q89" s="73">
        <v>0.0</v>
      </c>
      <c r="R89" s="73">
        <v>0.0</v>
      </c>
      <c r="S89" s="73">
        <v>0.0</v>
      </c>
      <c r="T89" s="73">
        <v>0.0</v>
      </c>
      <c r="U89" s="73">
        <v>0.0</v>
      </c>
      <c r="V89" s="73">
        <v>0.0</v>
      </c>
      <c r="W89" s="13">
        <f t="shared" si="20"/>
        <v>1</v>
      </c>
    </row>
    <row r="90" ht="12.75" customHeight="1">
      <c r="A90" s="18"/>
      <c r="B90" s="49"/>
      <c r="C90" s="50" t="s">
        <v>79</v>
      </c>
      <c r="D90" s="51"/>
      <c r="E90" s="73">
        <v>0.0</v>
      </c>
      <c r="F90" s="73">
        <v>0.0</v>
      </c>
      <c r="G90" s="73">
        <v>0.0</v>
      </c>
      <c r="H90" s="73">
        <v>0.0</v>
      </c>
      <c r="I90" s="73">
        <v>0.0</v>
      </c>
      <c r="J90" s="73">
        <v>0.0</v>
      </c>
      <c r="K90" s="73">
        <v>0.0</v>
      </c>
      <c r="L90" s="73">
        <v>0.0</v>
      </c>
      <c r="M90" s="73">
        <v>1.0</v>
      </c>
      <c r="N90" s="73">
        <v>1.0</v>
      </c>
      <c r="O90" s="73">
        <v>0.0</v>
      </c>
      <c r="P90" s="73">
        <v>0.0</v>
      </c>
      <c r="Q90" s="73">
        <v>0.0</v>
      </c>
      <c r="R90" s="73">
        <v>0.0</v>
      </c>
      <c r="S90" s="73">
        <v>0.0</v>
      </c>
      <c r="T90" s="73">
        <v>0.0</v>
      </c>
      <c r="U90" s="73">
        <v>0.0</v>
      </c>
      <c r="V90" s="73">
        <v>0.0</v>
      </c>
      <c r="W90" s="13">
        <f t="shared" si="20"/>
        <v>2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W91" si="21">SUM(E81:E90)</f>
        <v>21</v>
      </c>
      <c r="F91" s="13">
        <f t="shared" si="21"/>
        <v>18</v>
      </c>
      <c r="G91" s="13">
        <f t="shared" si="21"/>
        <v>26</v>
      </c>
      <c r="H91" s="13">
        <f t="shared" si="21"/>
        <v>22</v>
      </c>
      <c r="I91" s="13">
        <f t="shared" si="21"/>
        <v>34</v>
      </c>
      <c r="J91" s="13">
        <f t="shared" si="21"/>
        <v>49</v>
      </c>
      <c r="K91" s="13">
        <f t="shared" si="21"/>
        <v>70</v>
      </c>
      <c r="L91" s="13">
        <f t="shared" si="21"/>
        <v>52</v>
      </c>
      <c r="M91" s="13">
        <f t="shared" si="21"/>
        <v>21</v>
      </c>
      <c r="N91" s="13">
        <f t="shared" si="21"/>
        <v>29</v>
      </c>
      <c r="O91" s="13">
        <f t="shared" si="21"/>
        <v>32</v>
      </c>
      <c r="P91" s="13">
        <f t="shared" si="21"/>
        <v>15</v>
      </c>
      <c r="Q91" s="13">
        <f t="shared" si="21"/>
        <v>7</v>
      </c>
      <c r="R91" s="13">
        <f t="shared" si="21"/>
        <v>25</v>
      </c>
      <c r="S91" s="13">
        <f t="shared" si="21"/>
        <v>32</v>
      </c>
      <c r="T91" s="13">
        <f t="shared" si="21"/>
        <v>31</v>
      </c>
      <c r="U91" s="13">
        <f t="shared" si="21"/>
        <v>39</v>
      </c>
      <c r="V91" s="13">
        <f t="shared" si="21"/>
        <v>8</v>
      </c>
      <c r="W91" s="13">
        <f t="shared" si="21"/>
        <v>531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0.0</v>
      </c>
      <c r="F93" s="73">
        <v>0.0</v>
      </c>
      <c r="G93" s="73">
        <v>0.0</v>
      </c>
      <c r="H93" s="73">
        <v>0.0</v>
      </c>
      <c r="I93" s="73">
        <v>4.0</v>
      </c>
      <c r="J93" s="73">
        <v>0.0</v>
      </c>
      <c r="K93" s="73">
        <v>3.0</v>
      </c>
      <c r="L93" s="73">
        <v>1.0</v>
      </c>
      <c r="M93" s="73">
        <v>7.0</v>
      </c>
      <c r="N93" s="73">
        <v>2.0</v>
      </c>
      <c r="O93" s="73">
        <v>7.0</v>
      </c>
      <c r="P93" s="73">
        <v>2.0</v>
      </c>
      <c r="Q93" s="73">
        <v>1.0</v>
      </c>
      <c r="R93" s="73">
        <v>0.0</v>
      </c>
      <c r="S93" s="73">
        <v>1.0</v>
      </c>
      <c r="T93" s="73">
        <v>2.0</v>
      </c>
      <c r="U93" s="73">
        <v>0.0</v>
      </c>
      <c r="V93" s="73">
        <v>0.0</v>
      </c>
      <c r="W93" s="13">
        <f t="shared" ref="W93:W102" si="22">SUM(E93:V93)</f>
        <v>30</v>
      </c>
    </row>
    <row r="94" ht="12.75" customHeight="1">
      <c r="A94" s="30" t="s">
        <v>39</v>
      </c>
      <c r="B94" s="49"/>
      <c r="C94" s="50" t="s">
        <v>82</v>
      </c>
      <c r="D94" s="56"/>
      <c r="E94" s="73">
        <v>0.0</v>
      </c>
      <c r="F94" s="73">
        <v>0.0</v>
      </c>
      <c r="G94" s="73">
        <v>2.0</v>
      </c>
      <c r="H94" s="73">
        <v>0.0</v>
      </c>
      <c r="I94" s="73">
        <v>4.0</v>
      </c>
      <c r="J94" s="73">
        <v>2.0</v>
      </c>
      <c r="K94" s="73">
        <v>3.0</v>
      </c>
      <c r="L94" s="73">
        <v>2.0</v>
      </c>
      <c r="M94" s="73">
        <v>2.0</v>
      </c>
      <c r="N94" s="73">
        <v>2.0</v>
      </c>
      <c r="O94" s="73">
        <v>17.0</v>
      </c>
      <c r="P94" s="73">
        <v>2.0</v>
      </c>
      <c r="Q94" s="73">
        <v>0.0</v>
      </c>
      <c r="R94" s="73">
        <v>0.0</v>
      </c>
      <c r="S94" s="73">
        <v>2.0</v>
      </c>
      <c r="T94" s="73">
        <v>1.0</v>
      </c>
      <c r="U94" s="73">
        <v>0.0</v>
      </c>
      <c r="V94" s="73">
        <v>0.0</v>
      </c>
      <c r="W94" s="13">
        <f t="shared" si="22"/>
        <v>39</v>
      </c>
    </row>
    <row r="95" ht="12.75" customHeight="1">
      <c r="A95" s="18"/>
      <c r="B95" s="49"/>
      <c r="C95" s="50" t="s">
        <v>83</v>
      </c>
      <c r="D95" s="56"/>
      <c r="E95" s="73">
        <v>0.0</v>
      </c>
      <c r="F95" s="73">
        <v>1.0</v>
      </c>
      <c r="G95" s="73">
        <v>0.0</v>
      </c>
      <c r="H95" s="73">
        <v>0.0</v>
      </c>
      <c r="I95" s="73">
        <v>0.0</v>
      </c>
      <c r="J95" s="73">
        <v>0.0</v>
      </c>
      <c r="K95" s="73">
        <v>0.0</v>
      </c>
      <c r="L95" s="73">
        <v>0.0</v>
      </c>
      <c r="M95" s="73">
        <v>0.0</v>
      </c>
      <c r="N95" s="73">
        <v>0.0</v>
      </c>
      <c r="O95" s="73">
        <v>0.0</v>
      </c>
      <c r="P95" s="73">
        <v>0.0</v>
      </c>
      <c r="Q95" s="73">
        <v>0.0</v>
      </c>
      <c r="R95" s="73">
        <v>0.0</v>
      </c>
      <c r="S95" s="73">
        <v>0.0</v>
      </c>
      <c r="T95" s="73">
        <v>0.0</v>
      </c>
      <c r="U95" s="73">
        <v>0.0</v>
      </c>
      <c r="V95" s="73">
        <v>1.0</v>
      </c>
      <c r="W95" s="13">
        <f t="shared" si="22"/>
        <v>2</v>
      </c>
    </row>
    <row r="96" ht="12.75" customHeight="1">
      <c r="A96" s="18"/>
      <c r="B96" s="49"/>
      <c r="C96" s="50" t="s">
        <v>84</v>
      </c>
      <c r="D96" s="56"/>
      <c r="E96" s="73">
        <v>0.0</v>
      </c>
      <c r="F96" s="73">
        <v>0.0</v>
      </c>
      <c r="G96" s="73">
        <v>0.0</v>
      </c>
      <c r="H96" s="73">
        <v>0.0</v>
      </c>
      <c r="I96" s="73">
        <v>1.0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73">
        <v>0.0</v>
      </c>
      <c r="U96" s="73">
        <v>0.0</v>
      </c>
      <c r="V96" s="73">
        <v>0.0</v>
      </c>
      <c r="W96" s="13">
        <f t="shared" si="22"/>
        <v>1</v>
      </c>
    </row>
    <row r="97" ht="12.75" customHeight="1">
      <c r="A97" s="18"/>
      <c r="B97" s="49"/>
      <c r="C97" s="50" t="s">
        <v>85</v>
      </c>
      <c r="D97" s="56"/>
      <c r="E97" s="73">
        <v>0.0</v>
      </c>
      <c r="F97" s="73">
        <v>0.0</v>
      </c>
      <c r="G97" s="73">
        <v>1.0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1.0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13">
        <f t="shared" si="22"/>
        <v>2</v>
      </c>
    </row>
    <row r="98" ht="12.75" customHeight="1">
      <c r="A98" s="18"/>
      <c r="B98" s="49"/>
      <c r="C98" s="50" t="s">
        <v>86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73">
        <v>0.0</v>
      </c>
      <c r="M98" s="73">
        <v>1.0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1.0</v>
      </c>
      <c r="U98" s="73">
        <v>0.0</v>
      </c>
      <c r="V98" s="73">
        <v>0.0</v>
      </c>
      <c r="W98" s="13">
        <f t="shared" si="22"/>
        <v>2</v>
      </c>
    </row>
    <row r="99" ht="12.75" customHeight="1">
      <c r="A99" s="18"/>
      <c r="B99" s="49"/>
      <c r="C99" s="50" t="s">
        <v>87</v>
      </c>
      <c r="D99" s="51"/>
      <c r="E99" s="73">
        <v>0.0</v>
      </c>
      <c r="F99" s="73">
        <v>0.0</v>
      </c>
      <c r="G99" s="73">
        <v>0.0</v>
      </c>
      <c r="H99" s="73">
        <v>1.0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13">
        <f t="shared" si="22"/>
        <v>1</v>
      </c>
    </row>
    <row r="100" ht="12.75" customHeight="1">
      <c r="A100" s="18"/>
      <c r="B100" s="49"/>
      <c r="C100" s="50" t="s">
        <v>88</v>
      </c>
      <c r="D100" s="56"/>
      <c r="E100" s="73">
        <v>0.0</v>
      </c>
      <c r="F100" s="73">
        <v>0.0</v>
      </c>
      <c r="G100" s="73">
        <v>0.0</v>
      </c>
      <c r="H100" s="73">
        <v>0.0</v>
      </c>
      <c r="I100" s="73">
        <v>0.0</v>
      </c>
      <c r="J100" s="73">
        <v>0.0</v>
      </c>
      <c r="K100" s="73">
        <v>0.0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73">
        <v>0.0</v>
      </c>
      <c r="R100" s="73">
        <v>0.0</v>
      </c>
      <c r="S100" s="73">
        <v>0.0</v>
      </c>
      <c r="T100" s="73">
        <v>0.0</v>
      </c>
      <c r="U100" s="73">
        <v>0.0</v>
      </c>
      <c r="V100" s="73">
        <v>0.0</v>
      </c>
      <c r="W100" s="13">
        <f t="shared" si="22"/>
        <v>0</v>
      </c>
    </row>
    <row r="101" ht="12.75" customHeight="1">
      <c r="A101" s="18"/>
      <c r="B101" s="49"/>
      <c r="C101" s="50" t="s">
        <v>89</v>
      </c>
      <c r="D101" s="56"/>
      <c r="E101" s="73">
        <v>0.0</v>
      </c>
      <c r="F101" s="73">
        <v>0.0</v>
      </c>
      <c r="G101" s="73">
        <v>0.0</v>
      </c>
      <c r="H101" s="73">
        <v>0.0</v>
      </c>
      <c r="I101" s="73">
        <v>0.0</v>
      </c>
      <c r="J101" s="73">
        <v>0.0</v>
      </c>
      <c r="K101" s="73">
        <v>0.0</v>
      </c>
      <c r="L101" s="73">
        <v>0.0</v>
      </c>
      <c r="M101" s="73">
        <v>0.0</v>
      </c>
      <c r="N101" s="73">
        <v>0.0</v>
      </c>
      <c r="O101" s="73">
        <v>0.0</v>
      </c>
      <c r="P101" s="73">
        <v>0.0</v>
      </c>
      <c r="Q101" s="73">
        <v>0.0</v>
      </c>
      <c r="R101" s="73">
        <v>0.0</v>
      </c>
      <c r="S101" s="73">
        <v>0.0</v>
      </c>
      <c r="T101" s="73">
        <v>0.0</v>
      </c>
      <c r="U101" s="73">
        <v>0.0</v>
      </c>
      <c r="V101" s="73">
        <v>0.0</v>
      </c>
      <c r="W101" s="13">
        <f t="shared" si="22"/>
        <v>0</v>
      </c>
    </row>
    <row r="102" ht="12.75" customHeight="1">
      <c r="A102" s="18"/>
      <c r="B102" s="49"/>
      <c r="C102" s="50" t="s">
        <v>90</v>
      </c>
      <c r="D102" s="56"/>
      <c r="E102" s="73">
        <v>0.0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0.0</v>
      </c>
      <c r="L102" s="73">
        <v>0.0</v>
      </c>
      <c r="M102" s="73">
        <v>0.0</v>
      </c>
      <c r="N102" s="73">
        <v>0.0</v>
      </c>
      <c r="O102" s="73">
        <v>0.0</v>
      </c>
      <c r="P102" s="73">
        <v>0.0</v>
      </c>
      <c r="Q102" s="73">
        <v>0.0</v>
      </c>
      <c r="R102" s="73">
        <v>0.0</v>
      </c>
      <c r="S102" s="73">
        <v>0.0</v>
      </c>
      <c r="T102" s="73">
        <v>0.0</v>
      </c>
      <c r="U102" s="73">
        <v>0.0</v>
      </c>
      <c r="V102" s="73">
        <v>0.0</v>
      </c>
      <c r="W102" s="13">
        <f t="shared" si="22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W103" si="23">SUM(E93:E102)</f>
        <v>0</v>
      </c>
      <c r="F103" s="13">
        <f t="shared" si="23"/>
        <v>1</v>
      </c>
      <c r="G103" s="13">
        <f t="shared" si="23"/>
        <v>3</v>
      </c>
      <c r="H103" s="13">
        <f t="shared" si="23"/>
        <v>1</v>
      </c>
      <c r="I103" s="13">
        <f t="shared" si="23"/>
        <v>9</v>
      </c>
      <c r="J103" s="13">
        <f t="shared" si="23"/>
        <v>2</v>
      </c>
      <c r="K103" s="13">
        <f t="shared" si="23"/>
        <v>6</v>
      </c>
      <c r="L103" s="13">
        <f t="shared" si="23"/>
        <v>3</v>
      </c>
      <c r="M103" s="13">
        <f t="shared" si="23"/>
        <v>10</v>
      </c>
      <c r="N103" s="13">
        <f t="shared" si="23"/>
        <v>4</v>
      </c>
      <c r="O103" s="13">
        <f t="shared" si="23"/>
        <v>24</v>
      </c>
      <c r="P103" s="13">
        <f t="shared" si="23"/>
        <v>4</v>
      </c>
      <c r="Q103" s="13">
        <f t="shared" si="23"/>
        <v>2</v>
      </c>
      <c r="R103" s="13">
        <f t="shared" si="23"/>
        <v>0</v>
      </c>
      <c r="S103" s="13">
        <f t="shared" si="23"/>
        <v>3</v>
      </c>
      <c r="T103" s="13">
        <f t="shared" si="23"/>
        <v>4</v>
      </c>
      <c r="U103" s="13">
        <f t="shared" si="23"/>
        <v>0</v>
      </c>
      <c r="V103" s="13">
        <f t="shared" si="23"/>
        <v>1</v>
      </c>
      <c r="W103" s="13">
        <f t="shared" si="23"/>
        <v>77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0.0</v>
      </c>
      <c r="F105" s="73">
        <v>0.0</v>
      </c>
      <c r="G105" s="73">
        <v>0.0</v>
      </c>
      <c r="H105" s="73">
        <v>0.0</v>
      </c>
      <c r="I105" s="73">
        <v>3.0</v>
      </c>
      <c r="J105" s="73">
        <v>1.0</v>
      </c>
      <c r="K105" s="73">
        <v>1.0</v>
      </c>
      <c r="L105" s="73">
        <v>0.0</v>
      </c>
      <c r="M105" s="73">
        <v>0.0</v>
      </c>
      <c r="N105" s="73">
        <v>0.0</v>
      </c>
      <c r="O105" s="73">
        <v>1.0</v>
      </c>
      <c r="P105" s="73">
        <v>1.0</v>
      </c>
      <c r="Q105" s="73">
        <v>1.0</v>
      </c>
      <c r="R105" s="73">
        <v>2.0</v>
      </c>
      <c r="S105" s="73">
        <v>1.0</v>
      </c>
      <c r="T105" s="73">
        <v>3.0</v>
      </c>
      <c r="U105" s="73">
        <v>2.0</v>
      </c>
      <c r="V105" s="73">
        <v>1.0</v>
      </c>
      <c r="W105" s="13">
        <f t="shared" ref="W105:W114" si="24">SUM(E105:V105)</f>
        <v>17</v>
      </c>
    </row>
    <row r="106" ht="12.75" customHeight="1">
      <c r="A106" s="30" t="s">
        <v>39</v>
      </c>
      <c r="B106" s="49"/>
      <c r="C106" s="50" t="s">
        <v>93</v>
      </c>
      <c r="D106" s="51"/>
      <c r="E106" s="73">
        <v>1.0</v>
      </c>
      <c r="F106" s="73">
        <v>0.0</v>
      </c>
      <c r="G106" s="73">
        <v>0.0</v>
      </c>
      <c r="H106" s="73">
        <v>0.0</v>
      </c>
      <c r="I106" s="73">
        <v>0.0</v>
      </c>
      <c r="J106" s="73">
        <v>0.0</v>
      </c>
      <c r="K106" s="73">
        <v>0.0</v>
      </c>
      <c r="L106" s="73">
        <v>0.0</v>
      </c>
      <c r="M106" s="73">
        <v>0.0</v>
      </c>
      <c r="N106" s="73">
        <v>0.0</v>
      </c>
      <c r="O106" s="73">
        <v>0.0</v>
      </c>
      <c r="P106" s="73">
        <v>3.0</v>
      </c>
      <c r="Q106" s="73">
        <v>0.0</v>
      </c>
      <c r="R106" s="73">
        <v>1.0</v>
      </c>
      <c r="S106" s="73">
        <v>2.0</v>
      </c>
      <c r="T106" s="73">
        <v>0.0</v>
      </c>
      <c r="U106" s="73">
        <v>0.0</v>
      </c>
      <c r="V106" s="73">
        <v>0.0</v>
      </c>
      <c r="W106" s="13">
        <f t="shared" si="24"/>
        <v>7</v>
      </c>
    </row>
    <row r="107" ht="12.75" customHeight="1">
      <c r="A107" s="18"/>
      <c r="B107" s="49"/>
      <c r="C107" s="50" t="s">
        <v>94</v>
      </c>
      <c r="D107" s="51"/>
      <c r="E107" s="73">
        <v>1.0</v>
      </c>
      <c r="F107" s="73">
        <v>0.0</v>
      </c>
      <c r="G107" s="73">
        <v>0.0</v>
      </c>
      <c r="H107" s="73">
        <v>0.0</v>
      </c>
      <c r="I107" s="73">
        <v>0.0</v>
      </c>
      <c r="J107" s="73">
        <v>1.0</v>
      </c>
      <c r="K107" s="73">
        <v>0.0</v>
      </c>
      <c r="L107" s="73">
        <v>2.0</v>
      </c>
      <c r="M107" s="73">
        <v>0.0</v>
      </c>
      <c r="N107" s="73">
        <v>0.0</v>
      </c>
      <c r="O107" s="73">
        <v>0.0</v>
      </c>
      <c r="P107" s="73">
        <v>0.0</v>
      </c>
      <c r="Q107" s="73">
        <v>0.0</v>
      </c>
      <c r="R107" s="73">
        <v>0.0</v>
      </c>
      <c r="S107" s="73">
        <v>0.0</v>
      </c>
      <c r="T107" s="73">
        <v>0.0</v>
      </c>
      <c r="U107" s="73">
        <v>0.0</v>
      </c>
      <c r="V107" s="73">
        <v>0.0</v>
      </c>
      <c r="W107" s="13">
        <f t="shared" si="24"/>
        <v>4</v>
      </c>
    </row>
    <row r="108" ht="12.75" customHeight="1">
      <c r="A108" s="18"/>
      <c r="B108" s="57"/>
      <c r="C108" s="58"/>
      <c r="D108" s="59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3">
        <f t="shared" si="24"/>
        <v>0</v>
      </c>
    </row>
    <row r="109" ht="12.75" customHeight="1">
      <c r="A109" s="18"/>
      <c r="B109" s="57"/>
      <c r="C109" s="58"/>
      <c r="D109" s="59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3">
        <f t="shared" si="24"/>
        <v>0</v>
      </c>
    </row>
    <row r="110" ht="12.75" customHeight="1">
      <c r="A110" s="18"/>
      <c r="B110" s="57"/>
      <c r="C110" s="58"/>
      <c r="D110" s="59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3">
        <f t="shared" si="24"/>
        <v>0</v>
      </c>
    </row>
    <row r="111" ht="12.75" customHeight="1">
      <c r="A111" s="18"/>
      <c r="B111" s="57"/>
      <c r="C111" s="58"/>
      <c r="D111" s="59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3">
        <f t="shared" si="24"/>
        <v>0</v>
      </c>
    </row>
    <row r="112" ht="12.75" customHeight="1">
      <c r="A112" s="18"/>
      <c r="B112" s="57"/>
      <c r="C112" s="58"/>
      <c r="D112" s="59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3">
        <f t="shared" si="24"/>
        <v>0</v>
      </c>
    </row>
    <row r="113" ht="12.75" customHeight="1">
      <c r="A113" s="18"/>
      <c r="B113" s="57"/>
      <c r="C113" s="58"/>
      <c r="D113" s="59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3">
        <f t="shared" si="24"/>
        <v>0</v>
      </c>
    </row>
    <row r="114" ht="12.75" customHeight="1">
      <c r="A114" s="18"/>
      <c r="B114" s="57"/>
      <c r="C114" s="58"/>
      <c r="D114" s="59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3">
        <f t="shared" si="24"/>
        <v>0</v>
      </c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W115" si="25">SUM(E105:E114)</f>
        <v>2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3</v>
      </c>
      <c r="J115" s="13">
        <f t="shared" si="25"/>
        <v>2</v>
      </c>
      <c r="K115" s="13">
        <f t="shared" si="25"/>
        <v>1</v>
      </c>
      <c r="L115" s="13">
        <f t="shared" si="25"/>
        <v>2</v>
      </c>
      <c r="M115" s="13">
        <f t="shared" si="25"/>
        <v>0</v>
      </c>
      <c r="N115" s="13">
        <f t="shared" si="25"/>
        <v>0</v>
      </c>
      <c r="O115" s="13">
        <f t="shared" si="25"/>
        <v>1</v>
      </c>
      <c r="P115" s="13">
        <f t="shared" si="25"/>
        <v>4</v>
      </c>
      <c r="Q115" s="13">
        <f t="shared" si="25"/>
        <v>1</v>
      </c>
      <c r="R115" s="13">
        <f t="shared" si="25"/>
        <v>3</v>
      </c>
      <c r="S115" s="13">
        <f t="shared" si="25"/>
        <v>3</v>
      </c>
      <c r="T115" s="13">
        <f t="shared" si="25"/>
        <v>3</v>
      </c>
      <c r="U115" s="13">
        <f t="shared" si="25"/>
        <v>2</v>
      </c>
      <c r="V115" s="13">
        <f t="shared" si="25"/>
        <v>1</v>
      </c>
      <c r="W115" s="13">
        <f t="shared" si="25"/>
        <v>28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1.0</v>
      </c>
      <c r="F117" s="73">
        <v>0.0</v>
      </c>
      <c r="G117" s="73">
        <v>1.0</v>
      </c>
      <c r="H117" s="73">
        <v>0.0</v>
      </c>
      <c r="I117" s="73">
        <v>0.0</v>
      </c>
      <c r="J117" s="73">
        <v>0.0</v>
      </c>
      <c r="K117" s="73">
        <v>0.0</v>
      </c>
      <c r="L117" s="73">
        <v>2.0</v>
      </c>
      <c r="M117" s="73">
        <v>0.0</v>
      </c>
      <c r="N117" s="73">
        <v>3.0</v>
      </c>
      <c r="O117" s="73">
        <v>0.0</v>
      </c>
      <c r="P117" s="73">
        <v>1.0</v>
      </c>
      <c r="Q117" s="73">
        <v>2.0</v>
      </c>
      <c r="R117" s="73">
        <v>0.0</v>
      </c>
      <c r="S117" s="73">
        <v>0.0</v>
      </c>
      <c r="T117" s="73">
        <v>2.0</v>
      </c>
      <c r="U117" s="73">
        <v>0.0</v>
      </c>
      <c r="V117" s="73">
        <v>0.0</v>
      </c>
      <c r="W117" s="13">
        <f t="shared" ref="W117:W126" si="26">SUM(E117:V117)</f>
        <v>12</v>
      </c>
    </row>
    <row r="118" ht="12.75" customHeight="1">
      <c r="A118" s="30" t="s">
        <v>39</v>
      </c>
      <c r="B118" s="49"/>
      <c r="C118" s="50" t="s">
        <v>97</v>
      </c>
      <c r="D118" s="51"/>
      <c r="E118" s="73">
        <v>0.0</v>
      </c>
      <c r="F118" s="73">
        <v>0.0</v>
      </c>
      <c r="G118" s="73">
        <v>1.0</v>
      </c>
      <c r="H118" s="73">
        <v>0.0</v>
      </c>
      <c r="I118" s="73">
        <v>0.0</v>
      </c>
      <c r="J118" s="73">
        <v>0.0</v>
      </c>
      <c r="K118" s="73">
        <v>1.0</v>
      </c>
      <c r="L118" s="73">
        <v>2.0</v>
      </c>
      <c r="M118" s="73">
        <v>1.0</v>
      </c>
      <c r="N118" s="73">
        <v>1.0</v>
      </c>
      <c r="O118" s="73">
        <v>0.0</v>
      </c>
      <c r="P118" s="73">
        <v>1.0</v>
      </c>
      <c r="Q118" s="73">
        <v>0.0</v>
      </c>
      <c r="R118" s="73">
        <v>0.0</v>
      </c>
      <c r="S118" s="73">
        <v>0.0</v>
      </c>
      <c r="T118" s="73">
        <v>0.0</v>
      </c>
      <c r="U118" s="73">
        <v>0.0</v>
      </c>
      <c r="V118" s="73">
        <v>0.0</v>
      </c>
      <c r="W118" s="13">
        <f t="shared" si="26"/>
        <v>7</v>
      </c>
    </row>
    <row r="119" ht="12.75" customHeight="1">
      <c r="A119" s="18"/>
      <c r="B119" s="49"/>
      <c r="C119" s="50" t="s">
        <v>98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1.0</v>
      </c>
      <c r="R119" s="73">
        <v>0.0</v>
      </c>
      <c r="S119" s="73">
        <v>1.0</v>
      </c>
      <c r="T119" s="73">
        <v>0.0</v>
      </c>
      <c r="U119" s="73">
        <v>0.0</v>
      </c>
      <c r="V119" s="73">
        <v>0.0</v>
      </c>
      <c r="W119" s="13">
        <f t="shared" si="26"/>
        <v>2</v>
      </c>
    </row>
    <row r="120" ht="12.75" customHeight="1">
      <c r="A120" s="18"/>
      <c r="B120" s="49"/>
      <c r="C120" s="50" t="s">
        <v>99</v>
      </c>
      <c r="D120" s="51"/>
      <c r="E120" s="73">
        <v>1.0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13">
        <f t="shared" si="26"/>
        <v>1</v>
      </c>
    </row>
    <row r="121" ht="12.75" customHeight="1">
      <c r="A121" s="18"/>
      <c r="B121" s="49"/>
      <c r="C121" s="50" t="s">
        <v>100</v>
      </c>
      <c r="D121" s="51"/>
      <c r="E121" s="73">
        <v>0.0</v>
      </c>
      <c r="F121" s="73">
        <v>0.0</v>
      </c>
      <c r="G121" s="73">
        <v>0.0</v>
      </c>
      <c r="H121" s="73">
        <v>0.0</v>
      </c>
      <c r="I121" s="73">
        <v>0.0</v>
      </c>
      <c r="J121" s="73">
        <v>0.0</v>
      </c>
      <c r="K121" s="73">
        <v>0.0</v>
      </c>
      <c r="L121" s="73">
        <v>0.0</v>
      </c>
      <c r="M121" s="73">
        <v>0.0</v>
      </c>
      <c r="N121" s="73">
        <v>0.0</v>
      </c>
      <c r="O121" s="73">
        <v>0.0</v>
      </c>
      <c r="P121" s="73">
        <v>0.0</v>
      </c>
      <c r="Q121" s="73">
        <v>1.0</v>
      </c>
      <c r="R121" s="73">
        <v>0.0</v>
      </c>
      <c r="S121" s="73">
        <v>0.0</v>
      </c>
      <c r="T121" s="73">
        <v>0.0</v>
      </c>
      <c r="U121" s="73">
        <v>0.0</v>
      </c>
      <c r="V121" s="73">
        <v>0.0</v>
      </c>
      <c r="W121" s="13">
        <f t="shared" si="26"/>
        <v>1</v>
      </c>
    </row>
    <row r="122" ht="12.75" customHeight="1">
      <c r="A122" s="18"/>
      <c r="B122" s="49"/>
      <c r="C122" s="50" t="s">
        <v>101</v>
      </c>
      <c r="D122" s="51"/>
      <c r="E122" s="73">
        <v>0.0</v>
      </c>
      <c r="F122" s="73">
        <v>0.0</v>
      </c>
      <c r="G122" s="73">
        <v>0.0</v>
      </c>
      <c r="H122" s="73">
        <v>0.0</v>
      </c>
      <c r="I122" s="73">
        <v>0.0</v>
      </c>
      <c r="J122" s="73">
        <v>0.0</v>
      </c>
      <c r="K122" s="73">
        <v>1.0</v>
      </c>
      <c r="L122" s="73">
        <v>0.0</v>
      </c>
      <c r="M122" s="73">
        <v>1.0</v>
      </c>
      <c r="N122" s="73">
        <v>0.0</v>
      </c>
      <c r="O122" s="73">
        <v>0.0</v>
      </c>
      <c r="P122" s="73">
        <v>0.0</v>
      </c>
      <c r="Q122" s="73">
        <v>0.0</v>
      </c>
      <c r="R122" s="73">
        <v>0.0</v>
      </c>
      <c r="S122" s="73">
        <v>0.0</v>
      </c>
      <c r="T122" s="73">
        <v>0.0</v>
      </c>
      <c r="U122" s="73">
        <v>0.0</v>
      </c>
      <c r="V122" s="73">
        <v>0.0</v>
      </c>
      <c r="W122" s="13">
        <f t="shared" si="26"/>
        <v>2</v>
      </c>
    </row>
    <row r="123" ht="12.75" customHeight="1">
      <c r="A123" s="18"/>
      <c r="B123" s="57"/>
      <c r="C123" s="58"/>
      <c r="D123" s="59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13">
        <f t="shared" si="26"/>
        <v>0</v>
      </c>
    </row>
    <row r="124" ht="12.75" customHeight="1">
      <c r="A124" s="18"/>
      <c r="B124" s="57"/>
      <c r="C124" s="58"/>
      <c r="D124" s="59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13">
        <f t="shared" si="26"/>
        <v>0</v>
      </c>
    </row>
    <row r="125" ht="12.75" customHeight="1">
      <c r="A125" s="18"/>
      <c r="B125" s="57"/>
      <c r="C125" s="58"/>
      <c r="D125" s="59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13">
        <f t="shared" si="26"/>
        <v>0</v>
      </c>
    </row>
    <row r="126" ht="12.75" customHeight="1">
      <c r="A126" s="18"/>
      <c r="B126" s="57"/>
      <c r="C126" s="58"/>
      <c r="D126" s="59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13">
        <f t="shared" si="26"/>
        <v>0</v>
      </c>
    </row>
    <row r="127" ht="12.75" customHeight="1">
      <c r="A127" s="19" t="s">
        <v>15</v>
      </c>
      <c r="B127" s="47" t="s">
        <v>49</v>
      </c>
      <c r="C127" s="15"/>
      <c r="D127" s="16"/>
      <c r="E127" s="13">
        <f t="shared" ref="E127:W127" si="27">SUM(E117:E126)</f>
        <v>2</v>
      </c>
      <c r="F127" s="13">
        <f t="shared" si="27"/>
        <v>0</v>
      </c>
      <c r="G127" s="13">
        <f t="shared" si="27"/>
        <v>2</v>
      </c>
      <c r="H127" s="13">
        <f t="shared" si="27"/>
        <v>0</v>
      </c>
      <c r="I127" s="13">
        <f t="shared" si="27"/>
        <v>0</v>
      </c>
      <c r="J127" s="13">
        <f t="shared" si="27"/>
        <v>0</v>
      </c>
      <c r="K127" s="13">
        <f t="shared" si="27"/>
        <v>2</v>
      </c>
      <c r="L127" s="13">
        <f t="shared" si="27"/>
        <v>4</v>
      </c>
      <c r="M127" s="13">
        <f t="shared" si="27"/>
        <v>2</v>
      </c>
      <c r="N127" s="13">
        <f t="shared" si="27"/>
        <v>4</v>
      </c>
      <c r="O127" s="13">
        <f t="shared" si="27"/>
        <v>0</v>
      </c>
      <c r="P127" s="13">
        <f t="shared" si="27"/>
        <v>2</v>
      </c>
      <c r="Q127" s="13">
        <f t="shared" si="27"/>
        <v>4</v>
      </c>
      <c r="R127" s="13">
        <f t="shared" si="27"/>
        <v>0</v>
      </c>
      <c r="S127" s="13">
        <f t="shared" si="27"/>
        <v>1</v>
      </c>
      <c r="T127" s="13">
        <f t="shared" si="27"/>
        <v>2</v>
      </c>
      <c r="U127" s="13">
        <f t="shared" si="27"/>
        <v>0</v>
      </c>
      <c r="V127" s="13">
        <f t="shared" si="27"/>
        <v>0</v>
      </c>
      <c r="W127" s="13">
        <f t="shared" si="27"/>
        <v>25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0.0</v>
      </c>
      <c r="F129" s="73">
        <v>0.0</v>
      </c>
      <c r="G129" s="73">
        <v>0.0</v>
      </c>
      <c r="H129" s="73">
        <v>0.0</v>
      </c>
      <c r="I129" s="73">
        <v>0.0</v>
      </c>
      <c r="J129" s="73">
        <v>0.0</v>
      </c>
      <c r="K129" s="73">
        <v>0.0</v>
      </c>
      <c r="L129" s="73">
        <v>0.0</v>
      </c>
      <c r="M129" s="73">
        <v>0.0</v>
      </c>
      <c r="N129" s="73">
        <v>0.0</v>
      </c>
      <c r="O129" s="73">
        <v>0.0</v>
      </c>
      <c r="P129" s="73">
        <v>0.0</v>
      </c>
      <c r="Q129" s="73">
        <v>0.0</v>
      </c>
      <c r="R129" s="73">
        <v>1.0</v>
      </c>
      <c r="S129" s="73">
        <v>1.0</v>
      </c>
      <c r="T129" s="73">
        <v>0.0</v>
      </c>
      <c r="U129" s="73">
        <v>0.0</v>
      </c>
      <c r="V129" s="73">
        <v>2.0</v>
      </c>
      <c r="W129" s="13">
        <f t="shared" ref="W129:W138" si="28">SUM(E129:V129)</f>
        <v>4</v>
      </c>
    </row>
    <row r="130" ht="12.75" customHeight="1">
      <c r="A130" s="30" t="s">
        <v>39</v>
      </c>
      <c r="B130" s="49"/>
      <c r="C130" s="50" t="s">
        <v>104</v>
      </c>
      <c r="D130" s="51"/>
      <c r="E130" s="73">
        <v>3.0</v>
      </c>
      <c r="F130" s="73">
        <v>1.0</v>
      </c>
      <c r="G130" s="73">
        <v>1.0</v>
      </c>
      <c r="H130" s="73">
        <v>2.0</v>
      </c>
      <c r="I130" s="73">
        <v>17.0</v>
      </c>
      <c r="J130" s="73">
        <v>0.0</v>
      </c>
      <c r="K130" s="73">
        <v>0.0</v>
      </c>
      <c r="L130" s="73">
        <v>0.0</v>
      </c>
      <c r="M130" s="73">
        <v>1.0</v>
      </c>
      <c r="N130" s="73">
        <v>2.0</v>
      </c>
      <c r="O130" s="73">
        <v>0.0</v>
      </c>
      <c r="P130" s="73">
        <v>1.0</v>
      </c>
      <c r="Q130" s="73">
        <v>1.0</v>
      </c>
      <c r="R130" s="73">
        <v>3.0</v>
      </c>
      <c r="S130" s="73">
        <v>0.0</v>
      </c>
      <c r="T130" s="73">
        <v>0.0</v>
      </c>
      <c r="U130" s="73">
        <v>0.0</v>
      </c>
      <c r="V130" s="73">
        <v>0.0</v>
      </c>
      <c r="W130" s="13">
        <f t="shared" si="28"/>
        <v>32</v>
      </c>
    </row>
    <row r="131" ht="12.75" customHeight="1">
      <c r="A131" s="18"/>
      <c r="B131" s="49"/>
      <c r="C131" s="50" t="s">
        <v>105</v>
      </c>
      <c r="D131" s="51"/>
      <c r="E131" s="73">
        <v>0.0</v>
      </c>
      <c r="F131" s="73">
        <v>1.0</v>
      </c>
      <c r="G131" s="73">
        <v>0.0</v>
      </c>
      <c r="H131" s="73">
        <v>1.0</v>
      </c>
      <c r="I131" s="73">
        <v>1.0</v>
      </c>
      <c r="J131" s="73">
        <v>0.0</v>
      </c>
      <c r="K131" s="73">
        <v>0.0</v>
      </c>
      <c r="L131" s="73">
        <v>0.0</v>
      </c>
      <c r="M131" s="73">
        <v>0.0</v>
      </c>
      <c r="N131" s="73">
        <v>0.0</v>
      </c>
      <c r="O131" s="73">
        <v>0.0</v>
      </c>
      <c r="P131" s="73">
        <v>0.0</v>
      </c>
      <c r="Q131" s="73">
        <v>0.0</v>
      </c>
      <c r="R131" s="73">
        <v>0.0</v>
      </c>
      <c r="S131" s="73">
        <v>0.0</v>
      </c>
      <c r="T131" s="73">
        <v>0.0</v>
      </c>
      <c r="U131" s="73">
        <v>0.0</v>
      </c>
      <c r="V131" s="73">
        <v>0.0</v>
      </c>
      <c r="W131" s="13">
        <f t="shared" si="28"/>
        <v>3</v>
      </c>
    </row>
    <row r="132" ht="12.75" customHeight="1">
      <c r="A132" s="18"/>
      <c r="B132" s="49"/>
      <c r="C132" s="50" t="s">
        <v>106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1.0</v>
      </c>
      <c r="R132" s="73">
        <v>0.0</v>
      </c>
      <c r="S132" s="73">
        <v>0.0</v>
      </c>
      <c r="T132" s="73">
        <v>0.0</v>
      </c>
      <c r="U132" s="73">
        <v>0.0</v>
      </c>
      <c r="V132" s="73">
        <v>0.0</v>
      </c>
      <c r="W132" s="13">
        <f t="shared" si="28"/>
        <v>1</v>
      </c>
    </row>
    <row r="133" ht="12.75" customHeight="1">
      <c r="A133" s="18"/>
      <c r="B133" s="49"/>
      <c r="C133" s="50" t="s">
        <v>107</v>
      </c>
      <c r="D133" s="51"/>
      <c r="E133" s="73">
        <v>0.0</v>
      </c>
      <c r="F133" s="73">
        <v>0.0</v>
      </c>
      <c r="G133" s="73">
        <v>1.0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13">
        <f t="shared" si="28"/>
        <v>1</v>
      </c>
    </row>
    <row r="134" ht="12.75" customHeight="1">
      <c r="A134" s="18"/>
      <c r="B134" s="49"/>
      <c r="C134" s="50" t="s">
        <v>108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13">
        <f t="shared" si="28"/>
        <v>0</v>
      </c>
    </row>
    <row r="135" ht="12.75" customHeight="1">
      <c r="A135" s="18"/>
      <c r="B135" s="49"/>
      <c r="C135" s="50" t="s">
        <v>109</v>
      </c>
      <c r="D135" s="51"/>
      <c r="E135" s="73">
        <v>1.0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1.0</v>
      </c>
      <c r="U135" s="73">
        <v>0.0</v>
      </c>
      <c r="V135" s="73">
        <v>0.0</v>
      </c>
      <c r="W135" s="13">
        <f t="shared" si="28"/>
        <v>2</v>
      </c>
    </row>
    <row r="136" ht="12.75" customHeight="1">
      <c r="A136" s="18"/>
      <c r="B136" s="49"/>
      <c r="C136" s="50" t="s">
        <v>110</v>
      </c>
      <c r="D136" s="51"/>
      <c r="E136" s="73">
        <v>0.0</v>
      </c>
      <c r="F136" s="73">
        <v>0.0</v>
      </c>
      <c r="G136" s="73">
        <v>0.0</v>
      </c>
      <c r="H136" s="73">
        <v>0.0</v>
      </c>
      <c r="I136" s="73">
        <v>0.0</v>
      </c>
      <c r="J136" s="73">
        <v>0.0</v>
      </c>
      <c r="K136" s="73">
        <v>0.0</v>
      </c>
      <c r="L136" s="73">
        <v>0.0</v>
      </c>
      <c r="M136" s="73">
        <v>0.0</v>
      </c>
      <c r="N136" s="73">
        <v>0.0</v>
      </c>
      <c r="O136" s="73">
        <v>0.0</v>
      </c>
      <c r="P136" s="73">
        <v>0.0</v>
      </c>
      <c r="Q136" s="73">
        <v>0.0</v>
      </c>
      <c r="R136" s="73">
        <v>0.0</v>
      </c>
      <c r="S136" s="73">
        <v>0.0</v>
      </c>
      <c r="T136" s="73">
        <v>0.0</v>
      </c>
      <c r="U136" s="73">
        <v>0.0</v>
      </c>
      <c r="V136" s="73">
        <v>0.0</v>
      </c>
      <c r="W136" s="13">
        <f t="shared" si="28"/>
        <v>0</v>
      </c>
    </row>
    <row r="137" ht="12.75" customHeight="1">
      <c r="A137" s="18"/>
      <c r="B137" s="49"/>
      <c r="C137" s="50" t="s">
        <v>111</v>
      </c>
      <c r="D137" s="51"/>
      <c r="E137" s="73">
        <v>0.0</v>
      </c>
      <c r="F137" s="73">
        <v>0.0</v>
      </c>
      <c r="G137" s="73">
        <v>0.0</v>
      </c>
      <c r="H137" s="73">
        <v>1.0</v>
      </c>
      <c r="I137" s="73">
        <v>0.0</v>
      </c>
      <c r="J137" s="73">
        <v>0.0</v>
      </c>
      <c r="K137" s="73">
        <v>0.0</v>
      </c>
      <c r="L137" s="73">
        <v>0.0</v>
      </c>
      <c r="M137" s="73">
        <v>0.0</v>
      </c>
      <c r="N137" s="73">
        <v>0.0</v>
      </c>
      <c r="O137" s="73">
        <v>0.0</v>
      </c>
      <c r="P137" s="73">
        <v>0.0</v>
      </c>
      <c r="Q137" s="73">
        <v>0.0</v>
      </c>
      <c r="R137" s="73">
        <v>0.0</v>
      </c>
      <c r="S137" s="73">
        <v>0.0</v>
      </c>
      <c r="T137" s="73">
        <v>0.0</v>
      </c>
      <c r="U137" s="73">
        <v>0.0</v>
      </c>
      <c r="V137" s="73">
        <v>0.0</v>
      </c>
      <c r="W137" s="13">
        <f t="shared" si="28"/>
        <v>1</v>
      </c>
    </row>
    <row r="138" ht="12.75" customHeight="1">
      <c r="A138" s="18"/>
      <c r="B138" s="49"/>
      <c r="C138" s="50" t="s">
        <v>112</v>
      </c>
      <c r="D138" s="51"/>
      <c r="E138" s="73">
        <v>0.0</v>
      </c>
      <c r="F138" s="73">
        <v>0.0</v>
      </c>
      <c r="G138" s="73">
        <v>0.0</v>
      </c>
      <c r="H138" s="73">
        <v>0.0</v>
      </c>
      <c r="I138" s="73">
        <v>0.0</v>
      </c>
      <c r="J138" s="73">
        <v>0.0</v>
      </c>
      <c r="K138" s="73">
        <v>0.0</v>
      </c>
      <c r="L138" s="73">
        <v>0.0</v>
      </c>
      <c r="M138" s="73">
        <v>0.0</v>
      </c>
      <c r="N138" s="73">
        <v>0.0</v>
      </c>
      <c r="O138" s="73">
        <v>0.0</v>
      </c>
      <c r="P138" s="73">
        <v>0.0</v>
      </c>
      <c r="Q138" s="73">
        <v>0.0</v>
      </c>
      <c r="R138" s="73">
        <v>0.0</v>
      </c>
      <c r="S138" s="73">
        <v>0.0</v>
      </c>
      <c r="T138" s="73">
        <v>0.0</v>
      </c>
      <c r="U138" s="73">
        <v>0.0</v>
      </c>
      <c r="V138" s="73">
        <v>1.0</v>
      </c>
      <c r="W138" s="13">
        <f t="shared" si="28"/>
        <v>1</v>
      </c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W139" si="29">SUM(E129:E138)</f>
        <v>4</v>
      </c>
      <c r="F139" s="13">
        <f t="shared" si="29"/>
        <v>2</v>
      </c>
      <c r="G139" s="13">
        <f t="shared" si="29"/>
        <v>2</v>
      </c>
      <c r="H139" s="13">
        <f t="shared" si="29"/>
        <v>4</v>
      </c>
      <c r="I139" s="13">
        <f t="shared" si="29"/>
        <v>18</v>
      </c>
      <c r="J139" s="13">
        <f t="shared" si="29"/>
        <v>0</v>
      </c>
      <c r="K139" s="13">
        <f t="shared" si="29"/>
        <v>0</v>
      </c>
      <c r="L139" s="13">
        <f t="shared" si="29"/>
        <v>0</v>
      </c>
      <c r="M139" s="13">
        <f t="shared" si="29"/>
        <v>1</v>
      </c>
      <c r="N139" s="13">
        <f t="shared" si="29"/>
        <v>2</v>
      </c>
      <c r="O139" s="13">
        <f t="shared" si="29"/>
        <v>0</v>
      </c>
      <c r="P139" s="13">
        <f t="shared" si="29"/>
        <v>1</v>
      </c>
      <c r="Q139" s="13">
        <f t="shared" si="29"/>
        <v>2</v>
      </c>
      <c r="R139" s="13">
        <f t="shared" si="29"/>
        <v>4</v>
      </c>
      <c r="S139" s="13">
        <f t="shared" si="29"/>
        <v>1</v>
      </c>
      <c r="T139" s="13">
        <f t="shared" si="29"/>
        <v>1</v>
      </c>
      <c r="U139" s="13">
        <f t="shared" si="29"/>
        <v>0</v>
      </c>
      <c r="V139" s="13">
        <f t="shared" si="29"/>
        <v>3</v>
      </c>
      <c r="W139" s="13">
        <f t="shared" si="29"/>
        <v>45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1.0</v>
      </c>
      <c r="N141" s="73">
        <v>0.0</v>
      </c>
      <c r="O141" s="73">
        <v>0.0</v>
      </c>
      <c r="P141" s="73">
        <v>0.0</v>
      </c>
      <c r="Q141" s="73">
        <v>1.0</v>
      </c>
      <c r="R141" s="73">
        <v>1.0</v>
      </c>
      <c r="S141" s="73">
        <v>0.0</v>
      </c>
      <c r="T141" s="73">
        <v>0.0</v>
      </c>
      <c r="U141" s="73">
        <v>0.0</v>
      </c>
      <c r="V141" s="73">
        <v>0.0</v>
      </c>
      <c r="W141" s="13">
        <f t="shared" ref="W141:W150" si="30">SUM(E141:V141)</f>
        <v>3</v>
      </c>
    </row>
    <row r="142" ht="12.75" customHeight="1">
      <c r="A142" s="30" t="s">
        <v>39</v>
      </c>
      <c r="B142" s="49"/>
      <c r="C142" s="50" t="s">
        <v>115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1.0</v>
      </c>
      <c r="S142" s="73">
        <v>0.0</v>
      </c>
      <c r="T142" s="73">
        <v>0.0</v>
      </c>
      <c r="U142" s="73">
        <v>0.0</v>
      </c>
      <c r="V142" s="73">
        <v>0.0</v>
      </c>
      <c r="W142" s="13">
        <f t="shared" si="30"/>
        <v>1</v>
      </c>
    </row>
    <row r="143" ht="12.75" customHeight="1">
      <c r="A143" s="18"/>
      <c r="B143" s="49"/>
      <c r="C143" s="50" t="s">
        <v>116</v>
      </c>
      <c r="D143" s="51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73">
        <v>0.0</v>
      </c>
      <c r="W143" s="13">
        <f t="shared" si="30"/>
        <v>0</v>
      </c>
    </row>
    <row r="144" ht="12.75" customHeight="1">
      <c r="A144" s="18"/>
      <c r="B144" s="49"/>
      <c r="C144" s="50" t="s">
        <v>117</v>
      </c>
      <c r="D144" s="51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73">
        <v>0.0</v>
      </c>
      <c r="W144" s="13">
        <f t="shared" si="30"/>
        <v>0</v>
      </c>
    </row>
    <row r="145" ht="12.75" customHeight="1">
      <c r="A145" s="18"/>
      <c r="B145" s="57"/>
      <c r="C145" s="58"/>
      <c r="D145" s="5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3">
        <f t="shared" si="30"/>
        <v>0</v>
      </c>
    </row>
    <row r="146" ht="12.75" customHeight="1">
      <c r="A146" s="18"/>
      <c r="B146" s="57"/>
      <c r="C146" s="58"/>
      <c r="D146" s="5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3">
        <f t="shared" si="30"/>
        <v>0</v>
      </c>
    </row>
    <row r="147" ht="12.75" customHeight="1">
      <c r="A147" s="18"/>
      <c r="B147" s="57"/>
      <c r="C147" s="58"/>
      <c r="D147" s="5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3">
        <f t="shared" si="30"/>
        <v>0</v>
      </c>
    </row>
    <row r="148" ht="12.75" customHeight="1">
      <c r="A148" s="18"/>
      <c r="B148" s="57"/>
      <c r="C148" s="58"/>
      <c r="D148" s="5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3">
        <f t="shared" si="30"/>
        <v>0</v>
      </c>
    </row>
    <row r="149" ht="12.75" customHeight="1">
      <c r="A149" s="18"/>
      <c r="B149" s="57"/>
      <c r="C149" s="58"/>
      <c r="D149" s="5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3">
        <f t="shared" si="30"/>
        <v>0</v>
      </c>
    </row>
    <row r="150" ht="12.75" customHeight="1">
      <c r="A150" s="18"/>
      <c r="B150" s="57"/>
      <c r="C150" s="58"/>
      <c r="D150" s="5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3">
        <f t="shared" si="30"/>
        <v>0</v>
      </c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W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1</v>
      </c>
      <c r="R151" s="13">
        <f t="shared" si="31"/>
        <v>2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4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13"/>
    </row>
    <row r="153" ht="12.75" customHeight="1">
      <c r="A153" s="30" t="s">
        <v>37</v>
      </c>
      <c r="B153" s="17" t="s">
        <v>118</v>
      </c>
      <c r="C153" s="62" t="s">
        <v>119</v>
      </c>
      <c r="D153" s="23"/>
      <c r="E153" s="73">
        <v>0.0</v>
      </c>
      <c r="F153" s="73">
        <v>0.0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73">
        <v>0.0</v>
      </c>
      <c r="U153" s="73">
        <v>0.0</v>
      </c>
      <c r="V153" s="73">
        <v>1.0</v>
      </c>
      <c r="W153" s="13">
        <f t="shared" ref="W153:W162" si="32">SUM(E153:V153)</f>
        <v>1</v>
      </c>
    </row>
    <row r="154" ht="12.75" customHeight="1">
      <c r="A154" s="63" t="s">
        <v>39</v>
      </c>
      <c r="B154" s="49"/>
      <c r="C154" s="50" t="s">
        <v>120</v>
      </c>
      <c r="D154" s="51"/>
      <c r="E154" s="80">
        <v>0.0</v>
      </c>
      <c r="F154" s="73">
        <v>0.0</v>
      </c>
      <c r="G154" s="73">
        <v>0.0</v>
      </c>
      <c r="H154" s="73">
        <v>0.0</v>
      </c>
      <c r="I154" s="73">
        <v>1.0</v>
      </c>
      <c r="J154" s="73">
        <v>0.0</v>
      </c>
      <c r="K154" s="73">
        <v>0.0</v>
      </c>
      <c r="L154" s="73">
        <v>0.0</v>
      </c>
      <c r="M154" s="73">
        <v>1.0</v>
      </c>
      <c r="N154" s="73">
        <v>0.0</v>
      </c>
      <c r="O154" s="73">
        <v>0.0</v>
      </c>
      <c r="P154" s="73">
        <v>0.0</v>
      </c>
      <c r="Q154" s="73">
        <v>0.0</v>
      </c>
      <c r="R154" s="73">
        <v>2.0</v>
      </c>
      <c r="S154" s="73">
        <v>0.0</v>
      </c>
      <c r="T154" s="73">
        <v>1.0</v>
      </c>
      <c r="U154" s="73">
        <v>0.0</v>
      </c>
      <c r="V154" s="73">
        <v>0.0</v>
      </c>
      <c r="W154" s="13">
        <f t="shared" si="32"/>
        <v>5</v>
      </c>
    </row>
    <row r="155" ht="12.75" customHeight="1">
      <c r="A155" s="18"/>
      <c r="B155" s="49"/>
      <c r="C155" s="50" t="s">
        <v>121</v>
      </c>
      <c r="D155" s="51"/>
      <c r="E155" s="80">
        <v>0.0</v>
      </c>
      <c r="F155" s="73">
        <v>1.0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1.0</v>
      </c>
      <c r="S155" s="73">
        <v>0.0</v>
      </c>
      <c r="T155" s="73">
        <v>0.0</v>
      </c>
      <c r="U155" s="73">
        <v>0.0</v>
      </c>
      <c r="V155" s="73">
        <v>0.0</v>
      </c>
      <c r="W155" s="13">
        <f t="shared" si="32"/>
        <v>2</v>
      </c>
    </row>
    <row r="156" ht="12.75" customHeight="1">
      <c r="A156" s="18"/>
      <c r="B156" s="49"/>
      <c r="C156" s="50" t="s">
        <v>122</v>
      </c>
      <c r="D156" s="51"/>
      <c r="E156" s="80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1.0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1.0</v>
      </c>
      <c r="V156" s="73">
        <v>0.0</v>
      </c>
      <c r="W156" s="13">
        <f t="shared" si="32"/>
        <v>2</v>
      </c>
    </row>
    <row r="157" ht="12.75" customHeight="1">
      <c r="A157" s="18"/>
      <c r="B157" s="49"/>
      <c r="C157" s="50" t="s">
        <v>123</v>
      </c>
      <c r="D157" s="51"/>
      <c r="E157" s="80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1.0</v>
      </c>
      <c r="L157" s="73">
        <v>0.0</v>
      </c>
      <c r="M157" s="73">
        <v>1.0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13">
        <f t="shared" si="32"/>
        <v>2</v>
      </c>
    </row>
    <row r="158" ht="12.75" customHeight="1">
      <c r="A158" s="18"/>
      <c r="B158" s="49"/>
      <c r="C158" s="50" t="s">
        <v>124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13">
        <f t="shared" si="32"/>
        <v>0</v>
      </c>
    </row>
    <row r="159" ht="12.75" customHeight="1">
      <c r="A159" s="18"/>
      <c r="B159" s="49"/>
      <c r="C159" s="50" t="s">
        <v>125</v>
      </c>
      <c r="D159" s="51"/>
      <c r="E159" s="80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13">
        <f t="shared" si="32"/>
        <v>0</v>
      </c>
    </row>
    <row r="160" ht="12.75" customHeight="1">
      <c r="A160" s="18"/>
      <c r="B160" s="49"/>
      <c r="C160" s="50" t="s">
        <v>126</v>
      </c>
      <c r="D160" s="51"/>
      <c r="E160" s="80">
        <v>0.0</v>
      </c>
      <c r="F160" s="73">
        <v>1.0</v>
      </c>
      <c r="G160" s="73">
        <v>0.0</v>
      </c>
      <c r="H160" s="73">
        <v>0.0</v>
      </c>
      <c r="I160" s="73">
        <v>0.0</v>
      </c>
      <c r="J160" s="73">
        <v>0.0</v>
      </c>
      <c r="K160" s="73">
        <v>0.0</v>
      </c>
      <c r="L160" s="73">
        <v>0.0</v>
      </c>
      <c r="M160" s="73">
        <v>0.0</v>
      </c>
      <c r="N160" s="73">
        <v>0.0</v>
      </c>
      <c r="O160" s="73">
        <v>0.0</v>
      </c>
      <c r="P160" s="73">
        <v>0.0</v>
      </c>
      <c r="Q160" s="73">
        <v>0.0</v>
      </c>
      <c r="R160" s="73">
        <v>0.0</v>
      </c>
      <c r="S160" s="73">
        <v>0.0</v>
      </c>
      <c r="T160" s="73">
        <v>0.0</v>
      </c>
      <c r="U160" s="73">
        <v>0.0</v>
      </c>
      <c r="V160" s="73">
        <v>0.0</v>
      </c>
      <c r="W160" s="13">
        <f t="shared" si="32"/>
        <v>1</v>
      </c>
    </row>
    <row r="161" ht="12.75" customHeight="1">
      <c r="A161" s="18"/>
      <c r="B161" s="57"/>
      <c r="C161" s="64"/>
      <c r="D161" s="59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3">
        <f t="shared" si="32"/>
        <v>0</v>
      </c>
    </row>
    <row r="162" ht="12.75" customHeight="1">
      <c r="A162" s="18"/>
      <c r="B162" s="57"/>
      <c r="C162" s="64"/>
      <c r="D162" s="59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3">
        <f t="shared" si="32"/>
        <v>0</v>
      </c>
    </row>
    <row r="163" ht="12.75" customHeight="1">
      <c r="A163" s="19" t="s">
        <v>15</v>
      </c>
      <c r="B163" s="65" t="s">
        <v>49</v>
      </c>
      <c r="C163" s="44"/>
      <c r="D163" s="28"/>
      <c r="E163" s="13">
        <f t="shared" ref="E163:W163" si="33">SUM(E153:E162)</f>
        <v>0</v>
      </c>
      <c r="F163" s="13">
        <f t="shared" si="33"/>
        <v>2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0</v>
      </c>
      <c r="K163" s="13">
        <f t="shared" si="33"/>
        <v>1</v>
      </c>
      <c r="L163" s="13">
        <f t="shared" si="33"/>
        <v>0</v>
      </c>
      <c r="M163" s="13">
        <f t="shared" si="33"/>
        <v>2</v>
      </c>
      <c r="N163" s="13">
        <f t="shared" si="33"/>
        <v>1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3</v>
      </c>
      <c r="S163" s="13">
        <f t="shared" si="33"/>
        <v>0</v>
      </c>
      <c r="T163" s="13">
        <f t="shared" si="33"/>
        <v>1</v>
      </c>
      <c r="U163" s="13">
        <f t="shared" si="33"/>
        <v>1</v>
      </c>
      <c r="V163" s="13">
        <f t="shared" si="33"/>
        <v>1</v>
      </c>
      <c r="W163" s="13">
        <f t="shared" si="33"/>
        <v>13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0.0</v>
      </c>
      <c r="F165" s="73">
        <v>0.0</v>
      </c>
      <c r="G165" s="73">
        <v>0.0</v>
      </c>
      <c r="H165" s="73">
        <v>0.0</v>
      </c>
      <c r="I165" s="73">
        <v>0.0</v>
      </c>
      <c r="J165" s="73">
        <v>1.0</v>
      </c>
      <c r="K165" s="73">
        <v>0.0</v>
      </c>
      <c r="L165" s="73">
        <v>0.0</v>
      </c>
      <c r="M165" s="73">
        <v>1.0</v>
      </c>
      <c r="N165" s="73">
        <v>0.0</v>
      </c>
      <c r="O165" s="73">
        <v>0.0</v>
      </c>
      <c r="P165" s="73">
        <v>0.0</v>
      </c>
      <c r="Q165" s="73">
        <v>0.0</v>
      </c>
      <c r="R165" s="73">
        <v>1.0</v>
      </c>
      <c r="S165" s="73">
        <v>0.0</v>
      </c>
      <c r="T165" s="73">
        <v>0.0</v>
      </c>
      <c r="U165" s="73">
        <v>1.0</v>
      </c>
      <c r="V165" s="73">
        <v>0.0</v>
      </c>
      <c r="W165" s="13">
        <f t="shared" ref="W165:W174" si="34">SUM(E165:V165)</f>
        <v>4</v>
      </c>
    </row>
    <row r="166" ht="12.75" customHeight="1">
      <c r="A166" s="30" t="s">
        <v>39</v>
      </c>
      <c r="B166" s="49"/>
      <c r="C166" s="50" t="s">
        <v>129</v>
      </c>
      <c r="D166" s="51"/>
      <c r="E166" s="73">
        <v>1.0</v>
      </c>
      <c r="F166" s="73">
        <v>0.0</v>
      </c>
      <c r="G166" s="73">
        <v>1.0</v>
      </c>
      <c r="H166" s="73">
        <v>1.0</v>
      </c>
      <c r="I166" s="73">
        <v>0.0</v>
      </c>
      <c r="J166" s="73">
        <v>1.0</v>
      </c>
      <c r="K166" s="73">
        <v>0.0</v>
      </c>
      <c r="L166" s="73">
        <v>0.0</v>
      </c>
      <c r="M166" s="73">
        <v>0.0</v>
      </c>
      <c r="N166" s="73">
        <v>0.0</v>
      </c>
      <c r="O166" s="73">
        <v>0.0</v>
      </c>
      <c r="P166" s="73">
        <v>1.0</v>
      </c>
      <c r="Q166" s="73">
        <v>0.0</v>
      </c>
      <c r="R166" s="73">
        <v>0.0</v>
      </c>
      <c r="S166" s="73">
        <v>0.0</v>
      </c>
      <c r="T166" s="73">
        <v>0.0</v>
      </c>
      <c r="U166" s="73">
        <v>1.0</v>
      </c>
      <c r="V166" s="73">
        <v>0.0</v>
      </c>
      <c r="W166" s="13">
        <f t="shared" si="34"/>
        <v>6</v>
      </c>
    </row>
    <row r="167" ht="12.75" customHeight="1">
      <c r="A167" s="18"/>
      <c r="B167" s="57"/>
      <c r="C167" s="58"/>
      <c r="D167" s="5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3">
        <f t="shared" si="34"/>
        <v>0</v>
      </c>
    </row>
    <row r="168" ht="12.75" customHeight="1">
      <c r="A168" s="18"/>
      <c r="B168" s="57"/>
      <c r="C168" s="58"/>
      <c r="D168" s="5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3">
        <f t="shared" si="34"/>
        <v>0</v>
      </c>
    </row>
    <row r="169" ht="12.75" customHeight="1">
      <c r="A169" s="18"/>
      <c r="B169" s="57"/>
      <c r="C169" s="58"/>
      <c r="D169" s="5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3">
        <f t="shared" si="34"/>
        <v>0</v>
      </c>
    </row>
    <row r="170" ht="12.75" customHeight="1">
      <c r="A170" s="18"/>
      <c r="B170" s="57"/>
      <c r="C170" s="58"/>
      <c r="D170" s="5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3">
        <f t="shared" si="34"/>
        <v>0</v>
      </c>
    </row>
    <row r="171" ht="12.75" customHeight="1">
      <c r="A171" s="18"/>
      <c r="B171" s="57"/>
      <c r="C171" s="58"/>
      <c r="D171" s="5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3">
        <f t="shared" si="34"/>
        <v>0</v>
      </c>
    </row>
    <row r="172" ht="12.75" customHeight="1">
      <c r="A172" s="18"/>
      <c r="B172" s="57"/>
      <c r="C172" s="58"/>
      <c r="D172" s="5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3">
        <f t="shared" si="34"/>
        <v>0</v>
      </c>
    </row>
    <row r="173" ht="12.75" customHeight="1">
      <c r="A173" s="18"/>
      <c r="B173" s="57"/>
      <c r="C173" s="58"/>
      <c r="D173" s="5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3">
        <f t="shared" si="34"/>
        <v>0</v>
      </c>
    </row>
    <row r="174" ht="12.75" customHeight="1">
      <c r="A174" s="18"/>
      <c r="B174" s="57"/>
      <c r="C174" s="58"/>
      <c r="D174" s="5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3">
        <f t="shared" si="34"/>
        <v>0</v>
      </c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W175" si="35">SUM(E165:E174)</f>
        <v>1</v>
      </c>
      <c r="F175" s="13">
        <f t="shared" si="35"/>
        <v>0</v>
      </c>
      <c r="G175" s="13">
        <f t="shared" si="35"/>
        <v>1</v>
      </c>
      <c r="H175" s="13">
        <f t="shared" si="35"/>
        <v>1</v>
      </c>
      <c r="I175" s="13">
        <f t="shared" si="35"/>
        <v>0</v>
      </c>
      <c r="J175" s="13">
        <f t="shared" si="35"/>
        <v>2</v>
      </c>
      <c r="K175" s="13">
        <f t="shared" si="35"/>
        <v>0</v>
      </c>
      <c r="L175" s="13">
        <f t="shared" si="35"/>
        <v>0</v>
      </c>
      <c r="M175" s="13">
        <f t="shared" si="35"/>
        <v>1</v>
      </c>
      <c r="N175" s="13">
        <f t="shared" si="35"/>
        <v>0</v>
      </c>
      <c r="O175" s="13">
        <f t="shared" si="35"/>
        <v>0</v>
      </c>
      <c r="P175" s="13">
        <f t="shared" si="35"/>
        <v>1</v>
      </c>
      <c r="Q175" s="13">
        <f t="shared" si="35"/>
        <v>0</v>
      </c>
      <c r="R175" s="13">
        <f t="shared" si="35"/>
        <v>1</v>
      </c>
      <c r="S175" s="13">
        <f t="shared" si="35"/>
        <v>0</v>
      </c>
      <c r="T175" s="13">
        <f t="shared" si="35"/>
        <v>0</v>
      </c>
      <c r="U175" s="13">
        <f t="shared" si="35"/>
        <v>2</v>
      </c>
      <c r="V175" s="13">
        <f t="shared" si="35"/>
        <v>0</v>
      </c>
      <c r="W175" s="13">
        <f t="shared" si="35"/>
        <v>10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1.0</v>
      </c>
      <c r="F177" s="73">
        <v>0.0</v>
      </c>
      <c r="G177" s="73">
        <v>0.0</v>
      </c>
      <c r="H177" s="73">
        <v>0.0</v>
      </c>
      <c r="I177" s="73">
        <v>0.0</v>
      </c>
      <c r="J177" s="73">
        <v>0.0</v>
      </c>
      <c r="K177" s="73">
        <v>1.0</v>
      </c>
      <c r="L177" s="73">
        <v>0.0</v>
      </c>
      <c r="M177" s="73">
        <v>1.0</v>
      </c>
      <c r="N177" s="73">
        <v>0.0</v>
      </c>
      <c r="O177" s="73">
        <v>0.0</v>
      </c>
      <c r="P177" s="73">
        <v>0.0</v>
      </c>
      <c r="Q177" s="73">
        <v>1.0</v>
      </c>
      <c r="R177" s="73">
        <v>0.0</v>
      </c>
      <c r="S177" s="73">
        <v>1.0</v>
      </c>
      <c r="T177" s="73">
        <v>0.0</v>
      </c>
      <c r="U177" s="73">
        <v>0.0</v>
      </c>
      <c r="V177" s="73">
        <v>0.0</v>
      </c>
      <c r="W177" s="13">
        <f t="shared" ref="W177:W186" si="36">SUM(E177:V177)</f>
        <v>5</v>
      </c>
    </row>
    <row r="178" ht="12.75" customHeight="1">
      <c r="A178" s="30" t="s">
        <v>39</v>
      </c>
      <c r="B178" s="49"/>
      <c r="C178" s="50" t="s">
        <v>132</v>
      </c>
      <c r="D178" s="51"/>
      <c r="E178" s="73">
        <v>3.0</v>
      </c>
      <c r="F178" s="73">
        <v>0.0</v>
      </c>
      <c r="G178" s="73">
        <v>1.0</v>
      </c>
      <c r="H178" s="73">
        <v>0.0</v>
      </c>
      <c r="I178" s="73">
        <v>1.0</v>
      </c>
      <c r="J178" s="73">
        <v>0.0</v>
      </c>
      <c r="K178" s="73">
        <v>0.0</v>
      </c>
      <c r="L178" s="73">
        <v>0.0</v>
      </c>
      <c r="M178" s="73">
        <v>1.0</v>
      </c>
      <c r="N178" s="73">
        <v>0.0</v>
      </c>
      <c r="O178" s="73">
        <v>0.0</v>
      </c>
      <c r="P178" s="73">
        <v>0.0</v>
      </c>
      <c r="Q178" s="73">
        <v>0.0</v>
      </c>
      <c r="R178" s="73">
        <v>1.0</v>
      </c>
      <c r="S178" s="73">
        <v>0.0</v>
      </c>
      <c r="T178" s="73">
        <v>2.0</v>
      </c>
      <c r="U178" s="73">
        <v>0.0</v>
      </c>
      <c r="V178" s="73">
        <v>4.0</v>
      </c>
      <c r="W178" s="13">
        <f t="shared" si="36"/>
        <v>13</v>
      </c>
    </row>
    <row r="179" ht="12.75" customHeight="1">
      <c r="A179" s="18"/>
      <c r="B179" s="49"/>
      <c r="C179" s="50" t="s">
        <v>133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0.0</v>
      </c>
      <c r="R179" s="73">
        <v>0.0</v>
      </c>
      <c r="S179" s="73">
        <v>0.0</v>
      </c>
      <c r="T179" s="73">
        <v>0.0</v>
      </c>
      <c r="U179" s="73">
        <v>0.0</v>
      </c>
      <c r="V179" s="73">
        <v>1.0</v>
      </c>
      <c r="W179" s="13">
        <f t="shared" si="36"/>
        <v>1</v>
      </c>
    </row>
    <row r="180" ht="12.75" customHeight="1">
      <c r="A180" s="18"/>
      <c r="B180" s="49"/>
      <c r="C180" s="50" t="s">
        <v>134</v>
      </c>
      <c r="D180" s="51"/>
      <c r="E180" s="73">
        <v>0.0</v>
      </c>
      <c r="F180" s="73">
        <v>0.0</v>
      </c>
      <c r="G180" s="73">
        <v>0.0</v>
      </c>
      <c r="H180" s="73">
        <v>0.0</v>
      </c>
      <c r="I180" s="73">
        <v>0.0</v>
      </c>
      <c r="J180" s="73">
        <v>0.0</v>
      </c>
      <c r="K180" s="73">
        <v>0.0</v>
      </c>
      <c r="L180" s="73">
        <v>0.0</v>
      </c>
      <c r="M180" s="73">
        <v>0.0</v>
      </c>
      <c r="N180" s="73">
        <v>0.0</v>
      </c>
      <c r="O180" s="73">
        <v>0.0</v>
      </c>
      <c r="P180" s="73">
        <v>1.0</v>
      </c>
      <c r="Q180" s="73">
        <v>0.0</v>
      </c>
      <c r="R180" s="73">
        <v>0.0</v>
      </c>
      <c r="S180" s="73">
        <v>0.0</v>
      </c>
      <c r="T180" s="73">
        <v>0.0</v>
      </c>
      <c r="U180" s="73">
        <v>0.0</v>
      </c>
      <c r="V180" s="73">
        <v>0.0</v>
      </c>
      <c r="W180" s="13">
        <f t="shared" si="36"/>
        <v>1</v>
      </c>
    </row>
    <row r="181" ht="12.75" customHeight="1">
      <c r="A181" s="18"/>
      <c r="B181" s="49"/>
      <c r="C181" s="50" t="s">
        <v>135</v>
      </c>
      <c r="D181" s="51"/>
      <c r="E181" s="73">
        <v>0.0</v>
      </c>
      <c r="F181" s="73">
        <v>1.0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0.0</v>
      </c>
      <c r="U181" s="73">
        <v>0.0</v>
      </c>
      <c r="V181" s="73">
        <v>0.0</v>
      </c>
      <c r="W181" s="13">
        <f t="shared" si="36"/>
        <v>1</v>
      </c>
    </row>
    <row r="182" ht="12.75" customHeight="1">
      <c r="A182" s="18"/>
      <c r="B182" s="49"/>
      <c r="C182" s="50" t="s">
        <v>136</v>
      </c>
      <c r="D182" s="51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73">
        <v>1.0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73">
        <v>0.0</v>
      </c>
      <c r="T182" s="73">
        <v>0.0</v>
      </c>
      <c r="U182" s="73">
        <v>0.0</v>
      </c>
      <c r="V182" s="73">
        <v>0.0</v>
      </c>
      <c r="W182" s="13">
        <f t="shared" si="36"/>
        <v>1</v>
      </c>
    </row>
    <row r="183" ht="12.75" customHeight="1">
      <c r="A183" s="18"/>
      <c r="B183" s="49"/>
      <c r="C183" s="50" t="s">
        <v>137</v>
      </c>
      <c r="D183" s="51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1.0</v>
      </c>
      <c r="T183" s="73">
        <v>0.0</v>
      </c>
      <c r="U183" s="73">
        <v>0.0</v>
      </c>
      <c r="V183" s="73">
        <v>0.0</v>
      </c>
      <c r="W183" s="13">
        <f t="shared" si="36"/>
        <v>1</v>
      </c>
    </row>
    <row r="184" ht="12.75" customHeight="1">
      <c r="A184" s="18"/>
      <c r="B184" s="49"/>
      <c r="C184" s="50" t="s">
        <v>138</v>
      </c>
      <c r="D184" s="51"/>
      <c r="E184" s="73">
        <v>0.0</v>
      </c>
      <c r="F184" s="73">
        <v>0.0</v>
      </c>
      <c r="G184" s="73">
        <v>0.0</v>
      </c>
      <c r="H184" s="73">
        <v>0.0</v>
      </c>
      <c r="I184" s="73">
        <v>0.0</v>
      </c>
      <c r="J184" s="73">
        <v>0.0</v>
      </c>
      <c r="K184" s="73">
        <v>0.0</v>
      </c>
      <c r="L184" s="73">
        <v>0.0</v>
      </c>
      <c r="M184" s="73">
        <v>0.0</v>
      </c>
      <c r="N184" s="73">
        <v>0.0</v>
      </c>
      <c r="O184" s="73">
        <v>0.0</v>
      </c>
      <c r="P184" s="73">
        <v>0.0</v>
      </c>
      <c r="Q184" s="73">
        <v>0.0</v>
      </c>
      <c r="R184" s="73">
        <v>0.0</v>
      </c>
      <c r="S184" s="73">
        <v>0.0</v>
      </c>
      <c r="T184" s="73">
        <v>0.0</v>
      </c>
      <c r="U184" s="73">
        <v>0.0</v>
      </c>
      <c r="V184" s="73">
        <v>0.0</v>
      </c>
      <c r="W184" s="13">
        <f t="shared" si="36"/>
        <v>0</v>
      </c>
    </row>
    <row r="185" ht="12.75" customHeight="1">
      <c r="A185" s="18"/>
      <c r="B185" s="49"/>
      <c r="C185" s="50" t="s">
        <v>139</v>
      </c>
      <c r="D185" s="51"/>
      <c r="E185" s="73">
        <v>0.0</v>
      </c>
      <c r="F185" s="73">
        <v>0.0</v>
      </c>
      <c r="G185" s="73">
        <v>0.0</v>
      </c>
      <c r="H185" s="73">
        <v>0.0</v>
      </c>
      <c r="I185" s="73">
        <v>0.0</v>
      </c>
      <c r="J185" s="73">
        <v>0.0</v>
      </c>
      <c r="K185" s="73">
        <v>0.0</v>
      </c>
      <c r="L185" s="73">
        <v>0.0</v>
      </c>
      <c r="M185" s="73">
        <v>0.0</v>
      </c>
      <c r="N185" s="73">
        <v>0.0</v>
      </c>
      <c r="O185" s="73">
        <v>0.0</v>
      </c>
      <c r="P185" s="73">
        <v>0.0</v>
      </c>
      <c r="Q185" s="73">
        <v>0.0</v>
      </c>
      <c r="R185" s="73">
        <v>0.0</v>
      </c>
      <c r="S185" s="73">
        <v>0.0</v>
      </c>
      <c r="T185" s="73">
        <v>0.0</v>
      </c>
      <c r="U185" s="73">
        <v>0.0</v>
      </c>
      <c r="V185" s="73">
        <v>0.0</v>
      </c>
      <c r="W185" s="13">
        <f t="shared" si="36"/>
        <v>0</v>
      </c>
    </row>
    <row r="186" ht="12.75" customHeight="1">
      <c r="A186" s="18"/>
      <c r="B186" s="49"/>
      <c r="C186" s="50" t="s">
        <v>140</v>
      </c>
      <c r="D186" s="51"/>
      <c r="E186" s="73">
        <v>0.0</v>
      </c>
      <c r="F186" s="73">
        <v>0.0</v>
      </c>
      <c r="G186" s="73">
        <v>0.0</v>
      </c>
      <c r="H186" s="73">
        <v>0.0</v>
      </c>
      <c r="I186" s="73">
        <v>0.0</v>
      </c>
      <c r="J186" s="73">
        <v>0.0</v>
      </c>
      <c r="K186" s="73">
        <v>0.0</v>
      </c>
      <c r="L186" s="73">
        <v>0.0</v>
      </c>
      <c r="M186" s="73">
        <v>0.0</v>
      </c>
      <c r="N186" s="73">
        <v>0.0</v>
      </c>
      <c r="O186" s="73">
        <v>0.0</v>
      </c>
      <c r="P186" s="73">
        <v>0.0</v>
      </c>
      <c r="Q186" s="73">
        <v>0.0</v>
      </c>
      <c r="R186" s="73">
        <v>0.0</v>
      </c>
      <c r="S186" s="73">
        <v>0.0</v>
      </c>
      <c r="T186" s="73">
        <v>0.0</v>
      </c>
      <c r="U186" s="73">
        <v>0.0</v>
      </c>
      <c r="V186" s="73">
        <v>0.0</v>
      </c>
      <c r="W186" s="13">
        <f t="shared" si="36"/>
        <v>0</v>
      </c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W187" si="37">SUM(E177:E186)</f>
        <v>4</v>
      </c>
      <c r="F187" s="13">
        <f t="shared" si="37"/>
        <v>1</v>
      </c>
      <c r="G187" s="13">
        <f t="shared" si="37"/>
        <v>1</v>
      </c>
      <c r="H187" s="13">
        <f t="shared" si="37"/>
        <v>0</v>
      </c>
      <c r="I187" s="13">
        <f t="shared" si="37"/>
        <v>1</v>
      </c>
      <c r="J187" s="13">
        <f t="shared" si="37"/>
        <v>0</v>
      </c>
      <c r="K187" s="13">
        <f t="shared" si="37"/>
        <v>1</v>
      </c>
      <c r="L187" s="13">
        <f t="shared" si="37"/>
        <v>0</v>
      </c>
      <c r="M187" s="13">
        <f t="shared" si="37"/>
        <v>3</v>
      </c>
      <c r="N187" s="13">
        <f t="shared" si="37"/>
        <v>0</v>
      </c>
      <c r="O187" s="13">
        <f t="shared" si="37"/>
        <v>0</v>
      </c>
      <c r="P187" s="13">
        <f t="shared" si="37"/>
        <v>1</v>
      </c>
      <c r="Q187" s="13">
        <f t="shared" si="37"/>
        <v>1</v>
      </c>
      <c r="R187" s="13">
        <f t="shared" si="37"/>
        <v>1</v>
      </c>
      <c r="S187" s="13">
        <f t="shared" si="37"/>
        <v>2</v>
      </c>
      <c r="T187" s="13">
        <f t="shared" si="37"/>
        <v>2</v>
      </c>
      <c r="U187" s="13">
        <f t="shared" si="37"/>
        <v>0</v>
      </c>
      <c r="V187" s="13">
        <f t="shared" si="37"/>
        <v>5</v>
      </c>
      <c r="W187" s="13">
        <f t="shared" si="37"/>
        <v>23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W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0.0</v>
      </c>
      <c r="F189" s="73">
        <v>1.0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1.0</v>
      </c>
      <c r="R189" s="73">
        <v>0.0</v>
      </c>
      <c r="S189" s="73">
        <v>0.0</v>
      </c>
      <c r="T189" s="73">
        <v>0.0</v>
      </c>
      <c r="U189" s="73">
        <v>0.0</v>
      </c>
      <c r="V189" s="73">
        <v>0.0</v>
      </c>
      <c r="W189" s="13">
        <f t="shared" ref="W189:W198" si="38">SUM(E189:V189)</f>
        <v>2</v>
      </c>
    </row>
    <row r="190" ht="12.75" customHeight="1">
      <c r="A190" s="30" t="s">
        <v>39</v>
      </c>
      <c r="B190" s="49"/>
      <c r="C190" s="50" t="s">
        <v>143</v>
      </c>
      <c r="D190" s="51"/>
      <c r="E190" s="73">
        <v>1.0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13">
        <f t="shared" si="38"/>
        <v>1</v>
      </c>
    </row>
    <row r="191" ht="12.75" customHeight="1">
      <c r="A191" s="18"/>
      <c r="B191" s="49"/>
      <c r="C191" s="50" t="s">
        <v>144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13">
        <f t="shared" si="38"/>
        <v>0</v>
      </c>
    </row>
    <row r="192" ht="12.75" customHeight="1">
      <c r="A192" s="18"/>
      <c r="B192" s="49"/>
      <c r="C192" s="50" t="s">
        <v>145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2.0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13">
        <f t="shared" si="38"/>
        <v>2</v>
      </c>
    </row>
    <row r="193" ht="12.75" customHeight="1">
      <c r="A193" s="18"/>
      <c r="B193" s="49"/>
      <c r="C193" s="50" t="s">
        <v>146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13">
        <f t="shared" si="38"/>
        <v>0</v>
      </c>
    </row>
    <row r="194" ht="12.75" customHeight="1">
      <c r="A194" s="18"/>
      <c r="B194" s="49"/>
      <c r="C194" s="50" t="s">
        <v>147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13">
        <f t="shared" si="38"/>
        <v>0</v>
      </c>
    </row>
    <row r="195" ht="12.75" customHeight="1">
      <c r="A195" s="18"/>
      <c r="B195" s="49"/>
      <c r="C195" s="50" t="s">
        <v>148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1.0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13">
        <f t="shared" si="38"/>
        <v>1</v>
      </c>
    </row>
    <row r="196" ht="12.75" customHeight="1">
      <c r="A196" s="18"/>
      <c r="B196" s="49"/>
      <c r="C196" s="50" t="s">
        <v>149</v>
      </c>
      <c r="D196" s="51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0.0</v>
      </c>
      <c r="N196" s="73">
        <v>0.0</v>
      </c>
      <c r="O196" s="73">
        <v>0.0</v>
      </c>
      <c r="P196" s="73">
        <v>0.0</v>
      </c>
      <c r="Q196" s="73">
        <v>0.0</v>
      </c>
      <c r="R196" s="73">
        <v>0.0</v>
      </c>
      <c r="S196" s="73">
        <v>0.0</v>
      </c>
      <c r="T196" s="73">
        <v>0.0</v>
      </c>
      <c r="U196" s="73">
        <v>0.0</v>
      </c>
      <c r="V196" s="73">
        <v>0.0</v>
      </c>
      <c r="W196" s="13">
        <f t="shared" si="38"/>
        <v>0</v>
      </c>
    </row>
    <row r="197" ht="12.75" customHeight="1">
      <c r="A197" s="18"/>
      <c r="B197" s="49"/>
      <c r="C197" s="50" t="s">
        <v>150</v>
      </c>
      <c r="D197" s="51"/>
      <c r="E197" s="73">
        <v>0.0</v>
      </c>
      <c r="F197" s="73">
        <v>0.0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0.0</v>
      </c>
      <c r="R197" s="73">
        <v>0.0</v>
      </c>
      <c r="S197" s="73">
        <v>1.0</v>
      </c>
      <c r="T197" s="73">
        <v>0.0</v>
      </c>
      <c r="U197" s="73">
        <v>0.0</v>
      </c>
      <c r="V197" s="73">
        <v>0.0</v>
      </c>
      <c r="W197" s="13">
        <f t="shared" si="38"/>
        <v>1</v>
      </c>
    </row>
    <row r="198" ht="12.75" customHeight="1">
      <c r="A198" s="18"/>
      <c r="B198" s="49"/>
      <c r="C198" s="50" t="s">
        <v>151</v>
      </c>
      <c r="D198" s="51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1.0</v>
      </c>
      <c r="Q198" s="73">
        <v>0.0</v>
      </c>
      <c r="R198" s="73">
        <v>0.0</v>
      </c>
      <c r="S198" s="73">
        <v>0.0</v>
      </c>
      <c r="T198" s="73">
        <v>0.0</v>
      </c>
      <c r="U198" s="73">
        <v>0.0</v>
      </c>
      <c r="V198" s="73">
        <v>0.0</v>
      </c>
      <c r="W198" s="13">
        <f t="shared" si="38"/>
        <v>1</v>
      </c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W199" si="39">SUM(E189:E198)</f>
        <v>1</v>
      </c>
      <c r="F199" s="13">
        <f t="shared" si="39"/>
        <v>1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1</v>
      </c>
      <c r="L199" s="13">
        <f t="shared" si="39"/>
        <v>0</v>
      </c>
      <c r="M199" s="13">
        <f t="shared" si="39"/>
        <v>0</v>
      </c>
      <c r="N199" s="13">
        <f t="shared" si="39"/>
        <v>2</v>
      </c>
      <c r="O199" s="13">
        <f t="shared" si="39"/>
        <v>0</v>
      </c>
      <c r="P199" s="13">
        <f t="shared" si="39"/>
        <v>1</v>
      </c>
      <c r="Q199" s="13">
        <f t="shared" si="39"/>
        <v>1</v>
      </c>
      <c r="R199" s="13">
        <f t="shared" si="39"/>
        <v>0</v>
      </c>
      <c r="S199" s="13">
        <f t="shared" si="39"/>
        <v>1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8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1.0</v>
      </c>
      <c r="F201" s="73">
        <v>2.0</v>
      </c>
      <c r="G201" s="73">
        <v>0.0</v>
      </c>
      <c r="H201" s="73">
        <v>3.0</v>
      </c>
      <c r="I201" s="73">
        <v>5.0</v>
      </c>
      <c r="J201" s="73">
        <v>1.0</v>
      </c>
      <c r="K201" s="73">
        <v>1.0</v>
      </c>
      <c r="L201" s="73">
        <v>1.0</v>
      </c>
      <c r="M201" s="73">
        <v>1.0</v>
      </c>
      <c r="N201" s="73">
        <v>9.0</v>
      </c>
      <c r="O201" s="73">
        <v>2.0</v>
      </c>
      <c r="P201" s="73">
        <v>4.0</v>
      </c>
      <c r="Q201" s="73">
        <v>7.0</v>
      </c>
      <c r="R201" s="73">
        <v>6.0</v>
      </c>
      <c r="S201" s="73">
        <v>7.0</v>
      </c>
      <c r="T201" s="73">
        <v>4.0</v>
      </c>
      <c r="U201" s="73">
        <v>3.0</v>
      </c>
      <c r="V201" s="73">
        <v>2.0</v>
      </c>
      <c r="W201" s="13">
        <f t="shared" ref="W201:W210" si="40">SUM(E201:V201)</f>
        <v>59</v>
      </c>
    </row>
    <row r="202" ht="12.75" customHeight="1">
      <c r="A202" s="30" t="s">
        <v>39</v>
      </c>
      <c r="B202" s="49"/>
      <c r="C202" s="50" t="s">
        <v>154</v>
      </c>
      <c r="D202" s="51"/>
      <c r="E202" s="73">
        <v>9.0</v>
      </c>
      <c r="F202" s="73">
        <v>4.0</v>
      </c>
      <c r="G202" s="73">
        <v>2.0</v>
      </c>
      <c r="H202" s="73">
        <v>2.0</v>
      </c>
      <c r="I202" s="73">
        <v>6.0</v>
      </c>
      <c r="J202" s="73">
        <v>3.0</v>
      </c>
      <c r="K202" s="73">
        <v>0.0</v>
      </c>
      <c r="L202" s="73">
        <v>2.0</v>
      </c>
      <c r="M202" s="73">
        <v>2.0</v>
      </c>
      <c r="N202" s="73">
        <v>1.0</v>
      </c>
      <c r="O202" s="73">
        <v>6.0</v>
      </c>
      <c r="P202" s="73">
        <v>1.0</v>
      </c>
      <c r="Q202" s="73">
        <v>9.0</v>
      </c>
      <c r="R202" s="73">
        <v>10.0</v>
      </c>
      <c r="S202" s="73">
        <v>7.0</v>
      </c>
      <c r="T202" s="73">
        <v>2.0</v>
      </c>
      <c r="U202" s="73">
        <v>3.0</v>
      </c>
      <c r="V202" s="73">
        <v>1.0</v>
      </c>
      <c r="W202" s="13">
        <f t="shared" si="40"/>
        <v>70</v>
      </c>
    </row>
    <row r="203" ht="12.75" customHeight="1">
      <c r="A203" s="18"/>
      <c r="B203" s="49"/>
      <c r="C203" s="50" t="s">
        <v>155</v>
      </c>
      <c r="D203" s="51"/>
      <c r="E203" s="73">
        <v>2.0</v>
      </c>
      <c r="F203" s="73">
        <v>3.0</v>
      </c>
      <c r="G203" s="73">
        <v>0.0</v>
      </c>
      <c r="H203" s="73">
        <v>0.0</v>
      </c>
      <c r="I203" s="73">
        <v>1.0</v>
      </c>
      <c r="J203" s="73">
        <v>2.0</v>
      </c>
      <c r="K203" s="73">
        <v>2.0</v>
      </c>
      <c r="L203" s="73">
        <v>0.0</v>
      </c>
      <c r="M203" s="73">
        <v>1.0</v>
      </c>
      <c r="N203" s="73">
        <v>2.0</v>
      </c>
      <c r="O203" s="73">
        <v>1.0</v>
      </c>
      <c r="P203" s="73">
        <v>1.0</v>
      </c>
      <c r="Q203" s="73">
        <v>2.0</v>
      </c>
      <c r="R203" s="73">
        <v>2.0</v>
      </c>
      <c r="S203" s="73">
        <v>1.0</v>
      </c>
      <c r="T203" s="73">
        <v>2.0</v>
      </c>
      <c r="U203" s="73">
        <v>0.0</v>
      </c>
      <c r="V203" s="73">
        <v>1.0</v>
      </c>
      <c r="W203" s="13">
        <f t="shared" si="40"/>
        <v>23</v>
      </c>
    </row>
    <row r="204" ht="12.75" customHeight="1">
      <c r="A204" s="18"/>
      <c r="B204" s="49"/>
      <c r="C204" s="50" t="s">
        <v>156</v>
      </c>
      <c r="D204" s="51"/>
      <c r="E204" s="73">
        <v>1.0</v>
      </c>
      <c r="F204" s="73">
        <v>0.0</v>
      </c>
      <c r="G204" s="73">
        <v>1.0</v>
      </c>
      <c r="H204" s="73">
        <v>1.0</v>
      </c>
      <c r="I204" s="73">
        <v>0.0</v>
      </c>
      <c r="J204" s="73">
        <v>0.0</v>
      </c>
      <c r="K204" s="73">
        <v>0.0</v>
      </c>
      <c r="L204" s="73">
        <v>1.0</v>
      </c>
      <c r="M204" s="73">
        <v>0.0</v>
      </c>
      <c r="N204" s="73">
        <v>0.0</v>
      </c>
      <c r="O204" s="73">
        <v>0.0</v>
      </c>
      <c r="P204" s="73">
        <v>0.0</v>
      </c>
      <c r="Q204" s="73">
        <v>0.0</v>
      </c>
      <c r="R204" s="73">
        <v>1.0</v>
      </c>
      <c r="S204" s="73">
        <v>1.0</v>
      </c>
      <c r="T204" s="73">
        <v>1.0</v>
      </c>
      <c r="U204" s="73">
        <v>0.0</v>
      </c>
      <c r="V204" s="73">
        <v>0.0</v>
      </c>
      <c r="W204" s="13">
        <f t="shared" si="40"/>
        <v>7</v>
      </c>
    </row>
    <row r="205" ht="12.75" customHeight="1">
      <c r="A205" s="18"/>
      <c r="B205" s="49"/>
      <c r="C205" s="50" t="s">
        <v>157</v>
      </c>
      <c r="D205" s="51"/>
      <c r="E205" s="73">
        <v>0.0</v>
      </c>
      <c r="F205" s="73">
        <v>0.0</v>
      </c>
      <c r="G205" s="73">
        <v>0.0</v>
      </c>
      <c r="H205" s="73">
        <v>0.0</v>
      </c>
      <c r="I205" s="73">
        <v>1.0</v>
      </c>
      <c r="J205" s="73">
        <v>0.0</v>
      </c>
      <c r="K205" s="73">
        <v>0.0</v>
      </c>
      <c r="L205" s="73">
        <v>0.0</v>
      </c>
      <c r="M205" s="73">
        <v>1.0</v>
      </c>
      <c r="N205" s="73">
        <v>1.0</v>
      </c>
      <c r="O205" s="73">
        <v>0.0</v>
      </c>
      <c r="P205" s="73">
        <v>0.0</v>
      </c>
      <c r="Q205" s="73">
        <v>0.0</v>
      </c>
      <c r="R205" s="73">
        <v>0.0</v>
      </c>
      <c r="S205" s="73">
        <v>0.0</v>
      </c>
      <c r="T205" s="73">
        <v>1.0</v>
      </c>
      <c r="U205" s="73">
        <v>0.0</v>
      </c>
      <c r="V205" s="73">
        <v>0.0</v>
      </c>
      <c r="W205" s="13">
        <f t="shared" si="40"/>
        <v>4</v>
      </c>
    </row>
    <row r="206" ht="12.75" customHeight="1">
      <c r="A206" s="18"/>
      <c r="B206" s="49"/>
      <c r="C206" s="50" t="s">
        <v>158</v>
      </c>
      <c r="D206" s="51"/>
      <c r="E206" s="73">
        <v>1.0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13">
        <f t="shared" si="40"/>
        <v>1</v>
      </c>
    </row>
    <row r="207" ht="12.75" customHeight="1">
      <c r="A207" s="18"/>
      <c r="B207" s="49"/>
      <c r="C207" s="50" t="s">
        <v>159</v>
      </c>
      <c r="D207" s="51"/>
      <c r="E207" s="73">
        <v>1.0</v>
      </c>
      <c r="F207" s="73">
        <v>1.0</v>
      </c>
      <c r="G207" s="73">
        <v>1.0</v>
      </c>
      <c r="H207" s="73">
        <v>0.0</v>
      </c>
      <c r="I207" s="73">
        <v>0.0</v>
      </c>
      <c r="J207" s="73">
        <v>1.0</v>
      </c>
      <c r="K207" s="73">
        <v>0.0</v>
      </c>
      <c r="L207" s="73">
        <v>0.0</v>
      </c>
      <c r="M207" s="73">
        <v>0.0</v>
      </c>
      <c r="N207" s="73">
        <v>0.0</v>
      </c>
      <c r="O207" s="73">
        <v>0.0</v>
      </c>
      <c r="P207" s="73">
        <v>0.0</v>
      </c>
      <c r="Q207" s="73">
        <v>2.0</v>
      </c>
      <c r="R207" s="73">
        <v>1.0</v>
      </c>
      <c r="S207" s="73">
        <v>0.0</v>
      </c>
      <c r="T207" s="73">
        <v>1.0</v>
      </c>
      <c r="U207" s="73">
        <v>1.0</v>
      </c>
      <c r="V207" s="73">
        <v>0.0</v>
      </c>
      <c r="W207" s="13">
        <f t="shared" si="40"/>
        <v>9</v>
      </c>
    </row>
    <row r="208" ht="12.75" customHeight="1">
      <c r="A208" s="18"/>
      <c r="B208" s="49"/>
      <c r="C208" s="50" t="s">
        <v>160</v>
      </c>
      <c r="D208" s="51"/>
      <c r="E208" s="73">
        <v>0.0</v>
      </c>
      <c r="F208" s="73">
        <v>0.0</v>
      </c>
      <c r="G208" s="73">
        <v>0.0</v>
      </c>
      <c r="H208" s="73">
        <v>0.0</v>
      </c>
      <c r="I208" s="73">
        <v>0.0</v>
      </c>
      <c r="J208" s="73">
        <v>0.0</v>
      </c>
      <c r="K208" s="73">
        <v>0.0</v>
      </c>
      <c r="L208" s="73">
        <v>0.0</v>
      </c>
      <c r="M208" s="73">
        <v>1.0</v>
      </c>
      <c r="N208" s="73">
        <v>1.0</v>
      </c>
      <c r="O208" s="73">
        <v>2.0</v>
      </c>
      <c r="P208" s="73">
        <v>0.0</v>
      </c>
      <c r="Q208" s="73">
        <v>2.0</v>
      </c>
      <c r="R208" s="73">
        <v>1.0</v>
      </c>
      <c r="S208" s="73">
        <v>0.0</v>
      </c>
      <c r="T208" s="73">
        <v>0.0</v>
      </c>
      <c r="U208" s="73">
        <v>1.0</v>
      </c>
      <c r="V208" s="73">
        <v>0.0</v>
      </c>
      <c r="W208" s="13">
        <f t="shared" si="40"/>
        <v>8</v>
      </c>
    </row>
    <row r="209" ht="12.75" customHeight="1">
      <c r="A209" s="18"/>
      <c r="B209" s="49"/>
      <c r="C209" s="50" t="s">
        <v>161</v>
      </c>
      <c r="D209" s="51"/>
      <c r="E209" s="73">
        <v>0.0</v>
      </c>
      <c r="F209" s="73">
        <v>0.0</v>
      </c>
      <c r="G209" s="73">
        <v>0.0</v>
      </c>
      <c r="H209" s="73">
        <v>0.0</v>
      </c>
      <c r="I209" s="73">
        <v>0.0</v>
      </c>
      <c r="J209" s="73">
        <v>0.0</v>
      </c>
      <c r="K209" s="73">
        <v>0.0</v>
      </c>
      <c r="L209" s="73">
        <v>0.0</v>
      </c>
      <c r="M209" s="73">
        <v>0.0</v>
      </c>
      <c r="N209" s="73">
        <v>0.0</v>
      </c>
      <c r="O209" s="73">
        <v>0.0</v>
      </c>
      <c r="P209" s="73">
        <v>0.0</v>
      </c>
      <c r="Q209" s="73">
        <v>0.0</v>
      </c>
      <c r="R209" s="73">
        <v>0.0</v>
      </c>
      <c r="S209" s="73">
        <v>0.0</v>
      </c>
      <c r="T209" s="73">
        <v>0.0</v>
      </c>
      <c r="U209" s="73">
        <v>0.0</v>
      </c>
      <c r="V209" s="73">
        <v>0.0</v>
      </c>
      <c r="W209" s="13">
        <f t="shared" si="40"/>
        <v>0</v>
      </c>
    </row>
    <row r="210" ht="12.75" customHeight="1">
      <c r="A210" s="18"/>
      <c r="B210" s="49"/>
      <c r="C210" s="50" t="s">
        <v>162</v>
      </c>
      <c r="D210" s="51"/>
      <c r="E210" s="73">
        <v>1.0</v>
      </c>
      <c r="F210" s="73">
        <v>0.0</v>
      </c>
      <c r="G210" s="73">
        <v>0.0</v>
      </c>
      <c r="H210" s="73">
        <v>0.0</v>
      </c>
      <c r="I210" s="73">
        <v>0.0</v>
      </c>
      <c r="J210" s="73">
        <v>0.0</v>
      </c>
      <c r="K210" s="73">
        <v>0.0</v>
      </c>
      <c r="L210" s="73">
        <v>0.0</v>
      </c>
      <c r="M210" s="73">
        <v>0.0</v>
      </c>
      <c r="N210" s="73">
        <v>0.0</v>
      </c>
      <c r="O210" s="73">
        <v>1.0</v>
      </c>
      <c r="P210" s="73">
        <v>0.0</v>
      </c>
      <c r="Q210" s="73">
        <v>0.0</v>
      </c>
      <c r="R210" s="73">
        <v>0.0</v>
      </c>
      <c r="S210" s="73">
        <v>1.0</v>
      </c>
      <c r="T210" s="73">
        <v>1.0</v>
      </c>
      <c r="U210" s="73">
        <v>0.0</v>
      </c>
      <c r="V210" s="73">
        <v>0.0</v>
      </c>
      <c r="W210" s="13">
        <f t="shared" si="40"/>
        <v>4</v>
      </c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W211" si="41">SUM(E201:E210)</f>
        <v>16</v>
      </c>
      <c r="F211" s="13">
        <f t="shared" si="41"/>
        <v>10</v>
      </c>
      <c r="G211" s="13">
        <f t="shared" si="41"/>
        <v>4</v>
      </c>
      <c r="H211" s="13">
        <f t="shared" si="41"/>
        <v>6</v>
      </c>
      <c r="I211" s="13">
        <f t="shared" si="41"/>
        <v>13</v>
      </c>
      <c r="J211" s="13">
        <f t="shared" si="41"/>
        <v>7</v>
      </c>
      <c r="K211" s="13">
        <f t="shared" si="41"/>
        <v>3</v>
      </c>
      <c r="L211" s="13">
        <f t="shared" si="41"/>
        <v>4</v>
      </c>
      <c r="M211" s="13">
        <f t="shared" si="41"/>
        <v>6</v>
      </c>
      <c r="N211" s="13">
        <f t="shared" si="41"/>
        <v>14</v>
      </c>
      <c r="O211" s="13">
        <f t="shared" si="41"/>
        <v>12</v>
      </c>
      <c r="P211" s="13">
        <f t="shared" si="41"/>
        <v>6</v>
      </c>
      <c r="Q211" s="13">
        <f t="shared" si="41"/>
        <v>22</v>
      </c>
      <c r="R211" s="13">
        <f t="shared" si="41"/>
        <v>21</v>
      </c>
      <c r="S211" s="13">
        <f t="shared" si="41"/>
        <v>17</v>
      </c>
      <c r="T211" s="13">
        <f t="shared" si="41"/>
        <v>12</v>
      </c>
      <c r="U211" s="13">
        <f t="shared" si="41"/>
        <v>8</v>
      </c>
      <c r="V211" s="13">
        <f t="shared" si="41"/>
        <v>4</v>
      </c>
      <c r="W211" s="13">
        <f t="shared" si="41"/>
        <v>185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0.0</v>
      </c>
      <c r="F213" s="73">
        <v>0.0</v>
      </c>
      <c r="G213" s="73">
        <v>1.0</v>
      </c>
      <c r="H213" s="73">
        <v>2.0</v>
      </c>
      <c r="I213" s="73">
        <v>0.0</v>
      </c>
      <c r="J213" s="73">
        <v>1.0</v>
      </c>
      <c r="K213" s="73">
        <v>2.0</v>
      </c>
      <c r="L213" s="73">
        <v>1.0</v>
      </c>
      <c r="M213" s="73">
        <v>3.0</v>
      </c>
      <c r="N213" s="73">
        <v>0.0</v>
      </c>
      <c r="O213" s="73">
        <v>2.0</v>
      </c>
      <c r="P213" s="73">
        <v>2.0</v>
      </c>
      <c r="Q213" s="73">
        <v>1.0</v>
      </c>
      <c r="R213" s="73">
        <v>1.0</v>
      </c>
      <c r="S213" s="73">
        <v>2.0</v>
      </c>
      <c r="T213" s="73">
        <v>1.0</v>
      </c>
      <c r="U213" s="73">
        <v>3.0</v>
      </c>
      <c r="V213" s="73">
        <v>1.0</v>
      </c>
      <c r="W213" s="13">
        <f t="shared" ref="W213:W222" si="42">SUM(E213:V213)</f>
        <v>23</v>
      </c>
    </row>
    <row r="214" ht="12.75" customHeight="1">
      <c r="A214" s="30" t="s">
        <v>39</v>
      </c>
      <c r="B214" s="49"/>
      <c r="C214" s="50" t="s">
        <v>165</v>
      </c>
      <c r="D214" s="51"/>
      <c r="E214" s="73">
        <v>3.0</v>
      </c>
      <c r="F214" s="73">
        <v>1.0</v>
      </c>
      <c r="G214" s="73">
        <v>2.0</v>
      </c>
      <c r="H214" s="73">
        <v>3.0</v>
      </c>
      <c r="I214" s="73">
        <v>1.0</v>
      </c>
      <c r="J214" s="73">
        <v>2.0</v>
      </c>
      <c r="K214" s="73">
        <v>0.0</v>
      </c>
      <c r="L214" s="73">
        <v>0.0</v>
      </c>
      <c r="M214" s="73">
        <v>0.0</v>
      </c>
      <c r="N214" s="73">
        <v>0.0</v>
      </c>
      <c r="O214" s="73">
        <v>0.0</v>
      </c>
      <c r="P214" s="73">
        <v>0.0</v>
      </c>
      <c r="Q214" s="73">
        <v>1.0</v>
      </c>
      <c r="R214" s="73">
        <v>1.0</v>
      </c>
      <c r="S214" s="73">
        <v>1.0</v>
      </c>
      <c r="T214" s="73">
        <v>2.0</v>
      </c>
      <c r="U214" s="73">
        <v>0.0</v>
      </c>
      <c r="V214" s="73">
        <v>0.0</v>
      </c>
      <c r="W214" s="13">
        <f t="shared" si="42"/>
        <v>17</v>
      </c>
    </row>
    <row r="215" ht="12.75" customHeight="1">
      <c r="A215" s="18"/>
      <c r="B215" s="49"/>
      <c r="C215" s="50" t="s">
        <v>166</v>
      </c>
      <c r="D215" s="51"/>
      <c r="E215" s="73">
        <v>2.0</v>
      </c>
      <c r="F215" s="73">
        <v>3.0</v>
      </c>
      <c r="G215" s="73">
        <v>0.0</v>
      </c>
      <c r="H215" s="73">
        <v>0.0</v>
      </c>
      <c r="I215" s="73">
        <v>1.0</v>
      </c>
      <c r="J215" s="73">
        <v>1.0</v>
      </c>
      <c r="K215" s="73">
        <v>3.0</v>
      </c>
      <c r="L215" s="73">
        <v>0.0</v>
      </c>
      <c r="M215" s="73">
        <v>0.0</v>
      </c>
      <c r="N215" s="73">
        <v>0.0</v>
      </c>
      <c r="O215" s="73">
        <v>1.0</v>
      </c>
      <c r="P215" s="73">
        <v>0.0</v>
      </c>
      <c r="Q215" s="73">
        <v>1.0</v>
      </c>
      <c r="R215" s="73">
        <v>0.0</v>
      </c>
      <c r="S215" s="73">
        <v>0.0</v>
      </c>
      <c r="T215" s="73">
        <v>0.0</v>
      </c>
      <c r="U215" s="73">
        <v>2.0</v>
      </c>
      <c r="V215" s="73">
        <v>1.0</v>
      </c>
      <c r="W215" s="13">
        <f t="shared" si="42"/>
        <v>15</v>
      </c>
    </row>
    <row r="216" ht="12.75" customHeight="1">
      <c r="A216" s="18"/>
      <c r="B216" s="49"/>
      <c r="C216" s="50" t="s">
        <v>167</v>
      </c>
      <c r="D216" s="51"/>
      <c r="E216" s="73">
        <v>0.0</v>
      </c>
      <c r="F216" s="73">
        <v>0.0</v>
      </c>
      <c r="G216" s="73">
        <v>0.0</v>
      </c>
      <c r="H216" s="73">
        <v>0.0</v>
      </c>
      <c r="I216" s="73">
        <v>0.0</v>
      </c>
      <c r="J216" s="73">
        <v>0.0</v>
      </c>
      <c r="K216" s="73">
        <v>0.0</v>
      </c>
      <c r="L216" s="73">
        <v>0.0</v>
      </c>
      <c r="M216" s="73">
        <v>0.0</v>
      </c>
      <c r="N216" s="73">
        <v>0.0</v>
      </c>
      <c r="O216" s="73">
        <v>0.0</v>
      </c>
      <c r="P216" s="73">
        <v>0.0</v>
      </c>
      <c r="Q216" s="73">
        <v>0.0</v>
      </c>
      <c r="R216" s="73">
        <v>0.0</v>
      </c>
      <c r="S216" s="73">
        <v>0.0</v>
      </c>
      <c r="T216" s="73">
        <v>0.0</v>
      </c>
      <c r="U216" s="73">
        <v>0.0</v>
      </c>
      <c r="V216" s="73">
        <v>0.0</v>
      </c>
      <c r="W216" s="13">
        <f t="shared" si="42"/>
        <v>0</v>
      </c>
    </row>
    <row r="217" ht="12.75" customHeight="1">
      <c r="A217" s="18"/>
      <c r="B217" s="57"/>
      <c r="C217" s="58"/>
      <c r="D217" s="6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3">
        <f t="shared" si="42"/>
        <v>0</v>
      </c>
    </row>
    <row r="218" ht="12.75" customHeight="1">
      <c r="A218" s="18"/>
      <c r="B218" s="57"/>
      <c r="C218" s="58"/>
      <c r="D218" s="6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3">
        <f t="shared" si="42"/>
        <v>0</v>
      </c>
    </row>
    <row r="219" ht="12.75" customHeight="1">
      <c r="A219" s="18"/>
      <c r="B219" s="57"/>
      <c r="C219" s="58"/>
      <c r="D219" s="66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3">
        <f t="shared" si="42"/>
        <v>0</v>
      </c>
    </row>
    <row r="220" ht="12.75" customHeight="1">
      <c r="A220" s="18"/>
      <c r="B220" s="57"/>
      <c r="C220" s="58"/>
      <c r="D220" s="66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3">
        <f t="shared" si="42"/>
        <v>0</v>
      </c>
    </row>
    <row r="221" ht="12.75" customHeight="1">
      <c r="A221" s="18"/>
      <c r="B221" s="57"/>
      <c r="C221" s="58"/>
      <c r="D221" s="66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3">
        <f t="shared" si="42"/>
        <v>0</v>
      </c>
    </row>
    <row r="222" ht="12.75" customHeight="1">
      <c r="A222" s="18"/>
      <c r="B222" s="57"/>
      <c r="C222" s="58"/>
      <c r="D222" s="66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3">
        <f t="shared" si="42"/>
        <v>0</v>
      </c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W223" si="43">SUM(E213:E222)</f>
        <v>5</v>
      </c>
      <c r="F223" s="13">
        <f t="shared" si="43"/>
        <v>4</v>
      </c>
      <c r="G223" s="13">
        <f t="shared" si="43"/>
        <v>3</v>
      </c>
      <c r="H223" s="13">
        <f t="shared" si="43"/>
        <v>5</v>
      </c>
      <c r="I223" s="13">
        <f t="shared" si="43"/>
        <v>2</v>
      </c>
      <c r="J223" s="13">
        <f t="shared" si="43"/>
        <v>4</v>
      </c>
      <c r="K223" s="13">
        <f t="shared" si="43"/>
        <v>5</v>
      </c>
      <c r="L223" s="13">
        <f t="shared" si="43"/>
        <v>1</v>
      </c>
      <c r="M223" s="13">
        <f t="shared" si="43"/>
        <v>3</v>
      </c>
      <c r="N223" s="13">
        <f t="shared" si="43"/>
        <v>0</v>
      </c>
      <c r="O223" s="13">
        <f t="shared" si="43"/>
        <v>3</v>
      </c>
      <c r="P223" s="13">
        <f t="shared" si="43"/>
        <v>2</v>
      </c>
      <c r="Q223" s="13">
        <f t="shared" si="43"/>
        <v>3</v>
      </c>
      <c r="R223" s="13">
        <f t="shared" si="43"/>
        <v>2</v>
      </c>
      <c r="S223" s="13">
        <f t="shared" si="43"/>
        <v>3</v>
      </c>
      <c r="T223" s="13">
        <f t="shared" si="43"/>
        <v>3</v>
      </c>
      <c r="U223" s="13">
        <f t="shared" si="43"/>
        <v>5</v>
      </c>
      <c r="V223" s="13">
        <f t="shared" si="43"/>
        <v>2</v>
      </c>
      <c r="W223" s="13">
        <f t="shared" si="43"/>
        <v>55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1.0</v>
      </c>
      <c r="F225" s="73">
        <v>0.0</v>
      </c>
      <c r="G225" s="73">
        <v>1.0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0.0</v>
      </c>
      <c r="Q225" s="73">
        <v>0.0</v>
      </c>
      <c r="R225" s="73">
        <v>1.0</v>
      </c>
      <c r="S225" s="73">
        <v>0.0</v>
      </c>
      <c r="T225" s="73">
        <v>0.0</v>
      </c>
      <c r="U225" s="73">
        <v>1.0</v>
      </c>
      <c r="V225" s="73">
        <v>0.0</v>
      </c>
      <c r="W225" s="13">
        <f t="shared" ref="W225:W234" si="44">SUM(E225:V225)</f>
        <v>4</v>
      </c>
    </row>
    <row r="226" ht="12.75" customHeight="1">
      <c r="A226" s="30" t="s">
        <v>39</v>
      </c>
      <c r="B226" s="49"/>
      <c r="C226" s="50" t="s">
        <v>170</v>
      </c>
      <c r="D226" s="51"/>
      <c r="E226" s="73">
        <v>0.0</v>
      </c>
      <c r="F226" s="73">
        <v>0.0</v>
      </c>
      <c r="G226" s="73">
        <v>0.0</v>
      </c>
      <c r="H226" s="73">
        <v>0.0</v>
      </c>
      <c r="I226" s="73">
        <v>1.0</v>
      </c>
      <c r="J226" s="73">
        <v>0.0</v>
      </c>
      <c r="K226" s="73">
        <v>0.0</v>
      </c>
      <c r="L226" s="73">
        <v>0.0</v>
      </c>
      <c r="M226" s="73">
        <v>2.0</v>
      </c>
      <c r="N226" s="73">
        <v>0.0</v>
      </c>
      <c r="O226" s="73">
        <v>0.0</v>
      </c>
      <c r="P226" s="73">
        <v>0.0</v>
      </c>
      <c r="Q226" s="73">
        <v>0.0</v>
      </c>
      <c r="R226" s="73">
        <v>0.0</v>
      </c>
      <c r="S226" s="73">
        <v>0.0</v>
      </c>
      <c r="T226" s="73">
        <v>0.0</v>
      </c>
      <c r="U226" s="73">
        <v>0.0</v>
      </c>
      <c r="V226" s="73">
        <v>4.0</v>
      </c>
      <c r="W226" s="13">
        <f t="shared" si="44"/>
        <v>7</v>
      </c>
    </row>
    <row r="227" ht="12.75" customHeight="1">
      <c r="A227" s="18"/>
      <c r="B227" s="49"/>
      <c r="C227" s="50" t="s">
        <v>171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2.0</v>
      </c>
      <c r="S227" s="73">
        <v>0.0</v>
      </c>
      <c r="T227" s="73">
        <v>0.0</v>
      </c>
      <c r="U227" s="73">
        <v>0.0</v>
      </c>
      <c r="V227" s="73">
        <v>0.0</v>
      </c>
      <c r="W227" s="13">
        <f t="shared" si="44"/>
        <v>2</v>
      </c>
    </row>
    <row r="228" ht="12.75" customHeight="1">
      <c r="A228" s="18"/>
      <c r="B228" s="49"/>
      <c r="C228" s="50" t="s">
        <v>172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13">
        <f t="shared" si="44"/>
        <v>0</v>
      </c>
    </row>
    <row r="229" ht="12.75" customHeight="1">
      <c r="A229" s="18"/>
      <c r="B229" s="49"/>
      <c r="C229" s="50" t="s">
        <v>173</v>
      </c>
      <c r="D229" s="51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73">
        <v>0.0</v>
      </c>
      <c r="W229" s="13">
        <f t="shared" si="44"/>
        <v>0</v>
      </c>
    </row>
    <row r="230" ht="12.75" customHeight="1">
      <c r="A230" s="18"/>
      <c r="B230" s="57"/>
      <c r="C230" s="58"/>
      <c r="D230" s="5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3">
        <f t="shared" si="44"/>
        <v>0</v>
      </c>
    </row>
    <row r="231" ht="12.75" customHeight="1">
      <c r="A231" s="18"/>
      <c r="B231" s="57"/>
      <c r="C231" s="58"/>
      <c r="D231" s="5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3">
        <f t="shared" si="44"/>
        <v>0</v>
      </c>
    </row>
    <row r="232" ht="12.75" customHeight="1">
      <c r="A232" s="18"/>
      <c r="B232" s="57"/>
      <c r="C232" s="58"/>
      <c r="D232" s="5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3">
        <f t="shared" si="44"/>
        <v>0</v>
      </c>
    </row>
    <row r="233" ht="12.75" customHeight="1">
      <c r="A233" s="18"/>
      <c r="B233" s="57"/>
      <c r="C233" s="58"/>
      <c r="D233" s="5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3">
        <f t="shared" si="44"/>
        <v>0</v>
      </c>
    </row>
    <row r="234" ht="12.75" customHeight="1">
      <c r="A234" s="18"/>
      <c r="B234" s="57"/>
      <c r="C234" s="58"/>
      <c r="D234" s="5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3">
        <f t="shared" si="44"/>
        <v>0</v>
      </c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W235" si="45">SUM(E225:E234)</f>
        <v>1</v>
      </c>
      <c r="F235" s="13">
        <f t="shared" si="45"/>
        <v>0</v>
      </c>
      <c r="G235" s="13">
        <f t="shared" si="45"/>
        <v>1</v>
      </c>
      <c r="H235" s="13">
        <f t="shared" si="45"/>
        <v>0</v>
      </c>
      <c r="I235" s="13">
        <f t="shared" si="45"/>
        <v>1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2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3</v>
      </c>
      <c r="S235" s="13">
        <f t="shared" si="45"/>
        <v>0</v>
      </c>
      <c r="T235" s="13">
        <f t="shared" si="45"/>
        <v>0</v>
      </c>
      <c r="U235" s="13">
        <f t="shared" si="45"/>
        <v>1</v>
      </c>
      <c r="V235" s="13">
        <f t="shared" si="45"/>
        <v>4</v>
      </c>
      <c r="W235" s="13">
        <f t="shared" si="45"/>
        <v>13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5.0</v>
      </c>
      <c r="F237" s="73">
        <v>3.0</v>
      </c>
      <c r="G237" s="73">
        <v>2.0</v>
      </c>
      <c r="H237" s="73">
        <v>6.0</v>
      </c>
      <c r="I237" s="73">
        <v>6.0</v>
      </c>
      <c r="J237" s="73">
        <v>8.0</v>
      </c>
      <c r="K237" s="73">
        <v>1.0</v>
      </c>
      <c r="L237" s="73">
        <v>2.0</v>
      </c>
      <c r="M237" s="73">
        <v>2.0</v>
      </c>
      <c r="N237" s="73">
        <v>3.0</v>
      </c>
      <c r="O237" s="73">
        <v>2.0</v>
      </c>
      <c r="P237" s="73">
        <v>2.0</v>
      </c>
      <c r="Q237" s="73">
        <v>0.0</v>
      </c>
      <c r="R237" s="73">
        <v>5.0</v>
      </c>
      <c r="S237" s="73">
        <v>2.0</v>
      </c>
      <c r="T237" s="73">
        <v>2.0</v>
      </c>
      <c r="U237" s="73">
        <v>2.0</v>
      </c>
      <c r="V237" s="73">
        <v>1.0</v>
      </c>
      <c r="W237" s="13">
        <f t="shared" ref="W237:W246" si="46">SUM(E237:V237)</f>
        <v>54</v>
      </c>
    </row>
    <row r="238" ht="12.75" customHeight="1">
      <c r="A238" s="30" t="s">
        <v>39</v>
      </c>
      <c r="B238" s="49"/>
      <c r="C238" s="50" t="s">
        <v>176</v>
      </c>
      <c r="D238" s="51"/>
      <c r="E238" s="73">
        <v>2.0</v>
      </c>
      <c r="F238" s="73">
        <v>2.0</v>
      </c>
      <c r="G238" s="73">
        <v>4.0</v>
      </c>
      <c r="H238" s="73">
        <v>6.0</v>
      </c>
      <c r="I238" s="73">
        <v>4.0</v>
      </c>
      <c r="J238" s="73">
        <v>8.0</v>
      </c>
      <c r="K238" s="73">
        <v>4.0</v>
      </c>
      <c r="L238" s="73">
        <v>1.0</v>
      </c>
      <c r="M238" s="73">
        <v>4.0</v>
      </c>
      <c r="N238" s="73">
        <v>1.0</v>
      </c>
      <c r="O238" s="73">
        <v>0.0</v>
      </c>
      <c r="P238" s="73">
        <v>1.0</v>
      </c>
      <c r="Q238" s="73">
        <v>0.0</v>
      </c>
      <c r="R238" s="73">
        <v>6.0</v>
      </c>
      <c r="S238" s="73">
        <v>0.0</v>
      </c>
      <c r="T238" s="73">
        <v>1.0</v>
      </c>
      <c r="U238" s="73">
        <v>1.0</v>
      </c>
      <c r="V238" s="73">
        <v>2.0</v>
      </c>
      <c r="W238" s="13">
        <f t="shared" si="46"/>
        <v>47</v>
      </c>
    </row>
    <row r="239" ht="12.75" customHeight="1">
      <c r="A239" s="18"/>
      <c r="B239" s="49"/>
      <c r="C239" s="50" t="s">
        <v>177</v>
      </c>
      <c r="D239" s="51"/>
      <c r="E239" s="73">
        <v>1.0</v>
      </c>
      <c r="F239" s="73">
        <v>0.0</v>
      </c>
      <c r="G239" s="73">
        <v>3.0</v>
      </c>
      <c r="H239" s="73">
        <v>4.0</v>
      </c>
      <c r="I239" s="73">
        <v>2.0</v>
      </c>
      <c r="J239" s="73">
        <v>5.0</v>
      </c>
      <c r="K239" s="73">
        <v>0.0</v>
      </c>
      <c r="L239" s="73">
        <v>2.0</v>
      </c>
      <c r="M239" s="73">
        <v>1.0</v>
      </c>
      <c r="N239" s="73">
        <v>1.0</v>
      </c>
      <c r="O239" s="73">
        <v>0.0</v>
      </c>
      <c r="P239" s="73">
        <v>1.0</v>
      </c>
      <c r="Q239" s="73">
        <v>1.0</v>
      </c>
      <c r="R239" s="73">
        <v>0.0</v>
      </c>
      <c r="S239" s="73">
        <v>0.0</v>
      </c>
      <c r="T239" s="73">
        <v>0.0</v>
      </c>
      <c r="U239" s="73">
        <v>2.0</v>
      </c>
      <c r="V239" s="73">
        <v>1.0</v>
      </c>
      <c r="W239" s="13">
        <f t="shared" si="46"/>
        <v>24</v>
      </c>
    </row>
    <row r="240" ht="12.75" customHeight="1">
      <c r="A240" s="18"/>
      <c r="B240" s="49"/>
      <c r="C240" s="50" t="s">
        <v>178</v>
      </c>
      <c r="D240" s="51"/>
      <c r="E240" s="73">
        <v>1.0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1.0</v>
      </c>
      <c r="L240" s="73">
        <v>0.0</v>
      </c>
      <c r="M240" s="73">
        <v>0.0</v>
      </c>
      <c r="N240" s="73">
        <v>0.0</v>
      </c>
      <c r="O240" s="73">
        <v>0.0</v>
      </c>
      <c r="P240" s="73">
        <v>0.0</v>
      </c>
      <c r="Q240" s="73">
        <v>1.0</v>
      </c>
      <c r="R240" s="73">
        <v>0.0</v>
      </c>
      <c r="S240" s="73">
        <v>0.0</v>
      </c>
      <c r="T240" s="73">
        <v>0.0</v>
      </c>
      <c r="U240" s="73">
        <v>0.0</v>
      </c>
      <c r="V240" s="73">
        <v>1.0</v>
      </c>
      <c r="W240" s="13">
        <f t="shared" si="46"/>
        <v>4</v>
      </c>
    </row>
    <row r="241" ht="12.75" customHeight="1">
      <c r="A241" s="18"/>
      <c r="B241" s="49"/>
      <c r="C241" s="50" t="s">
        <v>179</v>
      </c>
      <c r="D241" s="51"/>
      <c r="E241" s="73">
        <v>0.0</v>
      </c>
      <c r="F241" s="73">
        <v>0.0</v>
      </c>
      <c r="G241" s="73">
        <v>0.0</v>
      </c>
      <c r="H241" s="73">
        <v>3.0</v>
      </c>
      <c r="I241" s="73">
        <v>1.0</v>
      </c>
      <c r="J241" s="73">
        <v>0.0</v>
      </c>
      <c r="K241" s="73">
        <v>0.0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13">
        <f t="shared" si="46"/>
        <v>4</v>
      </c>
    </row>
    <row r="242" ht="12.75" customHeight="1">
      <c r="A242" s="18"/>
      <c r="B242" s="49"/>
      <c r="C242" s="50" t="s">
        <v>180</v>
      </c>
      <c r="D242" s="51"/>
      <c r="E242" s="73">
        <v>0.0</v>
      </c>
      <c r="F242" s="73">
        <v>0.0</v>
      </c>
      <c r="G242" s="73">
        <v>0.0</v>
      </c>
      <c r="H242" s="73">
        <v>2.0</v>
      </c>
      <c r="I242" s="73">
        <v>0.0</v>
      </c>
      <c r="J242" s="73">
        <v>1.0</v>
      </c>
      <c r="K242" s="73">
        <v>0.0</v>
      </c>
      <c r="L242" s="73">
        <v>0.0</v>
      </c>
      <c r="M242" s="73">
        <v>0.0</v>
      </c>
      <c r="N242" s="73">
        <v>2.0</v>
      </c>
      <c r="O242" s="73">
        <v>0.0</v>
      </c>
      <c r="P242" s="73">
        <v>1.0</v>
      </c>
      <c r="Q242" s="73">
        <v>0.0</v>
      </c>
      <c r="R242" s="73">
        <v>0.0</v>
      </c>
      <c r="S242" s="73">
        <v>0.0</v>
      </c>
      <c r="T242" s="73">
        <v>0.0</v>
      </c>
      <c r="U242" s="73">
        <v>0.0</v>
      </c>
      <c r="V242" s="73">
        <v>1.0</v>
      </c>
      <c r="W242" s="13">
        <f t="shared" si="46"/>
        <v>7</v>
      </c>
    </row>
    <row r="243" ht="12.75" customHeight="1">
      <c r="A243" s="18"/>
      <c r="B243" s="49"/>
      <c r="C243" s="50" t="s">
        <v>181</v>
      </c>
      <c r="D243" s="51"/>
      <c r="E243" s="73">
        <v>0.0</v>
      </c>
      <c r="F243" s="73">
        <v>0.0</v>
      </c>
      <c r="G243" s="73">
        <v>2.0</v>
      </c>
      <c r="H243" s="73">
        <v>1.0</v>
      </c>
      <c r="I243" s="73">
        <v>0.0</v>
      </c>
      <c r="J243" s="73">
        <v>0.0</v>
      </c>
      <c r="K243" s="73">
        <v>0.0</v>
      </c>
      <c r="L243" s="73">
        <v>0.0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13">
        <f t="shared" si="46"/>
        <v>3</v>
      </c>
    </row>
    <row r="244" ht="12.75" customHeight="1">
      <c r="A244" s="18"/>
      <c r="B244" s="49"/>
      <c r="C244" s="50" t="s">
        <v>182</v>
      </c>
      <c r="D244" s="51"/>
      <c r="E244" s="73">
        <v>0.0</v>
      </c>
      <c r="F244" s="73">
        <v>0.0</v>
      </c>
      <c r="G244" s="73">
        <v>0.0</v>
      </c>
      <c r="H244" s="73">
        <v>0.0</v>
      </c>
      <c r="I244" s="73">
        <v>0.0</v>
      </c>
      <c r="J244" s="73">
        <v>0.0</v>
      </c>
      <c r="K244" s="73">
        <v>0.0</v>
      </c>
      <c r="L244" s="73">
        <v>0.0</v>
      </c>
      <c r="M244" s="73">
        <v>2.0</v>
      </c>
      <c r="N244" s="73">
        <v>0.0</v>
      </c>
      <c r="O244" s="73">
        <v>0.0</v>
      </c>
      <c r="P244" s="73">
        <v>0.0</v>
      </c>
      <c r="Q244" s="73">
        <v>0.0</v>
      </c>
      <c r="R244" s="73">
        <v>0.0</v>
      </c>
      <c r="S244" s="73">
        <v>0.0</v>
      </c>
      <c r="T244" s="73">
        <v>0.0</v>
      </c>
      <c r="U244" s="73">
        <v>0.0</v>
      </c>
      <c r="V244" s="73">
        <v>0.0</v>
      </c>
      <c r="W244" s="13">
        <f t="shared" si="46"/>
        <v>2</v>
      </c>
    </row>
    <row r="245" ht="12.75" customHeight="1">
      <c r="A245" s="18"/>
      <c r="B245" s="49"/>
      <c r="C245" s="50" t="s">
        <v>183</v>
      </c>
      <c r="D245" s="51"/>
      <c r="E245" s="73">
        <v>1.0</v>
      </c>
      <c r="F245" s="73">
        <v>0.0</v>
      </c>
      <c r="G245" s="73">
        <v>0.0</v>
      </c>
      <c r="H245" s="73">
        <v>0.0</v>
      </c>
      <c r="I245" s="73">
        <v>0.0</v>
      </c>
      <c r="J245" s="73">
        <v>0.0</v>
      </c>
      <c r="K245" s="73">
        <v>0.0</v>
      </c>
      <c r="L245" s="73">
        <v>0.0</v>
      </c>
      <c r="M245" s="73">
        <v>0.0</v>
      </c>
      <c r="N245" s="73">
        <v>0.0</v>
      </c>
      <c r="O245" s="73">
        <v>0.0</v>
      </c>
      <c r="P245" s="73">
        <v>0.0</v>
      </c>
      <c r="Q245" s="73">
        <v>0.0</v>
      </c>
      <c r="R245" s="73">
        <v>0.0</v>
      </c>
      <c r="S245" s="73">
        <v>0.0</v>
      </c>
      <c r="T245" s="73">
        <v>0.0</v>
      </c>
      <c r="U245" s="73">
        <v>0.0</v>
      </c>
      <c r="V245" s="73">
        <v>0.0</v>
      </c>
      <c r="W245" s="13">
        <f t="shared" si="46"/>
        <v>1</v>
      </c>
    </row>
    <row r="246" ht="12.75" customHeight="1">
      <c r="A246" s="18"/>
      <c r="B246" s="49"/>
      <c r="C246" s="50" t="s">
        <v>184</v>
      </c>
      <c r="D246" s="51"/>
      <c r="E246" s="73">
        <v>0.0</v>
      </c>
      <c r="F246" s="73">
        <v>0.0</v>
      </c>
      <c r="G246" s="73">
        <v>1.0</v>
      </c>
      <c r="H246" s="73">
        <v>1.0</v>
      </c>
      <c r="I246" s="73">
        <v>0.0</v>
      </c>
      <c r="J246" s="73">
        <v>0.0</v>
      </c>
      <c r="K246" s="73">
        <v>0.0</v>
      </c>
      <c r="L246" s="73">
        <v>0.0</v>
      </c>
      <c r="M246" s="73">
        <v>0.0</v>
      </c>
      <c r="N246" s="73">
        <v>0.0</v>
      </c>
      <c r="O246" s="73">
        <v>0.0</v>
      </c>
      <c r="P246" s="73">
        <v>0.0</v>
      </c>
      <c r="Q246" s="73">
        <v>0.0</v>
      </c>
      <c r="R246" s="73">
        <v>0.0</v>
      </c>
      <c r="S246" s="73">
        <v>0.0</v>
      </c>
      <c r="T246" s="73">
        <v>0.0</v>
      </c>
      <c r="U246" s="73">
        <v>1.0</v>
      </c>
      <c r="V246" s="73">
        <v>0.0</v>
      </c>
      <c r="W246" s="13">
        <f t="shared" si="46"/>
        <v>3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W247" si="47">SUM(E237:E246)</f>
        <v>10</v>
      </c>
      <c r="F247" s="13">
        <f t="shared" si="47"/>
        <v>5</v>
      </c>
      <c r="G247" s="13">
        <f t="shared" si="47"/>
        <v>12</v>
      </c>
      <c r="H247" s="13">
        <f t="shared" si="47"/>
        <v>23</v>
      </c>
      <c r="I247" s="13">
        <f t="shared" si="47"/>
        <v>13</v>
      </c>
      <c r="J247" s="13">
        <f t="shared" si="47"/>
        <v>22</v>
      </c>
      <c r="K247" s="13">
        <f t="shared" si="47"/>
        <v>6</v>
      </c>
      <c r="L247" s="13">
        <f t="shared" si="47"/>
        <v>5</v>
      </c>
      <c r="M247" s="13">
        <f t="shared" si="47"/>
        <v>9</v>
      </c>
      <c r="N247" s="13">
        <f t="shared" si="47"/>
        <v>7</v>
      </c>
      <c r="O247" s="13">
        <f t="shared" si="47"/>
        <v>2</v>
      </c>
      <c r="P247" s="13">
        <f t="shared" si="47"/>
        <v>5</v>
      </c>
      <c r="Q247" s="13">
        <f t="shared" si="47"/>
        <v>2</v>
      </c>
      <c r="R247" s="13">
        <f t="shared" si="47"/>
        <v>11</v>
      </c>
      <c r="S247" s="13">
        <f t="shared" si="47"/>
        <v>2</v>
      </c>
      <c r="T247" s="13">
        <f t="shared" si="47"/>
        <v>3</v>
      </c>
      <c r="U247" s="13">
        <f t="shared" si="47"/>
        <v>6</v>
      </c>
      <c r="V247" s="13">
        <f t="shared" si="47"/>
        <v>6</v>
      </c>
      <c r="W247" s="13">
        <f t="shared" si="47"/>
        <v>149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0.0</v>
      </c>
      <c r="M249" s="73">
        <v>1.0</v>
      </c>
      <c r="N249" s="73">
        <v>0.0</v>
      </c>
      <c r="O249" s="73">
        <v>0.0</v>
      </c>
      <c r="P249" s="73">
        <v>0.0</v>
      </c>
      <c r="Q249" s="73">
        <v>0.0</v>
      </c>
      <c r="R249" s="73">
        <v>0.0</v>
      </c>
      <c r="S249" s="73">
        <v>0.0</v>
      </c>
      <c r="T249" s="73">
        <v>0.0</v>
      </c>
      <c r="U249" s="73">
        <v>0.0</v>
      </c>
      <c r="V249" s="73">
        <v>0.0</v>
      </c>
      <c r="W249" s="13">
        <f t="shared" ref="W249:W258" si="48">SUM(E249:V249)</f>
        <v>1</v>
      </c>
    </row>
    <row r="250" ht="12.75" customHeight="1">
      <c r="A250" s="30" t="s">
        <v>39</v>
      </c>
      <c r="B250" s="49"/>
      <c r="C250" s="50" t="s">
        <v>187</v>
      </c>
      <c r="D250" s="51"/>
      <c r="E250" s="73">
        <v>0.0</v>
      </c>
      <c r="F250" s="73">
        <v>0.0</v>
      </c>
      <c r="G250" s="73">
        <v>0.0</v>
      </c>
      <c r="H250" s="73">
        <v>0.0</v>
      </c>
      <c r="I250" s="73">
        <v>0.0</v>
      </c>
      <c r="J250" s="73">
        <v>0.0</v>
      </c>
      <c r="K250" s="73">
        <v>0.0</v>
      </c>
      <c r="L250" s="73">
        <v>0.0</v>
      </c>
      <c r="M250" s="73">
        <v>1.0</v>
      </c>
      <c r="N250" s="73">
        <v>0.0</v>
      </c>
      <c r="O250" s="73">
        <v>0.0</v>
      </c>
      <c r="P250" s="73">
        <v>0.0</v>
      </c>
      <c r="Q250" s="73">
        <v>0.0</v>
      </c>
      <c r="R250" s="73">
        <v>0.0</v>
      </c>
      <c r="S250" s="73">
        <v>2.0</v>
      </c>
      <c r="T250" s="73">
        <v>0.0</v>
      </c>
      <c r="U250" s="73">
        <v>0.0</v>
      </c>
      <c r="V250" s="73">
        <v>0.0</v>
      </c>
      <c r="W250" s="13">
        <f t="shared" si="48"/>
        <v>3</v>
      </c>
    </row>
    <row r="251" ht="12.75" customHeight="1">
      <c r="A251" s="18"/>
      <c r="B251" s="49"/>
      <c r="C251" s="50" t="s">
        <v>188</v>
      </c>
      <c r="D251" s="51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13">
        <f t="shared" si="48"/>
        <v>0</v>
      </c>
    </row>
    <row r="252" ht="12.75" customHeight="1">
      <c r="A252" s="18"/>
      <c r="B252" s="49"/>
      <c r="C252" s="50" t="s">
        <v>189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73">
        <v>0.0</v>
      </c>
      <c r="S252" s="73">
        <v>0.0</v>
      </c>
      <c r="T252" s="73">
        <v>0.0</v>
      </c>
      <c r="U252" s="73">
        <v>0.0</v>
      </c>
      <c r="V252" s="73">
        <v>0.0</v>
      </c>
      <c r="W252" s="13">
        <f t="shared" si="48"/>
        <v>0</v>
      </c>
    </row>
    <row r="253" ht="12.75" customHeight="1">
      <c r="A253" s="18"/>
      <c r="B253" s="57"/>
      <c r="C253" s="67"/>
      <c r="D253" s="5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3">
        <f t="shared" si="48"/>
        <v>0</v>
      </c>
    </row>
    <row r="254" ht="12.75" customHeight="1">
      <c r="A254" s="18"/>
      <c r="B254" s="57"/>
      <c r="C254" s="67"/>
      <c r="D254" s="5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3">
        <f t="shared" si="48"/>
        <v>0</v>
      </c>
    </row>
    <row r="255" ht="12.75" customHeight="1">
      <c r="A255" s="18"/>
      <c r="B255" s="57"/>
      <c r="C255" s="67"/>
      <c r="D255" s="5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3">
        <f t="shared" si="48"/>
        <v>0</v>
      </c>
    </row>
    <row r="256" ht="12.75" customHeight="1">
      <c r="A256" s="18"/>
      <c r="B256" s="57"/>
      <c r="C256" s="64"/>
      <c r="D256" s="5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3">
        <f t="shared" si="48"/>
        <v>0</v>
      </c>
    </row>
    <row r="257" ht="12.75" customHeight="1">
      <c r="A257" s="18"/>
      <c r="B257" s="57"/>
      <c r="C257" s="64"/>
      <c r="D257" s="5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3">
        <f t="shared" si="48"/>
        <v>0</v>
      </c>
    </row>
    <row r="258" ht="12.75" customHeight="1">
      <c r="A258" s="18"/>
      <c r="B258" s="57"/>
      <c r="C258" s="64"/>
      <c r="D258" s="5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3">
        <f t="shared" si="48"/>
        <v>0</v>
      </c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W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2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2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76"/>
      <c r="S261" s="76"/>
      <c r="T261" s="76"/>
      <c r="U261" s="76"/>
      <c r="V261" s="76"/>
      <c r="W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V262" si="50">E55+E67+E79+E91+E103+E115+E127+E139+E151+E163+E175+E187+E199+E211+E223+E235+E247+E259</f>
        <v>153</v>
      </c>
      <c r="F262" s="19">
        <f t="shared" si="50"/>
        <v>148</v>
      </c>
      <c r="G262" s="19">
        <f t="shared" si="50"/>
        <v>169</v>
      </c>
      <c r="H262" s="19">
        <f t="shared" si="50"/>
        <v>168</v>
      </c>
      <c r="I262" s="19">
        <f t="shared" si="50"/>
        <v>176</v>
      </c>
      <c r="J262" s="19">
        <f t="shared" si="50"/>
        <v>159</v>
      </c>
      <c r="K262" s="19">
        <f t="shared" si="50"/>
        <v>187</v>
      </c>
      <c r="L262" s="19">
        <f t="shared" si="50"/>
        <v>155</v>
      </c>
      <c r="M262" s="19">
        <f t="shared" si="50"/>
        <v>185</v>
      </c>
      <c r="N262" s="19">
        <f t="shared" si="50"/>
        <v>199</v>
      </c>
      <c r="O262" s="19">
        <f t="shared" si="50"/>
        <v>172</v>
      </c>
      <c r="P262" s="19">
        <f t="shared" si="50"/>
        <v>176</v>
      </c>
      <c r="Q262" s="19">
        <f t="shared" si="50"/>
        <v>176</v>
      </c>
      <c r="R262" s="19">
        <f t="shared" si="50"/>
        <v>153</v>
      </c>
      <c r="S262" s="19">
        <f t="shared" si="50"/>
        <v>120</v>
      </c>
      <c r="T262" s="19">
        <f t="shared" si="50"/>
        <v>176</v>
      </c>
      <c r="U262" s="19">
        <f t="shared" si="50"/>
        <v>173</v>
      </c>
      <c r="V262" s="19">
        <f t="shared" si="50"/>
        <v>181</v>
      </c>
      <c r="W262" s="13">
        <f t="shared" ref="W262:W264" si="51">SUM(E262:V262)</f>
        <v>3026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31.0</v>
      </c>
      <c r="F263" s="73">
        <v>45.0</v>
      </c>
      <c r="G263" s="73">
        <v>22.0</v>
      </c>
      <c r="H263" s="73">
        <v>19.0</v>
      </c>
      <c r="I263" s="73">
        <v>18.0</v>
      </c>
      <c r="J263" s="73">
        <v>19.0</v>
      </c>
      <c r="K263" s="73">
        <v>13.0</v>
      </c>
      <c r="L263" s="73">
        <v>38.0</v>
      </c>
      <c r="M263" s="73">
        <v>26.0</v>
      </c>
      <c r="N263" s="73">
        <v>13.0</v>
      </c>
      <c r="O263" s="73">
        <v>39.0</v>
      </c>
      <c r="P263" s="73">
        <v>10.0</v>
      </c>
      <c r="Q263" s="73">
        <v>29.0</v>
      </c>
      <c r="R263" s="73">
        <v>25.0</v>
      </c>
      <c r="S263" s="73">
        <v>24.0</v>
      </c>
      <c r="T263" s="73">
        <v>17.0</v>
      </c>
      <c r="U263" s="73">
        <v>28.0</v>
      </c>
      <c r="V263" s="73">
        <v>21.0</v>
      </c>
      <c r="W263" s="13">
        <f t="shared" si="51"/>
        <v>437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V264" si="52">SUM(E262:E263)</f>
        <v>184</v>
      </c>
      <c r="F264" s="13">
        <f t="shared" si="52"/>
        <v>193</v>
      </c>
      <c r="G264" s="13">
        <f t="shared" si="52"/>
        <v>191</v>
      </c>
      <c r="H264" s="13">
        <f t="shared" si="52"/>
        <v>187</v>
      </c>
      <c r="I264" s="13">
        <f t="shared" si="52"/>
        <v>194</v>
      </c>
      <c r="J264" s="13">
        <f t="shared" si="52"/>
        <v>178</v>
      </c>
      <c r="K264" s="13">
        <f t="shared" si="52"/>
        <v>200</v>
      </c>
      <c r="L264" s="13">
        <f t="shared" si="52"/>
        <v>193</v>
      </c>
      <c r="M264" s="13">
        <f t="shared" si="52"/>
        <v>211</v>
      </c>
      <c r="N264" s="13">
        <f t="shared" si="52"/>
        <v>212</v>
      </c>
      <c r="O264" s="13">
        <f t="shared" si="52"/>
        <v>211</v>
      </c>
      <c r="P264" s="13">
        <f t="shared" si="52"/>
        <v>186</v>
      </c>
      <c r="Q264" s="13">
        <f t="shared" si="52"/>
        <v>205</v>
      </c>
      <c r="R264" s="13">
        <f t="shared" si="52"/>
        <v>178</v>
      </c>
      <c r="S264" s="13">
        <f t="shared" si="52"/>
        <v>144</v>
      </c>
      <c r="T264" s="13">
        <f t="shared" si="52"/>
        <v>193</v>
      </c>
      <c r="U264" s="13">
        <f t="shared" si="52"/>
        <v>201</v>
      </c>
      <c r="V264" s="13">
        <f t="shared" si="52"/>
        <v>202</v>
      </c>
      <c r="W264" s="13">
        <f t="shared" si="51"/>
        <v>3463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V15">
    <cfRule type="containsBlanks" dxfId="1" priority="1">
      <formula>LEN(TRIM(E14))=0</formula>
    </cfRule>
  </conditionalFormatting>
  <conditionalFormatting sqref="E19:V20">
    <cfRule type="containsBlanks" dxfId="1" priority="2">
      <formula>LEN(TRIM(E19))=0</formula>
    </cfRule>
  </conditionalFormatting>
  <conditionalFormatting sqref="E22:V23 E25:V26 E33:V33 E35:V35 E39:V40">
    <cfRule type="containsBlanks" dxfId="1" priority="3">
      <formula>LEN(TRIM(E22))=0</formula>
    </cfRule>
  </conditionalFormatting>
  <conditionalFormatting sqref="E30:V30">
    <cfRule type="expression" dxfId="0" priority="4">
      <formula>E30&lt;&gt;E47</formula>
    </cfRule>
  </conditionalFormatting>
  <conditionalFormatting sqref="E30:V30">
    <cfRule type="expression" dxfId="0" priority="5">
      <formula>E30&lt;&gt;E34</formula>
    </cfRule>
  </conditionalFormatting>
  <conditionalFormatting sqref="E34:V34">
    <cfRule type="expression" dxfId="2" priority="6">
      <formula>E30&lt;&gt;E34</formula>
    </cfRule>
  </conditionalFormatting>
  <conditionalFormatting sqref="E34:V34">
    <cfRule type="expression" dxfId="3" priority="7">
      <formula>E30=E34</formula>
    </cfRule>
  </conditionalFormatting>
  <conditionalFormatting sqref="E34:V34">
    <cfRule type="expression" dxfId="0" priority="8">
      <formula>E34&lt;&gt;E30</formula>
    </cfRule>
  </conditionalFormatting>
  <conditionalFormatting sqref="E45:V54">
    <cfRule type="containsBlanks" dxfId="1" priority="9">
      <formula>LEN(TRIM(E45))=0</formula>
    </cfRule>
  </conditionalFormatting>
  <conditionalFormatting sqref="E57:V66">
    <cfRule type="containsBlanks" dxfId="1" priority="10">
      <formula>LEN(TRIM(E57))=0</formula>
    </cfRule>
  </conditionalFormatting>
  <conditionalFormatting sqref="E69:V78">
    <cfRule type="containsBlanks" dxfId="1" priority="11">
      <formula>LEN(TRIM(E69))=0</formula>
    </cfRule>
  </conditionalFormatting>
  <conditionalFormatting sqref="E81:V90">
    <cfRule type="containsBlanks" dxfId="1" priority="12">
      <formula>LEN(TRIM(E81))=0</formula>
    </cfRule>
  </conditionalFormatting>
  <conditionalFormatting sqref="E93:V102">
    <cfRule type="containsBlanks" dxfId="1" priority="13">
      <formula>LEN(TRIM(E93))=0</formula>
    </cfRule>
  </conditionalFormatting>
  <conditionalFormatting sqref="E105:V114">
    <cfRule type="containsBlanks" dxfId="1" priority="14">
      <formula>LEN(TRIM(E105))=0</formula>
    </cfRule>
  </conditionalFormatting>
  <conditionalFormatting sqref="E117:V126">
    <cfRule type="containsBlanks" dxfId="1" priority="15">
      <formula>LEN(TRIM(E117))=0</formula>
    </cfRule>
  </conditionalFormatting>
  <conditionalFormatting sqref="E129:V138">
    <cfRule type="containsBlanks" dxfId="1" priority="16">
      <formula>LEN(TRIM(E129))=0</formula>
    </cfRule>
  </conditionalFormatting>
  <conditionalFormatting sqref="E141:V150">
    <cfRule type="containsBlanks" dxfId="1" priority="17">
      <formula>LEN(TRIM(E141))=0</formula>
    </cfRule>
  </conditionalFormatting>
  <conditionalFormatting sqref="E153:V162">
    <cfRule type="containsBlanks" dxfId="1" priority="18">
      <formula>LEN(TRIM(E153))=0</formula>
    </cfRule>
  </conditionalFormatting>
  <conditionalFormatting sqref="E165:V174">
    <cfRule type="containsBlanks" dxfId="1" priority="19">
      <formula>LEN(TRIM(E165))=0</formula>
    </cfRule>
  </conditionalFormatting>
  <conditionalFormatting sqref="E177:V186">
    <cfRule type="containsBlanks" dxfId="1" priority="20">
      <formula>LEN(TRIM(E177))=0</formula>
    </cfRule>
  </conditionalFormatting>
  <conditionalFormatting sqref="E189:V198">
    <cfRule type="containsBlanks" dxfId="1" priority="21">
      <formula>LEN(TRIM(E189))=0</formula>
    </cfRule>
  </conditionalFormatting>
  <conditionalFormatting sqref="E201:V210">
    <cfRule type="containsBlanks" dxfId="1" priority="22">
      <formula>LEN(TRIM(E201))=0</formula>
    </cfRule>
  </conditionalFormatting>
  <conditionalFormatting sqref="E213:V222">
    <cfRule type="containsBlanks" dxfId="1" priority="23">
      <formula>LEN(TRIM(E213))=0</formula>
    </cfRule>
  </conditionalFormatting>
  <conditionalFormatting sqref="E225:V234">
    <cfRule type="containsBlanks" dxfId="1" priority="24">
      <formula>LEN(TRIM(E225))=0</formula>
    </cfRule>
  </conditionalFormatting>
  <conditionalFormatting sqref="E237:V246">
    <cfRule type="containsBlanks" dxfId="1" priority="25">
      <formula>LEN(TRIM(E237))=0</formula>
    </cfRule>
  </conditionalFormatting>
  <conditionalFormatting sqref="E249:V258">
    <cfRule type="containsBlanks" dxfId="1" priority="26">
      <formula>LEN(TRIM(E249))=0</formula>
    </cfRule>
  </conditionalFormatting>
  <conditionalFormatting sqref="E262:V263">
    <cfRule type="containsBlanks" dxfId="1" priority="27">
      <formula>LEN(TRIM(E262))=0</formula>
    </cfRule>
  </conditionalFormatting>
  <conditionalFormatting sqref="U34:V34">
    <cfRule type="expression" dxfId="0" priority="28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73">
        <v>113.0</v>
      </c>
      <c r="F14" s="73">
        <v>120.0</v>
      </c>
      <c r="G14" s="73">
        <v>114.0</v>
      </c>
      <c r="H14" s="73">
        <v>127.0</v>
      </c>
      <c r="I14" s="73">
        <v>126.0</v>
      </c>
      <c r="J14" s="73">
        <v>116.0</v>
      </c>
      <c r="K14" s="73">
        <v>116.0</v>
      </c>
      <c r="L14" s="73">
        <v>149.0</v>
      </c>
      <c r="M14" s="73">
        <v>147.0</v>
      </c>
      <c r="N14" s="73">
        <v>134.0</v>
      </c>
      <c r="O14" s="73">
        <v>133.0</v>
      </c>
      <c r="P14" s="73">
        <v>129.0</v>
      </c>
      <c r="Q14" s="73">
        <v>114.0</v>
      </c>
      <c r="R14" s="73">
        <v>127.0</v>
      </c>
      <c r="S14" s="73">
        <v>136.0</v>
      </c>
      <c r="T14" s="73">
        <v>104.0</v>
      </c>
      <c r="U14" s="73">
        <v>133.0</v>
      </c>
      <c r="V14" s="73">
        <v>107.0</v>
      </c>
      <c r="W14" s="73">
        <v>102.0</v>
      </c>
      <c r="X14" s="73">
        <v>123.0</v>
      </c>
      <c r="Y14" s="73">
        <v>106.0</v>
      </c>
      <c r="Z14" s="73">
        <v>134.0</v>
      </c>
      <c r="AA14" s="13">
        <f t="shared" ref="AA14:AA16" si="1">SUM(E14:Z14)</f>
        <v>2710</v>
      </c>
    </row>
    <row r="15" ht="12.75" customHeight="1">
      <c r="A15" s="18"/>
      <c r="B15" s="26"/>
      <c r="C15" s="27"/>
      <c r="D15" s="19" t="s">
        <v>13</v>
      </c>
      <c r="E15" s="73">
        <v>108.0</v>
      </c>
      <c r="F15" s="73">
        <v>110.0</v>
      </c>
      <c r="G15" s="73">
        <v>111.0</v>
      </c>
      <c r="H15" s="73">
        <v>117.0</v>
      </c>
      <c r="I15" s="73">
        <v>123.0</v>
      </c>
      <c r="J15" s="73">
        <v>125.0</v>
      </c>
      <c r="K15" s="73">
        <v>137.0</v>
      </c>
      <c r="L15" s="73">
        <v>144.0</v>
      </c>
      <c r="M15" s="73">
        <v>143.0</v>
      </c>
      <c r="N15" s="73">
        <v>132.0</v>
      </c>
      <c r="O15" s="73">
        <v>152.0</v>
      </c>
      <c r="P15" s="73">
        <v>121.0</v>
      </c>
      <c r="Q15" s="73">
        <v>127.0</v>
      </c>
      <c r="R15" s="73">
        <v>128.0</v>
      </c>
      <c r="S15" s="73">
        <v>123.0</v>
      </c>
      <c r="T15" s="73">
        <v>110.0</v>
      </c>
      <c r="U15" s="73">
        <v>133.0</v>
      </c>
      <c r="V15" s="73">
        <v>104.0</v>
      </c>
      <c r="W15" s="73">
        <v>106.0</v>
      </c>
      <c r="X15" s="73">
        <v>115.0</v>
      </c>
      <c r="Y15" s="73">
        <v>112.0</v>
      </c>
      <c r="Z15" s="73">
        <v>141.0</v>
      </c>
      <c r="AA15" s="13">
        <f t="shared" si="1"/>
        <v>2722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221</v>
      </c>
      <c r="F16" s="13">
        <f t="shared" si="2"/>
        <v>230</v>
      </c>
      <c r="G16" s="13">
        <f t="shared" si="2"/>
        <v>225</v>
      </c>
      <c r="H16" s="13">
        <f t="shared" si="2"/>
        <v>244</v>
      </c>
      <c r="I16" s="13">
        <f t="shared" si="2"/>
        <v>249</v>
      </c>
      <c r="J16" s="13">
        <f t="shared" si="2"/>
        <v>241</v>
      </c>
      <c r="K16" s="13">
        <f t="shared" si="2"/>
        <v>253</v>
      </c>
      <c r="L16" s="13">
        <f t="shared" si="2"/>
        <v>293</v>
      </c>
      <c r="M16" s="13">
        <f t="shared" si="2"/>
        <v>290</v>
      </c>
      <c r="N16" s="13">
        <f t="shared" si="2"/>
        <v>266</v>
      </c>
      <c r="O16" s="13">
        <f t="shared" si="2"/>
        <v>285</v>
      </c>
      <c r="P16" s="13">
        <f t="shared" si="2"/>
        <v>250</v>
      </c>
      <c r="Q16" s="13">
        <f t="shared" si="2"/>
        <v>241</v>
      </c>
      <c r="R16" s="13">
        <f t="shared" si="2"/>
        <v>255</v>
      </c>
      <c r="S16" s="13">
        <f t="shared" si="2"/>
        <v>259</v>
      </c>
      <c r="T16" s="13">
        <f t="shared" si="2"/>
        <v>214</v>
      </c>
      <c r="U16" s="13">
        <f t="shared" si="2"/>
        <v>266</v>
      </c>
      <c r="V16" s="13">
        <f t="shared" si="2"/>
        <v>211</v>
      </c>
      <c r="W16" s="13">
        <f t="shared" si="2"/>
        <v>208</v>
      </c>
      <c r="X16" s="13">
        <f t="shared" si="2"/>
        <v>238</v>
      </c>
      <c r="Y16" s="13">
        <f t="shared" si="2"/>
        <v>218</v>
      </c>
      <c r="Z16" s="13">
        <f t="shared" si="2"/>
        <v>275</v>
      </c>
      <c r="AA16" s="13">
        <f t="shared" si="1"/>
        <v>5432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80.0</v>
      </c>
      <c r="F19" s="73">
        <v>83.0</v>
      </c>
      <c r="G19" s="73">
        <v>79.0</v>
      </c>
      <c r="H19" s="73">
        <v>103.0</v>
      </c>
      <c r="I19" s="73">
        <v>90.0</v>
      </c>
      <c r="J19" s="73">
        <v>76.0</v>
      </c>
      <c r="K19" s="73">
        <v>86.0</v>
      </c>
      <c r="L19" s="73">
        <v>115.0</v>
      </c>
      <c r="M19" s="73">
        <v>104.0</v>
      </c>
      <c r="N19" s="73">
        <v>107.0</v>
      </c>
      <c r="O19" s="73">
        <v>89.0</v>
      </c>
      <c r="P19" s="73">
        <v>90.0</v>
      </c>
      <c r="Q19" s="73">
        <v>96.0</v>
      </c>
      <c r="R19" s="73">
        <v>91.0</v>
      </c>
      <c r="S19" s="73">
        <v>103.0</v>
      </c>
      <c r="T19" s="73">
        <v>78.0</v>
      </c>
      <c r="U19" s="73">
        <v>93.0</v>
      </c>
      <c r="V19" s="73">
        <v>73.0</v>
      </c>
      <c r="W19" s="73">
        <v>68.0</v>
      </c>
      <c r="X19" s="73">
        <v>95.0</v>
      </c>
      <c r="Y19" s="73">
        <v>79.0</v>
      </c>
      <c r="Z19" s="73">
        <v>106.0</v>
      </c>
      <c r="AA19" s="13">
        <f t="shared" ref="AA19:AA30" si="3">SUM(E19:Z19)</f>
        <v>1984</v>
      </c>
    </row>
    <row r="20" ht="12.75" customHeight="1">
      <c r="A20" s="33"/>
      <c r="B20" s="27"/>
      <c r="C20" s="34"/>
      <c r="D20" s="19" t="s">
        <v>13</v>
      </c>
      <c r="E20" s="73">
        <v>93.0</v>
      </c>
      <c r="F20" s="73">
        <v>99.0</v>
      </c>
      <c r="G20" s="73">
        <v>91.0</v>
      </c>
      <c r="H20" s="73">
        <v>98.0</v>
      </c>
      <c r="I20" s="73">
        <v>91.0</v>
      </c>
      <c r="J20" s="73">
        <v>98.0</v>
      </c>
      <c r="K20" s="73">
        <v>95.0</v>
      </c>
      <c r="L20" s="73">
        <v>117.0</v>
      </c>
      <c r="M20" s="73">
        <v>104.0</v>
      </c>
      <c r="N20" s="73">
        <v>90.0</v>
      </c>
      <c r="O20" s="73">
        <v>115.0</v>
      </c>
      <c r="P20" s="73">
        <v>95.0</v>
      </c>
      <c r="Q20" s="73">
        <v>96.0</v>
      </c>
      <c r="R20" s="73">
        <v>99.0</v>
      </c>
      <c r="S20" s="73">
        <v>99.0</v>
      </c>
      <c r="T20" s="73">
        <v>87.0</v>
      </c>
      <c r="U20" s="73">
        <v>100.0</v>
      </c>
      <c r="V20" s="73">
        <v>87.0</v>
      </c>
      <c r="W20" s="73">
        <v>92.0</v>
      </c>
      <c r="X20" s="73">
        <v>90.0</v>
      </c>
      <c r="Y20" s="73">
        <v>83.0</v>
      </c>
      <c r="Z20" s="73">
        <v>112.0</v>
      </c>
      <c r="AA20" s="13">
        <f t="shared" si="3"/>
        <v>2131</v>
      </c>
    </row>
    <row r="21" ht="12.75" customHeight="1">
      <c r="A21" s="35"/>
      <c r="B21" s="28"/>
      <c r="C21" s="36"/>
      <c r="D21" s="13" t="s">
        <v>14</v>
      </c>
      <c r="E21" s="13">
        <f t="shared" ref="E21:Z21" si="4">SUM(E19:E20)</f>
        <v>173</v>
      </c>
      <c r="F21" s="13">
        <f t="shared" si="4"/>
        <v>182</v>
      </c>
      <c r="G21" s="13">
        <f t="shared" si="4"/>
        <v>170</v>
      </c>
      <c r="H21" s="13">
        <f t="shared" si="4"/>
        <v>201</v>
      </c>
      <c r="I21" s="13">
        <f t="shared" si="4"/>
        <v>181</v>
      </c>
      <c r="J21" s="13">
        <f t="shared" si="4"/>
        <v>174</v>
      </c>
      <c r="K21" s="13">
        <f t="shared" si="4"/>
        <v>181</v>
      </c>
      <c r="L21" s="13">
        <f t="shared" si="4"/>
        <v>232</v>
      </c>
      <c r="M21" s="13">
        <f t="shared" si="4"/>
        <v>208</v>
      </c>
      <c r="N21" s="13">
        <f t="shared" si="4"/>
        <v>197</v>
      </c>
      <c r="O21" s="13">
        <f t="shared" si="4"/>
        <v>204</v>
      </c>
      <c r="P21" s="13">
        <f t="shared" si="4"/>
        <v>185</v>
      </c>
      <c r="Q21" s="13">
        <f t="shared" si="4"/>
        <v>192</v>
      </c>
      <c r="R21" s="13">
        <f t="shared" si="4"/>
        <v>190</v>
      </c>
      <c r="S21" s="13">
        <f t="shared" si="4"/>
        <v>202</v>
      </c>
      <c r="T21" s="13">
        <f t="shared" si="4"/>
        <v>165</v>
      </c>
      <c r="U21" s="13">
        <f t="shared" si="4"/>
        <v>193</v>
      </c>
      <c r="V21" s="13">
        <f t="shared" si="4"/>
        <v>160</v>
      </c>
      <c r="W21" s="13">
        <f t="shared" si="4"/>
        <v>160</v>
      </c>
      <c r="X21" s="13">
        <f t="shared" si="4"/>
        <v>185</v>
      </c>
      <c r="Y21" s="13">
        <f t="shared" si="4"/>
        <v>162</v>
      </c>
      <c r="Z21" s="13">
        <f t="shared" si="4"/>
        <v>218</v>
      </c>
      <c r="AA21" s="13">
        <f t="shared" si="3"/>
        <v>4115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0.0</v>
      </c>
      <c r="H22" s="73">
        <v>0.0</v>
      </c>
      <c r="I22" s="73">
        <v>0.0</v>
      </c>
      <c r="J22" s="73">
        <v>1.0</v>
      </c>
      <c r="K22" s="73">
        <v>0.0</v>
      </c>
      <c r="L22" s="73">
        <v>0.0</v>
      </c>
      <c r="M22" s="73">
        <v>0.0</v>
      </c>
      <c r="N22" s="73">
        <v>0.0</v>
      </c>
      <c r="O22" s="73">
        <v>0.0</v>
      </c>
      <c r="P22" s="73">
        <v>0.0</v>
      </c>
      <c r="Q22" s="73">
        <v>0.0</v>
      </c>
      <c r="R22" s="73">
        <v>0.0</v>
      </c>
      <c r="S22" s="73">
        <v>1.0</v>
      </c>
      <c r="T22" s="73">
        <v>0.0</v>
      </c>
      <c r="U22" s="73">
        <v>0.0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0.0</v>
      </c>
      <c r="N23" s="73">
        <v>0.0</v>
      </c>
      <c r="O23" s="73">
        <v>0.0</v>
      </c>
      <c r="P23" s="73">
        <v>0.0</v>
      </c>
      <c r="Q23" s="73">
        <v>0.0</v>
      </c>
      <c r="R23" s="73">
        <v>0.0</v>
      </c>
      <c r="S23" s="73">
        <v>3.0</v>
      </c>
      <c r="T23" s="73">
        <v>0.0</v>
      </c>
      <c r="U23" s="73">
        <v>0.0</v>
      </c>
      <c r="V23" s="73">
        <v>0.0</v>
      </c>
      <c r="W23" s="73">
        <v>0.0</v>
      </c>
      <c r="X23" s="73">
        <v>0.0</v>
      </c>
      <c r="Y23" s="73">
        <v>0.0</v>
      </c>
      <c r="Z23" s="73">
        <v>0.0</v>
      </c>
      <c r="AA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Z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4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3.0</v>
      </c>
      <c r="F25" s="73">
        <v>0.0</v>
      </c>
      <c r="G25" s="73">
        <v>0.0</v>
      </c>
      <c r="H25" s="73">
        <v>0.0</v>
      </c>
      <c r="I25" s="73">
        <v>0.0</v>
      </c>
      <c r="J25" s="73">
        <v>3.0</v>
      </c>
      <c r="K25" s="73">
        <v>1.0</v>
      </c>
      <c r="L25" s="73">
        <v>1.0</v>
      </c>
      <c r="M25" s="73">
        <v>1.0</v>
      </c>
      <c r="N25" s="73">
        <v>9.0</v>
      </c>
      <c r="O25" s="73">
        <v>4.0</v>
      </c>
      <c r="P25" s="73">
        <v>0.0</v>
      </c>
      <c r="Q25" s="73">
        <v>0.0</v>
      </c>
      <c r="R25" s="73">
        <v>1.0</v>
      </c>
      <c r="S25" s="73">
        <v>0.0</v>
      </c>
      <c r="T25" s="73">
        <v>1.0</v>
      </c>
      <c r="U25" s="73">
        <v>0.0</v>
      </c>
      <c r="V25" s="73">
        <v>3.0</v>
      </c>
      <c r="W25" s="73">
        <v>2.0</v>
      </c>
      <c r="X25" s="73">
        <v>6.0</v>
      </c>
      <c r="Y25" s="73">
        <v>3.0</v>
      </c>
      <c r="Z25" s="73">
        <v>0.0</v>
      </c>
      <c r="AA25" s="13">
        <f t="shared" si="3"/>
        <v>38</v>
      </c>
    </row>
    <row r="26" ht="12.75" customHeight="1">
      <c r="A26" s="33"/>
      <c r="B26" s="27"/>
      <c r="C26" s="34"/>
      <c r="D26" s="19" t="s">
        <v>13</v>
      </c>
      <c r="E26" s="73">
        <v>1.0</v>
      </c>
      <c r="F26" s="73">
        <v>0.0</v>
      </c>
      <c r="G26" s="73">
        <v>0.0</v>
      </c>
      <c r="H26" s="73">
        <v>0.0</v>
      </c>
      <c r="I26" s="73">
        <v>0.0</v>
      </c>
      <c r="J26" s="73">
        <v>3.0</v>
      </c>
      <c r="K26" s="73">
        <v>2.0</v>
      </c>
      <c r="L26" s="73">
        <v>0.0</v>
      </c>
      <c r="M26" s="73">
        <v>1.0</v>
      </c>
      <c r="N26" s="73">
        <v>6.0</v>
      </c>
      <c r="O26" s="73">
        <v>2.0</v>
      </c>
      <c r="P26" s="73">
        <v>1.0</v>
      </c>
      <c r="Q26" s="73">
        <v>0.0</v>
      </c>
      <c r="R26" s="73">
        <v>4.0</v>
      </c>
      <c r="S26" s="73">
        <v>1.0</v>
      </c>
      <c r="T26" s="73">
        <v>1.0</v>
      </c>
      <c r="U26" s="73">
        <v>0.0</v>
      </c>
      <c r="V26" s="73">
        <v>4.0</v>
      </c>
      <c r="W26" s="73">
        <v>2.0</v>
      </c>
      <c r="X26" s="73">
        <v>5.0</v>
      </c>
      <c r="Y26" s="73">
        <v>4.0</v>
      </c>
      <c r="Z26" s="73">
        <v>0.0</v>
      </c>
      <c r="AA26" s="13">
        <f t="shared" si="3"/>
        <v>37</v>
      </c>
    </row>
    <row r="27" ht="12.75" customHeight="1">
      <c r="A27" s="35"/>
      <c r="B27" s="28"/>
      <c r="C27" s="36"/>
      <c r="D27" s="13" t="s">
        <v>14</v>
      </c>
      <c r="E27" s="13">
        <f t="shared" ref="E27:Z27" si="6">SUM(E25:E26)</f>
        <v>4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6</v>
      </c>
      <c r="K27" s="13">
        <f t="shared" si="6"/>
        <v>3</v>
      </c>
      <c r="L27" s="13">
        <f t="shared" si="6"/>
        <v>1</v>
      </c>
      <c r="M27" s="13">
        <f t="shared" si="6"/>
        <v>2</v>
      </c>
      <c r="N27" s="13">
        <f t="shared" si="6"/>
        <v>15</v>
      </c>
      <c r="O27" s="13">
        <f t="shared" si="6"/>
        <v>6</v>
      </c>
      <c r="P27" s="13">
        <f t="shared" si="6"/>
        <v>1</v>
      </c>
      <c r="Q27" s="13">
        <f t="shared" si="6"/>
        <v>0</v>
      </c>
      <c r="R27" s="13">
        <f t="shared" si="6"/>
        <v>5</v>
      </c>
      <c r="S27" s="13">
        <f t="shared" si="6"/>
        <v>1</v>
      </c>
      <c r="T27" s="13">
        <f t="shared" si="6"/>
        <v>2</v>
      </c>
      <c r="U27" s="13">
        <f t="shared" si="6"/>
        <v>0</v>
      </c>
      <c r="V27" s="13">
        <f t="shared" si="6"/>
        <v>7</v>
      </c>
      <c r="W27" s="13">
        <f t="shared" si="6"/>
        <v>4</v>
      </c>
      <c r="X27" s="13">
        <f t="shared" si="6"/>
        <v>11</v>
      </c>
      <c r="Y27" s="13">
        <f t="shared" si="6"/>
        <v>7</v>
      </c>
      <c r="Z27" s="13">
        <f t="shared" si="6"/>
        <v>0</v>
      </c>
      <c r="AA27" s="13">
        <f t="shared" si="3"/>
        <v>75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Z28" si="7">SUM(E19,E22,E25)</f>
        <v>83</v>
      </c>
      <c r="F28" s="13">
        <f t="shared" si="7"/>
        <v>83</v>
      </c>
      <c r="G28" s="13">
        <f t="shared" si="7"/>
        <v>79</v>
      </c>
      <c r="H28" s="13">
        <f t="shared" si="7"/>
        <v>103</v>
      </c>
      <c r="I28" s="13">
        <f t="shared" si="7"/>
        <v>90</v>
      </c>
      <c r="J28" s="13">
        <f t="shared" si="7"/>
        <v>80</v>
      </c>
      <c r="K28" s="13">
        <f t="shared" si="7"/>
        <v>87</v>
      </c>
      <c r="L28" s="13">
        <f t="shared" si="7"/>
        <v>116</v>
      </c>
      <c r="M28" s="13">
        <f t="shared" si="7"/>
        <v>105</v>
      </c>
      <c r="N28" s="13">
        <f t="shared" si="7"/>
        <v>116</v>
      </c>
      <c r="O28" s="13">
        <f t="shared" si="7"/>
        <v>93</v>
      </c>
      <c r="P28" s="13">
        <f t="shared" si="7"/>
        <v>90</v>
      </c>
      <c r="Q28" s="13">
        <f t="shared" si="7"/>
        <v>96</v>
      </c>
      <c r="R28" s="13">
        <f t="shared" si="7"/>
        <v>92</v>
      </c>
      <c r="S28" s="13">
        <f t="shared" si="7"/>
        <v>104</v>
      </c>
      <c r="T28" s="13">
        <f t="shared" si="7"/>
        <v>79</v>
      </c>
      <c r="U28" s="13">
        <f t="shared" si="7"/>
        <v>93</v>
      </c>
      <c r="V28" s="13">
        <f t="shared" si="7"/>
        <v>76</v>
      </c>
      <c r="W28" s="13">
        <f t="shared" si="7"/>
        <v>70</v>
      </c>
      <c r="X28" s="13">
        <f t="shared" si="7"/>
        <v>101</v>
      </c>
      <c r="Y28" s="13">
        <f t="shared" si="7"/>
        <v>82</v>
      </c>
      <c r="Z28" s="13">
        <f t="shared" si="7"/>
        <v>106</v>
      </c>
      <c r="AA28" s="13">
        <f t="shared" si="3"/>
        <v>2024</v>
      </c>
    </row>
    <row r="29" ht="12.75" customHeight="1">
      <c r="A29" s="35"/>
      <c r="B29" s="27"/>
      <c r="C29" s="34"/>
      <c r="D29" s="13" t="s">
        <v>13</v>
      </c>
      <c r="E29" s="13">
        <f t="shared" ref="E29:Z29" si="8">SUM(E20,E23,E26)</f>
        <v>94</v>
      </c>
      <c r="F29" s="13">
        <f t="shared" si="8"/>
        <v>99</v>
      </c>
      <c r="G29" s="13">
        <f t="shared" si="8"/>
        <v>91</v>
      </c>
      <c r="H29" s="13">
        <f t="shared" si="8"/>
        <v>98</v>
      </c>
      <c r="I29" s="13">
        <f t="shared" si="8"/>
        <v>91</v>
      </c>
      <c r="J29" s="13">
        <f t="shared" si="8"/>
        <v>101</v>
      </c>
      <c r="K29" s="13">
        <f t="shared" si="8"/>
        <v>97</v>
      </c>
      <c r="L29" s="13">
        <f t="shared" si="8"/>
        <v>117</v>
      </c>
      <c r="M29" s="13">
        <f t="shared" si="8"/>
        <v>105</v>
      </c>
      <c r="N29" s="13">
        <f t="shared" si="8"/>
        <v>96</v>
      </c>
      <c r="O29" s="13">
        <f t="shared" si="8"/>
        <v>117</v>
      </c>
      <c r="P29" s="13">
        <f t="shared" si="8"/>
        <v>96</v>
      </c>
      <c r="Q29" s="13">
        <f t="shared" si="8"/>
        <v>96</v>
      </c>
      <c r="R29" s="13">
        <f t="shared" si="8"/>
        <v>103</v>
      </c>
      <c r="S29" s="13">
        <f t="shared" si="8"/>
        <v>103</v>
      </c>
      <c r="T29" s="13">
        <f t="shared" si="8"/>
        <v>88</v>
      </c>
      <c r="U29" s="13">
        <f t="shared" si="8"/>
        <v>100</v>
      </c>
      <c r="V29" s="13">
        <f t="shared" si="8"/>
        <v>91</v>
      </c>
      <c r="W29" s="13">
        <f t="shared" si="8"/>
        <v>94</v>
      </c>
      <c r="X29" s="13">
        <f t="shared" si="8"/>
        <v>95</v>
      </c>
      <c r="Y29" s="13">
        <f t="shared" si="8"/>
        <v>87</v>
      </c>
      <c r="Z29" s="13">
        <f t="shared" si="8"/>
        <v>112</v>
      </c>
      <c r="AA29" s="13">
        <f t="shared" si="3"/>
        <v>2171</v>
      </c>
    </row>
    <row r="30" ht="12.75" customHeight="1">
      <c r="A30" s="35"/>
      <c r="B30" s="28"/>
      <c r="C30" s="36"/>
      <c r="D30" s="13" t="s">
        <v>14</v>
      </c>
      <c r="E30" s="13">
        <f t="shared" ref="E30:Z30" si="9">SUM(E28:E29)</f>
        <v>177</v>
      </c>
      <c r="F30" s="13">
        <f t="shared" si="9"/>
        <v>182</v>
      </c>
      <c r="G30" s="13">
        <f t="shared" si="9"/>
        <v>170</v>
      </c>
      <c r="H30" s="13">
        <f t="shared" si="9"/>
        <v>201</v>
      </c>
      <c r="I30" s="13">
        <f t="shared" si="9"/>
        <v>181</v>
      </c>
      <c r="J30" s="13">
        <f t="shared" si="9"/>
        <v>181</v>
      </c>
      <c r="K30" s="13">
        <f t="shared" si="9"/>
        <v>184</v>
      </c>
      <c r="L30" s="13">
        <f t="shared" si="9"/>
        <v>233</v>
      </c>
      <c r="M30" s="13">
        <f t="shared" si="9"/>
        <v>210</v>
      </c>
      <c r="N30" s="13">
        <f t="shared" si="9"/>
        <v>212</v>
      </c>
      <c r="O30" s="13">
        <f t="shared" si="9"/>
        <v>210</v>
      </c>
      <c r="P30" s="13">
        <f t="shared" si="9"/>
        <v>186</v>
      </c>
      <c r="Q30" s="13">
        <f t="shared" si="9"/>
        <v>192</v>
      </c>
      <c r="R30" s="13">
        <f t="shared" si="9"/>
        <v>195</v>
      </c>
      <c r="S30" s="13">
        <f t="shared" si="9"/>
        <v>207</v>
      </c>
      <c r="T30" s="13">
        <f t="shared" si="9"/>
        <v>167</v>
      </c>
      <c r="U30" s="13">
        <f t="shared" si="9"/>
        <v>193</v>
      </c>
      <c r="V30" s="13">
        <f t="shared" si="9"/>
        <v>167</v>
      </c>
      <c r="W30" s="13">
        <f t="shared" si="9"/>
        <v>164</v>
      </c>
      <c r="X30" s="13">
        <f t="shared" si="9"/>
        <v>196</v>
      </c>
      <c r="Y30" s="13">
        <f t="shared" si="9"/>
        <v>169</v>
      </c>
      <c r="Z30" s="13">
        <f t="shared" si="9"/>
        <v>218</v>
      </c>
      <c r="AA30" s="13">
        <f t="shared" si="3"/>
        <v>4195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5"/>
    </row>
    <row r="33" ht="12.75" customHeight="1">
      <c r="A33" s="19">
        <v>1.0</v>
      </c>
      <c r="B33" s="20" t="s">
        <v>27</v>
      </c>
      <c r="C33" s="15"/>
      <c r="D33" s="16"/>
      <c r="E33" s="73">
        <v>226.0</v>
      </c>
      <c r="F33" s="73">
        <v>235.0</v>
      </c>
      <c r="G33" s="73">
        <v>230.0</v>
      </c>
      <c r="H33" s="73">
        <v>249.0</v>
      </c>
      <c r="I33" s="73">
        <v>254.0</v>
      </c>
      <c r="J33" s="73">
        <v>246.0</v>
      </c>
      <c r="K33" s="73">
        <v>259.0</v>
      </c>
      <c r="L33" s="73">
        <v>299.0</v>
      </c>
      <c r="M33" s="73">
        <v>296.0</v>
      </c>
      <c r="N33" s="73">
        <v>273.0</v>
      </c>
      <c r="O33" s="73">
        <v>291.0</v>
      </c>
      <c r="P33" s="73">
        <v>255.0</v>
      </c>
      <c r="Q33" s="73">
        <v>246.0</v>
      </c>
      <c r="R33" s="73">
        <v>261.0</v>
      </c>
      <c r="S33" s="73">
        <v>265.0</v>
      </c>
      <c r="T33" s="73">
        <v>219.0</v>
      </c>
      <c r="U33" s="73">
        <v>272.0</v>
      </c>
      <c r="V33" s="73">
        <v>216.0</v>
      </c>
      <c r="W33" s="73">
        <v>213.0</v>
      </c>
      <c r="X33" s="73">
        <v>243.0</v>
      </c>
      <c r="Y33" s="73">
        <v>223.0</v>
      </c>
      <c r="Z33" s="73">
        <v>281.0</v>
      </c>
      <c r="AA33" s="13">
        <f t="shared" ref="AA33:AA36" si="10">SUM(E33:Z33)</f>
        <v>5552</v>
      </c>
    </row>
    <row r="34" ht="12.75" customHeight="1">
      <c r="A34" s="19">
        <v>2.0</v>
      </c>
      <c r="B34" s="20" t="s">
        <v>28</v>
      </c>
      <c r="C34" s="15"/>
      <c r="D34" s="16"/>
      <c r="E34" s="77">
        <v>177.0</v>
      </c>
      <c r="F34" s="77">
        <v>182.0</v>
      </c>
      <c r="G34" s="77">
        <v>170.0</v>
      </c>
      <c r="H34" s="77">
        <v>201.0</v>
      </c>
      <c r="I34" s="77">
        <v>181.0</v>
      </c>
      <c r="J34" s="77">
        <v>181.0</v>
      </c>
      <c r="K34" s="77">
        <v>184.0</v>
      </c>
      <c r="L34" s="77">
        <v>233.0</v>
      </c>
      <c r="M34" s="77">
        <v>210.0</v>
      </c>
      <c r="N34" s="77">
        <v>212.0</v>
      </c>
      <c r="O34" s="77">
        <v>210.0</v>
      </c>
      <c r="P34" s="77">
        <v>186.0</v>
      </c>
      <c r="Q34" s="77">
        <v>192.0</v>
      </c>
      <c r="R34" s="77">
        <v>195.0</v>
      </c>
      <c r="S34" s="77">
        <v>207.0</v>
      </c>
      <c r="T34" s="77">
        <v>167.0</v>
      </c>
      <c r="U34" s="77">
        <v>193.0</v>
      </c>
      <c r="V34" s="77">
        <v>167.0</v>
      </c>
      <c r="W34" s="77">
        <v>164.0</v>
      </c>
      <c r="X34" s="77">
        <v>196.0</v>
      </c>
      <c r="Y34" s="77">
        <v>169.0</v>
      </c>
      <c r="Z34" s="77">
        <v>218.0</v>
      </c>
      <c r="AA34" s="13">
        <f t="shared" si="10"/>
        <v>4195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0.0</v>
      </c>
      <c r="L35" s="73">
        <v>0.0</v>
      </c>
      <c r="M35" s="73">
        <v>2.0</v>
      </c>
      <c r="N35" s="73">
        <v>0.0</v>
      </c>
      <c r="O35" s="73">
        <v>0.0</v>
      </c>
      <c r="P35" s="73">
        <v>3.0</v>
      </c>
      <c r="Q35" s="73">
        <v>0.0</v>
      </c>
      <c r="R35" s="73">
        <v>1.0</v>
      </c>
      <c r="S35" s="73">
        <v>0.0</v>
      </c>
      <c r="T35" s="73">
        <v>1.0</v>
      </c>
      <c r="U35" s="73">
        <v>0.0</v>
      </c>
      <c r="V35" s="73">
        <v>0.0</v>
      </c>
      <c r="W35" s="73">
        <v>2.0</v>
      </c>
      <c r="X35" s="73">
        <v>0.0</v>
      </c>
      <c r="Y35" s="73">
        <v>0.0</v>
      </c>
      <c r="Z35" s="73">
        <v>0.0</v>
      </c>
      <c r="AA35" s="13">
        <f t="shared" si="10"/>
        <v>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49</v>
      </c>
      <c r="F36" s="13">
        <f t="shared" si="11"/>
        <v>53</v>
      </c>
      <c r="G36" s="13">
        <f t="shared" si="11"/>
        <v>60</v>
      </c>
      <c r="H36" s="13">
        <f t="shared" si="11"/>
        <v>48</v>
      </c>
      <c r="I36" s="13">
        <f t="shared" si="11"/>
        <v>73</v>
      </c>
      <c r="J36" s="13">
        <f t="shared" si="11"/>
        <v>65</v>
      </c>
      <c r="K36" s="13">
        <f t="shared" si="11"/>
        <v>75</v>
      </c>
      <c r="L36" s="13">
        <f t="shared" si="11"/>
        <v>66</v>
      </c>
      <c r="M36" s="13">
        <f t="shared" si="11"/>
        <v>84</v>
      </c>
      <c r="N36" s="13">
        <f t="shared" si="11"/>
        <v>61</v>
      </c>
      <c r="O36" s="13">
        <f t="shared" si="11"/>
        <v>81</v>
      </c>
      <c r="P36" s="13">
        <f t="shared" si="11"/>
        <v>66</v>
      </c>
      <c r="Q36" s="13">
        <f t="shared" si="11"/>
        <v>54</v>
      </c>
      <c r="R36" s="13">
        <f t="shared" si="11"/>
        <v>65</v>
      </c>
      <c r="S36" s="13">
        <f t="shared" si="11"/>
        <v>58</v>
      </c>
      <c r="T36" s="13">
        <f t="shared" si="11"/>
        <v>51</v>
      </c>
      <c r="U36" s="13">
        <f t="shared" si="11"/>
        <v>79</v>
      </c>
      <c r="V36" s="13">
        <f t="shared" si="11"/>
        <v>49</v>
      </c>
      <c r="W36" s="13">
        <f t="shared" si="11"/>
        <v>47</v>
      </c>
      <c r="X36" s="13">
        <f t="shared" si="11"/>
        <v>47</v>
      </c>
      <c r="Y36" s="13">
        <f t="shared" si="11"/>
        <v>54</v>
      </c>
      <c r="Z36" s="13">
        <f t="shared" si="11"/>
        <v>63</v>
      </c>
      <c r="AA36" s="13">
        <f t="shared" si="10"/>
        <v>1348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73">
        <v>0.0</v>
      </c>
      <c r="V39" s="73">
        <v>0.0</v>
      </c>
      <c r="W39" s="73">
        <v>0.0</v>
      </c>
      <c r="X39" s="73">
        <v>0.0</v>
      </c>
      <c r="Y39" s="73">
        <v>0.0</v>
      </c>
      <c r="Z39" s="73">
        <v>0.0</v>
      </c>
      <c r="AA39" s="13">
        <f t="shared" ref="AA39:AA41" si="12">SUM(E39:Z39)</f>
        <v>0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1.0</v>
      </c>
      <c r="T40" s="73">
        <v>0.0</v>
      </c>
      <c r="U40" s="73">
        <v>0.0</v>
      </c>
      <c r="V40" s="73">
        <v>0.0</v>
      </c>
      <c r="W40" s="73">
        <v>0.0</v>
      </c>
      <c r="X40" s="73">
        <v>0.0</v>
      </c>
      <c r="Y40" s="73">
        <v>0.0</v>
      </c>
      <c r="Z40" s="73">
        <v>0.0</v>
      </c>
      <c r="AA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Z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74"/>
      <c r="Q42" s="19"/>
      <c r="R42" s="74"/>
      <c r="S42" s="19"/>
      <c r="T42" s="74"/>
      <c r="U42" s="19"/>
      <c r="V42" s="74"/>
      <c r="W42" s="19"/>
      <c r="X42" s="74"/>
      <c r="Y42" s="19"/>
      <c r="Z42" s="74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76"/>
      <c r="S43" s="13"/>
      <c r="T43" s="76"/>
      <c r="U43" s="13"/>
      <c r="V43" s="76"/>
      <c r="W43" s="13"/>
      <c r="X43" s="76"/>
      <c r="Y43" s="13"/>
      <c r="Z43" s="76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74"/>
      <c r="S44" s="19"/>
      <c r="T44" s="74"/>
      <c r="U44" s="19"/>
      <c r="V44" s="74"/>
      <c r="W44" s="19"/>
      <c r="X44" s="74"/>
      <c r="Y44" s="19"/>
      <c r="Z44" s="74"/>
      <c r="AA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3.0</v>
      </c>
      <c r="F45" s="73">
        <v>9.0</v>
      </c>
      <c r="G45" s="73">
        <v>6.0</v>
      </c>
      <c r="H45" s="73">
        <v>12.0</v>
      </c>
      <c r="I45" s="73">
        <v>8.0</v>
      </c>
      <c r="J45" s="73">
        <v>8.0</v>
      </c>
      <c r="K45" s="73">
        <v>2.0</v>
      </c>
      <c r="L45" s="73">
        <v>4.0</v>
      </c>
      <c r="M45" s="73">
        <v>8.0</v>
      </c>
      <c r="N45" s="73">
        <v>7.0</v>
      </c>
      <c r="O45" s="73">
        <v>5.0</v>
      </c>
      <c r="P45" s="73">
        <v>3.0</v>
      </c>
      <c r="Q45" s="73">
        <v>4.0</v>
      </c>
      <c r="R45" s="73">
        <v>3.0</v>
      </c>
      <c r="S45" s="73">
        <v>1.0</v>
      </c>
      <c r="T45" s="73">
        <v>5.0</v>
      </c>
      <c r="U45" s="73">
        <v>1.0</v>
      </c>
      <c r="V45" s="73">
        <v>3.0</v>
      </c>
      <c r="W45" s="73">
        <v>7.0</v>
      </c>
      <c r="X45" s="73">
        <v>10.0</v>
      </c>
      <c r="Y45" s="73">
        <v>15.0</v>
      </c>
      <c r="Z45" s="73">
        <v>11.0</v>
      </c>
      <c r="AA45" s="13">
        <f t="shared" ref="AA45:AA54" si="14">SUM(E45:Z45)</f>
        <v>135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5.0</v>
      </c>
      <c r="F46" s="73">
        <v>9.0</v>
      </c>
      <c r="G46" s="73">
        <v>6.0</v>
      </c>
      <c r="H46" s="73">
        <v>51.0</v>
      </c>
      <c r="I46" s="73">
        <v>25.0</v>
      </c>
      <c r="J46" s="73">
        <v>12.0</v>
      </c>
      <c r="K46" s="73">
        <v>15.0</v>
      </c>
      <c r="L46" s="73">
        <v>16.0</v>
      </c>
      <c r="M46" s="73">
        <v>2.0</v>
      </c>
      <c r="N46" s="73">
        <v>2.0</v>
      </c>
      <c r="O46" s="73">
        <v>9.0</v>
      </c>
      <c r="P46" s="73">
        <v>7.0</v>
      </c>
      <c r="Q46" s="73">
        <v>5.0</v>
      </c>
      <c r="R46" s="73">
        <v>0.0</v>
      </c>
      <c r="S46" s="73">
        <v>10.0</v>
      </c>
      <c r="T46" s="73">
        <v>9.0</v>
      </c>
      <c r="U46" s="73">
        <v>2.0</v>
      </c>
      <c r="V46" s="73">
        <v>23.0</v>
      </c>
      <c r="W46" s="73">
        <v>30.0</v>
      </c>
      <c r="X46" s="73">
        <v>26.0</v>
      </c>
      <c r="Y46" s="73">
        <v>39.0</v>
      </c>
      <c r="Z46" s="73">
        <v>25.0</v>
      </c>
      <c r="AA46" s="13">
        <f t="shared" si="14"/>
        <v>328</v>
      </c>
    </row>
    <row r="47" ht="12.75" customHeight="1">
      <c r="A47" s="18"/>
      <c r="B47" s="49"/>
      <c r="C47" s="50" t="s">
        <v>41</v>
      </c>
      <c r="D47" s="51"/>
      <c r="E47" s="73">
        <v>0.0</v>
      </c>
      <c r="F47" s="73">
        <v>1.0</v>
      </c>
      <c r="G47" s="73">
        <v>1.0</v>
      </c>
      <c r="H47" s="73">
        <v>1.0</v>
      </c>
      <c r="I47" s="73">
        <v>2.0</v>
      </c>
      <c r="J47" s="73">
        <v>0.0</v>
      </c>
      <c r="K47" s="73">
        <v>3.0</v>
      </c>
      <c r="L47" s="73">
        <v>0.0</v>
      </c>
      <c r="M47" s="73">
        <v>0.0</v>
      </c>
      <c r="N47" s="73">
        <v>0.0</v>
      </c>
      <c r="O47" s="73">
        <v>1.0</v>
      </c>
      <c r="P47" s="73">
        <v>2.0</v>
      </c>
      <c r="Q47" s="73">
        <v>1.0</v>
      </c>
      <c r="R47" s="73">
        <v>0.0</v>
      </c>
      <c r="S47" s="73">
        <v>0.0</v>
      </c>
      <c r="T47" s="73">
        <v>1.0</v>
      </c>
      <c r="U47" s="73">
        <v>0.0</v>
      </c>
      <c r="V47" s="73">
        <v>0.0</v>
      </c>
      <c r="W47" s="73">
        <v>2.0</v>
      </c>
      <c r="X47" s="73">
        <v>1.0</v>
      </c>
      <c r="Y47" s="73">
        <v>2.0</v>
      </c>
      <c r="Z47" s="73">
        <v>2.0</v>
      </c>
      <c r="AA47" s="13">
        <f t="shared" si="14"/>
        <v>20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0.0</v>
      </c>
      <c r="G48" s="73">
        <v>0.0</v>
      </c>
      <c r="H48" s="73">
        <v>1.0</v>
      </c>
      <c r="I48" s="73">
        <v>0.0</v>
      </c>
      <c r="J48" s="73">
        <v>0.0</v>
      </c>
      <c r="K48" s="73">
        <v>0.0</v>
      </c>
      <c r="L48" s="73">
        <v>3.0</v>
      </c>
      <c r="M48" s="73">
        <v>0.0</v>
      </c>
      <c r="N48" s="73">
        <v>0.0</v>
      </c>
      <c r="O48" s="73">
        <v>0.0</v>
      </c>
      <c r="P48" s="73">
        <v>0.0</v>
      </c>
      <c r="Q48" s="73">
        <v>0.0</v>
      </c>
      <c r="R48" s="73">
        <v>0.0</v>
      </c>
      <c r="S48" s="73">
        <v>0.0</v>
      </c>
      <c r="T48" s="73">
        <v>0.0</v>
      </c>
      <c r="U48" s="73">
        <v>1.0</v>
      </c>
      <c r="V48" s="73">
        <v>1.0</v>
      </c>
      <c r="W48" s="73">
        <v>1.0</v>
      </c>
      <c r="X48" s="73">
        <v>0.0</v>
      </c>
      <c r="Y48" s="73">
        <v>1.0</v>
      </c>
      <c r="Z48" s="73">
        <v>1.0</v>
      </c>
      <c r="AA48" s="13">
        <f t="shared" si="14"/>
        <v>9</v>
      </c>
    </row>
    <row r="49" ht="12.75" customHeight="1">
      <c r="A49" s="18"/>
      <c r="B49" s="49"/>
      <c r="C49" s="50" t="s">
        <v>43</v>
      </c>
      <c r="D49" s="51"/>
      <c r="E49" s="73">
        <v>8.0</v>
      </c>
      <c r="F49" s="73">
        <v>0.0</v>
      </c>
      <c r="G49" s="73">
        <v>0.0</v>
      </c>
      <c r="H49" s="73">
        <v>3.0</v>
      </c>
      <c r="I49" s="73">
        <v>2.0</v>
      </c>
      <c r="J49" s="73">
        <v>0.0</v>
      </c>
      <c r="K49" s="73">
        <v>2.0</v>
      </c>
      <c r="L49" s="73">
        <v>3.0</v>
      </c>
      <c r="M49" s="73">
        <v>0.0</v>
      </c>
      <c r="N49" s="73">
        <v>1.0</v>
      </c>
      <c r="O49" s="73">
        <v>1.0</v>
      </c>
      <c r="P49" s="73">
        <v>1.0</v>
      </c>
      <c r="Q49" s="73">
        <v>0.0</v>
      </c>
      <c r="R49" s="73">
        <v>0.0</v>
      </c>
      <c r="S49" s="73">
        <v>1.0</v>
      </c>
      <c r="T49" s="73">
        <v>0.0</v>
      </c>
      <c r="U49" s="73">
        <v>0.0</v>
      </c>
      <c r="V49" s="73">
        <v>2.0</v>
      </c>
      <c r="W49" s="73">
        <v>1.0</v>
      </c>
      <c r="X49" s="73">
        <v>0.0</v>
      </c>
      <c r="Y49" s="73">
        <v>2.0</v>
      </c>
      <c r="Z49" s="73">
        <v>0.0</v>
      </c>
      <c r="AA49" s="13">
        <f t="shared" si="14"/>
        <v>27</v>
      </c>
    </row>
    <row r="50" ht="12.75" customHeight="1">
      <c r="A50" s="18"/>
      <c r="B50" s="49"/>
      <c r="C50" s="50" t="s">
        <v>44</v>
      </c>
      <c r="D50" s="51"/>
      <c r="E50" s="73">
        <v>0.0</v>
      </c>
      <c r="F50" s="73">
        <v>0.0</v>
      </c>
      <c r="G50" s="73">
        <v>1.0</v>
      </c>
      <c r="H50" s="73">
        <v>1.0</v>
      </c>
      <c r="I50" s="73">
        <v>1.0</v>
      </c>
      <c r="J50" s="73">
        <v>0.0</v>
      </c>
      <c r="K50" s="73">
        <v>0.0</v>
      </c>
      <c r="L50" s="73">
        <v>1.0</v>
      </c>
      <c r="M50" s="73">
        <v>0.0</v>
      </c>
      <c r="N50" s="73">
        <v>0.0</v>
      </c>
      <c r="O50" s="73">
        <v>0.0</v>
      </c>
      <c r="P50" s="73">
        <v>0.0</v>
      </c>
      <c r="Q50" s="73">
        <v>1.0</v>
      </c>
      <c r="R50" s="73">
        <v>0.0</v>
      </c>
      <c r="S50" s="73">
        <v>1.0</v>
      </c>
      <c r="T50" s="73">
        <v>0.0</v>
      </c>
      <c r="U50" s="73">
        <v>0.0</v>
      </c>
      <c r="V50" s="73">
        <v>0.0</v>
      </c>
      <c r="W50" s="73">
        <v>0.0</v>
      </c>
      <c r="X50" s="73">
        <v>0.0</v>
      </c>
      <c r="Y50" s="73">
        <v>1.0</v>
      </c>
      <c r="Z50" s="73">
        <v>0.0</v>
      </c>
      <c r="AA50" s="13">
        <f t="shared" si="14"/>
        <v>7</v>
      </c>
    </row>
    <row r="51" ht="12.75" customHeight="1">
      <c r="A51" s="18"/>
      <c r="B51" s="49"/>
      <c r="C51" s="50" t="s">
        <v>45</v>
      </c>
      <c r="D51" s="51"/>
      <c r="E51" s="73">
        <v>0.0</v>
      </c>
      <c r="F51" s="73">
        <v>0.0</v>
      </c>
      <c r="G51" s="73">
        <v>0.0</v>
      </c>
      <c r="H51" s="73">
        <v>3.0</v>
      </c>
      <c r="I51" s="73">
        <v>1.0</v>
      </c>
      <c r="J51" s="73">
        <v>0.0</v>
      </c>
      <c r="K51" s="73">
        <v>0.0</v>
      </c>
      <c r="L51" s="73">
        <v>1.0</v>
      </c>
      <c r="M51" s="73">
        <v>1.0</v>
      </c>
      <c r="N51" s="73">
        <v>3.0</v>
      </c>
      <c r="O51" s="73">
        <v>0.0</v>
      </c>
      <c r="P51" s="73">
        <v>1.0</v>
      </c>
      <c r="Q51" s="73">
        <v>1.0</v>
      </c>
      <c r="R51" s="73">
        <v>1.0</v>
      </c>
      <c r="S51" s="73">
        <v>0.0</v>
      </c>
      <c r="T51" s="73">
        <v>1.0</v>
      </c>
      <c r="U51" s="73">
        <v>1.0</v>
      </c>
      <c r="V51" s="73">
        <v>0.0</v>
      </c>
      <c r="W51" s="73">
        <v>2.0</v>
      </c>
      <c r="X51" s="73">
        <v>2.0</v>
      </c>
      <c r="Y51" s="73">
        <v>0.0</v>
      </c>
      <c r="Z51" s="73">
        <v>1.0</v>
      </c>
      <c r="AA51" s="13">
        <f t="shared" si="14"/>
        <v>19</v>
      </c>
    </row>
    <row r="52" ht="12.75" customHeight="1">
      <c r="A52" s="18"/>
      <c r="B52" s="49"/>
      <c r="C52" s="50" t="s">
        <v>46</v>
      </c>
      <c r="D52" s="51"/>
      <c r="E52" s="73">
        <v>0.0</v>
      </c>
      <c r="F52" s="73">
        <v>0.0</v>
      </c>
      <c r="G52" s="73">
        <v>0.0</v>
      </c>
      <c r="H52" s="73">
        <v>0.0</v>
      </c>
      <c r="I52" s="73">
        <v>1.0</v>
      </c>
      <c r="J52" s="73">
        <v>0.0</v>
      </c>
      <c r="K52" s="73">
        <v>0.0</v>
      </c>
      <c r="L52" s="73">
        <v>0.0</v>
      </c>
      <c r="M52" s="73">
        <v>0.0</v>
      </c>
      <c r="N52" s="73">
        <v>0.0</v>
      </c>
      <c r="O52" s="73">
        <v>0.0</v>
      </c>
      <c r="P52" s="73">
        <v>0.0</v>
      </c>
      <c r="Q52" s="73">
        <v>0.0</v>
      </c>
      <c r="R52" s="73">
        <v>0.0</v>
      </c>
      <c r="S52" s="73">
        <v>0.0</v>
      </c>
      <c r="T52" s="73">
        <v>0.0</v>
      </c>
      <c r="U52" s="73">
        <v>0.0</v>
      </c>
      <c r="V52" s="73">
        <v>0.0</v>
      </c>
      <c r="W52" s="73">
        <v>1.0</v>
      </c>
      <c r="X52" s="73">
        <v>0.0</v>
      </c>
      <c r="Y52" s="73">
        <v>1.0</v>
      </c>
      <c r="Z52" s="73">
        <v>2.0</v>
      </c>
      <c r="AA52" s="13">
        <f t="shared" si="14"/>
        <v>5</v>
      </c>
    </row>
    <row r="53" ht="12.75" customHeight="1">
      <c r="A53" s="18"/>
      <c r="B53" s="49"/>
      <c r="C53" s="50" t="s">
        <v>47</v>
      </c>
      <c r="D53" s="56"/>
      <c r="E53" s="73">
        <v>0.0</v>
      </c>
      <c r="F53" s="73">
        <v>0.0</v>
      </c>
      <c r="G53" s="73">
        <v>0.0</v>
      </c>
      <c r="H53" s="73">
        <v>0.0</v>
      </c>
      <c r="I53" s="73">
        <v>0.0</v>
      </c>
      <c r="J53" s="73">
        <v>0.0</v>
      </c>
      <c r="K53" s="73">
        <v>0.0</v>
      </c>
      <c r="L53" s="73">
        <v>0.0</v>
      </c>
      <c r="M53" s="73">
        <v>0.0</v>
      </c>
      <c r="N53" s="73">
        <v>0.0</v>
      </c>
      <c r="O53" s="73">
        <v>0.0</v>
      </c>
      <c r="P53" s="73">
        <v>0.0</v>
      </c>
      <c r="Q53" s="73">
        <v>0.0</v>
      </c>
      <c r="R53" s="73">
        <v>0.0</v>
      </c>
      <c r="S53" s="73">
        <v>1.0</v>
      </c>
      <c r="T53" s="73">
        <v>1.0</v>
      </c>
      <c r="U53" s="73">
        <v>0.0</v>
      </c>
      <c r="V53" s="73">
        <v>0.0</v>
      </c>
      <c r="W53" s="73">
        <v>1.0</v>
      </c>
      <c r="X53" s="73">
        <v>0.0</v>
      </c>
      <c r="Y53" s="73">
        <v>0.0</v>
      </c>
      <c r="Z53" s="73">
        <v>0.0</v>
      </c>
      <c r="AA53" s="13">
        <f t="shared" si="14"/>
        <v>3</v>
      </c>
    </row>
    <row r="54" ht="12.75" customHeight="1">
      <c r="A54" s="18"/>
      <c r="B54" s="49"/>
      <c r="C54" s="50" t="s">
        <v>48</v>
      </c>
      <c r="D54" s="51"/>
      <c r="E54" s="73">
        <v>0.0</v>
      </c>
      <c r="F54" s="73">
        <v>0.0</v>
      </c>
      <c r="G54" s="73">
        <v>0.0</v>
      </c>
      <c r="H54" s="73">
        <v>1.0</v>
      </c>
      <c r="I54" s="73">
        <v>1.0</v>
      </c>
      <c r="J54" s="73">
        <v>1.0</v>
      </c>
      <c r="K54" s="73">
        <v>0.0</v>
      </c>
      <c r="L54" s="73">
        <v>3.0</v>
      </c>
      <c r="M54" s="73">
        <v>1.0</v>
      </c>
      <c r="N54" s="73">
        <v>0.0</v>
      </c>
      <c r="O54" s="73">
        <v>0.0</v>
      </c>
      <c r="P54" s="73">
        <v>0.0</v>
      </c>
      <c r="Q54" s="73">
        <v>1.0</v>
      </c>
      <c r="R54" s="73">
        <v>0.0</v>
      </c>
      <c r="S54" s="73">
        <v>0.0</v>
      </c>
      <c r="T54" s="73">
        <v>0.0</v>
      </c>
      <c r="U54" s="73">
        <v>0.0</v>
      </c>
      <c r="V54" s="73">
        <v>0.0</v>
      </c>
      <c r="W54" s="73">
        <v>2.0</v>
      </c>
      <c r="X54" s="73">
        <v>1.0</v>
      </c>
      <c r="Y54" s="73">
        <v>4.0</v>
      </c>
      <c r="Z54" s="73">
        <v>1.0</v>
      </c>
      <c r="AA54" s="13">
        <f t="shared" si="14"/>
        <v>16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A55" si="15">SUM(E45:E54)</f>
        <v>16</v>
      </c>
      <c r="F55" s="13">
        <f t="shared" si="15"/>
        <v>19</v>
      </c>
      <c r="G55" s="13">
        <f t="shared" si="15"/>
        <v>14</v>
      </c>
      <c r="H55" s="13">
        <f t="shared" si="15"/>
        <v>73</v>
      </c>
      <c r="I55" s="13">
        <f t="shared" si="15"/>
        <v>41</v>
      </c>
      <c r="J55" s="13">
        <f t="shared" si="15"/>
        <v>21</v>
      </c>
      <c r="K55" s="13">
        <f t="shared" si="15"/>
        <v>22</v>
      </c>
      <c r="L55" s="13">
        <f t="shared" si="15"/>
        <v>31</v>
      </c>
      <c r="M55" s="13">
        <f t="shared" si="15"/>
        <v>12</v>
      </c>
      <c r="N55" s="13">
        <f t="shared" si="15"/>
        <v>13</v>
      </c>
      <c r="O55" s="13">
        <f t="shared" si="15"/>
        <v>16</v>
      </c>
      <c r="P55" s="13">
        <f t="shared" si="15"/>
        <v>14</v>
      </c>
      <c r="Q55" s="13">
        <f t="shared" si="15"/>
        <v>13</v>
      </c>
      <c r="R55" s="13">
        <f t="shared" si="15"/>
        <v>4</v>
      </c>
      <c r="S55" s="13">
        <f t="shared" si="15"/>
        <v>14</v>
      </c>
      <c r="T55" s="13">
        <f t="shared" si="15"/>
        <v>17</v>
      </c>
      <c r="U55" s="13">
        <f t="shared" si="15"/>
        <v>5</v>
      </c>
      <c r="V55" s="13">
        <f t="shared" si="15"/>
        <v>29</v>
      </c>
      <c r="W55" s="13">
        <f t="shared" si="15"/>
        <v>47</v>
      </c>
      <c r="X55" s="13">
        <f t="shared" si="15"/>
        <v>40</v>
      </c>
      <c r="Y55" s="13">
        <f t="shared" si="15"/>
        <v>65</v>
      </c>
      <c r="Z55" s="13">
        <f t="shared" si="15"/>
        <v>43</v>
      </c>
      <c r="AA55" s="13">
        <f t="shared" si="15"/>
        <v>569</v>
      </c>
    </row>
    <row r="56" ht="12.75" customHeight="1">
      <c r="A56" s="45"/>
      <c r="B56" s="44"/>
      <c r="C56" s="44"/>
      <c r="D56" s="44"/>
      <c r="E56" s="44"/>
      <c r="AA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2.0</v>
      </c>
      <c r="F57" s="73">
        <v>6.0</v>
      </c>
      <c r="G57" s="73">
        <v>7.0</v>
      </c>
      <c r="H57" s="73">
        <v>5.0</v>
      </c>
      <c r="I57" s="73">
        <v>2.0</v>
      </c>
      <c r="J57" s="73">
        <v>9.0</v>
      </c>
      <c r="K57" s="73">
        <v>8.0</v>
      </c>
      <c r="L57" s="73">
        <v>7.0</v>
      </c>
      <c r="M57" s="73">
        <v>8.0</v>
      </c>
      <c r="N57" s="73">
        <v>4.0</v>
      </c>
      <c r="O57" s="73">
        <v>9.0</v>
      </c>
      <c r="P57" s="73">
        <v>7.0</v>
      </c>
      <c r="Q57" s="73">
        <v>5.0</v>
      </c>
      <c r="R57" s="73">
        <v>6.0</v>
      </c>
      <c r="S57" s="73">
        <v>6.0</v>
      </c>
      <c r="T57" s="73">
        <v>10.0</v>
      </c>
      <c r="U57" s="73">
        <v>0.0</v>
      </c>
      <c r="V57" s="73">
        <v>3.0</v>
      </c>
      <c r="W57" s="73">
        <v>4.0</v>
      </c>
      <c r="X57" s="73">
        <v>8.0</v>
      </c>
      <c r="Y57" s="73">
        <v>5.0</v>
      </c>
      <c r="Z57" s="73">
        <v>7.0</v>
      </c>
      <c r="AA57" s="13">
        <f t="shared" ref="AA57:AA66" si="16">SUM(E57:Z57)</f>
        <v>128</v>
      </c>
    </row>
    <row r="58" ht="12.75" customHeight="1">
      <c r="A58" s="30" t="s">
        <v>39</v>
      </c>
      <c r="B58" s="49"/>
      <c r="C58" s="50" t="s">
        <v>51</v>
      </c>
      <c r="D58" s="51"/>
      <c r="E58" s="73">
        <v>7.0</v>
      </c>
      <c r="F58" s="73">
        <v>4.0</v>
      </c>
      <c r="G58" s="73">
        <v>6.0</v>
      </c>
      <c r="H58" s="73">
        <v>6.0</v>
      </c>
      <c r="I58" s="73">
        <v>6.0</v>
      </c>
      <c r="J58" s="73">
        <v>13.0</v>
      </c>
      <c r="K58" s="73">
        <v>9.0</v>
      </c>
      <c r="L58" s="73">
        <v>12.0</v>
      </c>
      <c r="M58" s="73">
        <v>8.0</v>
      </c>
      <c r="N58" s="73">
        <v>7.0</v>
      </c>
      <c r="O58" s="73">
        <v>8.0</v>
      </c>
      <c r="P58" s="73">
        <v>3.0</v>
      </c>
      <c r="Q58" s="73">
        <v>6.0</v>
      </c>
      <c r="R58" s="73">
        <v>5.0</v>
      </c>
      <c r="S58" s="73">
        <v>5.0</v>
      </c>
      <c r="T58" s="73">
        <v>11.0</v>
      </c>
      <c r="U58" s="73">
        <v>2.0</v>
      </c>
      <c r="V58" s="73">
        <v>4.0</v>
      </c>
      <c r="W58" s="73">
        <v>3.0</v>
      </c>
      <c r="X58" s="73">
        <v>7.0</v>
      </c>
      <c r="Y58" s="73">
        <v>5.0</v>
      </c>
      <c r="Z58" s="73">
        <v>4.0</v>
      </c>
      <c r="AA58" s="13">
        <f t="shared" si="16"/>
        <v>141</v>
      </c>
    </row>
    <row r="59" ht="12.75" customHeight="1">
      <c r="A59" s="18"/>
      <c r="B59" s="49"/>
      <c r="C59" s="50" t="s">
        <v>52</v>
      </c>
      <c r="D59" s="51"/>
      <c r="E59" s="73">
        <v>21.0</v>
      </c>
      <c r="F59" s="73">
        <v>8.0</v>
      </c>
      <c r="G59" s="73">
        <v>35.0</v>
      </c>
      <c r="H59" s="73">
        <v>9.0</v>
      </c>
      <c r="I59" s="73">
        <v>13.0</v>
      </c>
      <c r="J59" s="73">
        <v>49.0</v>
      </c>
      <c r="K59" s="73">
        <v>43.0</v>
      </c>
      <c r="L59" s="73">
        <v>20.0</v>
      </c>
      <c r="M59" s="73">
        <v>29.0</v>
      </c>
      <c r="N59" s="73">
        <v>12.0</v>
      </c>
      <c r="O59" s="73">
        <v>22.0</v>
      </c>
      <c r="P59" s="73">
        <v>3.0</v>
      </c>
      <c r="Q59" s="73">
        <v>13.0</v>
      </c>
      <c r="R59" s="73">
        <v>28.0</v>
      </c>
      <c r="S59" s="73">
        <v>10.0</v>
      </c>
      <c r="T59" s="73">
        <v>3.0</v>
      </c>
      <c r="U59" s="73">
        <v>2.0</v>
      </c>
      <c r="V59" s="73">
        <v>6.0</v>
      </c>
      <c r="W59" s="73">
        <v>9.0</v>
      </c>
      <c r="X59" s="73">
        <v>17.0</v>
      </c>
      <c r="Y59" s="73">
        <v>4.0</v>
      </c>
      <c r="Z59" s="73">
        <v>4.0</v>
      </c>
      <c r="AA59" s="13">
        <f t="shared" si="16"/>
        <v>360</v>
      </c>
    </row>
    <row r="60" ht="12.75" customHeight="1">
      <c r="A60" s="18"/>
      <c r="B60" s="49"/>
      <c r="C60" s="50" t="s">
        <v>53</v>
      </c>
      <c r="D60" s="51"/>
      <c r="E60" s="73">
        <v>0.0</v>
      </c>
      <c r="F60" s="73">
        <v>1.0</v>
      </c>
      <c r="G60" s="73">
        <v>1.0</v>
      </c>
      <c r="H60" s="73">
        <v>3.0</v>
      </c>
      <c r="I60" s="73">
        <v>0.0</v>
      </c>
      <c r="J60" s="73">
        <v>1.0</v>
      </c>
      <c r="K60" s="73">
        <v>1.0</v>
      </c>
      <c r="L60" s="73">
        <v>1.0</v>
      </c>
      <c r="M60" s="73">
        <v>3.0</v>
      </c>
      <c r="N60" s="73">
        <v>2.0</v>
      </c>
      <c r="O60" s="73">
        <v>0.0</v>
      </c>
      <c r="P60" s="73">
        <v>3.0</v>
      </c>
      <c r="Q60" s="73">
        <v>4.0</v>
      </c>
      <c r="R60" s="73">
        <v>1.0</v>
      </c>
      <c r="S60" s="73">
        <v>0.0</v>
      </c>
      <c r="T60" s="73">
        <v>1.0</v>
      </c>
      <c r="U60" s="73">
        <v>3.0</v>
      </c>
      <c r="V60" s="73">
        <v>0.0</v>
      </c>
      <c r="W60" s="73">
        <v>2.0</v>
      </c>
      <c r="X60" s="73">
        <v>0.0</v>
      </c>
      <c r="Y60" s="73">
        <v>1.0</v>
      </c>
      <c r="Z60" s="73">
        <v>2.0</v>
      </c>
      <c r="AA60" s="13">
        <f t="shared" si="16"/>
        <v>30</v>
      </c>
    </row>
    <row r="61" ht="12.75" customHeight="1">
      <c r="A61" s="18"/>
      <c r="B61" s="49"/>
      <c r="C61" s="50" t="s">
        <v>54</v>
      </c>
      <c r="D61" s="51"/>
      <c r="E61" s="73">
        <v>0.0</v>
      </c>
      <c r="F61" s="73">
        <v>3.0</v>
      </c>
      <c r="G61" s="73">
        <v>0.0</v>
      </c>
      <c r="H61" s="73">
        <v>3.0</v>
      </c>
      <c r="I61" s="73">
        <v>2.0</v>
      </c>
      <c r="J61" s="73">
        <v>3.0</v>
      </c>
      <c r="K61" s="73">
        <v>4.0</v>
      </c>
      <c r="L61" s="73">
        <v>2.0</v>
      </c>
      <c r="M61" s="73">
        <v>5.0</v>
      </c>
      <c r="N61" s="73">
        <v>2.0</v>
      </c>
      <c r="O61" s="73">
        <v>20.0</v>
      </c>
      <c r="P61" s="73">
        <v>1.0</v>
      </c>
      <c r="Q61" s="73">
        <v>1.0</v>
      </c>
      <c r="R61" s="73">
        <v>3.0</v>
      </c>
      <c r="S61" s="73">
        <v>2.0</v>
      </c>
      <c r="T61" s="73">
        <v>2.0</v>
      </c>
      <c r="U61" s="73">
        <v>1.0</v>
      </c>
      <c r="V61" s="73">
        <v>2.0</v>
      </c>
      <c r="W61" s="73">
        <v>5.0</v>
      </c>
      <c r="X61" s="73">
        <v>8.0</v>
      </c>
      <c r="Y61" s="73">
        <v>1.0</v>
      </c>
      <c r="Z61" s="73">
        <v>6.0</v>
      </c>
      <c r="AA61" s="13">
        <f t="shared" si="16"/>
        <v>76</v>
      </c>
    </row>
    <row r="62" ht="12.75" customHeight="1">
      <c r="A62" s="18"/>
      <c r="B62" s="49"/>
      <c r="C62" s="50" t="s">
        <v>55</v>
      </c>
      <c r="D62" s="51"/>
      <c r="E62" s="73">
        <v>0.0</v>
      </c>
      <c r="F62" s="73">
        <v>1.0</v>
      </c>
      <c r="G62" s="73">
        <v>3.0</v>
      </c>
      <c r="H62" s="73">
        <v>0.0</v>
      </c>
      <c r="I62" s="73">
        <v>1.0</v>
      </c>
      <c r="J62" s="73">
        <v>0.0</v>
      </c>
      <c r="K62" s="73">
        <v>0.0</v>
      </c>
      <c r="L62" s="73">
        <v>2.0</v>
      </c>
      <c r="M62" s="73">
        <v>0.0</v>
      </c>
      <c r="N62" s="73">
        <v>1.0</v>
      </c>
      <c r="O62" s="73">
        <v>1.0</v>
      </c>
      <c r="P62" s="73">
        <v>0.0</v>
      </c>
      <c r="Q62" s="73">
        <v>0.0</v>
      </c>
      <c r="R62" s="73">
        <v>3.0</v>
      </c>
      <c r="S62" s="73">
        <v>1.0</v>
      </c>
      <c r="T62" s="73">
        <v>1.0</v>
      </c>
      <c r="U62" s="73">
        <v>1.0</v>
      </c>
      <c r="V62" s="73">
        <v>0.0</v>
      </c>
      <c r="W62" s="73">
        <v>0.0</v>
      </c>
      <c r="X62" s="73">
        <v>1.0</v>
      </c>
      <c r="Y62" s="73">
        <v>0.0</v>
      </c>
      <c r="Z62" s="73">
        <v>2.0</v>
      </c>
      <c r="AA62" s="13">
        <f t="shared" si="16"/>
        <v>18</v>
      </c>
    </row>
    <row r="63" ht="12.75" customHeight="1">
      <c r="A63" s="18"/>
      <c r="B63" s="49"/>
      <c r="C63" s="50" t="s">
        <v>56</v>
      </c>
      <c r="D63" s="51"/>
      <c r="E63" s="73">
        <v>0.0</v>
      </c>
      <c r="F63" s="73">
        <v>0.0</v>
      </c>
      <c r="G63" s="73">
        <v>0.0</v>
      </c>
      <c r="H63" s="73">
        <v>0.0</v>
      </c>
      <c r="I63" s="73">
        <v>0.0</v>
      </c>
      <c r="J63" s="73">
        <v>1.0</v>
      </c>
      <c r="K63" s="73">
        <v>0.0</v>
      </c>
      <c r="L63" s="73">
        <v>2.0</v>
      </c>
      <c r="M63" s="73">
        <v>0.0</v>
      </c>
      <c r="N63" s="73">
        <v>3.0</v>
      </c>
      <c r="O63" s="73">
        <v>1.0</v>
      </c>
      <c r="P63" s="73">
        <v>1.0</v>
      </c>
      <c r="Q63" s="73">
        <v>1.0</v>
      </c>
      <c r="R63" s="73">
        <v>0.0</v>
      </c>
      <c r="S63" s="73">
        <v>1.0</v>
      </c>
      <c r="T63" s="73">
        <v>0.0</v>
      </c>
      <c r="U63" s="73">
        <v>0.0</v>
      </c>
      <c r="V63" s="73">
        <v>1.0</v>
      </c>
      <c r="W63" s="73">
        <v>2.0</v>
      </c>
      <c r="X63" s="73">
        <v>0.0</v>
      </c>
      <c r="Y63" s="73">
        <v>0.0</v>
      </c>
      <c r="Z63" s="73">
        <v>0.0</v>
      </c>
      <c r="AA63" s="13">
        <f t="shared" si="16"/>
        <v>13</v>
      </c>
    </row>
    <row r="64" ht="12.75" customHeight="1">
      <c r="A64" s="18"/>
      <c r="B64" s="49"/>
      <c r="C64" s="50" t="s">
        <v>57</v>
      </c>
      <c r="D64" s="51"/>
      <c r="E64" s="73">
        <v>0.0</v>
      </c>
      <c r="F64" s="73">
        <v>0.0</v>
      </c>
      <c r="G64" s="73">
        <v>0.0</v>
      </c>
      <c r="H64" s="73">
        <v>1.0</v>
      </c>
      <c r="I64" s="73">
        <v>0.0</v>
      </c>
      <c r="J64" s="73">
        <v>0.0</v>
      </c>
      <c r="K64" s="73">
        <v>0.0</v>
      </c>
      <c r="L64" s="73">
        <v>0.0</v>
      </c>
      <c r="M64" s="73">
        <v>0.0</v>
      </c>
      <c r="N64" s="73">
        <v>0.0</v>
      </c>
      <c r="O64" s="73">
        <v>0.0</v>
      </c>
      <c r="P64" s="73">
        <v>0.0</v>
      </c>
      <c r="Q64" s="73">
        <v>0.0</v>
      </c>
      <c r="R64" s="73">
        <v>0.0</v>
      </c>
      <c r="S64" s="73">
        <v>1.0</v>
      </c>
      <c r="T64" s="73">
        <v>1.0</v>
      </c>
      <c r="U64" s="73">
        <v>0.0</v>
      </c>
      <c r="V64" s="73">
        <v>0.0</v>
      </c>
      <c r="W64" s="73">
        <v>0.0</v>
      </c>
      <c r="X64" s="73">
        <v>0.0</v>
      </c>
      <c r="Y64" s="73">
        <v>2.0</v>
      </c>
      <c r="Z64" s="73">
        <v>0.0</v>
      </c>
      <c r="AA64" s="13">
        <f t="shared" si="16"/>
        <v>5</v>
      </c>
    </row>
    <row r="65" ht="12.75" customHeight="1">
      <c r="A65" s="18"/>
      <c r="B65" s="49"/>
      <c r="C65" s="50" t="s">
        <v>58</v>
      </c>
      <c r="D65" s="51"/>
      <c r="E65" s="73">
        <v>0.0</v>
      </c>
      <c r="F65" s="73">
        <v>0.0</v>
      </c>
      <c r="G65" s="73">
        <v>0.0</v>
      </c>
      <c r="H65" s="73">
        <v>0.0</v>
      </c>
      <c r="I65" s="73">
        <v>0.0</v>
      </c>
      <c r="J65" s="73">
        <v>0.0</v>
      </c>
      <c r="K65" s="73">
        <v>0.0</v>
      </c>
      <c r="L65" s="73">
        <v>0.0</v>
      </c>
      <c r="M65" s="73">
        <v>0.0</v>
      </c>
      <c r="N65" s="73">
        <v>0.0</v>
      </c>
      <c r="O65" s="73">
        <v>1.0</v>
      </c>
      <c r="P65" s="73">
        <v>0.0</v>
      </c>
      <c r="Q65" s="73">
        <v>0.0</v>
      </c>
      <c r="R65" s="73">
        <v>0.0</v>
      </c>
      <c r="S65" s="73">
        <v>1.0</v>
      </c>
      <c r="T65" s="73">
        <v>0.0</v>
      </c>
      <c r="U65" s="73">
        <v>0.0</v>
      </c>
      <c r="V65" s="73">
        <v>0.0</v>
      </c>
      <c r="W65" s="73">
        <v>0.0</v>
      </c>
      <c r="X65" s="73">
        <v>0.0</v>
      </c>
      <c r="Y65" s="73">
        <v>0.0</v>
      </c>
      <c r="Z65" s="73">
        <v>0.0</v>
      </c>
      <c r="AA65" s="13">
        <f t="shared" si="16"/>
        <v>2</v>
      </c>
    </row>
    <row r="66" ht="12.75" customHeight="1">
      <c r="A66" s="18"/>
      <c r="B66" s="49"/>
      <c r="C66" s="50" t="s">
        <v>59</v>
      </c>
      <c r="D66" s="51"/>
      <c r="E66" s="73">
        <v>0.0</v>
      </c>
      <c r="F66" s="73">
        <v>0.0</v>
      </c>
      <c r="G66" s="73">
        <v>0.0</v>
      </c>
      <c r="H66" s="73">
        <v>0.0</v>
      </c>
      <c r="I66" s="73">
        <v>0.0</v>
      </c>
      <c r="J66" s="73">
        <v>0.0</v>
      </c>
      <c r="K66" s="73">
        <v>0.0</v>
      </c>
      <c r="L66" s="73">
        <v>0.0</v>
      </c>
      <c r="M66" s="73">
        <v>1.0</v>
      </c>
      <c r="N66" s="73">
        <v>0.0</v>
      </c>
      <c r="O66" s="73">
        <v>0.0</v>
      </c>
      <c r="P66" s="73">
        <v>0.0</v>
      </c>
      <c r="Q66" s="73">
        <v>1.0</v>
      </c>
      <c r="R66" s="73">
        <v>0.0</v>
      </c>
      <c r="S66" s="73">
        <v>1.0</v>
      </c>
      <c r="T66" s="73">
        <v>0.0</v>
      </c>
      <c r="U66" s="73">
        <v>0.0</v>
      </c>
      <c r="V66" s="73">
        <v>0.0</v>
      </c>
      <c r="W66" s="73">
        <v>1.0</v>
      </c>
      <c r="X66" s="73">
        <v>1.0</v>
      </c>
      <c r="Y66" s="73">
        <v>0.0</v>
      </c>
      <c r="Z66" s="73">
        <v>0.0</v>
      </c>
      <c r="AA66" s="13">
        <f t="shared" si="16"/>
        <v>5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A67" si="17">SUM(E57:E66)</f>
        <v>30</v>
      </c>
      <c r="F67" s="13">
        <f t="shared" si="17"/>
        <v>23</v>
      </c>
      <c r="G67" s="13">
        <f t="shared" si="17"/>
        <v>52</v>
      </c>
      <c r="H67" s="13">
        <f t="shared" si="17"/>
        <v>27</v>
      </c>
      <c r="I67" s="13">
        <f t="shared" si="17"/>
        <v>24</v>
      </c>
      <c r="J67" s="13">
        <f t="shared" si="17"/>
        <v>76</v>
      </c>
      <c r="K67" s="13">
        <f t="shared" si="17"/>
        <v>65</v>
      </c>
      <c r="L67" s="13">
        <f t="shared" si="17"/>
        <v>46</v>
      </c>
      <c r="M67" s="13">
        <f t="shared" si="17"/>
        <v>54</v>
      </c>
      <c r="N67" s="13">
        <f t="shared" si="17"/>
        <v>31</v>
      </c>
      <c r="O67" s="13">
        <f t="shared" si="17"/>
        <v>62</v>
      </c>
      <c r="P67" s="13">
        <f t="shared" si="17"/>
        <v>18</v>
      </c>
      <c r="Q67" s="13">
        <f t="shared" si="17"/>
        <v>31</v>
      </c>
      <c r="R67" s="13">
        <f t="shared" si="17"/>
        <v>46</v>
      </c>
      <c r="S67" s="13">
        <f t="shared" si="17"/>
        <v>28</v>
      </c>
      <c r="T67" s="13">
        <f t="shared" si="17"/>
        <v>29</v>
      </c>
      <c r="U67" s="13">
        <f t="shared" si="17"/>
        <v>9</v>
      </c>
      <c r="V67" s="13">
        <f t="shared" si="17"/>
        <v>16</v>
      </c>
      <c r="W67" s="13">
        <f t="shared" si="17"/>
        <v>26</v>
      </c>
      <c r="X67" s="13">
        <f t="shared" si="17"/>
        <v>42</v>
      </c>
      <c r="Y67" s="13">
        <f t="shared" si="17"/>
        <v>18</v>
      </c>
      <c r="Z67" s="13">
        <f t="shared" si="17"/>
        <v>25</v>
      </c>
      <c r="AA67" s="13">
        <f t="shared" si="17"/>
        <v>778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6.0</v>
      </c>
      <c r="F69" s="73">
        <v>11.0</v>
      </c>
      <c r="G69" s="73">
        <v>2.0</v>
      </c>
      <c r="H69" s="73">
        <v>5.0</v>
      </c>
      <c r="I69" s="73">
        <v>6.0</v>
      </c>
      <c r="J69" s="73">
        <v>1.0</v>
      </c>
      <c r="K69" s="73">
        <v>8.0</v>
      </c>
      <c r="L69" s="73">
        <v>16.0</v>
      </c>
      <c r="M69" s="73">
        <v>25.0</v>
      </c>
      <c r="N69" s="73">
        <v>31.0</v>
      </c>
      <c r="O69" s="73">
        <v>6.0</v>
      </c>
      <c r="P69" s="73">
        <v>26.0</v>
      </c>
      <c r="Q69" s="73">
        <v>10.0</v>
      </c>
      <c r="R69" s="73">
        <v>18.0</v>
      </c>
      <c r="S69" s="73">
        <v>32.0</v>
      </c>
      <c r="T69" s="73">
        <v>16.0</v>
      </c>
      <c r="U69" s="73">
        <v>11.0</v>
      </c>
      <c r="V69" s="73">
        <v>13.0</v>
      </c>
      <c r="W69" s="73">
        <v>0.0</v>
      </c>
      <c r="X69" s="73">
        <v>13.0</v>
      </c>
      <c r="Y69" s="73">
        <v>7.0</v>
      </c>
      <c r="Z69" s="73">
        <v>15.0</v>
      </c>
      <c r="AA69" s="13">
        <f t="shared" ref="AA69:AA78" si="18">SUM(E69:Z69)</f>
        <v>278</v>
      </c>
    </row>
    <row r="70" ht="12.75" customHeight="1">
      <c r="A70" s="30" t="s">
        <v>39</v>
      </c>
      <c r="B70" s="49"/>
      <c r="C70" s="50" t="s">
        <v>61</v>
      </c>
      <c r="D70" s="51"/>
      <c r="E70" s="73">
        <v>4.0</v>
      </c>
      <c r="F70" s="73">
        <v>4.0</v>
      </c>
      <c r="G70" s="73">
        <v>3.0</v>
      </c>
      <c r="H70" s="73">
        <v>10.0</v>
      </c>
      <c r="I70" s="73">
        <v>9.0</v>
      </c>
      <c r="J70" s="73">
        <v>9.0</v>
      </c>
      <c r="K70" s="73">
        <v>4.0</v>
      </c>
      <c r="L70" s="73">
        <v>19.0</v>
      </c>
      <c r="M70" s="73">
        <v>6.0</v>
      </c>
      <c r="N70" s="73">
        <v>22.0</v>
      </c>
      <c r="O70" s="73">
        <v>5.0</v>
      </c>
      <c r="P70" s="73">
        <v>12.0</v>
      </c>
      <c r="Q70" s="73">
        <v>22.0</v>
      </c>
      <c r="R70" s="73">
        <v>10.0</v>
      </c>
      <c r="S70" s="73">
        <v>16.0</v>
      </c>
      <c r="T70" s="73">
        <v>19.0</v>
      </c>
      <c r="U70" s="73">
        <v>117.0</v>
      </c>
      <c r="V70" s="73">
        <v>42.0</v>
      </c>
      <c r="W70" s="73">
        <v>7.0</v>
      </c>
      <c r="X70" s="73">
        <v>3.0</v>
      </c>
      <c r="Y70" s="73">
        <v>6.0</v>
      </c>
      <c r="Z70" s="73">
        <v>7.0</v>
      </c>
      <c r="AA70" s="13">
        <f t="shared" si="18"/>
        <v>356</v>
      </c>
    </row>
    <row r="71" ht="12.75" customHeight="1">
      <c r="A71" s="18"/>
      <c r="B71" s="49"/>
      <c r="C71" s="50" t="s">
        <v>62</v>
      </c>
      <c r="D71" s="51"/>
      <c r="E71" s="73">
        <v>30.0</v>
      </c>
      <c r="F71" s="73">
        <v>29.0</v>
      </c>
      <c r="G71" s="73">
        <v>15.0</v>
      </c>
      <c r="H71" s="73">
        <v>3.0</v>
      </c>
      <c r="I71" s="73">
        <v>2.0</v>
      </c>
      <c r="J71" s="73">
        <v>0.0</v>
      </c>
      <c r="K71" s="73">
        <v>0.0</v>
      </c>
      <c r="L71" s="73">
        <v>6.0</v>
      </c>
      <c r="M71" s="73">
        <v>6.0</v>
      </c>
      <c r="N71" s="73">
        <v>5.0</v>
      </c>
      <c r="O71" s="73">
        <v>1.0</v>
      </c>
      <c r="P71" s="73">
        <v>3.0</v>
      </c>
      <c r="Q71" s="73">
        <v>3.0</v>
      </c>
      <c r="R71" s="73">
        <v>2.0</v>
      </c>
      <c r="S71" s="73">
        <v>5.0</v>
      </c>
      <c r="T71" s="73">
        <v>3.0</v>
      </c>
      <c r="U71" s="73">
        <v>3.0</v>
      </c>
      <c r="V71" s="73">
        <v>2.0</v>
      </c>
      <c r="W71" s="73">
        <v>0.0</v>
      </c>
      <c r="X71" s="73">
        <v>1.0</v>
      </c>
      <c r="Y71" s="73">
        <v>5.0</v>
      </c>
      <c r="Z71" s="73">
        <v>4.0</v>
      </c>
      <c r="AA71" s="13">
        <f t="shared" si="18"/>
        <v>128</v>
      </c>
    </row>
    <row r="72" ht="12.75" customHeight="1">
      <c r="A72" s="18"/>
      <c r="B72" s="49"/>
      <c r="C72" s="50" t="s">
        <v>63</v>
      </c>
      <c r="D72" s="51"/>
      <c r="E72" s="73">
        <v>1.0</v>
      </c>
      <c r="F72" s="73">
        <v>0.0</v>
      </c>
      <c r="G72" s="73">
        <v>2.0</v>
      </c>
      <c r="H72" s="73">
        <v>4.0</v>
      </c>
      <c r="I72" s="73">
        <v>1.0</v>
      </c>
      <c r="J72" s="73">
        <v>1.0</v>
      </c>
      <c r="K72" s="73">
        <v>4.0</v>
      </c>
      <c r="L72" s="73">
        <v>8.0</v>
      </c>
      <c r="M72" s="73">
        <v>9.0</v>
      </c>
      <c r="N72" s="73">
        <v>15.0</v>
      </c>
      <c r="O72" s="73">
        <v>0.0</v>
      </c>
      <c r="P72" s="73">
        <v>9.0</v>
      </c>
      <c r="Q72" s="73">
        <v>12.0</v>
      </c>
      <c r="R72" s="73">
        <v>5.0</v>
      </c>
      <c r="S72" s="73">
        <v>8.0</v>
      </c>
      <c r="T72" s="73">
        <v>6.0</v>
      </c>
      <c r="U72" s="73">
        <v>3.0</v>
      </c>
      <c r="V72" s="73">
        <v>2.0</v>
      </c>
      <c r="W72" s="73">
        <v>3.0</v>
      </c>
      <c r="X72" s="73">
        <v>3.0</v>
      </c>
      <c r="Y72" s="73">
        <v>1.0</v>
      </c>
      <c r="Z72" s="73">
        <v>7.0</v>
      </c>
      <c r="AA72" s="13">
        <f t="shared" si="18"/>
        <v>104</v>
      </c>
    </row>
    <row r="73" ht="12.75" customHeight="1">
      <c r="A73" s="18"/>
      <c r="B73" s="49"/>
      <c r="C73" s="50" t="s">
        <v>64</v>
      </c>
      <c r="D73" s="51"/>
      <c r="E73" s="73">
        <v>2.0</v>
      </c>
      <c r="F73" s="73">
        <v>0.0</v>
      </c>
      <c r="G73" s="73">
        <v>1.0</v>
      </c>
      <c r="H73" s="73">
        <v>2.0</v>
      </c>
      <c r="I73" s="73">
        <v>2.0</v>
      </c>
      <c r="J73" s="73">
        <v>1.0</v>
      </c>
      <c r="K73" s="73">
        <v>2.0</v>
      </c>
      <c r="L73" s="73">
        <v>6.0</v>
      </c>
      <c r="M73" s="73">
        <v>4.0</v>
      </c>
      <c r="N73" s="73">
        <v>4.0</v>
      </c>
      <c r="O73" s="73">
        <v>1.0</v>
      </c>
      <c r="P73" s="73">
        <v>5.0</v>
      </c>
      <c r="Q73" s="73">
        <v>6.0</v>
      </c>
      <c r="R73" s="73">
        <v>8.0</v>
      </c>
      <c r="S73" s="73">
        <v>3.0</v>
      </c>
      <c r="T73" s="73">
        <v>3.0</v>
      </c>
      <c r="U73" s="73">
        <v>1.0</v>
      </c>
      <c r="V73" s="73">
        <v>4.0</v>
      </c>
      <c r="W73" s="73">
        <v>1.0</v>
      </c>
      <c r="X73" s="73">
        <v>4.0</v>
      </c>
      <c r="Y73" s="73">
        <v>1.0</v>
      </c>
      <c r="Z73" s="73">
        <v>6.0</v>
      </c>
      <c r="AA73" s="13">
        <f t="shared" si="18"/>
        <v>67</v>
      </c>
    </row>
    <row r="74" ht="12.75" customHeight="1">
      <c r="A74" s="18"/>
      <c r="B74" s="49"/>
      <c r="C74" s="50" t="s">
        <v>65</v>
      </c>
      <c r="D74" s="51"/>
      <c r="E74" s="73">
        <v>0.0</v>
      </c>
      <c r="F74" s="73">
        <v>4.0</v>
      </c>
      <c r="G74" s="73">
        <v>2.0</v>
      </c>
      <c r="H74" s="73">
        <v>1.0</v>
      </c>
      <c r="I74" s="73">
        <v>0.0</v>
      </c>
      <c r="J74" s="73">
        <v>0.0</v>
      </c>
      <c r="K74" s="73">
        <v>3.0</v>
      </c>
      <c r="L74" s="73">
        <v>1.0</v>
      </c>
      <c r="M74" s="73">
        <v>1.0</v>
      </c>
      <c r="N74" s="73">
        <v>5.0</v>
      </c>
      <c r="O74" s="73">
        <v>3.0</v>
      </c>
      <c r="P74" s="73">
        <v>3.0</v>
      </c>
      <c r="Q74" s="73">
        <v>1.0</v>
      </c>
      <c r="R74" s="73">
        <v>1.0</v>
      </c>
      <c r="S74" s="73">
        <v>2.0</v>
      </c>
      <c r="T74" s="73">
        <v>1.0</v>
      </c>
      <c r="U74" s="73">
        <v>0.0</v>
      </c>
      <c r="V74" s="73">
        <v>3.0</v>
      </c>
      <c r="W74" s="73">
        <v>0.0</v>
      </c>
      <c r="X74" s="73">
        <v>1.0</v>
      </c>
      <c r="Y74" s="73">
        <v>0.0</v>
      </c>
      <c r="Z74" s="73">
        <v>3.0</v>
      </c>
      <c r="AA74" s="13">
        <f t="shared" si="18"/>
        <v>35</v>
      </c>
    </row>
    <row r="75" ht="12.75" customHeight="1">
      <c r="A75" s="18"/>
      <c r="B75" s="49"/>
      <c r="C75" s="50" t="s">
        <v>66</v>
      </c>
      <c r="D75" s="51"/>
      <c r="E75" s="73">
        <v>0.0</v>
      </c>
      <c r="F75" s="73">
        <v>0.0</v>
      </c>
      <c r="G75" s="73">
        <v>0.0</v>
      </c>
      <c r="H75" s="73">
        <v>2.0</v>
      </c>
      <c r="I75" s="73">
        <v>0.0</v>
      </c>
      <c r="J75" s="73">
        <v>0.0</v>
      </c>
      <c r="K75" s="73">
        <v>0.0</v>
      </c>
      <c r="L75" s="73">
        <v>5.0</v>
      </c>
      <c r="M75" s="73">
        <v>3.0</v>
      </c>
      <c r="N75" s="73">
        <v>1.0</v>
      </c>
      <c r="O75" s="73">
        <v>0.0</v>
      </c>
      <c r="P75" s="73">
        <v>2.0</v>
      </c>
      <c r="Q75" s="73">
        <v>3.0</v>
      </c>
      <c r="R75" s="73">
        <v>1.0</v>
      </c>
      <c r="S75" s="73">
        <v>3.0</v>
      </c>
      <c r="T75" s="73">
        <v>2.0</v>
      </c>
      <c r="U75" s="73">
        <v>0.0</v>
      </c>
      <c r="V75" s="73">
        <v>3.0</v>
      </c>
      <c r="W75" s="73">
        <v>1.0</v>
      </c>
      <c r="X75" s="73">
        <v>1.0</v>
      </c>
      <c r="Y75" s="73">
        <v>0.0</v>
      </c>
      <c r="Z75" s="73">
        <v>1.0</v>
      </c>
      <c r="AA75" s="13">
        <f t="shared" si="18"/>
        <v>28</v>
      </c>
    </row>
    <row r="76" ht="12.75" customHeight="1">
      <c r="A76" s="18"/>
      <c r="B76" s="49"/>
      <c r="C76" s="50" t="s">
        <v>67</v>
      </c>
      <c r="D76" s="51"/>
      <c r="E76" s="73">
        <v>0.0</v>
      </c>
      <c r="F76" s="73">
        <v>0.0</v>
      </c>
      <c r="G76" s="73">
        <v>1.0</v>
      </c>
      <c r="H76" s="73">
        <v>0.0</v>
      </c>
      <c r="I76" s="73">
        <v>0.0</v>
      </c>
      <c r="J76" s="73">
        <v>0.0</v>
      </c>
      <c r="K76" s="73">
        <v>0.0</v>
      </c>
      <c r="L76" s="73">
        <v>2.0</v>
      </c>
      <c r="M76" s="73">
        <v>1.0</v>
      </c>
      <c r="N76" s="73">
        <v>0.0</v>
      </c>
      <c r="O76" s="73">
        <v>0.0</v>
      </c>
      <c r="P76" s="73">
        <v>2.0</v>
      </c>
      <c r="Q76" s="73">
        <v>1.0</v>
      </c>
      <c r="R76" s="73">
        <v>0.0</v>
      </c>
      <c r="S76" s="73">
        <v>2.0</v>
      </c>
      <c r="T76" s="73">
        <v>1.0</v>
      </c>
      <c r="U76" s="73">
        <v>0.0</v>
      </c>
      <c r="V76" s="73">
        <v>2.0</v>
      </c>
      <c r="W76" s="73">
        <v>0.0</v>
      </c>
      <c r="X76" s="73">
        <v>0.0</v>
      </c>
      <c r="Y76" s="73">
        <v>1.0</v>
      </c>
      <c r="Z76" s="73">
        <v>0.0</v>
      </c>
      <c r="AA76" s="13">
        <f t="shared" si="18"/>
        <v>13</v>
      </c>
    </row>
    <row r="77" ht="12.75" customHeight="1">
      <c r="A77" s="18"/>
      <c r="B77" s="49"/>
      <c r="C77" s="50" t="s">
        <v>68</v>
      </c>
      <c r="D77" s="51"/>
      <c r="E77" s="73">
        <v>0.0</v>
      </c>
      <c r="F77" s="73">
        <v>0.0</v>
      </c>
      <c r="G77" s="73">
        <v>0.0</v>
      </c>
      <c r="H77" s="73">
        <v>0.0</v>
      </c>
      <c r="I77" s="73">
        <v>0.0</v>
      </c>
      <c r="J77" s="73">
        <v>0.0</v>
      </c>
      <c r="K77" s="73">
        <v>0.0</v>
      </c>
      <c r="L77" s="73">
        <v>0.0</v>
      </c>
      <c r="M77" s="73">
        <v>0.0</v>
      </c>
      <c r="N77" s="73">
        <v>0.0</v>
      </c>
      <c r="O77" s="73">
        <v>2.0</v>
      </c>
      <c r="P77" s="73">
        <v>0.0</v>
      </c>
      <c r="Q77" s="73">
        <v>0.0</v>
      </c>
      <c r="R77" s="73">
        <v>0.0</v>
      </c>
      <c r="S77" s="73">
        <v>1.0</v>
      </c>
      <c r="T77" s="73">
        <v>2.0</v>
      </c>
      <c r="U77" s="73">
        <v>0.0</v>
      </c>
      <c r="V77" s="73">
        <v>1.0</v>
      </c>
      <c r="W77" s="73">
        <v>0.0</v>
      </c>
      <c r="X77" s="73">
        <v>0.0</v>
      </c>
      <c r="Y77" s="73">
        <v>0.0</v>
      </c>
      <c r="Z77" s="73">
        <v>1.0</v>
      </c>
      <c r="AA77" s="13">
        <f t="shared" si="18"/>
        <v>7</v>
      </c>
    </row>
    <row r="78" ht="12.75" customHeight="1">
      <c r="A78" s="18"/>
      <c r="B78" s="49"/>
      <c r="C78" s="50" t="s">
        <v>69</v>
      </c>
      <c r="D78" s="51"/>
      <c r="E78" s="73">
        <v>0.0</v>
      </c>
      <c r="F78" s="73">
        <v>0.0</v>
      </c>
      <c r="G78" s="73">
        <v>0.0</v>
      </c>
      <c r="H78" s="73">
        <v>0.0</v>
      </c>
      <c r="I78" s="73">
        <v>0.0</v>
      </c>
      <c r="J78" s="73">
        <v>1.0</v>
      </c>
      <c r="K78" s="73">
        <v>3.0</v>
      </c>
      <c r="L78" s="73">
        <v>2.0</v>
      </c>
      <c r="M78" s="73">
        <v>0.0</v>
      </c>
      <c r="N78" s="73">
        <v>1.0</v>
      </c>
      <c r="O78" s="73">
        <v>0.0</v>
      </c>
      <c r="P78" s="73">
        <v>1.0</v>
      </c>
      <c r="Q78" s="73">
        <v>2.0</v>
      </c>
      <c r="R78" s="73">
        <v>0.0</v>
      </c>
      <c r="S78" s="73">
        <v>1.0</v>
      </c>
      <c r="T78" s="73">
        <v>0.0</v>
      </c>
      <c r="U78" s="73">
        <v>1.0</v>
      </c>
      <c r="V78" s="73">
        <v>1.0</v>
      </c>
      <c r="W78" s="73">
        <v>0.0</v>
      </c>
      <c r="X78" s="73">
        <v>0.0</v>
      </c>
      <c r="Y78" s="73">
        <v>0.0</v>
      </c>
      <c r="Z78" s="73">
        <v>0.0</v>
      </c>
      <c r="AA78" s="13">
        <f t="shared" si="18"/>
        <v>13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A79" si="19">SUM(E69:E78)</f>
        <v>43</v>
      </c>
      <c r="F79" s="13">
        <f t="shared" si="19"/>
        <v>48</v>
      </c>
      <c r="G79" s="13">
        <f t="shared" si="19"/>
        <v>26</v>
      </c>
      <c r="H79" s="13">
        <f t="shared" si="19"/>
        <v>27</v>
      </c>
      <c r="I79" s="13">
        <f t="shared" si="19"/>
        <v>20</v>
      </c>
      <c r="J79" s="13">
        <f t="shared" si="19"/>
        <v>13</v>
      </c>
      <c r="K79" s="13">
        <f t="shared" si="19"/>
        <v>24</v>
      </c>
      <c r="L79" s="13">
        <f t="shared" si="19"/>
        <v>65</v>
      </c>
      <c r="M79" s="13">
        <f t="shared" si="19"/>
        <v>55</v>
      </c>
      <c r="N79" s="13">
        <f t="shared" si="19"/>
        <v>84</v>
      </c>
      <c r="O79" s="13">
        <f t="shared" si="19"/>
        <v>18</v>
      </c>
      <c r="P79" s="13">
        <f t="shared" si="19"/>
        <v>63</v>
      </c>
      <c r="Q79" s="13">
        <f t="shared" si="19"/>
        <v>60</v>
      </c>
      <c r="R79" s="13">
        <f t="shared" si="19"/>
        <v>45</v>
      </c>
      <c r="S79" s="13">
        <f t="shared" si="19"/>
        <v>73</v>
      </c>
      <c r="T79" s="13">
        <f t="shared" si="19"/>
        <v>53</v>
      </c>
      <c r="U79" s="13">
        <f t="shared" si="19"/>
        <v>136</v>
      </c>
      <c r="V79" s="13">
        <f t="shared" si="19"/>
        <v>73</v>
      </c>
      <c r="W79" s="13">
        <f t="shared" si="19"/>
        <v>12</v>
      </c>
      <c r="X79" s="13">
        <f t="shared" si="19"/>
        <v>26</v>
      </c>
      <c r="Y79" s="13">
        <f t="shared" si="19"/>
        <v>21</v>
      </c>
      <c r="Z79" s="13">
        <f t="shared" si="19"/>
        <v>44</v>
      </c>
      <c r="AA79" s="13">
        <f t="shared" si="19"/>
        <v>1029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1.0</v>
      </c>
      <c r="F81" s="73">
        <v>5.0</v>
      </c>
      <c r="G81" s="73">
        <v>10.0</v>
      </c>
      <c r="H81" s="73">
        <v>5.0</v>
      </c>
      <c r="I81" s="73">
        <v>4.0</v>
      </c>
      <c r="J81" s="73">
        <v>6.0</v>
      </c>
      <c r="K81" s="73">
        <v>13.0</v>
      </c>
      <c r="L81" s="73">
        <v>7.0</v>
      </c>
      <c r="M81" s="73">
        <v>6.0</v>
      </c>
      <c r="N81" s="73">
        <v>3.0</v>
      </c>
      <c r="O81" s="73">
        <v>11.0</v>
      </c>
      <c r="P81" s="73">
        <v>7.0</v>
      </c>
      <c r="Q81" s="73">
        <v>6.0</v>
      </c>
      <c r="R81" s="73">
        <v>4.0</v>
      </c>
      <c r="S81" s="73">
        <v>2.0</v>
      </c>
      <c r="T81" s="73">
        <v>5.0</v>
      </c>
      <c r="U81" s="73">
        <v>1.0</v>
      </c>
      <c r="V81" s="73">
        <v>2.0</v>
      </c>
      <c r="W81" s="73">
        <v>4.0</v>
      </c>
      <c r="X81" s="73">
        <v>7.0</v>
      </c>
      <c r="Y81" s="73">
        <v>3.0</v>
      </c>
      <c r="Z81" s="73">
        <v>2.0</v>
      </c>
      <c r="AA81" s="13">
        <f t="shared" ref="AA81:AA90" si="20">SUM(E81:Z81)</f>
        <v>114</v>
      </c>
    </row>
    <row r="82" ht="12.75" customHeight="1">
      <c r="A82" s="30" t="s">
        <v>39</v>
      </c>
      <c r="B82" s="49"/>
      <c r="C82" s="50" t="s">
        <v>71</v>
      </c>
      <c r="D82" s="51"/>
      <c r="E82" s="73">
        <v>15.0</v>
      </c>
      <c r="F82" s="73">
        <v>6.0</v>
      </c>
      <c r="G82" s="73">
        <v>26.0</v>
      </c>
      <c r="H82" s="73">
        <v>11.0</v>
      </c>
      <c r="I82" s="73">
        <v>21.0</v>
      </c>
      <c r="J82" s="73">
        <v>29.0</v>
      </c>
      <c r="K82" s="73">
        <v>17.0</v>
      </c>
      <c r="L82" s="73">
        <v>8.0</v>
      </c>
      <c r="M82" s="73">
        <v>9.0</v>
      </c>
      <c r="N82" s="73">
        <v>7.0</v>
      </c>
      <c r="O82" s="73">
        <v>16.0</v>
      </c>
      <c r="P82" s="73">
        <v>10.0</v>
      </c>
      <c r="Q82" s="73">
        <v>17.0</v>
      </c>
      <c r="R82" s="73">
        <v>35.0</v>
      </c>
      <c r="S82" s="73">
        <v>5.0</v>
      </c>
      <c r="T82" s="73">
        <v>9.0</v>
      </c>
      <c r="U82" s="73">
        <v>6.0</v>
      </c>
      <c r="V82" s="73">
        <v>1.0</v>
      </c>
      <c r="W82" s="73">
        <v>19.0</v>
      </c>
      <c r="X82" s="73">
        <v>4.0</v>
      </c>
      <c r="Y82" s="73">
        <v>13.0</v>
      </c>
      <c r="Z82" s="73">
        <v>3.0</v>
      </c>
      <c r="AA82" s="13">
        <f t="shared" si="20"/>
        <v>287</v>
      </c>
    </row>
    <row r="83" ht="12.75" customHeight="1">
      <c r="A83" s="18"/>
      <c r="B83" s="49"/>
      <c r="C83" s="50" t="s">
        <v>72</v>
      </c>
      <c r="D83" s="51"/>
      <c r="E83" s="73">
        <v>0.0</v>
      </c>
      <c r="F83" s="73">
        <v>3.0</v>
      </c>
      <c r="G83" s="73">
        <v>0.0</v>
      </c>
      <c r="H83" s="73">
        <v>1.0</v>
      </c>
      <c r="I83" s="73">
        <v>1.0</v>
      </c>
      <c r="J83" s="73">
        <v>2.0</v>
      </c>
      <c r="K83" s="73">
        <v>1.0</v>
      </c>
      <c r="L83" s="73">
        <v>2.0</v>
      </c>
      <c r="M83" s="73">
        <v>1.0</v>
      </c>
      <c r="N83" s="73">
        <v>1.0</v>
      </c>
      <c r="O83" s="73">
        <v>2.0</v>
      </c>
      <c r="P83" s="73">
        <v>2.0</v>
      </c>
      <c r="Q83" s="73">
        <v>1.0</v>
      </c>
      <c r="R83" s="73">
        <v>0.0</v>
      </c>
      <c r="S83" s="73">
        <v>0.0</v>
      </c>
      <c r="T83" s="73">
        <v>1.0</v>
      </c>
      <c r="U83" s="73">
        <v>0.0</v>
      </c>
      <c r="V83" s="73">
        <v>0.0</v>
      </c>
      <c r="W83" s="73">
        <v>1.0</v>
      </c>
      <c r="X83" s="73">
        <v>0.0</v>
      </c>
      <c r="Y83" s="73">
        <v>2.0</v>
      </c>
      <c r="Z83" s="73">
        <v>3.0</v>
      </c>
      <c r="AA83" s="13">
        <f t="shared" si="20"/>
        <v>24</v>
      </c>
    </row>
    <row r="84" ht="12.75" customHeight="1">
      <c r="A84" s="18"/>
      <c r="B84" s="49"/>
      <c r="C84" s="50" t="s">
        <v>73</v>
      </c>
      <c r="D84" s="51"/>
      <c r="E84" s="73">
        <v>1.0</v>
      </c>
      <c r="F84" s="73">
        <v>1.0</v>
      </c>
      <c r="G84" s="73">
        <v>1.0</v>
      </c>
      <c r="H84" s="73">
        <v>1.0</v>
      </c>
      <c r="I84" s="73">
        <v>1.0</v>
      </c>
      <c r="J84" s="73">
        <v>1.0</v>
      </c>
      <c r="K84" s="73">
        <v>0.0</v>
      </c>
      <c r="L84" s="73">
        <v>3.0</v>
      </c>
      <c r="M84" s="73">
        <v>0.0</v>
      </c>
      <c r="N84" s="73">
        <v>0.0</v>
      </c>
      <c r="O84" s="73">
        <v>1.0</v>
      </c>
      <c r="P84" s="73">
        <v>0.0</v>
      </c>
      <c r="Q84" s="73">
        <v>1.0</v>
      </c>
      <c r="R84" s="73">
        <v>0.0</v>
      </c>
      <c r="S84" s="73">
        <v>0.0</v>
      </c>
      <c r="T84" s="73">
        <v>0.0</v>
      </c>
      <c r="U84" s="73">
        <v>3.0</v>
      </c>
      <c r="V84" s="73">
        <v>0.0</v>
      </c>
      <c r="W84" s="73">
        <v>3.0</v>
      </c>
      <c r="X84" s="73">
        <v>0.0</v>
      </c>
      <c r="Y84" s="73">
        <v>1.0</v>
      </c>
      <c r="Z84" s="73">
        <v>1.0</v>
      </c>
      <c r="AA84" s="13">
        <f t="shared" si="20"/>
        <v>19</v>
      </c>
    </row>
    <row r="85" ht="12.75" customHeight="1">
      <c r="A85" s="18"/>
      <c r="B85" s="49"/>
      <c r="C85" s="50" t="s">
        <v>74</v>
      </c>
      <c r="D85" s="51"/>
      <c r="E85" s="73">
        <v>1.0</v>
      </c>
      <c r="F85" s="73">
        <v>0.0</v>
      </c>
      <c r="G85" s="73">
        <v>2.0</v>
      </c>
      <c r="H85" s="73">
        <v>1.0</v>
      </c>
      <c r="I85" s="73">
        <v>0.0</v>
      </c>
      <c r="J85" s="73">
        <v>3.0</v>
      </c>
      <c r="K85" s="73">
        <v>1.0</v>
      </c>
      <c r="L85" s="73">
        <v>1.0</v>
      </c>
      <c r="M85" s="73">
        <v>0.0</v>
      </c>
      <c r="N85" s="73">
        <v>3.0</v>
      </c>
      <c r="O85" s="73">
        <v>0.0</v>
      </c>
      <c r="P85" s="73">
        <v>0.0</v>
      </c>
      <c r="Q85" s="73">
        <v>1.0</v>
      </c>
      <c r="R85" s="73">
        <v>1.0</v>
      </c>
      <c r="S85" s="73">
        <v>1.0</v>
      </c>
      <c r="T85" s="73">
        <v>2.0</v>
      </c>
      <c r="U85" s="73">
        <v>1.0</v>
      </c>
      <c r="V85" s="73">
        <v>1.0</v>
      </c>
      <c r="W85" s="73">
        <v>1.0</v>
      </c>
      <c r="X85" s="73">
        <v>0.0</v>
      </c>
      <c r="Y85" s="73">
        <v>0.0</v>
      </c>
      <c r="Z85" s="73">
        <v>0.0</v>
      </c>
      <c r="AA85" s="13">
        <f t="shared" si="20"/>
        <v>20</v>
      </c>
    </row>
    <row r="86" ht="12.75" customHeight="1">
      <c r="A86" s="18"/>
      <c r="B86" s="49"/>
      <c r="C86" s="50" t="s">
        <v>75</v>
      </c>
      <c r="D86" s="51"/>
      <c r="E86" s="73">
        <v>1.0</v>
      </c>
      <c r="F86" s="73">
        <v>1.0</v>
      </c>
      <c r="G86" s="73">
        <v>3.0</v>
      </c>
      <c r="H86" s="73">
        <v>0.0</v>
      </c>
      <c r="I86" s="73">
        <v>0.0</v>
      </c>
      <c r="J86" s="73">
        <v>1.0</v>
      </c>
      <c r="K86" s="73">
        <v>0.0</v>
      </c>
      <c r="L86" s="73">
        <v>0.0</v>
      </c>
      <c r="M86" s="73">
        <v>0.0</v>
      </c>
      <c r="N86" s="73">
        <v>1.0</v>
      </c>
      <c r="O86" s="73">
        <v>0.0</v>
      </c>
      <c r="P86" s="73">
        <v>0.0</v>
      </c>
      <c r="Q86" s="73">
        <v>2.0</v>
      </c>
      <c r="R86" s="73">
        <v>0.0</v>
      </c>
      <c r="S86" s="73">
        <v>0.0</v>
      </c>
      <c r="T86" s="73">
        <v>0.0</v>
      </c>
      <c r="U86" s="73">
        <v>1.0</v>
      </c>
      <c r="V86" s="73">
        <v>0.0</v>
      </c>
      <c r="W86" s="73">
        <v>1.0</v>
      </c>
      <c r="X86" s="73">
        <v>0.0</v>
      </c>
      <c r="Y86" s="73">
        <v>2.0</v>
      </c>
      <c r="Z86" s="73">
        <v>1.0</v>
      </c>
      <c r="AA86" s="13">
        <f t="shared" si="20"/>
        <v>14</v>
      </c>
    </row>
    <row r="87" ht="12.75" customHeight="1">
      <c r="A87" s="18"/>
      <c r="B87" s="49"/>
      <c r="C87" s="50" t="s">
        <v>76</v>
      </c>
      <c r="D87" s="51"/>
      <c r="E87" s="73">
        <v>1.0</v>
      </c>
      <c r="F87" s="73">
        <v>0.0</v>
      </c>
      <c r="G87" s="73">
        <v>1.0</v>
      </c>
      <c r="H87" s="73">
        <v>0.0</v>
      </c>
      <c r="I87" s="73">
        <v>0.0</v>
      </c>
      <c r="J87" s="73">
        <v>0.0</v>
      </c>
      <c r="K87" s="73">
        <v>0.0</v>
      </c>
      <c r="L87" s="73">
        <v>1.0</v>
      </c>
      <c r="M87" s="73">
        <v>0.0</v>
      </c>
      <c r="N87" s="73">
        <v>0.0</v>
      </c>
      <c r="O87" s="73">
        <v>0.0</v>
      </c>
      <c r="P87" s="73">
        <v>0.0</v>
      </c>
      <c r="Q87" s="73">
        <v>0.0</v>
      </c>
      <c r="R87" s="73">
        <v>0.0</v>
      </c>
      <c r="S87" s="73">
        <v>0.0</v>
      </c>
      <c r="T87" s="73">
        <v>0.0</v>
      </c>
      <c r="U87" s="73">
        <v>0.0</v>
      </c>
      <c r="V87" s="73">
        <v>1.0</v>
      </c>
      <c r="W87" s="73">
        <v>0.0</v>
      </c>
      <c r="X87" s="73">
        <v>0.0</v>
      </c>
      <c r="Y87" s="73">
        <v>0.0</v>
      </c>
      <c r="Z87" s="73">
        <v>1.0</v>
      </c>
      <c r="AA87" s="13">
        <f t="shared" si="20"/>
        <v>5</v>
      </c>
    </row>
    <row r="88" ht="12.75" customHeight="1">
      <c r="A88" s="18"/>
      <c r="B88" s="49"/>
      <c r="C88" s="50" t="s">
        <v>77</v>
      </c>
      <c r="D88" s="51"/>
      <c r="E88" s="73">
        <v>1.0</v>
      </c>
      <c r="F88" s="73">
        <v>0.0</v>
      </c>
      <c r="G88" s="73">
        <v>0.0</v>
      </c>
      <c r="H88" s="73">
        <v>0.0</v>
      </c>
      <c r="I88" s="73">
        <v>0.0</v>
      </c>
      <c r="J88" s="73">
        <v>0.0</v>
      </c>
      <c r="K88" s="73">
        <v>0.0</v>
      </c>
      <c r="L88" s="73">
        <v>0.0</v>
      </c>
      <c r="M88" s="73">
        <v>1.0</v>
      </c>
      <c r="N88" s="73">
        <v>1.0</v>
      </c>
      <c r="O88" s="73">
        <v>0.0</v>
      </c>
      <c r="P88" s="73">
        <v>0.0</v>
      </c>
      <c r="Q88" s="73">
        <v>0.0</v>
      </c>
      <c r="R88" s="73">
        <v>0.0</v>
      </c>
      <c r="S88" s="73">
        <v>0.0</v>
      </c>
      <c r="T88" s="73">
        <v>0.0</v>
      </c>
      <c r="U88" s="73">
        <v>0.0</v>
      </c>
      <c r="V88" s="73">
        <v>0.0</v>
      </c>
      <c r="W88" s="73">
        <v>0.0</v>
      </c>
      <c r="X88" s="73">
        <v>0.0</v>
      </c>
      <c r="Y88" s="73">
        <v>0.0</v>
      </c>
      <c r="Z88" s="73">
        <v>0.0</v>
      </c>
      <c r="AA88" s="13">
        <f t="shared" si="20"/>
        <v>3</v>
      </c>
    </row>
    <row r="89" ht="12.75" customHeight="1">
      <c r="A89" s="18"/>
      <c r="B89" s="49"/>
      <c r="C89" s="50" t="s">
        <v>78</v>
      </c>
      <c r="D89" s="51"/>
      <c r="E89" s="73">
        <v>0.0</v>
      </c>
      <c r="F89" s="73">
        <v>0.0</v>
      </c>
      <c r="G89" s="73">
        <v>0.0</v>
      </c>
      <c r="H89" s="73">
        <v>0.0</v>
      </c>
      <c r="I89" s="73">
        <v>0.0</v>
      </c>
      <c r="J89" s="73">
        <v>0.0</v>
      </c>
      <c r="K89" s="73">
        <v>0.0</v>
      </c>
      <c r="L89" s="73">
        <v>0.0</v>
      </c>
      <c r="M89" s="73">
        <v>0.0</v>
      </c>
      <c r="N89" s="73">
        <v>0.0</v>
      </c>
      <c r="O89" s="73">
        <v>0.0</v>
      </c>
      <c r="P89" s="73">
        <v>0.0</v>
      </c>
      <c r="Q89" s="73">
        <v>0.0</v>
      </c>
      <c r="R89" s="73">
        <v>0.0</v>
      </c>
      <c r="S89" s="73">
        <v>0.0</v>
      </c>
      <c r="T89" s="73">
        <v>0.0</v>
      </c>
      <c r="U89" s="73">
        <v>0.0</v>
      </c>
      <c r="V89" s="73">
        <v>0.0</v>
      </c>
      <c r="W89" s="73">
        <v>0.0</v>
      </c>
      <c r="X89" s="73">
        <v>0.0</v>
      </c>
      <c r="Y89" s="73">
        <v>0.0</v>
      </c>
      <c r="Z89" s="73">
        <v>0.0</v>
      </c>
      <c r="AA89" s="13">
        <f t="shared" si="20"/>
        <v>0</v>
      </c>
    </row>
    <row r="90" ht="12.75" customHeight="1">
      <c r="A90" s="18"/>
      <c r="B90" s="49"/>
      <c r="C90" s="50" t="s">
        <v>79</v>
      </c>
      <c r="D90" s="51"/>
      <c r="E90" s="73">
        <v>0.0</v>
      </c>
      <c r="F90" s="73">
        <v>0.0</v>
      </c>
      <c r="G90" s="73">
        <v>0.0</v>
      </c>
      <c r="H90" s="73">
        <v>0.0</v>
      </c>
      <c r="I90" s="73">
        <v>1.0</v>
      </c>
      <c r="J90" s="73">
        <v>0.0</v>
      </c>
      <c r="K90" s="73">
        <v>1.0</v>
      </c>
      <c r="L90" s="73">
        <v>0.0</v>
      </c>
      <c r="M90" s="73">
        <v>1.0</v>
      </c>
      <c r="N90" s="73">
        <v>0.0</v>
      </c>
      <c r="O90" s="73">
        <v>0.0</v>
      </c>
      <c r="P90" s="73">
        <v>0.0</v>
      </c>
      <c r="Q90" s="73">
        <v>2.0</v>
      </c>
      <c r="R90" s="73">
        <v>0.0</v>
      </c>
      <c r="S90" s="73">
        <v>0.0</v>
      </c>
      <c r="T90" s="73">
        <v>0.0</v>
      </c>
      <c r="U90" s="73">
        <v>0.0</v>
      </c>
      <c r="V90" s="73">
        <v>0.0</v>
      </c>
      <c r="W90" s="73">
        <v>0.0</v>
      </c>
      <c r="X90" s="73">
        <v>0.0</v>
      </c>
      <c r="Y90" s="73">
        <v>0.0</v>
      </c>
      <c r="Z90" s="73">
        <v>0.0</v>
      </c>
      <c r="AA90" s="13">
        <f t="shared" si="20"/>
        <v>5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A91" si="21">SUM(E81:E90)</f>
        <v>21</v>
      </c>
      <c r="F91" s="13">
        <f t="shared" si="21"/>
        <v>16</v>
      </c>
      <c r="G91" s="13">
        <f t="shared" si="21"/>
        <v>43</v>
      </c>
      <c r="H91" s="13">
        <f t="shared" si="21"/>
        <v>19</v>
      </c>
      <c r="I91" s="13">
        <f t="shared" si="21"/>
        <v>28</v>
      </c>
      <c r="J91" s="13">
        <f t="shared" si="21"/>
        <v>42</v>
      </c>
      <c r="K91" s="13">
        <f t="shared" si="21"/>
        <v>33</v>
      </c>
      <c r="L91" s="13">
        <f t="shared" si="21"/>
        <v>22</v>
      </c>
      <c r="M91" s="13">
        <f t="shared" si="21"/>
        <v>18</v>
      </c>
      <c r="N91" s="13">
        <f t="shared" si="21"/>
        <v>16</v>
      </c>
      <c r="O91" s="13">
        <f t="shared" si="21"/>
        <v>30</v>
      </c>
      <c r="P91" s="13">
        <f t="shared" si="21"/>
        <v>19</v>
      </c>
      <c r="Q91" s="13">
        <f t="shared" si="21"/>
        <v>30</v>
      </c>
      <c r="R91" s="13">
        <f t="shared" si="21"/>
        <v>40</v>
      </c>
      <c r="S91" s="13">
        <f t="shared" si="21"/>
        <v>8</v>
      </c>
      <c r="T91" s="13">
        <f t="shared" si="21"/>
        <v>17</v>
      </c>
      <c r="U91" s="13">
        <f t="shared" si="21"/>
        <v>12</v>
      </c>
      <c r="V91" s="13">
        <f t="shared" si="21"/>
        <v>5</v>
      </c>
      <c r="W91" s="13">
        <f t="shared" si="21"/>
        <v>29</v>
      </c>
      <c r="X91" s="13">
        <f t="shared" si="21"/>
        <v>11</v>
      </c>
      <c r="Y91" s="13">
        <f t="shared" si="21"/>
        <v>21</v>
      </c>
      <c r="Z91" s="13">
        <f t="shared" si="21"/>
        <v>11</v>
      </c>
      <c r="AA91" s="13">
        <f t="shared" si="21"/>
        <v>491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4.0</v>
      </c>
      <c r="F93" s="73">
        <v>1.0</v>
      </c>
      <c r="G93" s="73">
        <v>0.0</v>
      </c>
      <c r="H93" s="73">
        <v>4.0</v>
      </c>
      <c r="I93" s="73">
        <v>3.0</v>
      </c>
      <c r="J93" s="73">
        <v>0.0</v>
      </c>
      <c r="K93" s="73">
        <v>1.0</v>
      </c>
      <c r="L93" s="73">
        <v>2.0</v>
      </c>
      <c r="M93" s="73">
        <v>0.0</v>
      </c>
      <c r="N93" s="73">
        <v>1.0</v>
      </c>
      <c r="O93" s="73">
        <v>0.0</v>
      </c>
      <c r="P93" s="73">
        <v>1.0</v>
      </c>
      <c r="Q93" s="73">
        <v>0.0</v>
      </c>
      <c r="R93" s="73">
        <v>0.0</v>
      </c>
      <c r="S93" s="73">
        <v>0.0</v>
      </c>
      <c r="T93" s="73">
        <v>0.0</v>
      </c>
      <c r="U93" s="73">
        <v>3.0</v>
      </c>
      <c r="V93" s="73">
        <v>0.0</v>
      </c>
      <c r="W93" s="73">
        <v>0.0</v>
      </c>
      <c r="X93" s="73">
        <v>5.0</v>
      </c>
      <c r="Y93" s="73">
        <v>1.0</v>
      </c>
      <c r="Z93" s="73">
        <v>5.0</v>
      </c>
      <c r="AA93" s="13">
        <f t="shared" ref="AA93:AA102" si="22">SUM(E93:Z93)</f>
        <v>31</v>
      </c>
    </row>
    <row r="94" ht="12.75" customHeight="1">
      <c r="A94" s="30" t="s">
        <v>39</v>
      </c>
      <c r="B94" s="49"/>
      <c r="C94" s="50" t="s">
        <v>82</v>
      </c>
      <c r="D94" s="56"/>
      <c r="E94" s="73">
        <v>1.0</v>
      </c>
      <c r="F94" s="73">
        <v>2.0</v>
      </c>
      <c r="G94" s="73">
        <v>0.0</v>
      </c>
      <c r="H94" s="73">
        <v>1.0</v>
      </c>
      <c r="I94" s="73">
        <v>8.0</v>
      </c>
      <c r="J94" s="73">
        <v>0.0</v>
      </c>
      <c r="K94" s="73">
        <v>1.0</v>
      </c>
      <c r="L94" s="73">
        <v>7.0</v>
      </c>
      <c r="M94" s="73">
        <v>0.0</v>
      </c>
      <c r="N94" s="73">
        <v>2.0</v>
      </c>
      <c r="O94" s="73">
        <v>0.0</v>
      </c>
      <c r="P94" s="73">
        <v>1.0</v>
      </c>
      <c r="Q94" s="73">
        <v>0.0</v>
      </c>
      <c r="R94" s="73">
        <v>1.0</v>
      </c>
      <c r="S94" s="73">
        <v>1.0</v>
      </c>
      <c r="T94" s="73">
        <v>3.0</v>
      </c>
      <c r="U94" s="73">
        <v>4.0</v>
      </c>
      <c r="V94" s="73">
        <v>0.0</v>
      </c>
      <c r="W94" s="73">
        <v>0.0</v>
      </c>
      <c r="X94" s="73">
        <v>5.0</v>
      </c>
      <c r="Y94" s="73">
        <v>3.0</v>
      </c>
      <c r="Z94" s="73">
        <v>10.0</v>
      </c>
      <c r="AA94" s="13">
        <f t="shared" si="22"/>
        <v>50</v>
      </c>
    </row>
    <row r="95" ht="12.75" customHeight="1">
      <c r="A95" s="18"/>
      <c r="B95" s="49"/>
      <c r="C95" s="50" t="s">
        <v>83</v>
      </c>
      <c r="D95" s="56"/>
      <c r="E95" s="73">
        <v>0.0</v>
      </c>
      <c r="F95" s="73">
        <v>0.0</v>
      </c>
      <c r="G95" s="73">
        <v>0.0</v>
      </c>
      <c r="H95" s="73">
        <v>1.0</v>
      </c>
      <c r="I95" s="73">
        <v>0.0</v>
      </c>
      <c r="J95" s="73">
        <v>0.0</v>
      </c>
      <c r="K95" s="73">
        <v>0.0</v>
      </c>
      <c r="L95" s="73">
        <v>0.0</v>
      </c>
      <c r="M95" s="73">
        <v>0.0</v>
      </c>
      <c r="N95" s="73">
        <v>0.0</v>
      </c>
      <c r="O95" s="73">
        <v>1.0</v>
      </c>
      <c r="P95" s="73">
        <v>0.0</v>
      </c>
      <c r="Q95" s="73">
        <v>0.0</v>
      </c>
      <c r="R95" s="73">
        <v>0.0</v>
      </c>
      <c r="S95" s="73">
        <v>0.0</v>
      </c>
      <c r="T95" s="73">
        <v>0.0</v>
      </c>
      <c r="U95" s="73">
        <v>0.0</v>
      </c>
      <c r="V95" s="73">
        <v>0.0</v>
      </c>
      <c r="W95" s="73">
        <v>0.0</v>
      </c>
      <c r="X95" s="73">
        <v>0.0</v>
      </c>
      <c r="Y95" s="73">
        <v>1.0</v>
      </c>
      <c r="Z95" s="73">
        <v>1.0</v>
      </c>
      <c r="AA95" s="13">
        <f t="shared" si="22"/>
        <v>4</v>
      </c>
    </row>
    <row r="96" ht="12.75" customHeight="1">
      <c r="A96" s="18"/>
      <c r="B96" s="49"/>
      <c r="C96" s="50" t="s">
        <v>84</v>
      </c>
      <c r="D96" s="56"/>
      <c r="E96" s="73">
        <v>0.0</v>
      </c>
      <c r="F96" s="73">
        <v>0.0</v>
      </c>
      <c r="G96" s="73">
        <v>0.0</v>
      </c>
      <c r="H96" s="73">
        <v>2.0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1.0</v>
      </c>
      <c r="Q96" s="73">
        <v>1.0</v>
      </c>
      <c r="R96" s="73">
        <v>0.0</v>
      </c>
      <c r="S96" s="73">
        <v>0.0</v>
      </c>
      <c r="T96" s="73">
        <v>0.0</v>
      </c>
      <c r="U96" s="73">
        <v>0.0</v>
      </c>
      <c r="V96" s="73">
        <v>0.0</v>
      </c>
      <c r="W96" s="73">
        <v>0.0</v>
      </c>
      <c r="X96" s="73">
        <v>0.0</v>
      </c>
      <c r="Y96" s="73">
        <v>0.0</v>
      </c>
      <c r="Z96" s="73">
        <v>2.0</v>
      </c>
      <c r="AA96" s="13">
        <f t="shared" si="22"/>
        <v>6</v>
      </c>
    </row>
    <row r="97" ht="12.75" customHeight="1">
      <c r="A97" s="18"/>
      <c r="B97" s="49"/>
      <c r="C97" s="50" t="s">
        <v>85</v>
      </c>
      <c r="D97" s="56"/>
      <c r="E97" s="73">
        <v>0.0</v>
      </c>
      <c r="F97" s="73">
        <v>0.0</v>
      </c>
      <c r="G97" s="73">
        <v>0.0</v>
      </c>
      <c r="H97" s="73">
        <v>1.0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0.0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73">
        <v>1.0</v>
      </c>
      <c r="Y97" s="73">
        <v>0.0</v>
      </c>
      <c r="Z97" s="73">
        <v>0.0</v>
      </c>
      <c r="AA97" s="13">
        <f t="shared" si="22"/>
        <v>2</v>
      </c>
    </row>
    <row r="98" ht="12.75" customHeight="1">
      <c r="A98" s="18"/>
      <c r="B98" s="49"/>
      <c r="C98" s="50" t="s">
        <v>86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73">
        <v>0.0</v>
      </c>
      <c r="M98" s="73">
        <v>0.0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73">
        <v>0.0</v>
      </c>
      <c r="Z98" s="73">
        <v>0.0</v>
      </c>
      <c r="AA98" s="13">
        <f t="shared" si="22"/>
        <v>0</v>
      </c>
    </row>
    <row r="99" ht="12.75" customHeight="1">
      <c r="A99" s="18"/>
      <c r="B99" s="49"/>
      <c r="C99" s="50" t="s">
        <v>87</v>
      </c>
      <c r="D99" s="51"/>
      <c r="E99" s="73">
        <v>0.0</v>
      </c>
      <c r="F99" s="73">
        <v>0.0</v>
      </c>
      <c r="G99" s="73">
        <v>0.0</v>
      </c>
      <c r="H99" s="73">
        <v>1.0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1.0</v>
      </c>
      <c r="AA99" s="13">
        <f t="shared" si="22"/>
        <v>2</v>
      </c>
    </row>
    <row r="100" ht="12.75" customHeight="1">
      <c r="A100" s="18"/>
      <c r="B100" s="49"/>
      <c r="C100" s="50" t="s">
        <v>88</v>
      </c>
      <c r="D100" s="56"/>
      <c r="E100" s="73">
        <v>0.0</v>
      </c>
      <c r="F100" s="73">
        <v>0.0</v>
      </c>
      <c r="G100" s="73">
        <v>0.0</v>
      </c>
      <c r="H100" s="73">
        <v>0.0</v>
      </c>
      <c r="I100" s="73">
        <v>0.0</v>
      </c>
      <c r="J100" s="73">
        <v>0.0</v>
      </c>
      <c r="K100" s="73">
        <v>0.0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73">
        <v>0.0</v>
      </c>
      <c r="R100" s="73">
        <v>0.0</v>
      </c>
      <c r="S100" s="73">
        <v>0.0</v>
      </c>
      <c r="T100" s="73">
        <v>0.0</v>
      </c>
      <c r="U100" s="73">
        <v>0.0</v>
      </c>
      <c r="V100" s="73">
        <v>0.0</v>
      </c>
      <c r="W100" s="73">
        <v>0.0</v>
      </c>
      <c r="X100" s="73">
        <v>0.0</v>
      </c>
      <c r="Y100" s="73">
        <v>1.0</v>
      </c>
      <c r="Z100" s="73">
        <v>0.0</v>
      </c>
      <c r="AA100" s="13">
        <f t="shared" si="22"/>
        <v>1</v>
      </c>
    </row>
    <row r="101" ht="12.75" customHeight="1">
      <c r="A101" s="18"/>
      <c r="B101" s="49"/>
      <c r="C101" s="50" t="s">
        <v>89</v>
      </c>
      <c r="D101" s="56"/>
      <c r="E101" s="73">
        <v>0.0</v>
      </c>
      <c r="F101" s="73">
        <v>0.0</v>
      </c>
      <c r="G101" s="73">
        <v>0.0</v>
      </c>
      <c r="H101" s="73">
        <v>0.0</v>
      </c>
      <c r="I101" s="73">
        <v>0.0</v>
      </c>
      <c r="J101" s="73">
        <v>0.0</v>
      </c>
      <c r="K101" s="73">
        <v>0.0</v>
      </c>
      <c r="L101" s="73">
        <v>0.0</v>
      </c>
      <c r="M101" s="73">
        <v>0.0</v>
      </c>
      <c r="N101" s="73">
        <v>0.0</v>
      </c>
      <c r="O101" s="73">
        <v>0.0</v>
      </c>
      <c r="P101" s="73">
        <v>0.0</v>
      </c>
      <c r="Q101" s="73">
        <v>0.0</v>
      </c>
      <c r="R101" s="73">
        <v>0.0</v>
      </c>
      <c r="S101" s="73">
        <v>0.0</v>
      </c>
      <c r="T101" s="73">
        <v>0.0</v>
      </c>
      <c r="U101" s="73">
        <v>0.0</v>
      </c>
      <c r="V101" s="73">
        <v>0.0</v>
      </c>
      <c r="W101" s="73">
        <v>0.0</v>
      </c>
      <c r="X101" s="73">
        <v>0.0</v>
      </c>
      <c r="Y101" s="73">
        <v>0.0</v>
      </c>
      <c r="Z101" s="73">
        <v>0.0</v>
      </c>
      <c r="AA101" s="13">
        <f t="shared" si="22"/>
        <v>0</v>
      </c>
    </row>
    <row r="102" ht="12.75" customHeight="1">
      <c r="A102" s="18"/>
      <c r="B102" s="49"/>
      <c r="C102" s="50" t="s">
        <v>90</v>
      </c>
      <c r="D102" s="56"/>
      <c r="E102" s="73">
        <v>0.0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0.0</v>
      </c>
      <c r="L102" s="73">
        <v>0.0</v>
      </c>
      <c r="M102" s="73">
        <v>0.0</v>
      </c>
      <c r="N102" s="73">
        <v>0.0</v>
      </c>
      <c r="O102" s="73">
        <v>0.0</v>
      </c>
      <c r="P102" s="73">
        <v>0.0</v>
      </c>
      <c r="Q102" s="73">
        <v>0.0</v>
      </c>
      <c r="R102" s="73">
        <v>0.0</v>
      </c>
      <c r="S102" s="73">
        <v>0.0</v>
      </c>
      <c r="T102" s="73">
        <v>0.0</v>
      </c>
      <c r="U102" s="73">
        <v>0.0</v>
      </c>
      <c r="V102" s="73">
        <v>0.0</v>
      </c>
      <c r="W102" s="73">
        <v>0.0</v>
      </c>
      <c r="X102" s="73">
        <v>0.0</v>
      </c>
      <c r="Y102" s="73">
        <v>0.0</v>
      </c>
      <c r="Z102" s="73">
        <v>0.0</v>
      </c>
      <c r="AA102" s="13">
        <f t="shared" si="22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A103" si="23">SUM(E93:E102)</f>
        <v>5</v>
      </c>
      <c r="F103" s="13">
        <f t="shared" si="23"/>
        <v>3</v>
      </c>
      <c r="G103" s="13">
        <f t="shared" si="23"/>
        <v>0</v>
      </c>
      <c r="H103" s="13">
        <f t="shared" si="23"/>
        <v>10</v>
      </c>
      <c r="I103" s="13">
        <f t="shared" si="23"/>
        <v>11</v>
      </c>
      <c r="J103" s="13">
        <f t="shared" si="23"/>
        <v>0</v>
      </c>
      <c r="K103" s="13">
        <f t="shared" si="23"/>
        <v>2</v>
      </c>
      <c r="L103" s="13">
        <f t="shared" si="23"/>
        <v>9</v>
      </c>
      <c r="M103" s="13">
        <f t="shared" si="23"/>
        <v>0</v>
      </c>
      <c r="N103" s="13">
        <f t="shared" si="23"/>
        <v>3</v>
      </c>
      <c r="O103" s="13">
        <f t="shared" si="23"/>
        <v>1</v>
      </c>
      <c r="P103" s="13">
        <f t="shared" si="23"/>
        <v>3</v>
      </c>
      <c r="Q103" s="13">
        <f t="shared" si="23"/>
        <v>1</v>
      </c>
      <c r="R103" s="13">
        <f t="shared" si="23"/>
        <v>1</v>
      </c>
      <c r="S103" s="13">
        <f t="shared" si="23"/>
        <v>1</v>
      </c>
      <c r="T103" s="13">
        <f t="shared" si="23"/>
        <v>3</v>
      </c>
      <c r="U103" s="13">
        <f t="shared" si="23"/>
        <v>7</v>
      </c>
      <c r="V103" s="13">
        <f t="shared" si="23"/>
        <v>0</v>
      </c>
      <c r="W103" s="13">
        <f t="shared" si="23"/>
        <v>0</v>
      </c>
      <c r="X103" s="13">
        <f t="shared" si="23"/>
        <v>11</v>
      </c>
      <c r="Y103" s="13">
        <f t="shared" si="23"/>
        <v>6</v>
      </c>
      <c r="Z103" s="13">
        <f t="shared" si="23"/>
        <v>19</v>
      </c>
      <c r="AA103" s="13">
        <f t="shared" si="23"/>
        <v>96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0.0</v>
      </c>
      <c r="F105" s="73">
        <v>0.0</v>
      </c>
      <c r="G105" s="73">
        <v>1.0</v>
      </c>
      <c r="H105" s="73">
        <v>1.0</v>
      </c>
      <c r="I105" s="73">
        <v>1.0</v>
      </c>
      <c r="J105" s="73">
        <v>0.0</v>
      </c>
      <c r="K105" s="73">
        <v>0.0</v>
      </c>
      <c r="L105" s="73">
        <v>3.0</v>
      </c>
      <c r="M105" s="73">
        <v>0.0</v>
      </c>
      <c r="N105" s="73">
        <v>0.0</v>
      </c>
      <c r="O105" s="73">
        <v>0.0</v>
      </c>
      <c r="P105" s="73">
        <v>1.0</v>
      </c>
      <c r="Q105" s="73">
        <v>1.0</v>
      </c>
      <c r="R105" s="73">
        <v>0.0</v>
      </c>
      <c r="S105" s="73">
        <v>0.0</v>
      </c>
      <c r="T105" s="73">
        <v>0.0</v>
      </c>
      <c r="U105" s="73">
        <v>0.0</v>
      </c>
      <c r="V105" s="73">
        <v>0.0</v>
      </c>
      <c r="W105" s="73">
        <v>1.0</v>
      </c>
      <c r="X105" s="73">
        <v>0.0</v>
      </c>
      <c r="Y105" s="73">
        <v>4.0</v>
      </c>
      <c r="Z105" s="73">
        <v>0.0</v>
      </c>
      <c r="AA105" s="13">
        <f t="shared" ref="AA105:AA114" si="24">SUM(E105:Z105)</f>
        <v>13</v>
      </c>
    </row>
    <row r="106" ht="12.75" customHeight="1">
      <c r="A106" s="30" t="s">
        <v>39</v>
      </c>
      <c r="B106" s="49"/>
      <c r="C106" s="50" t="s">
        <v>93</v>
      </c>
      <c r="D106" s="51"/>
      <c r="E106" s="73">
        <v>0.0</v>
      </c>
      <c r="F106" s="73">
        <v>1.0</v>
      </c>
      <c r="G106" s="73">
        <v>0.0</v>
      </c>
      <c r="H106" s="73">
        <v>0.0</v>
      </c>
      <c r="I106" s="73">
        <v>1.0</v>
      </c>
      <c r="J106" s="73">
        <v>0.0</v>
      </c>
      <c r="K106" s="73">
        <v>0.0</v>
      </c>
      <c r="L106" s="73">
        <v>0.0</v>
      </c>
      <c r="M106" s="73">
        <v>1.0</v>
      </c>
      <c r="N106" s="73">
        <v>1.0</v>
      </c>
      <c r="O106" s="73">
        <v>0.0</v>
      </c>
      <c r="P106" s="73">
        <v>0.0</v>
      </c>
      <c r="Q106" s="73">
        <v>0.0</v>
      </c>
      <c r="R106" s="73">
        <v>0.0</v>
      </c>
      <c r="S106" s="73">
        <v>0.0</v>
      </c>
      <c r="T106" s="73">
        <v>0.0</v>
      </c>
      <c r="U106" s="73">
        <v>1.0</v>
      </c>
      <c r="V106" s="73">
        <v>0.0</v>
      </c>
      <c r="W106" s="73">
        <v>1.0</v>
      </c>
      <c r="X106" s="73">
        <v>0.0</v>
      </c>
      <c r="Y106" s="73">
        <v>0.0</v>
      </c>
      <c r="Z106" s="73">
        <v>1.0</v>
      </c>
      <c r="AA106" s="13">
        <f t="shared" si="24"/>
        <v>7</v>
      </c>
    </row>
    <row r="107" ht="12.75" customHeight="1">
      <c r="A107" s="18"/>
      <c r="B107" s="49"/>
      <c r="C107" s="50" t="s">
        <v>94</v>
      </c>
      <c r="D107" s="51"/>
      <c r="E107" s="73">
        <v>0.0</v>
      </c>
      <c r="F107" s="73">
        <v>0.0</v>
      </c>
      <c r="G107" s="73">
        <v>0.0</v>
      </c>
      <c r="H107" s="73">
        <v>0.0</v>
      </c>
      <c r="I107" s="73">
        <v>0.0</v>
      </c>
      <c r="J107" s="73">
        <v>0.0</v>
      </c>
      <c r="K107" s="73">
        <v>0.0</v>
      </c>
      <c r="L107" s="73">
        <v>0.0</v>
      </c>
      <c r="M107" s="73">
        <v>0.0</v>
      </c>
      <c r="N107" s="73">
        <v>0.0</v>
      </c>
      <c r="O107" s="73">
        <v>0.0</v>
      </c>
      <c r="P107" s="73">
        <v>0.0</v>
      </c>
      <c r="Q107" s="73">
        <v>0.0</v>
      </c>
      <c r="R107" s="73">
        <v>0.0</v>
      </c>
      <c r="S107" s="73">
        <v>1.0</v>
      </c>
      <c r="T107" s="73">
        <v>0.0</v>
      </c>
      <c r="U107" s="73">
        <v>0.0</v>
      </c>
      <c r="V107" s="73">
        <v>0.0</v>
      </c>
      <c r="W107" s="73">
        <v>0.0</v>
      </c>
      <c r="X107" s="73">
        <v>0.0</v>
      </c>
      <c r="Y107" s="73">
        <v>0.0</v>
      </c>
      <c r="Z107" s="73">
        <v>0.0</v>
      </c>
      <c r="AA107" s="13">
        <f t="shared" si="24"/>
        <v>1</v>
      </c>
    </row>
    <row r="108" ht="12.75" customHeight="1">
      <c r="A108" s="18"/>
      <c r="B108" s="57"/>
      <c r="C108" s="58"/>
      <c r="D108" s="59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3">
        <f t="shared" si="24"/>
        <v>0</v>
      </c>
    </row>
    <row r="109" ht="12.75" customHeight="1">
      <c r="A109" s="18"/>
      <c r="B109" s="57"/>
      <c r="C109" s="58"/>
      <c r="D109" s="59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3">
        <f t="shared" si="24"/>
        <v>0</v>
      </c>
    </row>
    <row r="110" ht="12.75" customHeight="1">
      <c r="A110" s="18"/>
      <c r="B110" s="57"/>
      <c r="C110" s="58"/>
      <c r="D110" s="59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3">
        <f t="shared" si="24"/>
        <v>0</v>
      </c>
    </row>
    <row r="111" ht="12.75" customHeight="1">
      <c r="A111" s="18"/>
      <c r="B111" s="57"/>
      <c r="C111" s="58"/>
      <c r="D111" s="59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3">
        <f t="shared" si="24"/>
        <v>0</v>
      </c>
    </row>
    <row r="112" ht="12.75" customHeight="1">
      <c r="A112" s="18"/>
      <c r="B112" s="57"/>
      <c r="C112" s="58"/>
      <c r="D112" s="59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3">
        <f t="shared" si="24"/>
        <v>0</v>
      </c>
    </row>
    <row r="113" ht="12.75" customHeight="1">
      <c r="A113" s="18"/>
      <c r="B113" s="57"/>
      <c r="C113" s="58"/>
      <c r="D113" s="59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3">
        <f t="shared" si="24"/>
        <v>0</v>
      </c>
    </row>
    <row r="114" ht="12.75" customHeight="1">
      <c r="A114" s="18"/>
      <c r="B114" s="57"/>
      <c r="C114" s="58"/>
      <c r="D114" s="59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3">
        <f t="shared" si="24"/>
        <v>0</v>
      </c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A115" si="25">SUM(E105:E114)</f>
        <v>0</v>
      </c>
      <c r="F115" s="13">
        <f t="shared" si="25"/>
        <v>1</v>
      </c>
      <c r="G115" s="13">
        <f t="shared" si="25"/>
        <v>1</v>
      </c>
      <c r="H115" s="13">
        <f t="shared" si="25"/>
        <v>1</v>
      </c>
      <c r="I115" s="13">
        <f t="shared" si="25"/>
        <v>2</v>
      </c>
      <c r="J115" s="13">
        <f t="shared" si="25"/>
        <v>0</v>
      </c>
      <c r="K115" s="13">
        <f t="shared" si="25"/>
        <v>0</v>
      </c>
      <c r="L115" s="13">
        <f t="shared" si="25"/>
        <v>3</v>
      </c>
      <c r="M115" s="13">
        <f t="shared" si="25"/>
        <v>1</v>
      </c>
      <c r="N115" s="13">
        <f t="shared" si="25"/>
        <v>1</v>
      </c>
      <c r="O115" s="13">
        <f t="shared" si="25"/>
        <v>0</v>
      </c>
      <c r="P115" s="13">
        <f t="shared" si="25"/>
        <v>1</v>
      </c>
      <c r="Q115" s="13">
        <f t="shared" si="25"/>
        <v>1</v>
      </c>
      <c r="R115" s="13">
        <f t="shared" si="25"/>
        <v>0</v>
      </c>
      <c r="S115" s="13">
        <f t="shared" si="25"/>
        <v>1</v>
      </c>
      <c r="T115" s="13">
        <f t="shared" si="25"/>
        <v>0</v>
      </c>
      <c r="U115" s="13">
        <f t="shared" si="25"/>
        <v>1</v>
      </c>
      <c r="V115" s="13">
        <f t="shared" si="25"/>
        <v>0</v>
      </c>
      <c r="W115" s="13">
        <f t="shared" si="25"/>
        <v>2</v>
      </c>
      <c r="X115" s="13">
        <f t="shared" si="25"/>
        <v>0</v>
      </c>
      <c r="Y115" s="13">
        <f t="shared" si="25"/>
        <v>4</v>
      </c>
      <c r="Z115" s="13">
        <f t="shared" si="25"/>
        <v>1</v>
      </c>
      <c r="AA115" s="13">
        <f t="shared" si="25"/>
        <v>21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0.0</v>
      </c>
      <c r="F117" s="73">
        <v>0.0</v>
      </c>
      <c r="G117" s="73">
        <v>0.0</v>
      </c>
      <c r="H117" s="73">
        <v>1.0</v>
      </c>
      <c r="I117" s="73">
        <v>0.0</v>
      </c>
      <c r="J117" s="73">
        <v>0.0</v>
      </c>
      <c r="K117" s="73">
        <v>0.0</v>
      </c>
      <c r="L117" s="73">
        <v>1.0</v>
      </c>
      <c r="M117" s="73">
        <v>1.0</v>
      </c>
      <c r="N117" s="73">
        <v>3.0</v>
      </c>
      <c r="O117" s="73">
        <v>0.0</v>
      </c>
      <c r="P117" s="73">
        <v>0.0</v>
      </c>
      <c r="Q117" s="73">
        <v>1.0</v>
      </c>
      <c r="R117" s="73">
        <v>0.0</v>
      </c>
      <c r="S117" s="73">
        <v>1.0</v>
      </c>
      <c r="T117" s="73">
        <v>1.0</v>
      </c>
      <c r="U117" s="73">
        <v>0.0</v>
      </c>
      <c r="V117" s="73">
        <v>0.0</v>
      </c>
      <c r="W117" s="73">
        <v>0.0</v>
      </c>
      <c r="X117" s="73">
        <v>1.0</v>
      </c>
      <c r="Y117" s="73">
        <v>0.0</v>
      </c>
      <c r="Z117" s="73">
        <v>0.0</v>
      </c>
      <c r="AA117" s="13">
        <f t="shared" ref="AA117:AA126" si="26">SUM(E117:Z117)</f>
        <v>10</v>
      </c>
    </row>
    <row r="118" ht="12.75" customHeight="1">
      <c r="A118" s="30" t="s">
        <v>39</v>
      </c>
      <c r="B118" s="49"/>
      <c r="C118" s="50" t="s">
        <v>97</v>
      </c>
      <c r="D118" s="51"/>
      <c r="E118" s="73">
        <v>1.0</v>
      </c>
      <c r="F118" s="73">
        <v>1.0</v>
      </c>
      <c r="G118" s="73">
        <v>0.0</v>
      </c>
      <c r="H118" s="73">
        <v>0.0</v>
      </c>
      <c r="I118" s="73">
        <v>1.0</v>
      </c>
      <c r="J118" s="73">
        <v>1.0</v>
      </c>
      <c r="K118" s="73">
        <v>0.0</v>
      </c>
      <c r="L118" s="73">
        <v>0.0</v>
      </c>
      <c r="M118" s="73">
        <v>0.0</v>
      </c>
      <c r="N118" s="73">
        <v>1.0</v>
      </c>
      <c r="O118" s="73">
        <v>0.0</v>
      </c>
      <c r="P118" s="73">
        <v>1.0</v>
      </c>
      <c r="Q118" s="73">
        <v>0.0</v>
      </c>
      <c r="R118" s="73">
        <v>0.0</v>
      </c>
      <c r="S118" s="73">
        <v>0.0</v>
      </c>
      <c r="T118" s="73">
        <v>0.0</v>
      </c>
      <c r="U118" s="73">
        <v>1.0</v>
      </c>
      <c r="V118" s="73">
        <v>0.0</v>
      </c>
      <c r="W118" s="73">
        <v>0.0</v>
      </c>
      <c r="X118" s="73">
        <v>0.0</v>
      </c>
      <c r="Y118" s="73">
        <v>0.0</v>
      </c>
      <c r="Z118" s="73">
        <v>0.0</v>
      </c>
      <c r="AA118" s="13">
        <f t="shared" si="26"/>
        <v>7</v>
      </c>
    </row>
    <row r="119" ht="12.75" customHeight="1">
      <c r="A119" s="18"/>
      <c r="B119" s="49"/>
      <c r="C119" s="50" t="s">
        <v>98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1.0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1.0</v>
      </c>
      <c r="Y119" s="73">
        <v>0.0</v>
      </c>
      <c r="Z119" s="73">
        <v>1.0</v>
      </c>
      <c r="AA119" s="13">
        <f t="shared" si="26"/>
        <v>3</v>
      </c>
    </row>
    <row r="120" ht="12.75" customHeight="1">
      <c r="A120" s="18"/>
      <c r="B120" s="49"/>
      <c r="C120" s="50" t="s">
        <v>99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1.0</v>
      </c>
      <c r="R120" s="73">
        <v>0.0</v>
      </c>
      <c r="S120" s="73">
        <v>1.0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13">
        <f t="shared" si="26"/>
        <v>2</v>
      </c>
    </row>
    <row r="121" ht="12.75" customHeight="1">
      <c r="A121" s="18"/>
      <c r="B121" s="49"/>
      <c r="C121" s="50" t="s">
        <v>100</v>
      </c>
      <c r="D121" s="51"/>
      <c r="E121" s="73">
        <v>0.0</v>
      </c>
      <c r="F121" s="73">
        <v>0.0</v>
      </c>
      <c r="G121" s="73">
        <v>0.0</v>
      </c>
      <c r="H121" s="73">
        <v>0.0</v>
      </c>
      <c r="I121" s="73">
        <v>0.0</v>
      </c>
      <c r="J121" s="73">
        <v>0.0</v>
      </c>
      <c r="K121" s="73">
        <v>0.0</v>
      </c>
      <c r="L121" s="73">
        <v>0.0</v>
      </c>
      <c r="M121" s="73">
        <v>0.0</v>
      </c>
      <c r="N121" s="73">
        <v>0.0</v>
      </c>
      <c r="O121" s="73">
        <v>0.0</v>
      </c>
      <c r="P121" s="73">
        <v>0.0</v>
      </c>
      <c r="Q121" s="73">
        <v>0.0</v>
      </c>
      <c r="R121" s="73">
        <v>0.0</v>
      </c>
      <c r="S121" s="73">
        <v>0.0</v>
      </c>
      <c r="T121" s="73">
        <v>0.0</v>
      </c>
      <c r="U121" s="73">
        <v>0.0</v>
      </c>
      <c r="V121" s="73">
        <v>0.0</v>
      </c>
      <c r="W121" s="73">
        <v>0.0</v>
      </c>
      <c r="X121" s="73">
        <v>0.0</v>
      </c>
      <c r="Y121" s="73">
        <v>0.0</v>
      </c>
      <c r="Z121" s="73">
        <v>0.0</v>
      </c>
      <c r="AA121" s="13">
        <f t="shared" si="26"/>
        <v>0</v>
      </c>
    </row>
    <row r="122" ht="12.75" customHeight="1">
      <c r="A122" s="18"/>
      <c r="B122" s="49"/>
      <c r="C122" s="50" t="s">
        <v>101</v>
      </c>
      <c r="D122" s="51"/>
      <c r="E122" s="73">
        <v>0.0</v>
      </c>
      <c r="F122" s="73">
        <v>0.0</v>
      </c>
      <c r="G122" s="73">
        <v>0.0</v>
      </c>
      <c r="H122" s="73">
        <v>0.0</v>
      </c>
      <c r="I122" s="73">
        <v>0.0</v>
      </c>
      <c r="J122" s="73">
        <v>0.0</v>
      </c>
      <c r="K122" s="73">
        <v>0.0</v>
      </c>
      <c r="L122" s="73">
        <v>0.0</v>
      </c>
      <c r="M122" s="73">
        <v>0.0</v>
      </c>
      <c r="N122" s="73">
        <v>0.0</v>
      </c>
      <c r="O122" s="73">
        <v>0.0</v>
      </c>
      <c r="P122" s="73">
        <v>0.0</v>
      </c>
      <c r="Q122" s="73">
        <v>0.0</v>
      </c>
      <c r="R122" s="73">
        <v>0.0</v>
      </c>
      <c r="S122" s="73">
        <v>0.0</v>
      </c>
      <c r="T122" s="73">
        <v>0.0</v>
      </c>
      <c r="U122" s="73">
        <v>0.0</v>
      </c>
      <c r="V122" s="73">
        <v>0.0</v>
      </c>
      <c r="W122" s="73">
        <v>0.0</v>
      </c>
      <c r="X122" s="73">
        <v>1.0</v>
      </c>
      <c r="Y122" s="73">
        <v>0.0</v>
      </c>
      <c r="Z122" s="73">
        <v>0.0</v>
      </c>
      <c r="AA122" s="13">
        <f t="shared" si="26"/>
        <v>1</v>
      </c>
    </row>
    <row r="123" ht="12.75" customHeight="1">
      <c r="A123" s="18"/>
      <c r="B123" s="57"/>
      <c r="C123" s="58"/>
      <c r="D123" s="59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13">
        <f t="shared" si="26"/>
        <v>0</v>
      </c>
    </row>
    <row r="124" ht="12.75" customHeight="1">
      <c r="A124" s="18"/>
      <c r="B124" s="57"/>
      <c r="C124" s="58"/>
      <c r="D124" s="59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13">
        <f t="shared" si="26"/>
        <v>0</v>
      </c>
    </row>
    <row r="125" ht="12.75" customHeight="1">
      <c r="A125" s="18"/>
      <c r="B125" s="57"/>
      <c r="C125" s="58"/>
      <c r="D125" s="59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13">
        <f t="shared" si="26"/>
        <v>0</v>
      </c>
    </row>
    <row r="126" ht="12.75" customHeight="1">
      <c r="A126" s="18"/>
      <c r="B126" s="57"/>
      <c r="C126" s="58"/>
      <c r="D126" s="59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13">
        <f t="shared" si="26"/>
        <v>0</v>
      </c>
    </row>
    <row r="127" ht="12.75" customHeight="1">
      <c r="A127" s="19" t="s">
        <v>15</v>
      </c>
      <c r="B127" s="47" t="s">
        <v>49</v>
      </c>
      <c r="C127" s="15"/>
      <c r="D127" s="16"/>
      <c r="E127" s="13">
        <f t="shared" ref="E127:AA127" si="27">SUM(E117:E126)</f>
        <v>1</v>
      </c>
      <c r="F127" s="13">
        <f t="shared" si="27"/>
        <v>1</v>
      </c>
      <c r="G127" s="13">
        <f t="shared" si="27"/>
        <v>0</v>
      </c>
      <c r="H127" s="13">
        <f t="shared" si="27"/>
        <v>1</v>
      </c>
      <c r="I127" s="13">
        <f t="shared" si="27"/>
        <v>1</v>
      </c>
      <c r="J127" s="13">
        <f t="shared" si="27"/>
        <v>1</v>
      </c>
      <c r="K127" s="13">
        <f t="shared" si="27"/>
        <v>0</v>
      </c>
      <c r="L127" s="13">
        <f t="shared" si="27"/>
        <v>1</v>
      </c>
      <c r="M127" s="13">
        <f t="shared" si="27"/>
        <v>1</v>
      </c>
      <c r="N127" s="13">
        <f t="shared" si="27"/>
        <v>4</v>
      </c>
      <c r="O127" s="13">
        <f t="shared" si="27"/>
        <v>0</v>
      </c>
      <c r="P127" s="13">
        <f t="shared" si="27"/>
        <v>2</v>
      </c>
      <c r="Q127" s="13">
        <f t="shared" si="27"/>
        <v>2</v>
      </c>
      <c r="R127" s="13">
        <f t="shared" si="27"/>
        <v>0</v>
      </c>
      <c r="S127" s="13">
        <f t="shared" si="27"/>
        <v>2</v>
      </c>
      <c r="T127" s="13">
        <f t="shared" si="27"/>
        <v>1</v>
      </c>
      <c r="U127" s="13">
        <f t="shared" si="27"/>
        <v>1</v>
      </c>
      <c r="V127" s="13">
        <f t="shared" si="27"/>
        <v>0</v>
      </c>
      <c r="W127" s="13">
        <f t="shared" si="27"/>
        <v>0</v>
      </c>
      <c r="X127" s="13">
        <f t="shared" si="27"/>
        <v>3</v>
      </c>
      <c r="Y127" s="13">
        <f t="shared" si="27"/>
        <v>0</v>
      </c>
      <c r="Z127" s="13">
        <f t="shared" si="27"/>
        <v>1</v>
      </c>
      <c r="AA127" s="13">
        <f t="shared" si="27"/>
        <v>23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0.0</v>
      </c>
      <c r="F129" s="73">
        <v>0.0</v>
      </c>
      <c r="G129" s="73">
        <v>1.0</v>
      </c>
      <c r="H129" s="73">
        <v>0.0</v>
      </c>
      <c r="I129" s="73">
        <v>0.0</v>
      </c>
      <c r="J129" s="73">
        <v>0.0</v>
      </c>
      <c r="K129" s="73">
        <v>0.0</v>
      </c>
      <c r="L129" s="73">
        <v>0.0</v>
      </c>
      <c r="M129" s="73">
        <v>1.0</v>
      </c>
      <c r="N129" s="73">
        <v>2.0</v>
      </c>
      <c r="O129" s="73">
        <v>1.0</v>
      </c>
      <c r="P129" s="73">
        <v>0.0</v>
      </c>
      <c r="Q129" s="73">
        <v>0.0</v>
      </c>
      <c r="R129" s="73">
        <v>0.0</v>
      </c>
      <c r="S129" s="73">
        <v>0.0</v>
      </c>
      <c r="T129" s="73">
        <v>1.0</v>
      </c>
      <c r="U129" s="73">
        <v>0.0</v>
      </c>
      <c r="V129" s="73">
        <v>0.0</v>
      </c>
      <c r="W129" s="73">
        <v>1.0</v>
      </c>
      <c r="X129" s="73">
        <v>1.0</v>
      </c>
      <c r="Y129" s="73">
        <v>0.0</v>
      </c>
      <c r="Z129" s="73">
        <v>2.0</v>
      </c>
      <c r="AA129" s="13">
        <f t="shared" ref="AA129:AA138" si="28">SUM(E129:Z129)</f>
        <v>10</v>
      </c>
    </row>
    <row r="130" ht="12.75" customHeight="1">
      <c r="A130" s="30" t="s">
        <v>39</v>
      </c>
      <c r="B130" s="49"/>
      <c r="C130" s="50" t="s">
        <v>104</v>
      </c>
      <c r="D130" s="51"/>
      <c r="E130" s="73">
        <v>0.0</v>
      </c>
      <c r="F130" s="73">
        <v>0.0</v>
      </c>
      <c r="G130" s="73">
        <v>0.0</v>
      </c>
      <c r="H130" s="73">
        <v>2.0</v>
      </c>
      <c r="I130" s="73">
        <v>0.0</v>
      </c>
      <c r="J130" s="73">
        <v>0.0</v>
      </c>
      <c r="K130" s="73">
        <v>2.0</v>
      </c>
      <c r="L130" s="73">
        <v>0.0</v>
      </c>
      <c r="M130" s="73">
        <v>0.0</v>
      </c>
      <c r="N130" s="73">
        <v>1.0</v>
      </c>
      <c r="O130" s="73">
        <v>0.0</v>
      </c>
      <c r="P130" s="73">
        <v>0.0</v>
      </c>
      <c r="Q130" s="73">
        <v>0.0</v>
      </c>
      <c r="R130" s="73">
        <v>1.0</v>
      </c>
      <c r="S130" s="73">
        <v>0.0</v>
      </c>
      <c r="T130" s="73">
        <v>2.0</v>
      </c>
      <c r="U130" s="73">
        <v>0.0</v>
      </c>
      <c r="V130" s="73">
        <v>0.0</v>
      </c>
      <c r="W130" s="73">
        <v>2.0</v>
      </c>
      <c r="X130" s="73">
        <v>3.0</v>
      </c>
      <c r="Y130" s="73">
        <v>1.0</v>
      </c>
      <c r="Z130" s="73">
        <v>2.0</v>
      </c>
      <c r="AA130" s="13">
        <f t="shared" si="28"/>
        <v>16</v>
      </c>
    </row>
    <row r="131" ht="12.75" customHeight="1">
      <c r="A131" s="18"/>
      <c r="B131" s="49"/>
      <c r="C131" s="50" t="s">
        <v>105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0.0</v>
      </c>
      <c r="N131" s="73">
        <v>0.0</v>
      </c>
      <c r="O131" s="73">
        <v>0.0</v>
      </c>
      <c r="P131" s="73">
        <v>1.0</v>
      </c>
      <c r="Q131" s="73">
        <v>1.0</v>
      </c>
      <c r="R131" s="73">
        <v>0.0</v>
      </c>
      <c r="S131" s="73">
        <v>0.0</v>
      </c>
      <c r="T131" s="73">
        <v>0.0</v>
      </c>
      <c r="U131" s="73">
        <v>0.0</v>
      </c>
      <c r="V131" s="73">
        <v>0.0</v>
      </c>
      <c r="W131" s="73">
        <v>0.0</v>
      </c>
      <c r="X131" s="73">
        <v>1.0</v>
      </c>
      <c r="Y131" s="73">
        <v>0.0</v>
      </c>
      <c r="Z131" s="73">
        <v>0.0</v>
      </c>
      <c r="AA131" s="13">
        <f t="shared" si="28"/>
        <v>3</v>
      </c>
    </row>
    <row r="132" ht="12.75" customHeight="1">
      <c r="A132" s="18"/>
      <c r="B132" s="49"/>
      <c r="C132" s="50" t="s">
        <v>106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0.0</v>
      </c>
      <c r="V132" s="73">
        <v>0.0</v>
      </c>
      <c r="W132" s="73">
        <v>0.0</v>
      </c>
      <c r="X132" s="73">
        <v>0.0</v>
      </c>
      <c r="Y132" s="73">
        <v>0.0</v>
      </c>
      <c r="Z132" s="73">
        <v>0.0</v>
      </c>
      <c r="AA132" s="13">
        <f t="shared" si="28"/>
        <v>0</v>
      </c>
    </row>
    <row r="133" ht="12.75" customHeight="1">
      <c r="A133" s="18"/>
      <c r="B133" s="49"/>
      <c r="C133" s="50" t="s">
        <v>107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1.0</v>
      </c>
      <c r="K133" s="73">
        <v>0.0</v>
      </c>
      <c r="L133" s="73">
        <v>0.0</v>
      </c>
      <c r="M133" s="73">
        <v>1.0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13">
        <f t="shared" si="28"/>
        <v>2</v>
      </c>
    </row>
    <row r="134" ht="12.75" customHeight="1">
      <c r="A134" s="18"/>
      <c r="B134" s="49"/>
      <c r="C134" s="50" t="s">
        <v>108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2.0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1.0</v>
      </c>
      <c r="W134" s="73">
        <v>0.0</v>
      </c>
      <c r="X134" s="73">
        <v>0.0</v>
      </c>
      <c r="Y134" s="73">
        <v>0.0</v>
      </c>
      <c r="Z134" s="73">
        <v>0.0</v>
      </c>
      <c r="AA134" s="13">
        <f t="shared" si="28"/>
        <v>3</v>
      </c>
    </row>
    <row r="135" ht="12.75" customHeight="1">
      <c r="A135" s="18"/>
      <c r="B135" s="49"/>
      <c r="C135" s="50" t="s">
        <v>109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0.0</v>
      </c>
      <c r="AA135" s="13">
        <f t="shared" si="28"/>
        <v>0</v>
      </c>
    </row>
    <row r="136" ht="12.75" customHeight="1">
      <c r="A136" s="18"/>
      <c r="B136" s="49"/>
      <c r="C136" s="50" t="s">
        <v>110</v>
      </c>
      <c r="D136" s="51"/>
      <c r="E136" s="73">
        <v>0.0</v>
      </c>
      <c r="F136" s="73">
        <v>0.0</v>
      </c>
      <c r="G136" s="73">
        <v>0.0</v>
      </c>
      <c r="H136" s="73">
        <v>0.0</v>
      </c>
      <c r="I136" s="73">
        <v>0.0</v>
      </c>
      <c r="J136" s="73">
        <v>0.0</v>
      </c>
      <c r="K136" s="73">
        <v>0.0</v>
      </c>
      <c r="L136" s="73">
        <v>0.0</v>
      </c>
      <c r="M136" s="73">
        <v>0.0</v>
      </c>
      <c r="N136" s="73">
        <v>0.0</v>
      </c>
      <c r="O136" s="73">
        <v>0.0</v>
      </c>
      <c r="P136" s="73">
        <v>0.0</v>
      </c>
      <c r="Q136" s="73">
        <v>0.0</v>
      </c>
      <c r="R136" s="73">
        <v>0.0</v>
      </c>
      <c r="S136" s="73">
        <v>0.0</v>
      </c>
      <c r="T136" s="73">
        <v>0.0</v>
      </c>
      <c r="U136" s="73">
        <v>0.0</v>
      </c>
      <c r="V136" s="73">
        <v>0.0</v>
      </c>
      <c r="W136" s="73">
        <v>0.0</v>
      </c>
      <c r="X136" s="73">
        <v>0.0</v>
      </c>
      <c r="Y136" s="73">
        <v>0.0</v>
      </c>
      <c r="Z136" s="73">
        <v>0.0</v>
      </c>
      <c r="AA136" s="13">
        <f t="shared" si="28"/>
        <v>0</v>
      </c>
    </row>
    <row r="137" ht="12.75" customHeight="1">
      <c r="A137" s="18"/>
      <c r="B137" s="49"/>
      <c r="C137" s="50" t="s">
        <v>111</v>
      </c>
      <c r="D137" s="51"/>
      <c r="E137" s="73">
        <v>0.0</v>
      </c>
      <c r="F137" s="73">
        <v>0.0</v>
      </c>
      <c r="G137" s="73">
        <v>0.0</v>
      </c>
      <c r="H137" s="73">
        <v>0.0</v>
      </c>
      <c r="I137" s="73">
        <v>0.0</v>
      </c>
      <c r="J137" s="73">
        <v>0.0</v>
      </c>
      <c r="K137" s="73">
        <v>0.0</v>
      </c>
      <c r="L137" s="73">
        <v>0.0</v>
      </c>
      <c r="M137" s="73">
        <v>0.0</v>
      </c>
      <c r="N137" s="73">
        <v>0.0</v>
      </c>
      <c r="O137" s="73">
        <v>0.0</v>
      </c>
      <c r="P137" s="73">
        <v>0.0</v>
      </c>
      <c r="Q137" s="73">
        <v>0.0</v>
      </c>
      <c r="R137" s="73">
        <v>0.0</v>
      </c>
      <c r="S137" s="73">
        <v>0.0</v>
      </c>
      <c r="T137" s="73">
        <v>0.0</v>
      </c>
      <c r="U137" s="73">
        <v>0.0</v>
      </c>
      <c r="V137" s="73">
        <v>0.0</v>
      </c>
      <c r="W137" s="73">
        <v>0.0</v>
      </c>
      <c r="X137" s="73">
        <v>0.0</v>
      </c>
      <c r="Y137" s="73">
        <v>0.0</v>
      </c>
      <c r="Z137" s="73">
        <v>0.0</v>
      </c>
      <c r="AA137" s="13">
        <f t="shared" si="28"/>
        <v>0</v>
      </c>
    </row>
    <row r="138" ht="12.75" customHeight="1">
      <c r="A138" s="18"/>
      <c r="B138" s="49"/>
      <c r="C138" s="50" t="s">
        <v>112</v>
      </c>
      <c r="D138" s="51"/>
      <c r="E138" s="73">
        <v>0.0</v>
      </c>
      <c r="F138" s="73">
        <v>0.0</v>
      </c>
      <c r="G138" s="73">
        <v>0.0</v>
      </c>
      <c r="H138" s="73">
        <v>0.0</v>
      </c>
      <c r="I138" s="73">
        <v>0.0</v>
      </c>
      <c r="J138" s="73">
        <v>0.0</v>
      </c>
      <c r="K138" s="73">
        <v>0.0</v>
      </c>
      <c r="L138" s="73">
        <v>0.0</v>
      </c>
      <c r="M138" s="73">
        <v>0.0</v>
      </c>
      <c r="N138" s="73">
        <v>0.0</v>
      </c>
      <c r="O138" s="73">
        <v>0.0</v>
      </c>
      <c r="P138" s="73">
        <v>0.0</v>
      </c>
      <c r="Q138" s="73">
        <v>0.0</v>
      </c>
      <c r="R138" s="73">
        <v>0.0</v>
      </c>
      <c r="S138" s="73">
        <v>0.0</v>
      </c>
      <c r="T138" s="73">
        <v>0.0</v>
      </c>
      <c r="U138" s="73">
        <v>0.0</v>
      </c>
      <c r="V138" s="73">
        <v>0.0</v>
      </c>
      <c r="W138" s="73">
        <v>0.0</v>
      </c>
      <c r="X138" s="73">
        <v>0.0</v>
      </c>
      <c r="Y138" s="73">
        <v>0.0</v>
      </c>
      <c r="Z138" s="73">
        <v>0.0</v>
      </c>
      <c r="AA138" s="13">
        <f t="shared" si="28"/>
        <v>0</v>
      </c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A139" si="29">SUM(E129:E138)</f>
        <v>0</v>
      </c>
      <c r="F139" s="13">
        <f t="shared" si="29"/>
        <v>0</v>
      </c>
      <c r="G139" s="13">
        <f t="shared" si="29"/>
        <v>1</v>
      </c>
      <c r="H139" s="13">
        <f t="shared" si="29"/>
        <v>2</v>
      </c>
      <c r="I139" s="13">
        <f t="shared" si="29"/>
        <v>0</v>
      </c>
      <c r="J139" s="13">
        <f t="shared" si="29"/>
        <v>1</v>
      </c>
      <c r="K139" s="13">
        <f t="shared" si="29"/>
        <v>2</v>
      </c>
      <c r="L139" s="13">
        <f t="shared" si="29"/>
        <v>0</v>
      </c>
      <c r="M139" s="13">
        <f t="shared" si="29"/>
        <v>4</v>
      </c>
      <c r="N139" s="13">
        <f t="shared" si="29"/>
        <v>3</v>
      </c>
      <c r="O139" s="13">
        <f t="shared" si="29"/>
        <v>1</v>
      </c>
      <c r="P139" s="13">
        <f t="shared" si="29"/>
        <v>1</v>
      </c>
      <c r="Q139" s="13">
        <f t="shared" si="29"/>
        <v>1</v>
      </c>
      <c r="R139" s="13">
        <f t="shared" si="29"/>
        <v>1</v>
      </c>
      <c r="S139" s="13">
        <f t="shared" si="29"/>
        <v>0</v>
      </c>
      <c r="T139" s="13">
        <f t="shared" si="29"/>
        <v>3</v>
      </c>
      <c r="U139" s="13">
        <f t="shared" si="29"/>
        <v>0</v>
      </c>
      <c r="V139" s="13">
        <f t="shared" si="29"/>
        <v>1</v>
      </c>
      <c r="W139" s="13">
        <f t="shared" si="29"/>
        <v>3</v>
      </c>
      <c r="X139" s="13">
        <f t="shared" si="29"/>
        <v>5</v>
      </c>
      <c r="Y139" s="13">
        <f t="shared" si="29"/>
        <v>1</v>
      </c>
      <c r="Z139" s="13">
        <f t="shared" si="29"/>
        <v>4</v>
      </c>
      <c r="AA139" s="13">
        <f t="shared" si="29"/>
        <v>34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1.0</v>
      </c>
      <c r="Z141" s="73">
        <v>0.0</v>
      </c>
      <c r="AA141" s="13">
        <f t="shared" ref="AA141:AA150" si="30">SUM(E141:Z141)</f>
        <v>1</v>
      </c>
    </row>
    <row r="142" ht="12.75" customHeight="1">
      <c r="A142" s="30" t="s">
        <v>39</v>
      </c>
      <c r="B142" s="49"/>
      <c r="C142" s="50" t="s">
        <v>115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1.0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13">
        <f t="shared" si="30"/>
        <v>1</v>
      </c>
    </row>
    <row r="143" ht="12.75" customHeight="1">
      <c r="A143" s="18"/>
      <c r="B143" s="49"/>
      <c r="C143" s="50" t="s">
        <v>116</v>
      </c>
      <c r="D143" s="51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73">
        <v>0.0</v>
      </c>
      <c r="W143" s="73">
        <v>0.0</v>
      </c>
      <c r="X143" s="73">
        <v>0.0</v>
      </c>
      <c r="Y143" s="73">
        <v>0.0</v>
      </c>
      <c r="Z143" s="73">
        <v>0.0</v>
      </c>
      <c r="AA143" s="13">
        <f t="shared" si="30"/>
        <v>0</v>
      </c>
    </row>
    <row r="144" ht="12.75" customHeight="1">
      <c r="A144" s="18"/>
      <c r="B144" s="49"/>
      <c r="C144" s="50" t="s">
        <v>117</v>
      </c>
      <c r="D144" s="51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73">
        <v>0.0</v>
      </c>
      <c r="W144" s="73">
        <v>0.0</v>
      </c>
      <c r="X144" s="73">
        <v>0.0</v>
      </c>
      <c r="Y144" s="73">
        <v>0.0</v>
      </c>
      <c r="Z144" s="73">
        <v>0.0</v>
      </c>
      <c r="AA144" s="13">
        <f t="shared" si="30"/>
        <v>0</v>
      </c>
    </row>
    <row r="145" ht="12.75" customHeight="1">
      <c r="A145" s="18"/>
      <c r="B145" s="57"/>
      <c r="C145" s="58"/>
      <c r="D145" s="5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3">
        <f t="shared" si="30"/>
        <v>0</v>
      </c>
    </row>
    <row r="146" ht="12.75" customHeight="1">
      <c r="A146" s="18"/>
      <c r="B146" s="57"/>
      <c r="C146" s="58"/>
      <c r="D146" s="5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3">
        <f t="shared" si="30"/>
        <v>0</v>
      </c>
    </row>
    <row r="147" ht="12.75" customHeight="1">
      <c r="A147" s="18"/>
      <c r="B147" s="57"/>
      <c r="C147" s="58"/>
      <c r="D147" s="5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3">
        <f t="shared" si="30"/>
        <v>0</v>
      </c>
    </row>
    <row r="148" ht="12.75" customHeight="1">
      <c r="A148" s="18"/>
      <c r="B148" s="57"/>
      <c r="C148" s="58"/>
      <c r="D148" s="5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3">
        <f t="shared" si="30"/>
        <v>0</v>
      </c>
    </row>
    <row r="149" ht="12.75" customHeight="1">
      <c r="A149" s="18"/>
      <c r="B149" s="57"/>
      <c r="C149" s="58"/>
      <c r="D149" s="5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3">
        <f t="shared" si="30"/>
        <v>0</v>
      </c>
    </row>
    <row r="150" ht="12.75" customHeight="1">
      <c r="A150" s="18"/>
      <c r="B150" s="57"/>
      <c r="C150" s="58"/>
      <c r="D150" s="5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3">
        <f t="shared" si="30"/>
        <v>0</v>
      </c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A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1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1</v>
      </c>
      <c r="Z151" s="13">
        <f t="shared" si="31"/>
        <v>0</v>
      </c>
      <c r="AA151" s="13">
        <f t="shared" si="31"/>
        <v>2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13"/>
    </row>
    <row r="153" ht="12.75" customHeight="1">
      <c r="A153" s="30" t="s">
        <v>37</v>
      </c>
      <c r="B153" s="17" t="s">
        <v>118</v>
      </c>
      <c r="C153" s="62" t="s">
        <v>119</v>
      </c>
      <c r="D153" s="23"/>
      <c r="E153" s="73">
        <v>0.0</v>
      </c>
      <c r="F153" s="73">
        <v>0.0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1.0</v>
      </c>
      <c r="O153" s="73">
        <v>0.0</v>
      </c>
      <c r="P153" s="73">
        <v>0.0</v>
      </c>
      <c r="Q153" s="73">
        <v>0.0</v>
      </c>
      <c r="R153" s="73">
        <v>0.0</v>
      </c>
      <c r="S153" s="73">
        <v>1.0</v>
      </c>
      <c r="T153" s="73">
        <v>0.0</v>
      </c>
      <c r="U153" s="73">
        <v>0.0</v>
      </c>
      <c r="V153" s="73">
        <v>0.0</v>
      </c>
      <c r="W153" s="73">
        <v>0.0</v>
      </c>
      <c r="X153" s="73">
        <v>0.0</v>
      </c>
      <c r="Y153" s="73">
        <v>0.0</v>
      </c>
      <c r="Z153" s="73">
        <v>0.0</v>
      </c>
      <c r="AA153" s="13">
        <f t="shared" ref="AA153:AA162" si="32">SUM(E153:Z153)</f>
        <v>2</v>
      </c>
    </row>
    <row r="154" ht="12.75" customHeight="1">
      <c r="A154" s="63" t="s">
        <v>39</v>
      </c>
      <c r="B154" s="49"/>
      <c r="C154" s="50" t="s">
        <v>120</v>
      </c>
      <c r="D154" s="51"/>
      <c r="E154" s="80">
        <v>0.0</v>
      </c>
      <c r="F154" s="73">
        <v>0.0</v>
      </c>
      <c r="G154" s="73">
        <v>1.0</v>
      </c>
      <c r="H154" s="73">
        <v>0.0</v>
      </c>
      <c r="I154" s="73">
        <v>0.0</v>
      </c>
      <c r="J154" s="73">
        <v>0.0</v>
      </c>
      <c r="K154" s="73">
        <v>0.0</v>
      </c>
      <c r="L154" s="73">
        <v>0.0</v>
      </c>
      <c r="M154" s="73">
        <v>0.0</v>
      </c>
      <c r="N154" s="73">
        <v>0.0</v>
      </c>
      <c r="O154" s="73">
        <v>0.0</v>
      </c>
      <c r="P154" s="73">
        <v>0.0</v>
      </c>
      <c r="Q154" s="73">
        <v>0.0</v>
      </c>
      <c r="R154" s="73">
        <v>0.0</v>
      </c>
      <c r="S154" s="73">
        <v>0.0</v>
      </c>
      <c r="T154" s="73">
        <v>0.0</v>
      </c>
      <c r="U154" s="73">
        <v>1.0</v>
      </c>
      <c r="V154" s="73">
        <v>0.0</v>
      </c>
      <c r="W154" s="73">
        <v>0.0</v>
      </c>
      <c r="X154" s="73">
        <v>0.0</v>
      </c>
      <c r="Y154" s="73">
        <v>0.0</v>
      </c>
      <c r="Z154" s="73">
        <v>0.0</v>
      </c>
      <c r="AA154" s="13">
        <f t="shared" si="32"/>
        <v>2</v>
      </c>
    </row>
    <row r="155" ht="12.75" customHeight="1">
      <c r="A155" s="18"/>
      <c r="B155" s="49"/>
      <c r="C155" s="50" t="s">
        <v>121</v>
      </c>
      <c r="D155" s="51"/>
      <c r="E155" s="80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1.0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1.0</v>
      </c>
      <c r="T155" s="73">
        <v>0.0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73">
        <v>0.0</v>
      </c>
      <c r="AA155" s="13">
        <f t="shared" si="32"/>
        <v>2</v>
      </c>
    </row>
    <row r="156" ht="12.75" customHeight="1">
      <c r="A156" s="18"/>
      <c r="B156" s="49"/>
      <c r="C156" s="50" t="s">
        <v>122</v>
      </c>
      <c r="D156" s="51"/>
      <c r="E156" s="80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1.0</v>
      </c>
      <c r="N156" s="73">
        <v>0.0</v>
      </c>
      <c r="O156" s="73">
        <v>1.0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1.0</v>
      </c>
      <c r="Z156" s="73">
        <v>0.0</v>
      </c>
      <c r="AA156" s="13">
        <f t="shared" si="32"/>
        <v>3</v>
      </c>
    </row>
    <row r="157" ht="12.75" customHeight="1">
      <c r="A157" s="18"/>
      <c r="B157" s="49"/>
      <c r="C157" s="50" t="s">
        <v>123</v>
      </c>
      <c r="D157" s="51"/>
      <c r="E157" s="80">
        <v>0.0</v>
      </c>
      <c r="F157" s="73">
        <v>0.0</v>
      </c>
      <c r="G157" s="73">
        <v>1.0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13">
        <f t="shared" si="32"/>
        <v>1</v>
      </c>
    </row>
    <row r="158" ht="12.75" customHeight="1">
      <c r="A158" s="18"/>
      <c r="B158" s="49"/>
      <c r="C158" s="50" t="s">
        <v>124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0.0</v>
      </c>
      <c r="Z158" s="73">
        <v>0.0</v>
      </c>
      <c r="AA158" s="13">
        <f t="shared" si="32"/>
        <v>0</v>
      </c>
    </row>
    <row r="159" ht="12.75" customHeight="1">
      <c r="A159" s="18"/>
      <c r="B159" s="49"/>
      <c r="C159" s="50" t="s">
        <v>125</v>
      </c>
      <c r="D159" s="51"/>
      <c r="E159" s="80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1.0</v>
      </c>
      <c r="S159" s="73">
        <v>0.0</v>
      </c>
      <c r="T159" s="73">
        <v>1.0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13">
        <f t="shared" si="32"/>
        <v>2</v>
      </c>
    </row>
    <row r="160" ht="12.75" customHeight="1">
      <c r="A160" s="18"/>
      <c r="B160" s="49"/>
      <c r="C160" s="50" t="s">
        <v>126</v>
      </c>
      <c r="D160" s="51"/>
      <c r="E160" s="80">
        <v>0.0</v>
      </c>
      <c r="F160" s="73">
        <v>0.0</v>
      </c>
      <c r="G160" s="73">
        <v>0.0</v>
      </c>
      <c r="H160" s="73">
        <v>0.0</v>
      </c>
      <c r="I160" s="73">
        <v>0.0</v>
      </c>
      <c r="J160" s="73">
        <v>0.0</v>
      </c>
      <c r="K160" s="73">
        <v>0.0</v>
      </c>
      <c r="L160" s="73">
        <v>0.0</v>
      </c>
      <c r="M160" s="73">
        <v>0.0</v>
      </c>
      <c r="N160" s="73">
        <v>0.0</v>
      </c>
      <c r="O160" s="73">
        <v>0.0</v>
      </c>
      <c r="P160" s="73">
        <v>0.0</v>
      </c>
      <c r="Q160" s="73">
        <v>0.0</v>
      </c>
      <c r="R160" s="73">
        <v>0.0</v>
      </c>
      <c r="S160" s="73">
        <v>0.0</v>
      </c>
      <c r="T160" s="73">
        <v>0.0</v>
      </c>
      <c r="U160" s="73">
        <v>0.0</v>
      </c>
      <c r="V160" s="73">
        <v>0.0</v>
      </c>
      <c r="W160" s="73">
        <v>0.0</v>
      </c>
      <c r="X160" s="73">
        <v>0.0</v>
      </c>
      <c r="Y160" s="73">
        <v>0.0</v>
      </c>
      <c r="Z160" s="73">
        <v>0.0</v>
      </c>
      <c r="AA160" s="13">
        <f t="shared" si="32"/>
        <v>0</v>
      </c>
    </row>
    <row r="161" ht="12.75" customHeight="1">
      <c r="A161" s="18"/>
      <c r="B161" s="57"/>
      <c r="C161" s="64"/>
      <c r="D161" s="59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3">
        <f t="shared" si="32"/>
        <v>0</v>
      </c>
    </row>
    <row r="162" ht="12.75" customHeight="1">
      <c r="A162" s="18"/>
      <c r="B162" s="57"/>
      <c r="C162" s="64"/>
      <c r="D162" s="59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3">
        <f t="shared" si="32"/>
        <v>0</v>
      </c>
    </row>
    <row r="163" ht="12.75" customHeight="1">
      <c r="A163" s="19" t="s">
        <v>15</v>
      </c>
      <c r="B163" s="65" t="s">
        <v>49</v>
      </c>
      <c r="C163" s="44"/>
      <c r="D163" s="28"/>
      <c r="E163" s="13">
        <f t="shared" ref="E163:AA163" si="33">SUM(E153:E162)</f>
        <v>0</v>
      </c>
      <c r="F163" s="13">
        <f t="shared" si="33"/>
        <v>0</v>
      </c>
      <c r="G163" s="13">
        <f t="shared" si="33"/>
        <v>2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2</v>
      </c>
      <c r="N163" s="13">
        <f t="shared" si="33"/>
        <v>1</v>
      </c>
      <c r="O163" s="13">
        <f t="shared" si="33"/>
        <v>1</v>
      </c>
      <c r="P163" s="13">
        <f t="shared" si="33"/>
        <v>0</v>
      </c>
      <c r="Q163" s="13">
        <f t="shared" si="33"/>
        <v>0</v>
      </c>
      <c r="R163" s="13">
        <f t="shared" si="33"/>
        <v>1</v>
      </c>
      <c r="S163" s="13">
        <f t="shared" si="33"/>
        <v>2</v>
      </c>
      <c r="T163" s="13">
        <f t="shared" si="33"/>
        <v>1</v>
      </c>
      <c r="U163" s="13">
        <f t="shared" si="33"/>
        <v>1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1</v>
      </c>
      <c r="Z163" s="13">
        <f t="shared" si="33"/>
        <v>0</v>
      </c>
      <c r="AA163" s="13">
        <f t="shared" si="33"/>
        <v>12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0.0</v>
      </c>
      <c r="F165" s="73">
        <v>1.0</v>
      </c>
      <c r="G165" s="73">
        <v>0.0</v>
      </c>
      <c r="H165" s="73">
        <v>0.0</v>
      </c>
      <c r="I165" s="73">
        <v>1.0</v>
      </c>
      <c r="J165" s="73">
        <v>0.0</v>
      </c>
      <c r="K165" s="73">
        <v>1.0</v>
      </c>
      <c r="L165" s="73">
        <v>0.0</v>
      </c>
      <c r="M165" s="73">
        <v>0.0</v>
      </c>
      <c r="N165" s="73">
        <v>0.0</v>
      </c>
      <c r="O165" s="73">
        <v>1.0</v>
      </c>
      <c r="P165" s="73">
        <v>0.0</v>
      </c>
      <c r="Q165" s="73">
        <v>0.0</v>
      </c>
      <c r="R165" s="73">
        <v>0.0</v>
      </c>
      <c r="S165" s="73">
        <v>0.0</v>
      </c>
      <c r="T165" s="73">
        <v>0.0</v>
      </c>
      <c r="U165" s="73">
        <v>0.0</v>
      </c>
      <c r="V165" s="73">
        <v>0.0</v>
      </c>
      <c r="W165" s="73">
        <v>0.0</v>
      </c>
      <c r="X165" s="73">
        <v>0.0</v>
      </c>
      <c r="Y165" s="73">
        <v>1.0</v>
      </c>
      <c r="Z165" s="73">
        <v>0.0</v>
      </c>
      <c r="AA165" s="13">
        <f t="shared" ref="AA165:AA174" si="34">SUM(E165:Z165)</f>
        <v>5</v>
      </c>
    </row>
    <row r="166" ht="12.75" customHeight="1">
      <c r="A166" s="30" t="s">
        <v>39</v>
      </c>
      <c r="B166" s="49"/>
      <c r="C166" s="50" t="s">
        <v>129</v>
      </c>
      <c r="D166" s="51"/>
      <c r="E166" s="73">
        <v>0.0</v>
      </c>
      <c r="F166" s="73">
        <v>1.0</v>
      </c>
      <c r="G166" s="73">
        <v>0.0</v>
      </c>
      <c r="H166" s="73">
        <v>0.0</v>
      </c>
      <c r="I166" s="73">
        <v>0.0</v>
      </c>
      <c r="J166" s="73">
        <v>0.0</v>
      </c>
      <c r="K166" s="73">
        <v>0.0</v>
      </c>
      <c r="L166" s="73">
        <v>0.0</v>
      </c>
      <c r="M166" s="73">
        <v>1.0</v>
      </c>
      <c r="N166" s="73">
        <v>0.0</v>
      </c>
      <c r="O166" s="73">
        <v>0.0</v>
      </c>
      <c r="P166" s="73">
        <v>0.0</v>
      </c>
      <c r="Q166" s="73">
        <v>1.0</v>
      </c>
      <c r="R166" s="73">
        <v>0.0</v>
      </c>
      <c r="S166" s="73">
        <v>0.0</v>
      </c>
      <c r="T166" s="73">
        <v>0.0</v>
      </c>
      <c r="U166" s="73">
        <v>0.0</v>
      </c>
      <c r="V166" s="73">
        <v>0.0</v>
      </c>
      <c r="W166" s="73">
        <v>0.0</v>
      </c>
      <c r="X166" s="73">
        <v>2.0</v>
      </c>
      <c r="Y166" s="73">
        <v>1.0</v>
      </c>
      <c r="Z166" s="73">
        <v>0.0</v>
      </c>
      <c r="AA166" s="13">
        <f t="shared" si="34"/>
        <v>6</v>
      </c>
    </row>
    <row r="167" ht="12.75" customHeight="1">
      <c r="A167" s="18"/>
      <c r="B167" s="57"/>
      <c r="C167" s="58"/>
      <c r="D167" s="5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3">
        <f t="shared" si="34"/>
        <v>0</v>
      </c>
    </row>
    <row r="168" ht="12.75" customHeight="1">
      <c r="A168" s="18"/>
      <c r="B168" s="57"/>
      <c r="C168" s="58"/>
      <c r="D168" s="5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3">
        <f t="shared" si="34"/>
        <v>0</v>
      </c>
    </row>
    <row r="169" ht="12.75" customHeight="1">
      <c r="A169" s="18"/>
      <c r="B169" s="57"/>
      <c r="C169" s="58"/>
      <c r="D169" s="5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3">
        <f t="shared" si="34"/>
        <v>0</v>
      </c>
    </row>
    <row r="170" ht="12.75" customHeight="1">
      <c r="A170" s="18"/>
      <c r="B170" s="57"/>
      <c r="C170" s="58"/>
      <c r="D170" s="5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3">
        <f t="shared" si="34"/>
        <v>0</v>
      </c>
    </row>
    <row r="171" ht="12.75" customHeight="1">
      <c r="A171" s="18"/>
      <c r="B171" s="57"/>
      <c r="C171" s="58"/>
      <c r="D171" s="5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3">
        <f t="shared" si="34"/>
        <v>0</v>
      </c>
    </row>
    <row r="172" ht="12.75" customHeight="1">
      <c r="A172" s="18"/>
      <c r="B172" s="57"/>
      <c r="C172" s="58"/>
      <c r="D172" s="5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3">
        <f t="shared" si="34"/>
        <v>0</v>
      </c>
    </row>
    <row r="173" ht="12.75" customHeight="1">
      <c r="A173" s="18"/>
      <c r="B173" s="57"/>
      <c r="C173" s="58"/>
      <c r="D173" s="5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3">
        <f t="shared" si="34"/>
        <v>0</v>
      </c>
    </row>
    <row r="174" ht="12.75" customHeight="1">
      <c r="A174" s="18"/>
      <c r="B174" s="57"/>
      <c r="C174" s="58"/>
      <c r="D174" s="5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3">
        <f t="shared" si="34"/>
        <v>0</v>
      </c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A175" si="35">SUM(E165:E174)</f>
        <v>0</v>
      </c>
      <c r="F175" s="13">
        <f t="shared" si="35"/>
        <v>2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1</v>
      </c>
      <c r="N175" s="13">
        <f t="shared" si="35"/>
        <v>0</v>
      </c>
      <c r="O175" s="13">
        <f t="shared" si="35"/>
        <v>1</v>
      </c>
      <c r="P175" s="13">
        <f t="shared" si="35"/>
        <v>0</v>
      </c>
      <c r="Q175" s="13">
        <f t="shared" si="35"/>
        <v>1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2</v>
      </c>
      <c r="Y175" s="13">
        <f t="shared" si="35"/>
        <v>2</v>
      </c>
      <c r="Z175" s="13">
        <f t="shared" si="35"/>
        <v>0</v>
      </c>
      <c r="AA175" s="13">
        <f t="shared" si="35"/>
        <v>11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0.0</v>
      </c>
      <c r="F177" s="73">
        <v>0.0</v>
      </c>
      <c r="G177" s="73">
        <v>0.0</v>
      </c>
      <c r="H177" s="73">
        <v>0.0</v>
      </c>
      <c r="I177" s="73">
        <v>1.0</v>
      </c>
      <c r="J177" s="73">
        <v>1.0</v>
      </c>
      <c r="K177" s="73">
        <v>1.0</v>
      </c>
      <c r="L177" s="73">
        <v>1.0</v>
      </c>
      <c r="M177" s="73">
        <v>1.0</v>
      </c>
      <c r="N177" s="73">
        <v>1.0</v>
      </c>
      <c r="O177" s="73">
        <v>0.0</v>
      </c>
      <c r="P177" s="73">
        <v>0.0</v>
      </c>
      <c r="Q177" s="73">
        <v>1.0</v>
      </c>
      <c r="R177" s="73">
        <v>0.0</v>
      </c>
      <c r="S177" s="73">
        <v>1.0</v>
      </c>
      <c r="T177" s="73">
        <v>1.0</v>
      </c>
      <c r="U177" s="73">
        <v>0.0</v>
      </c>
      <c r="V177" s="73">
        <v>1.0</v>
      </c>
      <c r="W177" s="73">
        <v>0.0</v>
      </c>
      <c r="X177" s="73">
        <v>0.0</v>
      </c>
      <c r="Y177" s="73">
        <v>0.0</v>
      </c>
      <c r="Z177" s="73">
        <v>1.0</v>
      </c>
      <c r="AA177" s="13">
        <f t="shared" ref="AA177:AA186" si="36">SUM(E177:Z177)</f>
        <v>11</v>
      </c>
    </row>
    <row r="178" ht="12.75" customHeight="1">
      <c r="A178" s="30" t="s">
        <v>39</v>
      </c>
      <c r="B178" s="49"/>
      <c r="C178" s="50" t="s">
        <v>132</v>
      </c>
      <c r="D178" s="51"/>
      <c r="E178" s="73">
        <v>6.0</v>
      </c>
      <c r="F178" s="73">
        <v>0.0</v>
      </c>
      <c r="G178" s="73">
        <v>1.0</v>
      </c>
      <c r="H178" s="73">
        <v>1.0</v>
      </c>
      <c r="I178" s="73">
        <v>0.0</v>
      </c>
      <c r="J178" s="73">
        <v>1.0</v>
      </c>
      <c r="K178" s="73">
        <v>1.0</v>
      </c>
      <c r="L178" s="73">
        <v>2.0</v>
      </c>
      <c r="M178" s="73">
        <v>1.0</v>
      </c>
      <c r="N178" s="73">
        <v>3.0</v>
      </c>
      <c r="O178" s="73">
        <v>0.0</v>
      </c>
      <c r="P178" s="73">
        <v>0.0</v>
      </c>
      <c r="Q178" s="73">
        <v>3.0</v>
      </c>
      <c r="R178" s="73">
        <v>2.0</v>
      </c>
      <c r="S178" s="73">
        <v>0.0</v>
      </c>
      <c r="T178" s="73">
        <v>0.0</v>
      </c>
      <c r="U178" s="73">
        <v>0.0</v>
      </c>
      <c r="V178" s="73">
        <v>0.0</v>
      </c>
      <c r="W178" s="73">
        <v>0.0</v>
      </c>
      <c r="X178" s="73">
        <v>2.0</v>
      </c>
      <c r="Y178" s="73">
        <v>0.0</v>
      </c>
      <c r="Z178" s="73">
        <v>2.0</v>
      </c>
      <c r="AA178" s="13">
        <f t="shared" si="36"/>
        <v>25</v>
      </c>
    </row>
    <row r="179" ht="12.75" customHeight="1">
      <c r="A179" s="18"/>
      <c r="B179" s="49"/>
      <c r="C179" s="50" t="s">
        <v>133</v>
      </c>
      <c r="D179" s="51"/>
      <c r="E179" s="73">
        <v>1.0</v>
      </c>
      <c r="F179" s="73">
        <v>0.0</v>
      </c>
      <c r="G179" s="73">
        <v>0.0</v>
      </c>
      <c r="H179" s="73">
        <v>0.0</v>
      </c>
      <c r="I179" s="73">
        <v>1.0</v>
      </c>
      <c r="J179" s="73">
        <v>0.0</v>
      </c>
      <c r="K179" s="73">
        <v>0.0</v>
      </c>
      <c r="L179" s="73">
        <v>0.0</v>
      </c>
      <c r="M179" s="73">
        <v>0.0</v>
      </c>
      <c r="N179" s="73">
        <v>0.0</v>
      </c>
      <c r="O179" s="73">
        <v>1.0</v>
      </c>
      <c r="P179" s="73">
        <v>1.0</v>
      </c>
      <c r="Q179" s="73">
        <v>0.0</v>
      </c>
      <c r="R179" s="73">
        <v>0.0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73">
        <v>1.0</v>
      </c>
      <c r="Y179" s="73">
        <v>0.0</v>
      </c>
      <c r="Z179" s="73">
        <v>0.0</v>
      </c>
      <c r="AA179" s="13">
        <f t="shared" si="36"/>
        <v>5</v>
      </c>
    </row>
    <row r="180" ht="12.75" customHeight="1">
      <c r="A180" s="18"/>
      <c r="B180" s="49"/>
      <c r="C180" s="50" t="s">
        <v>134</v>
      </c>
      <c r="D180" s="51"/>
      <c r="E180" s="73">
        <v>0.0</v>
      </c>
      <c r="F180" s="73">
        <v>0.0</v>
      </c>
      <c r="G180" s="73">
        <v>0.0</v>
      </c>
      <c r="H180" s="73">
        <v>0.0</v>
      </c>
      <c r="I180" s="73">
        <v>1.0</v>
      </c>
      <c r="J180" s="73">
        <v>0.0</v>
      </c>
      <c r="K180" s="73">
        <v>1.0</v>
      </c>
      <c r="L180" s="73">
        <v>0.0</v>
      </c>
      <c r="M180" s="73">
        <v>0.0</v>
      </c>
      <c r="N180" s="73">
        <v>0.0</v>
      </c>
      <c r="O180" s="73">
        <v>0.0</v>
      </c>
      <c r="P180" s="73">
        <v>0.0</v>
      </c>
      <c r="Q180" s="73">
        <v>0.0</v>
      </c>
      <c r="R180" s="73">
        <v>0.0</v>
      </c>
      <c r="S180" s="73">
        <v>0.0</v>
      </c>
      <c r="T180" s="73">
        <v>0.0</v>
      </c>
      <c r="U180" s="73">
        <v>1.0</v>
      </c>
      <c r="V180" s="73">
        <v>0.0</v>
      </c>
      <c r="W180" s="73">
        <v>0.0</v>
      </c>
      <c r="X180" s="73">
        <v>1.0</v>
      </c>
      <c r="Y180" s="73">
        <v>0.0</v>
      </c>
      <c r="Z180" s="73">
        <v>1.0</v>
      </c>
      <c r="AA180" s="13">
        <f t="shared" si="36"/>
        <v>5</v>
      </c>
    </row>
    <row r="181" ht="12.75" customHeight="1">
      <c r="A181" s="18"/>
      <c r="B181" s="49"/>
      <c r="C181" s="50" t="s">
        <v>135</v>
      </c>
      <c r="D181" s="51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0.0</v>
      </c>
      <c r="U181" s="73">
        <v>0.0</v>
      </c>
      <c r="V181" s="73">
        <v>0.0</v>
      </c>
      <c r="W181" s="73">
        <v>0.0</v>
      </c>
      <c r="X181" s="73">
        <v>0.0</v>
      </c>
      <c r="Y181" s="73">
        <v>0.0</v>
      </c>
      <c r="Z181" s="73">
        <v>0.0</v>
      </c>
      <c r="AA181" s="13">
        <f t="shared" si="36"/>
        <v>0</v>
      </c>
    </row>
    <row r="182" ht="12.75" customHeight="1">
      <c r="A182" s="18"/>
      <c r="B182" s="49"/>
      <c r="C182" s="50" t="s">
        <v>136</v>
      </c>
      <c r="D182" s="51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73">
        <v>0.0</v>
      </c>
      <c r="T182" s="73">
        <v>0.0</v>
      </c>
      <c r="U182" s="73">
        <v>1.0</v>
      </c>
      <c r="V182" s="73">
        <v>0.0</v>
      </c>
      <c r="W182" s="73">
        <v>0.0</v>
      </c>
      <c r="X182" s="73">
        <v>0.0</v>
      </c>
      <c r="Y182" s="73">
        <v>0.0</v>
      </c>
      <c r="Z182" s="73">
        <v>0.0</v>
      </c>
      <c r="AA182" s="13">
        <f t="shared" si="36"/>
        <v>1</v>
      </c>
    </row>
    <row r="183" ht="12.75" customHeight="1">
      <c r="A183" s="18"/>
      <c r="B183" s="49"/>
      <c r="C183" s="50" t="s">
        <v>137</v>
      </c>
      <c r="D183" s="51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1.0</v>
      </c>
      <c r="O183" s="73">
        <v>0.0</v>
      </c>
      <c r="P183" s="73">
        <v>0.0</v>
      </c>
      <c r="Q183" s="73">
        <v>0.0</v>
      </c>
      <c r="R183" s="73">
        <v>0.0</v>
      </c>
      <c r="S183" s="73">
        <v>0.0</v>
      </c>
      <c r="T183" s="73">
        <v>0.0</v>
      </c>
      <c r="U183" s="73">
        <v>0.0</v>
      </c>
      <c r="V183" s="73">
        <v>0.0</v>
      </c>
      <c r="W183" s="73">
        <v>0.0</v>
      </c>
      <c r="X183" s="73">
        <v>0.0</v>
      </c>
      <c r="Y183" s="73">
        <v>0.0</v>
      </c>
      <c r="Z183" s="73">
        <v>0.0</v>
      </c>
      <c r="AA183" s="13">
        <f t="shared" si="36"/>
        <v>1</v>
      </c>
    </row>
    <row r="184" ht="12.75" customHeight="1">
      <c r="A184" s="18"/>
      <c r="B184" s="49"/>
      <c r="C184" s="50" t="s">
        <v>138</v>
      </c>
      <c r="D184" s="51"/>
      <c r="E184" s="73">
        <v>0.0</v>
      </c>
      <c r="F184" s="73">
        <v>0.0</v>
      </c>
      <c r="G184" s="73">
        <v>0.0</v>
      </c>
      <c r="H184" s="73">
        <v>0.0</v>
      </c>
      <c r="I184" s="73">
        <v>0.0</v>
      </c>
      <c r="J184" s="73">
        <v>0.0</v>
      </c>
      <c r="K184" s="73">
        <v>0.0</v>
      </c>
      <c r="L184" s="73">
        <v>0.0</v>
      </c>
      <c r="M184" s="73">
        <v>0.0</v>
      </c>
      <c r="N184" s="73">
        <v>0.0</v>
      </c>
      <c r="O184" s="73">
        <v>0.0</v>
      </c>
      <c r="P184" s="73">
        <v>0.0</v>
      </c>
      <c r="Q184" s="73">
        <v>0.0</v>
      </c>
      <c r="R184" s="73">
        <v>0.0</v>
      </c>
      <c r="S184" s="73">
        <v>0.0</v>
      </c>
      <c r="T184" s="73">
        <v>0.0</v>
      </c>
      <c r="U184" s="73">
        <v>0.0</v>
      </c>
      <c r="V184" s="73">
        <v>0.0</v>
      </c>
      <c r="W184" s="73">
        <v>0.0</v>
      </c>
      <c r="X184" s="73">
        <v>0.0</v>
      </c>
      <c r="Y184" s="73">
        <v>0.0</v>
      </c>
      <c r="Z184" s="73">
        <v>0.0</v>
      </c>
      <c r="AA184" s="13">
        <f t="shared" si="36"/>
        <v>0</v>
      </c>
    </row>
    <row r="185" ht="12.75" customHeight="1">
      <c r="A185" s="18"/>
      <c r="B185" s="49"/>
      <c r="C185" s="50" t="s">
        <v>139</v>
      </c>
      <c r="D185" s="51"/>
      <c r="E185" s="73">
        <v>0.0</v>
      </c>
      <c r="F185" s="73">
        <v>0.0</v>
      </c>
      <c r="G185" s="73">
        <v>0.0</v>
      </c>
      <c r="H185" s="73">
        <v>0.0</v>
      </c>
      <c r="I185" s="73">
        <v>0.0</v>
      </c>
      <c r="J185" s="73">
        <v>0.0</v>
      </c>
      <c r="K185" s="73">
        <v>0.0</v>
      </c>
      <c r="L185" s="73">
        <v>0.0</v>
      </c>
      <c r="M185" s="73">
        <v>0.0</v>
      </c>
      <c r="N185" s="73">
        <v>0.0</v>
      </c>
      <c r="O185" s="73">
        <v>0.0</v>
      </c>
      <c r="P185" s="73">
        <v>0.0</v>
      </c>
      <c r="Q185" s="73">
        <v>0.0</v>
      </c>
      <c r="R185" s="73">
        <v>0.0</v>
      </c>
      <c r="S185" s="73">
        <v>0.0</v>
      </c>
      <c r="T185" s="73">
        <v>1.0</v>
      </c>
      <c r="U185" s="73">
        <v>0.0</v>
      </c>
      <c r="V185" s="73">
        <v>0.0</v>
      </c>
      <c r="W185" s="73">
        <v>0.0</v>
      </c>
      <c r="X185" s="73">
        <v>0.0</v>
      </c>
      <c r="Y185" s="73">
        <v>0.0</v>
      </c>
      <c r="Z185" s="73">
        <v>0.0</v>
      </c>
      <c r="AA185" s="13">
        <f t="shared" si="36"/>
        <v>1</v>
      </c>
    </row>
    <row r="186" ht="12.75" customHeight="1">
      <c r="A186" s="18"/>
      <c r="B186" s="49"/>
      <c r="C186" s="50" t="s">
        <v>140</v>
      </c>
      <c r="D186" s="51"/>
      <c r="E186" s="73">
        <v>0.0</v>
      </c>
      <c r="F186" s="73">
        <v>1.0</v>
      </c>
      <c r="G186" s="73">
        <v>0.0</v>
      </c>
      <c r="H186" s="73">
        <v>0.0</v>
      </c>
      <c r="I186" s="73">
        <v>0.0</v>
      </c>
      <c r="J186" s="73">
        <v>0.0</v>
      </c>
      <c r="K186" s="73">
        <v>0.0</v>
      </c>
      <c r="L186" s="73">
        <v>0.0</v>
      </c>
      <c r="M186" s="73">
        <v>0.0</v>
      </c>
      <c r="N186" s="73">
        <v>0.0</v>
      </c>
      <c r="O186" s="73">
        <v>0.0</v>
      </c>
      <c r="P186" s="73">
        <v>0.0</v>
      </c>
      <c r="Q186" s="73">
        <v>0.0</v>
      </c>
      <c r="R186" s="73">
        <v>0.0</v>
      </c>
      <c r="S186" s="73">
        <v>0.0</v>
      </c>
      <c r="T186" s="73">
        <v>0.0</v>
      </c>
      <c r="U186" s="73">
        <v>0.0</v>
      </c>
      <c r="V186" s="73">
        <v>0.0</v>
      </c>
      <c r="W186" s="73">
        <v>0.0</v>
      </c>
      <c r="X186" s="73">
        <v>0.0</v>
      </c>
      <c r="Y186" s="73">
        <v>0.0</v>
      </c>
      <c r="Z186" s="73">
        <v>0.0</v>
      </c>
      <c r="AA186" s="13">
        <f t="shared" si="36"/>
        <v>1</v>
      </c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A187" si="37">SUM(E177:E186)</f>
        <v>7</v>
      </c>
      <c r="F187" s="13">
        <f t="shared" si="37"/>
        <v>1</v>
      </c>
      <c r="G187" s="13">
        <f t="shared" si="37"/>
        <v>1</v>
      </c>
      <c r="H187" s="13">
        <f t="shared" si="37"/>
        <v>1</v>
      </c>
      <c r="I187" s="13">
        <f t="shared" si="37"/>
        <v>3</v>
      </c>
      <c r="J187" s="13">
        <f t="shared" si="37"/>
        <v>2</v>
      </c>
      <c r="K187" s="13">
        <f t="shared" si="37"/>
        <v>3</v>
      </c>
      <c r="L187" s="13">
        <f t="shared" si="37"/>
        <v>3</v>
      </c>
      <c r="M187" s="13">
        <f t="shared" si="37"/>
        <v>2</v>
      </c>
      <c r="N187" s="13">
        <f t="shared" si="37"/>
        <v>5</v>
      </c>
      <c r="O187" s="13">
        <f t="shared" si="37"/>
        <v>1</v>
      </c>
      <c r="P187" s="13">
        <f t="shared" si="37"/>
        <v>1</v>
      </c>
      <c r="Q187" s="13">
        <f t="shared" si="37"/>
        <v>4</v>
      </c>
      <c r="R187" s="13">
        <f t="shared" si="37"/>
        <v>2</v>
      </c>
      <c r="S187" s="13">
        <f t="shared" si="37"/>
        <v>1</v>
      </c>
      <c r="T187" s="13">
        <f t="shared" si="37"/>
        <v>2</v>
      </c>
      <c r="U187" s="13">
        <f t="shared" si="37"/>
        <v>2</v>
      </c>
      <c r="V187" s="13">
        <f t="shared" si="37"/>
        <v>1</v>
      </c>
      <c r="W187" s="13">
        <f t="shared" si="37"/>
        <v>0</v>
      </c>
      <c r="X187" s="13">
        <f t="shared" si="37"/>
        <v>4</v>
      </c>
      <c r="Y187" s="13">
        <f t="shared" si="37"/>
        <v>0</v>
      </c>
      <c r="Z187" s="13">
        <f t="shared" si="37"/>
        <v>4</v>
      </c>
      <c r="AA187" s="13">
        <f t="shared" si="37"/>
        <v>50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AA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1.0</v>
      </c>
      <c r="O189" s="73">
        <v>0.0</v>
      </c>
      <c r="P189" s="73">
        <v>0.0</v>
      </c>
      <c r="Q189" s="73">
        <v>0.0</v>
      </c>
      <c r="R189" s="73">
        <v>4.0</v>
      </c>
      <c r="S189" s="73">
        <v>1.0</v>
      </c>
      <c r="T189" s="73">
        <v>0.0</v>
      </c>
      <c r="U189" s="73">
        <v>0.0</v>
      </c>
      <c r="V189" s="73">
        <v>0.0</v>
      </c>
      <c r="W189" s="73">
        <v>0.0</v>
      </c>
      <c r="X189" s="73">
        <v>0.0</v>
      </c>
      <c r="Y189" s="73">
        <v>0.0</v>
      </c>
      <c r="Z189" s="73">
        <v>0.0</v>
      </c>
      <c r="AA189" s="13">
        <f t="shared" ref="AA189:AA198" si="38">SUM(E189:Z189)</f>
        <v>6</v>
      </c>
    </row>
    <row r="190" ht="12.75" customHeight="1">
      <c r="A190" s="30" t="s">
        <v>39</v>
      </c>
      <c r="B190" s="49"/>
      <c r="C190" s="50" t="s">
        <v>143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3.0</v>
      </c>
      <c r="S190" s="73">
        <v>1.0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13">
        <f t="shared" si="38"/>
        <v>4</v>
      </c>
    </row>
    <row r="191" ht="12.75" customHeight="1">
      <c r="A191" s="18"/>
      <c r="B191" s="49"/>
      <c r="C191" s="50" t="s">
        <v>144</v>
      </c>
      <c r="D191" s="51"/>
      <c r="E191" s="73">
        <v>1.0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13">
        <f t="shared" si="38"/>
        <v>1</v>
      </c>
    </row>
    <row r="192" ht="12.75" customHeight="1">
      <c r="A192" s="18"/>
      <c r="B192" s="49"/>
      <c r="C192" s="50" t="s">
        <v>145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13">
        <f t="shared" si="38"/>
        <v>0</v>
      </c>
    </row>
    <row r="193" ht="12.75" customHeight="1">
      <c r="A193" s="18"/>
      <c r="B193" s="49"/>
      <c r="C193" s="50" t="s">
        <v>146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1.0</v>
      </c>
      <c r="R193" s="73">
        <v>1.0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13">
        <f t="shared" si="38"/>
        <v>2</v>
      </c>
    </row>
    <row r="194" ht="12.75" customHeight="1">
      <c r="A194" s="18"/>
      <c r="B194" s="49"/>
      <c r="C194" s="50" t="s">
        <v>147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1.0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13">
        <f t="shared" si="38"/>
        <v>1</v>
      </c>
    </row>
    <row r="195" ht="12.75" customHeight="1">
      <c r="A195" s="18"/>
      <c r="B195" s="49"/>
      <c r="C195" s="50" t="s">
        <v>148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1.0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13">
        <f t="shared" si="38"/>
        <v>1</v>
      </c>
    </row>
    <row r="196" ht="12.75" customHeight="1">
      <c r="A196" s="18"/>
      <c r="B196" s="49"/>
      <c r="C196" s="50" t="s">
        <v>149</v>
      </c>
      <c r="D196" s="51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0.0</v>
      </c>
      <c r="N196" s="73">
        <v>0.0</v>
      </c>
      <c r="O196" s="73">
        <v>0.0</v>
      </c>
      <c r="P196" s="73">
        <v>1.0</v>
      </c>
      <c r="Q196" s="73">
        <v>0.0</v>
      </c>
      <c r="R196" s="73">
        <v>0.0</v>
      </c>
      <c r="S196" s="73">
        <v>0.0</v>
      </c>
      <c r="T196" s="73">
        <v>0.0</v>
      </c>
      <c r="U196" s="73">
        <v>0.0</v>
      </c>
      <c r="V196" s="73">
        <v>0.0</v>
      </c>
      <c r="W196" s="73">
        <v>0.0</v>
      </c>
      <c r="X196" s="73">
        <v>0.0</v>
      </c>
      <c r="Y196" s="73">
        <v>0.0</v>
      </c>
      <c r="Z196" s="73">
        <v>0.0</v>
      </c>
      <c r="AA196" s="13">
        <f t="shared" si="38"/>
        <v>1</v>
      </c>
    </row>
    <row r="197" ht="12.75" customHeight="1">
      <c r="A197" s="18"/>
      <c r="B197" s="49"/>
      <c r="C197" s="50" t="s">
        <v>150</v>
      </c>
      <c r="D197" s="51"/>
      <c r="E197" s="73">
        <v>0.0</v>
      </c>
      <c r="F197" s="73">
        <v>0.0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0.0</v>
      </c>
      <c r="R197" s="73">
        <v>0.0</v>
      </c>
      <c r="S197" s="73">
        <v>0.0</v>
      </c>
      <c r="T197" s="73">
        <v>0.0</v>
      </c>
      <c r="U197" s="73">
        <v>0.0</v>
      </c>
      <c r="V197" s="73">
        <v>0.0</v>
      </c>
      <c r="W197" s="73">
        <v>0.0</v>
      </c>
      <c r="X197" s="73">
        <v>0.0</v>
      </c>
      <c r="Y197" s="73">
        <v>0.0</v>
      </c>
      <c r="Z197" s="73">
        <v>0.0</v>
      </c>
      <c r="AA197" s="13">
        <f t="shared" si="38"/>
        <v>0</v>
      </c>
    </row>
    <row r="198" ht="12.75" customHeight="1">
      <c r="A198" s="18"/>
      <c r="B198" s="49"/>
      <c r="C198" s="50" t="s">
        <v>151</v>
      </c>
      <c r="D198" s="51"/>
      <c r="E198" s="73">
        <v>1.0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73">
        <v>0.0</v>
      </c>
      <c r="R198" s="73">
        <v>0.0</v>
      </c>
      <c r="S198" s="73">
        <v>0.0</v>
      </c>
      <c r="T198" s="73">
        <v>0.0</v>
      </c>
      <c r="U198" s="73">
        <v>0.0</v>
      </c>
      <c r="V198" s="73">
        <v>0.0</v>
      </c>
      <c r="W198" s="73">
        <v>0.0</v>
      </c>
      <c r="X198" s="73">
        <v>0.0</v>
      </c>
      <c r="Y198" s="73">
        <v>0.0</v>
      </c>
      <c r="Z198" s="73">
        <v>0.0</v>
      </c>
      <c r="AA198" s="13">
        <f t="shared" si="38"/>
        <v>1</v>
      </c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A199" si="39">SUM(E189:E198)</f>
        <v>2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1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1</v>
      </c>
      <c r="O199" s="13">
        <f t="shared" si="39"/>
        <v>0</v>
      </c>
      <c r="P199" s="13">
        <f t="shared" si="39"/>
        <v>1</v>
      </c>
      <c r="Q199" s="13">
        <f t="shared" si="39"/>
        <v>2</v>
      </c>
      <c r="R199" s="13">
        <f t="shared" si="39"/>
        <v>8</v>
      </c>
      <c r="S199" s="13">
        <f t="shared" si="39"/>
        <v>2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17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1.0</v>
      </c>
      <c r="F201" s="73">
        <v>2.0</v>
      </c>
      <c r="G201" s="73">
        <v>0.0</v>
      </c>
      <c r="H201" s="73">
        <v>4.0</v>
      </c>
      <c r="I201" s="73">
        <v>5.0</v>
      </c>
      <c r="J201" s="73">
        <v>4.0</v>
      </c>
      <c r="K201" s="73">
        <v>0.0</v>
      </c>
      <c r="L201" s="73">
        <v>3.0</v>
      </c>
      <c r="M201" s="73">
        <v>13.0</v>
      </c>
      <c r="N201" s="73">
        <v>2.0</v>
      </c>
      <c r="O201" s="73">
        <v>19.0</v>
      </c>
      <c r="P201" s="73">
        <v>5.0</v>
      </c>
      <c r="Q201" s="73">
        <v>5.0</v>
      </c>
      <c r="R201" s="73">
        <v>2.0</v>
      </c>
      <c r="S201" s="73">
        <v>17.0</v>
      </c>
      <c r="T201" s="73">
        <v>6.0</v>
      </c>
      <c r="U201" s="73">
        <v>3.0</v>
      </c>
      <c r="V201" s="73">
        <v>9.0</v>
      </c>
      <c r="W201" s="73">
        <v>7.0</v>
      </c>
      <c r="X201" s="73">
        <v>1.0</v>
      </c>
      <c r="Y201" s="73">
        <v>3.0</v>
      </c>
      <c r="Z201" s="73">
        <v>5.0</v>
      </c>
      <c r="AA201" s="13">
        <f t="shared" ref="AA201:AA210" si="40">SUM(E201:Z201)</f>
        <v>116</v>
      </c>
    </row>
    <row r="202" ht="12.75" customHeight="1">
      <c r="A202" s="30" t="s">
        <v>39</v>
      </c>
      <c r="B202" s="49"/>
      <c r="C202" s="50" t="s">
        <v>154</v>
      </c>
      <c r="D202" s="51"/>
      <c r="E202" s="73">
        <v>6.0</v>
      </c>
      <c r="F202" s="73">
        <v>23.0</v>
      </c>
      <c r="G202" s="73">
        <v>8.0</v>
      </c>
      <c r="H202" s="73">
        <v>5.0</v>
      </c>
      <c r="I202" s="73">
        <v>14.0</v>
      </c>
      <c r="J202" s="73">
        <v>4.0</v>
      </c>
      <c r="K202" s="73">
        <v>4.0</v>
      </c>
      <c r="L202" s="73">
        <v>9.0</v>
      </c>
      <c r="M202" s="73">
        <v>8.0</v>
      </c>
      <c r="N202" s="73">
        <v>9.0</v>
      </c>
      <c r="O202" s="73">
        <v>9.0</v>
      </c>
      <c r="P202" s="73">
        <v>7.0</v>
      </c>
      <c r="Q202" s="73">
        <v>3.0</v>
      </c>
      <c r="R202" s="73">
        <v>6.0</v>
      </c>
      <c r="S202" s="73">
        <v>9.0</v>
      </c>
      <c r="T202" s="73">
        <v>5.0</v>
      </c>
      <c r="U202" s="73">
        <v>4.0</v>
      </c>
      <c r="V202" s="73">
        <v>7.0</v>
      </c>
      <c r="W202" s="73">
        <v>10.0</v>
      </c>
      <c r="X202" s="73">
        <v>4.0</v>
      </c>
      <c r="Y202" s="73">
        <v>3.0</v>
      </c>
      <c r="Z202" s="73">
        <v>3.0</v>
      </c>
      <c r="AA202" s="13">
        <f t="shared" si="40"/>
        <v>160</v>
      </c>
    </row>
    <row r="203" ht="12.75" customHeight="1">
      <c r="A203" s="18"/>
      <c r="B203" s="49"/>
      <c r="C203" s="50" t="s">
        <v>155</v>
      </c>
      <c r="D203" s="51"/>
      <c r="E203" s="73">
        <v>1.0</v>
      </c>
      <c r="F203" s="73">
        <v>0.0</v>
      </c>
      <c r="G203" s="73">
        <v>3.0</v>
      </c>
      <c r="H203" s="73">
        <v>2.0</v>
      </c>
      <c r="I203" s="73">
        <v>1.0</v>
      </c>
      <c r="J203" s="73">
        <v>0.0</v>
      </c>
      <c r="K203" s="73">
        <v>0.0</v>
      </c>
      <c r="L203" s="73">
        <v>0.0</v>
      </c>
      <c r="M203" s="73">
        <v>0.0</v>
      </c>
      <c r="N203" s="73">
        <v>0.0</v>
      </c>
      <c r="O203" s="73">
        <v>1.0</v>
      </c>
      <c r="P203" s="73">
        <v>2.0</v>
      </c>
      <c r="Q203" s="73">
        <v>1.0</v>
      </c>
      <c r="R203" s="73">
        <v>2.0</v>
      </c>
      <c r="S203" s="73">
        <v>2.0</v>
      </c>
      <c r="T203" s="73">
        <v>4.0</v>
      </c>
      <c r="U203" s="73">
        <v>0.0</v>
      </c>
      <c r="V203" s="73">
        <v>0.0</v>
      </c>
      <c r="W203" s="73">
        <v>1.0</v>
      </c>
      <c r="X203" s="73">
        <v>2.0</v>
      </c>
      <c r="Y203" s="73">
        <v>1.0</v>
      </c>
      <c r="Z203" s="73">
        <v>0.0</v>
      </c>
      <c r="AA203" s="13">
        <f t="shared" si="40"/>
        <v>23</v>
      </c>
    </row>
    <row r="204" ht="12.75" customHeight="1">
      <c r="A204" s="18"/>
      <c r="B204" s="49"/>
      <c r="C204" s="50" t="s">
        <v>156</v>
      </c>
      <c r="D204" s="51"/>
      <c r="E204" s="73">
        <v>0.0</v>
      </c>
      <c r="F204" s="73">
        <v>0.0</v>
      </c>
      <c r="G204" s="73">
        <v>0.0</v>
      </c>
      <c r="H204" s="73">
        <v>0.0</v>
      </c>
      <c r="I204" s="73">
        <v>0.0</v>
      </c>
      <c r="J204" s="73">
        <v>0.0</v>
      </c>
      <c r="K204" s="73">
        <v>0.0</v>
      </c>
      <c r="L204" s="73">
        <v>1.0</v>
      </c>
      <c r="M204" s="73">
        <v>0.0</v>
      </c>
      <c r="N204" s="73">
        <v>0.0</v>
      </c>
      <c r="O204" s="73">
        <v>0.0</v>
      </c>
      <c r="P204" s="73">
        <v>0.0</v>
      </c>
      <c r="Q204" s="73">
        <v>0.0</v>
      </c>
      <c r="R204" s="73">
        <v>1.0</v>
      </c>
      <c r="S204" s="73">
        <v>1.0</v>
      </c>
      <c r="T204" s="73">
        <v>0.0</v>
      </c>
      <c r="U204" s="73">
        <v>0.0</v>
      </c>
      <c r="V204" s="73">
        <v>2.0</v>
      </c>
      <c r="W204" s="73">
        <v>0.0</v>
      </c>
      <c r="X204" s="73">
        <v>0.0</v>
      </c>
      <c r="Y204" s="73">
        <v>0.0</v>
      </c>
      <c r="Z204" s="73">
        <v>0.0</v>
      </c>
      <c r="AA204" s="13">
        <f t="shared" si="40"/>
        <v>5</v>
      </c>
    </row>
    <row r="205" ht="12.75" customHeight="1">
      <c r="A205" s="18"/>
      <c r="B205" s="49"/>
      <c r="C205" s="50" t="s">
        <v>157</v>
      </c>
      <c r="D205" s="51"/>
      <c r="E205" s="73">
        <v>0.0</v>
      </c>
      <c r="F205" s="73">
        <v>0.0</v>
      </c>
      <c r="G205" s="73">
        <v>0.0</v>
      </c>
      <c r="H205" s="73">
        <v>0.0</v>
      </c>
      <c r="I205" s="73">
        <v>0.0</v>
      </c>
      <c r="J205" s="73">
        <v>0.0</v>
      </c>
      <c r="K205" s="73">
        <v>0.0</v>
      </c>
      <c r="L205" s="73">
        <v>1.0</v>
      </c>
      <c r="M205" s="73">
        <v>0.0</v>
      </c>
      <c r="N205" s="73">
        <v>0.0</v>
      </c>
      <c r="O205" s="73">
        <v>2.0</v>
      </c>
      <c r="P205" s="73">
        <v>0.0</v>
      </c>
      <c r="Q205" s="73">
        <v>0.0</v>
      </c>
      <c r="R205" s="73">
        <v>0.0</v>
      </c>
      <c r="S205" s="73">
        <v>0.0</v>
      </c>
      <c r="T205" s="73">
        <v>1.0</v>
      </c>
      <c r="U205" s="73">
        <v>0.0</v>
      </c>
      <c r="V205" s="73">
        <v>1.0</v>
      </c>
      <c r="W205" s="73">
        <v>0.0</v>
      </c>
      <c r="X205" s="73">
        <v>1.0</v>
      </c>
      <c r="Y205" s="73">
        <v>0.0</v>
      </c>
      <c r="Z205" s="73">
        <v>2.0</v>
      </c>
      <c r="AA205" s="13">
        <f t="shared" si="40"/>
        <v>8</v>
      </c>
    </row>
    <row r="206" ht="12.75" customHeight="1">
      <c r="A206" s="18"/>
      <c r="B206" s="49"/>
      <c r="C206" s="50" t="s">
        <v>158</v>
      </c>
      <c r="D206" s="51"/>
      <c r="E206" s="73">
        <v>0.0</v>
      </c>
      <c r="F206" s="73">
        <v>0.0</v>
      </c>
      <c r="G206" s="73">
        <v>1.0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1.0</v>
      </c>
      <c r="T206" s="73">
        <v>0.0</v>
      </c>
      <c r="U206" s="73">
        <v>0.0</v>
      </c>
      <c r="V206" s="73">
        <v>0.0</v>
      </c>
      <c r="W206" s="73">
        <v>0.0</v>
      </c>
      <c r="X206" s="73">
        <v>0.0</v>
      </c>
      <c r="Y206" s="73">
        <v>0.0</v>
      </c>
      <c r="Z206" s="73">
        <v>1.0</v>
      </c>
      <c r="AA206" s="13">
        <f t="shared" si="40"/>
        <v>3</v>
      </c>
    </row>
    <row r="207" ht="12.75" customHeight="1">
      <c r="A207" s="18"/>
      <c r="B207" s="49"/>
      <c r="C207" s="50" t="s">
        <v>159</v>
      </c>
      <c r="D207" s="51"/>
      <c r="E207" s="73">
        <v>0.0</v>
      </c>
      <c r="F207" s="73">
        <v>0.0</v>
      </c>
      <c r="G207" s="73">
        <v>0.0</v>
      </c>
      <c r="H207" s="73">
        <v>1.0</v>
      </c>
      <c r="I207" s="73">
        <v>0.0</v>
      </c>
      <c r="J207" s="73">
        <v>0.0</v>
      </c>
      <c r="K207" s="73">
        <v>1.0</v>
      </c>
      <c r="L207" s="73">
        <v>2.0</v>
      </c>
      <c r="M207" s="73">
        <v>1.0</v>
      </c>
      <c r="N207" s="73">
        <v>0.0</v>
      </c>
      <c r="O207" s="73">
        <v>1.0</v>
      </c>
      <c r="P207" s="73">
        <v>2.0</v>
      </c>
      <c r="Q207" s="73">
        <v>0.0</v>
      </c>
      <c r="R207" s="73">
        <v>1.0</v>
      </c>
      <c r="S207" s="73">
        <v>0.0</v>
      </c>
      <c r="T207" s="73">
        <v>2.0</v>
      </c>
      <c r="U207" s="73">
        <v>1.0</v>
      </c>
      <c r="V207" s="73">
        <v>0.0</v>
      </c>
      <c r="W207" s="73">
        <v>1.0</v>
      </c>
      <c r="X207" s="73">
        <v>0.0</v>
      </c>
      <c r="Y207" s="73">
        <v>0.0</v>
      </c>
      <c r="Z207" s="73">
        <v>0.0</v>
      </c>
      <c r="AA207" s="13">
        <f t="shared" si="40"/>
        <v>13</v>
      </c>
    </row>
    <row r="208" ht="12.75" customHeight="1">
      <c r="A208" s="18"/>
      <c r="B208" s="49"/>
      <c r="C208" s="50" t="s">
        <v>160</v>
      </c>
      <c r="D208" s="51"/>
      <c r="E208" s="73">
        <v>0.0</v>
      </c>
      <c r="F208" s="73">
        <v>0.0</v>
      </c>
      <c r="G208" s="73">
        <v>0.0</v>
      </c>
      <c r="H208" s="73">
        <v>0.0</v>
      </c>
      <c r="I208" s="73">
        <v>1.0</v>
      </c>
      <c r="J208" s="73">
        <v>0.0</v>
      </c>
      <c r="K208" s="73">
        <v>0.0</v>
      </c>
      <c r="L208" s="73">
        <v>1.0</v>
      </c>
      <c r="M208" s="73">
        <v>1.0</v>
      </c>
      <c r="N208" s="73">
        <v>0.0</v>
      </c>
      <c r="O208" s="73">
        <v>1.0</v>
      </c>
      <c r="P208" s="73">
        <v>2.0</v>
      </c>
      <c r="Q208" s="73">
        <v>0.0</v>
      </c>
      <c r="R208" s="73">
        <v>0.0</v>
      </c>
      <c r="S208" s="73">
        <v>4.0</v>
      </c>
      <c r="T208" s="73">
        <v>1.0</v>
      </c>
      <c r="U208" s="73">
        <v>0.0</v>
      </c>
      <c r="V208" s="73">
        <v>2.0</v>
      </c>
      <c r="W208" s="73">
        <v>4.0</v>
      </c>
      <c r="X208" s="73">
        <v>0.0</v>
      </c>
      <c r="Y208" s="73">
        <v>1.0</v>
      </c>
      <c r="Z208" s="73">
        <v>0.0</v>
      </c>
      <c r="AA208" s="13">
        <f t="shared" si="40"/>
        <v>18</v>
      </c>
    </row>
    <row r="209" ht="12.75" customHeight="1">
      <c r="A209" s="18"/>
      <c r="B209" s="49"/>
      <c r="C209" s="50" t="s">
        <v>161</v>
      </c>
      <c r="D209" s="51"/>
      <c r="E209" s="73">
        <v>0.0</v>
      </c>
      <c r="F209" s="73">
        <v>0.0</v>
      </c>
      <c r="G209" s="73">
        <v>0.0</v>
      </c>
      <c r="H209" s="73">
        <v>0.0</v>
      </c>
      <c r="I209" s="73">
        <v>0.0</v>
      </c>
      <c r="J209" s="73">
        <v>0.0</v>
      </c>
      <c r="K209" s="73">
        <v>0.0</v>
      </c>
      <c r="L209" s="73">
        <v>0.0</v>
      </c>
      <c r="M209" s="73">
        <v>0.0</v>
      </c>
      <c r="N209" s="73">
        <v>0.0</v>
      </c>
      <c r="O209" s="73">
        <v>0.0</v>
      </c>
      <c r="P209" s="73">
        <v>0.0</v>
      </c>
      <c r="Q209" s="73">
        <v>0.0</v>
      </c>
      <c r="R209" s="73">
        <v>0.0</v>
      </c>
      <c r="S209" s="73">
        <v>0.0</v>
      </c>
      <c r="T209" s="73">
        <v>0.0</v>
      </c>
      <c r="U209" s="73">
        <v>0.0</v>
      </c>
      <c r="V209" s="73">
        <v>0.0</v>
      </c>
      <c r="W209" s="73">
        <v>0.0</v>
      </c>
      <c r="X209" s="73">
        <v>0.0</v>
      </c>
      <c r="Y209" s="73">
        <v>0.0</v>
      </c>
      <c r="Z209" s="73">
        <v>1.0</v>
      </c>
      <c r="AA209" s="13">
        <f t="shared" si="40"/>
        <v>1</v>
      </c>
    </row>
    <row r="210" ht="12.75" customHeight="1">
      <c r="A210" s="18"/>
      <c r="B210" s="49"/>
      <c r="C210" s="50" t="s">
        <v>162</v>
      </c>
      <c r="D210" s="51"/>
      <c r="E210" s="73">
        <v>0.0</v>
      </c>
      <c r="F210" s="73">
        <v>0.0</v>
      </c>
      <c r="G210" s="73">
        <v>0.0</v>
      </c>
      <c r="H210" s="73">
        <v>0.0</v>
      </c>
      <c r="I210" s="73">
        <v>1.0</v>
      </c>
      <c r="J210" s="73">
        <v>0.0</v>
      </c>
      <c r="K210" s="73">
        <v>0.0</v>
      </c>
      <c r="L210" s="73">
        <v>0.0</v>
      </c>
      <c r="M210" s="73">
        <v>0.0</v>
      </c>
      <c r="N210" s="73">
        <v>0.0</v>
      </c>
      <c r="O210" s="73">
        <v>0.0</v>
      </c>
      <c r="P210" s="73">
        <v>0.0</v>
      </c>
      <c r="Q210" s="73">
        <v>0.0</v>
      </c>
      <c r="R210" s="73">
        <v>0.0</v>
      </c>
      <c r="S210" s="73">
        <v>0.0</v>
      </c>
      <c r="T210" s="73">
        <v>0.0</v>
      </c>
      <c r="U210" s="73">
        <v>0.0</v>
      </c>
      <c r="V210" s="73">
        <v>1.0</v>
      </c>
      <c r="W210" s="73">
        <v>0.0</v>
      </c>
      <c r="X210" s="73">
        <v>0.0</v>
      </c>
      <c r="Y210" s="73">
        <v>0.0</v>
      </c>
      <c r="Z210" s="73">
        <v>0.0</v>
      </c>
      <c r="AA210" s="13">
        <f t="shared" si="40"/>
        <v>2</v>
      </c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A211" si="41">SUM(E201:E210)</f>
        <v>8</v>
      </c>
      <c r="F211" s="13">
        <f t="shared" si="41"/>
        <v>25</v>
      </c>
      <c r="G211" s="13">
        <f t="shared" si="41"/>
        <v>12</v>
      </c>
      <c r="H211" s="13">
        <f t="shared" si="41"/>
        <v>12</v>
      </c>
      <c r="I211" s="13">
        <f t="shared" si="41"/>
        <v>22</v>
      </c>
      <c r="J211" s="13">
        <f t="shared" si="41"/>
        <v>8</v>
      </c>
      <c r="K211" s="13">
        <f t="shared" si="41"/>
        <v>5</v>
      </c>
      <c r="L211" s="13">
        <f t="shared" si="41"/>
        <v>17</v>
      </c>
      <c r="M211" s="13">
        <f t="shared" si="41"/>
        <v>23</v>
      </c>
      <c r="N211" s="13">
        <f t="shared" si="41"/>
        <v>11</v>
      </c>
      <c r="O211" s="13">
        <f t="shared" si="41"/>
        <v>33</v>
      </c>
      <c r="P211" s="13">
        <f t="shared" si="41"/>
        <v>18</v>
      </c>
      <c r="Q211" s="13">
        <f t="shared" si="41"/>
        <v>9</v>
      </c>
      <c r="R211" s="13">
        <f t="shared" si="41"/>
        <v>12</v>
      </c>
      <c r="S211" s="13">
        <f t="shared" si="41"/>
        <v>34</v>
      </c>
      <c r="T211" s="13">
        <f t="shared" si="41"/>
        <v>19</v>
      </c>
      <c r="U211" s="13">
        <f t="shared" si="41"/>
        <v>8</v>
      </c>
      <c r="V211" s="13">
        <f t="shared" si="41"/>
        <v>22</v>
      </c>
      <c r="W211" s="13">
        <f t="shared" si="41"/>
        <v>23</v>
      </c>
      <c r="X211" s="13">
        <f t="shared" si="41"/>
        <v>8</v>
      </c>
      <c r="Y211" s="13">
        <f t="shared" si="41"/>
        <v>8</v>
      </c>
      <c r="Z211" s="13">
        <f t="shared" si="41"/>
        <v>12</v>
      </c>
      <c r="AA211" s="13">
        <f t="shared" si="41"/>
        <v>349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1.0</v>
      </c>
      <c r="F213" s="73">
        <v>1.0</v>
      </c>
      <c r="G213" s="73">
        <v>2.0</v>
      </c>
      <c r="H213" s="73">
        <v>2.0</v>
      </c>
      <c r="I213" s="73">
        <v>0.0</v>
      </c>
      <c r="J213" s="73">
        <v>0.0</v>
      </c>
      <c r="K213" s="73">
        <v>2.0</v>
      </c>
      <c r="L213" s="73">
        <v>4.0</v>
      </c>
      <c r="M213" s="73">
        <v>2.0</v>
      </c>
      <c r="N213" s="73">
        <v>4.0</v>
      </c>
      <c r="O213" s="73">
        <v>0.0</v>
      </c>
      <c r="P213" s="73">
        <v>2.0</v>
      </c>
      <c r="Q213" s="73">
        <v>1.0</v>
      </c>
      <c r="R213" s="73">
        <v>1.0</v>
      </c>
      <c r="S213" s="73">
        <v>2.0</v>
      </c>
      <c r="T213" s="73">
        <v>4.0</v>
      </c>
      <c r="U213" s="73">
        <v>0.0</v>
      </c>
      <c r="V213" s="73">
        <v>0.0</v>
      </c>
      <c r="W213" s="73">
        <v>1.0</v>
      </c>
      <c r="X213" s="73">
        <v>0.0</v>
      </c>
      <c r="Y213" s="73">
        <v>0.0</v>
      </c>
      <c r="Z213" s="73">
        <v>3.0</v>
      </c>
      <c r="AA213" s="13">
        <f t="shared" ref="AA213:AA222" si="42">SUM(E213:Z213)</f>
        <v>32</v>
      </c>
    </row>
    <row r="214" ht="12.75" customHeight="1">
      <c r="A214" s="30" t="s">
        <v>39</v>
      </c>
      <c r="B214" s="49"/>
      <c r="C214" s="50" t="s">
        <v>165</v>
      </c>
      <c r="D214" s="51"/>
      <c r="E214" s="73">
        <v>0.0</v>
      </c>
      <c r="F214" s="73">
        <v>0.0</v>
      </c>
      <c r="G214" s="73">
        <v>1.0</v>
      </c>
      <c r="H214" s="73">
        <v>0.0</v>
      </c>
      <c r="I214" s="73">
        <v>2.0</v>
      </c>
      <c r="J214" s="73">
        <v>1.0</v>
      </c>
      <c r="K214" s="73">
        <v>2.0</v>
      </c>
      <c r="L214" s="73">
        <v>0.0</v>
      </c>
      <c r="M214" s="73">
        <v>0.0</v>
      </c>
      <c r="N214" s="73">
        <v>3.0</v>
      </c>
      <c r="O214" s="73">
        <v>0.0</v>
      </c>
      <c r="P214" s="73">
        <v>0.0</v>
      </c>
      <c r="Q214" s="73">
        <v>2.0</v>
      </c>
      <c r="R214" s="73">
        <v>1.0</v>
      </c>
      <c r="S214" s="73">
        <v>2.0</v>
      </c>
      <c r="T214" s="73">
        <v>1.0</v>
      </c>
      <c r="U214" s="73">
        <v>1.0</v>
      </c>
      <c r="V214" s="73">
        <v>0.0</v>
      </c>
      <c r="W214" s="73">
        <v>0.0</v>
      </c>
      <c r="X214" s="73">
        <v>0.0</v>
      </c>
      <c r="Y214" s="73">
        <v>1.0</v>
      </c>
      <c r="Z214" s="73">
        <v>5.0</v>
      </c>
      <c r="AA214" s="13">
        <f t="shared" si="42"/>
        <v>22</v>
      </c>
    </row>
    <row r="215" ht="12.75" customHeight="1">
      <c r="A215" s="18"/>
      <c r="B215" s="49"/>
      <c r="C215" s="50" t="s">
        <v>166</v>
      </c>
      <c r="D215" s="51"/>
      <c r="E215" s="73">
        <v>0.0</v>
      </c>
      <c r="F215" s="73">
        <v>0.0</v>
      </c>
      <c r="G215" s="73">
        <v>0.0</v>
      </c>
      <c r="H215" s="73">
        <v>2.0</v>
      </c>
      <c r="I215" s="73">
        <v>1.0</v>
      </c>
      <c r="J215" s="73">
        <v>0.0</v>
      </c>
      <c r="K215" s="73">
        <v>1.0</v>
      </c>
      <c r="L215" s="73">
        <v>1.0</v>
      </c>
      <c r="M215" s="73">
        <v>0.0</v>
      </c>
      <c r="N215" s="73">
        <v>1.0</v>
      </c>
      <c r="O215" s="73">
        <v>1.0</v>
      </c>
      <c r="P215" s="73">
        <v>1.0</v>
      </c>
      <c r="Q215" s="73">
        <v>1.0</v>
      </c>
      <c r="R215" s="73">
        <v>0.0</v>
      </c>
      <c r="S215" s="73">
        <v>1.0</v>
      </c>
      <c r="T215" s="73">
        <v>0.0</v>
      </c>
      <c r="U215" s="73">
        <v>0.0</v>
      </c>
      <c r="V215" s="73">
        <v>1.0</v>
      </c>
      <c r="W215" s="73">
        <v>1.0</v>
      </c>
      <c r="X215" s="73">
        <v>1.0</v>
      </c>
      <c r="Y215" s="73">
        <v>0.0</v>
      </c>
      <c r="Z215" s="73">
        <v>3.0</v>
      </c>
      <c r="AA215" s="13">
        <f t="shared" si="42"/>
        <v>16</v>
      </c>
    </row>
    <row r="216" ht="12.75" customHeight="1">
      <c r="A216" s="18"/>
      <c r="B216" s="49"/>
      <c r="C216" s="50" t="s">
        <v>167</v>
      </c>
      <c r="D216" s="51"/>
      <c r="E216" s="73">
        <v>0.0</v>
      </c>
      <c r="F216" s="73">
        <v>0.0</v>
      </c>
      <c r="G216" s="73">
        <v>0.0</v>
      </c>
      <c r="H216" s="73">
        <v>0.0</v>
      </c>
      <c r="I216" s="73">
        <v>0.0</v>
      </c>
      <c r="J216" s="73">
        <v>0.0</v>
      </c>
      <c r="K216" s="73">
        <v>0.0</v>
      </c>
      <c r="L216" s="73">
        <v>0.0</v>
      </c>
      <c r="M216" s="73">
        <v>0.0</v>
      </c>
      <c r="N216" s="73">
        <v>1.0</v>
      </c>
      <c r="O216" s="73">
        <v>0.0</v>
      </c>
      <c r="P216" s="73">
        <v>0.0</v>
      </c>
      <c r="Q216" s="73">
        <v>1.0</v>
      </c>
      <c r="R216" s="73">
        <v>0.0</v>
      </c>
      <c r="S216" s="73">
        <v>0.0</v>
      </c>
      <c r="T216" s="73">
        <v>1.0</v>
      </c>
      <c r="U216" s="73">
        <v>0.0</v>
      </c>
      <c r="V216" s="73">
        <v>1.0</v>
      </c>
      <c r="W216" s="73">
        <v>0.0</v>
      </c>
      <c r="X216" s="73">
        <v>0.0</v>
      </c>
      <c r="Y216" s="73">
        <v>0.0</v>
      </c>
      <c r="Z216" s="73">
        <v>0.0</v>
      </c>
      <c r="AA216" s="13">
        <f t="shared" si="42"/>
        <v>4</v>
      </c>
    </row>
    <row r="217" ht="12.75" customHeight="1">
      <c r="A217" s="18"/>
      <c r="B217" s="57"/>
      <c r="C217" s="58"/>
      <c r="D217" s="6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3">
        <f t="shared" si="42"/>
        <v>0</v>
      </c>
    </row>
    <row r="218" ht="12.75" customHeight="1">
      <c r="A218" s="18"/>
      <c r="B218" s="57"/>
      <c r="C218" s="58"/>
      <c r="D218" s="6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3">
        <f t="shared" si="42"/>
        <v>0</v>
      </c>
    </row>
    <row r="219" ht="12.75" customHeight="1">
      <c r="A219" s="18"/>
      <c r="B219" s="57"/>
      <c r="C219" s="58"/>
      <c r="D219" s="66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3">
        <f t="shared" si="42"/>
        <v>0</v>
      </c>
    </row>
    <row r="220" ht="12.75" customHeight="1">
      <c r="A220" s="18"/>
      <c r="B220" s="57"/>
      <c r="C220" s="58"/>
      <c r="D220" s="66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3">
        <f t="shared" si="42"/>
        <v>0</v>
      </c>
    </row>
    <row r="221" ht="12.75" customHeight="1">
      <c r="A221" s="18"/>
      <c r="B221" s="57"/>
      <c r="C221" s="58"/>
      <c r="D221" s="66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3">
        <f t="shared" si="42"/>
        <v>0</v>
      </c>
    </row>
    <row r="222" ht="12.75" customHeight="1">
      <c r="A222" s="18"/>
      <c r="B222" s="57"/>
      <c r="C222" s="58"/>
      <c r="D222" s="66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3">
        <f t="shared" si="42"/>
        <v>0</v>
      </c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A223" si="43">SUM(E213:E222)</f>
        <v>1</v>
      </c>
      <c r="F223" s="13">
        <f t="shared" si="43"/>
        <v>1</v>
      </c>
      <c r="G223" s="13">
        <f t="shared" si="43"/>
        <v>3</v>
      </c>
      <c r="H223" s="13">
        <f t="shared" si="43"/>
        <v>4</v>
      </c>
      <c r="I223" s="13">
        <f t="shared" si="43"/>
        <v>3</v>
      </c>
      <c r="J223" s="13">
        <f t="shared" si="43"/>
        <v>1</v>
      </c>
      <c r="K223" s="13">
        <f t="shared" si="43"/>
        <v>5</v>
      </c>
      <c r="L223" s="13">
        <f t="shared" si="43"/>
        <v>5</v>
      </c>
      <c r="M223" s="13">
        <f t="shared" si="43"/>
        <v>2</v>
      </c>
      <c r="N223" s="13">
        <f t="shared" si="43"/>
        <v>9</v>
      </c>
      <c r="O223" s="13">
        <f t="shared" si="43"/>
        <v>1</v>
      </c>
      <c r="P223" s="13">
        <f t="shared" si="43"/>
        <v>3</v>
      </c>
      <c r="Q223" s="13">
        <f t="shared" si="43"/>
        <v>5</v>
      </c>
      <c r="R223" s="13">
        <f t="shared" si="43"/>
        <v>2</v>
      </c>
      <c r="S223" s="13">
        <f t="shared" si="43"/>
        <v>5</v>
      </c>
      <c r="T223" s="13">
        <f t="shared" si="43"/>
        <v>6</v>
      </c>
      <c r="U223" s="13">
        <f t="shared" si="43"/>
        <v>1</v>
      </c>
      <c r="V223" s="13">
        <f t="shared" si="43"/>
        <v>2</v>
      </c>
      <c r="W223" s="13">
        <f t="shared" si="43"/>
        <v>2</v>
      </c>
      <c r="X223" s="13">
        <f t="shared" si="43"/>
        <v>1</v>
      </c>
      <c r="Y223" s="13">
        <f t="shared" si="43"/>
        <v>1</v>
      </c>
      <c r="Z223" s="13">
        <f t="shared" si="43"/>
        <v>11</v>
      </c>
      <c r="AA223" s="13">
        <f t="shared" si="43"/>
        <v>74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0.0</v>
      </c>
      <c r="F225" s="73">
        <v>0.0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0.0</v>
      </c>
      <c r="Q225" s="73">
        <v>1.0</v>
      </c>
      <c r="R225" s="73">
        <v>0.0</v>
      </c>
      <c r="S225" s="73">
        <v>1.0</v>
      </c>
      <c r="T225" s="73">
        <v>0.0</v>
      </c>
      <c r="U225" s="73">
        <v>0.0</v>
      </c>
      <c r="V225" s="73">
        <v>0.0</v>
      </c>
      <c r="W225" s="73">
        <v>1.0</v>
      </c>
      <c r="X225" s="73">
        <v>0.0</v>
      </c>
      <c r="Y225" s="73">
        <v>0.0</v>
      </c>
      <c r="Z225" s="73">
        <v>0.0</v>
      </c>
      <c r="AA225" s="13">
        <f t="shared" ref="AA225:AA234" si="44">SUM(E225:Z225)</f>
        <v>3</v>
      </c>
    </row>
    <row r="226" ht="12.75" customHeight="1">
      <c r="A226" s="30" t="s">
        <v>39</v>
      </c>
      <c r="B226" s="49"/>
      <c r="C226" s="50" t="s">
        <v>170</v>
      </c>
      <c r="D226" s="51"/>
      <c r="E226" s="73">
        <v>0.0</v>
      </c>
      <c r="F226" s="73">
        <v>0.0</v>
      </c>
      <c r="G226" s="73">
        <v>1.0</v>
      </c>
      <c r="H226" s="73">
        <v>1.0</v>
      </c>
      <c r="I226" s="73">
        <v>2.0</v>
      </c>
      <c r="J226" s="73">
        <v>1.0</v>
      </c>
      <c r="K226" s="73">
        <v>1.0</v>
      </c>
      <c r="L226" s="73">
        <v>0.0</v>
      </c>
      <c r="M226" s="73">
        <v>2.0</v>
      </c>
      <c r="N226" s="73">
        <v>1.0</v>
      </c>
      <c r="O226" s="73">
        <v>0.0</v>
      </c>
      <c r="P226" s="73">
        <v>1.0</v>
      </c>
      <c r="Q226" s="73">
        <v>0.0</v>
      </c>
      <c r="R226" s="73">
        <v>0.0</v>
      </c>
      <c r="S226" s="73">
        <v>2.0</v>
      </c>
      <c r="T226" s="73">
        <v>0.0</v>
      </c>
      <c r="U226" s="73">
        <v>0.0</v>
      </c>
      <c r="V226" s="73">
        <v>2.0</v>
      </c>
      <c r="W226" s="73">
        <v>0.0</v>
      </c>
      <c r="X226" s="73">
        <v>10.0</v>
      </c>
      <c r="Y226" s="73">
        <v>0.0</v>
      </c>
      <c r="Z226" s="73">
        <v>0.0</v>
      </c>
      <c r="AA226" s="13">
        <f t="shared" si="44"/>
        <v>24</v>
      </c>
    </row>
    <row r="227" ht="12.75" customHeight="1">
      <c r="A227" s="18"/>
      <c r="B227" s="49"/>
      <c r="C227" s="50" t="s">
        <v>171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0.0</v>
      </c>
      <c r="U227" s="73">
        <v>0.0</v>
      </c>
      <c r="V227" s="73">
        <v>0.0</v>
      </c>
      <c r="W227" s="73">
        <v>0.0</v>
      </c>
      <c r="X227" s="73">
        <v>0.0</v>
      </c>
      <c r="Y227" s="73">
        <v>0.0</v>
      </c>
      <c r="Z227" s="73">
        <v>0.0</v>
      </c>
      <c r="AA227" s="13">
        <f t="shared" si="44"/>
        <v>0</v>
      </c>
    </row>
    <row r="228" ht="12.75" customHeight="1">
      <c r="A228" s="18"/>
      <c r="B228" s="49"/>
      <c r="C228" s="50" t="s">
        <v>172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2.0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13">
        <f t="shared" si="44"/>
        <v>2</v>
      </c>
    </row>
    <row r="229" ht="12.75" customHeight="1">
      <c r="A229" s="18"/>
      <c r="B229" s="49"/>
      <c r="C229" s="50" t="s">
        <v>173</v>
      </c>
      <c r="D229" s="51"/>
      <c r="E229" s="73">
        <v>0.0</v>
      </c>
      <c r="F229" s="73">
        <v>0.0</v>
      </c>
      <c r="G229" s="73">
        <v>0.0</v>
      </c>
      <c r="H229" s="73">
        <v>1.0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73">
        <v>0.0</v>
      </c>
      <c r="W229" s="73">
        <v>0.0</v>
      </c>
      <c r="X229" s="73">
        <v>0.0</v>
      </c>
      <c r="Y229" s="73">
        <v>0.0</v>
      </c>
      <c r="Z229" s="73">
        <v>0.0</v>
      </c>
      <c r="AA229" s="13">
        <f t="shared" si="44"/>
        <v>1</v>
      </c>
    </row>
    <row r="230" ht="12.75" customHeight="1">
      <c r="A230" s="18"/>
      <c r="B230" s="57"/>
      <c r="C230" s="58"/>
      <c r="D230" s="5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3">
        <f t="shared" si="44"/>
        <v>0</v>
      </c>
    </row>
    <row r="231" ht="12.75" customHeight="1">
      <c r="A231" s="18"/>
      <c r="B231" s="57"/>
      <c r="C231" s="58"/>
      <c r="D231" s="5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3">
        <f t="shared" si="44"/>
        <v>0</v>
      </c>
    </row>
    <row r="232" ht="12.75" customHeight="1">
      <c r="A232" s="18"/>
      <c r="B232" s="57"/>
      <c r="C232" s="58"/>
      <c r="D232" s="5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3">
        <f t="shared" si="44"/>
        <v>0</v>
      </c>
    </row>
    <row r="233" ht="12.75" customHeight="1">
      <c r="A233" s="18"/>
      <c r="B233" s="57"/>
      <c r="C233" s="58"/>
      <c r="D233" s="5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3">
        <f t="shared" si="44"/>
        <v>0</v>
      </c>
    </row>
    <row r="234" ht="12.75" customHeight="1">
      <c r="A234" s="18"/>
      <c r="B234" s="57"/>
      <c r="C234" s="58"/>
      <c r="D234" s="5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3">
        <f t="shared" si="44"/>
        <v>0</v>
      </c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A235" si="45">SUM(E225:E234)</f>
        <v>0</v>
      </c>
      <c r="F235" s="13">
        <f t="shared" si="45"/>
        <v>0</v>
      </c>
      <c r="G235" s="13">
        <f t="shared" si="45"/>
        <v>1</v>
      </c>
      <c r="H235" s="13">
        <f t="shared" si="45"/>
        <v>2</v>
      </c>
      <c r="I235" s="13">
        <f t="shared" si="45"/>
        <v>4</v>
      </c>
      <c r="J235" s="13">
        <f t="shared" si="45"/>
        <v>1</v>
      </c>
      <c r="K235" s="13">
        <f t="shared" si="45"/>
        <v>1</v>
      </c>
      <c r="L235" s="13">
        <f t="shared" si="45"/>
        <v>0</v>
      </c>
      <c r="M235" s="13">
        <f t="shared" si="45"/>
        <v>2</v>
      </c>
      <c r="N235" s="13">
        <f t="shared" si="45"/>
        <v>1</v>
      </c>
      <c r="O235" s="13">
        <f t="shared" si="45"/>
        <v>0</v>
      </c>
      <c r="P235" s="13">
        <f t="shared" si="45"/>
        <v>1</v>
      </c>
      <c r="Q235" s="13">
        <f t="shared" si="45"/>
        <v>1</v>
      </c>
      <c r="R235" s="13">
        <f t="shared" si="45"/>
        <v>0</v>
      </c>
      <c r="S235" s="13">
        <f t="shared" si="45"/>
        <v>3</v>
      </c>
      <c r="T235" s="13">
        <f t="shared" si="45"/>
        <v>0</v>
      </c>
      <c r="U235" s="13">
        <f t="shared" si="45"/>
        <v>0</v>
      </c>
      <c r="V235" s="13">
        <f t="shared" si="45"/>
        <v>2</v>
      </c>
      <c r="W235" s="13">
        <f t="shared" si="45"/>
        <v>1</v>
      </c>
      <c r="X235" s="13">
        <f t="shared" si="45"/>
        <v>10</v>
      </c>
      <c r="Y235" s="13">
        <f t="shared" si="45"/>
        <v>0</v>
      </c>
      <c r="Z235" s="13">
        <f t="shared" si="45"/>
        <v>0</v>
      </c>
      <c r="AA235" s="13">
        <f t="shared" si="45"/>
        <v>30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2.0</v>
      </c>
      <c r="F237" s="73">
        <v>1.0</v>
      </c>
      <c r="G237" s="73">
        <v>1.0</v>
      </c>
      <c r="H237" s="73">
        <v>0.0</v>
      </c>
      <c r="I237" s="73">
        <v>1.0</v>
      </c>
      <c r="J237" s="73">
        <v>1.0</v>
      </c>
      <c r="K237" s="73">
        <v>5.0</v>
      </c>
      <c r="L237" s="73">
        <v>4.0</v>
      </c>
      <c r="M237" s="73">
        <v>2.0</v>
      </c>
      <c r="N237" s="73">
        <v>2.0</v>
      </c>
      <c r="O237" s="73">
        <v>8.0</v>
      </c>
      <c r="P237" s="73">
        <v>13.0</v>
      </c>
      <c r="Q237" s="73">
        <v>1.0</v>
      </c>
      <c r="R237" s="73">
        <v>2.0</v>
      </c>
      <c r="S237" s="73">
        <v>3.0</v>
      </c>
      <c r="T237" s="73">
        <v>0.0</v>
      </c>
      <c r="U237" s="73">
        <v>0.0</v>
      </c>
      <c r="V237" s="73">
        <v>0.0</v>
      </c>
      <c r="W237" s="73">
        <v>3.0</v>
      </c>
      <c r="X237" s="73">
        <v>2.0</v>
      </c>
      <c r="Y237" s="73">
        <v>1.0</v>
      </c>
      <c r="Z237" s="73">
        <v>1.0</v>
      </c>
      <c r="AA237" s="13">
        <f t="shared" ref="AA237:AA246" si="46">SUM(E237:Z237)</f>
        <v>53</v>
      </c>
    </row>
    <row r="238" ht="12.75" customHeight="1">
      <c r="A238" s="30" t="s">
        <v>39</v>
      </c>
      <c r="B238" s="49"/>
      <c r="C238" s="50" t="s">
        <v>176</v>
      </c>
      <c r="D238" s="51"/>
      <c r="E238" s="73">
        <v>2.0</v>
      </c>
      <c r="F238" s="73">
        <v>0.0</v>
      </c>
      <c r="G238" s="73">
        <v>0.0</v>
      </c>
      <c r="H238" s="73">
        <v>9.0</v>
      </c>
      <c r="I238" s="73">
        <v>1.0</v>
      </c>
      <c r="J238" s="73">
        <v>1.0</v>
      </c>
      <c r="K238" s="73">
        <v>0.0</v>
      </c>
      <c r="L238" s="73">
        <v>0.0</v>
      </c>
      <c r="M238" s="73">
        <v>1.0</v>
      </c>
      <c r="N238" s="73">
        <v>2.0</v>
      </c>
      <c r="O238" s="73">
        <v>11.0</v>
      </c>
      <c r="P238" s="73">
        <v>9.0</v>
      </c>
      <c r="Q238" s="73">
        <v>2.0</v>
      </c>
      <c r="R238" s="73">
        <v>2.0</v>
      </c>
      <c r="S238" s="73">
        <v>3.0</v>
      </c>
      <c r="T238" s="73">
        <v>1.0</v>
      </c>
      <c r="U238" s="73">
        <v>0.0</v>
      </c>
      <c r="V238" s="73">
        <v>0.0</v>
      </c>
      <c r="W238" s="73">
        <v>0.0</v>
      </c>
      <c r="X238" s="73">
        <v>5.0</v>
      </c>
      <c r="Y238" s="73">
        <v>0.0</v>
      </c>
      <c r="Z238" s="73">
        <v>2.0</v>
      </c>
      <c r="AA238" s="13">
        <f t="shared" si="46"/>
        <v>51</v>
      </c>
    </row>
    <row r="239" ht="12.75" customHeight="1">
      <c r="A239" s="18"/>
      <c r="B239" s="49"/>
      <c r="C239" s="50" t="s">
        <v>177</v>
      </c>
      <c r="D239" s="51"/>
      <c r="E239" s="73">
        <v>0.0</v>
      </c>
      <c r="F239" s="73">
        <v>1.0</v>
      </c>
      <c r="G239" s="73">
        <v>0.0</v>
      </c>
      <c r="H239" s="73">
        <v>0.0</v>
      </c>
      <c r="I239" s="73">
        <v>0.0</v>
      </c>
      <c r="J239" s="73">
        <v>1.0</v>
      </c>
      <c r="K239" s="73">
        <v>0.0</v>
      </c>
      <c r="L239" s="73">
        <v>0.0</v>
      </c>
      <c r="M239" s="73">
        <v>0.0</v>
      </c>
      <c r="N239" s="73">
        <v>0.0</v>
      </c>
      <c r="O239" s="73">
        <v>0.0</v>
      </c>
      <c r="P239" s="73">
        <v>0.0</v>
      </c>
      <c r="Q239" s="73">
        <v>1.0</v>
      </c>
      <c r="R239" s="73">
        <v>0.0</v>
      </c>
      <c r="S239" s="73">
        <v>0.0</v>
      </c>
      <c r="T239" s="73">
        <v>1.0</v>
      </c>
      <c r="U239" s="73">
        <v>0.0</v>
      </c>
      <c r="V239" s="73">
        <v>1.0</v>
      </c>
      <c r="W239" s="73">
        <v>0.0</v>
      </c>
      <c r="X239" s="73">
        <v>2.0</v>
      </c>
      <c r="Y239" s="73">
        <v>0.0</v>
      </c>
      <c r="Z239" s="73">
        <v>1.0</v>
      </c>
      <c r="AA239" s="13">
        <f t="shared" si="46"/>
        <v>8</v>
      </c>
    </row>
    <row r="240" ht="12.75" customHeight="1">
      <c r="A240" s="18"/>
      <c r="B240" s="49"/>
      <c r="C240" s="50" t="s">
        <v>178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1.0</v>
      </c>
      <c r="K240" s="73">
        <v>0.0</v>
      </c>
      <c r="L240" s="73">
        <v>0.0</v>
      </c>
      <c r="M240" s="73">
        <v>0.0</v>
      </c>
      <c r="N240" s="73">
        <v>0.0</v>
      </c>
      <c r="O240" s="73">
        <v>0.0</v>
      </c>
      <c r="P240" s="73">
        <v>0.0</v>
      </c>
      <c r="Q240" s="73">
        <v>1.0</v>
      </c>
      <c r="R240" s="73">
        <v>0.0</v>
      </c>
      <c r="S240" s="73">
        <v>1.0</v>
      </c>
      <c r="T240" s="73">
        <v>1.0</v>
      </c>
      <c r="U240" s="73">
        <v>0.0</v>
      </c>
      <c r="V240" s="73">
        <v>0.0</v>
      </c>
      <c r="W240" s="73">
        <v>0.0</v>
      </c>
      <c r="X240" s="73">
        <v>0.0</v>
      </c>
      <c r="Y240" s="73">
        <v>1.0</v>
      </c>
      <c r="Z240" s="73">
        <v>0.0</v>
      </c>
      <c r="AA240" s="13">
        <f t="shared" si="46"/>
        <v>5</v>
      </c>
    </row>
    <row r="241" ht="12.75" customHeight="1">
      <c r="A241" s="18"/>
      <c r="B241" s="49"/>
      <c r="C241" s="50" t="s">
        <v>179</v>
      </c>
      <c r="D241" s="51"/>
      <c r="E241" s="73">
        <v>1.0</v>
      </c>
      <c r="F241" s="73">
        <v>0.0</v>
      </c>
      <c r="G241" s="73">
        <v>0.0</v>
      </c>
      <c r="H241" s="73">
        <v>0.0</v>
      </c>
      <c r="I241" s="73">
        <v>0.0</v>
      </c>
      <c r="J241" s="73">
        <v>1.0</v>
      </c>
      <c r="K241" s="73">
        <v>0.0</v>
      </c>
      <c r="L241" s="73">
        <v>0.0</v>
      </c>
      <c r="M241" s="73">
        <v>0.0</v>
      </c>
      <c r="N241" s="73">
        <v>0.0</v>
      </c>
      <c r="O241" s="73">
        <v>1.0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73">
        <v>0.0</v>
      </c>
      <c r="Z241" s="73">
        <v>0.0</v>
      </c>
      <c r="AA241" s="13">
        <f t="shared" si="46"/>
        <v>3</v>
      </c>
    </row>
    <row r="242" ht="12.75" customHeight="1">
      <c r="A242" s="18"/>
      <c r="B242" s="49"/>
      <c r="C242" s="50" t="s">
        <v>180</v>
      </c>
      <c r="D242" s="51"/>
      <c r="E242" s="73">
        <v>22.0</v>
      </c>
      <c r="F242" s="73">
        <v>21.0</v>
      </c>
      <c r="G242" s="73">
        <v>4.0</v>
      </c>
      <c r="H242" s="73">
        <v>4.0</v>
      </c>
      <c r="I242" s="73">
        <v>0.0</v>
      </c>
      <c r="J242" s="73">
        <v>1.0</v>
      </c>
      <c r="K242" s="73">
        <v>0.0</v>
      </c>
      <c r="L242" s="73">
        <v>0.0</v>
      </c>
      <c r="M242" s="73">
        <v>0.0</v>
      </c>
      <c r="N242" s="73">
        <v>1.0</v>
      </c>
      <c r="O242" s="73">
        <v>1.0</v>
      </c>
      <c r="P242" s="73">
        <v>1.0</v>
      </c>
      <c r="Q242" s="73">
        <v>0.0</v>
      </c>
      <c r="R242" s="73">
        <v>0.0</v>
      </c>
      <c r="S242" s="73">
        <v>0.0</v>
      </c>
      <c r="T242" s="73">
        <v>0.0</v>
      </c>
      <c r="U242" s="73">
        <v>0.0</v>
      </c>
      <c r="V242" s="73">
        <v>0.0</v>
      </c>
      <c r="W242" s="73">
        <v>1.0</v>
      </c>
      <c r="X242" s="73">
        <v>1.0</v>
      </c>
      <c r="Y242" s="73">
        <v>1.0</v>
      </c>
      <c r="Z242" s="73">
        <v>8.0</v>
      </c>
      <c r="AA242" s="13">
        <f t="shared" si="46"/>
        <v>66</v>
      </c>
    </row>
    <row r="243" ht="12.75" customHeight="1">
      <c r="A243" s="18"/>
      <c r="B243" s="49"/>
      <c r="C243" s="50" t="s">
        <v>181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0.0</v>
      </c>
      <c r="M243" s="73">
        <v>0.0</v>
      </c>
      <c r="N243" s="73">
        <v>0.0</v>
      </c>
      <c r="O243" s="73">
        <v>1.0</v>
      </c>
      <c r="P243" s="73">
        <v>0.0</v>
      </c>
      <c r="Q243" s="73">
        <v>0.0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73">
        <v>0.0</v>
      </c>
      <c r="Z243" s="73">
        <v>0.0</v>
      </c>
      <c r="AA243" s="13">
        <f t="shared" si="46"/>
        <v>1</v>
      </c>
    </row>
    <row r="244" ht="12.75" customHeight="1">
      <c r="A244" s="18"/>
      <c r="B244" s="49"/>
      <c r="C244" s="50" t="s">
        <v>182</v>
      </c>
      <c r="D244" s="51"/>
      <c r="E244" s="73">
        <v>0.0</v>
      </c>
      <c r="F244" s="73">
        <v>0.0</v>
      </c>
      <c r="G244" s="73">
        <v>0.0</v>
      </c>
      <c r="H244" s="73">
        <v>0.0</v>
      </c>
      <c r="I244" s="73">
        <v>0.0</v>
      </c>
      <c r="J244" s="73">
        <v>0.0</v>
      </c>
      <c r="K244" s="73">
        <v>0.0</v>
      </c>
      <c r="L244" s="73">
        <v>0.0</v>
      </c>
      <c r="M244" s="73">
        <v>0.0</v>
      </c>
      <c r="N244" s="73">
        <v>0.0</v>
      </c>
      <c r="O244" s="73">
        <v>0.0</v>
      </c>
      <c r="P244" s="73">
        <v>0.0</v>
      </c>
      <c r="Q244" s="73">
        <v>0.0</v>
      </c>
      <c r="R244" s="73">
        <v>1.0</v>
      </c>
      <c r="S244" s="73">
        <v>0.0</v>
      </c>
      <c r="T244" s="73">
        <v>0.0</v>
      </c>
      <c r="U244" s="73">
        <v>0.0</v>
      </c>
      <c r="V244" s="73">
        <v>0.0</v>
      </c>
      <c r="W244" s="73">
        <v>1.0</v>
      </c>
      <c r="X244" s="73">
        <v>0.0</v>
      </c>
      <c r="Y244" s="73">
        <v>0.0</v>
      </c>
      <c r="Z244" s="73">
        <v>0.0</v>
      </c>
      <c r="AA244" s="13">
        <f t="shared" si="46"/>
        <v>2</v>
      </c>
    </row>
    <row r="245" ht="12.75" customHeight="1">
      <c r="A245" s="18"/>
      <c r="B245" s="49"/>
      <c r="C245" s="50" t="s">
        <v>183</v>
      </c>
      <c r="D245" s="51"/>
      <c r="E245" s="73">
        <v>0.0</v>
      </c>
      <c r="F245" s="73">
        <v>0.0</v>
      </c>
      <c r="G245" s="73">
        <v>0.0</v>
      </c>
      <c r="H245" s="73">
        <v>0.0</v>
      </c>
      <c r="I245" s="73">
        <v>0.0</v>
      </c>
      <c r="J245" s="73">
        <v>0.0</v>
      </c>
      <c r="K245" s="73">
        <v>0.0</v>
      </c>
      <c r="L245" s="73">
        <v>1.0</v>
      </c>
      <c r="M245" s="73">
        <v>0.0</v>
      </c>
      <c r="N245" s="73">
        <v>0.0</v>
      </c>
      <c r="O245" s="73">
        <v>0.0</v>
      </c>
      <c r="P245" s="73">
        <v>0.0</v>
      </c>
      <c r="Q245" s="73">
        <v>0.0</v>
      </c>
      <c r="R245" s="73">
        <v>0.0</v>
      </c>
      <c r="S245" s="73">
        <v>0.0</v>
      </c>
      <c r="T245" s="73">
        <v>0.0</v>
      </c>
      <c r="U245" s="73">
        <v>0.0</v>
      </c>
      <c r="V245" s="73">
        <v>0.0</v>
      </c>
      <c r="W245" s="73">
        <v>0.0</v>
      </c>
      <c r="X245" s="73">
        <v>0.0</v>
      </c>
      <c r="Y245" s="73">
        <v>0.0</v>
      </c>
      <c r="Z245" s="73">
        <v>0.0</v>
      </c>
      <c r="AA245" s="13">
        <f t="shared" si="46"/>
        <v>1</v>
      </c>
    </row>
    <row r="246" ht="12.75" customHeight="1">
      <c r="A246" s="18"/>
      <c r="B246" s="49"/>
      <c r="C246" s="50" t="s">
        <v>184</v>
      </c>
      <c r="D246" s="51"/>
      <c r="E246" s="73">
        <v>0.0</v>
      </c>
      <c r="F246" s="73">
        <v>0.0</v>
      </c>
      <c r="G246" s="73">
        <v>0.0</v>
      </c>
      <c r="H246" s="73">
        <v>0.0</v>
      </c>
      <c r="I246" s="73">
        <v>0.0</v>
      </c>
      <c r="J246" s="73">
        <v>0.0</v>
      </c>
      <c r="K246" s="73">
        <v>0.0</v>
      </c>
      <c r="L246" s="73">
        <v>0.0</v>
      </c>
      <c r="M246" s="73">
        <v>0.0</v>
      </c>
      <c r="N246" s="73">
        <v>0.0</v>
      </c>
      <c r="O246" s="73">
        <v>2.0</v>
      </c>
      <c r="P246" s="73">
        <v>1.0</v>
      </c>
      <c r="Q246" s="73">
        <v>1.0</v>
      </c>
      <c r="R246" s="73">
        <v>0.0</v>
      </c>
      <c r="S246" s="73">
        <v>0.0</v>
      </c>
      <c r="T246" s="73">
        <v>0.0</v>
      </c>
      <c r="U246" s="73">
        <v>0.0</v>
      </c>
      <c r="V246" s="73">
        <v>0.0</v>
      </c>
      <c r="W246" s="73">
        <v>1.0</v>
      </c>
      <c r="X246" s="73">
        <v>0.0</v>
      </c>
      <c r="Y246" s="73">
        <v>0.0</v>
      </c>
      <c r="Z246" s="73">
        <v>0.0</v>
      </c>
      <c r="AA246" s="13">
        <f t="shared" si="46"/>
        <v>5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A247" si="47">SUM(E237:E246)</f>
        <v>27</v>
      </c>
      <c r="F247" s="13">
        <f t="shared" si="47"/>
        <v>23</v>
      </c>
      <c r="G247" s="13">
        <f t="shared" si="47"/>
        <v>5</v>
      </c>
      <c r="H247" s="13">
        <f t="shared" si="47"/>
        <v>13</v>
      </c>
      <c r="I247" s="13">
        <f t="shared" si="47"/>
        <v>2</v>
      </c>
      <c r="J247" s="13">
        <f t="shared" si="47"/>
        <v>6</v>
      </c>
      <c r="K247" s="13">
        <f t="shared" si="47"/>
        <v>5</v>
      </c>
      <c r="L247" s="13">
        <f t="shared" si="47"/>
        <v>5</v>
      </c>
      <c r="M247" s="13">
        <f t="shared" si="47"/>
        <v>3</v>
      </c>
      <c r="N247" s="13">
        <f t="shared" si="47"/>
        <v>5</v>
      </c>
      <c r="O247" s="13">
        <f t="shared" si="47"/>
        <v>24</v>
      </c>
      <c r="P247" s="13">
        <f t="shared" si="47"/>
        <v>24</v>
      </c>
      <c r="Q247" s="13">
        <f t="shared" si="47"/>
        <v>6</v>
      </c>
      <c r="R247" s="13">
        <f t="shared" si="47"/>
        <v>5</v>
      </c>
      <c r="S247" s="13">
        <f t="shared" si="47"/>
        <v>7</v>
      </c>
      <c r="T247" s="13">
        <f t="shared" si="47"/>
        <v>3</v>
      </c>
      <c r="U247" s="13">
        <f t="shared" si="47"/>
        <v>0</v>
      </c>
      <c r="V247" s="13">
        <f t="shared" si="47"/>
        <v>1</v>
      </c>
      <c r="W247" s="13">
        <f t="shared" si="47"/>
        <v>6</v>
      </c>
      <c r="X247" s="13">
        <f t="shared" si="47"/>
        <v>10</v>
      </c>
      <c r="Y247" s="13">
        <f t="shared" si="47"/>
        <v>3</v>
      </c>
      <c r="Z247" s="13">
        <f t="shared" si="47"/>
        <v>12</v>
      </c>
      <c r="AA247" s="13">
        <f t="shared" si="47"/>
        <v>195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0.0</v>
      </c>
      <c r="J249" s="73">
        <v>0.0</v>
      </c>
      <c r="K249" s="73">
        <v>1.0</v>
      </c>
      <c r="L249" s="73">
        <v>0.0</v>
      </c>
      <c r="M249" s="73">
        <v>0.0</v>
      </c>
      <c r="N249" s="73">
        <v>0.0</v>
      </c>
      <c r="O249" s="73">
        <v>2.0</v>
      </c>
      <c r="P249" s="73">
        <v>0.0</v>
      </c>
      <c r="Q249" s="73">
        <v>0.0</v>
      </c>
      <c r="R249" s="73">
        <v>0.0</v>
      </c>
      <c r="S249" s="73">
        <v>0.0</v>
      </c>
      <c r="T249" s="73">
        <v>0.0</v>
      </c>
      <c r="U249" s="73">
        <v>0.0</v>
      </c>
      <c r="V249" s="73">
        <v>0.0</v>
      </c>
      <c r="W249" s="73">
        <v>0.0</v>
      </c>
      <c r="X249" s="73">
        <v>1.0</v>
      </c>
      <c r="Y249" s="73">
        <v>0.0</v>
      </c>
      <c r="Z249" s="73">
        <v>0.0</v>
      </c>
      <c r="AA249" s="13">
        <f t="shared" ref="AA249:AA258" si="48">SUM(E249:Z249)</f>
        <v>4</v>
      </c>
    </row>
    <row r="250" ht="12.75" customHeight="1">
      <c r="A250" s="30" t="s">
        <v>39</v>
      </c>
      <c r="B250" s="49"/>
      <c r="C250" s="50" t="s">
        <v>187</v>
      </c>
      <c r="D250" s="51"/>
      <c r="E250" s="73">
        <v>0.0</v>
      </c>
      <c r="F250" s="73">
        <v>0.0</v>
      </c>
      <c r="G250" s="73">
        <v>0.0</v>
      </c>
      <c r="H250" s="73">
        <v>0.0</v>
      </c>
      <c r="I250" s="73">
        <v>1.0</v>
      </c>
      <c r="J250" s="73">
        <v>0.0</v>
      </c>
      <c r="K250" s="73">
        <v>0.0</v>
      </c>
      <c r="L250" s="73">
        <v>0.0</v>
      </c>
      <c r="M250" s="73">
        <v>0.0</v>
      </c>
      <c r="N250" s="73">
        <v>0.0</v>
      </c>
      <c r="O250" s="73">
        <v>0.0</v>
      </c>
      <c r="P250" s="73">
        <v>0.0</v>
      </c>
      <c r="Q250" s="73">
        <v>0.0</v>
      </c>
      <c r="R250" s="73">
        <v>0.0</v>
      </c>
      <c r="S250" s="73">
        <v>0.0</v>
      </c>
      <c r="T250" s="73">
        <v>0.0</v>
      </c>
      <c r="U250" s="73">
        <v>0.0</v>
      </c>
      <c r="V250" s="73">
        <v>0.0</v>
      </c>
      <c r="W250" s="73">
        <v>0.0</v>
      </c>
      <c r="X250" s="73">
        <v>1.0</v>
      </c>
      <c r="Y250" s="73">
        <v>0.0</v>
      </c>
      <c r="Z250" s="73">
        <v>1.0</v>
      </c>
      <c r="AA250" s="13">
        <f t="shared" si="48"/>
        <v>3</v>
      </c>
    </row>
    <row r="251" ht="12.75" customHeight="1">
      <c r="A251" s="18"/>
      <c r="B251" s="49"/>
      <c r="C251" s="50" t="s">
        <v>188</v>
      </c>
      <c r="D251" s="51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73">
        <v>1.0</v>
      </c>
      <c r="X251" s="73">
        <v>0.0</v>
      </c>
      <c r="Y251" s="73">
        <v>0.0</v>
      </c>
      <c r="Z251" s="73">
        <v>0.0</v>
      </c>
      <c r="AA251" s="13">
        <f t="shared" si="48"/>
        <v>1</v>
      </c>
    </row>
    <row r="252" ht="12.75" customHeight="1">
      <c r="A252" s="18"/>
      <c r="B252" s="49"/>
      <c r="C252" s="50" t="s">
        <v>189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73">
        <v>0.0</v>
      </c>
      <c r="S252" s="73">
        <v>0.0</v>
      </c>
      <c r="T252" s="73">
        <v>0.0</v>
      </c>
      <c r="U252" s="73">
        <v>0.0</v>
      </c>
      <c r="V252" s="73">
        <v>0.0</v>
      </c>
      <c r="W252" s="73">
        <v>0.0</v>
      </c>
      <c r="X252" s="73">
        <v>0.0</v>
      </c>
      <c r="Y252" s="73">
        <v>0.0</v>
      </c>
      <c r="Z252" s="73">
        <v>0.0</v>
      </c>
      <c r="AA252" s="13">
        <f t="shared" si="48"/>
        <v>0</v>
      </c>
    </row>
    <row r="253" ht="12.75" customHeight="1">
      <c r="A253" s="18"/>
      <c r="B253" s="57"/>
      <c r="C253" s="67"/>
      <c r="D253" s="5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3">
        <f t="shared" si="48"/>
        <v>0</v>
      </c>
    </row>
    <row r="254" ht="12.75" customHeight="1">
      <c r="A254" s="18"/>
      <c r="B254" s="57"/>
      <c r="C254" s="67"/>
      <c r="D254" s="5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3">
        <f t="shared" si="48"/>
        <v>0</v>
      </c>
    </row>
    <row r="255" ht="12.75" customHeight="1">
      <c r="A255" s="18"/>
      <c r="B255" s="57"/>
      <c r="C255" s="67"/>
      <c r="D255" s="5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3">
        <f t="shared" si="48"/>
        <v>0</v>
      </c>
    </row>
    <row r="256" ht="12.75" customHeight="1">
      <c r="A256" s="18"/>
      <c r="B256" s="57"/>
      <c r="C256" s="64"/>
      <c r="D256" s="5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3">
        <f t="shared" si="48"/>
        <v>0</v>
      </c>
    </row>
    <row r="257" ht="12.75" customHeight="1">
      <c r="A257" s="18"/>
      <c r="B257" s="57"/>
      <c r="C257" s="64"/>
      <c r="D257" s="5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3">
        <f t="shared" si="48"/>
        <v>0</v>
      </c>
    </row>
    <row r="258" ht="12.75" customHeight="1">
      <c r="A258" s="18"/>
      <c r="B258" s="57"/>
      <c r="C258" s="64"/>
      <c r="D258" s="5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3">
        <f t="shared" si="48"/>
        <v>0</v>
      </c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A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1</v>
      </c>
      <c r="J259" s="13">
        <f t="shared" si="49"/>
        <v>0</v>
      </c>
      <c r="K259" s="13">
        <f t="shared" si="49"/>
        <v>1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2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1</v>
      </c>
      <c r="X259" s="13">
        <f t="shared" si="49"/>
        <v>2</v>
      </c>
      <c r="Y259" s="13">
        <f t="shared" si="49"/>
        <v>0</v>
      </c>
      <c r="Z259" s="13">
        <f t="shared" si="49"/>
        <v>1</v>
      </c>
      <c r="AA259" s="13">
        <f t="shared" si="49"/>
        <v>8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Z262" si="50">E55+E67+E79+E91+E103+E115+E127+E139+E151+E163+E175+E187+E199+E211+E223+E235+E247+E259</f>
        <v>161</v>
      </c>
      <c r="F262" s="19">
        <f t="shared" si="50"/>
        <v>163</v>
      </c>
      <c r="G262" s="19">
        <f t="shared" si="50"/>
        <v>161</v>
      </c>
      <c r="H262" s="19">
        <f t="shared" si="50"/>
        <v>192</v>
      </c>
      <c r="I262" s="19">
        <f t="shared" si="50"/>
        <v>164</v>
      </c>
      <c r="J262" s="19">
        <f t="shared" si="50"/>
        <v>172</v>
      </c>
      <c r="K262" s="19">
        <f t="shared" si="50"/>
        <v>169</v>
      </c>
      <c r="L262" s="19">
        <f t="shared" si="50"/>
        <v>207</v>
      </c>
      <c r="M262" s="19">
        <f t="shared" si="50"/>
        <v>180</v>
      </c>
      <c r="N262" s="19">
        <f t="shared" si="50"/>
        <v>188</v>
      </c>
      <c r="O262" s="19">
        <f t="shared" si="50"/>
        <v>191</v>
      </c>
      <c r="P262" s="19">
        <f t="shared" si="50"/>
        <v>170</v>
      </c>
      <c r="Q262" s="19">
        <f t="shared" si="50"/>
        <v>167</v>
      </c>
      <c r="R262" s="19">
        <f t="shared" si="50"/>
        <v>167</v>
      </c>
      <c r="S262" s="19">
        <f t="shared" si="50"/>
        <v>181</v>
      </c>
      <c r="T262" s="19">
        <f t="shared" si="50"/>
        <v>154</v>
      </c>
      <c r="U262" s="19">
        <f t="shared" si="50"/>
        <v>183</v>
      </c>
      <c r="V262" s="19">
        <f t="shared" si="50"/>
        <v>152</v>
      </c>
      <c r="W262" s="19">
        <f t="shared" si="50"/>
        <v>152</v>
      </c>
      <c r="X262" s="19">
        <f t="shared" si="50"/>
        <v>175</v>
      </c>
      <c r="Y262" s="19">
        <f t="shared" si="50"/>
        <v>152</v>
      </c>
      <c r="Z262" s="19">
        <f t="shared" si="50"/>
        <v>188</v>
      </c>
      <c r="AA262" s="13">
        <f t="shared" ref="AA262:AA264" si="51">SUM(E262:Z262)</f>
        <v>3789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16.0</v>
      </c>
      <c r="F263" s="73">
        <v>19.0</v>
      </c>
      <c r="G263" s="73">
        <v>9.0</v>
      </c>
      <c r="H263" s="73">
        <v>9.0</v>
      </c>
      <c r="I263" s="73">
        <v>17.0</v>
      </c>
      <c r="J263" s="73">
        <v>9.0</v>
      </c>
      <c r="K263" s="73">
        <v>15.0</v>
      </c>
      <c r="L263" s="73">
        <v>26.0</v>
      </c>
      <c r="M263" s="73">
        <v>30.0</v>
      </c>
      <c r="N263" s="73">
        <v>24.0</v>
      </c>
      <c r="O263" s="73">
        <v>19.0</v>
      </c>
      <c r="P263" s="73">
        <v>16.0</v>
      </c>
      <c r="Q263" s="73">
        <v>25.0</v>
      </c>
      <c r="R263" s="73">
        <v>28.0</v>
      </c>
      <c r="S263" s="73">
        <v>26.0</v>
      </c>
      <c r="T263" s="73">
        <v>13.0</v>
      </c>
      <c r="U263" s="73">
        <v>10.0</v>
      </c>
      <c r="V263" s="73">
        <v>15.0</v>
      </c>
      <c r="W263" s="73">
        <v>12.0</v>
      </c>
      <c r="X263" s="73">
        <v>21.0</v>
      </c>
      <c r="Y263" s="73">
        <v>17.0</v>
      </c>
      <c r="Z263" s="73">
        <v>30.0</v>
      </c>
      <c r="AA263" s="13">
        <f t="shared" si="51"/>
        <v>406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Z264" si="52">SUM(E262:E263)</f>
        <v>177</v>
      </c>
      <c r="F264" s="13">
        <f t="shared" si="52"/>
        <v>182</v>
      </c>
      <c r="G264" s="13">
        <f t="shared" si="52"/>
        <v>170</v>
      </c>
      <c r="H264" s="13">
        <f t="shared" si="52"/>
        <v>201</v>
      </c>
      <c r="I264" s="13">
        <f t="shared" si="52"/>
        <v>181</v>
      </c>
      <c r="J264" s="13">
        <f t="shared" si="52"/>
        <v>181</v>
      </c>
      <c r="K264" s="13">
        <f t="shared" si="52"/>
        <v>184</v>
      </c>
      <c r="L264" s="13">
        <f t="shared" si="52"/>
        <v>233</v>
      </c>
      <c r="M264" s="13">
        <f t="shared" si="52"/>
        <v>210</v>
      </c>
      <c r="N264" s="13">
        <f t="shared" si="52"/>
        <v>212</v>
      </c>
      <c r="O264" s="13">
        <f t="shared" si="52"/>
        <v>210</v>
      </c>
      <c r="P264" s="13">
        <f t="shared" si="52"/>
        <v>186</v>
      </c>
      <c r="Q264" s="13">
        <f t="shared" si="52"/>
        <v>192</v>
      </c>
      <c r="R264" s="13">
        <f t="shared" si="52"/>
        <v>195</v>
      </c>
      <c r="S264" s="13">
        <f t="shared" si="52"/>
        <v>207</v>
      </c>
      <c r="T264" s="13">
        <f t="shared" si="52"/>
        <v>167</v>
      </c>
      <c r="U264" s="13">
        <f t="shared" si="52"/>
        <v>193</v>
      </c>
      <c r="V264" s="13">
        <f t="shared" si="52"/>
        <v>167</v>
      </c>
      <c r="W264" s="13">
        <f t="shared" si="52"/>
        <v>164</v>
      </c>
      <c r="X264" s="13">
        <f t="shared" si="52"/>
        <v>196</v>
      </c>
      <c r="Y264" s="13">
        <f t="shared" si="52"/>
        <v>169</v>
      </c>
      <c r="Z264" s="13">
        <f t="shared" si="52"/>
        <v>218</v>
      </c>
      <c r="AA264" s="13">
        <f t="shared" si="51"/>
        <v>4195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Z15">
    <cfRule type="containsBlanks" dxfId="1" priority="1">
      <formula>LEN(TRIM(E14))=0</formula>
    </cfRule>
  </conditionalFormatting>
  <conditionalFormatting sqref="E19:Z20">
    <cfRule type="containsBlanks" dxfId="1" priority="2">
      <formula>LEN(TRIM(E19))=0</formula>
    </cfRule>
  </conditionalFormatting>
  <conditionalFormatting sqref="E22:Z23 E25:Z26 E33:Z33 E35:Z35 E39:Z40">
    <cfRule type="containsBlanks" dxfId="1" priority="3">
      <formula>LEN(TRIM(E22))=0</formula>
    </cfRule>
  </conditionalFormatting>
  <conditionalFormatting sqref="E30:Z30">
    <cfRule type="expression" dxfId="0" priority="4">
      <formula>E30&lt;&gt;E47</formula>
    </cfRule>
  </conditionalFormatting>
  <conditionalFormatting sqref="E30:Z30">
    <cfRule type="expression" dxfId="0" priority="5">
      <formula>E30&lt;&gt;E34</formula>
    </cfRule>
  </conditionalFormatting>
  <conditionalFormatting sqref="E34:Z34">
    <cfRule type="expression" dxfId="2" priority="6">
      <formula>E30&lt;&gt;E34</formula>
    </cfRule>
  </conditionalFormatting>
  <conditionalFormatting sqref="E34:Z34">
    <cfRule type="expression" dxfId="3" priority="7">
      <formula>E30=E34</formula>
    </cfRule>
  </conditionalFormatting>
  <conditionalFormatting sqref="E34:Z34">
    <cfRule type="expression" dxfId="0" priority="8">
      <formula>E34&lt;&gt;E30</formula>
    </cfRule>
  </conditionalFormatting>
  <conditionalFormatting sqref="E45:Z54">
    <cfRule type="containsBlanks" dxfId="1" priority="9">
      <formula>LEN(TRIM(E45))=0</formula>
    </cfRule>
  </conditionalFormatting>
  <conditionalFormatting sqref="E57:Z66">
    <cfRule type="containsBlanks" dxfId="1" priority="10">
      <formula>LEN(TRIM(E57))=0</formula>
    </cfRule>
  </conditionalFormatting>
  <conditionalFormatting sqref="E69:Z78">
    <cfRule type="containsBlanks" dxfId="1" priority="11">
      <formula>LEN(TRIM(E69))=0</formula>
    </cfRule>
  </conditionalFormatting>
  <conditionalFormatting sqref="E81:Z90">
    <cfRule type="containsBlanks" dxfId="1" priority="12">
      <formula>LEN(TRIM(E81))=0</formula>
    </cfRule>
  </conditionalFormatting>
  <conditionalFormatting sqref="E93:Z102">
    <cfRule type="containsBlanks" dxfId="1" priority="13">
      <formula>LEN(TRIM(E93))=0</formula>
    </cfRule>
  </conditionalFormatting>
  <conditionalFormatting sqref="E105:Z114">
    <cfRule type="containsBlanks" dxfId="1" priority="14">
      <formula>LEN(TRIM(E105))=0</formula>
    </cfRule>
  </conditionalFormatting>
  <conditionalFormatting sqref="E117:Z126">
    <cfRule type="containsBlanks" dxfId="1" priority="15">
      <formula>LEN(TRIM(E117))=0</formula>
    </cfRule>
  </conditionalFormatting>
  <conditionalFormatting sqref="E129:Z138">
    <cfRule type="containsBlanks" dxfId="1" priority="16">
      <formula>LEN(TRIM(E129))=0</formula>
    </cfRule>
  </conditionalFormatting>
  <conditionalFormatting sqref="E141:Z150">
    <cfRule type="containsBlanks" dxfId="1" priority="17">
      <formula>LEN(TRIM(E141))=0</formula>
    </cfRule>
  </conditionalFormatting>
  <conditionalFormatting sqref="E153:Z162">
    <cfRule type="containsBlanks" dxfId="1" priority="18">
      <formula>LEN(TRIM(E153))=0</formula>
    </cfRule>
  </conditionalFormatting>
  <conditionalFormatting sqref="E165:Z174">
    <cfRule type="containsBlanks" dxfId="1" priority="19">
      <formula>LEN(TRIM(E165))=0</formula>
    </cfRule>
  </conditionalFormatting>
  <conditionalFormatting sqref="E177:Z186">
    <cfRule type="containsBlanks" dxfId="1" priority="20">
      <formula>LEN(TRIM(E177))=0</formula>
    </cfRule>
  </conditionalFormatting>
  <conditionalFormatting sqref="E189:Z198">
    <cfRule type="containsBlanks" dxfId="1" priority="21">
      <formula>LEN(TRIM(E189))=0</formula>
    </cfRule>
  </conditionalFormatting>
  <conditionalFormatting sqref="E201:Z210">
    <cfRule type="containsBlanks" dxfId="1" priority="22">
      <formula>LEN(TRIM(E201))=0</formula>
    </cfRule>
  </conditionalFormatting>
  <conditionalFormatting sqref="E213:Z222">
    <cfRule type="containsBlanks" dxfId="1" priority="23">
      <formula>LEN(TRIM(E213))=0</formula>
    </cfRule>
  </conditionalFormatting>
  <conditionalFormatting sqref="E225:Z234">
    <cfRule type="containsBlanks" dxfId="1" priority="24">
      <formula>LEN(TRIM(E225))=0</formula>
    </cfRule>
  </conditionalFormatting>
  <conditionalFormatting sqref="E237:Z246">
    <cfRule type="containsBlanks" dxfId="1" priority="25">
      <formula>LEN(TRIM(E237))=0</formula>
    </cfRule>
  </conditionalFormatting>
  <conditionalFormatting sqref="E249:Z258">
    <cfRule type="containsBlanks" dxfId="1" priority="26">
      <formula>LEN(TRIM(E249))=0</formula>
    </cfRule>
  </conditionalFormatting>
  <conditionalFormatting sqref="E262:Z263">
    <cfRule type="containsBlanks" dxfId="1" priority="27">
      <formula>LEN(TRIM(E262))=0</formula>
    </cfRule>
  </conditionalFormatting>
  <conditionalFormatting sqref="U34">
    <cfRule type="expression" dxfId="0" priority="28">
      <formula>U34&lt;&gt;U47</formula>
    </cfRule>
  </conditionalFormatting>
  <conditionalFormatting sqref="Y34:Z34">
    <cfRule type="expression" dxfId="0" priority="29">
      <formula>Y34&lt;&gt;Y47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223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73">
        <v>148.0</v>
      </c>
      <c r="F14" s="73">
        <v>99.0</v>
      </c>
      <c r="G14" s="73">
        <v>143.0</v>
      </c>
      <c r="H14" s="73">
        <v>144.0</v>
      </c>
      <c r="I14" s="73">
        <v>134.0</v>
      </c>
      <c r="J14" s="73">
        <v>127.0</v>
      </c>
      <c r="K14" s="73">
        <v>136.0</v>
      </c>
      <c r="L14" s="73">
        <v>92.0</v>
      </c>
      <c r="M14" s="73">
        <v>117.0</v>
      </c>
      <c r="N14" s="73">
        <v>105.0</v>
      </c>
      <c r="O14" s="73">
        <v>104.0</v>
      </c>
      <c r="P14" s="73">
        <v>133.0</v>
      </c>
      <c r="Q14" s="73">
        <v>136.0</v>
      </c>
      <c r="R14" s="73">
        <v>137.0</v>
      </c>
      <c r="S14" s="73">
        <v>107.0</v>
      </c>
      <c r="T14" s="73">
        <v>121.0</v>
      </c>
      <c r="U14" s="73">
        <v>104.0</v>
      </c>
      <c r="V14" s="73">
        <v>112.0</v>
      </c>
      <c r="W14" s="73">
        <v>124.0</v>
      </c>
      <c r="X14" s="73">
        <v>111.0</v>
      </c>
      <c r="Y14" s="73">
        <v>148.0</v>
      </c>
      <c r="Z14" s="73">
        <v>124.0</v>
      </c>
      <c r="AA14" s="73">
        <v>113.0</v>
      </c>
      <c r="AB14" s="13">
        <f t="shared" ref="AB14:AB16" si="1">SUM(E14:AA14)</f>
        <v>2819</v>
      </c>
    </row>
    <row r="15" ht="12.75" customHeight="1">
      <c r="A15" s="18"/>
      <c r="B15" s="26"/>
      <c r="C15" s="27"/>
      <c r="D15" s="19" t="s">
        <v>13</v>
      </c>
      <c r="E15" s="73">
        <v>148.0</v>
      </c>
      <c r="F15" s="73">
        <v>95.0</v>
      </c>
      <c r="G15" s="73">
        <v>151.0</v>
      </c>
      <c r="H15" s="73">
        <v>148.0</v>
      </c>
      <c r="I15" s="73">
        <v>137.0</v>
      </c>
      <c r="J15" s="73">
        <v>125.0</v>
      </c>
      <c r="K15" s="73">
        <v>141.0</v>
      </c>
      <c r="L15" s="73">
        <v>101.0</v>
      </c>
      <c r="M15" s="73">
        <v>105.0</v>
      </c>
      <c r="N15" s="73">
        <v>108.0</v>
      </c>
      <c r="O15" s="73">
        <v>102.0</v>
      </c>
      <c r="P15" s="73">
        <v>115.0</v>
      </c>
      <c r="Q15" s="73">
        <v>145.0</v>
      </c>
      <c r="R15" s="73">
        <v>146.0</v>
      </c>
      <c r="S15" s="73">
        <v>105.0</v>
      </c>
      <c r="T15" s="73">
        <v>134.0</v>
      </c>
      <c r="U15" s="73">
        <v>93.0</v>
      </c>
      <c r="V15" s="73">
        <v>117.0</v>
      </c>
      <c r="W15" s="73">
        <v>131.0</v>
      </c>
      <c r="X15" s="73">
        <v>106.0</v>
      </c>
      <c r="Y15" s="73">
        <v>138.0</v>
      </c>
      <c r="Z15" s="73">
        <v>114.0</v>
      </c>
      <c r="AA15" s="73">
        <v>92.0</v>
      </c>
      <c r="AB15" s="13">
        <f t="shared" si="1"/>
        <v>2797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296</v>
      </c>
      <c r="F16" s="13">
        <f t="shared" si="2"/>
        <v>194</v>
      </c>
      <c r="G16" s="13">
        <f t="shared" si="2"/>
        <v>294</v>
      </c>
      <c r="H16" s="13">
        <f t="shared" si="2"/>
        <v>292</v>
      </c>
      <c r="I16" s="13">
        <f t="shared" si="2"/>
        <v>271</v>
      </c>
      <c r="J16" s="13">
        <f t="shared" si="2"/>
        <v>252</v>
      </c>
      <c r="K16" s="13">
        <f t="shared" si="2"/>
        <v>277</v>
      </c>
      <c r="L16" s="13">
        <f t="shared" si="2"/>
        <v>193</v>
      </c>
      <c r="M16" s="13">
        <f t="shared" si="2"/>
        <v>222</v>
      </c>
      <c r="N16" s="13">
        <f t="shared" si="2"/>
        <v>213</v>
      </c>
      <c r="O16" s="13">
        <f t="shared" si="2"/>
        <v>206</v>
      </c>
      <c r="P16" s="13">
        <f t="shared" si="2"/>
        <v>248</v>
      </c>
      <c r="Q16" s="13">
        <f t="shared" si="2"/>
        <v>281</v>
      </c>
      <c r="R16" s="13">
        <f t="shared" si="2"/>
        <v>283</v>
      </c>
      <c r="S16" s="13">
        <f t="shared" si="2"/>
        <v>212</v>
      </c>
      <c r="T16" s="13">
        <f t="shared" si="2"/>
        <v>255</v>
      </c>
      <c r="U16" s="13">
        <f t="shared" si="2"/>
        <v>197</v>
      </c>
      <c r="V16" s="13">
        <f t="shared" si="2"/>
        <v>229</v>
      </c>
      <c r="W16" s="13">
        <f t="shared" si="2"/>
        <v>255</v>
      </c>
      <c r="X16" s="13">
        <f t="shared" si="2"/>
        <v>217</v>
      </c>
      <c r="Y16" s="13">
        <f t="shared" si="2"/>
        <v>286</v>
      </c>
      <c r="Z16" s="13">
        <f t="shared" si="2"/>
        <v>238</v>
      </c>
      <c r="AA16" s="13">
        <f t="shared" si="2"/>
        <v>205</v>
      </c>
      <c r="AB16" s="13">
        <f t="shared" si="1"/>
        <v>5616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19"/>
      <c r="S17" s="19"/>
      <c r="T17" s="74"/>
      <c r="U17" s="74"/>
      <c r="V17" s="74"/>
      <c r="W17" s="74"/>
      <c r="X17" s="74"/>
      <c r="Y17" s="74"/>
      <c r="Z17" s="74"/>
      <c r="AA17" s="74"/>
      <c r="AB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19"/>
      <c r="S18" s="19"/>
      <c r="T18" s="74"/>
      <c r="U18" s="74"/>
      <c r="V18" s="74"/>
      <c r="W18" s="74"/>
      <c r="X18" s="74"/>
      <c r="Y18" s="74"/>
      <c r="Z18" s="74"/>
      <c r="AA18" s="74"/>
      <c r="AB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109.0</v>
      </c>
      <c r="F19" s="73">
        <v>81.0</v>
      </c>
      <c r="G19" s="73">
        <v>113.0</v>
      </c>
      <c r="H19" s="73">
        <v>92.0</v>
      </c>
      <c r="I19" s="73">
        <v>105.0</v>
      </c>
      <c r="J19" s="73">
        <v>93.0</v>
      </c>
      <c r="K19" s="73">
        <v>96.0</v>
      </c>
      <c r="L19" s="73">
        <v>58.0</v>
      </c>
      <c r="M19" s="73">
        <v>83.0</v>
      </c>
      <c r="N19" s="73">
        <v>75.0</v>
      </c>
      <c r="O19" s="73">
        <v>76.0</v>
      </c>
      <c r="P19" s="73">
        <v>97.0</v>
      </c>
      <c r="Q19" s="73">
        <v>109.0</v>
      </c>
      <c r="R19" s="73">
        <v>99.0</v>
      </c>
      <c r="S19" s="73">
        <v>76.0</v>
      </c>
      <c r="T19" s="73">
        <v>89.0</v>
      </c>
      <c r="U19" s="73">
        <v>70.0</v>
      </c>
      <c r="V19" s="73">
        <v>78.0</v>
      </c>
      <c r="W19" s="73">
        <v>90.0</v>
      </c>
      <c r="X19" s="73">
        <v>78.0</v>
      </c>
      <c r="Y19" s="73">
        <v>108.0</v>
      </c>
      <c r="Z19" s="73">
        <v>93.0</v>
      </c>
      <c r="AA19" s="73">
        <v>79.0</v>
      </c>
      <c r="AB19" s="13">
        <f t="shared" ref="AB19:AB30" si="3">SUM(E19:AA19)</f>
        <v>2047</v>
      </c>
    </row>
    <row r="20" ht="12.75" customHeight="1">
      <c r="A20" s="33"/>
      <c r="B20" s="27"/>
      <c r="C20" s="34"/>
      <c r="D20" s="19" t="s">
        <v>13</v>
      </c>
      <c r="E20" s="73">
        <v>111.0</v>
      </c>
      <c r="F20" s="73">
        <v>80.0</v>
      </c>
      <c r="G20" s="73">
        <v>129.0</v>
      </c>
      <c r="H20" s="73">
        <v>117.0</v>
      </c>
      <c r="I20" s="73">
        <v>94.0</v>
      </c>
      <c r="J20" s="73">
        <v>97.0</v>
      </c>
      <c r="K20" s="73">
        <v>98.0</v>
      </c>
      <c r="L20" s="73">
        <v>80.0</v>
      </c>
      <c r="M20" s="73">
        <v>82.0</v>
      </c>
      <c r="N20" s="73">
        <v>83.0</v>
      </c>
      <c r="O20" s="73">
        <v>85.0</v>
      </c>
      <c r="P20" s="73">
        <v>93.0</v>
      </c>
      <c r="Q20" s="73">
        <v>114.0</v>
      </c>
      <c r="R20" s="73">
        <v>121.0</v>
      </c>
      <c r="S20" s="73">
        <v>85.0</v>
      </c>
      <c r="T20" s="73">
        <v>93.0</v>
      </c>
      <c r="U20" s="73">
        <v>74.0</v>
      </c>
      <c r="V20" s="73">
        <v>87.0</v>
      </c>
      <c r="W20" s="73">
        <v>83.0</v>
      </c>
      <c r="X20" s="73">
        <v>80.0</v>
      </c>
      <c r="Y20" s="73">
        <v>108.0</v>
      </c>
      <c r="Z20" s="73">
        <v>81.0</v>
      </c>
      <c r="AA20" s="73">
        <v>69.0</v>
      </c>
      <c r="AB20" s="13">
        <f t="shared" si="3"/>
        <v>2144</v>
      </c>
    </row>
    <row r="21" ht="12.75" customHeight="1">
      <c r="A21" s="35"/>
      <c r="B21" s="28"/>
      <c r="C21" s="36"/>
      <c r="D21" s="13" t="s">
        <v>14</v>
      </c>
      <c r="E21" s="13">
        <f t="shared" ref="E21:AA21" si="4">SUM(E19:E20)</f>
        <v>220</v>
      </c>
      <c r="F21" s="13">
        <f t="shared" si="4"/>
        <v>161</v>
      </c>
      <c r="G21" s="13">
        <f t="shared" si="4"/>
        <v>242</v>
      </c>
      <c r="H21" s="13">
        <f t="shared" si="4"/>
        <v>209</v>
      </c>
      <c r="I21" s="13">
        <f t="shared" si="4"/>
        <v>199</v>
      </c>
      <c r="J21" s="13">
        <f t="shared" si="4"/>
        <v>190</v>
      </c>
      <c r="K21" s="13">
        <f t="shared" si="4"/>
        <v>194</v>
      </c>
      <c r="L21" s="13">
        <f t="shared" si="4"/>
        <v>138</v>
      </c>
      <c r="M21" s="13">
        <f t="shared" si="4"/>
        <v>165</v>
      </c>
      <c r="N21" s="13">
        <f t="shared" si="4"/>
        <v>158</v>
      </c>
      <c r="O21" s="13">
        <f t="shared" si="4"/>
        <v>161</v>
      </c>
      <c r="P21" s="13">
        <f t="shared" si="4"/>
        <v>190</v>
      </c>
      <c r="Q21" s="13">
        <f t="shared" si="4"/>
        <v>223</v>
      </c>
      <c r="R21" s="13">
        <f t="shared" si="4"/>
        <v>220</v>
      </c>
      <c r="S21" s="13">
        <f t="shared" si="4"/>
        <v>161</v>
      </c>
      <c r="T21" s="13">
        <f t="shared" si="4"/>
        <v>182</v>
      </c>
      <c r="U21" s="13">
        <f t="shared" si="4"/>
        <v>144</v>
      </c>
      <c r="V21" s="13">
        <f t="shared" si="4"/>
        <v>165</v>
      </c>
      <c r="W21" s="13">
        <f t="shared" si="4"/>
        <v>173</v>
      </c>
      <c r="X21" s="13">
        <f t="shared" si="4"/>
        <v>158</v>
      </c>
      <c r="Y21" s="13">
        <f t="shared" si="4"/>
        <v>216</v>
      </c>
      <c r="Z21" s="13">
        <f t="shared" si="4"/>
        <v>174</v>
      </c>
      <c r="AA21" s="13">
        <f t="shared" si="4"/>
        <v>148</v>
      </c>
      <c r="AB21" s="13">
        <f t="shared" si="3"/>
        <v>4191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1.0</v>
      </c>
      <c r="H22" s="73">
        <v>0.0</v>
      </c>
      <c r="I22" s="73">
        <v>0.0</v>
      </c>
      <c r="J22" s="73">
        <v>0.0</v>
      </c>
      <c r="K22" s="73">
        <v>0.0</v>
      </c>
      <c r="L22" s="73">
        <v>0.0</v>
      </c>
      <c r="M22" s="73">
        <v>0.0</v>
      </c>
      <c r="N22" s="73">
        <v>0.0</v>
      </c>
      <c r="O22" s="73">
        <v>0.0</v>
      </c>
      <c r="P22" s="73">
        <v>0.0</v>
      </c>
      <c r="Q22" s="73">
        <v>0.0</v>
      </c>
      <c r="R22" s="73">
        <v>0.0</v>
      </c>
      <c r="S22" s="73">
        <v>0.0</v>
      </c>
      <c r="T22" s="73">
        <v>0.0</v>
      </c>
      <c r="U22" s="73">
        <v>0.0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73">
        <v>1.0</v>
      </c>
      <c r="AB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0.0</v>
      </c>
      <c r="G23" s="73">
        <v>1.0</v>
      </c>
      <c r="H23" s="73">
        <v>0.0</v>
      </c>
      <c r="I23" s="73">
        <v>0.0</v>
      </c>
      <c r="J23" s="73">
        <v>0.0</v>
      </c>
      <c r="K23" s="73">
        <v>1.0</v>
      </c>
      <c r="L23" s="73">
        <v>0.0</v>
      </c>
      <c r="M23" s="73">
        <v>0.0</v>
      </c>
      <c r="N23" s="73">
        <v>0.0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0.0</v>
      </c>
      <c r="U23" s="73">
        <v>0.0</v>
      </c>
      <c r="V23" s="73">
        <v>0.0</v>
      </c>
      <c r="W23" s="73">
        <v>0.0</v>
      </c>
      <c r="X23" s="73">
        <v>0.0</v>
      </c>
      <c r="Y23" s="73">
        <v>0.0</v>
      </c>
      <c r="Z23" s="73">
        <v>0.0</v>
      </c>
      <c r="AA23" s="73">
        <v>1.0</v>
      </c>
      <c r="AB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A24" si="5">SUM(E22:E23)</f>
        <v>0</v>
      </c>
      <c r="F24" s="13">
        <f t="shared" si="5"/>
        <v>0</v>
      </c>
      <c r="G24" s="13">
        <f t="shared" si="5"/>
        <v>2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2</v>
      </c>
      <c r="AB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0.0</v>
      </c>
      <c r="F25" s="73">
        <v>2.0</v>
      </c>
      <c r="G25" s="73">
        <v>3.0</v>
      </c>
      <c r="H25" s="73">
        <v>2.0</v>
      </c>
      <c r="I25" s="73">
        <v>1.0</v>
      </c>
      <c r="J25" s="73">
        <v>0.0</v>
      </c>
      <c r="K25" s="73">
        <v>0.0</v>
      </c>
      <c r="L25" s="73">
        <v>0.0</v>
      </c>
      <c r="M25" s="73">
        <v>1.0</v>
      </c>
      <c r="N25" s="73">
        <v>0.0</v>
      </c>
      <c r="O25" s="73">
        <v>1.0</v>
      </c>
      <c r="P25" s="73">
        <v>1.0</v>
      </c>
      <c r="Q25" s="73">
        <v>1.0</v>
      </c>
      <c r="R25" s="73">
        <v>0.0</v>
      </c>
      <c r="S25" s="73">
        <v>0.0</v>
      </c>
      <c r="T25" s="73">
        <v>0.0</v>
      </c>
      <c r="U25" s="73">
        <v>0.0</v>
      </c>
      <c r="V25" s="73">
        <v>2.0</v>
      </c>
      <c r="W25" s="73">
        <v>0.0</v>
      </c>
      <c r="X25" s="73">
        <v>1.0</v>
      </c>
      <c r="Y25" s="73">
        <v>1.0</v>
      </c>
      <c r="Z25" s="73">
        <v>2.0</v>
      </c>
      <c r="AA25" s="73">
        <v>2.0</v>
      </c>
      <c r="AB25" s="13">
        <f t="shared" si="3"/>
        <v>20</v>
      </c>
    </row>
    <row r="26" ht="12.75" customHeight="1">
      <c r="A26" s="33"/>
      <c r="B26" s="27"/>
      <c r="C26" s="34"/>
      <c r="D26" s="19" t="s">
        <v>13</v>
      </c>
      <c r="E26" s="73">
        <v>4.0</v>
      </c>
      <c r="F26" s="73">
        <v>1.0</v>
      </c>
      <c r="G26" s="73">
        <v>0.0</v>
      </c>
      <c r="H26" s="73">
        <v>1.0</v>
      </c>
      <c r="I26" s="73">
        <v>1.0</v>
      </c>
      <c r="J26" s="73">
        <v>0.0</v>
      </c>
      <c r="K26" s="73">
        <v>1.0</v>
      </c>
      <c r="L26" s="73">
        <v>1.0</v>
      </c>
      <c r="M26" s="73">
        <v>7.0</v>
      </c>
      <c r="N26" s="73">
        <v>0.0</v>
      </c>
      <c r="O26" s="73">
        <v>1.0</v>
      </c>
      <c r="P26" s="73">
        <v>3.0</v>
      </c>
      <c r="Q26" s="73">
        <v>2.0</v>
      </c>
      <c r="R26" s="73">
        <v>2.0</v>
      </c>
      <c r="S26" s="73">
        <v>1.0</v>
      </c>
      <c r="T26" s="73">
        <v>2.0</v>
      </c>
      <c r="U26" s="73">
        <v>1.0</v>
      </c>
      <c r="V26" s="73">
        <v>1.0</v>
      </c>
      <c r="W26" s="73">
        <v>1.0</v>
      </c>
      <c r="X26" s="73">
        <v>0.0</v>
      </c>
      <c r="Y26" s="73">
        <v>5.0</v>
      </c>
      <c r="Z26" s="73">
        <v>2.0</v>
      </c>
      <c r="AA26" s="73">
        <v>5.0</v>
      </c>
      <c r="AB26" s="13">
        <f t="shared" si="3"/>
        <v>42</v>
      </c>
    </row>
    <row r="27" ht="12.75" customHeight="1">
      <c r="A27" s="35"/>
      <c r="B27" s="28"/>
      <c r="C27" s="36"/>
      <c r="D27" s="13" t="s">
        <v>14</v>
      </c>
      <c r="E27" s="13">
        <f t="shared" ref="E27:AA27" si="6">SUM(E25:E26)</f>
        <v>4</v>
      </c>
      <c r="F27" s="13">
        <f t="shared" si="6"/>
        <v>3</v>
      </c>
      <c r="G27" s="13">
        <f t="shared" si="6"/>
        <v>3</v>
      </c>
      <c r="H27" s="13">
        <f t="shared" si="6"/>
        <v>3</v>
      </c>
      <c r="I27" s="13">
        <f t="shared" si="6"/>
        <v>2</v>
      </c>
      <c r="J27" s="13">
        <f t="shared" si="6"/>
        <v>0</v>
      </c>
      <c r="K27" s="13">
        <f t="shared" si="6"/>
        <v>1</v>
      </c>
      <c r="L27" s="13">
        <f t="shared" si="6"/>
        <v>1</v>
      </c>
      <c r="M27" s="13">
        <f t="shared" si="6"/>
        <v>8</v>
      </c>
      <c r="N27" s="13">
        <f t="shared" si="6"/>
        <v>0</v>
      </c>
      <c r="O27" s="13">
        <f t="shared" si="6"/>
        <v>2</v>
      </c>
      <c r="P27" s="13">
        <f t="shared" si="6"/>
        <v>4</v>
      </c>
      <c r="Q27" s="13">
        <f t="shared" si="6"/>
        <v>3</v>
      </c>
      <c r="R27" s="13">
        <f t="shared" si="6"/>
        <v>2</v>
      </c>
      <c r="S27" s="13">
        <f t="shared" si="6"/>
        <v>1</v>
      </c>
      <c r="T27" s="13">
        <f t="shared" si="6"/>
        <v>2</v>
      </c>
      <c r="U27" s="13">
        <f t="shared" si="6"/>
        <v>1</v>
      </c>
      <c r="V27" s="13">
        <f t="shared" si="6"/>
        <v>3</v>
      </c>
      <c r="W27" s="13">
        <f t="shared" si="6"/>
        <v>1</v>
      </c>
      <c r="X27" s="13">
        <f t="shared" si="6"/>
        <v>1</v>
      </c>
      <c r="Y27" s="13">
        <f t="shared" si="6"/>
        <v>6</v>
      </c>
      <c r="Z27" s="13">
        <f t="shared" si="6"/>
        <v>4</v>
      </c>
      <c r="AA27" s="13">
        <f t="shared" si="6"/>
        <v>7</v>
      </c>
      <c r="AB27" s="13">
        <f t="shared" si="3"/>
        <v>62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A28" si="7">SUM(E19,E22,E25)</f>
        <v>109</v>
      </c>
      <c r="F28" s="13">
        <f t="shared" si="7"/>
        <v>83</v>
      </c>
      <c r="G28" s="13">
        <f t="shared" si="7"/>
        <v>117</v>
      </c>
      <c r="H28" s="13">
        <f t="shared" si="7"/>
        <v>94</v>
      </c>
      <c r="I28" s="13">
        <f t="shared" si="7"/>
        <v>106</v>
      </c>
      <c r="J28" s="13">
        <f t="shared" si="7"/>
        <v>93</v>
      </c>
      <c r="K28" s="13">
        <f t="shared" si="7"/>
        <v>96</v>
      </c>
      <c r="L28" s="13">
        <f t="shared" si="7"/>
        <v>58</v>
      </c>
      <c r="M28" s="13">
        <f t="shared" si="7"/>
        <v>84</v>
      </c>
      <c r="N28" s="13">
        <f t="shared" si="7"/>
        <v>75</v>
      </c>
      <c r="O28" s="13">
        <f t="shared" si="7"/>
        <v>77</v>
      </c>
      <c r="P28" s="13">
        <f t="shared" si="7"/>
        <v>98</v>
      </c>
      <c r="Q28" s="13">
        <f t="shared" si="7"/>
        <v>110</v>
      </c>
      <c r="R28" s="13">
        <f t="shared" si="7"/>
        <v>99</v>
      </c>
      <c r="S28" s="13">
        <f t="shared" si="7"/>
        <v>76</v>
      </c>
      <c r="T28" s="13">
        <f t="shared" si="7"/>
        <v>89</v>
      </c>
      <c r="U28" s="13">
        <f t="shared" si="7"/>
        <v>70</v>
      </c>
      <c r="V28" s="13">
        <f t="shared" si="7"/>
        <v>80</v>
      </c>
      <c r="W28" s="13">
        <f t="shared" si="7"/>
        <v>90</v>
      </c>
      <c r="X28" s="13">
        <f t="shared" si="7"/>
        <v>79</v>
      </c>
      <c r="Y28" s="13">
        <f t="shared" si="7"/>
        <v>109</v>
      </c>
      <c r="Z28" s="13">
        <f t="shared" si="7"/>
        <v>95</v>
      </c>
      <c r="AA28" s="13">
        <f t="shared" si="7"/>
        <v>82</v>
      </c>
      <c r="AB28" s="13">
        <f t="shared" si="3"/>
        <v>2069</v>
      </c>
    </row>
    <row r="29" ht="12.75" customHeight="1">
      <c r="A29" s="35"/>
      <c r="B29" s="27"/>
      <c r="C29" s="34"/>
      <c r="D29" s="13" t="s">
        <v>13</v>
      </c>
      <c r="E29" s="13">
        <f t="shared" ref="E29:AA29" si="8">SUM(E20,E23,E26)</f>
        <v>115</v>
      </c>
      <c r="F29" s="13">
        <f t="shared" si="8"/>
        <v>81</v>
      </c>
      <c r="G29" s="13">
        <f t="shared" si="8"/>
        <v>130</v>
      </c>
      <c r="H29" s="13">
        <f t="shared" si="8"/>
        <v>118</v>
      </c>
      <c r="I29" s="13">
        <f t="shared" si="8"/>
        <v>95</v>
      </c>
      <c r="J29" s="13">
        <f t="shared" si="8"/>
        <v>97</v>
      </c>
      <c r="K29" s="13">
        <f t="shared" si="8"/>
        <v>100</v>
      </c>
      <c r="L29" s="13">
        <f t="shared" si="8"/>
        <v>81</v>
      </c>
      <c r="M29" s="13">
        <f t="shared" si="8"/>
        <v>89</v>
      </c>
      <c r="N29" s="13">
        <f t="shared" si="8"/>
        <v>83</v>
      </c>
      <c r="O29" s="13">
        <f t="shared" si="8"/>
        <v>86</v>
      </c>
      <c r="P29" s="13">
        <f t="shared" si="8"/>
        <v>96</v>
      </c>
      <c r="Q29" s="13">
        <f t="shared" si="8"/>
        <v>116</v>
      </c>
      <c r="R29" s="13">
        <f t="shared" si="8"/>
        <v>123</v>
      </c>
      <c r="S29" s="13">
        <f t="shared" si="8"/>
        <v>86</v>
      </c>
      <c r="T29" s="13">
        <f t="shared" si="8"/>
        <v>95</v>
      </c>
      <c r="U29" s="13">
        <f t="shared" si="8"/>
        <v>75</v>
      </c>
      <c r="V29" s="13">
        <f t="shared" si="8"/>
        <v>88</v>
      </c>
      <c r="W29" s="13">
        <f t="shared" si="8"/>
        <v>84</v>
      </c>
      <c r="X29" s="13">
        <f t="shared" si="8"/>
        <v>80</v>
      </c>
      <c r="Y29" s="13">
        <f t="shared" si="8"/>
        <v>113</v>
      </c>
      <c r="Z29" s="13">
        <f t="shared" si="8"/>
        <v>83</v>
      </c>
      <c r="AA29" s="13">
        <f t="shared" si="8"/>
        <v>75</v>
      </c>
      <c r="AB29" s="13">
        <f t="shared" si="3"/>
        <v>2189</v>
      </c>
    </row>
    <row r="30" ht="12.75" customHeight="1">
      <c r="A30" s="35"/>
      <c r="B30" s="28"/>
      <c r="C30" s="36"/>
      <c r="D30" s="13" t="s">
        <v>14</v>
      </c>
      <c r="E30" s="13">
        <f t="shared" ref="E30:AA30" si="9">SUM(E28:E29)</f>
        <v>224</v>
      </c>
      <c r="F30" s="13">
        <f t="shared" si="9"/>
        <v>164</v>
      </c>
      <c r="G30" s="13">
        <f t="shared" si="9"/>
        <v>247</v>
      </c>
      <c r="H30" s="13">
        <f t="shared" si="9"/>
        <v>212</v>
      </c>
      <c r="I30" s="13">
        <f t="shared" si="9"/>
        <v>201</v>
      </c>
      <c r="J30" s="13">
        <f t="shared" si="9"/>
        <v>190</v>
      </c>
      <c r="K30" s="13">
        <f t="shared" si="9"/>
        <v>196</v>
      </c>
      <c r="L30" s="13">
        <f t="shared" si="9"/>
        <v>139</v>
      </c>
      <c r="M30" s="13">
        <f t="shared" si="9"/>
        <v>173</v>
      </c>
      <c r="N30" s="13">
        <f t="shared" si="9"/>
        <v>158</v>
      </c>
      <c r="O30" s="13">
        <f t="shared" si="9"/>
        <v>163</v>
      </c>
      <c r="P30" s="13">
        <f t="shared" si="9"/>
        <v>194</v>
      </c>
      <c r="Q30" s="13">
        <f t="shared" si="9"/>
        <v>226</v>
      </c>
      <c r="R30" s="13">
        <f t="shared" si="9"/>
        <v>222</v>
      </c>
      <c r="S30" s="13">
        <f t="shared" si="9"/>
        <v>162</v>
      </c>
      <c r="T30" s="13">
        <f t="shared" si="9"/>
        <v>184</v>
      </c>
      <c r="U30" s="13">
        <f t="shared" si="9"/>
        <v>145</v>
      </c>
      <c r="V30" s="13">
        <f t="shared" si="9"/>
        <v>168</v>
      </c>
      <c r="W30" s="13">
        <f t="shared" si="9"/>
        <v>174</v>
      </c>
      <c r="X30" s="13">
        <f t="shared" si="9"/>
        <v>159</v>
      </c>
      <c r="Y30" s="13">
        <f t="shared" si="9"/>
        <v>222</v>
      </c>
      <c r="Z30" s="13">
        <f t="shared" si="9"/>
        <v>178</v>
      </c>
      <c r="AA30" s="13">
        <f t="shared" si="9"/>
        <v>157</v>
      </c>
      <c r="AB30" s="13">
        <f t="shared" si="3"/>
        <v>4258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19"/>
      <c r="S31" s="19"/>
      <c r="T31" s="74"/>
      <c r="U31" s="74"/>
      <c r="V31" s="74"/>
      <c r="W31" s="74"/>
      <c r="X31" s="74"/>
      <c r="Y31" s="74"/>
      <c r="Z31" s="74"/>
      <c r="AA31" s="74"/>
      <c r="AB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13"/>
      <c r="S32" s="13"/>
      <c r="T32" s="76"/>
      <c r="U32" s="76"/>
      <c r="V32" s="76"/>
      <c r="W32" s="76"/>
      <c r="X32" s="76"/>
      <c r="Y32" s="76"/>
      <c r="Z32" s="76"/>
      <c r="AA32" s="76"/>
      <c r="AB32" s="75"/>
    </row>
    <row r="33" ht="12.75" customHeight="1">
      <c r="A33" s="19">
        <v>1.0</v>
      </c>
      <c r="B33" s="20" t="s">
        <v>27</v>
      </c>
      <c r="C33" s="15"/>
      <c r="D33" s="16"/>
      <c r="E33" s="73">
        <v>302.0</v>
      </c>
      <c r="F33" s="73">
        <v>198.0</v>
      </c>
      <c r="G33" s="73">
        <v>300.0</v>
      </c>
      <c r="H33" s="73">
        <v>298.0</v>
      </c>
      <c r="I33" s="73">
        <v>277.0</v>
      </c>
      <c r="J33" s="73">
        <v>258.0</v>
      </c>
      <c r="K33" s="73">
        <v>283.0</v>
      </c>
      <c r="L33" s="73">
        <v>198.0</v>
      </c>
      <c r="M33" s="73">
        <v>227.0</v>
      </c>
      <c r="N33" s="73">
        <v>218.0</v>
      </c>
      <c r="O33" s="73">
        <v>211.0</v>
      </c>
      <c r="P33" s="73">
        <v>253.0</v>
      </c>
      <c r="Q33" s="73">
        <v>287.0</v>
      </c>
      <c r="R33" s="73">
        <v>289.0</v>
      </c>
      <c r="S33" s="73">
        <v>217.0</v>
      </c>
      <c r="T33" s="73">
        <v>261.0</v>
      </c>
      <c r="U33" s="73">
        <v>201.0</v>
      </c>
      <c r="V33" s="73">
        <v>234.0</v>
      </c>
      <c r="W33" s="73">
        <v>261.0</v>
      </c>
      <c r="X33" s="73">
        <v>222.0</v>
      </c>
      <c r="Y33" s="73">
        <v>292.0</v>
      </c>
      <c r="Z33" s="73">
        <v>243.0</v>
      </c>
      <c r="AA33" s="73">
        <v>210.0</v>
      </c>
      <c r="AB33" s="13">
        <f t="shared" ref="AB33:AB36" si="10">SUM(E33:AA33)</f>
        <v>5740</v>
      </c>
    </row>
    <row r="34" ht="12.75" customHeight="1">
      <c r="A34" s="19">
        <v>2.0</v>
      </c>
      <c r="B34" s="20" t="s">
        <v>28</v>
      </c>
      <c r="C34" s="15"/>
      <c r="D34" s="16"/>
      <c r="E34" s="77">
        <v>224.0</v>
      </c>
      <c r="F34" s="77">
        <v>164.0</v>
      </c>
      <c r="G34" s="77">
        <v>247.0</v>
      </c>
      <c r="H34" s="77">
        <v>212.0</v>
      </c>
      <c r="I34" s="77">
        <v>201.0</v>
      </c>
      <c r="J34" s="77">
        <v>190.0</v>
      </c>
      <c r="K34" s="77">
        <v>196.0</v>
      </c>
      <c r="L34" s="77">
        <v>139.0</v>
      </c>
      <c r="M34" s="77">
        <v>173.0</v>
      </c>
      <c r="N34" s="77">
        <v>158.0</v>
      </c>
      <c r="O34" s="77">
        <v>163.0</v>
      </c>
      <c r="P34" s="77">
        <v>194.0</v>
      </c>
      <c r="Q34" s="77">
        <v>226.0</v>
      </c>
      <c r="R34" s="77">
        <v>222.0</v>
      </c>
      <c r="S34" s="77">
        <v>162.0</v>
      </c>
      <c r="T34" s="77">
        <v>184.0</v>
      </c>
      <c r="U34" s="77">
        <v>145.0</v>
      </c>
      <c r="V34" s="77">
        <v>168.0</v>
      </c>
      <c r="W34" s="77">
        <v>174.0</v>
      </c>
      <c r="X34" s="77">
        <v>159.0</v>
      </c>
      <c r="Y34" s="77">
        <v>222.0</v>
      </c>
      <c r="Z34" s="77">
        <v>178.0</v>
      </c>
      <c r="AA34" s="77">
        <v>157.0</v>
      </c>
      <c r="AB34" s="13">
        <f t="shared" si="10"/>
        <v>4258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0.0</v>
      </c>
      <c r="L35" s="73">
        <v>0.0</v>
      </c>
      <c r="M35" s="73">
        <v>0.0</v>
      </c>
      <c r="N35" s="73">
        <v>0.0</v>
      </c>
      <c r="O35" s="73">
        <v>0.0</v>
      </c>
      <c r="P35" s="73">
        <v>1.0</v>
      </c>
      <c r="Q35" s="73">
        <v>0.0</v>
      </c>
      <c r="R35" s="73">
        <v>0.0</v>
      </c>
      <c r="S35" s="73">
        <v>0.0</v>
      </c>
      <c r="T35" s="73">
        <v>0.0</v>
      </c>
      <c r="U35" s="73">
        <v>0.0</v>
      </c>
      <c r="V35" s="73">
        <v>0.0</v>
      </c>
      <c r="W35" s="73">
        <v>1.0</v>
      </c>
      <c r="X35" s="73">
        <v>1.0</v>
      </c>
      <c r="Y35" s="73">
        <v>1.0</v>
      </c>
      <c r="Z35" s="73">
        <v>1.0</v>
      </c>
      <c r="AA35" s="73">
        <v>1.0</v>
      </c>
      <c r="AB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1">E33-(E34+E35)</f>
        <v>78</v>
      </c>
      <c r="F36" s="13">
        <f t="shared" si="11"/>
        <v>34</v>
      </c>
      <c r="G36" s="13">
        <f t="shared" si="11"/>
        <v>53</v>
      </c>
      <c r="H36" s="13">
        <f t="shared" si="11"/>
        <v>86</v>
      </c>
      <c r="I36" s="13">
        <f t="shared" si="11"/>
        <v>76</v>
      </c>
      <c r="J36" s="13">
        <f t="shared" si="11"/>
        <v>68</v>
      </c>
      <c r="K36" s="13">
        <f t="shared" si="11"/>
        <v>87</v>
      </c>
      <c r="L36" s="13">
        <f t="shared" si="11"/>
        <v>59</v>
      </c>
      <c r="M36" s="13">
        <f t="shared" si="11"/>
        <v>54</v>
      </c>
      <c r="N36" s="13">
        <f t="shared" si="11"/>
        <v>60</v>
      </c>
      <c r="O36" s="13">
        <f t="shared" si="11"/>
        <v>48</v>
      </c>
      <c r="P36" s="13">
        <f t="shared" si="11"/>
        <v>58</v>
      </c>
      <c r="Q36" s="13">
        <f t="shared" si="11"/>
        <v>61</v>
      </c>
      <c r="R36" s="13">
        <f t="shared" si="11"/>
        <v>67</v>
      </c>
      <c r="S36" s="13">
        <f t="shared" si="11"/>
        <v>55</v>
      </c>
      <c r="T36" s="13">
        <f t="shared" si="11"/>
        <v>77</v>
      </c>
      <c r="U36" s="13">
        <f t="shared" si="11"/>
        <v>56</v>
      </c>
      <c r="V36" s="13">
        <f t="shared" si="11"/>
        <v>66</v>
      </c>
      <c r="W36" s="13">
        <f t="shared" si="11"/>
        <v>86</v>
      </c>
      <c r="X36" s="13">
        <f t="shared" si="11"/>
        <v>62</v>
      </c>
      <c r="Y36" s="13">
        <f t="shared" si="11"/>
        <v>69</v>
      </c>
      <c r="Z36" s="13">
        <f t="shared" si="11"/>
        <v>64</v>
      </c>
      <c r="AA36" s="13">
        <f t="shared" si="11"/>
        <v>52</v>
      </c>
      <c r="AB36" s="13">
        <f t="shared" si="10"/>
        <v>1476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83"/>
      <c r="P37" s="83"/>
      <c r="Q37" s="83"/>
      <c r="R37" s="19"/>
      <c r="S37" s="19"/>
      <c r="T37" s="74"/>
      <c r="U37" s="83"/>
      <c r="V37" s="83"/>
      <c r="W37" s="83"/>
      <c r="X37" s="83"/>
      <c r="Y37" s="83"/>
      <c r="Z37" s="83"/>
      <c r="AA37" s="83"/>
      <c r="AB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13"/>
      <c r="S38" s="13"/>
      <c r="T38" s="76"/>
      <c r="U38" s="76"/>
      <c r="V38" s="76"/>
      <c r="W38" s="76"/>
      <c r="X38" s="76"/>
      <c r="Y38" s="76"/>
      <c r="Z38" s="76"/>
      <c r="AA38" s="76"/>
      <c r="AB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1.0</v>
      </c>
      <c r="M39" s="73">
        <v>0.0</v>
      </c>
      <c r="N39" s="73">
        <v>1.0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73">
        <v>2.0</v>
      </c>
      <c r="V39" s="73">
        <v>0.0</v>
      </c>
      <c r="W39" s="73">
        <v>0.0</v>
      </c>
      <c r="X39" s="73">
        <v>1.0</v>
      </c>
      <c r="Y39" s="73">
        <v>1.0</v>
      </c>
      <c r="Z39" s="73">
        <v>0.0</v>
      </c>
      <c r="AA39" s="73">
        <v>0.0</v>
      </c>
      <c r="AB39" s="13">
        <f t="shared" ref="AB39:AB41" si="12">SUM(E39:AA39)</f>
        <v>6</v>
      </c>
    </row>
    <row r="40" ht="12.75" customHeight="1">
      <c r="A40" s="33"/>
      <c r="C40" s="27"/>
      <c r="D40" s="19" t="s">
        <v>13</v>
      </c>
      <c r="E40" s="73">
        <v>1.0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1.0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0.0</v>
      </c>
      <c r="T40" s="73">
        <v>0.0</v>
      </c>
      <c r="U40" s="73">
        <v>0.0</v>
      </c>
      <c r="V40" s="73">
        <v>0.0</v>
      </c>
      <c r="W40" s="73">
        <v>0.0</v>
      </c>
      <c r="X40" s="73">
        <v>1.0</v>
      </c>
      <c r="Y40" s="73">
        <v>1.0</v>
      </c>
      <c r="Z40" s="73">
        <v>0.0</v>
      </c>
      <c r="AA40" s="73">
        <v>0.0</v>
      </c>
      <c r="AB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1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2</v>
      </c>
      <c r="V41" s="13">
        <f t="shared" si="13"/>
        <v>0</v>
      </c>
      <c r="W41" s="13">
        <f t="shared" si="13"/>
        <v>0</v>
      </c>
      <c r="X41" s="13">
        <f t="shared" si="13"/>
        <v>2</v>
      </c>
      <c r="Y41" s="13">
        <f t="shared" si="13"/>
        <v>2</v>
      </c>
      <c r="Z41" s="13">
        <f t="shared" si="13"/>
        <v>0</v>
      </c>
      <c r="AA41" s="13">
        <f t="shared" si="13"/>
        <v>0</v>
      </c>
      <c r="AB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74"/>
      <c r="Q42" s="19"/>
      <c r="R42" s="19"/>
      <c r="S42" s="19"/>
      <c r="T42" s="74"/>
      <c r="U42" s="19"/>
      <c r="V42" s="74"/>
      <c r="W42" s="19"/>
      <c r="X42" s="19"/>
      <c r="Y42" s="74"/>
      <c r="Z42" s="19"/>
      <c r="AA42" s="74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13"/>
      <c r="S43" s="13"/>
      <c r="T43" s="76"/>
      <c r="U43" s="13"/>
      <c r="V43" s="76"/>
      <c r="W43" s="13"/>
      <c r="X43" s="13"/>
      <c r="Y43" s="76"/>
      <c r="Z43" s="13"/>
      <c r="AA43" s="76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19"/>
      <c r="S44" s="19"/>
      <c r="T44" s="74"/>
      <c r="U44" s="19"/>
      <c r="V44" s="74"/>
      <c r="W44" s="19"/>
      <c r="X44" s="19"/>
      <c r="Y44" s="74"/>
      <c r="Z44" s="19"/>
      <c r="AA44" s="74"/>
      <c r="AB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11.0</v>
      </c>
      <c r="F45" s="73">
        <v>8.0</v>
      </c>
      <c r="G45" s="73">
        <v>7.0</v>
      </c>
      <c r="H45" s="73">
        <v>5.0</v>
      </c>
      <c r="I45" s="73">
        <v>9.0</v>
      </c>
      <c r="J45" s="73">
        <v>8.0</v>
      </c>
      <c r="K45" s="73">
        <v>7.0</v>
      </c>
      <c r="L45" s="73">
        <v>4.0</v>
      </c>
      <c r="M45" s="73">
        <v>20.0</v>
      </c>
      <c r="N45" s="73">
        <v>5.0</v>
      </c>
      <c r="O45" s="73">
        <v>4.0</v>
      </c>
      <c r="P45" s="73">
        <v>2.0</v>
      </c>
      <c r="Q45" s="73">
        <v>8.0</v>
      </c>
      <c r="R45" s="73">
        <v>16.0</v>
      </c>
      <c r="S45" s="73">
        <v>1.0</v>
      </c>
      <c r="T45" s="73">
        <v>5.0</v>
      </c>
      <c r="U45" s="73">
        <v>2.0</v>
      </c>
      <c r="V45" s="73">
        <v>1.0</v>
      </c>
      <c r="W45" s="73">
        <v>5.0</v>
      </c>
      <c r="X45" s="73">
        <v>5.0</v>
      </c>
      <c r="Y45" s="73">
        <v>6.0</v>
      </c>
      <c r="Z45" s="73">
        <v>2.0</v>
      </c>
      <c r="AA45" s="73">
        <v>7.0</v>
      </c>
      <c r="AB45" s="13">
        <f t="shared" ref="AB45:AB54" si="14">SUM(E45:AA45)</f>
        <v>148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15.0</v>
      </c>
      <c r="F46" s="73">
        <v>23.0</v>
      </c>
      <c r="G46" s="73">
        <v>27.0</v>
      </c>
      <c r="H46" s="73">
        <v>4.0</v>
      </c>
      <c r="I46" s="73">
        <v>11.0</v>
      </c>
      <c r="J46" s="73">
        <v>12.0</v>
      </c>
      <c r="K46" s="73">
        <v>9.0</v>
      </c>
      <c r="L46" s="73">
        <v>4.0</v>
      </c>
      <c r="M46" s="73">
        <v>18.0</v>
      </c>
      <c r="N46" s="73">
        <v>6.0</v>
      </c>
      <c r="O46" s="73">
        <v>2.0</v>
      </c>
      <c r="P46" s="73">
        <v>3.0</v>
      </c>
      <c r="Q46" s="73">
        <v>12.0</v>
      </c>
      <c r="R46" s="73">
        <v>7.0</v>
      </c>
      <c r="S46" s="73">
        <v>4.0</v>
      </c>
      <c r="T46" s="73">
        <v>8.0</v>
      </c>
      <c r="U46" s="73">
        <v>3.0</v>
      </c>
      <c r="V46" s="73">
        <v>14.0</v>
      </c>
      <c r="W46" s="73">
        <v>6.0</v>
      </c>
      <c r="X46" s="73">
        <v>3.0</v>
      </c>
      <c r="Y46" s="73">
        <v>6.0</v>
      </c>
      <c r="Z46" s="73">
        <v>5.0</v>
      </c>
      <c r="AA46" s="73">
        <v>3.0</v>
      </c>
      <c r="AB46" s="13">
        <f t="shared" si="14"/>
        <v>205</v>
      </c>
    </row>
    <row r="47" ht="12.75" customHeight="1">
      <c r="A47" s="18"/>
      <c r="B47" s="49"/>
      <c r="C47" s="50" t="s">
        <v>41</v>
      </c>
      <c r="D47" s="51"/>
      <c r="E47" s="73">
        <v>61.0</v>
      </c>
      <c r="F47" s="73">
        <v>37.0</v>
      </c>
      <c r="G47" s="73">
        <v>37.0</v>
      </c>
      <c r="H47" s="73">
        <v>105.0</v>
      </c>
      <c r="I47" s="73">
        <v>51.0</v>
      </c>
      <c r="J47" s="73">
        <v>22.0</v>
      </c>
      <c r="K47" s="73">
        <v>43.0</v>
      </c>
      <c r="L47" s="73">
        <v>9.0</v>
      </c>
      <c r="M47" s="73">
        <v>18.0</v>
      </c>
      <c r="N47" s="73">
        <v>11.0</v>
      </c>
      <c r="O47" s="73">
        <v>78.0</v>
      </c>
      <c r="P47" s="73">
        <v>58.0</v>
      </c>
      <c r="Q47" s="73">
        <v>49.0</v>
      </c>
      <c r="R47" s="73">
        <v>62.0</v>
      </c>
      <c r="S47" s="73">
        <v>11.0</v>
      </c>
      <c r="T47" s="73">
        <v>40.0</v>
      </c>
      <c r="U47" s="73">
        <v>33.0</v>
      </c>
      <c r="V47" s="73">
        <v>22.0</v>
      </c>
      <c r="W47" s="73">
        <v>10.0</v>
      </c>
      <c r="X47" s="73">
        <v>40.0</v>
      </c>
      <c r="Y47" s="73">
        <v>33.0</v>
      </c>
      <c r="Z47" s="73">
        <v>26.0</v>
      </c>
      <c r="AA47" s="73">
        <v>22.0</v>
      </c>
      <c r="AB47" s="13">
        <f t="shared" si="14"/>
        <v>878</v>
      </c>
    </row>
    <row r="48" ht="12.75" customHeight="1">
      <c r="A48" s="18"/>
      <c r="B48" s="49"/>
      <c r="C48" s="50" t="s">
        <v>42</v>
      </c>
      <c r="D48" s="51"/>
      <c r="E48" s="73">
        <v>2.0</v>
      </c>
      <c r="F48" s="73">
        <v>1.0</v>
      </c>
      <c r="G48" s="73">
        <v>1.0</v>
      </c>
      <c r="H48" s="73">
        <v>1.0</v>
      </c>
      <c r="I48" s="73">
        <v>1.0</v>
      </c>
      <c r="J48" s="73">
        <v>1.0</v>
      </c>
      <c r="K48" s="73">
        <v>0.0</v>
      </c>
      <c r="L48" s="73">
        <v>0.0</v>
      </c>
      <c r="M48" s="73">
        <v>1.0</v>
      </c>
      <c r="N48" s="73">
        <v>0.0</v>
      </c>
      <c r="O48" s="73">
        <v>0.0</v>
      </c>
      <c r="P48" s="73">
        <v>0.0</v>
      </c>
      <c r="Q48" s="73">
        <v>0.0</v>
      </c>
      <c r="R48" s="73">
        <v>1.0</v>
      </c>
      <c r="S48" s="73">
        <v>0.0</v>
      </c>
      <c r="T48" s="73">
        <v>0.0</v>
      </c>
      <c r="U48" s="73">
        <v>0.0</v>
      </c>
      <c r="V48" s="73">
        <v>0.0</v>
      </c>
      <c r="W48" s="73">
        <v>2.0</v>
      </c>
      <c r="X48" s="73">
        <v>0.0</v>
      </c>
      <c r="Y48" s="73">
        <v>1.0</v>
      </c>
      <c r="Z48" s="73">
        <v>0.0</v>
      </c>
      <c r="AA48" s="73">
        <v>0.0</v>
      </c>
      <c r="AB48" s="13">
        <f t="shared" si="14"/>
        <v>12</v>
      </c>
    </row>
    <row r="49" ht="12.75" customHeight="1">
      <c r="A49" s="18"/>
      <c r="B49" s="49"/>
      <c r="C49" s="50" t="s">
        <v>43</v>
      </c>
      <c r="D49" s="51"/>
      <c r="E49" s="73">
        <v>3.0</v>
      </c>
      <c r="F49" s="73">
        <v>2.0</v>
      </c>
      <c r="G49" s="73">
        <v>0.0</v>
      </c>
      <c r="H49" s="73">
        <v>1.0</v>
      </c>
      <c r="I49" s="73">
        <v>1.0</v>
      </c>
      <c r="J49" s="73">
        <v>1.0</v>
      </c>
      <c r="K49" s="73">
        <v>1.0</v>
      </c>
      <c r="L49" s="73">
        <v>0.0</v>
      </c>
      <c r="M49" s="73">
        <v>2.0</v>
      </c>
      <c r="N49" s="73">
        <v>0.0</v>
      </c>
      <c r="O49" s="73">
        <v>1.0</v>
      </c>
      <c r="P49" s="73">
        <v>0.0</v>
      </c>
      <c r="Q49" s="73">
        <v>0.0</v>
      </c>
      <c r="R49" s="73">
        <v>0.0</v>
      </c>
      <c r="S49" s="73">
        <v>0.0</v>
      </c>
      <c r="T49" s="73">
        <v>0.0</v>
      </c>
      <c r="U49" s="73">
        <v>1.0</v>
      </c>
      <c r="V49" s="73">
        <v>2.0</v>
      </c>
      <c r="W49" s="73">
        <v>1.0</v>
      </c>
      <c r="X49" s="73">
        <v>2.0</v>
      </c>
      <c r="Y49" s="73">
        <v>1.0</v>
      </c>
      <c r="Z49" s="73">
        <v>1.0</v>
      </c>
      <c r="AA49" s="73">
        <v>0.0</v>
      </c>
      <c r="AB49" s="13">
        <f t="shared" si="14"/>
        <v>20</v>
      </c>
    </row>
    <row r="50" ht="12.75" customHeight="1">
      <c r="A50" s="18"/>
      <c r="B50" s="49"/>
      <c r="C50" s="50" t="s">
        <v>44</v>
      </c>
      <c r="D50" s="51"/>
      <c r="E50" s="73">
        <v>1.0</v>
      </c>
      <c r="F50" s="73">
        <v>1.0</v>
      </c>
      <c r="G50" s="73">
        <v>3.0</v>
      </c>
      <c r="H50" s="73">
        <v>0.0</v>
      </c>
      <c r="I50" s="73">
        <v>0.0</v>
      </c>
      <c r="J50" s="73">
        <v>1.0</v>
      </c>
      <c r="K50" s="73">
        <v>0.0</v>
      </c>
      <c r="L50" s="73">
        <v>1.0</v>
      </c>
      <c r="M50" s="73">
        <v>2.0</v>
      </c>
      <c r="N50" s="73">
        <v>1.0</v>
      </c>
      <c r="O50" s="73">
        <v>0.0</v>
      </c>
      <c r="P50" s="73">
        <v>0.0</v>
      </c>
      <c r="Q50" s="73">
        <v>1.0</v>
      </c>
      <c r="R50" s="73">
        <v>0.0</v>
      </c>
      <c r="S50" s="73">
        <v>0.0</v>
      </c>
      <c r="T50" s="73">
        <v>1.0</v>
      </c>
      <c r="U50" s="73">
        <v>0.0</v>
      </c>
      <c r="V50" s="73">
        <v>1.0</v>
      </c>
      <c r="W50" s="73">
        <v>0.0</v>
      </c>
      <c r="X50" s="73">
        <v>0.0</v>
      </c>
      <c r="Y50" s="73">
        <v>0.0</v>
      </c>
      <c r="Z50" s="73">
        <v>1.0</v>
      </c>
      <c r="AA50" s="73">
        <v>1.0</v>
      </c>
      <c r="AB50" s="13">
        <f t="shared" si="14"/>
        <v>15</v>
      </c>
    </row>
    <row r="51" ht="12.75" customHeight="1">
      <c r="A51" s="18"/>
      <c r="B51" s="49"/>
      <c r="C51" s="50" t="s">
        <v>45</v>
      </c>
      <c r="D51" s="51"/>
      <c r="E51" s="73">
        <v>1.0</v>
      </c>
      <c r="F51" s="73">
        <v>1.0</v>
      </c>
      <c r="G51" s="73">
        <v>1.0</v>
      </c>
      <c r="H51" s="73">
        <v>0.0</v>
      </c>
      <c r="I51" s="73">
        <v>1.0</v>
      </c>
      <c r="J51" s="73">
        <v>1.0</v>
      </c>
      <c r="K51" s="73">
        <v>1.0</v>
      </c>
      <c r="L51" s="73">
        <v>1.0</v>
      </c>
      <c r="M51" s="73">
        <v>3.0</v>
      </c>
      <c r="N51" s="73">
        <v>2.0</v>
      </c>
      <c r="O51" s="73">
        <v>1.0</v>
      </c>
      <c r="P51" s="73">
        <v>5.0</v>
      </c>
      <c r="Q51" s="73">
        <v>4.0</v>
      </c>
      <c r="R51" s="73">
        <v>1.0</v>
      </c>
      <c r="S51" s="73">
        <v>1.0</v>
      </c>
      <c r="T51" s="73">
        <v>1.0</v>
      </c>
      <c r="U51" s="73">
        <v>1.0</v>
      </c>
      <c r="V51" s="73">
        <v>1.0</v>
      </c>
      <c r="W51" s="73">
        <v>1.0</v>
      </c>
      <c r="X51" s="73">
        <v>0.0</v>
      </c>
      <c r="Y51" s="73">
        <v>0.0</v>
      </c>
      <c r="Z51" s="73">
        <v>2.0</v>
      </c>
      <c r="AA51" s="73">
        <v>0.0</v>
      </c>
      <c r="AB51" s="13">
        <f t="shared" si="14"/>
        <v>30</v>
      </c>
    </row>
    <row r="52" ht="12.75" customHeight="1">
      <c r="A52" s="18"/>
      <c r="B52" s="49"/>
      <c r="C52" s="50" t="s">
        <v>46</v>
      </c>
      <c r="D52" s="51"/>
      <c r="E52" s="73">
        <v>1.0</v>
      </c>
      <c r="F52" s="73">
        <v>1.0</v>
      </c>
      <c r="G52" s="73">
        <v>1.0</v>
      </c>
      <c r="H52" s="73">
        <v>1.0</v>
      </c>
      <c r="I52" s="73">
        <v>0.0</v>
      </c>
      <c r="J52" s="73">
        <v>0.0</v>
      </c>
      <c r="K52" s="73">
        <v>1.0</v>
      </c>
      <c r="L52" s="73">
        <v>0.0</v>
      </c>
      <c r="M52" s="73">
        <v>2.0</v>
      </c>
      <c r="N52" s="73">
        <v>1.0</v>
      </c>
      <c r="O52" s="73">
        <v>0.0</v>
      </c>
      <c r="P52" s="73">
        <v>0.0</v>
      </c>
      <c r="Q52" s="73">
        <v>0.0</v>
      </c>
      <c r="R52" s="73">
        <v>0.0</v>
      </c>
      <c r="S52" s="73">
        <v>1.0</v>
      </c>
      <c r="T52" s="73">
        <v>0.0</v>
      </c>
      <c r="U52" s="73">
        <v>0.0</v>
      </c>
      <c r="V52" s="73">
        <v>1.0</v>
      </c>
      <c r="W52" s="73">
        <v>0.0</v>
      </c>
      <c r="X52" s="73">
        <v>0.0</v>
      </c>
      <c r="Y52" s="73">
        <v>0.0</v>
      </c>
      <c r="Z52" s="73">
        <v>0.0</v>
      </c>
      <c r="AA52" s="73">
        <v>0.0</v>
      </c>
      <c r="AB52" s="13">
        <f t="shared" si="14"/>
        <v>10</v>
      </c>
    </row>
    <row r="53" ht="12.75" customHeight="1">
      <c r="A53" s="18"/>
      <c r="B53" s="49"/>
      <c r="C53" s="50" t="s">
        <v>47</v>
      </c>
      <c r="D53" s="56"/>
      <c r="E53" s="73">
        <v>0.0</v>
      </c>
      <c r="F53" s="73">
        <v>0.0</v>
      </c>
      <c r="G53" s="73">
        <v>1.0</v>
      </c>
      <c r="H53" s="73">
        <v>1.0</v>
      </c>
      <c r="I53" s="73">
        <v>0.0</v>
      </c>
      <c r="J53" s="73">
        <v>0.0</v>
      </c>
      <c r="K53" s="73">
        <v>0.0</v>
      </c>
      <c r="L53" s="73">
        <v>0.0</v>
      </c>
      <c r="M53" s="73">
        <v>0.0</v>
      </c>
      <c r="N53" s="73">
        <v>1.0</v>
      </c>
      <c r="O53" s="73">
        <v>1.0</v>
      </c>
      <c r="P53" s="73">
        <v>0.0</v>
      </c>
      <c r="Q53" s="73">
        <v>0.0</v>
      </c>
      <c r="R53" s="73">
        <v>0.0</v>
      </c>
      <c r="S53" s="73">
        <v>0.0</v>
      </c>
      <c r="T53" s="73">
        <v>0.0</v>
      </c>
      <c r="U53" s="73">
        <v>0.0</v>
      </c>
      <c r="V53" s="73">
        <v>0.0</v>
      </c>
      <c r="W53" s="73">
        <v>0.0</v>
      </c>
      <c r="X53" s="73">
        <v>0.0</v>
      </c>
      <c r="Y53" s="73">
        <v>0.0</v>
      </c>
      <c r="Z53" s="73">
        <v>0.0</v>
      </c>
      <c r="AA53" s="73">
        <v>0.0</v>
      </c>
      <c r="AB53" s="13">
        <f t="shared" si="14"/>
        <v>4</v>
      </c>
    </row>
    <row r="54" ht="12.75" customHeight="1">
      <c r="A54" s="18"/>
      <c r="B54" s="49"/>
      <c r="C54" s="50" t="s">
        <v>48</v>
      </c>
      <c r="D54" s="51"/>
      <c r="E54" s="73">
        <v>2.0</v>
      </c>
      <c r="F54" s="73">
        <v>0.0</v>
      </c>
      <c r="G54" s="73">
        <v>0.0</v>
      </c>
      <c r="H54" s="73">
        <v>0.0</v>
      </c>
      <c r="I54" s="73">
        <v>0.0</v>
      </c>
      <c r="J54" s="73">
        <v>3.0</v>
      </c>
      <c r="K54" s="73">
        <v>0.0</v>
      </c>
      <c r="L54" s="73">
        <v>0.0</v>
      </c>
      <c r="M54" s="73">
        <v>2.0</v>
      </c>
      <c r="N54" s="73">
        <v>0.0</v>
      </c>
      <c r="O54" s="73">
        <v>1.0</v>
      </c>
      <c r="P54" s="73">
        <v>0.0</v>
      </c>
      <c r="Q54" s="73">
        <v>1.0</v>
      </c>
      <c r="R54" s="73">
        <v>1.0</v>
      </c>
      <c r="S54" s="73">
        <v>2.0</v>
      </c>
      <c r="T54" s="73">
        <v>3.0</v>
      </c>
      <c r="U54" s="73">
        <v>0.0</v>
      </c>
      <c r="V54" s="73">
        <v>2.0</v>
      </c>
      <c r="W54" s="73">
        <v>0.0</v>
      </c>
      <c r="X54" s="73">
        <v>0.0</v>
      </c>
      <c r="Y54" s="73">
        <v>0.0</v>
      </c>
      <c r="Z54" s="73">
        <v>1.0</v>
      </c>
      <c r="AA54" s="73">
        <v>0.0</v>
      </c>
      <c r="AB54" s="13">
        <f t="shared" si="14"/>
        <v>18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B55" si="15">SUM(E45:E54)</f>
        <v>97</v>
      </c>
      <c r="F55" s="13">
        <f t="shared" si="15"/>
        <v>74</v>
      </c>
      <c r="G55" s="13">
        <f t="shared" si="15"/>
        <v>78</v>
      </c>
      <c r="H55" s="13">
        <f t="shared" si="15"/>
        <v>118</v>
      </c>
      <c r="I55" s="13">
        <f t="shared" si="15"/>
        <v>74</v>
      </c>
      <c r="J55" s="13">
        <f t="shared" si="15"/>
        <v>49</v>
      </c>
      <c r="K55" s="13">
        <f t="shared" si="15"/>
        <v>62</v>
      </c>
      <c r="L55" s="13">
        <f t="shared" si="15"/>
        <v>19</v>
      </c>
      <c r="M55" s="13">
        <f t="shared" si="15"/>
        <v>68</v>
      </c>
      <c r="N55" s="13">
        <f t="shared" si="15"/>
        <v>27</v>
      </c>
      <c r="O55" s="13">
        <f t="shared" si="15"/>
        <v>88</v>
      </c>
      <c r="P55" s="13">
        <f t="shared" si="15"/>
        <v>68</v>
      </c>
      <c r="Q55" s="13">
        <f t="shared" si="15"/>
        <v>75</v>
      </c>
      <c r="R55" s="13">
        <f t="shared" si="15"/>
        <v>88</v>
      </c>
      <c r="S55" s="13">
        <f t="shared" si="15"/>
        <v>20</v>
      </c>
      <c r="T55" s="13">
        <f t="shared" si="15"/>
        <v>58</v>
      </c>
      <c r="U55" s="13">
        <f t="shared" si="15"/>
        <v>40</v>
      </c>
      <c r="V55" s="13">
        <f t="shared" si="15"/>
        <v>44</v>
      </c>
      <c r="W55" s="13">
        <f t="shared" si="15"/>
        <v>25</v>
      </c>
      <c r="X55" s="13">
        <f t="shared" si="15"/>
        <v>50</v>
      </c>
      <c r="Y55" s="13">
        <f t="shared" si="15"/>
        <v>47</v>
      </c>
      <c r="Z55" s="13">
        <f t="shared" si="15"/>
        <v>38</v>
      </c>
      <c r="AA55" s="13">
        <f t="shared" si="15"/>
        <v>33</v>
      </c>
      <c r="AB55" s="13">
        <f t="shared" si="15"/>
        <v>1340</v>
      </c>
    </row>
    <row r="56" ht="12.75" customHeight="1">
      <c r="A56" s="45"/>
      <c r="B56" s="44"/>
      <c r="C56" s="44"/>
      <c r="D56" s="44"/>
      <c r="E56" s="44"/>
      <c r="AB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10.0</v>
      </c>
      <c r="F57" s="73">
        <v>8.0</v>
      </c>
      <c r="G57" s="73">
        <v>9.0</v>
      </c>
      <c r="H57" s="73">
        <v>6.0</v>
      </c>
      <c r="I57" s="73">
        <v>6.0</v>
      </c>
      <c r="J57" s="73">
        <v>8.0</v>
      </c>
      <c r="K57" s="73">
        <v>5.0</v>
      </c>
      <c r="L57" s="73">
        <v>6.0</v>
      </c>
      <c r="M57" s="73">
        <v>5.0</v>
      </c>
      <c r="N57" s="73">
        <v>10.0</v>
      </c>
      <c r="O57" s="73">
        <v>8.0</v>
      </c>
      <c r="P57" s="73">
        <v>3.0</v>
      </c>
      <c r="Q57" s="73">
        <v>12.0</v>
      </c>
      <c r="R57" s="73">
        <v>6.0</v>
      </c>
      <c r="S57" s="73">
        <v>5.0</v>
      </c>
      <c r="T57" s="73">
        <v>5.0</v>
      </c>
      <c r="U57" s="73">
        <v>9.0</v>
      </c>
      <c r="V57" s="73">
        <v>7.0</v>
      </c>
      <c r="W57" s="73">
        <v>7.0</v>
      </c>
      <c r="X57" s="73">
        <v>3.0</v>
      </c>
      <c r="Y57" s="73">
        <v>3.0</v>
      </c>
      <c r="Z57" s="73">
        <v>5.0</v>
      </c>
      <c r="AA57" s="73">
        <v>8.0</v>
      </c>
      <c r="AB57" s="13">
        <f t="shared" ref="AB57:AB66" si="16">SUM(E57:AA57)</f>
        <v>154</v>
      </c>
    </row>
    <row r="58" ht="12.75" customHeight="1">
      <c r="A58" s="30" t="s">
        <v>39</v>
      </c>
      <c r="B58" s="49"/>
      <c r="C58" s="50" t="s">
        <v>51</v>
      </c>
      <c r="D58" s="51"/>
      <c r="E58" s="73">
        <v>6.0</v>
      </c>
      <c r="F58" s="73">
        <v>7.0</v>
      </c>
      <c r="G58" s="73">
        <v>51.0</v>
      </c>
      <c r="H58" s="73">
        <v>10.0</v>
      </c>
      <c r="I58" s="73">
        <v>30.0</v>
      </c>
      <c r="J58" s="73">
        <v>11.0</v>
      </c>
      <c r="K58" s="73">
        <v>9.0</v>
      </c>
      <c r="L58" s="73">
        <v>5.0</v>
      </c>
      <c r="M58" s="73">
        <v>2.0</v>
      </c>
      <c r="N58" s="73">
        <v>4.0</v>
      </c>
      <c r="O58" s="73">
        <v>4.0</v>
      </c>
      <c r="P58" s="73">
        <v>4.0</v>
      </c>
      <c r="Q58" s="73">
        <v>7.0</v>
      </c>
      <c r="R58" s="73">
        <v>4.0</v>
      </c>
      <c r="S58" s="73">
        <v>11.0</v>
      </c>
      <c r="T58" s="73">
        <v>9.0</v>
      </c>
      <c r="U58" s="73">
        <v>5.0</v>
      </c>
      <c r="V58" s="73">
        <v>13.0</v>
      </c>
      <c r="W58" s="73">
        <v>17.0</v>
      </c>
      <c r="X58" s="73">
        <v>3.0</v>
      </c>
      <c r="Y58" s="73">
        <v>1.0</v>
      </c>
      <c r="Z58" s="73">
        <v>3.0</v>
      </c>
      <c r="AA58" s="73">
        <v>4.0</v>
      </c>
      <c r="AB58" s="13">
        <f t="shared" si="16"/>
        <v>220</v>
      </c>
    </row>
    <row r="59" ht="12.75" customHeight="1">
      <c r="A59" s="18"/>
      <c r="B59" s="49"/>
      <c r="C59" s="50" t="s">
        <v>52</v>
      </c>
      <c r="D59" s="51"/>
      <c r="E59" s="73">
        <v>9.0</v>
      </c>
      <c r="F59" s="73">
        <v>3.0</v>
      </c>
      <c r="G59" s="73">
        <v>25.0</v>
      </c>
      <c r="H59" s="73">
        <v>8.0</v>
      </c>
      <c r="I59" s="73">
        <v>6.0</v>
      </c>
      <c r="J59" s="73">
        <v>5.0</v>
      </c>
      <c r="K59" s="73">
        <v>4.0</v>
      </c>
      <c r="L59" s="73">
        <v>22.0</v>
      </c>
      <c r="M59" s="73">
        <v>4.0</v>
      </c>
      <c r="N59" s="73">
        <v>3.0</v>
      </c>
      <c r="O59" s="73">
        <v>16.0</v>
      </c>
      <c r="P59" s="73">
        <v>65.0</v>
      </c>
      <c r="Q59" s="73">
        <v>6.0</v>
      </c>
      <c r="R59" s="73">
        <v>4.0</v>
      </c>
      <c r="S59" s="73">
        <v>5.0</v>
      </c>
      <c r="T59" s="73">
        <v>1.0</v>
      </c>
      <c r="U59" s="73">
        <v>5.0</v>
      </c>
      <c r="V59" s="73">
        <v>12.0</v>
      </c>
      <c r="W59" s="73">
        <v>14.0</v>
      </c>
      <c r="X59" s="73">
        <v>8.0</v>
      </c>
      <c r="Y59" s="73">
        <v>8.0</v>
      </c>
      <c r="Z59" s="73">
        <v>9.0</v>
      </c>
      <c r="AA59" s="73">
        <v>13.0</v>
      </c>
      <c r="AB59" s="13">
        <f t="shared" si="16"/>
        <v>255</v>
      </c>
    </row>
    <row r="60" ht="12.75" customHeight="1">
      <c r="A60" s="18"/>
      <c r="B60" s="49"/>
      <c r="C60" s="50" t="s">
        <v>53</v>
      </c>
      <c r="D60" s="51"/>
      <c r="E60" s="73">
        <v>1.0</v>
      </c>
      <c r="F60" s="73">
        <v>0.0</v>
      </c>
      <c r="G60" s="73">
        <v>0.0</v>
      </c>
      <c r="H60" s="73">
        <v>0.0</v>
      </c>
      <c r="I60" s="73">
        <v>1.0</v>
      </c>
      <c r="J60" s="73">
        <v>0.0</v>
      </c>
      <c r="K60" s="73">
        <v>0.0</v>
      </c>
      <c r="L60" s="73">
        <v>1.0</v>
      </c>
      <c r="M60" s="73">
        <v>0.0</v>
      </c>
      <c r="N60" s="73">
        <v>0.0</v>
      </c>
      <c r="O60" s="73">
        <v>1.0</v>
      </c>
      <c r="P60" s="73">
        <v>3.0</v>
      </c>
      <c r="Q60" s="73">
        <v>15.0</v>
      </c>
      <c r="R60" s="73">
        <v>0.0</v>
      </c>
      <c r="S60" s="73">
        <v>2.0</v>
      </c>
      <c r="T60" s="73">
        <v>3.0</v>
      </c>
      <c r="U60" s="73">
        <v>2.0</v>
      </c>
      <c r="V60" s="73">
        <v>2.0</v>
      </c>
      <c r="W60" s="73">
        <v>0.0</v>
      </c>
      <c r="X60" s="73">
        <v>0.0</v>
      </c>
      <c r="Y60" s="73">
        <v>1.0</v>
      </c>
      <c r="Z60" s="73">
        <v>1.0</v>
      </c>
      <c r="AA60" s="73">
        <v>2.0</v>
      </c>
      <c r="AB60" s="13">
        <f t="shared" si="16"/>
        <v>35</v>
      </c>
    </row>
    <row r="61" ht="12.75" customHeight="1">
      <c r="A61" s="18"/>
      <c r="B61" s="49"/>
      <c r="C61" s="50" t="s">
        <v>54</v>
      </c>
      <c r="D61" s="51"/>
      <c r="E61" s="73">
        <v>9.0</v>
      </c>
      <c r="F61" s="73">
        <v>8.0</v>
      </c>
      <c r="G61" s="73">
        <v>7.0</v>
      </c>
      <c r="H61" s="73">
        <v>17.0</v>
      </c>
      <c r="I61" s="73">
        <v>0.0</v>
      </c>
      <c r="J61" s="73">
        <v>18.0</v>
      </c>
      <c r="K61" s="73">
        <v>13.0</v>
      </c>
      <c r="L61" s="73">
        <v>24.0</v>
      </c>
      <c r="M61" s="73">
        <v>22.0</v>
      </c>
      <c r="N61" s="73">
        <v>41.0</v>
      </c>
      <c r="O61" s="73">
        <v>14.0</v>
      </c>
      <c r="P61" s="73">
        <v>6.0</v>
      </c>
      <c r="Q61" s="73">
        <v>1.0</v>
      </c>
      <c r="R61" s="73">
        <v>22.0</v>
      </c>
      <c r="S61" s="73">
        <v>50.0</v>
      </c>
      <c r="T61" s="73">
        <v>16.0</v>
      </c>
      <c r="U61" s="73">
        <v>8.0</v>
      </c>
      <c r="V61" s="73">
        <v>35.0</v>
      </c>
      <c r="W61" s="73">
        <v>7.0</v>
      </c>
      <c r="X61" s="73">
        <v>7.0</v>
      </c>
      <c r="Y61" s="73">
        <v>9.0</v>
      </c>
      <c r="Z61" s="73">
        <v>6.0</v>
      </c>
      <c r="AA61" s="73">
        <v>10.0</v>
      </c>
      <c r="AB61" s="13">
        <f t="shared" si="16"/>
        <v>350</v>
      </c>
    </row>
    <row r="62" ht="12.75" customHeight="1">
      <c r="A62" s="18"/>
      <c r="B62" s="49"/>
      <c r="C62" s="50" t="s">
        <v>55</v>
      </c>
      <c r="D62" s="51"/>
      <c r="E62" s="73">
        <v>0.0</v>
      </c>
      <c r="F62" s="73">
        <v>2.0</v>
      </c>
      <c r="G62" s="73">
        <v>0.0</v>
      </c>
      <c r="H62" s="73">
        <v>2.0</v>
      </c>
      <c r="I62" s="73">
        <v>2.0</v>
      </c>
      <c r="J62" s="73">
        <v>2.0</v>
      </c>
      <c r="K62" s="73">
        <v>0.0</v>
      </c>
      <c r="L62" s="73">
        <v>0.0</v>
      </c>
      <c r="M62" s="73">
        <v>0.0</v>
      </c>
      <c r="N62" s="73">
        <v>0.0</v>
      </c>
      <c r="O62" s="73">
        <v>0.0</v>
      </c>
      <c r="P62" s="73">
        <v>0.0</v>
      </c>
      <c r="Q62" s="73">
        <v>1.0</v>
      </c>
      <c r="R62" s="73">
        <v>1.0</v>
      </c>
      <c r="S62" s="73">
        <v>0.0</v>
      </c>
      <c r="T62" s="73">
        <v>0.0</v>
      </c>
      <c r="U62" s="73">
        <v>1.0</v>
      </c>
      <c r="V62" s="73">
        <v>0.0</v>
      </c>
      <c r="W62" s="73">
        <v>2.0</v>
      </c>
      <c r="X62" s="73">
        <v>1.0</v>
      </c>
      <c r="Y62" s="73">
        <v>2.0</v>
      </c>
      <c r="Z62" s="73">
        <v>0.0</v>
      </c>
      <c r="AA62" s="73">
        <v>1.0</v>
      </c>
      <c r="AB62" s="13">
        <f t="shared" si="16"/>
        <v>17</v>
      </c>
    </row>
    <row r="63" ht="12.75" customHeight="1">
      <c r="A63" s="18"/>
      <c r="B63" s="49"/>
      <c r="C63" s="50" t="s">
        <v>56</v>
      </c>
      <c r="D63" s="51"/>
      <c r="E63" s="73">
        <v>0.0</v>
      </c>
      <c r="F63" s="73">
        <v>1.0</v>
      </c>
      <c r="G63" s="73">
        <v>0.0</v>
      </c>
      <c r="H63" s="73">
        <v>0.0</v>
      </c>
      <c r="I63" s="73">
        <v>0.0</v>
      </c>
      <c r="J63" s="73">
        <v>0.0</v>
      </c>
      <c r="K63" s="73">
        <v>1.0</v>
      </c>
      <c r="L63" s="73">
        <v>0.0</v>
      </c>
      <c r="M63" s="73">
        <v>3.0</v>
      </c>
      <c r="N63" s="73">
        <v>0.0</v>
      </c>
      <c r="O63" s="73">
        <v>0.0</v>
      </c>
      <c r="P63" s="73">
        <v>0.0</v>
      </c>
      <c r="Q63" s="73">
        <v>0.0</v>
      </c>
      <c r="R63" s="73">
        <v>0.0</v>
      </c>
      <c r="S63" s="73">
        <v>1.0</v>
      </c>
      <c r="T63" s="73">
        <v>1.0</v>
      </c>
      <c r="U63" s="73">
        <v>1.0</v>
      </c>
      <c r="V63" s="73">
        <v>0.0</v>
      </c>
      <c r="W63" s="73">
        <v>0.0</v>
      </c>
      <c r="X63" s="73">
        <v>0.0</v>
      </c>
      <c r="Y63" s="73">
        <v>2.0</v>
      </c>
      <c r="Z63" s="73">
        <v>0.0</v>
      </c>
      <c r="AA63" s="73">
        <v>0.0</v>
      </c>
      <c r="AB63" s="13">
        <f t="shared" si="16"/>
        <v>10</v>
      </c>
    </row>
    <row r="64" ht="12.75" customHeight="1">
      <c r="A64" s="18"/>
      <c r="B64" s="49"/>
      <c r="C64" s="50" t="s">
        <v>57</v>
      </c>
      <c r="D64" s="51"/>
      <c r="E64" s="73">
        <v>0.0</v>
      </c>
      <c r="F64" s="73">
        <v>0.0</v>
      </c>
      <c r="G64" s="73">
        <v>0.0</v>
      </c>
      <c r="H64" s="73">
        <v>0.0</v>
      </c>
      <c r="I64" s="73">
        <v>2.0</v>
      </c>
      <c r="J64" s="73">
        <v>0.0</v>
      </c>
      <c r="K64" s="73">
        <v>0.0</v>
      </c>
      <c r="L64" s="73">
        <v>0.0</v>
      </c>
      <c r="M64" s="73">
        <v>0.0</v>
      </c>
      <c r="N64" s="73">
        <v>0.0</v>
      </c>
      <c r="O64" s="73">
        <v>0.0</v>
      </c>
      <c r="P64" s="73">
        <v>1.0</v>
      </c>
      <c r="Q64" s="73">
        <v>0.0</v>
      </c>
      <c r="R64" s="73">
        <v>0.0</v>
      </c>
      <c r="S64" s="73">
        <v>0.0</v>
      </c>
      <c r="T64" s="73">
        <v>0.0</v>
      </c>
      <c r="U64" s="73">
        <v>0.0</v>
      </c>
      <c r="V64" s="73">
        <v>0.0</v>
      </c>
      <c r="W64" s="73">
        <v>0.0</v>
      </c>
      <c r="X64" s="73">
        <v>0.0</v>
      </c>
      <c r="Y64" s="73">
        <v>1.0</v>
      </c>
      <c r="Z64" s="73">
        <v>0.0</v>
      </c>
      <c r="AA64" s="73">
        <v>0.0</v>
      </c>
      <c r="AB64" s="13">
        <f t="shared" si="16"/>
        <v>4</v>
      </c>
    </row>
    <row r="65" ht="12.75" customHeight="1">
      <c r="A65" s="18"/>
      <c r="B65" s="49"/>
      <c r="C65" s="50" t="s">
        <v>58</v>
      </c>
      <c r="D65" s="51"/>
      <c r="E65" s="73">
        <v>0.0</v>
      </c>
      <c r="F65" s="73">
        <v>0.0</v>
      </c>
      <c r="G65" s="73">
        <v>0.0</v>
      </c>
      <c r="H65" s="73">
        <v>0.0</v>
      </c>
      <c r="I65" s="73">
        <v>0.0</v>
      </c>
      <c r="J65" s="73">
        <v>0.0</v>
      </c>
      <c r="K65" s="73">
        <v>1.0</v>
      </c>
      <c r="L65" s="73">
        <v>0.0</v>
      </c>
      <c r="M65" s="73">
        <v>0.0</v>
      </c>
      <c r="N65" s="73">
        <v>0.0</v>
      </c>
      <c r="O65" s="73">
        <v>0.0</v>
      </c>
      <c r="P65" s="73">
        <v>1.0</v>
      </c>
      <c r="Q65" s="73">
        <v>0.0</v>
      </c>
      <c r="R65" s="73">
        <v>0.0</v>
      </c>
      <c r="S65" s="73">
        <v>0.0</v>
      </c>
      <c r="T65" s="73">
        <v>0.0</v>
      </c>
      <c r="U65" s="73">
        <v>0.0</v>
      </c>
      <c r="V65" s="73">
        <v>0.0</v>
      </c>
      <c r="W65" s="73">
        <v>0.0</v>
      </c>
      <c r="X65" s="73">
        <v>0.0</v>
      </c>
      <c r="Y65" s="73">
        <v>0.0</v>
      </c>
      <c r="Z65" s="73">
        <v>0.0</v>
      </c>
      <c r="AA65" s="73">
        <v>0.0</v>
      </c>
      <c r="AB65" s="13">
        <f t="shared" si="16"/>
        <v>2</v>
      </c>
    </row>
    <row r="66" ht="12.75" customHeight="1">
      <c r="A66" s="18"/>
      <c r="B66" s="49"/>
      <c r="C66" s="50" t="s">
        <v>59</v>
      </c>
      <c r="D66" s="51"/>
      <c r="E66" s="73">
        <v>1.0</v>
      </c>
      <c r="F66" s="73">
        <v>1.0</v>
      </c>
      <c r="G66" s="73">
        <v>1.0</v>
      </c>
      <c r="H66" s="73">
        <v>0.0</v>
      </c>
      <c r="I66" s="73">
        <v>0.0</v>
      </c>
      <c r="J66" s="73">
        <v>1.0</v>
      </c>
      <c r="K66" s="73">
        <v>0.0</v>
      </c>
      <c r="L66" s="73">
        <v>0.0</v>
      </c>
      <c r="M66" s="73">
        <v>0.0</v>
      </c>
      <c r="N66" s="73">
        <v>1.0</v>
      </c>
      <c r="O66" s="73">
        <v>0.0</v>
      </c>
      <c r="P66" s="73">
        <v>0.0</v>
      </c>
      <c r="Q66" s="73">
        <v>0.0</v>
      </c>
      <c r="R66" s="73">
        <v>1.0</v>
      </c>
      <c r="S66" s="73">
        <v>0.0</v>
      </c>
      <c r="T66" s="73">
        <v>0.0</v>
      </c>
      <c r="U66" s="73">
        <v>0.0</v>
      </c>
      <c r="V66" s="73">
        <v>0.0</v>
      </c>
      <c r="W66" s="73">
        <v>0.0</v>
      </c>
      <c r="X66" s="73">
        <v>1.0</v>
      </c>
      <c r="Y66" s="73">
        <v>0.0</v>
      </c>
      <c r="Z66" s="73">
        <v>0.0</v>
      </c>
      <c r="AA66" s="73">
        <v>0.0</v>
      </c>
      <c r="AB66" s="13">
        <f t="shared" si="16"/>
        <v>7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B67" si="17">SUM(E57:E66)</f>
        <v>36</v>
      </c>
      <c r="F67" s="13">
        <f t="shared" si="17"/>
        <v>30</v>
      </c>
      <c r="G67" s="13">
        <f t="shared" si="17"/>
        <v>93</v>
      </c>
      <c r="H67" s="13">
        <f t="shared" si="17"/>
        <v>43</v>
      </c>
      <c r="I67" s="13">
        <f t="shared" si="17"/>
        <v>47</v>
      </c>
      <c r="J67" s="13">
        <f t="shared" si="17"/>
        <v>45</v>
      </c>
      <c r="K67" s="13">
        <f t="shared" si="17"/>
        <v>33</v>
      </c>
      <c r="L67" s="13">
        <f t="shared" si="17"/>
        <v>58</v>
      </c>
      <c r="M67" s="13">
        <f t="shared" si="17"/>
        <v>36</v>
      </c>
      <c r="N67" s="13">
        <f t="shared" si="17"/>
        <v>59</v>
      </c>
      <c r="O67" s="13">
        <f t="shared" si="17"/>
        <v>43</v>
      </c>
      <c r="P67" s="13">
        <f t="shared" si="17"/>
        <v>83</v>
      </c>
      <c r="Q67" s="13">
        <f t="shared" si="17"/>
        <v>42</v>
      </c>
      <c r="R67" s="13">
        <f t="shared" si="17"/>
        <v>38</v>
      </c>
      <c r="S67" s="13">
        <f t="shared" si="17"/>
        <v>74</v>
      </c>
      <c r="T67" s="13">
        <f t="shared" si="17"/>
        <v>35</v>
      </c>
      <c r="U67" s="13">
        <f t="shared" si="17"/>
        <v>31</v>
      </c>
      <c r="V67" s="13">
        <f t="shared" si="17"/>
        <v>69</v>
      </c>
      <c r="W67" s="13">
        <f t="shared" si="17"/>
        <v>47</v>
      </c>
      <c r="X67" s="13">
        <f t="shared" si="17"/>
        <v>23</v>
      </c>
      <c r="Y67" s="13">
        <f t="shared" si="17"/>
        <v>27</v>
      </c>
      <c r="Z67" s="13">
        <f t="shared" si="17"/>
        <v>24</v>
      </c>
      <c r="AA67" s="13">
        <f t="shared" si="17"/>
        <v>38</v>
      </c>
      <c r="AB67" s="13">
        <f t="shared" si="17"/>
        <v>1054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5.0</v>
      </c>
      <c r="F69" s="73">
        <v>4.0</v>
      </c>
      <c r="G69" s="73">
        <v>6.0</v>
      </c>
      <c r="H69" s="73">
        <v>1.0</v>
      </c>
      <c r="I69" s="73">
        <v>3.0</v>
      </c>
      <c r="J69" s="73">
        <v>7.0</v>
      </c>
      <c r="K69" s="73">
        <v>9.0</v>
      </c>
      <c r="L69" s="73">
        <v>6.0</v>
      </c>
      <c r="M69" s="73">
        <v>5.0</v>
      </c>
      <c r="N69" s="73">
        <v>11.0</v>
      </c>
      <c r="O69" s="73">
        <v>1.0</v>
      </c>
      <c r="P69" s="73">
        <v>8.0</v>
      </c>
      <c r="Q69" s="73">
        <v>15.0</v>
      </c>
      <c r="R69" s="73">
        <v>1.0</v>
      </c>
      <c r="S69" s="73">
        <v>5.0</v>
      </c>
      <c r="T69" s="73">
        <v>6.0</v>
      </c>
      <c r="U69" s="73">
        <v>7.0</v>
      </c>
      <c r="V69" s="73">
        <v>10.0</v>
      </c>
      <c r="W69" s="73">
        <v>10.0</v>
      </c>
      <c r="X69" s="73">
        <v>5.0</v>
      </c>
      <c r="Y69" s="73">
        <v>4.0</v>
      </c>
      <c r="Z69" s="73">
        <v>5.0</v>
      </c>
      <c r="AA69" s="73">
        <v>7.0</v>
      </c>
      <c r="AB69" s="13">
        <f t="shared" ref="AB69:AB78" si="18">SUM(E69:AA69)</f>
        <v>141</v>
      </c>
    </row>
    <row r="70" ht="12.75" customHeight="1">
      <c r="A70" s="30" t="s">
        <v>39</v>
      </c>
      <c r="B70" s="49"/>
      <c r="C70" s="50" t="s">
        <v>61</v>
      </c>
      <c r="D70" s="51"/>
      <c r="E70" s="73">
        <v>3.0</v>
      </c>
      <c r="F70" s="73">
        <v>1.0</v>
      </c>
      <c r="G70" s="73">
        <v>3.0</v>
      </c>
      <c r="H70" s="73">
        <v>1.0</v>
      </c>
      <c r="I70" s="73">
        <v>2.0</v>
      </c>
      <c r="J70" s="73">
        <v>0.0</v>
      </c>
      <c r="K70" s="73">
        <v>5.0</v>
      </c>
      <c r="L70" s="73">
        <v>1.0</v>
      </c>
      <c r="M70" s="73">
        <v>1.0</v>
      </c>
      <c r="N70" s="73">
        <v>2.0</v>
      </c>
      <c r="O70" s="73">
        <v>0.0</v>
      </c>
      <c r="P70" s="73">
        <v>1.0</v>
      </c>
      <c r="Q70" s="73">
        <v>9.0</v>
      </c>
      <c r="R70" s="73">
        <v>4.0</v>
      </c>
      <c r="S70" s="73">
        <v>9.0</v>
      </c>
      <c r="T70" s="73">
        <v>1.0</v>
      </c>
      <c r="U70" s="73">
        <v>3.0</v>
      </c>
      <c r="V70" s="73">
        <v>4.0</v>
      </c>
      <c r="W70" s="73">
        <v>10.0</v>
      </c>
      <c r="X70" s="73">
        <v>6.0</v>
      </c>
      <c r="Y70" s="73">
        <v>3.0</v>
      </c>
      <c r="Z70" s="73">
        <v>2.0</v>
      </c>
      <c r="AA70" s="73">
        <v>1.0</v>
      </c>
      <c r="AB70" s="13">
        <f t="shared" si="18"/>
        <v>72</v>
      </c>
    </row>
    <row r="71" ht="12.75" customHeight="1">
      <c r="A71" s="18"/>
      <c r="B71" s="49"/>
      <c r="C71" s="50" t="s">
        <v>62</v>
      </c>
      <c r="D71" s="51"/>
      <c r="E71" s="73">
        <v>2.0</v>
      </c>
      <c r="F71" s="73">
        <v>1.0</v>
      </c>
      <c r="G71" s="73">
        <v>1.0</v>
      </c>
      <c r="H71" s="73">
        <v>0.0</v>
      </c>
      <c r="I71" s="73">
        <v>2.0</v>
      </c>
      <c r="J71" s="73">
        <v>1.0</v>
      </c>
      <c r="K71" s="73">
        <v>3.0</v>
      </c>
      <c r="L71" s="73">
        <v>1.0</v>
      </c>
      <c r="M71" s="73">
        <v>1.0</v>
      </c>
      <c r="N71" s="73">
        <v>2.0</v>
      </c>
      <c r="O71" s="73">
        <v>0.0</v>
      </c>
      <c r="P71" s="73">
        <v>2.0</v>
      </c>
      <c r="Q71" s="73">
        <v>1.0</v>
      </c>
      <c r="R71" s="73">
        <v>1.0</v>
      </c>
      <c r="S71" s="73">
        <v>3.0</v>
      </c>
      <c r="T71" s="73">
        <v>6.0</v>
      </c>
      <c r="U71" s="73">
        <v>9.0</v>
      </c>
      <c r="V71" s="73">
        <v>5.0</v>
      </c>
      <c r="W71" s="73">
        <v>5.0</v>
      </c>
      <c r="X71" s="73">
        <v>2.0</v>
      </c>
      <c r="Y71" s="73">
        <v>3.0</v>
      </c>
      <c r="Z71" s="73">
        <v>1.0</v>
      </c>
      <c r="AA71" s="73">
        <v>3.0</v>
      </c>
      <c r="AB71" s="13">
        <f t="shared" si="18"/>
        <v>55</v>
      </c>
    </row>
    <row r="72" ht="12.75" customHeight="1">
      <c r="A72" s="18"/>
      <c r="B72" s="49"/>
      <c r="C72" s="50" t="s">
        <v>63</v>
      </c>
      <c r="D72" s="51"/>
      <c r="E72" s="73">
        <v>1.0</v>
      </c>
      <c r="F72" s="73">
        <v>0.0</v>
      </c>
      <c r="G72" s="73">
        <v>1.0</v>
      </c>
      <c r="H72" s="73">
        <v>0.0</v>
      </c>
      <c r="I72" s="73">
        <v>0.0</v>
      </c>
      <c r="J72" s="73">
        <v>5.0</v>
      </c>
      <c r="K72" s="73">
        <v>2.0</v>
      </c>
      <c r="L72" s="73">
        <v>3.0</v>
      </c>
      <c r="M72" s="73">
        <v>1.0</v>
      </c>
      <c r="N72" s="73">
        <v>2.0</v>
      </c>
      <c r="O72" s="73">
        <v>0.0</v>
      </c>
      <c r="P72" s="73">
        <v>0.0</v>
      </c>
      <c r="Q72" s="73">
        <v>1.0</v>
      </c>
      <c r="R72" s="73">
        <v>1.0</v>
      </c>
      <c r="S72" s="73">
        <v>3.0</v>
      </c>
      <c r="T72" s="73">
        <v>11.0</v>
      </c>
      <c r="U72" s="73">
        <v>3.0</v>
      </c>
      <c r="V72" s="73">
        <v>2.0</v>
      </c>
      <c r="W72" s="73">
        <v>10.0</v>
      </c>
      <c r="X72" s="73">
        <v>1.0</v>
      </c>
      <c r="Y72" s="73">
        <v>4.0</v>
      </c>
      <c r="Z72" s="73">
        <v>4.0</v>
      </c>
      <c r="AA72" s="73">
        <v>8.0</v>
      </c>
      <c r="AB72" s="13">
        <f t="shared" si="18"/>
        <v>63</v>
      </c>
    </row>
    <row r="73" ht="12.75" customHeight="1">
      <c r="A73" s="18"/>
      <c r="B73" s="49"/>
      <c r="C73" s="50" t="s">
        <v>64</v>
      </c>
      <c r="D73" s="51"/>
      <c r="E73" s="73">
        <v>1.0</v>
      </c>
      <c r="F73" s="73">
        <v>1.0</v>
      </c>
      <c r="G73" s="73">
        <v>0.0</v>
      </c>
      <c r="H73" s="73">
        <v>1.0</v>
      </c>
      <c r="I73" s="73">
        <v>3.0</v>
      </c>
      <c r="J73" s="73">
        <v>6.0</v>
      </c>
      <c r="K73" s="73">
        <v>1.0</v>
      </c>
      <c r="L73" s="73">
        <v>1.0</v>
      </c>
      <c r="M73" s="73">
        <v>2.0</v>
      </c>
      <c r="N73" s="73">
        <v>4.0</v>
      </c>
      <c r="O73" s="73">
        <v>0.0</v>
      </c>
      <c r="P73" s="73">
        <v>2.0</v>
      </c>
      <c r="Q73" s="73">
        <v>0.0</v>
      </c>
      <c r="R73" s="73">
        <v>3.0</v>
      </c>
      <c r="S73" s="73">
        <v>2.0</v>
      </c>
      <c r="T73" s="73">
        <v>4.0</v>
      </c>
      <c r="U73" s="73">
        <v>3.0</v>
      </c>
      <c r="V73" s="73">
        <v>0.0</v>
      </c>
      <c r="W73" s="73">
        <v>3.0</v>
      </c>
      <c r="X73" s="73">
        <v>1.0</v>
      </c>
      <c r="Y73" s="73">
        <v>1.0</v>
      </c>
      <c r="Z73" s="73">
        <v>0.0</v>
      </c>
      <c r="AA73" s="73">
        <v>1.0</v>
      </c>
      <c r="AB73" s="13">
        <f t="shared" si="18"/>
        <v>40</v>
      </c>
    </row>
    <row r="74" ht="12.75" customHeight="1">
      <c r="A74" s="18"/>
      <c r="B74" s="49"/>
      <c r="C74" s="50" t="s">
        <v>65</v>
      </c>
      <c r="D74" s="51"/>
      <c r="E74" s="73">
        <v>1.0</v>
      </c>
      <c r="F74" s="73">
        <v>2.0</v>
      </c>
      <c r="G74" s="73">
        <v>1.0</v>
      </c>
      <c r="H74" s="73">
        <v>0.0</v>
      </c>
      <c r="I74" s="73">
        <v>0.0</v>
      </c>
      <c r="J74" s="73">
        <v>1.0</v>
      </c>
      <c r="K74" s="73">
        <v>1.0</v>
      </c>
      <c r="L74" s="73">
        <v>0.0</v>
      </c>
      <c r="M74" s="73">
        <v>0.0</v>
      </c>
      <c r="N74" s="73">
        <v>0.0</v>
      </c>
      <c r="O74" s="73">
        <v>1.0</v>
      </c>
      <c r="P74" s="73">
        <v>1.0</v>
      </c>
      <c r="Q74" s="73">
        <v>1.0</v>
      </c>
      <c r="R74" s="73">
        <v>0.0</v>
      </c>
      <c r="S74" s="73">
        <v>2.0</v>
      </c>
      <c r="T74" s="73">
        <v>2.0</v>
      </c>
      <c r="U74" s="73">
        <v>1.0</v>
      </c>
      <c r="V74" s="73">
        <v>2.0</v>
      </c>
      <c r="W74" s="73">
        <v>3.0</v>
      </c>
      <c r="X74" s="73">
        <v>0.0</v>
      </c>
      <c r="Y74" s="73">
        <v>1.0</v>
      </c>
      <c r="Z74" s="73">
        <v>3.0</v>
      </c>
      <c r="AA74" s="73">
        <v>1.0</v>
      </c>
      <c r="AB74" s="13">
        <f t="shared" si="18"/>
        <v>24</v>
      </c>
    </row>
    <row r="75" ht="12.75" customHeight="1">
      <c r="A75" s="18"/>
      <c r="B75" s="49"/>
      <c r="C75" s="50" t="s">
        <v>66</v>
      </c>
      <c r="D75" s="51"/>
      <c r="E75" s="73">
        <v>0.0</v>
      </c>
      <c r="F75" s="73">
        <v>0.0</v>
      </c>
      <c r="G75" s="73">
        <v>0.0</v>
      </c>
      <c r="H75" s="73">
        <v>0.0</v>
      </c>
      <c r="I75" s="73">
        <v>0.0</v>
      </c>
      <c r="J75" s="73">
        <v>0.0</v>
      </c>
      <c r="K75" s="73">
        <v>1.0</v>
      </c>
      <c r="L75" s="73">
        <v>0.0</v>
      </c>
      <c r="M75" s="73">
        <v>0.0</v>
      </c>
      <c r="N75" s="73">
        <v>2.0</v>
      </c>
      <c r="O75" s="73">
        <v>1.0</v>
      </c>
      <c r="P75" s="73">
        <v>0.0</v>
      </c>
      <c r="Q75" s="73">
        <v>0.0</v>
      </c>
      <c r="R75" s="73">
        <v>0.0</v>
      </c>
      <c r="S75" s="73">
        <v>0.0</v>
      </c>
      <c r="T75" s="73">
        <v>0.0</v>
      </c>
      <c r="U75" s="73">
        <v>1.0</v>
      </c>
      <c r="V75" s="73">
        <v>1.0</v>
      </c>
      <c r="W75" s="73">
        <v>0.0</v>
      </c>
      <c r="X75" s="73">
        <v>1.0</v>
      </c>
      <c r="Y75" s="73">
        <v>0.0</v>
      </c>
      <c r="Z75" s="73">
        <v>1.0</v>
      </c>
      <c r="AA75" s="73">
        <v>0.0</v>
      </c>
      <c r="AB75" s="13">
        <f t="shared" si="18"/>
        <v>8</v>
      </c>
    </row>
    <row r="76" ht="12.75" customHeight="1">
      <c r="A76" s="18"/>
      <c r="B76" s="49"/>
      <c r="C76" s="50" t="s">
        <v>67</v>
      </c>
      <c r="D76" s="51"/>
      <c r="E76" s="73">
        <v>1.0</v>
      </c>
      <c r="F76" s="73">
        <v>0.0</v>
      </c>
      <c r="G76" s="73">
        <v>2.0</v>
      </c>
      <c r="H76" s="73">
        <v>0.0</v>
      </c>
      <c r="I76" s="73">
        <v>0.0</v>
      </c>
      <c r="J76" s="73">
        <v>0.0</v>
      </c>
      <c r="K76" s="73">
        <v>2.0</v>
      </c>
      <c r="L76" s="73">
        <v>0.0</v>
      </c>
      <c r="M76" s="73">
        <v>0.0</v>
      </c>
      <c r="N76" s="73">
        <v>0.0</v>
      </c>
      <c r="O76" s="73">
        <v>0.0</v>
      </c>
      <c r="P76" s="73">
        <v>0.0</v>
      </c>
      <c r="Q76" s="73">
        <v>1.0</v>
      </c>
      <c r="R76" s="73">
        <v>0.0</v>
      </c>
      <c r="S76" s="73">
        <v>2.0</v>
      </c>
      <c r="T76" s="73">
        <v>0.0</v>
      </c>
      <c r="U76" s="73">
        <v>1.0</v>
      </c>
      <c r="V76" s="73">
        <v>0.0</v>
      </c>
      <c r="W76" s="73">
        <v>0.0</v>
      </c>
      <c r="X76" s="73">
        <v>0.0</v>
      </c>
      <c r="Y76" s="73">
        <v>0.0</v>
      </c>
      <c r="Z76" s="73">
        <v>0.0</v>
      </c>
      <c r="AA76" s="73">
        <v>0.0</v>
      </c>
      <c r="AB76" s="13">
        <f t="shared" si="18"/>
        <v>9</v>
      </c>
    </row>
    <row r="77" ht="12.75" customHeight="1">
      <c r="A77" s="18"/>
      <c r="B77" s="49"/>
      <c r="C77" s="50" t="s">
        <v>68</v>
      </c>
      <c r="D77" s="51"/>
      <c r="E77" s="73">
        <v>0.0</v>
      </c>
      <c r="F77" s="73">
        <v>0.0</v>
      </c>
      <c r="G77" s="73">
        <v>0.0</v>
      </c>
      <c r="H77" s="73">
        <v>0.0</v>
      </c>
      <c r="I77" s="73">
        <v>0.0</v>
      </c>
      <c r="J77" s="73">
        <v>1.0</v>
      </c>
      <c r="K77" s="73">
        <v>1.0</v>
      </c>
      <c r="L77" s="73">
        <v>0.0</v>
      </c>
      <c r="M77" s="73">
        <v>0.0</v>
      </c>
      <c r="N77" s="73">
        <v>0.0</v>
      </c>
      <c r="O77" s="73">
        <v>0.0</v>
      </c>
      <c r="P77" s="73">
        <v>0.0</v>
      </c>
      <c r="Q77" s="73">
        <v>0.0</v>
      </c>
      <c r="R77" s="73">
        <v>0.0</v>
      </c>
      <c r="S77" s="73">
        <v>0.0</v>
      </c>
      <c r="T77" s="73">
        <v>0.0</v>
      </c>
      <c r="U77" s="73">
        <v>1.0</v>
      </c>
      <c r="V77" s="73">
        <v>0.0</v>
      </c>
      <c r="W77" s="73">
        <v>0.0</v>
      </c>
      <c r="X77" s="73">
        <v>0.0</v>
      </c>
      <c r="Y77" s="73">
        <v>0.0</v>
      </c>
      <c r="Z77" s="73">
        <v>0.0</v>
      </c>
      <c r="AA77" s="73">
        <v>0.0</v>
      </c>
      <c r="AB77" s="13">
        <f t="shared" si="18"/>
        <v>3</v>
      </c>
    </row>
    <row r="78" ht="12.75" customHeight="1">
      <c r="A78" s="18"/>
      <c r="B78" s="49"/>
      <c r="C78" s="50" t="s">
        <v>69</v>
      </c>
      <c r="D78" s="51"/>
      <c r="E78" s="73">
        <v>0.0</v>
      </c>
      <c r="F78" s="73">
        <v>0.0</v>
      </c>
      <c r="G78" s="73">
        <v>1.0</v>
      </c>
      <c r="H78" s="73">
        <v>0.0</v>
      </c>
      <c r="I78" s="73">
        <v>0.0</v>
      </c>
      <c r="J78" s="73">
        <v>1.0</v>
      </c>
      <c r="K78" s="73">
        <v>0.0</v>
      </c>
      <c r="L78" s="73">
        <v>0.0</v>
      </c>
      <c r="M78" s="73">
        <v>0.0</v>
      </c>
      <c r="N78" s="73">
        <v>1.0</v>
      </c>
      <c r="O78" s="73">
        <v>0.0</v>
      </c>
      <c r="P78" s="73">
        <v>1.0</v>
      </c>
      <c r="Q78" s="73">
        <v>2.0</v>
      </c>
      <c r="R78" s="73">
        <v>0.0</v>
      </c>
      <c r="S78" s="73">
        <v>0.0</v>
      </c>
      <c r="T78" s="73">
        <v>1.0</v>
      </c>
      <c r="U78" s="73">
        <v>0.0</v>
      </c>
      <c r="V78" s="73">
        <v>0.0</v>
      </c>
      <c r="W78" s="73">
        <v>0.0</v>
      </c>
      <c r="X78" s="73">
        <v>0.0</v>
      </c>
      <c r="Y78" s="73">
        <v>0.0</v>
      </c>
      <c r="Z78" s="73">
        <v>0.0</v>
      </c>
      <c r="AA78" s="73">
        <v>1.0</v>
      </c>
      <c r="AB78" s="13">
        <f t="shared" si="18"/>
        <v>8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B79" si="19">SUM(E69:E78)</f>
        <v>14</v>
      </c>
      <c r="F79" s="13">
        <f t="shared" si="19"/>
        <v>9</v>
      </c>
      <c r="G79" s="13">
        <f t="shared" si="19"/>
        <v>15</v>
      </c>
      <c r="H79" s="13">
        <f t="shared" si="19"/>
        <v>3</v>
      </c>
      <c r="I79" s="13">
        <f t="shared" si="19"/>
        <v>10</v>
      </c>
      <c r="J79" s="13">
        <f t="shared" si="19"/>
        <v>22</v>
      </c>
      <c r="K79" s="13">
        <f t="shared" si="19"/>
        <v>25</v>
      </c>
      <c r="L79" s="13">
        <f t="shared" si="19"/>
        <v>12</v>
      </c>
      <c r="M79" s="13">
        <f t="shared" si="19"/>
        <v>10</v>
      </c>
      <c r="N79" s="13">
        <f t="shared" si="19"/>
        <v>24</v>
      </c>
      <c r="O79" s="13">
        <f t="shared" si="19"/>
        <v>3</v>
      </c>
      <c r="P79" s="13">
        <f t="shared" si="19"/>
        <v>15</v>
      </c>
      <c r="Q79" s="13">
        <f t="shared" si="19"/>
        <v>30</v>
      </c>
      <c r="R79" s="13">
        <f t="shared" si="19"/>
        <v>10</v>
      </c>
      <c r="S79" s="13">
        <f t="shared" si="19"/>
        <v>26</v>
      </c>
      <c r="T79" s="13">
        <f t="shared" si="19"/>
        <v>31</v>
      </c>
      <c r="U79" s="13">
        <f t="shared" si="19"/>
        <v>29</v>
      </c>
      <c r="V79" s="13">
        <f t="shared" si="19"/>
        <v>24</v>
      </c>
      <c r="W79" s="13">
        <f t="shared" si="19"/>
        <v>41</v>
      </c>
      <c r="X79" s="13">
        <f t="shared" si="19"/>
        <v>16</v>
      </c>
      <c r="Y79" s="13">
        <f t="shared" si="19"/>
        <v>16</v>
      </c>
      <c r="Z79" s="13">
        <f t="shared" si="19"/>
        <v>16</v>
      </c>
      <c r="AA79" s="13">
        <f t="shared" si="19"/>
        <v>22</v>
      </c>
      <c r="AB79" s="13">
        <f t="shared" si="19"/>
        <v>423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3.0</v>
      </c>
      <c r="F81" s="73">
        <v>0.0</v>
      </c>
      <c r="G81" s="73">
        <v>1.0</v>
      </c>
      <c r="H81" s="73">
        <v>3.0</v>
      </c>
      <c r="I81" s="73">
        <v>0.0</v>
      </c>
      <c r="J81" s="73">
        <v>6.0</v>
      </c>
      <c r="K81" s="73">
        <v>5.0</v>
      </c>
      <c r="L81" s="73">
        <v>7.0</v>
      </c>
      <c r="M81" s="73">
        <v>4.0</v>
      </c>
      <c r="N81" s="73">
        <v>4.0</v>
      </c>
      <c r="O81" s="73">
        <v>0.0</v>
      </c>
      <c r="P81" s="73">
        <v>1.0</v>
      </c>
      <c r="Q81" s="73">
        <v>5.0</v>
      </c>
      <c r="R81" s="73">
        <v>0.0</v>
      </c>
      <c r="S81" s="73">
        <v>2.0</v>
      </c>
      <c r="T81" s="73">
        <v>2.0</v>
      </c>
      <c r="U81" s="73">
        <v>3.0</v>
      </c>
      <c r="V81" s="73">
        <v>0.0</v>
      </c>
      <c r="W81" s="73">
        <v>8.0</v>
      </c>
      <c r="X81" s="73">
        <v>0.0</v>
      </c>
      <c r="Y81" s="73">
        <v>2.0</v>
      </c>
      <c r="Z81" s="73">
        <v>6.0</v>
      </c>
      <c r="AA81" s="73">
        <v>3.0</v>
      </c>
      <c r="AB81" s="13">
        <f t="shared" ref="AB81:AB90" si="20">SUM(E81:AA81)</f>
        <v>65</v>
      </c>
    </row>
    <row r="82" ht="12.75" customHeight="1">
      <c r="A82" s="30" t="s">
        <v>39</v>
      </c>
      <c r="B82" s="49"/>
      <c r="C82" s="50" t="s">
        <v>71</v>
      </c>
      <c r="D82" s="51"/>
      <c r="E82" s="73">
        <v>0.0</v>
      </c>
      <c r="F82" s="73">
        <v>0.0</v>
      </c>
      <c r="G82" s="73">
        <v>1.0</v>
      </c>
      <c r="H82" s="73">
        <v>1.0</v>
      </c>
      <c r="I82" s="73">
        <v>2.0</v>
      </c>
      <c r="J82" s="73">
        <v>4.0</v>
      </c>
      <c r="K82" s="73">
        <v>9.0</v>
      </c>
      <c r="L82" s="73">
        <v>1.0</v>
      </c>
      <c r="M82" s="73">
        <v>6.0</v>
      </c>
      <c r="N82" s="73">
        <v>1.0</v>
      </c>
      <c r="O82" s="73">
        <v>1.0</v>
      </c>
      <c r="P82" s="73">
        <v>0.0</v>
      </c>
      <c r="Q82" s="73">
        <v>0.0</v>
      </c>
      <c r="R82" s="73">
        <v>2.0</v>
      </c>
      <c r="S82" s="73">
        <v>3.0</v>
      </c>
      <c r="T82" s="73">
        <v>8.0</v>
      </c>
      <c r="U82" s="73">
        <v>3.0</v>
      </c>
      <c r="V82" s="73">
        <v>3.0</v>
      </c>
      <c r="W82" s="73">
        <v>5.0</v>
      </c>
      <c r="X82" s="73">
        <v>0.0</v>
      </c>
      <c r="Y82" s="73">
        <v>5.0</v>
      </c>
      <c r="Z82" s="73">
        <v>6.0</v>
      </c>
      <c r="AA82" s="73">
        <v>1.0</v>
      </c>
      <c r="AB82" s="13">
        <f t="shared" si="20"/>
        <v>62</v>
      </c>
    </row>
    <row r="83" ht="12.75" customHeight="1">
      <c r="A83" s="18"/>
      <c r="B83" s="49"/>
      <c r="C83" s="50" t="s">
        <v>72</v>
      </c>
      <c r="D83" s="51"/>
      <c r="E83" s="73">
        <v>1.0</v>
      </c>
      <c r="F83" s="73">
        <v>0.0</v>
      </c>
      <c r="G83" s="73">
        <v>0.0</v>
      </c>
      <c r="H83" s="73">
        <v>0.0</v>
      </c>
      <c r="I83" s="73">
        <v>0.0</v>
      </c>
      <c r="J83" s="73">
        <v>0.0</v>
      </c>
      <c r="K83" s="73">
        <v>2.0</v>
      </c>
      <c r="L83" s="73">
        <v>2.0</v>
      </c>
      <c r="M83" s="73">
        <v>4.0</v>
      </c>
      <c r="N83" s="73">
        <v>0.0</v>
      </c>
      <c r="O83" s="73">
        <v>0.0</v>
      </c>
      <c r="P83" s="73">
        <v>1.0</v>
      </c>
      <c r="Q83" s="73">
        <v>0.0</v>
      </c>
      <c r="R83" s="73">
        <v>1.0</v>
      </c>
      <c r="S83" s="73">
        <v>1.0</v>
      </c>
      <c r="T83" s="73">
        <v>0.0</v>
      </c>
      <c r="U83" s="73">
        <v>0.0</v>
      </c>
      <c r="V83" s="73">
        <v>0.0</v>
      </c>
      <c r="W83" s="73">
        <v>1.0</v>
      </c>
      <c r="X83" s="73">
        <v>0.0</v>
      </c>
      <c r="Y83" s="73">
        <v>1.0</v>
      </c>
      <c r="Z83" s="73">
        <v>1.0</v>
      </c>
      <c r="AA83" s="73">
        <v>0.0</v>
      </c>
      <c r="AB83" s="13">
        <f t="shared" si="20"/>
        <v>15</v>
      </c>
    </row>
    <row r="84" ht="12.75" customHeight="1">
      <c r="A84" s="18"/>
      <c r="B84" s="49"/>
      <c r="C84" s="50" t="s">
        <v>73</v>
      </c>
      <c r="D84" s="51"/>
      <c r="E84" s="73">
        <v>0.0</v>
      </c>
      <c r="F84" s="73">
        <v>0.0</v>
      </c>
      <c r="G84" s="73">
        <v>0.0</v>
      </c>
      <c r="H84" s="73">
        <v>1.0</v>
      </c>
      <c r="I84" s="73">
        <v>0.0</v>
      </c>
      <c r="J84" s="73">
        <v>1.0</v>
      </c>
      <c r="K84" s="73">
        <v>3.0</v>
      </c>
      <c r="L84" s="73">
        <v>0.0</v>
      </c>
      <c r="M84" s="73">
        <v>0.0</v>
      </c>
      <c r="N84" s="73">
        <v>0.0</v>
      </c>
      <c r="O84" s="73">
        <v>0.0</v>
      </c>
      <c r="P84" s="73">
        <v>0.0</v>
      </c>
      <c r="Q84" s="73">
        <v>1.0</v>
      </c>
      <c r="R84" s="73">
        <v>1.0</v>
      </c>
      <c r="S84" s="73">
        <v>0.0</v>
      </c>
      <c r="T84" s="73">
        <v>0.0</v>
      </c>
      <c r="U84" s="73">
        <v>1.0</v>
      </c>
      <c r="V84" s="73">
        <v>0.0</v>
      </c>
      <c r="W84" s="73">
        <v>1.0</v>
      </c>
      <c r="X84" s="73">
        <v>0.0</v>
      </c>
      <c r="Y84" s="73">
        <v>2.0</v>
      </c>
      <c r="Z84" s="73">
        <v>0.0</v>
      </c>
      <c r="AA84" s="73">
        <v>0.0</v>
      </c>
      <c r="AB84" s="13">
        <f t="shared" si="20"/>
        <v>11</v>
      </c>
    </row>
    <row r="85" ht="12.75" customHeight="1">
      <c r="A85" s="18"/>
      <c r="B85" s="49"/>
      <c r="C85" s="50" t="s">
        <v>74</v>
      </c>
      <c r="D85" s="51"/>
      <c r="E85" s="73">
        <v>0.0</v>
      </c>
      <c r="F85" s="73">
        <v>0.0</v>
      </c>
      <c r="G85" s="73">
        <v>0.0</v>
      </c>
      <c r="H85" s="73">
        <v>0.0</v>
      </c>
      <c r="I85" s="73">
        <v>0.0</v>
      </c>
      <c r="J85" s="73">
        <v>0.0</v>
      </c>
      <c r="K85" s="73">
        <v>0.0</v>
      </c>
      <c r="L85" s="73">
        <v>0.0</v>
      </c>
      <c r="M85" s="73">
        <v>0.0</v>
      </c>
      <c r="N85" s="73">
        <v>3.0</v>
      </c>
      <c r="O85" s="73">
        <v>1.0</v>
      </c>
      <c r="P85" s="73">
        <v>0.0</v>
      </c>
      <c r="Q85" s="73">
        <v>0.0</v>
      </c>
      <c r="R85" s="73">
        <v>1.0</v>
      </c>
      <c r="S85" s="73">
        <v>1.0</v>
      </c>
      <c r="T85" s="73">
        <v>0.0</v>
      </c>
      <c r="U85" s="73">
        <v>1.0</v>
      </c>
      <c r="V85" s="73">
        <v>0.0</v>
      </c>
      <c r="W85" s="73">
        <v>0.0</v>
      </c>
      <c r="X85" s="73">
        <v>1.0</v>
      </c>
      <c r="Y85" s="73">
        <v>0.0</v>
      </c>
      <c r="Z85" s="73">
        <v>0.0</v>
      </c>
      <c r="AA85" s="73">
        <v>1.0</v>
      </c>
      <c r="AB85" s="13">
        <f t="shared" si="20"/>
        <v>9</v>
      </c>
    </row>
    <row r="86" ht="12.75" customHeight="1">
      <c r="A86" s="18"/>
      <c r="B86" s="49"/>
      <c r="C86" s="50" t="s">
        <v>75</v>
      </c>
      <c r="D86" s="51"/>
      <c r="E86" s="73">
        <v>0.0</v>
      </c>
      <c r="F86" s="73">
        <v>0.0</v>
      </c>
      <c r="G86" s="73">
        <v>2.0</v>
      </c>
      <c r="H86" s="73">
        <v>0.0</v>
      </c>
      <c r="I86" s="73">
        <v>0.0</v>
      </c>
      <c r="J86" s="73">
        <v>0.0</v>
      </c>
      <c r="K86" s="73">
        <v>2.0</v>
      </c>
      <c r="L86" s="73">
        <v>0.0</v>
      </c>
      <c r="M86" s="73">
        <v>0.0</v>
      </c>
      <c r="N86" s="73">
        <v>0.0</v>
      </c>
      <c r="O86" s="73">
        <v>1.0</v>
      </c>
      <c r="P86" s="73">
        <v>0.0</v>
      </c>
      <c r="Q86" s="73">
        <v>0.0</v>
      </c>
      <c r="R86" s="73">
        <v>0.0</v>
      </c>
      <c r="S86" s="73">
        <v>1.0</v>
      </c>
      <c r="T86" s="73">
        <v>0.0</v>
      </c>
      <c r="U86" s="73">
        <v>1.0</v>
      </c>
      <c r="V86" s="73">
        <v>0.0</v>
      </c>
      <c r="W86" s="73">
        <v>1.0</v>
      </c>
      <c r="X86" s="73">
        <v>1.0</v>
      </c>
      <c r="Y86" s="73">
        <v>12.0</v>
      </c>
      <c r="Z86" s="73">
        <v>11.0</v>
      </c>
      <c r="AA86" s="73">
        <v>4.0</v>
      </c>
      <c r="AB86" s="13">
        <f t="shared" si="20"/>
        <v>36</v>
      </c>
    </row>
    <row r="87" ht="12.75" customHeight="1">
      <c r="A87" s="18"/>
      <c r="B87" s="49"/>
      <c r="C87" s="50" t="s">
        <v>76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1.0</v>
      </c>
      <c r="L87" s="73">
        <v>0.0</v>
      </c>
      <c r="M87" s="73">
        <v>1.0</v>
      </c>
      <c r="N87" s="73">
        <v>0.0</v>
      </c>
      <c r="O87" s="73">
        <v>0.0</v>
      </c>
      <c r="P87" s="73">
        <v>0.0</v>
      </c>
      <c r="Q87" s="73">
        <v>0.0</v>
      </c>
      <c r="R87" s="73">
        <v>0.0</v>
      </c>
      <c r="S87" s="73">
        <v>2.0</v>
      </c>
      <c r="T87" s="73">
        <v>1.0</v>
      </c>
      <c r="U87" s="73">
        <v>0.0</v>
      </c>
      <c r="V87" s="73">
        <v>0.0</v>
      </c>
      <c r="W87" s="73">
        <v>0.0</v>
      </c>
      <c r="X87" s="73">
        <v>0.0</v>
      </c>
      <c r="Y87" s="73">
        <v>0.0</v>
      </c>
      <c r="Z87" s="73">
        <v>2.0</v>
      </c>
      <c r="AA87" s="73">
        <v>0.0</v>
      </c>
      <c r="AB87" s="13">
        <f t="shared" si="20"/>
        <v>7</v>
      </c>
    </row>
    <row r="88" ht="12.75" customHeight="1">
      <c r="A88" s="18"/>
      <c r="B88" s="49"/>
      <c r="C88" s="50" t="s">
        <v>77</v>
      </c>
      <c r="D88" s="51"/>
      <c r="E88" s="73">
        <v>0.0</v>
      </c>
      <c r="F88" s="73">
        <v>0.0</v>
      </c>
      <c r="G88" s="73">
        <v>0.0</v>
      </c>
      <c r="H88" s="73">
        <v>0.0</v>
      </c>
      <c r="I88" s="73">
        <v>0.0</v>
      </c>
      <c r="J88" s="73">
        <v>0.0</v>
      </c>
      <c r="K88" s="73">
        <v>0.0</v>
      </c>
      <c r="L88" s="73">
        <v>0.0</v>
      </c>
      <c r="M88" s="73">
        <v>1.0</v>
      </c>
      <c r="N88" s="73">
        <v>0.0</v>
      </c>
      <c r="O88" s="73">
        <v>0.0</v>
      </c>
      <c r="P88" s="73">
        <v>0.0</v>
      </c>
      <c r="Q88" s="73">
        <v>0.0</v>
      </c>
      <c r="R88" s="73">
        <v>0.0</v>
      </c>
      <c r="S88" s="73">
        <v>0.0</v>
      </c>
      <c r="T88" s="73">
        <v>0.0</v>
      </c>
      <c r="U88" s="73">
        <v>0.0</v>
      </c>
      <c r="V88" s="73">
        <v>0.0</v>
      </c>
      <c r="W88" s="73">
        <v>1.0</v>
      </c>
      <c r="X88" s="73">
        <v>0.0</v>
      </c>
      <c r="Y88" s="73">
        <v>0.0</v>
      </c>
      <c r="Z88" s="73">
        <v>0.0</v>
      </c>
      <c r="AA88" s="73">
        <v>0.0</v>
      </c>
      <c r="AB88" s="13">
        <f t="shared" si="20"/>
        <v>2</v>
      </c>
    </row>
    <row r="89" ht="12.75" customHeight="1">
      <c r="A89" s="18"/>
      <c r="B89" s="49"/>
      <c r="C89" s="50" t="s">
        <v>78</v>
      </c>
      <c r="D89" s="51"/>
      <c r="E89" s="73">
        <v>0.0</v>
      </c>
      <c r="F89" s="73">
        <v>0.0</v>
      </c>
      <c r="G89" s="73">
        <v>0.0</v>
      </c>
      <c r="H89" s="73">
        <v>1.0</v>
      </c>
      <c r="I89" s="73">
        <v>0.0</v>
      </c>
      <c r="J89" s="73">
        <v>0.0</v>
      </c>
      <c r="K89" s="73">
        <v>0.0</v>
      </c>
      <c r="L89" s="73">
        <v>0.0</v>
      </c>
      <c r="M89" s="73">
        <v>0.0</v>
      </c>
      <c r="N89" s="73">
        <v>0.0</v>
      </c>
      <c r="O89" s="73">
        <v>0.0</v>
      </c>
      <c r="P89" s="73">
        <v>0.0</v>
      </c>
      <c r="Q89" s="73">
        <v>0.0</v>
      </c>
      <c r="R89" s="73">
        <v>0.0</v>
      </c>
      <c r="S89" s="73">
        <v>0.0</v>
      </c>
      <c r="T89" s="73">
        <v>0.0</v>
      </c>
      <c r="U89" s="73">
        <v>0.0</v>
      </c>
      <c r="V89" s="73">
        <v>0.0</v>
      </c>
      <c r="W89" s="73">
        <v>0.0</v>
      </c>
      <c r="X89" s="73">
        <v>0.0</v>
      </c>
      <c r="Y89" s="73">
        <v>0.0</v>
      </c>
      <c r="Z89" s="73">
        <v>0.0</v>
      </c>
      <c r="AA89" s="73">
        <v>0.0</v>
      </c>
      <c r="AB89" s="13">
        <f t="shared" si="20"/>
        <v>1</v>
      </c>
    </row>
    <row r="90" ht="12.75" customHeight="1">
      <c r="A90" s="18"/>
      <c r="B90" s="49"/>
      <c r="C90" s="50" t="s">
        <v>79</v>
      </c>
      <c r="D90" s="51"/>
      <c r="E90" s="73">
        <v>0.0</v>
      </c>
      <c r="F90" s="73">
        <v>1.0</v>
      </c>
      <c r="G90" s="73">
        <v>0.0</v>
      </c>
      <c r="H90" s="73">
        <v>0.0</v>
      </c>
      <c r="I90" s="73">
        <v>0.0</v>
      </c>
      <c r="J90" s="73">
        <v>0.0</v>
      </c>
      <c r="K90" s="73">
        <v>0.0</v>
      </c>
      <c r="L90" s="73">
        <v>0.0</v>
      </c>
      <c r="M90" s="73">
        <v>1.0</v>
      </c>
      <c r="N90" s="73">
        <v>0.0</v>
      </c>
      <c r="O90" s="73">
        <v>0.0</v>
      </c>
      <c r="P90" s="73">
        <v>0.0</v>
      </c>
      <c r="Q90" s="73">
        <v>0.0</v>
      </c>
      <c r="R90" s="73">
        <v>0.0</v>
      </c>
      <c r="S90" s="73">
        <v>0.0</v>
      </c>
      <c r="T90" s="73">
        <v>0.0</v>
      </c>
      <c r="U90" s="73">
        <v>0.0</v>
      </c>
      <c r="V90" s="73">
        <v>0.0</v>
      </c>
      <c r="W90" s="73">
        <v>0.0</v>
      </c>
      <c r="X90" s="73">
        <v>0.0</v>
      </c>
      <c r="Y90" s="73">
        <v>1.0</v>
      </c>
      <c r="Z90" s="73">
        <v>0.0</v>
      </c>
      <c r="AA90" s="73">
        <v>0.0</v>
      </c>
      <c r="AB90" s="13">
        <f t="shared" si="20"/>
        <v>3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B91" si="21">SUM(E81:E90)</f>
        <v>4</v>
      </c>
      <c r="F91" s="13">
        <f t="shared" si="21"/>
        <v>1</v>
      </c>
      <c r="G91" s="13">
        <f t="shared" si="21"/>
        <v>4</v>
      </c>
      <c r="H91" s="13">
        <f t="shared" si="21"/>
        <v>6</v>
      </c>
      <c r="I91" s="13">
        <f t="shared" si="21"/>
        <v>2</v>
      </c>
      <c r="J91" s="13">
        <f t="shared" si="21"/>
        <v>11</v>
      </c>
      <c r="K91" s="13">
        <f t="shared" si="21"/>
        <v>22</v>
      </c>
      <c r="L91" s="13">
        <f t="shared" si="21"/>
        <v>10</v>
      </c>
      <c r="M91" s="13">
        <f t="shared" si="21"/>
        <v>17</v>
      </c>
      <c r="N91" s="13">
        <f t="shared" si="21"/>
        <v>8</v>
      </c>
      <c r="O91" s="13">
        <f t="shared" si="21"/>
        <v>3</v>
      </c>
      <c r="P91" s="13">
        <f t="shared" si="21"/>
        <v>2</v>
      </c>
      <c r="Q91" s="13">
        <f t="shared" si="21"/>
        <v>6</v>
      </c>
      <c r="R91" s="13">
        <f t="shared" si="21"/>
        <v>5</v>
      </c>
      <c r="S91" s="13">
        <f t="shared" si="21"/>
        <v>10</v>
      </c>
      <c r="T91" s="13">
        <f t="shared" si="21"/>
        <v>11</v>
      </c>
      <c r="U91" s="13">
        <f t="shared" si="21"/>
        <v>9</v>
      </c>
      <c r="V91" s="13">
        <f t="shared" si="21"/>
        <v>3</v>
      </c>
      <c r="W91" s="13">
        <f t="shared" si="21"/>
        <v>17</v>
      </c>
      <c r="X91" s="13">
        <f t="shared" si="21"/>
        <v>2</v>
      </c>
      <c r="Y91" s="13">
        <f t="shared" si="21"/>
        <v>23</v>
      </c>
      <c r="Z91" s="13">
        <f t="shared" si="21"/>
        <v>26</v>
      </c>
      <c r="AA91" s="13">
        <f t="shared" si="21"/>
        <v>9</v>
      </c>
      <c r="AB91" s="13">
        <f t="shared" si="21"/>
        <v>211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14.0</v>
      </c>
      <c r="F93" s="73">
        <v>4.0</v>
      </c>
      <c r="G93" s="73">
        <v>6.0</v>
      </c>
      <c r="H93" s="73">
        <v>1.0</v>
      </c>
      <c r="I93" s="73">
        <v>2.0</v>
      </c>
      <c r="J93" s="73">
        <v>2.0</v>
      </c>
      <c r="K93" s="73">
        <v>1.0</v>
      </c>
      <c r="L93" s="73">
        <v>1.0</v>
      </c>
      <c r="M93" s="73">
        <v>2.0</v>
      </c>
      <c r="N93" s="73">
        <v>4.0</v>
      </c>
      <c r="O93" s="73">
        <v>7.0</v>
      </c>
      <c r="P93" s="73">
        <v>3.0</v>
      </c>
      <c r="Q93" s="73">
        <v>4.0</v>
      </c>
      <c r="R93" s="73">
        <v>5.0</v>
      </c>
      <c r="S93" s="73">
        <v>1.0</v>
      </c>
      <c r="T93" s="73">
        <v>1.0</v>
      </c>
      <c r="U93" s="73">
        <v>0.0</v>
      </c>
      <c r="V93" s="73">
        <v>2.0</v>
      </c>
      <c r="W93" s="73">
        <v>4.0</v>
      </c>
      <c r="X93" s="73">
        <v>0.0</v>
      </c>
      <c r="Y93" s="73">
        <v>2.0</v>
      </c>
      <c r="Z93" s="73">
        <v>2.0</v>
      </c>
      <c r="AA93" s="73">
        <v>1.0</v>
      </c>
      <c r="AB93" s="13">
        <f t="shared" ref="AB93:AB102" si="22">SUM(E93:AA93)</f>
        <v>69</v>
      </c>
    </row>
    <row r="94" ht="12.75" customHeight="1">
      <c r="A94" s="30" t="s">
        <v>39</v>
      </c>
      <c r="B94" s="49"/>
      <c r="C94" s="50" t="s">
        <v>82</v>
      </c>
      <c r="D94" s="56"/>
      <c r="E94" s="73">
        <v>19.0</v>
      </c>
      <c r="F94" s="73">
        <v>9.0</v>
      </c>
      <c r="G94" s="73">
        <v>8.0</v>
      </c>
      <c r="H94" s="73">
        <v>3.0</v>
      </c>
      <c r="I94" s="73">
        <v>3.0</v>
      </c>
      <c r="J94" s="73">
        <v>3.0</v>
      </c>
      <c r="K94" s="73">
        <v>4.0</v>
      </c>
      <c r="L94" s="73">
        <v>1.0</v>
      </c>
      <c r="M94" s="73">
        <v>1.0</v>
      </c>
      <c r="N94" s="73">
        <v>5.0</v>
      </c>
      <c r="O94" s="73">
        <v>1.0</v>
      </c>
      <c r="P94" s="73">
        <v>7.0</v>
      </c>
      <c r="Q94" s="73">
        <v>7.0</v>
      </c>
      <c r="R94" s="73">
        <v>15.0</v>
      </c>
      <c r="S94" s="73">
        <v>3.0</v>
      </c>
      <c r="T94" s="73">
        <v>1.0</v>
      </c>
      <c r="U94" s="73">
        <v>2.0</v>
      </c>
      <c r="V94" s="73">
        <v>3.0</v>
      </c>
      <c r="W94" s="73">
        <v>4.0</v>
      </c>
      <c r="X94" s="73">
        <v>2.0</v>
      </c>
      <c r="Y94" s="73">
        <v>3.0</v>
      </c>
      <c r="Z94" s="73">
        <v>0.0</v>
      </c>
      <c r="AA94" s="73">
        <v>3.0</v>
      </c>
      <c r="AB94" s="13">
        <f t="shared" si="22"/>
        <v>107</v>
      </c>
    </row>
    <row r="95" ht="12.75" customHeight="1">
      <c r="A95" s="18"/>
      <c r="B95" s="49"/>
      <c r="C95" s="50" t="s">
        <v>83</v>
      </c>
      <c r="D95" s="56"/>
      <c r="E95" s="73">
        <v>0.0</v>
      </c>
      <c r="F95" s="73">
        <v>0.0</v>
      </c>
      <c r="G95" s="73">
        <v>1.0</v>
      </c>
      <c r="H95" s="73">
        <v>1.0</v>
      </c>
      <c r="I95" s="73">
        <v>0.0</v>
      </c>
      <c r="J95" s="73">
        <v>1.0</v>
      </c>
      <c r="K95" s="73">
        <v>0.0</v>
      </c>
      <c r="L95" s="73">
        <v>0.0</v>
      </c>
      <c r="M95" s="73">
        <v>1.0</v>
      </c>
      <c r="N95" s="73">
        <v>0.0</v>
      </c>
      <c r="O95" s="73">
        <v>0.0</v>
      </c>
      <c r="P95" s="73">
        <v>0.0</v>
      </c>
      <c r="Q95" s="73">
        <v>3.0</v>
      </c>
      <c r="R95" s="73">
        <v>0.0</v>
      </c>
      <c r="S95" s="73">
        <v>0.0</v>
      </c>
      <c r="T95" s="73">
        <v>1.0</v>
      </c>
      <c r="U95" s="73">
        <v>0.0</v>
      </c>
      <c r="V95" s="73">
        <v>0.0</v>
      </c>
      <c r="W95" s="73">
        <v>0.0</v>
      </c>
      <c r="X95" s="73">
        <v>0.0</v>
      </c>
      <c r="Y95" s="73">
        <v>0.0</v>
      </c>
      <c r="Z95" s="73">
        <v>3.0</v>
      </c>
      <c r="AA95" s="73">
        <v>0.0</v>
      </c>
      <c r="AB95" s="13">
        <f t="shared" si="22"/>
        <v>11</v>
      </c>
    </row>
    <row r="96" ht="12.75" customHeight="1">
      <c r="A96" s="18"/>
      <c r="B96" s="49"/>
      <c r="C96" s="50" t="s">
        <v>84</v>
      </c>
      <c r="D96" s="56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73">
        <v>0.0</v>
      </c>
      <c r="U96" s="73">
        <v>0.0</v>
      </c>
      <c r="V96" s="73">
        <v>1.0</v>
      </c>
      <c r="W96" s="73">
        <v>0.0</v>
      </c>
      <c r="X96" s="73">
        <v>0.0</v>
      </c>
      <c r="Y96" s="73">
        <v>0.0</v>
      </c>
      <c r="Z96" s="73">
        <v>0.0</v>
      </c>
      <c r="AA96" s="73">
        <v>0.0</v>
      </c>
      <c r="AB96" s="13">
        <f t="shared" si="22"/>
        <v>1</v>
      </c>
    </row>
    <row r="97" ht="12.75" customHeight="1">
      <c r="A97" s="18"/>
      <c r="B97" s="49"/>
      <c r="C97" s="50" t="s">
        <v>85</v>
      </c>
      <c r="D97" s="56"/>
      <c r="E97" s="73">
        <v>0.0</v>
      </c>
      <c r="F97" s="73">
        <v>0.0</v>
      </c>
      <c r="G97" s="73">
        <v>0.0</v>
      </c>
      <c r="H97" s="73">
        <v>0.0</v>
      </c>
      <c r="I97" s="73">
        <v>1.0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0.0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73">
        <v>0.0</v>
      </c>
      <c r="Y97" s="73">
        <v>0.0</v>
      </c>
      <c r="Z97" s="73">
        <v>0.0</v>
      </c>
      <c r="AA97" s="73">
        <v>0.0</v>
      </c>
      <c r="AB97" s="13">
        <f t="shared" si="22"/>
        <v>1</v>
      </c>
    </row>
    <row r="98" ht="12.75" customHeight="1">
      <c r="A98" s="18"/>
      <c r="B98" s="49"/>
      <c r="C98" s="50" t="s">
        <v>86</v>
      </c>
      <c r="D98" s="51"/>
      <c r="E98" s="73">
        <v>0.0</v>
      </c>
      <c r="F98" s="73">
        <v>0.0</v>
      </c>
      <c r="G98" s="73">
        <v>1.0</v>
      </c>
      <c r="H98" s="73">
        <v>1.0</v>
      </c>
      <c r="I98" s="73">
        <v>0.0</v>
      </c>
      <c r="J98" s="73">
        <v>0.0</v>
      </c>
      <c r="K98" s="73">
        <v>0.0</v>
      </c>
      <c r="L98" s="73">
        <v>0.0</v>
      </c>
      <c r="M98" s="73">
        <v>0.0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2.0</v>
      </c>
      <c r="W98" s="73">
        <v>1.0</v>
      </c>
      <c r="X98" s="73">
        <v>0.0</v>
      </c>
      <c r="Y98" s="73">
        <v>0.0</v>
      </c>
      <c r="Z98" s="73">
        <v>0.0</v>
      </c>
      <c r="AA98" s="73">
        <v>0.0</v>
      </c>
      <c r="AB98" s="13">
        <f t="shared" si="22"/>
        <v>5</v>
      </c>
    </row>
    <row r="99" ht="12.75" customHeight="1">
      <c r="A99" s="18"/>
      <c r="B99" s="49"/>
      <c r="C99" s="50" t="s">
        <v>87</v>
      </c>
      <c r="D99" s="51"/>
      <c r="E99" s="73">
        <v>1.0</v>
      </c>
      <c r="F99" s="73">
        <v>0.0</v>
      </c>
      <c r="G99" s="73">
        <v>0.0</v>
      </c>
      <c r="H99" s="73">
        <v>0.0</v>
      </c>
      <c r="I99" s="73">
        <v>1.0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1.0</v>
      </c>
      <c r="P99" s="73">
        <v>0.0</v>
      </c>
      <c r="Q99" s="73">
        <v>0.0</v>
      </c>
      <c r="R99" s="73">
        <v>0.0</v>
      </c>
      <c r="S99" s="73">
        <v>0.0</v>
      </c>
      <c r="T99" s="73">
        <v>1.0</v>
      </c>
      <c r="U99" s="73">
        <v>0.0</v>
      </c>
      <c r="V99" s="73">
        <v>0.0</v>
      </c>
      <c r="W99" s="73">
        <v>1.0</v>
      </c>
      <c r="X99" s="73">
        <v>0.0</v>
      </c>
      <c r="Y99" s="73">
        <v>0.0</v>
      </c>
      <c r="Z99" s="73">
        <v>0.0</v>
      </c>
      <c r="AA99" s="73">
        <v>0.0</v>
      </c>
      <c r="AB99" s="13">
        <f t="shared" si="22"/>
        <v>5</v>
      </c>
    </row>
    <row r="100" ht="12.75" customHeight="1">
      <c r="A100" s="18"/>
      <c r="B100" s="49"/>
      <c r="C100" s="50" t="s">
        <v>88</v>
      </c>
      <c r="D100" s="56"/>
      <c r="E100" s="73">
        <v>0.0</v>
      </c>
      <c r="F100" s="73">
        <v>0.0</v>
      </c>
      <c r="G100" s="73">
        <v>0.0</v>
      </c>
      <c r="H100" s="73">
        <v>0.0</v>
      </c>
      <c r="I100" s="73">
        <v>0.0</v>
      </c>
      <c r="J100" s="73">
        <v>1.0</v>
      </c>
      <c r="K100" s="73">
        <v>0.0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73">
        <v>0.0</v>
      </c>
      <c r="R100" s="73">
        <v>0.0</v>
      </c>
      <c r="S100" s="73">
        <v>0.0</v>
      </c>
      <c r="T100" s="73">
        <v>0.0</v>
      </c>
      <c r="U100" s="73">
        <v>0.0</v>
      </c>
      <c r="V100" s="73">
        <v>0.0</v>
      </c>
      <c r="W100" s="73">
        <v>0.0</v>
      </c>
      <c r="X100" s="73">
        <v>0.0</v>
      </c>
      <c r="Y100" s="73">
        <v>0.0</v>
      </c>
      <c r="Z100" s="73">
        <v>0.0</v>
      </c>
      <c r="AA100" s="73">
        <v>0.0</v>
      </c>
      <c r="AB100" s="13">
        <f t="shared" si="22"/>
        <v>1</v>
      </c>
    </row>
    <row r="101" ht="12.75" customHeight="1">
      <c r="A101" s="18"/>
      <c r="B101" s="49"/>
      <c r="C101" s="50" t="s">
        <v>89</v>
      </c>
      <c r="D101" s="56"/>
      <c r="E101" s="73">
        <v>1.0</v>
      </c>
      <c r="F101" s="73">
        <v>0.0</v>
      </c>
      <c r="G101" s="73">
        <v>0.0</v>
      </c>
      <c r="H101" s="73">
        <v>0.0</v>
      </c>
      <c r="I101" s="73">
        <v>0.0</v>
      </c>
      <c r="J101" s="73">
        <v>0.0</v>
      </c>
      <c r="K101" s="73">
        <v>0.0</v>
      </c>
      <c r="L101" s="73">
        <v>0.0</v>
      </c>
      <c r="M101" s="73">
        <v>0.0</v>
      </c>
      <c r="N101" s="73">
        <v>0.0</v>
      </c>
      <c r="O101" s="73">
        <v>0.0</v>
      </c>
      <c r="P101" s="73">
        <v>0.0</v>
      </c>
      <c r="Q101" s="73">
        <v>0.0</v>
      </c>
      <c r="R101" s="73">
        <v>0.0</v>
      </c>
      <c r="S101" s="73">
        <v>0.0</v>
      </c>
      <c r="T101" s="73">
        <v>0.0</v>
      </c>
      <c r="U101" s="73">
        <v>0.0</v>
      </c>
      <c r="V101" s="73">
        <v>0.0</v>
      </c>
      <c r="W101" s="73">
        <v>0.0</v>
      </c>
      <c r="X101" s="73">
        <v>0.0</v>
      </c>
      <c r="Y101" s="73">
        <v>0.0</v>
      </c>
      <c r="Z101" s="73">
        <v>0.0</v>
      </c>
      <c r="AA101" s="73">
        <v>0.0</v>
      </c>
      <c r="AB101" s="13">
        <f t="shared" si="22"/>
        <v>1</v>
      </c>
    </row>
    <row r="102" ht="12.75" customHeight="1">
      <c r="A102" s="18"/>
      <c r="B102" s="49"/>
      <c r="C102" s="50" t="s">
        <v>90</v>
      </c>
      <c r="D102" s="56"/>
      <c r="E102" s="73">
        <v>1.0</v>
      </c>
      <c r="F102" s="73">
        <v>0.0</v>
      </c>
      <c r="G102" s="73">
        <v>0.0</v>
      </c>
      <c r="H102" s="73">
        <v>1.0</v>
      </c>
      <c r="I102" s="73">
        <v>0.0</v>
      </c>
      <c r="J102" s="73">
        <v>0.0</v>
      </c>
      <c r="K102" s="73">
        <v>0.0</v>
      </c>
      <c r="L102" s="73">
        <v>0.0</v>
      </c>
      <c r="M102" s="73">
        <v>0.0</v>
      </c>
      <c r="N102" s="73">
        <v>0.0</v>
      </c>
      <c r="O102" s="73">
        <v>0.0</v>
      </c>
      <c r="P102" s="73">
        <v>0.0</v>
      </c>
      <c r="Q102" s="73">
        <v>1.0</v>
      </c>
      <c r="R102" s="73">
        <v>0.0</v>
      </c>
      <c r="S102" s="73">
        <v>0.0</v>
      </c>
      <c r="T102" s="73">
        <v>0.0</v>
      </c>
      <c r="U102" s="73">
        <v>0.0</v>
      </c>
      <c r="V102" s="73">
        <v>0.0</v>
      </c>
      <c r="W102" s="73">
        <v>0.0</v>
      </c>
      <c r="X102" s="73">
        <v>0.0</v>
      </c>
      <c r="Y102" s="73">
        <v>0.0</v>
      </c>
      <c r="Z102" s="73">
        <v>0.0</v>
      </c>
      <c r="AA102" s="73">
        <v>0.0</v>
      </c>
      <c r="AB102" s="13">
        <f t="shared" si="22"/>
        <v>3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B103" si="23">SUM(E93:E102)</f>
        <v>36</v>
      </c>
      <c r="F103" s="13">
        <f t="shared" si="23"/>
        <v>13</v>
      </c>
      <c r="G103" s="13">
        <f t="shared" si="23"/>
        <v>16</v>
      </c>
      <c r="H103" s="13">
        <f t="shared" si="23"/>
        <v>7</v>
      </c>
      <c r="I103" s="13">
        <f t="shared" si="23"/>
        <v>7</v>
      </c>
      <c r="J103" s="13">
        <f t="shared" si="23"/>
        <v>7</v>
      </c>
      <c r="K103" s="13">
        <f t="shared" si="23"/>
        <v>5</v>
      </c>
      <c r="L103" s="13">
        <f t="shared" si="23"/>
        <v>2</v>
      </c>
      <c r="M103" s="13">
        <f t="shared" si="23"/>
        <v>4</v>
      </c>
      <c r="N103" s="13">
        <f t="shared" si="23"/>
        <v>9</v>
      </c>
      <c r="O103" s="13">
        <f t="shared" si="23"/>
        <v>9</v>
      </c>
      <c r="P103" s="13">
        <f t="shared" si="23"/>
        <v>10</v>
      </c>
      <c r="Q103" s="13">
        <f t="shared" si="23"/>
        <v>15</v>
      </c>
      <c r="R103" s="13">
        <f t="shared" si="23"/>
        <v>20</v>
      </c>
      <c r="S103" s="13">
        <f t="shared" si="23"/>
        <v>4</v>
      </c>
      <c r="T103" s="13">
        <f t="shared" si="23"/>
        <v>4</v>
      </c>
      <c r="U103" s="13">
        <f t="shared" si="23"/>
        <v>2</v>
      </c>
      <c r="V103" s="13">
        <f t="shared" si="23"/>
        <v>8</v>
      </c>
      <c r="W103" s="13">
        <f t="shared" si="23"/>
        <v>10</v>
      </c>
      <c r="X103" s="13">
        <f t="shared" si="23"/>
        <v>2</v>
      </c>
      <c r="Y103" s="13">
        <f t="shared" si="23"/>
        <v>5</v>
      </c>
      <c r="Z103" s="13">
        <f t="shared" si="23"/>
        <v>5</v>
      </c>
      <c r="AA103" s="13">
        <f t="shared" si="23"/>
        <v>4</v>
      </c>
      <c r="AB103" s="13">
        <f t="shared" si="23"/>
        <v>204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0.0</v>
      </c>
      <c r="F105" s="73">
        <v>2.0</v>
      </c>
      <c r="G105" s="73">
        <v>3.0</v>
      </c>
      <c r="H105" s="73">
        <v>0.0</v>
      </c>
      <c r="I105" s="73">
        <v>1.0</v>
      </c>
      <c r="J105" s="73">
        <v>2.0</v>
      </c>
      <c r="K105" s="73">
        <v>2.0</v>
      </c>
      <c r="L105" s="73">
        <v>2.0</v>
      </c>
      <c r="M105" s="73">
        <v>0.0</v>
      </c>
      <c r="N105" s="73">
        <v>1.0</v>
      </c>
      <c r="O105" s="73">
        <v>2.0</v>
      </c>
      <c r="P105" s="73">
        <v>0.0</v>
      </c>
      <c r="Q105" s="73">
        <v>3.0</v>
      </c>
      <c r="R105" s="73">
        <v>2.0</v>
      </c>
      <c r="S105" s="73">
        <v>1.0</v>
      </c>
      <c r="T105" s="73">
        <v>2.0</v>
      </c>
      <c r="U105" s="73">
        <v>0.0</v>
      </c>
      <c r="V105" s="73">
        <v>0.0</v>
      </c>
      <c r="W105" s="73">
        <v>0.0</v>
      </c>
      <c r="X105" s="73">
        <v>0.0</v>
      </c>
      <c r="Y105" s="73">
        <v>1.0</v>
      </c>
      <c r="Z105" s="73">
        <v>0.0</v>
      </c>
      <c r="AA105" s="73">
        <v>0.0</v>
      </c>
      <c r="AB105" s="13">
        <f t="shared" ref="AB105:AB114" si="24">SUM(E105:AA105)</f>
        <v>24</v>
      </c>
    </row>
    <row r="106" ht="12.75" customHeight="1">
      <c r="A106" s="30" t="s">
        <v>39</v>
      </c>
      <c r="B106" s="49"/>
      <c r="C106" s="50" t="s">
        <v>93</v>
      </c>
      <c r="D106" s="51"/>
      <c r="E106" s="73">
        <v>1.0</v>
      </c>
      <c r="F106" s="73">
        <v>0.0</v>
      </c>
      <c r="G106" s="73">
        <v>0.0</v>
      </c>
      <c r="H106" s="73">
        <v>1.0</v>
      </c>
      <c r="I106" s="73">
        <v>0.0</v>
      </c>
      <c r="J106" s="73">
        <v>1.0</v>
      </c>
      <c r="K106" s="73">
        <v>0.0</v>
      </c>
      <c r="L106" s="73">
        <v>0.0</v>
      </c>
      <c r="M106" s="73">
        <v>0.0</v>
      </c>
      <c r="N106" s="73">
        <v>0.0</v>
      </c>
      <c r="O106" s="73">
        <v>0.0</v>
      </c>
      <c r="P106" s="73">
        <v>0.0</v>
      </c>
      <c r="Q106" s="73">
        <v>3.0</v>
      </c>
      <c r="R106" s="73">
        <v>0.0</v>
      </c>
      <c r="S106" s="73">
        <v>1.0</v>
      </c>
      <c r="T106" s="73">
        <v>0.0</v>
      </c>
      <c r="U106" s="73">
        <v>0.0</v>
      </c>
      <c r="V106" s="73">
        <v>0.0</v>
      </c>
      <c r="W106" s="73">
        <v>0.0</v>
      </c>
      <c r="X106" s="73">
        <v>0.0</v>
      </c>
      <c r="Y106" s="73">
        <v>1.0</v>
      </c>
      <c r="Z106" s="73">
        <v>1.0</v>
      </c>
      <c r="AA106" s="73">
        <v>0.0</v>
      </c>
      <c r="AB106" s="13">
        <f t="shared" si="24"/>
        <v>9</v>
      </c>
    </row>
    <row r="107" ht="12.75" customHeight="1">
      <c r="A107" s="18"/>
      <c r="B107" s="49"/>
      <c r="C107" s="50" t="s">
        <v>94</v>
      </c>
      <c r="D107" s="51"/>
      <c r="E107" s="73">
        <v>0.0</v>
      </c>
      <c r="F107" s="73">
        <v>0.0</v>
      </c>
      <c r="G107" s="73">
        <v>0.0</v>
      </c>
      <c r="H107" s="73">
        <v>1.0</v>
      </c>
      <c r="I107" s="73">
        <v>0.0</v>
      </c>
      <c r="J107" s="73">
        <v>0.0</v>
      </c>
      <c r="K107" s="73">
        <v>0.0</v>
      </c>
      <c r="L107" s="73">
        <v>1.0</v>
      </c>
      <c r="M107" s="73">
        <v>0.0</v>
      </c>
      <c r="N107" s="73">
        <v>0.0</v>
      </c>
      <c r="O107" s="73">
        <v>0.0</v>
      </c>
      <c r="P107" s="73">
        <v>0.0</v>
      </c>
      <c r="Q107" s="73">
        <v>0.0</v>
      </c>
      <c r="R107" s="73">
        <v>0.0</v>
      </c>
      <c r="S107" s="73">
        <v>0.0</v>
      </c>
      <c r="T107" s="73">
        <v>1.0</v>
      </c>
      <c r="U107" s="73">
        <v>0.0</v>
      </c>
      <c r="V107" s="73">
        <v>0.0</v>
      </c>
      <c r="W107" s="73">
        <v>0.0</v>
      </c>
      <c r="X107" s="73">
        <v>0.0</v>
      </c>
      <c r="Y107" s="73">
        <v>1.0</v>
      </c>
      <c r="Z107" s="73">
        <v>0.0</v>
      </c>
      <c r="AA107" s="73">
        <v>0.0</v>
      </c>
      <c r="AB107" s="13">
        <f t="shared" si="24"/>
        <v>4</v>
      </c>
    </row>
    <row r="108" ht="12.75" customHeight="1">
      <c r="A108" s="18"/>
      <c r="B108" s="57"/>
      <c r="C108" s="58"/>
      <c r="D108" s="59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3">
        <f t="shared" si="24"/>
        <v>0</v>
      </c>
    </row>
    <row r="109" ht="12.75" customHeight="1">
      <c r="A109" s="18"/>
      <c r="B109" s="57"/>
      <c r="C109" s="58"/>
      <c r="D109" s="59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3">
        <f t="shared" si="24"/>
        <v>0</v>
      </c>
    </row>
    <row r="110" ht="12.75" customHeight="1">
      <c r="A110" s="18"/>
      <c r="B110" s="57"/>
      <c r="C110" s="58"/>
      <c r="D110" s="59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3">
        <f t="shared" si="24"/>
        <v>0</v>
      </c>
    </row>
    <row r="111" ht="12.75" customHeight="1">
      <c r="A111" s="18"/>
      <c r="B111" s="57"/>
      <c r="C111" s="58"/>
      <c r="D111" s="59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3">
        <f t="shared" si="24"/>
        <v>0</v>
      </c>
    </row>
    <row r="112" ht="12.75" customHeight="1">
      <c r="A112" s="18"/>
      <c r="B112" s="57"/>
      <c r="C112" s="58"/>
      <c r="D112" s="59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3">
        <f t="shared" si="24"/>
        <v>0</v>
      </c>
    </row>
    <row r="113" ht="12.75" customHeight="1">
      <c r="A113" s="18"/>
      <c r="B113" s="57"/>
      <c r="C113" s="58"/>
      <c r="D113" s="59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3">
        <f t="shared" si="24"/>
        <v>0</v>
      </c>
    </row>
    <row r="114" ht="12.75" customHeight="1">
      <c r="A114" s="18"/>
      <c r="B114" s="57"/>
      <c r="C114" s="58"/>
      <c r="D114" s="59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3">
        <f t="shared" si="24"/>
        <v>0</v>
      </c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B115" si="25">SUM(E105:E114)</f>
        <v>1</v>
      </c>
      <c r="F115" s="13">
        <f t="shared" si="25"/>
        <v>2</v>
      </c>
      <c r="G115" s="13">
        <f t="shared" si="25"/>
        <v>3</v>
      </c>
      <c r="H115" s="13">
        <f t="shared" si="25"/>
        <v>2</v>
      </c>
      <c r="I115" s="13">
        <f t="shared" si="25"/>
        <v>1</v>
      </c>
      <c r="J115" s="13">
        <f t="shared" si="25"/>
        <v>3</v>
      </c>
      <c r="K115" s="13">
        <f t="shared" si="25"/>
        <v>2</v>
      </c>
      <c r="L115" s="13">
        <f t="shared" si="25"/>
        <v>3</v>
      </c>
      <c r="M115" s="13">
        <f t="shared" si="25"/>
        <v>0</v>
      </c>
      <c r="N115" s="13">
        <f t="shared" si="25"/>
        <v>1</v>
      </c>
      <c r="O115" s="13">
        <f t="shared" si="25"/>
        <v>2</v>
      </c>
      <c r="P115" s="13">
        <f t="shared" si="25"/>
        <v>0</v>
      </c>
      <c r="Q115" s="13">
        <f t="shared" si="25"/>
        <v>6</v>
      </c>
      <c r="R115" s="13">
        <f t="shared" si="25"/>
        <v>2</v>
      </c>
      <c r="S115" s="13">
        <f t="shared" si="25"/>
        <v>2</v>
      </c>
      <c r="T115" s="13">
        <f t="shared" si="25"/>
        <v>3</v>
      </c>
      <c r="U115" s="13">
        <f t="shared" si="25"/>
        <v>0</v>
      </c>
      <c r="V115" s="13">
        <f t="shared" si="25"/>
        <v>0</v>
      </c>
      <c r="W115" s="13">
        <f t="shared" si="25"/>
        <v>0</v>
      </c>
      <c r="X115" s="13">
        <f t="shared" si="25"/>
        <v>0</v>
      </c>
      <c r="Y115" s="13">
        <f t="shared" si="25"/>
        <v>3</v>
      </c>
      <c r="Z115" s="13">
        <f t="shared" si="25"/>
        <v>1</v>
      </c>
      <c r="AA115" s="13">
        <f t="shared" si="25"/>
        <v>0</v>
      </c>
      <c r="AB115" s="13">
        <f t="shared" si="25"/>
        <v>37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0.0</v>
      </c>
      <c r="F117" s="73">
        <v>2.0</v>
      </c>
      <c r="G117" s="73">
        <v>0.0</v>
      </c>
      <c r="H117" s="73">
        <v>1.0</v>
      </c>
      <c r="I117" s="73">
        <v>1.0</v>
      </c>
      <c r="J117" s="73">
        <v>1.0</v>
      </c>
      <c r="K117" s="73">
        <v>0.0</v>
      </c>
      <c r="L117" s="73">
        <v>0.0</v>
      </c>
      <c r="M117" s="73">
        <v>0.0</v>
      </c>
      <c r="N117" s="73">
        <v>0.0</v>
      </c>
      <c r="O117" s="73">
        <v>0.0</v>
      </c>
      <c r="P117" s="73">
        <v>0.0</v>
      </c>
      <c r="Q117" s="73">
        <v>0.0</v>
      </c>
      <c r="R117" s="73">
        <v>1.0</v>
      </c>
      <c r="S117" s="73">
        <v>1.0</v>
      </c>
      <c r="T117" s="73">
        <v>0.0</v>
      </c>
      <c r="U117" s="73">
        <v>0.0</v>
      </c>
      <c r="V117" s="73">
        <v>0.0</v>
      </c>
      <c r="W117" s="73">
        <v>1.0</v>
      </c>
      <c r="X117" s="73">
        <v>0.0</v>
      </c>
      <c r="Y117" s="73">
        <v>1.0</v>
      </c>
      <c r="Z117" s="73">
        <v>0.0</v>
      </c>
      <c r="AA117" s="73">
        <v>1.0</v>
      </c>
      <c r="AB117" s="13">
        <f t="shared" ref="AB117:AB126" si="26">SUM(E117:AA117)</f>
        <v>10</v>
      </c>
    </row>
    <row r="118" ht="12.75" customHeight="1">
      <c r="A118" s="30" t="s">
        <v>39</v>
      </c>
      <c r="B118" s="49"/>
      <c r="C118" s="50" t="s">
        <v>97</v>
      </c>
      <c r="D118" s="51"/>
      <c r="E118" s="73">
        <v>0.0</v>
      </c>
      <c r="F118" s="73">
        <v>1.0</v>
      </c>
      <c r="G118" s="73">
        <v>0.0</v>
      </c>
      <c r="H118" s="73">
        <v>0.0</v>
      </c>
      <c r="I118" s="73">
        <v>0.0</v>
      </c>
      <c r="J118" s="73">
        <v>0.0</v>
      </c>
      <c r="K118" s="73">
        <v>0.0</v>
      </c>
      <c r="L118" s="73">
        <v>0.0</v>
      </c>
      <c r="M118" s="73">
        <v>0.0</v>
      </c>
      <c r="N118" s="73">
        <v>1.0</v>
      </c>
      <c r="O118" s="73">
        <v>0.0</v>
      </c>
      <c r="P118" s="73">
        <v>1.0</v>
      </c>
      <c r="Q118" s="73">
        <v>0.0</v>
      </c>
      <c r="R118" s="73">
        <v>0.0</v>
      </c>
      <c r="S118" s="73">
        <v>0.0</v>
      </c>
      <c r="T118" s="73">
        <v>0.0</v>
      </c>
      <c r="U118" s="73">
        <v>0.0</v>
      </c>
      <c r="V118" s="73">
        <v>0.0</v>
      </c>
      <c r="W118" s="73">
        <v>2.0</v>
      </c>
      <c r="X118" s="73">
        <v>0.0</v>
      </c>
      <c r="Y118" s="73">
        <v>0.0</v>
      </c>
      <c r="Z118" s="73">
        <v>0.0</v>
      </c>
      <c r="AA118" s="73">
        <v>0.0</v>
      </c>
      <c r="AB118" s="13">
        <f t="shared" si="26"/>
        <v>5</v>
      </c>
    </row>
    <row r="119" ht="12.75" customHeight="1">
      <c r="A119" s="18"/>
      <c r="B119" s="49"/>
      <c r="C119" s="50" t="s">
        <v>98</v>
      </c>
      <c r="D119" s="51"/>
      <c r="E119" s="73">
        <v>1.0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1.0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0.0</v>
      </c>
      <c r="Z119" s="73">
        <v>0.0</v>
      </c>
      <c r="AA119" s="73">
        <v>0.0</v>
      </c>
      <c r="AB119" s="13">
        <f t="shared" si="26"/>
        <v>2</v>
      </c>
    </row>
    <row r="120" ht="12.75" customHeight="1">
      <c r="A120" s="18"/>
      <c r="B120" s="49"/>
      <c r="C120" s="50" t="s">
        <v>99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1.0</v>
      </c>
      <c r="K120" s="73">
        <v>0.0</v>
      </c>
      <c r="L120" s="73">
        <v>0.0</v>
      </c>
      <c r="M120" s="73">
        <v>0.0</v>
      </c>
      <c r="N120" s="73">
        <v>1.0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73">
        <v>0.0</v>
      </c>
      <c r="AB120" s="13">
        <f t="shared" si="26"/>
        <v>2</v>
      </c>
    </row>
    <row r="121" ht="12.75" customHeight="1">
      <c r="A121" s="18"/>
      <c r="B121" s="49"/>
      <c r="C121" s="50" t="s">
        <v>100</v>
      </c>
      <c r="D121" s="51"/>
      <c r="E121" s="73">
        <v>0.0</v>
      </c>
      <c r="F121" s="73">
        <v>0.0</v>
      </c>
      <c r="G121" s="73">
        <v>0.0</v>
      </c>
      <c r="H121" s="73">
        <v>0.0</v>
      </c>
      <c r="I121" s="73">
        <v>0.0</v>
      </c>
      <c r="J121" s="73">
        <v>0.0</v>
      </c>
      <c r="K121" s="73">
        <v>0.0</v>
      </c>
      <c r="L121" s="73">
        <v>0.0</v>
      </c>
      <c r="M121" s="73">
        <v>0.0</v>
      </c>
      <c r="N121" s="73">
        <v>0.0</v>
      </c>
      <c r="O121" s="73">
        <v>0.0</v>
      </c>
      <c r="P121" s="73">
        <v>0.0</v>
      </c>
      <c r="Q121" s="73">
        <v>0.0</v>
      </c>
      <c r="R121" s="73">
        <v>0.0</v>
      </c>
      <c r="S121" s="73">
        <v>0.0</v>
      </c>
      <c r="T121" s="73">
        <v>0.0</v>
      </c>
      <c r="U121" s="73">
        <v>0.0</v>
      </c>
      <c r="V121" s="73">
        <v>0.0</v>
      </c>
      <c r="W121" s="73">
        <v>0.0</v>
      </c>
      <c r="X121" s="73">
        <v>0.0</v>
      </c>
      <c r="Y121" s="73">
        <v>0.0</v>
      </c>
      <c r="Z121" s="73">
        <v>0.0</v>
      </c>
      <c r="AA121" s="73">
        <v>0.0</v>
      </c>
      <c r="AB121" s="13">
        <f t="shared" si="26"/>
        <v>0</v>
      </c>
    </row>
    <row r="122" ht="12.75" customHeight="1">
      <c r="A122" s="18"/>
      <c r="B122" s="49"/>
      <c r="C122" s="50" t="s">
        <v>101</v>
      </c>
      <c r="D122" s="51"/>
      <c r="E122" s="73">
        <v>0.0</v>
      </c>
      <c r="F122" s="73">
        <v>0.0</v>
      </c>
      <c r="G122" s="73">
        <v>0.0</v>
      </c>
      <c r="H122" s="73">
        <v>1.0</v>
      </c>
      <c r="I122" s="73">
        <v>0.0</v>
      </c>
      <c r="J122" s="73">
        <v>0.0</v>
      </c>
      <c r="K122" s="73">
        <v>0.0</v>
      </c>
      <c r="L122" s="73">
        <v>0.0</v>
      </c>
      <c r="M122" s="73">
        <v>0.0</v>
      </c>
      <c r="N122" s="73">
        <v>0.0</v>
      </c>
      <c r="O122" s="73">
        <v>0.0</v>
      </c>
      <c r="P122" s="73">
        <v>0.0</v>
      </c>
      <c r="Q122" s="73">
        <v>0.0</v>
      </c>
      <c r="R122" s="73">
        <v>0.0</v>
      </c>
      <c r="S122" s="73">
        <v>0.0</v>
      </c>
      <c r="T122" s="73">
        <v>0.0</v>
      </c>
      <c r="U122" s="73">
        <v>0.0</v>
      </c>
      <c r="V122" s="73">
        <v>0.0</v>
      </c>
      <c r="W122" s="73">
        <v>0.0</v>
      </c>
      <c r="X122" s="73">
        <v>0.0</v>
      </c>
      <c r="Y122" s="73">
        <v>0.0</v>
      </c>
      <c r="Z122" s="73">
        <v>0.0</v>
      </c>
      <c r="AA122" s="73">
        <v>0.0</v>
      </c>
      <c r="AB122" s="13">
        <f t="shared" si="26"/>
        <v>1</v>
      </c>
    </row>
    <row r="123" ht="12.75" customHeight="1">
      <c r="A123" s="18"/>
      <c r="B123" s="57"/>
      <c r="C123" s="58"/>
      <c r="D123" s="59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13">
        <f t="shared" si="26"/>
        <v>0</v>
      </c>
    </row>
    <row r="124" ht="12.75" customHeight="1">
      <c r="A124" s="18"/>
      <c r="B124" s="57"/>
      <c r="C124" s="58"/>
      <c r="D124" s="59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13">
        <f t="shared" si="26"/>
        <v>0</v>
      </c>
    </row>
    <row r="125" ht="12.75" customHeight="1">
      <c r="A125" s="18"/>
      <c r="B125" s="57"/>
      <c r="C125" s="58"/>
      <c r="D125" s="59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13">
        <f t="shared" si="26"/>
        <v>0</v>
      </c>
    </row>
    <row r="126" ht="12.75" customHeight="1">
      <c r="A126" s="18"/>
      <c r="B126" s="57"/>
      <c r="C126" s="58"/>
      <c r="D126" s="59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13">
        <f t="shared" si="26"/>
        <v>0</v>
      </c>
    </row>
    <row r="127" ht="12.75" customHeight="1">
      <c r="A127" s="19" t="s">
        <v>15</v>
      </c>
      <c r="B127" s="47" t="s">
        <v>49</v>
      </c>
      <c r="C127" s="15"/>
      <c r="D127" s="16"/>
      <c r="E127" s="13">
        <f t="shared" ref="E127:AB127" si="27">SUM(E117:E126)</f>
        <v>1</v>
      </c>
      <c r="F127" s="13">
        <f t="shared" si="27"/>
        <v>3</v>
      </c>
      <c r="G127" s="13">
        <f t="shared" si="27"/>
        <v>0</v>
      </c>
      <c r="H127" s="13">
        <f t="shared" si="27"/>
        <v>2</v>
      </c>
      <c r="I127" s="13">
        <f t="shared" si="27"/>
        <v>1</v>
      </c>
      <c r="J127" s="13">
        <f t="shared" si="27"/>
        <v>2</v>
      </c>
      <c r="K127" s="13">
        <f t="shared" si="27"/>
        <v>0</v>
      </c>
      <c r="L127" s="13">
        <f t="shared" si="27"/>
        <v>0</v>
      </c>
      <c r="M127" s="13">
        <f t="shared" si="27"/>
        <v>0</v>
      </c>
      <c r="N127" s="13">
        <f t="shared" si="27"/>
        <v>3</v>
      </c>
      <c r="O127" s="13">
        <f t="shared" si="27"/>
        <v>0</v>
      </c>
      <c r="P127" s="13">
        <f t="shared" si="27"/>
        <v>1</v>
      </c>
      <c r="Q127" s="13">
        <f t="shared" si="27"/>
        <v>0</v>
      </c>
      <c r="R127" s="13">
        <f t="shared" si="27"/>
        <v>1</v>
      </c>
      <c r="S127" s="13">
        <f t="shared" si="27"/>
        <v>1</v>
      </c>
      <c r="T127" s="13">
        <f t="shared" si="27"/>
        <v>0</v>
      </c>
      <c r="U127" s="13">
        <f t="shared" si="27"/>
        <v>0</v>
      </c>
      <c r="V127" s="13">
        <f t="shared" si="27"/>
        <v>0</v>
      </c>
      <c r="W127" s="13">
        <f t="shared" si="27"/>
        <v>3</v>
      </c>
      <c r="X127" s="13">
        <f t="shared" si="27"/>
        <v>0</v>
      </c>
      <c r="Y127" s="13">
        <f t="shared" si="27"/>
        <v>1</v>
      </c>
      <c r="Z127" s="13">
        <f t="shared" si="27"/>
        <v>0</v>
      </c>
      <c r="AA127" s="13">
        <f t="shared" si="27"/>
        <v>1</v>
      </c>
      <c r="AB127" s="13">
        <f t="shared" si="27"/>
        <v>20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0.0</v>
      </c>
      <c r="F129" s="73">
        <v>1.0</v>
      </c>
      <c r="G129" s="73">
        <v>0.0</v>
      </c>
      <c r="H129" s="73">
        <v>0.0</v>
      </c>
      <c r="I129" s="73">
        <v>2.0</v>
      </c>
      <c r="J129" s="73">
        <v>1.0</v>
      </c>
      <c r="K129" s="73">
        <v>0.0</v>
      </c>
      <c r="L129" s="73">
        <v>0.0</v>
      </c>
      <c r="M129" s="73">
        <v>0.0</v>
      </c>
      <c r="N129" s="73">
        <v>0.0</v>
      </c>
      <c r="O129" s="73">
        <v>0.0</v>
      </c>
      <c r="P129" s="73">
        <v>0.0</v>
      </c>
      <c r="Q129" s="73">
        <v>5.0</v>
      </c>
      <c r="R129" s="73">
        <v>3.0</v>
      </c>
      <c r="S129" s="73">
        <v>0.0</v>
      </c>
      <c r="T129" s="73">
        <v>1.0</v>
      </c>
      <c r="U129" s="73">
        <v>0.0</v>
      </c>
      <c r="V129" s="73">
        <v>0.0</v>
      </c>
      <c r="W129" s="73">
        <v>0.0</v>
      </c>
      <c r="X129" s="73">
        <v>0.0</v>
      </c>
      <c r="Y129" s="73">
        <v>0.0</v>
      </c>
      <c r="Z129" s="73">
        <v>0.0</v>
      </c>
      <c r="AA129" s="73">
        <v>0.0</v>
      </c>
      <c r="AB129" s="13">
        <f t="shared" ref="AB129:AB138" si="28">SUM(E129:AA129)</f>
        <v>13</v>
      </c>
    </row>
    <row r="130" ht="12.75" customHeight="1">
      <c r="A130" s="30" t="s">
        <v>39</v>
      </c>
      <c r="B130" s="49"/>
      <c r="C130" s="50" t="s">
        <v>104</v>
      </c>
      <c r="D130" s="51"/>
      <c r="E130" s="73">
        <v>0.0</v>
      </c>
      <c r="F130" s="73">
        <v>1.0</v>
      </c>
      <c r="G130" s="73">
        <v>0.0</v>
      </c>
      <c r="H130" s="73">
        <v>0.0</v>
      </c>
      <c r="I130" s="73">
        <v>0.0</v>
      </c>
      <c r="J130" s="73">
        <v>1.0</v>
      </c>
      <c r="K130" s="73">
        <v>0.0</v>
      </c>
      <c r="L130" s="73">
        <v>0.0</v>
      </c>
      <c r="M130" s="73">
        <v>0.0</v>
      </c>
      <c r="N130" s="73">
        <v>6.0</v>
      </c>
      <c r="O130" s="73">
        <v>1.0</v>
      </c>
      <c r="P130" s="73">
        <v>1.0</v>
      </c>
      <c r="Q130" s="73">
        <v>1.0</v>
      </c>
      <c r="R130" s="73">
        <v>1.0</v>
      </c>
      <c r="S130" s="73">
        <v>0.0</v>
      </c>
      <c r="T130" s="73">
        <v>0.0</v>
      </c>
      <c r="U130" s="73">
        <v>1.0</v>
      </c>
      <c r="V130" s="73">
        <v>0.0</v>
      </c>
      <c r="W130" s="73">
        <v>0.0</v>
      </c>
      <c r="X130" s="73">
        <v>1.0</v>
      </c>
      <c r="Y130" s="73">
        <v>0.0</v>
      </c>
      <c r="Z130" s="73">
        <v>0.0</v>
      </c>
      <c r="AA130" s="73">
        <v>1.0</v>
      </c>
      <c r="AB130" s="13">
        <f t="shared" si="28"/>
        <v>15</v>
      </c>
    </row>
    <row r="131" ht="12.75" customHeight="1">
      <c r="A131" s="18"/>
      <c r="B131" s="49"/>
      <c r="C131" s="50" t="s">
        <v>105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0.0</v>
      </c>
      <c r="N131" s="73">
        <v>0.0</v>
      </c>
      <c r="O131" s="73">
        <v>0.0</v>
      </c>
      <c r="P131" s="73">
        <v>0.0</v>
      </c>
      <c r="Q131" s="73">
        <v>0.0</v>
      </c>
      <c r="R131" s="73">
        <v>0.0</v>
      </c>
      <c r="S131" s="73">
        <v>0.0</v>
      </c>
      <c r="T131" s="73">
        <v>0.0</v>
      </c>
      <c r="U131" s="73">
        <v>0.0</v>
      </c>
      <c r="V131" s="73">
        <v>0.0</v>
      </c>
      <c r="W131" s="73">
        <v>0.0</v>
      </c>
      <c r="X131" s="73">
        <v>0.0</v>
      </c>
      <c r="Y131" s="73">
        <v>0.0</v>
      </c>
      <c r="Z131" s="73">
        <v>0.0</v>
      </c>
      <c r="AA131" s="73">
        <v>0.0</v>
      </c>
      <c r="AB131" s="13">
        <f t="shared" si="28"/>
        <v>0</v>
      </c>
    </row>
    <row r="132" ht="12.75" customHeight="1">
      <c r="A132" s="18"/>
      <c r="B132" s="49"/>
      <c r="C132" s="50" t="s">
        <v>106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0.0</v>
      </c>
      <c r="V132" s="73">
        <v>0.0</v>
      </c>
      <c r="W132" s="73">
        <v>0.0</v>
      </c>
      <c r="X132" s="73">
        <v>0.0</v>
      </c>
      <c r="Y132" s="73">
        <v>0.0</v>
      </c>
      <c r="Z132" s="73">
        <v>0.0</v>
      </c>
      <c r="AA132" s="73">
        <v>0.0</v>
      </c>
      <c r="AB132" s="13">
        <f t="shared" si="28"/>
        <v>0</v>
      </c>
    </row>
    <row r="133" ht="12.75" customHeight="1">
      <c r="A133" s="18"/>
      <c r="B133" s="49"/>
      <c r="C133" s="50" t="s">
        <v>107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1.0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13">
        <f t="shared" si="28"/>
        <v>1</v>
      </c>
    </row>
    <row r="134" ht="12.75" customHeight="1">
      <c r="A134" s="18"/>
      <c r="B134" s="49"/>
      <c r="C134" s="50" t="s">
        <v>108</v>
      </c>
      <c r="D134" s="51"/>
      <c r="E134" s="73">
        <v>0.0</v>
      </c>
      <c r="F134" s="73">
        <v>0.0</v>
      </c>
      <c r="G134" s="73">
        <v>3.0</v>
      </c>
      <c r="H134" s="73">
        <v>0.0</v>
      </c>
      <c r="I134" s="73">
        <v>0.0</v>
      </c>
      <c r="J134" s="73">
        <v>0.0</v>
      </c>
      <c r="K134" s="73">
        <v>1.0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0.0</v>
      </c>
      <c r="Y134" s="73">
        <v>0.0</v>
      </c>
      <c r="Z134" s="73">
        <v>0.0</v>
      </c>
      <c r="AA134" s="73">
        <v>0.0</v>
      </c>
      <c r="AB134" s="13">
        <f t="shared" si="28"/>
        <v>4</v>
      </c>
    </row>
    <row r="135" ht="12.75" customHeight="1">
      <c r="A135" s="18"/>
      <c r="B135" s="49"/>
      <c r="C135" s="50" t="s">
        <v>109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1.0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0.0</v>
      </c>
      <c r="AA135" s="73">
        <v>0.0</v>
      </c>
      <c r="AB135" s="13">
        <f t="shared" si="28"/>
        <v>1</v>
      </c>
    </row>
    <row r="136" ht="12.75" customHeight="1">
      <c r="A136" s="18"/>
      <c r="B136" s="49"/>
      <c r="C136" s="50" t="s">
        <v>110</v>
      </c>
      <c r="D136" s="51"/>
      <c r="E136" s="73">
        <v>0.0</v>
      </c>
      <c r="F136" s="73">
        <v>0.0</v>
      </c>
      <c r="G136" s="73">
        <v>0.0</v>
      </c>
      <c r="H136" s="73">
        <v>0.0</v>
      </c>
      <c r="I136" s="73">
        <v>0.0</v>
      </c>
      <c r="J136" s="73">
        <v>0.0</v>
      </c>
      <c r="K136" s="73">
        <v>0.0</v>
      </c>
      <c r="L136" s="73">
        <v>0.0</v>
      </c>
      <c r="M136" s="73">
        <v>0.0</v>
      </c>
      <c r="N136" s="73">
        <v>0.0</v>
      </c>
      <c r="O136" s="73">
        <v>0.0</v>
      </c>
      <c r="P136" s="73">
        <v>0.0</v>
      </c>
      <c r="Q136" s="73">
        <v>0.0</v>
      </c>
      <c r="R136" s="73">
        <v>0.0</v>
      </c>
      <c r="S136" s="73">
        <v>0.0</v>
      </c>
      <c r="T136" s="73">
        <v>0.0</v>
      </c>
      <c r="U136" s="73">
        <v>0.0</v>
      </c>
      <c r="V136" s="73">
        <v>0.0</v>
      </c>
      <c r="W136" s="73">
        <v>0.0</v>
      </c>
      <c r="X136" s="73">
        <v>0.0</v>
      </c>
      <c r="Y136" s="73">
        <v>0.0</v>
      </c>
      <c r="Z136" s="73">
        <v>0.0</v>
      </c>
      <c r="AA136" s="73">
        <v>0.0</v>
      </c>
      <c r="AB136" s="13">
        <f t="shared" si="28"/>
        <v>0</v>
      </c>
    </row>
    <row r="137" ht="12.75" customHeight="1">
      <c r="A137" s="18"/>
      <c r="B137" s="49"/>
      <c r="C137" s="50" t="s">
        <v>111</v>
      </c>
      <c r="D137" s="51"/>
      <c r="E137" s="73">
        <v>0.0</v>
      </c>
      <c r="F137" s="73">
        <v>0.0</v>
      </c>
      <c r="G137" s="73">
        <v>0.0</v>
      </c>
      <c r="H137" s="73">
        <v>0.0</v>
      </c>
      <c r="I137" s="73">
        <v>0.0</v>
      </c>
      <c r="J137" s="73">
        <v>0.0</v>
      </c>
      <c r="K137" s="73">
        <v>0.0</v>
      </c>
      <c r="L137" s="73">
        <v>0.0</v>
      </c>
      <c r="M137" s="73">
        <v>0.0</v>
      </c>
      <c r="N137" s="73">
        <v>0.0</v>
      </c>
      <c r="O137" s="73">
        <v>0.0</v>
      </c>
      <c r="P137" s="73">
        <v>0.0</v>
      </c>
      <c r="Q137" s="73">
        <v>0.0</v>
      </c>
      <c r="R137" s="73">
        <v>0.0</v>
      </c>
      <c r="S137" s="73">
        <v>0.0</v>
      </c>
      <c r="T137" s="73">
        <v>0.0</v>
      </c>
      <c r="U137" s="73">
        <v>0.0</v>
      </c>
      <c r="V137" s="73">
        <v>0.0</v>
      </c>
      <c r="W137" s="73">
        <v>0.0</v>
      </c>
      <c r="X137" s="73">
        <v>0.0</v>
      </c>
      <c r="Y137" s="73">
        <v>0.0</v>
      </c>
      <c r="Z137" s="73">
        <v>0.0</v>
      </c>
      <c r="AA137" s="73">
        <v>0.0</v>
      </c>
      <c r="AB137" s="13">
        <f t="shared" si="28"/>
        <v>0</v>
      </c>
    </row>
    <row r="138" ht="12.75" customHeight="1">
      <c r="A138" s="18"/>
      <c r="B138" s="49"/>
      <c r="C138" s="50" t="s">
        <v>112</v>
      </c>
      <c r="D138" s="51"/>
      <c r="E138" s="73">
        <v>0.0</v>
      </c>
      <c r="F138" s="73">
        <v>0.0</v>
      </c>
      <c r="G138" s="73">
        <v>0.0</v>
      </c>
      <c r="H138" s="73">
        <v>0.0</v>
      </c>
      <c r="I138" s="73">
        <v>0.0</v>
      </c>
      <c r="J138" s="73">
        <v>0.0</v>
      </c>
      <c r="K138" s="73">
        <v>0.0</v>
      </c>
      <c r="L138" s="73">
        <v>0.0</v>
      </c>
      <c r="M138" s="73">
        <v>0.0</v>
      </c>
      <c r="N138" s="73">
        <v>0.0</v>
      </c>
      <c r="O138" s="73">
        <v>0.0</v>
      </c>
      <c r="P138" s="73">
        <v>0.0</v>
      </c>
      <c r="Q138" s="73">
        <v>0.0</v>
      </c>
      <c r="R138" s="73">
        <v>0.0</v>
      </c>
      <c r="S138" s="73">
        <v>0.0</v>
      </c>
      <c r="T138" s="73">
        <v>0.0</v>
      </c>
      <c r="U138" s="73">
        <v>0.0</v>
      </c>
      <c r="V138" s="73">
        <v>0.0</v>
      </c>
      <c r="W138" s="73">
        <v>0.0</v>
      </c>
      <c r="X138" s="73">
        <v>0.0</v>
      </c>
      <c r="Y138" s="73">
        <v>0.0</v>
      </c>
      <c r="Z138" s="73">
        <v>0.0</v>
      </c>
      <c r="AA138" s="73">
        <v>0.0</v>
      </c>
      <c r="AB138" s="13">
        <f t="shared" si="28"/>
        <v>0</v>
      </c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B139" si="29">SUM(E129:E138)</f>
        <v>0</v>
      </c>
      <c r="F139" s="13">
        <f t="shared" si="29"/>
        <v>2</v>
      </c>
      <c r="G139" s="13">
        <f t="shared" si="29"/>
        <v>3</v>
      </c>
      <c r="H139" s="13">
        <f t="shared" si="29"/>
        <v>0</v>
      </c>
      <c r="I139" s="13">
        <f t="shared" si="29"/>
        <v>2</v>
      </c>
      <c r="J139" s="13">
        <f t="shared" si="29"/>
        <v>2</v>
      </c>
      <c r="K139" s="13">
        <f t="shared" si="29"/>
        <v>2</v>
      </c>
      <c r="L139" s="13">
        <f t="shared" si="29"/>
        <v>0</v>
      </c>
      <c r="M139" s="13">
        <f t="shared" si="29"/>
        <v>0</v>
      </c>
      <c r="N139" s="13">
        <f t="shared" si="29"/>
        <v>6</v>
      </c>
      <c r="O139" s="13">
        <f t="shared" si="29"/>
        <v>1</v>
      </c>
      <c r="P139" s="13">
        <f t="shared" si="29"/>
        <v>1</v>
      </c>
      <c r="Q139" s="13">
        <f t="shared" si="29"/>
        <v>6</v>
      </c>
      <c r="R139" s="13">
        <f t="shared" si="29"/>
        <v>4</v>
      </c>
      <c r="S139" s="13">
        <f t="shared" si="29"/>
        <v>0</v>
      </c>
      <c r="T139" s="13">
        <f t="shared" si="29"/>
        <v>1</v>
      </c>
      <c r="U139" s="13">
        <f t="shared" si="29"/>
        <v>1</v>
      </c>
      <c r="V139" s="13">
        <f t="shared" si="29"/>
        <v>1</v>
      </c>
      <c r="W139" s="13">
        <f t="shared" si="29"/>
        <v>0</v>
      </c>
      <c r="X139" s="13">
        <f t="shared" si="29"/>
        <v>1</v>
      </c>
      <c r="Y139" s="13">
        <f t="shared" si="29"/>
        <v>0</v>
      </c>
      <c r="Z139" s="13">
        <f t="shared" si="29"/>
        <v>0</v>
      </c>
      <c r="AA139" s="13">
        <f t="shared" si="29"/>
        <v>1</v>
      </c>
      <c r="AB139" s="13">
        <f t="shared" si="29"/>
        <v>34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2.0</v>
      </c>
      <c r="G141" s="73">
        <v>0.0</v>
      </c>
      <c r="H141" s="73">
        <v>0.0</v>
      </c>
      <c r="I141" s="73">
        <v>1.0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3.0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1.0</v>
      </c>
      <c r="Y141" s="73">
        <v>0.0</v>
      </c>
      <c r="Z141" s="73">
        <v>0.0</v>
      </c>
      <c r="AA141" s="73">
        <v>0.0</v>
      </c>
      <c r="AB141" s="13">
        <f t="shared" ref="AB141:AB150" si="30">SUM(E141:AA141)</f>
        <v>7</v>
      </c>
    </row>
    <row r="142" ht="12.75" customHeight="1">
      <c r="A142" s="30" t="s">
        <v>39</v>
      </c>
      <c r="B142" s="49"/>
      <c r="C142" s="50" t="s">
        <v>115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1.0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73">
        <v>0.0</v>
      </c>
      <c r="AB142" s="13">
        <f t="shared" si="30"/>
        <v>1</v>
      </c>
    </row>
    <row r="143" ht="12.75" customHeight="1">
      <c r="A143" s="18"/>
      <c r="B143" s="49"/>
      <c r="C143" s="50" t="s">
        <v>116</v>
      </c>
      <c r="D143" s="51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73">
        <v>0.0</v>
      </c>
      <c r="W143" s="73">
        <v>0.0</v>
      </c>
      <c r="X143" s="73">
        <v>0.0</v>
      </c>
      <c r="Y143" s="73">
        <v>0.0</v>
      </c>
      <c r="Z143" s="73">
        <v>0.0</v>
      </c>
      <c r="AA143" s="73">
        <v>0.0</v>
      </c>
      <c r="AB143" s="13">
        <f t="shared" si="30"/>
        <v>0</v>
      </c>
    </row>
    <row r="144" ht="12.75" customHeight="1">
      <c r="A144" s="18"/>
      <c r="B144" s="49"/>
      <c r="C144" s="50" t="s">
        <v>117</v>
      </c>
      <c r="D144" s="51"/>
      <c r="E144" s="73">
        <v>0.0</v>
      </c>
      <c r="F144" s="73">
        <v>0.0</v>
      </c>
      <c r="G144" s="73">
        <v>0.0</v>
      </c>
      <c r="H144" s="73">
        <v>0.0</v>
      </c>
      <c r="I144" s="73">
        <v>0.0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73">
        <v>0.0</v>
      </c>
      <c r="W144" s="73">
        <v>0.0</v>
      </c>
      <c r="X144" s="73">
        <v>0.0</v>
      </c>
      <c r="Y144" s="73">
        <v>0.0</v>
      </c>
      <c r="Z144" s="73">
        <v>0.0</v>
      </c>
      <c r="AA144" s="73">
        <v>0.0</v>
      </c>
      <c r="AB144" s="13">
        <f t="shared" si="30"/>
        <v>0</v>
      </c>
    </row>
    <row r="145" ht="12.75" customHeight="1">
      <c r="A145" s="18"/>
      <c r="B145" s="57"/>
      <c r="C145" s="58"/>
      <c r="D145" s="5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3">
        <f t="shared" si="30"/>
        <v>0</v>
      </c>
    </row>
    <row r="146" ht="12.75" customHeight="1">
      <c r="A146" s="18"/>
      <c r="B146" s="57"/>
      <c r="C146" s="58"/>
      <c r="D146" s="5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3">
        <f t="shared" si="30"/>
        <v>0</v>
      </c>
    </row>
    <row r="147" ht="12.75" customHeight="1">
      <c r="A147" s="18"/>
      <c r="B147" s="57"/>
      <c r="C147" s="58"/>
      <c r="D147" s="5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3">
        <f t="shared" si="30"/>
        <v>0</v>
      </c>
    </row>
    <row r="148" ht="12.75" customHeight="1">
      <c r="A148" s="18"/>
      <c r="B148" s="57"/>
      <c r="C148" s="58"/>
      <c r="D148" s="5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3">
        <f t="shared" si="30"/>
        <v>0</v>
      </c>
    </row>
    <row r="149" ht="12.75" customHeight="1">
      <c r="A149" s="18"/>
      <c r="B149" s="57"/>
      <c r="C149" s="58"/>
      <c r="D149" s="5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3">
        <f t="shared" si="30"/>
        <v>0</v>
      </c>
    </row>
    <row r="150" ht="12.75" customHeight="1">
      <c r="A150" s="18"/>
      <c r="B150" s="57"/>
      <c r="C150" s="58"/>
      <c r="D150" s="5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3">
        <f t="shared" si="30"/>
        <v>0</v>
      </c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B151" si="31">SUM(E141:E150)</f>
        <v>0</v>
      </c>
      <c r="F151" s="13">
        <f t="shared" si="31"/>
        <v>2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4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1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8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13"/>
    </row>
    <row r="153" ht="12.75" customHeight="1">
      <c r="A153" s="30" t="s">
        <v>37</v>
      </c>
      <c r="B153" s="17" t="s">
        <v>118</v>
      </c>
      <c r="C153" s="62" t="s">
        <v>119</v>
      </c>
      <c r="D153" s="23"/>
      <c r="E153" s="73">
        <v>1.0</v>
      </c>
      <c r="F153" s="73">
        <v>0.0</v>
      </c>
      <c r="G153" s="73">
        <v>0.0</v>
      </c>
      <c r="H153" s="73">
        <v>0.0</v>
      </c>
      <c r="I153" s="73">
        <v>1.0</v>
      </c>
      <c r="J153" s="73">
        <v>1.0</v>
      </c>
      <c r="K153" s="73">
        <v>0.0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73">
        <v>0.0</v>
      </c>
      <c r="U153" s="73">
        <v>0.0</v>
      </c>
      <c r="V153" s="73">
        <v>1.0</v>
      </c>
      <c r="W153" s="73">
        <v>0.0</v>
      </c>
      <c r="X153" s="73">
        <v>0.0</v>
      </c>
      <c r="Y153" s="73">
        <v>1.0</v>
      </c>
      <c r="Z153" s="73">
        <v>0.0</v>
      </c>
      <c r="AA153" s="73">
        <v>0.0</v>
      </c>
      <c r="AB153" s="13">
        <f t="shared" ref="AB153:AB162" si="32">SUM(E153:AA153)</f>
        <v>5</v>
      </c>
    </row>
    <row r="154" ht="12.75" customHeight="1">
      <c r="A154" s="63" t="s">
        <v>39</v>
      </c>
      <c r="B154" s="49"/>
      <c r="C154" s="50" t="s">
        <v>120</v>
      </c>
      <c r="D154" s="51"/>
      <c r="E154" s="80">
        <v>1.0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0.0</v>
      </c>
      <c r="M154" s="73">
        <v>0.0</v>
      </c>
      <c r="N154" s="73">
        <v>0.0</v>
      </c>
      <c r="O154" s="73">
        <v>0.0</v>
      </c>
      <c r="P154" s="73">
        <v>0.0</v>
      </c>
      <c r="Q154" s="73">
        <v>0.0</v>
      </c>
      <c r="R154" s="73">
        <v>1.0</v>
      </c>
      <c r="S154" s="73">
        <v>0.0</v>
      </c>
      <c r="T154" s="73">
        <v>0.0</v>
      </c>
      <c r="U154" s="73">
        <v>0.0</v>
      </c>
      <c r="V154" s="73">
        <v>0.0</v>
      </c>
      <c r="W154" s="73">
        <v>0.0</v>
      </c>
      <c r="X154" s="73">
        <v>0.0</v>
      </c>
      <c r="Y154" s="73">
        <v>0.0</v>
      </c>
      <c r="Z154" s="73">
        <v>0.0</v>
      </c>
      <c r="AA154" s="73">
        <v>0.0</v>
      </c>
      <c r="AB154" s="13">
        <f t="shared" si="32"/>
        <v>2</v>
      </c>
    </row>
    <row r="155" ht="12.75" customHeight="1">
      <c r="A155" s="18"/>
      <c r="B155" s="49"/>
      <c r="C155" s="50" t="s">
        <v>121</v>
      </c>
      <c r="D155" s="51"/>
      <c r="E155" s="80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73">
        <v>0.0</v>
      </c>
      <c r="AA155" s="73">
        <v>0.0</v>
      </c>
      <c r="AB155" s="13">
        <f t="shared" si="32"/>
        <v>0</v>
      </c>
    </row>
    <row r="156" ht="12.75" customHeight="1">
      <c r="A156" s="18"/>
      <c r="B156" s="49"/>
      <c r="C156" s="50" t="s">
        <v>122</v>
      </c>
      <c r="D156" s="51"/>
      <c r="E156" s="80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1.0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13">
        <f t="shared" si="32"/>
        <v>1</v>
      </c>
    </row>
    <row r="157" ht="12.75" customHeight="1">
      <c r="A157" s="18"/>
      <c r="B157" s="49"/>
      <c r="C157" s="50" t="s">
        <v>123</v>
      </c>
      <c r="D157" s="51"/>
      <c r="E157" s="80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13">
        <f t="shared" si="32"/>
        <v>0</v>
      </c>
    </row>
    <row r="158" ht="12.75" customHeight="1">
      <c r="A158" s="18"/>
      <c r="B158" s="49"/>
      <c r="C158" s="50" t="s">
        <v>124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0.0</v>
      </c>
      <c r="Z158" s="73">
        <v>0.0</v>
      </c>
      <c r="AA158" s="73">
        <v>0.0</v>
      </c>
      <c r="AB158" s="13">
        <f t="shared" si="32"/>
        <v>0</v>
      </c>
    </row>
    <row r="159" ht="12.75" customHeight="1">
      <c r="A159" s="18"/>
      <c r="B159" s="49"/>
      <c r="C159" s="50" t="s">
        <v>125</v>
      </c>
      <c r="D159" s="51"/>
      <c r="E159" s="80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73">
        <v>0.0</v>
      </c>
      <c r="AB159" s="13">
        <f t="shared" si="32"/>
        <v>0</v>
      </c>
    </row>
    <row r="160" ht="12.75" customHeight="1">
      <c r="A160" s="18"/>
      <c r="B160" s="49"/>
      <c r="C160" s="50" t="s">
        <v>126</v>
      </c>
      <c r="D160" s="51"/>
      <c r="E160" s="80">
        <v>0.0</v>
      </c>
      <c r="F160" s="73">
        <v>0.0</v>
      </c>
      <c r="G160" s="73">
        <v>0.0</v>
      </c>
      <c r="H160" s="73">
        <v>0.0</v>
      </c>
      <c r="I160" s="73">
        <v>0.0</v>
      </c>
      <c r="J160" s="73">
        <v>0.0</v>
      </c>
      <c r="K160" s="73">
        <v>0.0</v>
      </c>
      <c r="L160" s="73">
        <v>0.0</v>
      </c>
      <c r="M160" s="73">
        <v>1.0</v>
      </c>
      <c r="N160" s="73">
        <v>0.0</v>
      </c>
      <c r="O160" s="73">
        <v>0.0</v>
      </c>
      <c r="P160" s="73">
        <v>0.0</v>
      </c>
      <c r="Q160" s="73">
        <v>0.0</v>
      </c>
      <c r="R160" s="73">
        <v>0.0</v>
      </c>
      <c r="S160" s="73">
        <v>0.0</v>
      </c>
      <c r="T160" s="73">
        <v>0.0</v>
      </c>
      <c r="U160" s="73">
        <v>0.0</v>
      </c>
      <c r="V160" s="73">
        <v>0.0</v>
      </c>
      <c r="W160" s="73">
        <v>0.0</v>
      </c>
      <c r="X160" s="73">
        <v>0.0</v>
      </c>
      <c r="Y160" s="73">
        <v>0.0</v>
      </c>
      <c r="Z160" s="73">
        <v>0.0</v>
      </c>
      <c r="AA160" s="73">
        <v>0.0</v>
      </c>
      <c r="AB160" s="13">
        <f t="shared" si="32"/>
        <v>1</v>
      </c>
    </row>
    <row r="161" ht="12.75" customHeight="1">
      <c r="A161" s="18"/>
      <c r="B161" s="57"/>
      <c r="C161" s="64"/>
      <c r="D161" s="59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3">
        <f t="shared" si="32"/>
        <v>0</v>
      </c>
    </row>
    <row r="162" ht="12.75" customHeight="1">
      <c r="A162" s="18"/>
      <c r="B162" s="57"/>
      <c r="C162" s="64"/>
      <c r="D162" s="59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3">
        <f t="shared" si="32"/>
        <v>0</v>
      </c>
    </row>
    <row r="163" ht="12.75" customHeight="1">
      <c r="A163" s="19" t="s">
        <v>15</v>
      </c>
      <c r="B163" s="65" t="s">
        <v>49</v>
      </c>
      <c r="C163" s="44"/>
      <c r="D163" s="28"/>
      <c r="E163" s="13">
        <f t="shared" ref="E163:AB163" si="33">SUM(E153:E162)</f>
        <v>2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1</v>
      </c>
      <c r="K163" s="13">
        <f t="shared" si="33"/>
        <v>1</v>
      </c>
      <c r="L163" s="13">
        <f t="shared" si="33"/>
        <v>0</v>
      </c>
      <c r="M163" s="13">
        <f t="shared" si="33"/>
        <v>1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1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1</v>
      </c>
      <c r="W163" s="13">
        <f t="shared" si="33"/>
        <v>0</v>
      </c>
      <c r="X163" s="13">
        <f t="shared" si="33"/>
        <v>0</v>
      </c>
      <c r="Y163" s="13">
        <f t="shared" si="33"/>
        <v>1</v>
      </c>
      <c r="Z163" s="13">
        <f t="shared" si="33"/>
        <v>0</v>
      </c>
      <c r="AA163" s="13">
        <f t="shared" si="33"/>
        <v>0</v>
      </c>
      <c r="AB163" s="13">
        <f t="shared" si="33"/>
        <v>9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0.0</v>
      </c>
      <c r="F165" s="73">
        <v>1.0</v>
      </c>
      <c r="G165" s="73">
        <v>0.0</v>
      </c>
      <c r="H165" s="73">
        <v>1.0</v>
      </c>
      <c r="I165" s="73">
        <v>0.0</v>
      </c>
      <c r="J165" s="73">
        <v>0.0</v>
      </c>
      <c r="K165" s="73">
        <v>0.0</v>
      </c>
      <c r="L165" s="73">
        <v>0.0</v>
      </c>
      <c r="M165" s="73">
        <v>0.0</v>
      </c>
      <c r="N165" s="73">
        <v>0.0</v>
      </c>
      <c r="O165" s="73">
        <v>0.0</v>
      </c>
      <c r="P165" s="73">
        <v>0.0</v>
      </c>
      <c r="Q165" s="73">
        <v>0.0</v>
      </c>
      <c r="R165" s="73">
        <v>2.0</v>
      </c>
      <c r="S165" s="73">
        <v>0.0</v>
      </c>
      <c r="T165" s="73">
        <v>1.0</v>
      </c>
      <c r="U165" s="73">
        <v>0.0</v>
      </c>
      <c r="V165" s="73">
        <v>0.0</v>
      </c>
      <c r="W165" s="73">
        <v>0.0</v>
      </c>
      <c r="X165" s="73">
        <v>0.0</v>
      </c>
      <c r="Y165" s="73">
        <v>0.0</v>
      </c>
      <c r="Z165" s="73">
        <v>0.0</v>
      </c>
      <c r="AA165" s="73">
        <v>1.0</v>
      </c>
      <c r="AB165" s="13">
        <f t="shared" ref="AB165:AB174" si="34">SUM(E165:AA165)</f>
        <v>6</v>
      </c>
    </row>
    <row r="166" ht="12.75" customHeight="1">
      <c r="A166" s="30" t="s">
        <v>39</v>
      </c>
      <c r="B166" s="49"/>
      <c r="C166" s="50" t="s">
        <v>129</v>
      </c>
      <c r="D166" s="51"/>
      <c r="E166" s="73">
        <v>0.0</v>
      </c>
      <c r="F166" s="73">
        <v>0.0</v>
      </c>
      <c r="G166" s="73">
        <v>0.0</v>
      </c>
      <c r="H166" s="73">
        <v>0.0</v>
      </c>
      <c r="I166" s="73">
        <v>0.0</v>
      </c>
      <c r="J166" s="73">
        <v>1.0</v>
      </c>
      <c r="K166" s="73">
        <v>0.0</v>
      </c>
      <c r="L166" s="73">
        <v>0.0</v>
      </c>
      <c r="M166" s="73">
        <v>0.0</v>
      </c>
      <c r="N166" s="73">
        <v>0.0</v>
      </c>
      <c r="O166" s="73">
        <v>0.0</v>
      </c>
      <c r="P166" s="73">
        <v>0.0</v>
      </c>
      <c r="Q166" s="73">
        <v>0.0</v>
      </c>
      <c r="R166" s="73">
        <v>0.0</v>
      </c>
      <c r="S166" s="73">
        <v>0.0</v>
      </c>
      <c r="T166" s="73">
        <v>0.0</v>
      </c>
      <c r="U166" s="73">
        <v>0.0</v>
      </c>
      <c r="V166" s="73">
        <v>0.0</v>
      </c>
      <c r="W166" s="73">
        <v>0.0</v>
      </c>
      <c r="X166" s="73">
        <v>0.0</v>
      </c>
      <c r="Y166" s="73">
        <v>1.0</v>
      </c>
      <c r="Z166" s="73">
        <v>0.0</v>
      </c>
      <c r="AA166" s="73">
        <v>0.0</v>
      </c>
      <c r="AB166" s="13">
        <f t="shared" si="34"/>
        <v>2</v>
      </c>
    </row>
    <row r="167" ht="12.75" customHeight="1">
      <c r="A167" s="18"/>
      <c r="B167" s="57"/>
      <c r="C167" s="58"/>
      <c r="D167" s="5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3">
        <f t="shared" si="34"/>
        <v>0</v>
      </c>
    </row>
    <row r="168" ht="12.75" customHeight="1">
      <c r="A168" s="18"/>
      <c r="B168" s="57"/>
      <c r="C168" s="58"/>
      <c r="D168" s="5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3">
        <f t="shared" si="34"/>
        <v>0</v>
      </c>
    </row>
    <row r="169" ht="12.75" customHeight="1">
      <c r="A169" s="18"/>
      <c r="B169" s="57"/>
      <c r="C169" s="58"/>
      <c r="D169" s="5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3">
        <f t="shared" si="34"/>
        <v>0</v>
      </c>
    </row>
    <row r="170" ht="12.75" customHeight="1">
      <c r="A170" s="18"/>
      <c r="B170" s="57"/>
      <c r="C170" s="58"/>
      <c r="D170" s="5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3">
        <f t="shared" si="34"/>
        <v>0</v>
      </c>
    </row>
    <row r="171" ht="12.75" customHeight="1">
      <c r="A171" s="18"/>
      <c r="B171" s="57"/>
      <c r="C171" s="58"/>
      <c r="D171" s="5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3">
        <f t="shared" si="34"/>
        <v>0</v>
      </c>
    </row>
    <row r="172" ht="12.75" customHeight="1">
      <c r="A172" s="18"/>
      <c r="B172" s="57"/>
      <c r="C172" s="58"/>
      <c r="D172" s="5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3">
        <f t="shared" si="34"/>
        <v>0</v>
      </c>
    </row>
    <row r="173" ht="12.75" customHeight="1">
      <c r="A173" s="18"/>
      <c r="B173" s="57"/>
      <c r="C173" s="58"/>
      <c r="D173" s="5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3">
        <f t="shared" si="34"/>
        <v>0</v>
      </c>
    </row>
    <row r="174" ht="12.75" customHeight="1">
      <c r="A174" s="18"/>
      <c r="B174" s="57"/>
      <c r="C174" s="58"/>
      <c r="D174" s="5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3">
        <f t="shared" si="34"/>
        <v>0</v>
      </c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B175" si="35">SUM(E165:E174)</f>
        <v>0</v>
      </c>
      <c r="F175" s="13">
        <f t="shared" si="35"/>
        <v>1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1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2</v>
      </c>
      <c r="S175" s="13">
        <f t="shared" si="35"/>
        <v>0</v>
      </c>
      <c r="T175" s="13">
        <f t="shared" si="35"/>
        <v>1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1</v>
      </c>
      <c r="Z175" s="13">
        <f t="shared" si="35"/>
        <v>0</v>
      </c>
      <c r="AA175" s="13">
        <f t="shared" si="35"/>
        <v>1</v>
      </c>
      <c r="AB175" s="13">
        <f t="shared" si="35"/>
        <v>8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2.0</v>
      </c>
      <c r="F177" s="73">
        <v>0.0</v>
      </c>
      <c r="G177" s="73">
        <v>1.0</v>
      </c>
      <c r="H177" s="73">
        <v>0.0</v>
      </c>
      <c r="I177" s="73">
        <v>1.0</v>
      </c>
      <c r="J177" s="73">
        <v>0.0</v>
      </c>
      <c r="K177" s="73">
        <v>0.0</v>
      </c>
      <c r="L177" s="73">
        <v>0.0</v>
      </c>
      <c r="M177" s="73">
        <v>0.0</v>
      </c>
      <c r="N177" s="73">
        <v>1.0</v>
      </c>
      <c r="O177" s="73">
        <v>0.0</v>
      </c>
      <c r="P177" s="73">
        <v>0.0</v>
      </c>
      <c r="Q177" s="73">
        <v>0.0</v>
      </c>
      <c r="R177" s="73">
        <v>2.0</v>
      </c>
      <c r="S177" s="73">
        <v>0.0</v>
      </c>
      <c r="T177" s="73">
        <v>0.0</v>
      </c>
      <c r="U177" s="73">
        <v>0.0</v>
      </c>
      <c r="V177" s="73">
        <v>0.0</v>
      </c>
      <c r="W177" s="73">
        <v>1.0</v>
      </c>
      <c r="X177" s="73">
        <v>0.0</v>
      </c>
      <c r="Y177" s="73">
        <v>0.0</v>
      </c>
      <c r="Z177" s="73">
        <v>0.0</v>
      </c>
      <c r="AA177" s="73">
        <v>0.0</v>
      </c>
      <c r="AB177" s="13">
        <f t="shared" ref="AB177:AB186" si="36">SUM(E177:AA177)</f>
        <v>8</v>
      </c>
    </row>
    <row r="178" ht="12.75" customHeight="1">
      <c r="A178" s="30" t="s">
        <v>39</v>
      </c>
      <c r="B178" s="49"/>
      <c r="C178" s="50" t="s">
        <v>132</v>
      </c>
      <c r="D178" s="51"/>
      <c r="E178" s="73">
        <v>0.0</v>
      </c>
      <c r="F178" s="73">
        <v>1.0</v>
      </c>
      <c r="G178" s="73">
        <v>0.0</v>
      </c>
      <c r="H178" s="73">
        <v>0.0</v>
      </c>
      <c r="I178" s="73">
        <v>0.0</v>
      </c>
      <c r="J178" s="73">
        <v>0.0</v>
      </c>
      <c r="K178" s="73">
        <v>0.0</v>
      </c>
      <c r="L178" s="73">
        <v>1.0</v>
      </c>
      <c r="M178" s="73">
        <v>0.0</v>
      </c>
      <c r="N178" s="73">
        <v>0.0</v>
      </c>
      <c r="O178" s="73">
        <v>0.0</v>
      </c>
      <c r="P178" s="73">
        <v>1.0</v>
      </c>
      <c r="Q178" s="73">
        <v>0.0</v>
      </c>
      <c r="R178" s="73">
        <v>0.0</v>
      </c>
      <c r="S178" s="73">
        <v>0.0</v>
      </c>
      <c r="T178" s="73">
        <v>0.0</v>
      </c>
      <c r="U178" s="73">
        <v>1.0</v>
      </c>
      <c r="V178" s="73">
        <v>0.0</v>
      </c>
      <c r="W178" s="73">
        <v>0.0</v>
      </c>
      <c r="X178" s="73">
        <v>0.0</v>
      </c>
      <c r="Y178" s="73">
        <v>0.0</v>
      </c>
      <c r="Z178" s="73">
        <v>0.0</v>
      </c>
      <c r="AA178" s="73">
        <v>0.0</v>
      </c>
      <c r="AB178" s="13">
        <f t="shared" si="36"/>
        <v>4</v>
      </c>
    </row>
    <row r="179" ht="12.75" customHeight="1">
      <c r="A179" s="18"/>
      <c r="B179" s="49"/>
      <c r="C179" s="50" t="s">
        <v>133</v>
      </c>
      <c r="D179" s="51"/>
      <c r="E179" s="73">
        <v>1.0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0.0</v>
      </c>
      <c r="R179" s="73">
        <v>0.0</v>
      </c>
      <c r="S179" s="73">
        <v>1.0</v>
      </c>
      <c r="T179" s="73">
        <v>1.0</v>
      </c>
      <c r="U179" s="73">
        <v>1.0</v>
      </c>
      <c r="V179" s="73">
        <v>0.0</v>
      </c>
      <c r="W179" s="73">
        <v>0.0</v>
      </c>
      <c r="X179" s="73">
        <v>0.0</v>
      </c>
      <c r="Y179" s="73">
        <v>1.0</v>
      </c>
      <c r="Z179" s="73">
        <v>0.0</v>
      </c>
      <c r="AA179" s="73">
        <v>0.0</v>
      </c>
      <c r="AB179" s="13">
        <f t="shared" si="36"/>
        <v>5</v>
      </c>
    </row>
    <row r="180" ht="12.75" customHeight="1">
      <c r="A180" s="18"/>
      <c r="B180" s="49"/>
      <c r="C180" s="50" t="s">
        <v>134</v>
      </c>
      <c r="D180" s="51"/>
      <c r="E180" s="73">
        <v>0.0</v>
      </c>
      <c r="F180" s="73">
        <v>0.0</v>
      </c>
      <c r="G180" s="73">
        <v>1.0</v>
      </c>
      <c r="H180" s="73">
        <v>0.0</v>
      </c>
      <c r="I180" s="73">
        <v>0.0</v>
      </c>
      <c r="J180" s="73">
        <v>0.0</v>
      </c>
      <c r="K180" s="73">
        <v>0.0</v>
      </c>
      <c r="L180" s="73">
        <v>0.0</v>
      </c>
      <c r="M180" s="73">
        <v>0.0</v>
      </c>
      <c r="N180" s="73">
        <v>0.0</v>
      </c>
      <c r="O180" s="73">
        <v>0.0</v>
      </c>
      <c r="P180" s="73">
        <v>1.0</v>
      </c>
      <c r="Q180" s="73">
        <v>1.0</v>
      </c>
      <c r="R180" s="73">
        <v>0.0</v>
      </c>
      <c r="S180" s="73">
        <v>0.0</v>
      </c>
      <c r="T180" s="73">
        <v>0.0</v>
      </c>
      <c r="U180" s="73">
        <v>0.0</v>
      </c>
      <c r="V180" s="73">
        <v>0.0</v>
      </c>
      <c r="W180" s="73">
        <v>0.0</v>
      </c>
      <c r="X180" s="73">
        <v>0.0</v>
      </c>
      <c r="Y180" s="73">
        <v>0.0</v>
      </c>
      <c r="Z180" s="73">
        <v>1.0</v>
      </c>
      <c r="AA180" s="73">
        <v>0.0</v>
      </c>
      <c r="AB180" s="13">
        <f t="shared" si="36"/>
        <v>4</v>
      </c>
    </row>
    <row r="181" ht="12.75" customHeight="1">
      <c r="A181" s="18"/>
      <c r="B181" s="49"/>
      <c r="C181" s="50" t="s">
        <v>135</v>
      </c>
      <c r="D181" s="51"/>
      <c r="E181" s="73">
        <v>0.0</v>
      </c>
      <c r="F181" s="73">
        <v>1.0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1.0</v>
      </c>
      <c r="U181" s="73">
        <v>0.0</v>
      </c>
      <c r="V181" s="73">
        <v>0.0</v>
      </c>
      <c r="W181" s="73">
        <v>0.0</v>
      </c>
      <c r="X181" s="73">
        <v>0.0</v>
      </c>
      <c r="Y181" s="73">
        <v>0.0</v>
      </c>
      <c r="Z181" s="73">
        <v>0.0</v>
      </c>
      <c r="AA181" s="73">
        <v>0.0</v>
      </c>
      <c r="AB181" s="13">
        <f t="shared" si="36"/>
        <v>2</v>
      </c>
    </row>
    <row r="182" ht="12.75" customHeight="1">
      <c r="A182" s="18"/>
      <c r="B182" s="49"/>
      <c r="C182" s="50" t="s">
        <v>136</v>
      </c>
      <c r="D182" s="51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73">
        <v>0.0</v>
      </c>
      <c r="T182" s="73">
        <v>2.0</v>
      </c>
      <c r="U182" s="73">
        <v>0.0</v>
      </c>
      <c r="V182" s="73">
        <v>0.0</v>
      </c>
      <c r="W182" s="73">
        <v>0.0</v>
      </c>
      <c r="X182" s="73">
        <v>0.0</v>
      </c>
      <c r="Y182" s="73">
        <v>2.0</v>
      </c>
      <c r="Z182" s="73">
        <v>0.0</v>
      </c>
      <c r="AA182" s="73">
        <v>0.0</v>
      </c>
      <c r="AB182" s="13">
        <f t="shared" si="36"/>
        <v>4</v>
      </c>
    </row>
    <row r="183" ht="12.75" customHeight="1">
      <c r="A183" s="18"/>
      <c r="B183" s="49"/>
      <c r="C183" s="50" t="s">
        <v>137</v>
      </c>
      <c r="D183" s="51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1.0</v>
      </c>
      <c r="P183" s="73">
        <v>0.0</v>
      </c>
      <c r="Q183" s="73">
        <v>0.0</v>
      </c>
      <c r="R183" s="73">
        <v>0.0</v>
      </c>
      <c r="S183" s="73">
        <v>0.0</v>
      </c>
      <c r="T183" s="73">
        <v>0.0</v>
      </c>
      <c r="U183" s="73">
        <v>0.0</v>
      </c>
      <c r="V183" s="73">
        <v>0.0</v>
      </c>
      <c r="W183" s="73">
        <v>0.0</v>
      </c>
      <c r="X183" s="73">
        <v>0.0</v>
      </c>
      <c r="Y183" s="73">
        <v>0.0</v>
      </c>
      <c r="Z183" s="73">
        <v>0.0</v>
      </c>
      <c r="AA183" s="73">
        <v>0.0</v>
      </c>
      <c r="AB183" s="13">
        <f t="shared" si="36"/>
        <v>1</v>
      </c>
    </row>
    <row r="184" ht="12.75" customHeight="1">
      <c r="A184" s="18"/>
      <c r="B184" s="49"/>
      <c r="C184" s="50" t="s">
        <v>138</v>
      </c>
      <c r="D184" s="51"/>
      <c r="E184" s="73">
        <v>0.0</v>
      </c>
      <c r="F184" s="73">
        <v>0.0</v>
      </c>
      <c r="G184" s="73">
        <v>0.0</v>
      </c>
      <c r="H184" s="73">
        <v>0.0</v>
      </c>
      <c r="I184" s="73">
        <v>0.0</v>
      </c>
      <c r="J184" s="73">
        <v>0.0</v>
      </c>
      <c r="K184" s="73">
        <v>0.0</v>
      </c>
      <c r="L184" s="73">
        <v>0.0</v>
      </c>
      <c r="M184" s="73">
        <v>0.0</v>
      </c>
      <c r="N184" s="73">
        <v>0.0</v>
      </c>
      <c r="O184" s="73">
        <v>0.0</v>
      </c>
      <c r="P184" s="73">
        <v>0.0</v>
      </c>
      <c r="Q184" s="73">
        <v>0.0</v>
      </c>
      <c r="R184" s="73">
        <v>0.0</v>
      </c>
      <c r="S184" s="73">
        <v>0.0</v>
      </c>
      <c r="T184" s="73">
        <v>0.0</v>
      </c>
      <c r="U184" s="73">
        <v>0.0</v>
      </c>
      <c r="V184" s="73">
        <v>0.0</v>
      </c>
      <c r="W184" s="73">
        <v>0.0</v>
      </c>
      <c r="X184" s="73">
        <v>0.0</v>
      </c>
      <c r="Y184" s="73">
        <v>0.0</v>
      </c>
      <c r="Z184" s="73">
        <v>0.0</v>
      </c>
      <c r="AA184" s="73">
        <v>0.0</v>
      </c>
      <c r="AB184" s="13">
        <f t="shared" si="36"/>
        <v>0</v>
      </c>
    </row>
    <row r="185" ht="12.75" customHeight="1">
      <c r="A185" s="18"/>
      <c r="B185" s="49"/>
      <c r="C185" s="50" t="s">
        <v>139</v>
      </c>
      <c r="D185" s="51"/>
      <c r="E185" s="73">
        <v>0.0</v>
      </c>
      <c r="F185" s="73">
        <v>0.0</v>
      </c>
      <c r="G185" s="73">
        <v>0.0</v>
      </c>
      <c r="H185" s="73">
        <v>0.0</v>
      </c>
      <c r="I185" s="73">
        <v>10.0</v>
      </c>
      <c r="J185" s="73">
        <v>0.0</v>
      </c>
      <c r="K185" s="73">
        <v>0.0</v>
      </c>
      <c r="L185" s="73">
        <v>0.0</v>
      </c>
      <c r="M185" s="73">
        <v>0.0</v>
      </c>
      <c r="N185" s="73">
        <v>0.0</v>
      </c>
      <c r="O185" s="73">
        <v>0.0</v>
      </c>
      <c r="P185" s="73">
        <v>0.0</v>
      </c>
      <c r="Q185" s="73">
        <v>0.0</v>
      </c>
      <c r="R185" s="73">
        <v>0.0</v>
      </c>
      <c r="S185" s="73">
        <v>0.0</v>
      </c>
      <c r="T185" s="73">
        <v>0.0</v>
      </c>
      <c r="U185" s="73">
        <v>0.0</v>
      </c>
      <c r="V185" s="73">
        <v>0.0</v>
      </c>
      <c r="W185" s="73">
        <v>0.0</v>
      </c>
      <c r="X185" s="73">
        <v>0.0</v>
      </c>
      <c r="Y185" s="73">
        <v>0.0</v>
      </c>
      <c r="Z185" s="73">
        <v>0.0</v>
      </c>
      <c r="AA185" s="73">
        <v>0.0</v>
      </c>
      <c r="AB185" s="13">
        <f t="shared" si="36"/>
        <v>10</v>
      </c>
    </row>
    <row r="186" ht="12.75" customHeight="1">
      <c r="A186" s="18"/>
      <c r="B186" s="49"/>
      <c r="C186" s="50" t="s">
        <v>140</v>
      </c>
      <c r="D186" s="51"/>
      <c r="E186" s="73">
        <v>0.0</v>
      </c>
      <c r="F186" s="73">
        <v>0.0</v>
      </c>
      <c r="G186" s="73">
        <v>0.0</v>
      </c>
      <c r="H186" s="73">
        <v>0.0</v>
      </c>
      <c r="I186" s="73">
        <v>0.0</v>
      </c>
      <c r="J186" s="73">
        <v>0.0</v>
      </c>
      <c r="K186" s="73">
        <v>1.0</v>
      </c>
      <c r="L186" s="73">
        <v>0.0</v>
      </c>
      <c r="M186" s="73">
        <v>0.0</v>
      </c>
      <c r="N186" s="73">
        <v>0.0</v>
      </c>
      <c r="O186" s="73">
        <v>0.0</v>
      </c>
      <c r="P186" s="73">
        <v>0.0</v>
      </c>
      <c r="Q186" s="73">
        <v>0.0</v>
      </c>
      <c r="R186" s="73">
        <v>0.0</v>
      </c>
      <c r="S186" s="73">
        <v>0.0</v>
      </c>
      <c r="T186" s="73">
        <v>0.0</v>
      </c>
      <c r="U186" s="73">
        <v>0.0</v>
      </c>
      <c r="V186" s="73">
        <v>0.0</v>
      </c>
      <c r="W186" s="73">
        <v>0.0</v>
      </c>
      <c r="X186" s="73">
        <v>0.0</v>
      </c>
      <c r="Y186" s="73">
        <v>0.0</v>
      </c>
      <c r="Z186" s="73">
        <v>0.0</v>
      </c>
      <c r="AA186" s="73">
        <v>0.0</v>
      </c>
      <c r="AB186" s="13">
        <f t="shared" si="36"/>
        <v>1</v>
      </c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B187" si="37">SUM(E177:E186)</f>
        <v>3</v>
      </c>
      <c r="F187" s="13">
        <f t="shared" si="37"/>
        <v>2</v>
      </c>
      <c r="G187" s="13">
        <f t="shared" si="37"/>
        <v>2</v>
      </c>
      <c r="H187" s="13">
        <f t="shared" si="37"/>
        <v>0</v>
      </c>
      <c r="I187" s="13">
        <f t="shared" si="37"/>
        <v>11</v>
      </c>
      <c r="J187" s="13">
        <f t="shared" si="37"/>
        <v>0</v>
      </c>
      <c r="K187" s="13">
        <f t="shared" si="37"/>
        <v>1</v>
      </c>
      <c r="L187" s="13">
        <f t="shared" si="37"/>
        <v>1</v>
      </c>
      <c r="M187" s="13">
        <f t="shared" si="37"/>
        <v>0</v>
      </c>
      <c r="N187" s="13">
        <f t="shared" si="37"/>
        <v>1</v>
      </c>
      <c r="O187" s="13">
        <f t="shared" si="37"/>
        <v>1</v>
      </c>
      <c r="P187" s="13">
        <f t="shared" si="37"/>
        <v>2</v>
      </c>
      <c r="Q187" s="13">
        <f t="shared" si="37"/>
        <v>1</v>
      </c>
      <c r="R187" s="13">
        <f t="shared" si="37"/>
        <v>2</v>
      </c>
      <c r="S187" s="13">
        <f t="shared" si="37"/>
        <v>1</v>
      </c>
      <c r="T187" s="13">
        <f t="shared" si="37"/>
        <v>4</v>
      </c>
      <c r="U187" s="13">
        <f t="shared" si="37"/>
        <v>2</v>
      </c>
      <c r="V187" s="13">
        <f t="shared" si="37"/>
        <v>0</v>
      </c>
      <c r="W187" s="13">
        <f t="shared" si="37"/>
        <v>1</v>
      </c>
      <c r="X187" s="13">
        <f t="shared" si="37"/>
        <v>0</v>
      </c>
      <c r="Y187" s="13">
        <f t="shared" si="37"/>
        <v>3</v>
      </c>
      <c r="Z187" s="13">
        <f t="shared" si="37"/>
        <v>1</v>
      </c>
      <c r="AA187" s="13">
        <f t="shared" si="37"/>
        <v>0</v>
      </c>
      <c r="AB187" s="13">
        <f t="shared" si="37"/>
        <v>39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R188" s="78"/>
      <c r="S188" s="78"/>
      <c r="T188" s="78"/>
      <c r="AB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1.0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1.0</v>
      </c>
      <c r="R189" s="73">
        <v>0.0</v>
      </c>
      <c r="S189" s="73">
        <v>0.0</v>
      </c>
      <c r="T189" s="73">
        <v>0.0</v>
      </c>
      <c r="U189" s="73">
        <v>0.0</v>
      </c>
      <c r="V189" s="73">
        <v>0.0</v>
      </c>
      <c r="W189" s="73">
        <v>1.0</v>
      </c>
      <c r="X189" s="73">
        <v>0.0</v>
      </c>
      <c r="Y189" s="73">
        <v>0.0</v>
      </c>
      <c r="Z189" s="73">
        <v>0.0</v>
      </c>
      <c r="AA189" s="73">
        <v>1.0</v>
      </c>
      <c r="AB189" s="13">
        <f t="shared" ref="AB189:AB198" si="38">SUM(E189:AA189)</f>
        <v>4</v>
      </c>
    </row>
    <row r="190" ht="12.75" customHeight="1">
      <c r="A190" s="30" t="s">
        <v>39</v>
      </c>
      <c r="B190" s="49"/>
      <c r="C190" s="50" t="s">
        <v>143</v>
      </c>
      <c r="D190" s="51"/>
      <c r="E190" s="73">
        <v>0.0</v>
      </c>
      <c r="F190" s="73">
        <v>0.0</v>
      </c>
      <c r="G190" s="73">
        <v>0.0</v>
      </c>
      <c r="H190" s="73">
        <v>1.0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1.0</v>
      </c>
      <c r="T190" s="73">
        <v>0.0</v>
      </c>
      <c r="U190" s="73">
        <v>0.0</v>
      </c>
      <c r="V190" s="73">
        <v>0.0</v>
      </c>
      <c r="W190" s="73">
        <v>1.0</v>
      </c>
      <c r="X190" s="73">
        <v>0.0</v>
      </c>
      <c r="Y190" s="73">
        <v>0.0</v>
      </c>
      <c r="Z190" s="73">
        <v>0.0</v>
      </c>
      <c r="AA190" s="73">
        <v>0.0</v>
      </c>
      <c r="AB190" s="13">
        <f t="shared" si="38"/>
        <v>3</v>
      </c>
    </row>
    <row r="191" ht="12.75" customHeight="1">
      <c r="A191" s="18"/>
      <c r="B191" s="49"/>
      <c r="C191" s="50" t="s">
        <v>144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73">
        <v>0.0</v>
      </c>
      <c r="AB191" s="13">
        <f t="shared" si="38"/>
        <v>0</v>
      </c>
    </row>
    <row r="192" ht="12.75" customHeight="1">
      <c r="A192" s="18"/>
      <c r="B192" s="49"/>
      <c r="C192" s="50" t="s">
        <v>145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1.0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2.0</v>
      </c>
      <c r="Z192" s="73">
        <v>0.0</v>
      </c>
      <c r="AA192" s="73">
        <v>0.0</v>
      </c>
      <c r="AB192" s="13">
        <f t="shared" si="38"/>
        <v>3</v>
      </c>
    </row>
    <row r="193" ht="12.75" customHeight="1">
      <c r="A193" s="18"/>
      <c r="B193" s="49"/>
      <c r="C193" s="50" t="s">
        <v>146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13">
        <f t="shared" si="38"/>
        <v>0</v>
      </c>
    </row>
    <row r="194" ht="12.75" customHeight="1">
      <c r="A194" s="18"/>
      <c r="B194" s="49"/>
      <c r="C194" s="50" t="s">
        <v>147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1.0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13">
        <f t="shared" si="38"/>
        <v>1</v>
      </c>
    </row>
    <row r="195" ht="12.75" customHeight="1">
      <c r="A195" s="18"/>
      <c r="B195" s="49"/>
      <c r="C195" s="50" t="s">
        <v>148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13">
        <f t="shared" si="38"/>
        <v>0</v>
      </c>
    </row>
    <row r="196" ht="12.75" customHeight="1">
      <c r="A196" s="18"/>
      <c r="B196" s="49"/>
      <c r="C196" s="50" t="s">
        <v>149</v>
      </c>
      <c r="D196" s="51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0.0</v>
      </c>
      <c r="N196" s="73">
        <v>0.0</v>
      </c>
      <c r="O196" s="73">
        <v>0.0</v>
      </c>
      <c r="P196" s="73">
        <v>0.0</v>
      </c>
      <c r="Q196" s="73">
        <v>0.0</v>
      </c>
      <c r="R196" s="73">
        <v>0.0</v>
      </c>
      <c r="S196" s="73">
        <v>0.0</v>
      </c>
      <c r="T196" s="73">
        <v>0.0</v>
      </c>
      <c r="U196" s="73">
        <v>0.0</v>
      </c>
      <c r="V196" s="73">
        <v>0.0</v>
      </c>
      <c r="W196" s="73">
        <v>0.0</v>
      </c>
      <c r="X196" s="73">
        <v>0.0</v>
      </c>
      <c r="Y196" s="73">
        <v>0.0</v>
      </c>
      <c r="Z196" s="73">
        <v>0.0</v>
      </c>
      <c r="AA196" s="73">
        <v>0.0</v>
      </c>
      <c r="AB196" s="13">
        <f t="shared" si="38"/>
        <v>0</v>
      </c>
    </row>
    <row r="197" ht="12.75" customHeight="1">
      <c r="A197" s="18"/>
      <c r="B197" s="49"/>
      <c r="C197" s="50" t="s">
        <v>150</v>
      </c>
      <c r="D197" s="51"/>
      <c r="E197" s="73">
        <v>0.0</v>
      </c>
      <c r="F197" s="73">
        <v>0.0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0.0</v>
      </c>
      <c r="R197" s="73">
        <v>0.0</v>
      </c>
      <c r="S197" s="73">
        <v>0.0</v>
      </c>
      <c r="T197" s="73">
        <v>0.0</v>
      </c>
      <c r="U197" s="73">
        <v>0.0</v>
      </c>
      <c r="V197" s="73">
        <v>0.0</v>
      </c>
      <c r="W197" s="73">
        <v>0.0</v>
      </c>
      <c r="X197" s="73">
        <v>0.0</v>
      </c>
      <c r="Y197" s="73">
        <v>0.0</v>
      </c>
      <c r="Z197" s="73">
        <v>0.0</v>
      </c>
      <c r="AA197" s="73">
        <v>0.0</v>
      </c>
      <c r="AB197" s="13">
        <f t="shared" si="38"/>
        <v>0</v>
      </c>
    </row>
    <row r="198" ht="12.75" customHeight="1">
      <c r="A198" s="18"/>
      <c r="B198" s="49"/>
      <c r="C198" s="50" t="s">
        <v>151</v>
      </c>
      <c r="D198" s="51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0.0</v>
      </c>
      <c r="N198" s="73">
        <v>0.0</v>
      </c>
      <c r="O198" s="73">
        <v>0.0</v>
      </c>
      <c r="P198" s="73">
        <v>0.0</v>
      </c>
      <c r="Q198" s="73">
        <v>0.0</v>
      </c>
      <c r="R198" s="73">
        <v>0.0</v>
      </c>
      <c r="S198" s="73">
        <v>0.0</v>
      </c>
      <c r="T198" s="73">
        <v>0.0</v>
      </c>
      <c r="U198" s="73">
        <v>0.0</v>
      </c>
      <c r="V198" s="73">
        <v>0.0</v>
      </c>
      <c r="W198" s="73">
        <v>0.0</v>
      </c>
      <c r="X198" s="73">
        <v>0.0</v>
      </c>
      <c r="Y198" s="73">
        <v>0.0</v>
      </c>
      <c r="Z198" s="73">
        <v>0.0</v>
      </c>
      <c r="AA198" s="73">
        <v>0.0</v>
      </c>
      <c r="AB198" s="13">
        <f t="shared" si="38"/>
        <v>0</v>
      </c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B199" si="39">SUM(E189:E198)</f>
        <v>1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1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2</v>
      </c>
      <c r="R199" s="13">
        <f t="shared" si="39"/>
        <v>0</v>
      </c>
      <c r="S199" s="13">
        <f t="shared" si="39"/>
        <v>1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2</v>
      </c>
      <c r="X199" s="13">
        <f t="shared" si="39"/>
        <v>0</v>
      </c>
      <c r="Y199" s="13">
        <f t="shared" si="39"/>
        <v>2</v>
      </c>
      <c r="Z199" s="13">
        <f t="shared" si="39"/>
        <v>0</v>
      </c>
      <c r="AA199" s="13">
        <f t="shared" si="39"/>
        <v>1</v>
      </c>
      <c r="AB199" s="13">
        <f t="shared" si="39"/>
        <v>11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1.0</v>
      </c>
      <c r="F201" s="73">
        <v>1.0</v>
      </c>
      <c r="G201" s="73">
        <v>1.0</v>
      </c>
      <c r="H201" s="73">
        <v>2.0</v>
      </c>
      <c r="I201" s="73">
        <v>1.0</v>
      </c>
      <c r="J201" s="73">
        <v>8.0</v>
      </c>
      <c r="K201" s="73">
        <v>3.0</v>
      </c>
      <c r="L201" s="73">
        <v>4.0</v>
      </c>
      <c r="M201" s="73">
        <v>1.0</v>
      </c>
      <c r="N201" s="73">
        <v>4.0</v>
      </c>
      <c r="O201" s="73">
        <v>0.0</v>
      </c>
      <c r="P201" s="73">
        <v>0.0</v>
      </c>
      <c r="Q201" s="73">
        <v>6.0</v>
      </c>
      <c r="R201" s="73">
        <v>7.0</v>
      </c>
      <c r="S201" s="73">
        <v>0.0</v>
      </c>
      <c r="T201" s="73">
        <v>1.0</v>
      </c>
      <c r="U201" s="73">
        <v>0.0</v>
      </c>
      <c r="V201" s="73">
        <v>0.0</v>
      </c>
      <c r="W201" s="73">
        <v>0.0</v>
      </c>
      <c r="X201" s="73">
        <v>0.0</v>
      </c>
      <c r="Y201" s="73">
        <v>4.0</v>
      </c>
      <c r="Z201" s="73">
        <v>5.0</v>
      </c>
      <c r="AA201" s="73">
        <v>4.0</v>
      </c>
      <c r="AB201" s="13">
        <f t="shared" ref="AB201:AB210" si="40">SUM(E201:AA201)</f>
        <v>53</v>
      </c>
    </row>
    <row r="202" ht="12.75" customHeight="1">
      <c r="A202" s="30" t="s">
        <v>39</v>
      </c>
      <c r="B202" s="49"/>
      <c r="C202" s="50" t="s">
        <v>154</v>
      </c>
      <c r="D202" s="51"/>
      <c r="E202" s="73">
        <v>2.0</v>
      </c>
      <c r="F202" s="73">
        <v>2.0</v>
      </c>
      <c r="G202" s="73">
        <v>6.0</v>
      </c>
      <c r="H202" s="73">
        <v>2.0</v>
      </c>
      <c r="I202" s="73">
        <v>0.0</v>
      </c>
      <c r="J202" s="73">
        <v>8.0</v>
      </c>
      <c r="K202" s="73">
        <v>4.0</v>
      </c>
      <c r="L202" s="73">
        <v>3.0</v>
      </c>
      <c r="M202" s="73">
        <v>2.0</v>
      </c>
      <c r="N202" s="73">
        <v>2.0</v>
      </c>
      <c r="O202" s="73">
        <v>0.0</v>
      </c>
      <c r="P202" s="73">
        <v>2.0</v>
      </c>
      <c r="Q202" s="73">
        <v>6.0</v>
      </c>
      <c r="R202" s="73">
        <v>5.0</v>
      </c>
      <c r="S202" s="73">
        <v>2.0</v>
      </c>
      <c r="T202" s="73">
        <v>0.0</v>
      </c>
      <c r="U202" s="73">
        <v>1.0</v>
      </c>
      <c r="V202" s="73">
        <v>0.0</v>
      </c>
      <c r="W202" s="73">
        <v>1.0</v>
      </c>
      <c r="X202" s="73">
        <v>0.0</v>
      </c>
      <c r="Y202" s="73">
        <v>11.0</v>
      </c>
      <c r="Z202" s="73">
        <v>5.0</v>
      </c>
      <c r="AA202" s="73">
        <v>12.0</v>
      </c>
      <c r="AB202" s="13">
        <f t="shared" si="40"/>
        <v>76</v>
      </c>
    </row>
    <row r="203" ht="12.75" customHeight="1">
      <c r="A203" s="18"/>
      <c r="B203" s="49"/>
      <c r="C203" s="50" t="s">
        <v>155</v>
      </c>
      <c r="D203" s="51"/>
      <c r="E203" s="73">
        <v>0.0</v>
      </c>
      <c r="F203" s="73">
        <v>1.0</v>
      </c>
      <c r="G203" s="73">
        <v>0.0</v>
      </c>
      <c r="H203" s="73">
        <v>0.0</v>
      </c>
      <c r="I203" s="73">
        <v>0.0</v>
      </c>
      <c r="J203" s="73">
        <v>2.0</v>
      </c>
      <c r="K203" s="73">
        <v>0.0</v>
      </c>
      <c r="L203" s="73">
        <v>0.0</v>
      </c>
      <c r="M203" s="73">
        <v>0.0</v>
      </c>
      <c r="N203" s="73">
        <v>0.0</v>
      </c>
      <c r="O203" s="73">
        <v>0.0</v>
      </c>
      <c r="P203" s="73">
        <v>1.0</v>
      </c>
      <c r="Q203" s="73">
        <v>1.0</v>
      </c>
      <c r="R203" s="73">
        <v>0.0</v>
      </c>
      <c r="S203" s="73">
        <v>0.0</v>
      </c>
      <c r="T203" s="73">
        <v>0.0</v>
      </c>
      <c r="U203" s="73">
        <v>1.0</v>
      </c>
      <c r="V203" s="73">
        <v>2.0</v>
      </c>
      <c r="W203" s="73">
        <v>0.0</v>
      </c>
      <c r="X203" s="73">
        <v>2.0</v>
      </c>
      <c r="Y203" s="73">
        <v>1.0</v>
      </c>
      <c r="Z203" s="73">
        <v>1.0</v>
      </c>
      <c r="AA203" s="73">
        <v>3.0</v>
      </c>
      <c r="AB203" s="13">
        <f t="shared" si="40"/>
        <v>15</v>
      </c>
    </row>
    <row r="204" ht="12.75" customHeight="1">
      <c r="A204" s="18"/>
      <c r="B204" s="49"/>
      <c r="C204" s="50" t="s">
        <v>156</v>
      </c>
      <c r="D204" s="51"/>
      <c r="E204" s="73">
        <v>0.0</v>
      </c>
      <c r="F204" s="73">
        <v>0.0</v>
      </c>
      <c r="G204" s="73">
        <v>0.0</v>
      </c>
      <c r="H204" s="73">
        <v>1.0</v>
      </c>
      <c r="I204" s="73">
        <v>0.0</v>
      </c>
      <c r="J204" s="73">
        <v>0.0</v>
      </c>
      <c r="K204" s="73">
        <v>0.0</v>
      </c>
      <c r="L204" s="73">
        <v>0.0</v>
      </c>
      <c r="M204" s="73">
        <v>0.0</v>
      </c>
      <c r="N204" s="73">
        <v>0.0</v>
      </c>
      <c r="O204" s="73">
        <v>0.0</v>
      </c>
      <c r="P204" s="73">
        <v>0.0</v>
      </c>
      <c r="Q204" s="73">
        <v>0.0</v>
      </c>
      <c r="R204" s="73">
        <v>1.0</v>
      </c>
      <c r="S204" s="73">
        <v>1.0</v>
      </c>
      <c r="T204" s="73">
        <v>0.0</v>
      </c>
      <c r="U204" s="73">
        <v>0.0</v>
      </c>
      <c r="V204" s="73">
        <v>0.0</v>
      </c>
      <c r="W204" s="73">
        <v>1.0</v>
      </c>
      <c r="X204" s="73">
        <v>1.0</v>
      </c>
      <c r="Y204" s="73">
        <v>2.0</v>
      </c>
      <c r="Z204" s="73">
        <v>0.0</v>
      </c>
      <c r="AA204" s="73">
        <v>1.0</v>
      </c>
      <c r="AB204" s="13">
        <f t="shared" si="40"/>
        <v>8</v>
      </c>
    </row>
    <row r="205" ht="12.75" customHeight="1">
      <c r="A205" s="18"/>
      <c r="B205" s="49"/>
      <c r="C205" s="50" t="s">
        <v>157</v>
      </c>
      <c r="D205" s="51"/>
      <c r="E205" s="73">
        <v>0.0</v>
      </c>
      <c r="F205" s="73">
        <v>0.0</v>
      </c>
      <c r="G205" s="73">
        <v>0.0</v>
      </c>
      <c r="H205" s="73">
        <v>0.0</v>
      </c>
      <c r="I205" s="73">
        <v>0.0</v>
      </c>
      <c r="J205" s="73">
        <v>1.0</v>
      </c>
      <c r="K205" s="73">
        <v>0.0</v>
      </c>
      <c r="L205" s="73">
        <v>0.0</v>
      </c>
      <c r="M205" s="73">
        <v>0.0</v>
      </c>
      <c r="N205" s="73">
        <v>1.0</v>
      </c>
      <c r="O205" s="73">
        <v>0.0</v>
      </c>
      <c r="P205" s="73">
        <v>1.0</v>
      </c>
      <c r="Q205" s="73">
        <v>0.0</v>
      </c>
      <c r="R205" s="73">
        <v>1.0</v>
      </c>
      <c r="S205" s="73">
        <v>0.0</v>
      </c>
      <c r="T205" s="73">
        <v>0.0</v>
      </c>
      <c r="U205" s="73">
        <v>0.0</v>
      </c>
      <c r="V205" s="73">
        <v>0.0</v>
      </c>
      <c r="W205" s="73">
        <v>0.0</v>
      </c>
      <c r="X205" s="73">
        <v>0.0</v>
      </c>
      <c r="Y205" s="73">
        <v>5.0</v>
      </c>
      <c r="Z205" s="73">
        <v>2.0</v>
      </c>
      <c r="AA205" s="73">
        <v>0.0</v>
      </c>
      <c r="AB205" s="13">
        <f t="shared" si="40"/>
        <v>11</v>
      </c>
    </row>
    <row r="206" ht="12.75" customHeight="1">
      <c r="A206" s="18"/>
      <c r="B206" s="49"/>
      <c r="C206" s="50" t="s">
        <v>158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1.0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73">
        <v>0.0</v>
      </c>
      <c r="Y206" s="73">
        <v>1.0</v>
      </c>
      <c r="Z206" s="73">
        <v>1.0</v>
      </c>
      <c r="AA206" s="73">
        <v>0.0</v>
      </c>
      <c r="AB206" s="13">
        <f t="shared" si="40"/>
        <v>3</v>
      </c>
    </row>
    <row r="207" ht="12.75" customHeight="1">
      <c r="A207" s="18"/>
      <c r="B207" s="49"/>
      <c r="C207" s="50" t="s">
        <v>159</v>
      </c>
      <c r="D207" s="51"/>
      <c r="E207" s="73">
        <v>0.0</v>
      </c>
      <c r="F207" s="73">
        <v>0.0</v>
      </c>
      <c r="G207" s="73">
        <v>0.0</v>
      </c>
      <c r="H207" s="73">
        <v>0.0</v>
      </c>
      <c r="I207" s="73">
        <v>0.0</v>
      </c>
      <c r="J207" s="73">
        <v>0.0</v>
      </c>
      <c r="K207" s="73">
        <v>1.0</v>
      </c>
      <c r="L207" s="73">
        <v>1.0</v>
      </c>
      <c r="M207" s="73">
        <v>1.0</v>
      </c>
      <c r="N207" s="73">
        <v>1.0</v>
      </c>
      <c r="O207" s="73">
        <v>1.0</v>
      </c>
      <c r="P207" s="73">
        <v>0.0</v>
      </c>
      <c r="Q207" s="73">
        <v>1.0</v>
      </c>
      <c r="R207" s="73">
        <v>0.0</v>
      </c>
      <c r="S207" s="73">
        <v>0.0</v>
      </c>
      <c r="T207" s="73">
        <v>0.0</v>
      </c>
      <c r="U207" s="73">
        <v>1.0</v>
      </c>
      <c r="V207" s="73">
        <v>1.0</v>
      </c>
      <c r="W207" s="73">
        <v>0.0</v>
      </c>
      <c r="X207" s="73">
        <v>0.0</v>
      </c>
      <c r="Y207" s="73">
        <v>2.0</v>
      </c>
      <c r="Z207" s="73">
        <v>0.0</v>
      </c>
      <c r="AA207" s="73">
        <v>1.0</v>
      </c>
      <c r="AB207" s="13">
        <f t="shared" si="40"/>
        <v>11</v>
      </c>
    </row>
    <row r="208" ht="12.75" customHeight="1">
      <c r="A208" s="18"/>
      <c r="B208" s="49"/>
      <c r="C208" s="50" t="s">
        <v>160</v>
      </c>
      <c r="D208" s="51"/>
      <c r="E208" s="73">
        <v>0.0</v>
      </c>
      <c r="F208" s="73">
        <v>0.0</v>
      </c>
      <c r="G208" s="73">
        <v>0.0</v>
      </c>
      <c r="H208" s="73">
        <v>2.0</v>
      </c>
      <c r="I208" s="73">
        <v>2.0</v>
      </c>
      <c r="J208" s="73">
        <v>1.0</v>
      </c>
      <c r="K208" s="73">
        <v>0.0</v>
      </c>
      <c r="L208" s="73">
        <v>0.0</v>
      </c>
      <c r="M208" s="73">
        <v>1.0</v>
      </c>
      <c r="N208" s="73">
        <v>0.0</v>
      </c>
      <c r="O208" s="73">
        <v>1.0</v>
      </c>
      <c r="P208" s="73">
        <v>0.0</v>
      </c>
      <c r="Q208" s="73">
        <v>1.0</v>
      </c>
      <c r="R208" s="73">
        <v>1.0</v>
      </c>
      <c r="S208" s="73">
        <v>1.0</v>
      </c>
      <c r="T208" s="73">
        <v>0.0</v>
      </c>
      <c r="U208" s="73">
        <v>0.0</v>
      </c>
      <c r="V208" s="73">
        <v>0.0</v>
      </c>
      <c r="W208" s="73">
        <v>1.0</v>
      </c>
      <c r="X208" s="73">
        <v>0.0</v>
      </c>
      <c r="Y208" s="73">
        <v>0.0</v>
      </c>
      <c r="Z208" s="73">
        <v>0.0</v>
      </c>
      <c r="AA208" s="73">
        <v>0.0</v>
      </c>
      <c r="AB208" s="13">
        <f t="shared" si="40"/>
        <v>11</v>
      </c>
    </row>
    <row r="209" ht="12.75" customHeight="1">
      <c r="A209" s="18"/>
      <c r="B209" s="49"/>
      <c r="C209" s="50" t="s">
        <v>161</v>
      </c>
      <c r="D209" s="51"/>
      <c r="E209" s="73">
        <v>0.0</v>
      </c>
      <c r="F209" s="73">
        <v>0.0</v>
      </c>
      <c r="G209" s="73">
        <v>0.0</v>
      </c>
      <c r="H209" s="73">
        <v>0.0</v>
      </c>
      <c r="I209" s="73">
        <v>0.0</v>
      </c>
      <c r="J209" s="73">
        <v>0.0</v>
      </c>
      <c r="K209" s="73">
        <v>0.0</v>
      </c>
      <c r="L209" s="73">
        <v>0.0</v>
      </c>
      <c r="M209" s="73">
        <v>0.0</v>
      </c>
      <c r="N209" s="73">
        <v>0.0</v>
      </c>
      <c r="O209" s="73">
        <v>0.0</v>
      </c>
      <c r="P209" s="73">
        <v>0.0</v>
      </c>
      <c r="Q209" s="73">
        <v>0.0</v>
      </c>
      <c r="R209" s="73">
        <v>0.0</v>
      </c>
      <c r="S209" s="73">
        <v>0.0</v>
      </c>
      <c r="T209" s="73">
        <v>0.0</v>
      </c>
      <c r="U209" s="73">
        <v>0.0</v>
      </c>
      <c r="V209" s="73">
        <v>0.0</v>
      </c>
      <c r="W209" s="73">
        <v>0.0</v>
      </c>
      <c r="X209" s="73">
        <v>0.0</v>
      </c>
      <c r="Y209" s="73">
        <v>0.0</v>
      </c>
      <c r="Z209" s="73">
        <v>0.0</v>
      </c>
      <c r="AA209" s="73">
        <v>0.0</v>
      </c>
      <c r="AB209" s="13">
        <f t="shared" si="40"/>
        <v>0</v>
      </c>
    </row>
    <row r="210" ht="12.75" customHeight="1">
      <c r="A210" s="18"/>
      <c r="B210" s="49"/>
      <c r="C210" s="50" t="s">
        <v>162</v>
      </c>
      <c r="D210" s="51"/>
      <c r="E210" s="73">
        <v>0.0</v>
      </c>
      <c r="F210" s="73">
        <v>0.0</v>
      </c>
      <c r="G210" s="73">
        <v>0.0</v>
      </c>
      <c r="H210" s="73">
        <v>0.0</v>
      </c>
      <c r="I210" s="73">
        <v>0.0</v>
      </c>
      <c r="J210" s="73">
        <v>0.0</v>
      </c>
      <c r="K210" s="73">
        <v>0.0</v>
      </c>
      <c r="L210" s="73">
        <v>0.0</v>
      </c>
      <c r="M210" s="73">
        <v>1.0</v>
      </c>
      <c r="N210" s="73">
        <v>0.0</v>
      </c>
      <c r="O210" s="73">
        <v>0.0</v>
      </c>
      <c r="P210" s="73">
        <v>1.0</v>
      </c>
      <c r="Q210" s="73">
        <v>1.0</v>
      </c>
      <c r="R210" s="73">
        <v>2.0</v>
      </c>
      <c r="S210" s="73">
        <v>0.0</v>
      </c>
      <c r="T210" s="73">
        <v>0.0</v>
      </c>
      <c r="U210" s="73">
        <v>0.0</v>
      </c>
      <c r="V210" s="73">
        <v>0.0</v>
      </c>
      <c r="W210" s="73">
        <v>0.0</v>
      </c>
      <c r="X210" s="73">
        <v>0.0</v>
      </c>
      <c r="Y210" s="73">
        <v>0.0</v>
      </c>
      <c r="Z210" s="73">
        <v>1.0</v>
      </c>
      <c r="AA210" s="73">
        <v>0.0</v>
      </c>
      <c r="AB210" s="13">
        <f t="shared" si="40"/>
        <v>6</v>
      </c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B211" si="41">SUM(E201:E210)</f>
        <v>3</v>
      </c>
      <c r="F211" s="13">
        <f t="shared" si="41"/>
        <v>4</v>
      </c>
      <c r="G211" s="13">
        <f t="shared" si="41"/>
        <v>7</v>
      </c>
      <c r="H211" s="13">
        <f t="shared" si="41"/>
        <v>7</v>
      </c>
      <c r="I211" s="13">
        <f t="shared" si="41"/>
        <v>3</v>
      </c>
      <c r="J211" s="13">
        <f t="shared" si="41"/>
        <v>20</v>
      </c>
      <c r="K211" s="13">
        <f t="shared" si="41"/>
        <v>8</v>
      </c>
      <c r="L211" s="13">
        <f t="shared" si="41"/>
        <v>9</v>
      </c>
      <c r="M211" s="13">
        <f t="shared" si="41"/>
        <v>6</v>
      </c>
      <c r="N211" s="13">
        <f t="shared" si="41"/>
        <v>8</v>
      </c>
      <c r="O211" s="13">
        <f t="shared" si="41"/>
        <v>2</v>
      </c>
      <c r="P211" s="13">
        <f t="shared" si="41"/>
        <v>5</v>
      </c>
      <c r="Q211" s="13">
        <f t="shared" si="41"/>
        <v>16</v>
      </c>
      <c r="R211" s="13">
        <f t="shared" si="41"/>
        <v>17</v>
      </c>
      <c r="S211" s="13">
        <f t="shared" si="41"/>
        <v>4</v>
      </c>
      <c r="T211" s="13">
        <f t="shared" si="41"/>
        <v>1</v>
      </c>
      <c r="U211" s="13">
        <f t="shared" si="41"/>
        <v>3</v>
      </c>
      <c r="V211" s="13">
        <f t="shared" si="41"/>
        <v>3</v>
      </c>
      <c r="W211" s="13">
        <f t="shared" si="41"/>
        <v>3</v>
      </c>
      <c r="X211" s="13">
        <f t="shared" si="41"/>
        <v>3</v>
      </c>
      <c r="Y211" s="13">
        <f t="shared" si="41"/>
        <v>26</v>
      </c>
      <c r="Z211" s="13">
        <f t="shared" si="41"/>
        <v>15</v>
      </c>
      <c r="AA211" s="13">
        <f t="shared" si="41"/>
        <v>21</v>
      </c>
      <c r="AB211" s="13">
        <f t="shared" si="41"/>
        <v>194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3.0</v>
      </c>
      <c r="F213" s="73">
        <v>1.0</v>
      </c>
      <c r="G213" s="73">
        <v>1.0</v>
      </c>
      <c r="H213" s="73">
        <v>1.0</v>
      </c>
      <c r="I213" s="73">
        <v>0.0</v>
      </c>
      <c r="J213" s="73">
        <v>1.0</v>
      </c>
      <c r="K213" s="73">
        <v>0.0</v>
      </c>
      <c r="L213" s="73">
        <v>1.0</v>
      </c>
      <c r="M213" s="73">
        <v>2.0</v>
      </c>
      <c r="N213" s="73">
        <v>0.0</v>
      </c>
      <c r="O213" s="73">
        <v>0.0</v>
      </c>
      <c r="P213" s="73">
        <v>0.0</v>
      </c>
      <c r="Q213" s="73">
        <v>2.0</v>
      </c>
      <c r="R213" s="73">
        <v>2.0</v>
      </c>
      <c r="S213" s="73">
        <v>0.0</v>
      </c>
      <c r="T213" s="73">
        <v>1.0</v>
      </c>
      <c r="U213" s="73">
        <v>0.0</v>
      </c>
      <c r="V213" s="73">
        <v>0.0</v>
      </c>
      <c r="W213" s="73">
        <v>2.0</v>
      </c>
      <c r="X213" s="73">
        <v>1.0</v>
      </c>
      <c r="Y213" s="73">
        <v>2.0</v>
      </c>
      <c r="Z213" s="73">
        <v>4.0</v>
      </c>
      <c r="AA213" s="73">
        <v>1.0</v>
      </c>
      <c r="AB213" s="13">
        <f t="shared" ref="AB213:AB222" si="42">SUM(E213:AA213)</f>
        <v>25</v>
      </c>
    </row>
    <row r="214" ht="12.75" customHeight="1">
      <c r="A214" s="30" t="s">
        <v>39</v>
      </c>
      <c r="B214" s="49"/>
      <c r="C214" s="50" t="s">
        <v>165</v>
      </c>
      <c r="D214" s="51"/>
      <c r="E214" s="73">
        <v>1.0</v>
      </c>
      <c r="F214" s="73">
        <v>0.0</v>
      </c>
      <c r="G214" s="73">
        <v>2.0</v>
      </c>
      <c r="H214" s="73">
        <v>1.0</v>
      </c>
      <c r="I214" s="73">
        <v>0.0</v>
      </c>
      <c r="J214" s="73">
        <v>1.0</v>
      </c>
      <c r="K214" s="73">
        <v>0.0</v>
      </c>
      <c r="L214" s="73">
        <v>0.0</v>
      </c>
      <c r="M214" s="73">
        <v>2.0</v>
      </c>
      <c r="N214" s="73">
        <v>0.0</v>
      </c>
      <c r="O214" s="73">
        <v>1.0</v>
      </c>
      <c r="P214" s="73">
        <v>0.0</v>
      </c>
      <c r="Q214" s="73">
        <v>0.0</v>
      </c>
      <c r="R214" s="73">
        <v>0.0</v>
      </c>
      <c r="S214" s="73">
        <v>0.0</v>
      </c>
      <c r="T214" s="73">
        <v>1.0</v>
      </c>
      <c r="U214" s="73">
        <v>0.0</v>
      </c>
      <c r="V214" s="73">
        <v>0.0</v>
      </c>
      <c r="W214" s="73">
        <v>0.0</v>
      </c>
      <c r="X214" s="73">
        <v>0.0</v>
      </c>
      <c r="Y214" s="73">
        <v>1.0</v>
      </c>
      <c r="Z214" s="73">
        <v>1.0</v>
      </c>
      <c r="AA214" s="73">
        <v>1.0</v>
      </c>
      <c r="AB214" s="13">
        <f t="shared" si="42"/>
        <v>12</v>
      </c>
    </row>
    <row r="215" ht="12.75" customHeight="1">
      <c r="A215" s="18"/>
      <c r="B215" s="49"/>
      <c r="C215" s="50" t="s">
        <v>166</v>
      </c>
      <c r="D215" s="51"/>
      <c r="E215" s="73">
        <v>1.0</v>
      </c>
      <c r="F215" s="73">
        <v>1.0</v>
      </c>
      <c r="G215" s="73">
        <v>0.0</v>
      </c>
      <c r="H215" s="73">
        <v>1.0</v>
      </c>
      <c r="I215" s="73">
        <v>1.0</v>
      </c>
      <c r="J215" s="73">
        <v>0.0</v>
      </c>
      <c r="K215" s="73">
        <v>1.0</v>
      </c>
      <c r="L215" s="73">
        <v>0.0</v>
      </c>
      <c r="M215" s="73">
        <v>1.0</v>
      </c>
      <c r="N215" s="73">
        <v>1.0</v>
      </c>
      <c r="O215" s="73">
        <v>0.0</v>
      </c>
      <c r="P215" s="73">
        <v>0.0</v>
      </c>
      <c r="Q215" s="73">
        <v>1.0</v>
      </c>
      <c r="R215" s="73">
        <v>0.0</v>
      </c>
      <c r="S215" s="73">
        <v>0.0</v>
      </c>
      <c r="T215" s="73">
        <v>0.0</v>
      </c>
      <c r="U215" s="73">
        <v>0.0</v>
      </c>
      <c r="V215" s="73">
        <v>0.0</v>
      </c>
      <c r="W215" s="73">
        <v>0.0</v>
      </c>
      <c r="X215" s="73">
        <v>0.0</v>
      </c>
      <c r="Y215" s="73">
        <v>0.0</v>
      </c>
      <c r="Z215" s="73">
        <v>0.0</v>
      </c>
      <c r="AA215" s="73">
        <v>0.0</v>
      </c>
      <c r="AB215" s="13">
        <f t="shared" si="42"/>
        <v>8</v>
      </c>
    </row>
    <row r="216" ht="12.75" customHeight="1">
      <c r="A216" s="18"/>
      <c r="B216" s="49"/>
      <c r="C216" s="50" t="s">
        <v>167</v>
      </c>
      <c r="D216" s="51"/>
      <c r="E216" s="73">
        <v>0.0</v>
      </c>
      <c r="F216" s="73">
        <v>0.0</v>
      </c>
      <c r="G216" s="73">
        <v>1.0</v>
      </c>
      <c r="H216" s="73">
        <v>1.0</v>
      </c>
      <c r="I216" s="73">
        <v>0.0</v>
      </c>
      <c r="J216" s="73">
        <v>0.0</v>
      </c>
      <c r="K216" s="73">
        <v>0.0</v>
      </c>
      <c r="L216" s="73">
        <v>0.0</v>
      </c>
      <c r="M216" s="73">
        <v>0.0</v>
      </c>
      <c r="N216" s="73">
        <v>0.0</v>
      </c>
      <c r="O216" s="73">
        <v>0.0</v>
      </c>
      <c r="P216" s="73">
        <v>0.0</v>
      </c>
      <c r="Q216" s="73">
        <v>0.0</v>
      </c>
      <c r="R216" s="73">
        <v>0.0</v>
      </c>
      <c r="S216" s="73">
        <v>1.0</v>
      </c>
      <c r="T216" s="73">
        <v>0.0</v>
      </c>
      <c r="U216" s="73">
        <v>1.0</v>
      </c>
      <c r="V216" s="73">
        <v>0.0</v>
      </c>
      <c r="W216" s="73">
        <v>0.0</v>
      </c>
      <c r="X216" s="73">
        <v>0.0</v>
      </c>
      <c r="Y216" s="73">
        <v>0.0</v>
      </c>
      <c r="Z216" s="73">
        <v>0.0</v>
      </c>
      <c r="AA216" s="73">
        <v>0.0</v>
      </c>
      <c r="AB216" s="13">
        <f t="shared" si="42"/>
        <v>4</v>
      </c>
    </row>
    <row r="217" ht="12.75" customHeight="1">
      <c r="A217" s="18"/>
      <c r="B217" s="57"/>
      <c r="C217" s="58"/>
      <c r="D217" s="6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3">
        <f t="shared" si="42"/>
        <v>0</v>
      </c>
    </row>
    <row r="218" ht="12.75" customHeight="1">
      <c r="A218" s="18"/>
      <c r="B218" s="57"/>
      <c r="C218" s="58"/>
      <c r="D218" s="6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3">
        <f t="shared" si="42"/>
        <v>0</v>
      </c>
    </row>
    <row r="219" ht="12.75" customHeight="1">
      <c r="A219" s="18"/>
      <c r="B219" s="57"/>
      <c r="C219" s="58"/>
      <c r="D219" s="66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3">
        <f t="shared" si="42"/>
        <v>0</v>
      </c>
    </row>
    <row r="220" ht="12.75" customHeight="1">
      <c r="A220" s="18"/>
      <c r="B220" s="57"/>
      <c r="C220" s="58"/>
      <c r="D220" s="66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3">
        <f t="shared" si="42"/>
        <v>0</v>
      </c>
    </row>
    <row r="221" ht="12.75" customHeight="1">
      <c r="A221" s="18"/>
      <c r="B221" s="57"/>
      <c r="C221" s="58"/>
      <c r="D221" s="66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3">
        <f t="shared" si="42"/>
        <v>0</v>
      </c>
    </row>
    <row r="222" ht="12.75" customHeight="1">
      <c r="A222" s="18"/>
      <c r="B222" s="57"/>
      <c r="C222" s="58"/>
      <c r="D222" s="66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3">
        <f t="shared" si="42"/>
        <v>0</v>
      </c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B223" si="43">SUM(E213:E222)</f>
        <v>5</v>
      </c>
      <c r="F223" s="13">
        <f t="shared" si="43"/>
        <v>2</v>
      </c>
      <c r="G223" s="13">
        <f t="shared" si="43"/>
        <v>4</v>
      </c>
      <c r="H223" s="13">
        <f t="shared" si="43"/>
        <v>4</v>
      </c>
      <c r="I223" s="13">
        <f t="shared" si="43"/>
        <v>1</v>
      </c>
      <c r="J223" s="13">
        <f t="shared" si="43"/>
        <v>2</v>
      </c>
      <c r="K223" s="13">
        <f t="shared" si="43"/>
        <v>1</v>
      </c>
      <c r="L223" s="13">
        <f t="shared" si="43"/>
        <v>1</v>
      </c>
      <c r="M223" s="13">
        <f t="shared" si="43"/>
        <v>5</v>
      </c>
      <c r="N223" s="13">
        <f t="shared" si="43"/>
        <v>1</v>
      </c>
      <c r="O223" s="13">
        <f t="shared" si="43"/>
        <v>1</v>
      </c>
      <c r="P223" s="13">
        <f t="shared" si="43"/>
        <v>0</v>
      </c>
      <c r="Q223" s="13">
        <f t="shared" si="43"/>
        <v>3</v>
      </c>
      <c r="R223" s="13">
        <f t="shared" si="43"/>
        <v>2</v>
      </c>
      <c r="S223" s="13">
        <f t="shared" si="43"/>
        <v>1</v>
      </c>
      <c r="T223" s="13">
        <f t="shared" si="43"/>
        <v>2</v>
      </c>
      <c r="U223" s="13">
        <f t="shared" si="43"/>
        <v>1</v>
      </c>
      <c r="V223" s="13">
        <f t="shared" si="43"/>
        <v>0</v>
      </c>
      <c r="W223" s="13">
        <f t="shared" si="43"/>
        <v>2</v>
      </c>
      <c r="X223" s="13">
        <f t="shared" si="43"/>
        <v>1</v>
      </c>
      <c r="Y223" s="13">
        <f t="shared" si="43"/>
        <v>3</v>
      </c>
      <c r="Z223" s="13">
        <f t="shared" si="43"/>
        <v>5</v>
      </c>
      <c r="AA223" s="13">
        <f t="shared" si="43"/>
        <v>2</v>
      </c>
      <c r="AB223" s="13">
        <f t="shared" si="43"/>
        <v>49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0.0</v>
      </c>
      <c r="F225" s="73">
        <v>0.0</v>
      </c>
      <c r="G225" s="73">
        <v>0.0</v>
      </c>
      <c r="H225" s="73">
        <v>1.0</v>
      </c>
      <c r="I225" s="73">
        <v>1.0</v>
      </c>
      <c r="J225" s="73">
        <v>0.0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0.0</v>
      </c>
      <c r="Q225" s="73">
        <v>1.0</v>
      </c>
      <c r="R225" s="73">
        <v>1.0</v>
      </c>
      <c r="S225" s="73">
        <v>0.0</v>
      </c>
      <c r="T225" s="73">
        <v>0.0</v>
      </c>
      <c r="U225" s="73">
        <v>0.0</v>
      </c>
      <c r="V225" s="73">
        <v>0.0</v>
      </c>
      <c r="W225" s="73">
        <v>2.0</v>
      </c>
      <c r="X225" s="73">
        <v>1.0</v>
      </c>
      <c r="Y225" s="73">
        <v>0.0</v>
      </c>
      <c r="Z225" s="73">
        <v>0.0</v>
      </c>
      <c r="AA225" s="73">
        <v>0.0</v>
      </c>
      <c r="AB225" s="13">
        <f t="shared" ref="AB225:AB234" si="44">SUM(E225:AA225)</f>
        <v>7</v>
      </c>
    </row>
    <row r="226" ht="12.75" customHeight="1">
      <c r="A226" s="30" t="s">
        <v>39</v>
      </c>
      <c r="B226" s="49"/>
      <c r="C226" s="50" t="s">
        <v>170</v>
      </c>
      <c r="D226" s="51"/>
      <c r="E226" s="73">
        <v>0.0</v>
      </c>
      <c r="F226" s="73">
        <v>0.0</v>
      </c>
      <c r="G226" s="73">
        <v>0.0</v>
      </c>
      <c r="H226" s="73">
        <v>0.0</v>
      </c>
      <c r="I226" s="73">
        <v>2.0</v>
      </c>
      <c r="J226" s="73">
        <v>0.0</v>
      </c>
      <c r="K226" s="73">
        <v>2.0</v>
      </c>
      <c r="L226" s="73">
        <v>1.0</v>
      </c>
      <c r="M226" s="73">
        <v>0.0</v>
      </c>
      <c r="N226" s="73">
        <v>0.0</v>
      </c>
      <c r="O226" s="73">
        <v>0.0</v>
      </c>
      <c r="P226" s="73">
        <v>0.0</v>
      </c>
      <c r="Q226" s="73">
        <v>0.0</v>
      </c>
      <c r="R226" s="73">
        <v>1.0</v>
      </c>
      <c r="S226" s="73">
        <v>0.0</v>
      </c>
      <c r="T226" s="73">
        <v>2.0</v>
      </c>
      <c r="U226" s="73">
        <v>2.0</v>
      </c>
      <c r="V226" s="73">
        <v>0.0</v>
      </c>
      <c r="W226" s="73">
        <v>2.0</v>
      </c>
      <c r="X226" s="73">
        <v>0.0</v>
      </c>
      <c r="Y226" s="73">
        <v>0.0</v>
      </c>
      <c r="Z226" s="73">
        <v>0.0</v>
      </c>
      <c r="AA226" s="73">
        <v>0.0</v>
      </c>
      <c r="AB226" s="13">
        <f t="shared" si="44"/>
        <v>12</v>
      </c>
    </row>
    <row r="227" ht="12.75" customHeight="1">
      <c r="A227" s="18"/>
      <c r="B227" s="49"/>
      <c r="C227" s="50" t="s">
        <v>171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0.0</v>
      </c>
      <c r="U227" s="73">
        <v>0.0</v>
      </c>
      <c r="V227" s="73">
        <v>0.0</v>
      </c>
      <c r="W227" s="73">
        <v>0.0</v>
      </c>
      <c r="X227" s="73">
        <v>0.0</v>
      </c>
      <c r="Y227" s="73">
        <v>0.0</v>
      </c>
      <c r="Z227" s="73">
        <v>0.0</v>
      </c>
      <c r="AA227" s="73">
        <v>0.0</v>
      </c>
      <c r="AB227" s="13">
        <f t="shared" si="44"/>
        <v>0</v>
      </c>
    </row>
    <row r="228" ht="12.75" customHeight="1">
      <c r="A228" s="18"/>
      <c r="B228" s="49"/>
      <c r="C228" s="50" t="s">
        <v>172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73">
        <v>0.0</v>
      </c>
      <c r="AB228" s="13">
        <f t="shared" si="44"/>
        <v>0</v>
      </c>
    </row>
    <row r="229" ht="12.75" customHeight="1">
      <c r="A229" s="18"/>
      <c r="B229" s="49"/>
      <c r="C229" s="50" t="s">
        <v>173</v>
      </c>
      <c r="D229" s="51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73">
        <v>1.0</v>
      </c>
      <c r="V229" s="73">
        <v>0.0</v>
      </c>
      <c r="W229" s="73">
        <v>0.0</v>
      </c>
      <c r="X229" s="73">
        <v>0.0</v>
      </c>
      <c r="Y229" s="73">
        <v>0.0</v>
      </c>
      <c r="Z229" s="73">
        <v>0.0</v>
      </c>
      <c r="AA229" s="73">
        <v>0.0</v>
      </c>
      <c r="AB229" s="13">
        <f t="shared" si="44"/>
        <v>1</v>
      </c>
    </row>
    <row r="230" ht="12.75" customHeight="1">
      <c r="A230" s="18"/>
      <c r="B230" s="57"/>
      <c r="C230" s="58"/>
      <c r="D230" s="5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3">
        <f t="shared" si="44"/>
        <v>0</v>
      </c>
    </row>
    <row r="231" ht="12.75" customHeight="1">
      <c r="A231" s="18"/>
      <c r="B231" s="57"/>
      <c r="C231" s="58"/>
      <c r="D231" s="5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3">
        <f t="shared" si="44"/>
        <v>0</v>
      </c>
    </row>
    <row r="232" ht="12.75" customHeight="1">
      <c r="A232" s="18"/>
      <c r="B232" s="57"/>
      <c r="C232" s="58"/>
      <c r="D232" s="5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3">
        <f t="shared" si="44"/>
        <v>0</v>
      </c>
    </row>
    <row r="233" ht="12.75" customHeight="1">
      <c r="A233" s="18"/>
      <c r="B233" s="57"/>
      <c r="C233" s="58"/>
      <c r="D233" s="5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3">
        <f t="shared" si="44"/>
        <v>0</v>
      </c>
    </row>
    <row r="234" ht="12.75" customHeight="1">
      <c r="A234" s="18"/>
      <c r="B234" s="57"/>
      <c r="C234" s="58"/>
      <c r="D234" s="5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3">
        <f t="shared" si="44"/>
        <v>0</v>
      </c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B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1</v>
      </c>
      <c r="I235" s="13">
        <f t="shared" si="45"/>
        <v>3</v>
      </c>
      <c r="J235" s="13">
        <f t="shared" si="45"/>
        <v>0</v>
      </c>
      <c r="K235" s="13">
        <f t="shared" si="45"/>
        <v>2</v>
      </c>
      <c r="L235" s="13">
        <f t="shared" si="45"/>
        <v>1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1</v>
      </c>
      <c r="R235" s="13">
        <f t="shared" si="45"/>
        <v>2</v>
      </c>
      <c r="S235" s="13">
        <f t="shared" si="45"/>
        <v>0</v>
      </c>
      <c r="T235" s="13">
        <f t="shared" si="45"/>
        <v>2</v>
      </c>
      <c r="U235" s="13">
        <f t="shared" si="45"/>
        <v>3</v>
      </c>
      <c r="V235" s="13">
        <f t="shared" si="45"/>
        <v>0</v>
      </c>
      <c r="W235" s="13">
        <f t="shared" si="45"/>
        <v>4</v>
      </c>
      <c r="X235" s="13">
        <f t="shared" si="45"/>
        <v>1</v>
      </c>
      <c r="Y235" s="13">
        <f t="shared" si="45"/>
        <v>0</v>
      </c>
      <c r="Z235" s="13">
        <f t="shared" si="45"/>
        <v>0</v>
      </c>
      <c r="AA235" s="13">
        <f t="shared" si="45"/>
        <v>0</v>
      </c>
      <c r="AB235" s="13">
        <f t="shared" si="45"/>
        <v>20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2.0</v>
      </c>
      <c r="F237" s="73">
        <v>0.0</v>
      </c>
      <c r="G237" s="73">
        <v>3.0</v>
      </c>
      <c r="H237" s="73">
        <v>2.0</v>
      </c>
      <c r="I237" s="73">
        <v>3.0</v>
      </c>
      <c r="J237" s="73">
        <v>1.0</v>
      </c>
      <c r="K237" s="73">
        <v>2.0</v>
      </c>
      <c r="L237" s="73">
        <v>1.0</v>
      </c>
      <c r="M237" s="73">
        <v>1.0</v>
      </c>
      <c r="N237" s="73">
        <v>0.0</v>
      </c>
      <c r="O237" s="73">
        <v>0.0</v>
      </c>
      <c r="P237" s="73">
        <v>0.0</v>
      </c>
      <c r="Q237" s="73">
        <v>1.0</v>
      </c>
      <c r="R237" s="73">
        <v>1.0</v>
      </c>
      <c r="S237" s="73">
        <v>1.0</v>
      </c>
      <c r="T237" s="73">
        <v>1.0</v>
      </c>
      <c r="U237" s="73">
        <v>1.0</v>
      </c>
      <c r="V237" s="73">
        <v>0.0</v>
      </c>
      <c r="W237" s="73">
        <v>0.0</v>
      </c>
      <c r="X237" s="73">
        <v>0.0</v>
      </c>
      <c r="Y237" s="73">
        <v>1.0</v>
      </c>
      <c r="Z237" s="73">
        <v>1.0</v>
      </c>
      <c r="AA237" s="73">
        <v>1.0</v>
      </c>
      <c r="AB237" s="13">
        <f t="shared" ref="AB237:AB246" si="46">SUM(E237:AA237)</f>
        <v>23</v>
      </c>
    </row>
    <row r="238" ht="12.75" customHeight="1">
      <c r="A238" s="30" t="s">
        <v>39</v>
      </c>
      <c r="B238" s="49"/>
      <c r="C238" s="50" t="s">
        <v>176</v>
      </c>
      <c r="D238" s="51"/>
      <c r="E238" s="73">
        <v>1.0</v>
      </c>
      <c r="F238" s="73">
        <v>1.0</v>
      </c>
      <c r="G238" s="73">
        <v>1.0</v>
      </c>
      <c r="H238" s="73">
        <v>0.0</v>
      </c>
      <c r="I238" s="73">
        <v>1.0</v>
      </c>
      <c r="J238" s="73">
        <v>1.0</v>
      </c>
      <c r="K238" s="73">
        <v>0.0</v>
      </c>
      <c r="L238" s="73">
        <v>0.0</v>
      </c>
      <c r="M238" s="73">
        <v>1.0</v>
      </c>
      <c r="N238" s="73">
        <v>2.0</v>
      </c>
      <c r="O238" s="73">
        <v>0.0</v>
      </c>
      <c r="P238" s="73">
        <v>0.0</v>
      </c>
      <c r="Q238" s="73">
        <v>0.0</v>
      </c>
      <c r="R238" s="73">
        <v>0.0</v>
      </c>
      <c r="S238" s="73">
        <v>1.0</v>
      </c>
      <c r="T238" s="73">
        <v>0.0</v>
      </c>
      <c r="U238" s="73">
        <v>0.0</v>
      </c>
      <c r="V238" s="73">
        <v>1.0</v>
      </c>
      <c r="W238" s="73">
        <v>1.0</v>
      </c>
      <c r="X238" s="73">
        <v>0.0</v>
      </c>
      <c r="Y238" s="73">
        <v>1.0</v>
      </c>
      <c r="Z238" s="73">
        <v>0.0</v>
      </c>
      <c r="AA238" s="73">
        <v>3.0</v>
      </c>
      <c r="AB238" s="13">
        <f t="shared" si="46"/>
        <v>15</v>
      </c>
    </row>
    <row r="239" ht="12.75" customHeight="1">
      <c r="A239" s="18"/>
      <c r="B239" s="49"/>
      <c r="C239" s="50" t="s">
        <v>177</v>
      </c>
      <c r="D239" s="51"/>
      <c r="E239" s="73">
        <v>1.0</v>
      </c>
      <c r="F239" s="73">
        <v>0.0</v>
      </c>
      <c r="G239" s="73">
        <v>2.0</v>
      </c>
      <c r="H239" s="73">
        <v>0.0</v>
      </c>
      <c r="I239" s="73">
        <v>5.0</v>
      </c>
      <c r="J239" s="73">
        <v>1.0</v>
      </c>
      <c r="K239" s="73">
        <v>1.0</v>
      </c>
      <c r="L239" s="73">
        <v>1.0</v>
      </c>
      <c r="M239" s="73">
        <v>1.0</v>
      </c>
      <c r="N239" s="73">
        <v>0.0</v>
      </c>
      <c r="O239" s="73">
        <v>0.0</v>
      </c>
      <c r="P239" s="73">
        <v>0.0</v>
      </c>
      <c r="Q239" s="73">
        <v>0.0</v>
      </c>
      <c r="R239" s="73">
        <v>0.0</v>
      </c>
      <c r="S239" s="73">
        <v>1.0</v>
      </c>
      <c r="T239" s="73">
        <v>0.0</v>
      </c>
      <c r="U239" s="73">
        <v>0.0</v>
      </c>
      <c r="V239" s="73">
        <v>1.0</v>
      </c>
      <c r="W239" s="73">
        <v>0.0</v>
      </c>
      <c r="X239" s="73">
        <v>0.0</v>
      </c>
      <c r="Y239" s="73">
        <v>1.0</v>
      </c>
      <c r="Z239" s="73">
        <v>0.0</v>
      </c>
      <c r="AA239" s="73">
        <v>0.0</v>
      </c>
      <c r="AB239" s="13">
        <f t="shared" si="46"/>
        <v>15</v>
      </c>
    </row>
    <row r="240" ht="12.75" customHeight="1">
      <c r="A240" s="18"/>
      <c r="B240" s="49"/>
      <c r="C240" s="50" t="s">
        <v>178</v>
      </c>
      <c r="D240" s="51"/>
      <c r="E240" s="73">
        <v>0.0</v>
      </c>
      <c r="F240" s="73">
        <v>0.0</v>
      </c>
      <c r="G240" s="73">
        <v>1.0</v>
      </c>
      <c r="H240" s="73">
        <v>0.0</v>
      </c>
      <c r="I240" s="73">
        <v>0.0</v>
      </c>
      <c r="J240" s="73">
        <v>1.0</v>
      </c>
      <c r="K240" s="73">
        <v>1.0</v>
      </c>
      <c r="L240" s="73">
        <v>0.0</v>
      </c>
      <c r="M240" s="73">
        <v>0.0</v>
      </c>
      <c r="N240" s="73">
        <v>0.0</v>
      </c>
      <c r="O240" s="73">
        <v>0.0</v>
      </c>
      <c r="P240" s="73">
        <v>0.0</v>
      </c>
      <c r="Q240" s="73">
        <v>2.0</v>
      </c>
      <c r="R240" s="73">
        <v>0.0</v>
      </c>
      <c r="S240" s="73">
        <v>0.0</v>
      </c>
      <c r="T240" s="73">
        <v>1.0</v>
      </c>
      <c r="U240" s="73">
        <v>0.0</v>
      </c>
      <c r="V240" s="73">
        <v>0.0</v>
      </c>
      <c r="W240" s="73">
        <v>0.0</v>
      </c>
      <c r="X240" s="73">
        <v>0.0</v>
      </c>
      <c r="Y240" s="73">
        <v>0.0</v>
      </c>
      <c r="Z240" s="73">
        <v>0.0</v>
      </c>
      <c r="AA240" s="73">
        <v>0.0</v>
      </c>
      <c r="AB240" s="13">
        <f t="shared" si="46"/>
        <v>6</v>
      </c>
    </row>
    <row r="241" ht="12.75" customHeight="1">
      <c r="A241" s="18"/>
      <c r="B241" s="49"/>
      <c r="C241" s="50" t="s">
        <v>179</v>
      </c>
      <c r="D241" s="51"/>
      <c r="E241" s="73">
        <v>0.0</v>
      </c>
      <c r="F241" s="73">
        <v>0.0</v>
      </c>
      <c r="G241" s="73">
        <v>1.0</v>
      </c>
      <c r="H241" s="73">
        <v>0.0</v>
      </c>
      <c r="I241" s="73">
        <v>1.0</v>
      </c>
      <c r="J241" s="73">
        <v>0.0</v>
      </c>
      <c r="K241" s="73">
        <v>0.0</v>
      </c>
      <c r="L241" s="73">
        <v>0.0</v>
      </c>
      <c r="M241" s="73">
        <v>1.0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73">
        <v>0.0</v>
      </c>
      <c r="Z241" s="73">
        <v>0.0</v>
      </c>
      <c r="AA241" s="73">
        <v>0.0</v>
      </c>
      <c r="AB241" s="13">
        <f t="shared" si="46"/>
        <v>3</v>
      </c>
    </row>
    <row r="242" ht="12.75" customHeight="1">
      <c r="A242" s="18"/>
      <c r="B242" s="49"/>
      <c r="C242" s="50" t="s">
        <v>180</v>
      </c>
      <c r="D242" s="51"/>
      <c r="E242" s="73">
        <v>0.0</v>
      </c>
      <c r="F242" s="73">
        <v>0.0</v>
      </c>
      <c r="G242" s="73">
        <v>3.0</v>
      </c>
      <c r="H242" s="73">
        <v>6.0</v>
      </c>
      <c r="I242" s="73">
        <v>2.0</v>
      </c>
      <c r="J242" s="73">
        <v>6.0</v>
      </c>
      <c r="K242" s="73">
        <v>0.0</v>
      </c>
      <c r="L242" s="73">
        <v>0.0</v>
      </c>
      <c r="M242" s="73">
        <v>0.0</v>
      </c>
      <c r="N242" s="73">
        <v>0.0</v>
      </c>
      <c r="O242" s="73">
        <v>1.0</v>
      </c>
      <c r="P242" s="73">
        <v>0.0</v>
      </c>
      <c r="Q242" s="73">
        <v>1.0</v>
      </c>
      <c r="R242" s="73">
        <v>2.0</v>
      </c>
      <c r="S242" s="73">
        <v>1.0</v>
      </c>
      <c r="T242" s="73">
        <v>12.0</v>
      </c>
      <c r="U242" s="73">
        <v>2.0</v>
      </c>
      <c r="V242" s="73">
        <v>0.0</v>
      </c>
      <c r="W242" s="73">
        <v>1.0</v>
      </c>
      <c r="X242" s="73">
        <v>9.0</v>
      </c>
      <c r="Y242" s="73">
        <v>43.0</v>
      </c>
      <c r="Z242" s="73">
        <v>2.0</v>
      </c>
      <c r="AA242" s="73">
        <v>0.0</v>
      </c>
      <c r="AB242" s="13">
        <f t="shared" si="46"/>
        <v>91</v>
      </c>
    </row>
    <row r="243" ht="12.75" customHeight="1">
      <c r="A243" s="18"/>
      <c r="B243" s="49"/>
      <c r="C243" s="50" t="s">
        <v>181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1.0</v>
      </c>
      <c r="M243" s="73">
        <v>1.0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73">
        <v>0.0</v>
      </c>
      <c r="Z243" s="73">
        <v>0.0</v>
      </c>
      <c r="AA243" s="73">
        <v>0.0</v>
      </c>
      <c r="AB243" s="13">
        <f t="shared" si="46"/>
        <v>2</v>
      </c>
    </row>
    <row r="244" ht="12.75" customHeight="1">
      <c r="A244" s="18"/>
      <c r="B244" s="49"/>
      <c r="C244" s="50" t="s">
        <v>182</v>
      </c>
      <c r="D244" s="51"/>
      <c r="E244" s="73">
        <v>0.0</v>
      </c>
      <c r="F244" s="73">
        <v>0.0</v>
      </c>
      <c r="G244" s="73">
        <v>1.0</v>
      </c>
      <c r="H244" s="73">
        <v>2.0</v>
      </c>
      <c r="I244" s="73">
        <v>0.0</v>
      </c>
      <c r="J244" s="73">
        <v>1.0</v>
      </c>
      <c r="K244" s="73">
        <v>0.0</v>
      </c>
      <c r="L244" s="73">
        <v>0.0</v>
      </c>
      <c r="M244" s="73">
        <v>2.0</v>
      </c>
      <c r="N244" s="73">
        <v>0.0</v>
      </c>
      <c r="O244" s="73">
        <v>0.0</v>
      </c>
      <c r="P244" s="73">
        <v>0.0</v>
      </c>
      <c r="Q244" s="73">
        <v>1.0</v>
      </c>
      <c r="R244" s="73">
        <v>0.0</v>
      </c>
      <c r="S244" s="73">
        <v>1.0</v>
      </c>
      <c r="T244" s="73">
        <v>1.0</v>
      </c>
      <c r="U244" s="73">
        <v>0.0</v>
      </c>
      <c r="V244" s="73">
        <v>0.0</v>
      </c>
      <c r="W244" s="73">
        <v>0.0</v>
      </c>
      <c r="X244" s="73">
        <v>0.0</v>
      </c>
      <c r="Y244" s="73">
        <v>1.0</v>
      </c>
      <c r="Z244" s="73">
        <v>0.0</v>
      </c>
      <c r="AA244" s="73">
        <v>0.0</v>
      </c>
      <c r="AB244" s="13">
        <f t="shared" si="46"/>
        <v>10</v>
      </c>
    </row>
    <row r="245" ht="12.75" customHeight="1">
      <c r="A245" s="18"/>
      <c r="B245" s="49"/>
      <c r="C245" s="50" t="s">
        <v>183</v>
      </c>
      <c r="D245" s="51"/>
      <c r="E245" s="73">
        <v>0.0</v>
      </c>
      <c r="F245" s="73">
        <v>0.0</v>
      </c>
      <c r="G245" s="73">
        <v>0.0</v>
      </c>
      <c r="H245" s="73">
        <v>0.0</v>
      </c>
      <c r="I245" s="73">
        <v>0.0</v>
      </c>
      <c r="J245" s="73">
        <v>0.0</v>
      </c>
      <c r="K245" s="73">
        <v>0.0</v>
      </c>
      <c r="L245" s="73">
        <v>0.0</v>
      </c>
      <c r="M245" s="73">
        <v>1.0</v>
      </c>
      <c r="N245" s="73">
        <v>0.0</v>
      </c>
      <c r="O245" s="73">
        <v>0.0</v>
      </c>
      <c r="P245" s="73">
        <v>0.0</v>
      </c>
      <c r="Q245" s="73">
        <v>0.0</v>
      </c>
      <c r="R245" s="73">
        <v>0.0</v>
      </c>
      <c r="S245" s="73">
        <v>0.0</v>
      </c>
      <c r="T245" s="73">
        <v>0.0</v>
      </c>
      <c r="U245" s="73">
        <v>0.0</v>
      </c>
      <c r="V245" s="73">
        <v>0.0</v>
      </c>
      <c r="W245" s="73">
        <v>0.0</v>
      </c>
      <c r="X245" s="73">
        <v>0.0</v>
      </c>
      <c r="Y245" s="73">
        <v>0.0</v>
      </c>
      <c r="Z245" s="73">
        <v>0.0</v>
      </c>
      <c r="AA245" s="73">
        <v>0.0</v>
      </c>
      <c r="AB245" s="13">
        <f t="shared" si="46"/>
        <v>1</v>
      </c>
    </row>
    <row r="246" ht="12.75" customHeight="1">
      <c r="A246" s="18"/>
      <c r="B246" s="49"/>
      <c r="C246" s="50" t="s">
        <v>184</v>
      </c>
      <c r="D246" s="51"/>
      <c r="E246" s="73">
        <v>0.0</v>
      </c>
      <c r="F246" s="73">
        <v>0.0</v>
      </c>
      <c r="G246" s="73">
        <v>0.0</v>
      </c>
      <c r="H246" s="73">
        <v>0.0</v>
      </c>
      <c r="I246" s="73">
        <v>0.0</v>
      </c>
      <c r="J246" s="73">
        <v>0.0</v>
      </c>
      <c r="K246" s="73">
        <v>0.0</v>
      </c>
      <c r="L246" s="73">
        <v>1.0</v>
      </c>
      <c r="M246" s="73">
        <v>0.0</v>
      </c>
      <c r="N246" s="73">
        <v>0.0</v>
      </c>
      <c r="O246" s="73">
        <v>0.0</v>
      </c>
      <c r="P246" s="73">
        <v>1.0</v>
      </c>
      <c r="Q246" s="73">
        <v>1.0</v>
      </c>
      <c r="R246" s="73">
        <v>0.0</v>
      </c>
      <c r="S246" s="73">
        <v>0.0</v>
      </c>
      <c r="T246" s="73">
        <v>0.0</v>
      </c>
      <c r="U246" s="73">
        <v>0.0</v>
      </c>
      <c r="V246" s="73">
        <v>0.0</v>
      </c>
      <c r="W246" s="73">
        <v>1.0</v>
      </c>
      <c r="X246" s="73">
        <v>0.0</v>
      </c>
      <c r="Y246" s="73">
        <v>0.0</v>
      </c>
      <c r="Z246" s="73">
        <v>0.0</v>
      </c>
      <c r="AA246" s="73">
        <v>0.0</v>
      </c>
      <c r="AB246" s="13">
        <f t="shared" si="46"/>
        <v>4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B247" si="47">SUM(E237:E246)</f>
        <v>4</v>
      </c>
      <c r="F247" s="13">
        <f t="shared" si="47"/>
        <v>1</v>
      </c>
      <c r="G247" s="13">
        <f t="shared" si="47"/>
        <v>12</v>
      </c>
      <c r="H247" s="13">
        <f t="shared" si="47"/>
        <v>10</v>
      </c>
      <c r="I247" s="13">
        <f t="shared" si="47"/>
        <v>12</v>
      </c>
      <c r="J247" s="13">
        <f t="shared" si="47"/>
        <v>11</v>
      </c>
      <c r="K247" s="13">
        <f t="shared" si="47"/>
        <v>4</v>
      </c>
      <c r="L247" s="13">
        <f t="shared" si="47"/>
        <v>4</v>
      </c>
      <c r="M247" s="13">
        <f t="shared" si="47"/>
        <v>8</v>
      </c>
      <c r="N247" s="13">
        <f t="shared" si="47"/>
        <v>2</v>
      </c>
      <c r="O247" s="13">
        <f t="shared" si="47"/>
        <v>1</v>
      </c>
      <c r="P247" s="13">
        <f t="shared" si="47"/>
        <v>1</v>
      </c>
      <c r="Q247" s="13">
        <f t="shared" si="47"/>
        <v>6</v>
      </c>
      <c r="R247" s="13">
        <f t="shared" si="47"/>
        <v>3</v>
      </c>
      <c r="S247" s="13">
        <f t="shared" si="47"/>
        <v>5</v>
      </c>
      <c r="T247" s="13">
        <f t="shared" si="47"/>
        <v>15</v>
      </c>
      <c r="U247" s="13">
        <f t="shared" si="47"/>
        <v>3</v>
      </c>
      <c r="V247" s="13">
        <f t="shared" si="47"/>
        <v>2</v>
      </c>
      <c r="W247" s="13">
        <f t="shared" si="47"/>
        <v>3</v>
      </c>
      <c r="X247" s="13">
        <f t="shared" si="47"/>
        <v>9</v>
      </c>
      <c r="Y247" s="13">
        <f t="shared" si="47"/>
        <v>47</v>
      </c>
      <c r="Z247" s="13">
        <f t="shared" si="47"/>
        <v>3</v>
      </c>
      <c r="AA247" s="13">
        <f t="shared" si="47"/>
        <v>4</v>
      </c>
      <c r="AB247" s="13">
        <f t="shared" si="47"/>
        <v>170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0.0</v>
      </c>
      <c r="M249" s="73">
        <v>0.0</v>
      </c>
      <c r="N249" s="73">
        <v>0.0</v>
      </c>
      <c r="O249" s="73">
        <v>0.0</v>
      </c>
      <c r="P249" s="73">
        <v>0.0</v>
      </c>
      <c r="Q249" s="73">
        <v>0.0</v>
      </c>
      <c r="R249" s="73">
        <v>0.0</v>
      </c>
      <c r="S249" s="73">
        <v>0.0</v>
      </c>
      <c r="T249" s="73">
        <v>1.0</v>
      </c>
      <c r="U249" s="73">
        <v>0.0</v>
      </c>
      <c r="V249" s="73">
        <v>1.0</v>
      </c>
      <c r="W249" s="73">
        <v>0.0</v>
      </c>
      <c r="X249" s="73">
        <v>0.0</v>
      </c>
      <c r="Y249" s="73">
        <v>0.0</v>
      </c>
      <c r="Z249" s="73">
        <v>0.0</v>
      </c>
      <c r="AA249" s="73">
        <v>0.0</v>
      </c>
      <c r="AB249" s="13">
        <f t="shared" ref="AB249:AB258" si="48">SUM(E249:AA249)</f>
        <v>2</v>
      </c>
    </row>
    <row r="250" ht="12.75" customHeight="1">
      <c r="A250" s="30" t="s">
        <v>39</v>
      </c>
      <c r="B250" s="49"/>
      <c r="C250" s="50" t="s">
        <v>187</v>
      </c>
      <c r="D250" s="51"/>
      <c r="E250" s="73">
        <v>1.0</v>
      </c>
      <c r="F250" s="73">
        <v>1.0</v>
      </c>
      <c r="G250" s="73">
        <v>3.0</v>
      </c>
      <c r="H250" s="73">
        <v>0.0</v>
      </c>
      <c r="I250" s="73">
        <v>0.0</v>
      </c>
      <c r="J250" s="73">
        <v>0.0</v>
      </c>
      <c r="K250" s="73">
        <v>0.0</v>
      </c>
      <c r="L250" s="73">
        <v>0.0</v>
      </c>
      <c r="M250" s="73">
        <v>0.0</v>
      </c>
      <c r="N250" s="73">
        <v>1.0</v>
      </c>
      <c r="O250" s="73">
        <v>2.0</v>
      </c>
      <c r="P250" s="73">
        <v>0.0</v>
      </c>
      <c r="Q250" s="73">
        <v>0.0</v>
      </c>
      <c r="R250" s="73">
        <v>0.0</v>
      </c>
      <c r="S250" s="73">
        <v>0.0</v>
      </c>
      <c r="T250" s="73">
        <v>0.0</v>
      </c>
      <c r="U250" s="73">
        <v>0.0</v>
      </c>
      <c r="V250" s="73">
        <v>0.0</v>
      </c>
      <c r="W250" s="73">
        <v>0.0</v>
      </c>
      <c r="X250" s="73">
        <v>0.0</v>
      </c>
      <c r="Y250" s="73">
        <v>1.0</v>
      </c>
      <c r="Z250" s="73">
        <v>0.0</v>
      </c>
      <c r="AA250" s="73">
        <v>0.0</v>
      </c>
      <c r="AB250" s="13">
        <f t="shared" si="48"/>
        <v>9</v>
      </c>
    </row>
    <row r="251" ht="12.75" customHeight="1">
      <c r="A251" s="18"/>
      <c r="B251" s="49"/>
      <c r="C251" s="50" t="s">
        <v>188</v>
      </c>
      <c r="D251" s="51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1.0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0.0</v>
      </c>
      <c r="Y251" s="73">
        <v>0.0</v>
      </c>
      <c r="Z251" s="73">
        <v>0.0</v>
      </c>
      <c r="AA251" s="73">
        <v>0.0</v>
      </c>
      <c r="AB251" s="13">
        <f t="shared" si="48"/>
        <v>1</v>
      </c>
    </row>
    <row r="252" ht="12.75" customHeight="1">
      <c r="A252" s="18"/>
      <c r="B252" s="49"/>
      <c r="C252" s="50" t="s">
        <v>189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73">
        <v>1.0</v>
      </c>
      <c r="S252" s="73">
        <v>0.0</v>
      </c>
      <c r="T252" s="73">
        <v>0.0</v>
      </c>
      <c r="U252" s="73">
        <v>0.0</v>
      </c>
      <c r="V252" s="73">
        <v>0.0</v>
      </c>
      <c r="W252" s="73">
        <v>0.0</v>
      </c>
      <c r="X252" s="73">
        <v>0.0</v>
      </c>
      <c r="Y252" s="73">
        <v>0.0</v>
      </c>
      <c r="Z252" s="73">
        <v>0.0</v>
      </c>
      <c r="AA252" s="73">
        <v>0.0</v>
      </c>
      <c r="AB252" s="13">
        <f t="shared" si="48"/>
        <v>1</v>
      </c>
    </row>
    <row r="253" ht="12.75" customHeight="1">
      <c r="A253" s="18"/>
      <c r="B253" s="57"/>
      <c r="C253" s="67"/>
      <c r="D253" s="5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3">
        <f t="shared" si="48"/>
        <v>0</v>
      </c>
    </row>
    <row r="254" ht="12.75" customHeight="1">
      <c r="A254" s="18"/>
      <c r="B254" s="57"/>
      <c r="C254" s="67"/>
      <c r="D254" s="5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3">
        <f t="shared" si="48"/>
        <v>0</v>
      </c>
    </row>
    <row r="255" ht="12.75" customHeight="1">
      <c r="A255" s="18"/>
      <c r="B255" s="57"/>
      <c r="C255" s="67"/>
      <c r="D255" s="5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3">
        <f t="shared" si="48"/>
        <v>0</v>
      </c>
    </row>
    <row r="256" ht="12.75" customHeight="1">
      <c r="A256" s="18"/>
      <c r="B256" s="57"/>
      <c r="C256" s="64"/>
      <c r="D256" s="5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3">
        <f t="shared" si="48"/>
        <v>0</v>
      </c>
    </row>
    <row r="257" ht="12.75" customHeight="1">
      <c r="A257" s="18"/>
      <c r="B257" s="57"/>
      <c r="C257" s="64"/>
      <c r="D257" s="5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3">
        <f t="shared" si="48"/>
        <v>0</v>
      </c>
    </row>
    <row r="258" ht="12.75" customHeight="1">
      <c r="A258" s="18"/>
      <c r="B258" s="57"/>
      <c r="C258" s="64"/>
      <c r="D258" s="5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3">
        <f t="shared" si="48"/>
        <v>0</v>
      </c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B259" si="49">SUM(E249:E258)</f>
        <v>1</v>
      </c>
      <c r="F259" s="13">
        <f t="shared" si="49"/>
        <v>1</v>
      </c>
      <c r="G259" s="13">
        <f t="shared" si="49"/>
        <v>3</v>
      </c>
      <c r="H259" s="13">
        <f t="shared" si="49"/>
        <v>0</v>
      </c>
      <c r="I259" s="13">
        <f t="shared" si="49"/>
        <v>0</v>
      </c>
      <c r="J259" s="13">
        <f t="shared" si="49"/>
        <v>1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1</v>
      </c>
      <c r="O259" s="13">
        <f t="shared" si="49"/>
        <v>2</v>
      </c>
      <c r="P259" s="13">
        <f t="shared" si="49"/>
        <v>0</v>
      </c>
      <c r="Q259" s="13">
        <f t="shared" si="49"/>
        <v>0</v>
      </c>
      <c r="R259" s="13">
        <f t="shared" si="49"/>
        <v>1</v>
      </c>
      <c r="S259" s="13">
        <f t="shared" si="49"/>
        <v>0</v>
      </c>
      <c r="T259" s="13">
        <f t="shared" si="49"/>
        <v>1</v>
      </c>
      <c r="U259" s="13">
        <f t="shared" si="49"/>
        <v>0</v>
      </c>
      <c r="V259" s="13">
        <f t="shared" si="49"/>
        <v>1</v>
      </c>
      <c r="W259" s="13">
        <f t="shared" si="49"/>
        <v>0</v>
      </c>
      <c r="X259" s="13">
        <f t="shared" si="49"/>
        <v>0</v>
      </c>
      <c r="Y259" s="13">
        <f t="shared" si="49"/>
        <v>1</v>
      </c>
      <c r="Z259" s="13">
        <f t="shared" si="49"/>
        <v>0</v>
      </c>
      <c r="AA259" s="13">
        <f t="shared" si="49"/>
        <v>0</v>
      </c>
      <c r="AB259" s="13">
        <f t="shared" si="49"/>
        <v>13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13"/>
      <c r="S261" s="13"/>
      <c r="T261" s="76"/>
      <c r="U261" s="76"/>
      <c r="V261" s="76"/>
      <c r="W261" s="76"/>
      <c r="X261" s="76"/>
      <c r="Y261" s="76"/>
      <c r="Z261" s="76"/>
      <c r="AA261" s="76"/>
      <c r="AB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AA262" si="50">E55+E67+E79+E91+E103+E115+E127+E139+E151+E163+E175+E187+E199+E211+E223+E235+E247+E259</f>
        <v>208</v>
      </c>
      <c r="F262" s="19">
        <f t="shared" si="50"/>
        <v>147</v>
      </c>
      <c r="G262" s="19">
        <f t="shared" si="50"/>
        <v>240</v>
      </c>
      <c r="H262" s="19">
        <f t="shared" si="50"/>
        <v>205</v>
      </c>
      <c r="I262" s="19">
        <f t="shared" si="50"/>
        <v>177</v>
      </c>
      <c r="J262" s="19">
        <f t="shared" si="50"/>
        <v>177</v>
      </c>
      <c r="K262" s="19">
        <f t="shared" si="50"/>
        <v>168</v>
      </c>
      <c r="L262" s="19">
        <f t="shared" si="50"/>
        <v>120</v>
      </c>
      <c r="M262" s="19">
        <f t="shared" si="50"/>
        <v>155</v>
      </c>
      <c r="N262" s="19">
        <f t="shared" si="50"/>
        <v>150</v>
      </c>
      <c r="O262" s="19">
        <f t="shared" si="50"/>
        <v>156</v>
      </c>
      <c r="P262" s="19">
        <f t="shared" si="50"/>
        <v>188</v>
      </c>
      <c r="Q262" s="19">
        <f t="shared" si="50"/>
        <v>209</v>
      </c>
      <c r="R262" s="19">
        <f t="shared" si="50"/>
        <v>202</v>
      </c>
      <c r="S262" s="19">
        <f t="shared" si="50"/>
        <v>149</v>
      </c>
      <c r="T262" s="19">
        <f t="shared" si="50"/>
        <v>169</v>
      </c>
      <c r="U262" s="19">
        <f t="shared" si="50"/>
        <v>124</v>
      </c>
      <c r="V262" s="19">
        <f t="shared" si="50"/>
        <v>156</v>
      </c>
      <c r="W262" s="19">
        <f t="shared" si="50"/>
        <v>158</v>
      </c>
      <c r="X262" s="19">
        <f t="shared" si="50"/>
        <v>109</v>
      </c>
      <c r="Y262" s="19">
        <f t="shared" si="50"/>
        <v>206</v>
      </c>
      <c r="Z262" s="19">
        <f t="shared" si="50"/>
        <v>134</v>
      </c>
      <c r="AA262" s="19">
        <f t="shared" si="50"/>
        <v>137</v>
      </c>
      <c r="AB262" s="13">
        <f t="shared" ref="AB262:AB264" si="51">SUM(E262:AA262)</f>
        <v>3844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16.0</v>
      </c>
      <c r="F263" s="73">
        <v>17.0</v>
      </c>
      <c r="G263" s="73">
        <v>7.0</v>
      </c>
      <c r="H263" s="73">
        <v>7.0</v>
      </c>
      <c r="I263" s="73">
        <v>24.0</v>
      </c>
      <c r="J263" s="73">
        <v>13.0</v>
      </c>
      <c r="K263" s="73">
        <v>28.0</v>
      </c>
      <c r="L263" s="73">
        <v>19.0</v>
      </c>
      <c r="M263" s="73">
        <v>18.0</v>
      </c>
      <c r="N263" s="73">
        <v>8.0</v>
      </c>
      <c r="O263" s="73">
        <v>7.0</v>
      </c>
      <c r="P263" s="73">
        <v>6.0</v>
      </c>
      <c r="Q263" s="73">
        <v>17.0</v>
      </c>
      <c r="R263" s="73">
        <v>20.0</v>
      </c>
      <c r="S263" s="73">
        <v>13.0</v>
      </c>
      <c r="T263" s="73">
        <v>15.0</v>
      </c>
      <c r="U263" s="73">
        <v>21.0</v>
      </c>
      <c r="V263" s="73">
        <v>12.0</v>
      </c>
      <c r="W263" s="73">
        <v>16.0</v>
      </c>
      <c r="X263" s="73">
        <v>50.0</v>
      </c>
      <c r="Y263" s="73">
        <v>16.0</v>
      </c>
      <c r="Z263" s="73">
        <v>44.0</v>
      </c>
      <c r="AA263" s="73">
        <v>20.0</v>
      </c>
      <c r="AB263" s="13">
        <f t="shared" si="51"/>
        <v>414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AA264" si="52">SUM(E262:E263)</f>
        <v>224</v>
      </c>
      <c r="F264" s="13">
        <f t="shared" si="52"/>
        <v>164</v>
      </c>
      <c r="G264" s="13">
        <f t="shared" si="52"/>
        <v>247</v>
      </c>
      <c r="H264" s="13">
        <f t="shared" si="52"/>
        <v>212</v>
      </c>
      <c r="I264" s="13">
        <f t="shared" si="52"/>
        <v>201</v>
      </c>
      <c r="J264" s="13">
        <f t="shared" si="52"/>
        <v>190</v>
      </c>
      <c r="K264" s="13">
        <f t="shared" si="52"/>
        <v>196</v>
      </c>
      <c r="L264" s="13">
        <f t="shared" si="52"/>
        <v>139</v>
      </c>
      <c r="M264" s="13">
        <f t="shared" si="52"/>
        <v>173</v>
      </c>
      <c r="N264" s="13">
        <f t="shared" si="52"/>
        <v>158</v>
      </c>
      <c r="O264" s="13">
        <f t="shared" si="52"/>
        <v>163</v>
      </c>
      <c r="P264" s="13">
        <f t="shared" si="52"/>
        <v>194</v>
      </c>
      <c r="Q264" s="13">
        <f t="shared" si="52"/>
        <v>226</v>
      </c>
      <c r="R264" s="13">
        <f t="shared" si="52"/>
        <v>222</v>
      </c>
      <c r="S264" s="13">
        <f t="shared" si="52"/>
        <v>162</v>
      </c>
      <c r="T264" s="13">
        <f t="shared" si="52"/>
        <v>184</v>
      </c>
      <c r="U264" s="13">
        <f t="shared" si="52"/>
        <v>145</v>
      </c>
      <c r="V264" s="13">
        <f t="shared" si="52"/>
        <v>168</v>
      </c>
      <c r="W264" s="13">
        <f t="shared" si="52"/>
        <v>174</v>
      </c>
      <c r="X264" s="13">
        <f t="shared" si="52"/>
        <v>159</v>
      </c>
      <c r="Y264" s="13">
        <f t="shared" si="52"/>
        <v>222</v>
      </c>
      <c r="Z264" s="13">
        <f t="shared" si="52"/>
        <v>178</v>
      </c>
      <c r="AA264" s="13">
        <f t="shared" si="52"/>
        <v>157</v>
      </c>
      <c r="AB264" s="13">
        <f t="shared" si="51"/>
        <v>4258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AA15">
    <cfRule type="containsBlanks" dxfId="1" priority="1">
      <formula>LEN(TRIM(E14))=0</formula>
    </cfRule>
  </conditionalFormatting>
  <conditionalFormatting sqref="E19:AA20">
    <cfRule type="containsBlanks" dxfId="1" priority="2">
      <formula>LEN(TRIM(E19))=0</formula>
    </cfRule>
  </conditionalFormatting>
  <conditionalFormatting sqref="E22:AA23 E25:AA26 E33:AA33 E35:AA35 E39:AA40">
    <cfRule type="containsBlanks" dxfId="1" priority="3">
      <formula>LEN(TRIM(E22))=0</formula>
    </cfRule>
  </conditionalFormatting>
  <conditionalFormatting sqref="E30:AA30">
    <cfRule type="expression" dxfId="0" priority="4">
      <formula>E30&lt;&gt;E47</formula>
    </cfRule>
  </conditionalFormatting>
  <conditionalFormatting sqref="E30:AA30">
    <cfRule type="expression" dxfId="0" priority="5">
      <formula>E30&lt;&gt;E34</formula>
    </cfRule>
  </conditionalFormatting>
  <conditionalFormatting sqref="E34:AA34">
    <cfRule type="expression" dxfId="2" priority="6">
      <formula>E30&lt;&gt;E34</formula>
    </cfRule>
  </conditionalFormatting>
  <conditionalFormatting sqref="E34:AA34">
    <cfRule type="expression" dxfId="3" priority="7">
      <formula>E30=E34</formula>
    </cfRule>
  </conditionalFormatting>
  <conditionalFormatting sqref="E34:AA34">
    <cfRule type="expression" dxfId="0" priority="8">
      <formula>E34&lt;&gt;E30</formula>
    </cfRule>
  </conditionalFormatting>
  <conditionalFormatting sqref="E34:AA34">
    <cfRule type="expression" dxfId="0" priority="9">
      <formula>E34&lt;&gt;E64</formula>
    </cfRule>
  </conditionalFormatting>
  <conditionalFormatting sqref="E45:AA54">
    <cfRule type="containsBlanks" dxfId="1" priority="10">
      <formula>LEN(TRIM(E45))=0</formula>
    </cfRule>
  </conditionalFormatting>
  <conditionalFormatting sqref="E57:AA66">
    <cfRule type="containsBlanks" dxfId="1" priority="11">
      <formula>LEN(TRIM(E57))=0</formula>
    </cfRule>
  </conditionalFormatting>
  <conditionalFormatting sqref="E69:AA78">
    <cfRule type="containsBlanks" dxfId="1" priority="12">
      <formula>LEN(TRIM(E69))=0</formula>
    </cfRule>
  </conditionalFormatting>
  <conditionalFormatting sqref="E81:AA90">
    <cfRule type="containsBlanks" dxfId="1" priority="13">
      <formula>LEN(TRIM(E81))=0</formula>
    </cfRule>
  </conditionalFormatting>
  <conditionalFormatting sqref="E93:AA102">
    <cfRule type="containsBlanks" dxfId="1" priority="14">
      <formula>LEN(TRIM(E93))=0</formula>
    </cfRule>
  </conditionalFormatting>
  <conditionalFormatting sqref="E105:AA114">
    <cfRule type="containsBlanks" dxfId="1" priority="15">
      <formula>LEN(TRIM(E105))=0</formula>
    </cfRule>
  </conditionalFormatting>
  <conditionalFormatting sqref="E117:AA126">
    <cfRule type="containsBlanks" dxfId="1" priority="16">
      <formula>LEN(TRIM(E117))=0</formula>
    </cfRule>
  </conditionalFormatting>
  <conditionalFormatting sqref="E129:AA138">
    <cfRule type="containsBlanks" dxfId="1" priority="17">
      <formula>LEN(TRIM(E129))=0</formula>
    </cfRule>
  </conditionalFormatting>
  <conditionalFormatting sqref="E141:AA150">
    <cfRule type="containsBlanks" dxfId="1" priority="18">
      <formula>LEN(TRIM(E141))=0</formula>
    </cfRule>
  </conditionalFormatting>
  <conditionalFormatting sqref="E153:AA162">
    <cfRule type="containsBlanks" dxfId="1" priority="19">
      <formula>LEN(TRIM(E153))=0</formula>
    </cfRule>
  </conditionalFormatting>
  <conditionalFormatting sqref="E165:AA174">
    <cfRule type="containsBlanks" dxfId="1" priority="20">
      <formula>LEN(TRIM(E165))=0</formula>
    </cfRule>
  </conditionalFormatting>
  <conditionalFormatting sqref="E177:AA186">
    <cfRule type="containsBlanks" dxfId="1" priority="21">
      <formula>LEN(TRIM(E177))=0</formula>
    </cfRule>
  </conditionalFormatting>
  <conditionalFormatting sqref="E189:AA198">
    <cfRule type="containsBlanks" dxfId="1" priority="22">
      <formula>LEN(TRIM(E189))=0</formula>
    </cfRule>
  </conditionalFormatting>
  <conditionalFormatting sqref="E201:AA210">
    <cfRule type="containsBlanks" dxfId="1" priority="23">
      <formula>LEN(TRIM(E201))=0</formula>
    </cfRule>
  </conditionalFormatting>
  <conditionalFormatting sqref="E213:AA222">
    <cfRule type="containsBlanks" dxfId="1" priority="24">
      <formula>LEN(TRIM(E213))=0</formula>
    </cfRule>
  </conditionalFormatting>
  <conditionalFormatting sqref="E225:AA234">
    <cfRule type="containsBlanks" dxfId="1" priority="25">
      <formula>LEN(TRIM(E225))=0</formula>
    </cfRule>
  </conditionalFormatting>
  <conditionalFormatting sqref="E237:AA246">
    <cfRule type="containsBlanks" dxfId="1" priority="26">
      <formula>LEN(TRIM(E237))=0</formula>
    </cfRule>
  </conditionalFormatting>
  <conditionalFormatting sqref="E249:AA258">
    <cfRule type="containsBlanks" dxfId="1" priority="27">
      <formula>LEN(TRIM(E249))=0</formula>
    </cfRule>
  </conditionalFormatting>
  <conditionalFormatting sqref="E262:AA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" width="9.14"/>
    <col customWidth="1" min="6" max="15" width="8.71"/>
    <col customWidth="1" min="16" max="16" width="9.14"/>
    <col customWidth="1" min="17" max="27" width="8.71"/>
    <col customWidth="1" min="28" max="28" width="9.14"/>
    <col customWidth="1" min="29" max="46" width="8.71"/>
    <col customWidth="1" min="47" max="47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1"/>
      <c r="R11" s="1"/>
      <c r="S11" s="1"/>
      <c r="T11" s="1"/>
      <c r="U11" s="1"/>
      <c r="V11" s="1"/>
      <c r="W11" s="1"/>
      <c r="X11" s="1"/>
      <c r="Y11" s="1"/>
      <c r="Z11" s="2"/>
      <c r="AC11" s="1"/>
      <c r="AD11" s="1"/>
      <c r="AE11" s="1"/>
      <c r="AF11" s="1"/>
      <c r="AG11" s="1"/>
      <c r="AH11" s="1"/>
      <c r="AI11" s="1"/>
      <c r="AJ11" s="1"/>
      <c r="AK11" s="2"/>
      <c r="AN11" s="1"/>
      <c r="AO11" s="1"/>
      <c r="AP11" s="1"/>
      <c r="AQ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223</v>
      </c>
      <c r="AB13" s="13" t="s">
        <v>224</v>
      </c>
      <c r="AC13" s="13" t="s">
        <v>225</v>
      </c>
      <c r="AD13" s="13" t="s">
        <v>226</v>
      </c>
      <c r="AE13" s="13" t="s">
        <v>227</v>
      </c>
      <c r="AF13" s="13" t="s">
        <v>228</v>
      </c>
      <c r="AG13" s="13" t="s">
        <v>229</v>
      </c>
      <c r="AH13" s="13" t="s">
        <v>230</v>
      </c>
      <c r="AI13" s="13" t="s">
        <v>231</v>
      </c>
      <c r="AJ13" s="13" t="s">
        <v>232</v>
      </c>
      <c r="AK13" s="13" t="s">
        <v>233</v>
      </c>
      <c r="AL13" s="13" t="s">
        <v>234</v>
      </c>
      <c r="AM13" s="13" t="s">
        <v>235</v>
      </c>
      <c r="AN13" s="13" t="s">
        <v>247</v>
      </c>
      <c r="AO13" s="13" t="s">
        <v>248</v>
      </c>
      <c r="AP13" s="13" t="s">
        <v>249</v>
      </c>
      <c r="AQ13" s="13" t="s">
        <v>250</v>
      </c>
      <c r="AR13" s="13" t="s">
        <v>251</v>
      </c>
      <c r="AS13" s="13" t="s">
        <v>252</v>
      </c>
      <c r="AT13" s="13" t="s">
        <v>253</v>
      </c>
      <c r="AU13" s="36"/>
    </row>
    <row r="14" ht="12.75" customHeight="1">
      <c r="A14" s="18"/>
      <c r="B14" s="22" t="s">
        <v>11</v>
      </c>
      <c r="C14" s="23"/>
      <c r="D14" s="19" t="s">
        <v>12</v>
      </c>
      <c r="E14" s="73">
        <v>132.0</v>
      </c>
      <c r="F14" s="73">
        <v>123.0</v>
      </c>
      <c r="G14" s="73">
        <v>122.0</v>
      </c>
      <c r="H14" s="73">
        <v>122.0</v>
      </c>
      <c r="I14" s="73">
        <v>126.0</v>
      </c>
      <c r="J14" s="73">
        <v>124.0</v>
      </c>
      <c r="K14" s="73">
        <v>92.0</v>
      </c>
      <c r="L14" s="73">
        <v>89.0</v>
      </c>
      <c r="M14" s="73">
        <v>131.0</v>
      </c>
      <c r="N14" s="73">
        <v>135.0</v>
      </c>
      <c r="O14" s="73">
        <v>144.0</v>
      </c>
      <c r="P14" s="73">
        <v>99.0</v>
      </c>
      <c r="Q14" s="73">
        <v>110.0</v>
      </c>
      <c r="R14" s="73">
        <v>102.0</v>
      </c>
      <c r="S14" s="73">
        <v>125.0</v>
      </c>
      <c r="T14" s="73">
        <v>143.0</v>
      </c>
      <c r="U14" s="73">
        <v>102.0</v>
      </c>
      <c r="V14" s="73">
        <v>122.0</v>
      </c>
      <c r="W14" s="73">
        <v>140.0</v>
      </c>
      <c r="X14" s="73">
        <v>127.0</v>
      </c>
      <c r="Y14" s="73">
        <v>120.0</v>
      </c>
      <c r="Z14" s="73">
        <v>108.0</v>
      </c>
      <c r="AA14" s="73">
        <v>145.0</v>
      </c>
      <c r="AB14" s="73">
        <v>126.0</v>
      </c>
      <c r="AC14" s="73">
        <v>126.0</v>
      </c>
      <c r="AD14" s="73">
        <v>142.0</v>
      </c>
      <c r="AE14" s="73">
        <v>128.0</v>
      </c>
      <c r="AF14" s="73">
        <v>128.0</v>
      </c>
      <c r="AG14" s="73">
        <v>139.0</v>
      </c>
      <c r="AH14" s="73">
        <v>107.0</v>
      </c>
      <c r="AI14" s="73">
        <v>113.0</v>
      </c>
      <c r="AJ14" s="73">
        <v>110.0</v>
      </c>
      <c r="AK14" s="73">
        <v>123.0</v>
      </c>
      <c r="AL14" s="73">
        <v>121.0</v>
      </c>
      <c r="AM14" s="73">
        <v>123.0</v>
      </c>
      <c r="AN14" s="73">
        <v>123.0</v>
      </c>
      <c r="AO14" s="73">
        <v>121.0</v>
      </c>
      <c r="AP14" s="73">
        <v>134.0</v>
      </c>
      <c r="AQ14" s="73">
        <v>132.0</v>
      </c>
      <c r="AR14" s="73">
        <v>137.0</v>
      </c>
      <c r="AS14" s="73">
        <v>151.0</v>
      </c>
      <c r="AT14" s="73">
        <v>92.0</v>
      </c>
      <c r="AU14" s="13">
        <f t="shared" ref="AU14:AU16" si="1">SUM(E14:AT14)</f>
        <v>5159</v>
      </c>
    </row>
    <row r="15" ht="12.75" customHeight="1">
      <c r="A15" s="18"/>
      <c r="B15" s="26"/>
      <c r="C15" s="27"/>
      <c r="D15" s="19" t="s">
        <v>13</v>
      </c>
      <c r="E15" s="73">
        <v>123.0</v>
      </c>
      <c r="F15" s="73">
        <v>137.0</v>
      </c>
      <c r="G15" s="73">
        <v>99.0</v>
      </c>
      <c r="H15" s="73">
        <v>127.0</v>
      </c>
      <c r="I15" s="73">
        <v>118.0</v>
      </c>
      <c r="J15" s="73">
        <v>128.0</v>
      </c>
      <c r="K15" s="73">
        <v>89.0</v>
      </c>
      <c r="L15" s="73">
        <v>85.0</v>
      </c>
      <c r="M15" s="73">
        <v>131.0</v>
      </c>
      <c r="N15" s="73">
        <v>127.0</v>
      </c>
      <c r="O15" s="73">
        <v>144.0</v>
      </c>
      <c r="P15" s="73">
        <v>96.0</v>
      </c>
      <c r="Q15" s="73">
        <v>117.0</v>
      </c>
      <c r="R15" s="73">
        <v>112.0</v>
      </c>
      <c r="S15" s="73">
        <v>126.0</v>
      </c>
      <c r="T15" s="73">
        <v>130.0</v>
      </c>
      <c r="U15" s="73">
        <v>104.0</v>
      </c>
      <c r="V15" s="73">
        <v>127.0</v>
      </c>
      <c r="W15" s="73">
        <v>146.0</v>
      </c>
      <c r="X15" s="73">
        <v>134.0</v>
      </c>
      <c r="Y15" s="73">
        <v>130.0</v>
      </c>
      <c r="Z15" s="73">
        <v>112.0</v>
      </c>
      <c r="AA15" s="73">
        <v>143.0</v>
      </c>
      <c r="AB15" s="73">
        <v>131.0</v>
      </c>
      <c r="AC15" s="73">
        <v>134.0</v>
      </c>
      <c r="AD15" s="73">
        <v>140.0</v>
      </c>
      <c r="AE15" s="73">
        <v>112.0</v>
      </c>
      <c r="AF15" s="73">
        <v>134.0</v>
      </c>
      <c r="AG15" s="73">
        <v>136.0</v>
      </c>
      <c r="AH15" s="73">
        <v>94.0</v>
      </c>
      <c r="AI15" s="73">
        <v>116.0</v>
      </c>
      <c r="AJ15" s="73">
        <v>104.0</v>
      </c>
      <c r="AK15" s="73">
        <v>138.0</v>
      </c>
      <c r="AL15" s="73">
        <v>117.0</v>
      </c>
      <c r="AM15" s="73">
        <v>115.0</v>
      </c>
      <c r="AN15" s="73">
        <v>109.0</v>
      </c>
      <c r="AO15" s="73">
        <v>123.0</v>
      </c>
      <c r="AP15" s="73">
        <v>129.0</v>
      </c>
      <c r="AQ15" s="73">
        <v>134.0</v>
      </c>
      <c r="AR15" s="73">
        <v>131.0</v>
      </c>
      <c r="AS15" s="73">
        <v>134.0</v>
      </c>
      <c r="AT15" s="73">
        <v>96.0</v>
      </c>
      <c r="AU15" s="13">
        <f t="shared" si="1"/>
        <v>5112</v>
      </c>
    </row>
    <row r="16" ht="12.75" customHeight="1">
      <c r="A16" s="25"/>
      <c r="B16" s="21"/>
      <c r="C16" s="28"/>
      <c r="D16" s="13" t="s">
        <v>14</v>
      </c>
      <c r="E16" s="13">
        <f t="shared" ref="E16:AT16" si="2">SUM(E14:E15)</f>
        <v>255</v>
      </c>
      <c r="F16" s="13">
        <f t="shared" si="2"/>
        <v>260</v>
      </c>
      <c r="G16" s="13">
        <f t="shared" si="2"/>
        <v>221</v>
      </c>
      <c r="H16" s="13">
        <f t="shared" si="2"/>
        <v>249</v>
      </c>
      <c r="I16" s="13">
        <f t="shared" si="2"/>
        <v>244</v>
      </c>
      <c r="J16" s="13">
        <f t="shared" si="2"/>
        <v>252</v>
      </c>
      <c r="K16" s="13">
        <f t="shared" si="2"/>
        <v>181</v>
      </c>
      <c r="L16" s="13">
        <f t="shared" si="2"/>
        <v>174</v>
      </c>
      <c r="M16" s="13">
        <f t="shared" si="2"/>
        <v>262</v>
      </c>
      <c r="N16" s="13">
        <f t="shared" si="2"/>
        <v>262</v>
      </c>
      <c r="O16" s="13">
        <f t="shared" si="2"/>
        <v>288</v>
      </c>
      <c r="P16" s="13">
        <f t="shared" si="2"/>
        <v>195</v>
      </c>
      <c r="Q16" s="13">
        <f t="shared" si="2"/>
        <v>227</v>
      </c>
      <c r="R16" s="13">
        <f t="shared" si="2"/>
        <v>214</v>
      </c>
      <c r="S16" s="13">
        <f t="shared" si="2"/>
        <v>251</v>
      </c>
      <c r="T16" s="13">
        <f t="shared" si="2"/>
        <v>273</v>
      </c>
      <c r="U16" s="13">
        <f t="shared" si="2"/>
        <v>206</v>
      </c>
      <c r="V16" s="13">
        <f t="shared" si="2"/>
        <v>249</v>
      </c>
      <c r="W16" s="13">
        <f t="shared" si="2"/>
        <v>286</v>
      </c>
      <c r="X16" s="13">
        <f t="shared" si="2"/>
        <v>261</v>
      </c>
      <c r="Y16" s="13">
        <f t="shared" si="2"/>
        <v>250</v>
      </c>
      <c r="Z16" s="13">
        <f t="shared" si="2"/>
        <v>220</v>
      </c>
      <c r="AA16" s="13">
        <f t="shared" si="2"/>
        <v>288</v>
      </c>
      <c r="AB16" s="13">
        <f t="shared" si="2"/>
        <v>257</v>
      </c>
      <c r="AC16" s="13">
        <f t="shared" si="2"/>
        <v>260</v>
      </c>
      <c r="AD16" s="13">
        <f t="shared" si="2"/>
        <v>282</v>
      </c>
      <c r="AE16" s="13">
        <f t="shared" si="2"/>
        <v>240</v>
      </c>
      <c r="AF16" s="13">
        <f t="shared" si="2"/>
        <v>262</v>
      </c>
      <c r="AG16" s="13">
        <f t="shared" si="2"/>
        <v>275</v>
      </c>
      <c r="AH16" s="13">
        <f t="shared" si="2"/>
        <v>201</v>
      </c>
      <c r="AI16" s="13">
        <f t="shared" si="2"/>
        <v>229</v>
      </c>
      <c r="AJ16" s="13">
        <f t="shared" si="2"/>
        <v>214</v>
      </c>
      <c r="AK16" s="13">
        <f t="shared" si="2"/>
        <v>261</v>
      </c>
      <c r="AL16" s="13">
        <f t="shared" si="2"/>
        <v>238</v>
      </c>
      <c r="AM16" s="13">
        <f t="shared" si="2"/>
        <v>238</v>
      </c>
      <c r="AN16" s="13">
        <f t="shared" si="2"/>
        <v>232</v>
      </c>
      <c r="AO16" s="13">
        <f t="shared" si="2"/>
        <v>244</v>
      </c>
      <c r="AP16" s="13">
        <f t="shared" si="2"/>
        <v>263</v>
      </c>
      <c r="AQ16" s="13">
        <f t="shared" si="2"/>
        <v>266</v>
      </c>
      <c r="AR16" s="13">
        <f t="shared" si="2"/>
        <v>268</v>
      </c>
      <c r="AS16" s="13">
        <f t="shared" si="2"/>
        <v>285</v>
      </c>
      <c r="AT16" s="13">
        <f t="shared" si="2"/>
        <v>188</v>
      </c>
      <c r="AU16" s="13">
        <f t="shared" si="1"/>
        <v>10271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19"/>
      <c r="R17" s="19"/>
      <c r="S17" s="19"/>
      <c r="T17" s="19"/>
      <c r="U17" s="19"/>
      <c r="V17" s="19"/>
      <c r="W17" s="19"/>
      <c r="X17" s="19"/>
      <c r="Y17" s="19"/>
      <c r="Z17" s="74"/>
      <c r="AA17" s="74"/>
      <c r="AB17" s="74"/>
      <c r="AC17" s="19"/>
      <c r="AD17" s="19"/>
      <c r="AE17" s="19"/>
      <c r="AF17" s="19"/>
      <c r="AG17" s="19"/>
      <c r="AH17" s="19"/>
      <c r="AI17" s="19"/>
      <c r="AJ17" s="19"/>
      <c r="AK17" s="74"/>
      <c r="AL17" s="74"/>
      <c r="AM17" s="74"/>
      <c r="AN17" s="19"/>
      <c r="AO17" s="19"/>
      <c r="AP17" s="19"/>
      <c r="AQ17" s="74"/>
      <c r="AR17" s="74"/>
      <c r="AS17" s="74"/>
      <c r="AT17" s="74"/>
      <c r="AU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19"/>
      <c r="R18" s="19"/>
      <c r="S18" s="19"/>
      <c r="T18" s="19"/>
      <c r="U18" s="19"/>
      <c r="V18" s="19"/>
      <c r="W18" s="19"/>
      <c r="X18" s="19"/>
      <c r="Y18" s="19"/>
      <c r="Z18" s="74"/>
      <c r="AA18" s="74"/>
      <c r="AB18" s="74"/>
      <c r="AC18" s="19"/>
      <c r="AD18" s="19"/>
      <c r="AE18" s="19"/>
      <c r="AF18" s="19"/>
      <c r="AG18" s="19"/>
      <c r="AH18" s="19"/>
      <c r="AI18" s="19"/>
      <c r="AJ18" s="19"/>
      <c r="AK18" s="74"/>
      <c r="AL18" s="74"/>
      <c r="AM18" s="74"/>
      <c r="AN18" s="19"/>
      <c r="AO18" s="19"/>
      <c r="AP18" s="19"/>
      <c r="AQ18" s="74"/>
      <c r="AR18" s="74"/>
      <c r="AS18" s="74"/>
      <c r="AT18" s="74"/>
      <c r="AU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105.0</v>
      </c>
      <c r="F19" s="73">
        <v>91.0</v>
      </c>
      <c r="G19" s="73">
        <v>85.0</v>
      </c>
      <c r="H19" s="73">
        <v>103.0</v>
      </c>
      <c r="I19" s="73">
        <v>107.0</v>
      </c>
      <c r="J19" s="73">
        <v>102.0</v>
      </c>
      <c r="K19" s="73">
        <v>61.0</v>
      </c>
      <c r="L19" s="73">
        <v>67.0</v>
      </c>
      <c r="M19" s="73">
        <v>103.0</v>
      </c>
      <c r="N19" s="73">
        <v>113.0</v>
      </c>
      <c r="O19" s="73">
        <v>110.0</v>
      </c>
      <c r="P19" s="73">
        <v>83.0</v>
      </c>
      <c r="Q19" s="73">
        <v>79.0</v>
      </c>
      <c r="R19" s="73">
        <v>72.0</v>
      </c>
      <c r="S19" s="73">
        <v>76.0</v>
      </c>
      <c r="T19" s="73">
        <v>99.0</v>
      </c>
      <c r="U19" s="73">
        <v>74.0</v>
      </c>
      <c r="V19" s="73">
        <v>83.0</v>
      </c>
      <c r="W19" s="73">
        <v>105.0</v>
      </c>
      <c r="X19" s="73">
        <v>84.0</v>
      </c>
      <c r="Y19" s="73">
        <v>83.0</v>
      </c>
      <c r="Z19" s="73">
        <v>72.0</v>
      </c>
      <c r="AA19" s="73">
        <v>108.0</v>
      </c>
      <c r="AB19" s="73">
        <v>100.0</v>
      </c>
      <c r="AC19" s="73">
        <v>95.0</v>
      </c>
      <c r="AD19" s="73">
        <v>87.0</v>
      </c>
      <c r="AE19" s="73">
        <v>95.0</v>
      </c>
      <c r="AF19" s="73">
        <v>99.0</v>
      </c>
      <c r="AG19" s="73">
        <v>97.0</v>
      </c>
      <c r="AH19" s="73">
        <v>83.0</v>
      </c>
      <c r="AI19" s="73">
        <v>91.0</v>
      </c>
      <c r="AJ19" s="73">
        <v>81.0</v>
      </c>
      <c r="AK19" s="73">
        <v>99.0</v>
      </c>
      <c r="AL19" s="73">
        <v>90.0</v>
      </c>
      <c r="AM19" s="73">
        <v>88.0</v>
      </c>
      <c r="AN19" s="73">
        <v>96.0</v>
      </c>
      <c r="AO19" s="73">
        <v>86.0</v>
      </c>
      <c r="AP19" s="73">
        <v>91.0</v>
      </c>
      <c r="AQ19" s="73">
        <v>110.0</v>
      </c>
      <c r="AR19" s="73">
        <v>99.0</v>
      </c>
      <c r="AS19" s="73">
        <v>102.0</v>
      </c>
      <c r="AT19" s="73">
        <v>59.0</v>
      </c>
      <c r="AU19" s="13">
        <f t="shared" ref="AU19:AU30" si="3">SUM(E19:AT19)</f>
        <v>3813</v>
      </c>
    </row>
    <row r="20" ht="12.75" customHeight="1">
      <c r="A20" s="33"/>
      <c r="B20" s="27"/>
      <c r="C20" s="34"/>
      <c r="D20" s="19" t="s">
        <v>13</v>
      </c>
      <c r="E20" s="73">
        <v>98.0</v>
      </c>
      <c r="F20" s="73">
        <v>113.0</v>
      </c>
      <c r="G20" s="73">
        <v>76.0</v>
      </c>
      <c r="H20" s="73">
        <v>115.0</v>
      </c>
      <c r="I20" s="73">
        <v>100.0</v>
      </c>
      <c r="J20" s="73">
        <v>106.0</v>
      </c>
      <c r="K20" s="73">
        <v>74.0</v>
      </c>
      <c r="L20" s="73">
        <v>72.0</v>
      </c>
      <c r="M20" s="73">
        <v>108.0</v>
      </c>
      <c r="N20" s="73">
        <v>112.0</v>
      </c>
      <c r="O20" s="73">
        <v>107.0</v>
      </c>
      <c r="P20" s="73">
        <v>84.0</v>
      </c>
      <c r="Q20" s="73">
        <v>97.0</v>
      </c>
      <c r="R20" s="73">
        <v>110.0</v>
      </c>
      <c r="S20" s="73">
        <v>103.0</v>
      </c>
      <c r="T20" s="73">
        <v>103.0</v>
      </c>
      <c r="U20" s="73">
        <v>79.0</v>
      </c>
      <c r="V20" s="73">
        <v>86.0</v>
      </c>
      <c r="W20" s="73">
        <v>107.0</v>
      </c>
      <c r="X20" s="73">
        <v>99.0</v>
      </c>
      <c r="Y20" s="73">
        <v>97.0</v>
      </c>
      <c r="Z20" s="73">
        <v>81.0</v>
      </c>
      <c r="AA20" s="73">
        <v>114.0</v>
      </c>
      <c r="AB20" s="73">
        <v>112.0</v>
      </c>
      <c r="AC20" s="73">
        <v>116.0</v>
      </c>
      <c r="AD20" s="73">
        <v>111.0</v>
      </c>
      <c r="AE20" s="73">
        <v>95.0</v>
      </c>
      <c r="AF20" s="73">
        <v>109.0</v>
      </c>
      <c r="AG20" s="73">
        <v>109.0</v>
      </c>
      <c r="AH20" s="73">
        <v>78.0</v>
      </c>
      <c r="AI20" s="73">
        <v>99.0</v>
      </c>
      <c r="AJ20" s="73">
        <v>87.0</v>
      </c>
      <c r="AK20" s="73">
        <v>101.0</v>
      </c>
      <c r="AL20" s="73">
        <v>100.0</v>
      </c>
      <c r="AM20" s="73">
        <v>95.0</v>
      </c>
      <c r="AN20" s="73">
        <v>88.0</v>
      </c>
      <c r="AO20" s="73">
        <v>98.0</v>
      </c>
      <c r="AP20" s="73">
        <v>105.0</v>
      </c>
      <c r="AQ20" s="73">
        <v>123.0</v>
      </c>
      <c r="AR20" s="73">
        <v>105.0</v>
      </c>
      <c r="AS20" s="73">
        <v>107.0</v>
      </c>
      <c r="AT20" s="73">
        <v>69.0</v>
      </c>
      <c r="AU20" s="13">
        <f t="shared" si="3"/>
        <v>4148</v>
      </c>
    </row>
    <row r="21" ht="12.75" customHeight="1">
      <c r="A21" s="35"/>
      <c r="B21" s="28"/>
      <c r="C21" s="36"/>
      <c r="D21" s="13" t="s">
        <v>14</v>
      </c>
      <c r="E21" s="13">
        <f t="shared" ref="E21:AT21" si="4">SUM(E19:E20)</f>
        <v>203</v>
      </c>
      <c r="F21" s="13">
        <f t="shared" si="4"/>
        <v>204</v>
      </c>
      <c r="G21" s="13">
        <f t="shared" si="4"/>
        <v>161</v>
      </c>
      <c r="H21" s="13">
        <f t="shared" si="4"/>
        <v>218</v>
      </c>
      <c r="I21" s="13">
        <f t="shared" si="4"/>
        <v>207</v>
      </c>
      <c r="J21" s="13">
        <f t="shared" si="4"/>
        <v>208</v>
      </c>
      <c r="K21" s="13">
        <f t="shared" si="4"/>
        <v>135</v>
      </c>
      <c r="L21" s="13">
        <f t="shared" si="4"/>
        <v>139</v>
      </c>
      <c r="M21" s="13">
        <f t="shared" si="4"/>
        <v>211</v>
      </c>
      <c r="N21" s="13">
        <f t="shared" si="4"/>
        <v>225</v>
      </c>
      <c r="O21" s="13">
        <f t="shared" si="4"/>
        <v>217</v>
      </c>
      <c r="P21" s="13">
        <f t="shared" si="4"/>
        <v>167</v>
      </c>
      <c r="Q21" s="13">
        <f t="shared" si="4"/>
        <v>176</v>
      </c>
      <c r="R21" s="13">
        <f t="shared" si="4"/>
        <v>182</v>
      </c>
      <c r="S21" s="13">
        <f t="shared" si="4"/>
        <v>179</v>
      </c>
      <c r="T21" s="13">
        <f t="shared" si="4"/>
        <v>202</v>
      </c>
      <c r="U21" s="13">
        <f t="shared" si="4"/>
        <v>153</v>
      </c>
      <c r="V21" s="13">
        <f t="shared" si="4"/>
        <v>169</v>
      </c>
      <c r="W21" s="13">
        <f t="shared" si="4"/>
        <v>212</v>
      </c>
      <c r="X21" s="13">
        <f t="shared" si="4"/>
        <v>183</v>
      </c>
      <c r="Y21" s="13">
        <f t="shared" si="4"/>
        <v>180</v>
      </c>
      <c r="Z21" s="13">
        <f t="shared" si="4"/>
        <v>153</v>
      </c>
      <c r="AA21" s="13">
        <f t="shared" si="4"/>
        <v>222</v>
      </c>
      <c r="AB21" s="13">
        <f t="shared" si="4"/>
        <v>212</v>
      </c>
      <c r="AC21" s="13">
        <f t="shared" si="4"/>
        <v>211</v>
      </c>
      <c r="AD21" s="13">
        <f t="shared" si="4"/>
        <v>198</v>
      </c>
      <c r="AE21" s="13">
        <f t="shared" si="4"/>
        <v>190</v>
      </c>
      <c r="AF21" s="13">
        <f t="shared" si="4"/>
        <v>208</v>
      </c>
      <c r="AG21" s="13">
        <f t="shared" si="4"/>
        <v>206</v>
      </c>
      <c r="AH21" s="13">
        <f t="shared" si="4"/>
        <v>161</v>
      </c>
      <c r="AI21" s="13">
        <f t="shared" si="4"/>
        <v>190</v>
      </c>
      <c r="AJ21" s="13">
        <f t="shared" si="4"/>
        <v>168</v>
      </c>
      <c r="AK21" s="13">
        <f t="shared" si="4"/>
        <v>200</v>
      </c>
      <c r="AL21" s="13">
        <f t="shared" si="4"/>
        <v>190</v>
      </c>
      <c r="AM21" s="13">
        <f t="shared" si="4"/>
        <v>183</v>
      </c>
      <c r="AN21" s="13">
        <f t="shared" si="4"/>
        <v>184</v>
      </c>
      <c r="AO21" s="13">
        <f t="shared" si="4"/>
        <v>184</v>
      </c>
      <c r="AP21" s="13">
        <f t="shared" si="4"/>
        <v>196</v>
      </c>
      <c r="AQ21" s="13">
        <f t="shared" si="4"/>
        <v>233</v>
      </c>
      <c r="AR21" s="13">
        <f t="shared" si="4"/>
        <v>204</v>
      </c>
      <c r="AS21" s="13">
        <f t="shared" si="4"/>
        <v>209</v>
      </c>
      <c r="AT21" s="13">
        <f t="shared" si="4"/>
        <v>128</v>
      </c>
      <c r="AU21" s="13">
        <f t="shared" si="3"/>
        <v>7961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0.0</v>
      </c>
      <c r="H22" s="73">
        <v>0.0</v>
      </c>
      <c r="I22" s="73">
        <v>0.0</v>
      </c>
      <c r="J22" s="73">
        <v>1.0</v>
      </c>
      <c r="K22" s="73">
        <v>0.0</v>
      </c>
      <c r="L22" s="73">
        <v>0.0</v>
      </c>
      <c r="M22" s="73">
        <v>0.0</v>
      </c>
      <c r="N22" s="73">
        <v>1.0</v>
      </c>
      <c r="O22" s="73">
        <v>0.0</v>
      </c>
      <c r="P22" s="73">
        <v>0.0</v>
      </c>
      <c r="Q22" s="73">
        <v>0.0</v>
      </c>
      <c r="R22" s="73">
        <v>0.0</v>
      </c>
      <c r="S22" s="73">
        <v>0.0</v>
      </c>
      <c r="T22" s="73">
        <v>0.0</v>
      </c>
      <c r="U22" s="73">
        <v>0.0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73">
        <v>0.0</v>
      </c>
      <c r="AB22" s="73">
        <v>0.0</v>
      </c>
      <c r="AC22" s="73">
        <v>0.0</v>
      </c>
      <c r="AD22" s="73">
        <v>0.0</v>
      </c>
      <c r="AE22" s="73">
        <v>0.0</v>
      </c>
      <c r="AF22" s="73">
        <v>0.0</v>
      </c>
      <c r="AG22" s="73">
        <v>1.0</v>
      </c>
      <c r="AH22" s="73">
        <v>0.0</v>
      </c>
      <c r="AI22" s="73">
        <v>0.0</v>
      </c>
      <c r="AJ22" s="73">
        <v>0.0</v>
      </c>
      <c r="AK22" s="73">
        <v>0.0</v>
      </c>
      <c r="AL22" s="73">
        <v>0.0</v>
      </c>
      <c r="AM22" s="73">
        <v>0.0</v>
      </c>
      <c r="AN22" s="73">
        <v>0.0</v>
      </c>
      <c r="AO22" s="73">
        <v>0.0</v>
      </c>
      <c r="AP22" s="73">
        <v>0.0</v>
      </c>
      <c r="AQ22" s="73">
        <v>0.0</v>
      </c>
      <c r="AR22" s="73">
        <v>1.0</v>
      </c>
      <c r="AS22" s="73">
        <v>0.0</v>
      </c>
      <c r="AT22" s="73">
        <v>0.0</v>
      </c>
      <c r="AU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73">
        <v>2.0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0.0</v>
      </c>
      <c r="N23" s="73">
        <v>0.0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0.0</v>
      </c>
      <c r="U23" s="73">
        <v>0.0</v>
      </c>
      <c r="V23" s="73">
        <v>1.0</v>
      </c>
      <c r="W23" s="73">
        <v>0.0</v>
      </c>
      <c r="X23" s="73">
        <v>0.0</v>
      </c>
      <c r="Y23" s="73">
        <v>0.0</v>
      </c>
      <c r="Z23" s="73">
        <v>1.0</v>
      </c>
      <c r="AA23" s="73">
        <v>0.0</v>
      </c>
      <c r="AB23" s="73">
        <v>0.0</v>
      </c>
      <c r="AC23" s="73">
        <v>0.0</v>
      </c>
      <c r="AD23" s="73">
        <v>0.0</v>
      </c>
      <c r="AE23" s="73">
        <v>0.0</v>
      </c>
      <c r="AF23" s="73">
        <v>0.0</v>
      </c>
      <c r="AG23" s="73">
        <v>0.0</v>
      </c>
      <c r="AH23" s="73">
        <v>0.0</v>
      </c>
      <c r="AI23" s="73">
        <v>0.0</v>
      </c>
      <c r="AJ23" s="73">
        <v>0.0</v>
      </c>
      <c r="AK23" s="73">
        <v>0.0</v>
      </c>
      <c r="AL23" s="73">
        <v>0.0</v>
      </c>
      <c r="AM23" s="73">
        <v>1.0</v>
      </c>
      <c r="AN23" s="73">
        <v>0.0</v>
      </c>
      <c r="AO23" s="73">
        <v>0.0</v>
      </c>
      <c r="AP23" s="73">
        <v>0.0</v>
      </c>
      <c r="AQ23" s="73">
        <v>0.0</v>
      </c>
      <c r="AR23" s="73">
        <v>0.0</v>
      </c>
      <c r="AS23" s="73">
        <v>0.0</v>
      </c>
      <c r="AT23" s="73">
        <v>0.0</v>
      </c>
      <c r="AU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AT24" si="5">SUM(E22:E23)</f>
        <v>2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1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1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1</v>
      </c>
      <c r="AS24" s="13">
        <f t="shared" si="5"/>
        <v>0</v>
      </c>
      <c r="AT24" s="13">
        <f t="shared" si="5"/>
        <v>0</v>
      </c>
      <c r="AU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1.0</v>
      </c>
      <c r="F25" s="73">
        <v>0.0</v>
      </c>
      <c r="G25" s="73">
        <v>0.0</v>
      </c>
      <c r="H25" s="73">
        <v>0.0</v>
      </c>
      <c r="I25" s="73">
        <v>0.0</v>
      </c>
      <c r="J25" s="73">
        <v>1.0</v>
      </c>
      <c r="K25" s="73">
        <v>0.0</v>
      </c>
      <c r="L25" s="73">
        <v>0.0</v>
      </c>
      <c r="M25" s="73">
        <v>0.0</v>
      </c>
      <c r="N25" s="73">
        <v>2.0</v>
      </c>
      <c r="O25" s="73">
        <v>0.0</v>
      </c>
      <c r="P25" s="73">
        <v>6.0</v>
      </c>
      <c r="Q25" s="73">
        <v>1.0</v>
      </c>
      <c r="R25" s="73">
        <v>3.0</v>
      </c>
      <c r="S25" s="73">
        <v>3.0</v>
      </c>
      <c r="T25" s="73">
        <v>0.0</v>
      </c>
      <c r="U25" s="73">
        <v>3.0</v>
      </c>
      <c r="V25" s="73">
        <v>0.0</v>
      </c>
      <c r="W25" s="73">
        <v>1.0</v>
      </c>
      <c r="X25" s="73">
        <v>0.0</v>
      </c>
      <c r="Y25" s="73">
        <v>1.0</v>
      </c>
      <c r="Z25" s="73">
        <v>0.0</v>
      </c>
      <c r="AA25" s="73">
        <v>1.0</v>
      </c>
      <c r="AB25" s="73">
        <v>0.0</v>
      </c>
      <c r="AC25" s="73">
        <v>2.0</v>
      </c>
      <c r="AD25" s="73">
        <v>0.0</v>
      </c>
      <c r="AE25" s="73">
        <v>1.0</v>
      </c>
      <c r="AF25" s="73">
        <v>0.0</v>
      </c>
      <c r="AG25" s="73">
        <v>0.0</v>
      </c>
      <c r="AH25" s="73">
        <v>5.0</v>
      </c>
      <c r="AI25" s="73">
        <v>0.0</v>
      </c>
      <c r="AJ25" s="73">
        <v>0.0</v>
      </c>
      <c r="AK25" s="73">
        <v>1.0</v>
      </c>
      <c r="AL25" s="73">
        <v>1.0</v>
      </c>
      <c r="AM25" s="73">
        <v>1.0</v>
      </c>
      <c r="AN25" s="73">
        <v>0.0</v>
      </c>
      <c r="AO25" s="73">
        <v>2.0</v>
      </c>
      <c r="AP25" s="73">
        <v>0.0</v>
      </c>
      <c r="AQ25" s="73">
        <v>1.0</v>
      </c>
      <c r="AR25" s="73">
        <v>0.0</v>
      </c>
      <c r="AS25" s="73">
        <v>1.0</v>
      </c>
      <c r="AT25" s="73">
        <v>1.0</v>
      </c>
      <c r="AU25" s="13">
        <f t="shared" si="3"/>
        <v>39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0.0</v>
      </c>
      <c r="G26" s="73">
        <v>1.0</v>
      </c>
      <c r="H26" s="73">
        <v>1.0</v>
      </c>
      <c r="I26" s="73">
        <v>0.0</v>
      </c>
      <c r="J26" s="73">
        <v>2.0</v>
      </c>
      <c r="K26" s="73">
        <v>0.0</v>
      </c>
      <c r="L26" s="73">
        <v>0.0</v>
      </c>
      <c r="M26" s="73">
        <v>0.0</v>
      </c>
      <c r="N26" s="73">
        <v>1.0</v>
      </c>
      <c r="O26" s="73">
        <v>1.0</v>
      </c>
      <c r="P26" s="73">
        <v>3.0</v>
      </c>
      <c r="Q26" s="73">
        <v>2.0</v>
      </c>
      <c r="R26" s="73">
        <v>1.0</v>
      </c>
      <c r="S26" s="73">
        <v>2.0</v>
      </c>
      <c r="T26" s="73">
        <v>1.0</v>
      </c>
      <c r="U26" s="73">
        <v>1.0</v>
      </c>
      <c r="V26" s="73">
        <v>3.0</v>
      </c>
      <c r="W26" s="73">
        <v>1.0</v>
      </c>
      <c r="X26" s="73">
        <v>0.0</v>
      </c>
      <c r="Y26" s="73">
        <v>2.0</v>
      </c>
      <c r="Z26" s="73">
        <v>0.0</v>
      </c>
      <c r="AA26" s="73">
        <v>0.0</v>
      </c>
      <c r="AB26" s="73">
        <v>0.0</v>
      </c>
      <c r="AC26" s="73">
        <v>4.0</v>
      </c>
      <c r="AD26" s="73">
        <v>1.0</v>
      </c>
      <c r="AE26" s="73">
        <v>2.0</v>
      </c>
      <c r="AF26" s="73">
        <v>1.0</v>
      </c>
      <c r="AG26" s="73">
        <v>1.0</v>
      </c>
      <c r="AH26" s="73">
        <v>2.0</v>
      </c>
      <c r="AI26" s="73">
        <v>0.0</v>
      </c>
      <c r="AJ26" s="73">
        <v>3.0</v>
      </c>
      <c r="AK26" s="73">
        <v>4.0</v>
      </c>
      <c r="AL26" s="73">
        <v>0.0</v>
      </c>
      <c r="AM26" s="73">
        <v>2.0</v>
      </c>
      <c r="AN26" s="73">
        <v>2.0</v>
      </c>
      <c r="AO26" s="73">
        <v>3.0</v>
      </c>
      <c r="AP26" s="73">
        <v>2.0</v>
      </c>
      <c r="AQ26" s="73">
        <v>3.0</v>
      </c>
      <c r="AR26" s="73">
        <v>1.0</v>
      </c>
      <c r="AS26" s="73">
        <v>0.0</v>
      </c>
      <c r="AT26" s="73">
        <v>1.0</v>
      </c>
      <c r="AU26" s="13">
        <f t="shared" si="3"/>
        <v>54</v>
      </c>
    </row>
    <row r="27" ht="12.75" customHeight="1">
      <c r="A27" s="35"/>
      <c r="B27" s="28"/>
      <c r="C27" s="36"/>
      <c r="D27" s="13" t="s">
        <v>14</v>
      </c>
      <c r="E27" s="13">
        <f t="shared" ref="E27:AT27" si="6">SUM(E25:E26)</f>
        <v>1</v>
      </c>
      <c r="F27" s="13">
        <f t="shared" si="6"/>
        <v>0</v>
      </c>
      <c r="G27" s="13">
        <f t="shared" si="6"/>
        <v>1</v>
      </c>
      <c r="H27" s="13">
        <f t="shared" si="6"/>
        <v>1</v>
      </c>
      <c r="I27" s="13">
        <f t="shared" si="6"/>
        <v>0</v>
      </c>
      <c r="J27" s="13">
        <f t="shared" si="6"/>
        <v>3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3</v>
      </c>
      <c r="O27" s="13">
        <f t="shared" si="6"/>
        <v>1</v>
      </c>
      <c r="P27" s="13">
        <f t="shared" si="6"/>
        <v>9</v>
      </c>
      <c r="Q27" s="13">
        <f t="shared" si="6"/>
        <v>3</v>
      </c>
      <c r="R27" s="13">
        <f t="shared" si="6"/>
        <v>4</v>
      </c>
      <c r="S27" s="13">
        <f t="shared" si="6"/>
        <v>5</v>
      </c>
      <c r="T27" s="13">
        <f t="shared" si="6"/>
        <v>1</v>
      </c>
      <c r="U27" s="13">
        <f t="shared" si="6"/>
        <v>4</v>
      </c>
      <c r="V27" s="13">
        <f t="shared" si="6"/>
        <v>3</v>
      </c>
      <c r="W27" s="13">
        <f t="shared" si="6"/>
        <v>2</v>
      </c>
      <c r="X27" s="13">
        <f t="shared" si="6"/>
        <v>0</v>
      </c>
      <c r="Y27" s="13">
        <f t="shared" si="6"/>
        <v>3</v>
      </c>
      <c r="Z27" s="13">
        <f t="shared" si="6"/>
        <v>0</v>
      </c>
      <c r="AA27" s="13">
        <f t="shared" si="6"/>
        <v>1</v>
      </c>
      <c r="AB27" s="13">
        <f t="shared" si="6"/>
        <v>0</v>
      </c>
      <c r="AC27" s="13">
        <f t="shared" si="6"/>
        <v>6</v>
      </c>
      <c r="AD27" s="13">
        <f t="shared" si="6"/>
        <v>1</v>
      </c>
      <c r="AE27" s="13">
        <f t="shared" si="6"/>
        <v>3</v>
      </c>
      <c r="AF27" s="13">
        <f t="shared" si="6"/>
        <v>1</v>
      </c>
      <c r="AG27" s="13">
        <f t="shared" si="6"/>
        <v>1</v>
      </c>
      <c r="AH27" s="13">
        <f t="shared" si="6"/>
        <v>7</v>
      </c>
      <c r="AI27" s="13">
        <f t="shared" si="6"/>
        <v>0</v>
      </c>
      <c r="AJ27" s="13">
        <f t="shared" si="6"/>
        <v>3</v>
      </c>
      <c r="AK27" s="13">
        <f t="shared" si="6"/>
        <v>5</v>
      </c>
      <c r="AL27" s="13">
        <f t="shared" si="6"/>
        <v>1</v>
      </c>
      <c r="AM27" s="13">
        <f t="shared" si="6"/>
        <v>3</v>
      </c>
      <c r="AN27" s="13">
        <f t="shared" si="6"/>
        <v>2</v>
      </c>
      <c r="AO27" s="13">
        <f t="shared" si="6"/>
        <v>5</v>
      </c>
      <c r="AP27" s="13">
        <f t="shared" si="6"/>
        <v>2</v>
      </c>
      <c r="AQ27" s="13">
        <f t="shared" si="6"/>
        <v>4</v>
      </c>
      <c r="AR27" s="13">
        <f t="shared" si="6"/>
        <v>1</v>
      </c>
      <c r="AS27" s="13">
        <f t="shared" si="6"/>
        <v>1</v>
      </c>
      <c r="AT27" s="13">
        <f t="shared" si="6"/>
        <v>2</v>
      </c>
      <c r="AU27" s="13">
        <f t="shared" si="3"/>
        <v>93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T28" si="7">SUM(E19,E22,E25)</f>
        <v>106</v>
      </c>
      <c r="F28" s="13">
        <f t="shared" si="7"/>
        <v>91</v>
      </c>
      <c r="G28" s="13">
        <f t="shared" si="7"/>
        <v>85</v>
      </c>
      <c r="H28" s="13">
        <f t="shared" si="7"/>
        <v>103</v>
      </c>
      <c r="I28" s="13">
        <f t="shared" si="7"/>
        <v>107</v>
      </c>
      <c r="J28" s="13">
        <f t="shared" si="7"/>
        <v>104</v>
      </c>
      <c r="K28" s="13">
        <f t="shared" si="7"/>
        <v>61</v>
      </c>
      <c r="L28" s="13">
        <f t="shared" si="7"/>
        <v>67</v>
      </c>
      <c r="M28" s="13">
        <f t="shared" si="7"/>
        <v>103</v>
      </c>
      <c r="N28" s="13">
        <f t="shared" si="7"/>
        <v>116</v>
      </c>
      <c r="O28" s="13">
        <f t="shared" si="7"/>
        <v>110</v>
      </c>
      <c r="P28" s="13">
        <f t="shared" si="7"/>
        <v>89</v>
      </c>
      <c r="Q28" s="13">
        <f t="shared" si="7"/>
        <v>80</v>
      </c>
      <c r="R28" s="13">
        <f t="shared" si="7"/>
        <v>75</v>
      </c>
      <c r="S28" s="13">
        <f t="shared" si="7"/>
        <v>79</v>
      </c>
      <c r="T28" s="13">
        <f t="shared" si="7"/>
        <v>99</v>
      </c>
      <c r="U28" s="13">
        <f t="shared" si="7"/>
        <v>77</v>
      </c>
      <c r="V28" s="13">
        <f t="shared" si="7"/>
        <v>83</v>
      </c>
      <c r="W28" s="13">
        <f t="shared" si="7"/>
        <v>106</v>
      </c>
      <c r="X28" s="13">
        <f t="shared" si="7"/>
        <v>84</v>
      </c>
      <c r="Y28" s="13">
        <f t="shared" si="7"/>
        <v>84</v>
      </c>
      <c r="Z28" s="13">
        <f t="shared" si="7"/>
        <v>72</v>
      </c>
      <c r="AA28" s="13">
        <f t="shared" si="7"/>
        <v>109</v>
      </c>
      <c r="AB28" s="13">
        <f t="shared" si="7"/>
        <v>100</v>
      </c>
      <c r="AC28" s="13">
        <f t="shared" si="7"/>
        <v>97</v>
      </c>
      <c r="AD28" s="13">
        <f t="shared" si="7"/>
        <v>87</v>
      </c>
      <c r="AE28" s="13">
        <f t="shared" si="7"/>
        <v>96</v>
      </c>
      <c r="AF28" s="13">
        <f t="shared" si="7"/>
        <v>99</v>
      </c>
      <c r="AG28" s="13">
        <f t="shared" si="7"/>
        <v>98</v>
      </c>
      <c r="AH28" s="13">
        <f t="shared" si="7"/>
        <v>88</v>
      </c>
      <c r="AI28" s="13">
        <f t="shared" si="7"/>
        <v>91</v>
      </c>
      <c r="AJ28" s="13">
        <f t="shared" si="7"/>
        <v>81</v>
      </c>
      <c r="AK28" s="13">
        <f t="shared" si="7"/>
        <v>100</v>
      </c>
      <c r="AL28" s="13">
        <f t="shared" si="7"/>
        <v>91</v>
      </c>
      <c r="AM28" s="13">
        <f t="shared" si="7"/>
        <v>89</v>
      </c>
      <c r="AN28" s="13">
        <f t="shared" si="7"/>
        <v>96</v>
      </c>
      <c r="AO28" s="13">
        <f t="shared" si="7"/>
        <v>88</v>
      </c>
      <c r="AP28" s="13">
        <f t="shared" si="7"/>
        <v>91</v>
      </c>
      <c r="AQ28" s="13">
        <f t="shared" si="7"/>
        <v>111</v>
      </c>
      <c r="AR28" s="13">
        <f t="shared" si="7"/>
        <v>100</v>
      </c>
      <c r="AS28" s="13">
        <f t="shared" si="7"/>
        <v>103</v>
      </c>
      <c r="AT28" s="13">
        <f t="shared" si="7"/>
        <v>60</v>
      </c>
      <c r="AU28" s="13">
        <f t="shared" si="3"/>
        <v>3856</v>
      </c>
    </row>
    <row r="29" ht="12.75" customHeight="1">
      <c r="A29" s="35"/>
      <c r="B29" s="27"/>
      <c r="C29" s="34"/>
      <c r="D29" s="13" t="s">
        <v>13</v>
      </c>
      <c r="E29" s="13">
        <f t="shared" ref="E29:AT29" si="8">SUM(E20,E23,E26)</f>
        <v>100</v>
      </c>
      <c r="F29" s="13">
        <f t="shared" si="8"/>
        <v>113</v>
      </c>
      <c r="G29" s="13">
        <f t="shared" si="8"/>
        <v>77</v>
      </c>
      <c r="H29" s="13">
        <f t="shared" si="8"/>
        <v>116</v>
      </c>
      <c r="I29" s="13">
        <f t="shared" si="8"/>
        <v>100</v>
      </c>
      <c r="J29" s="13">
        <f t="shared" si="8"/>
        <v>108</v>
      </c>
      <c r="K29" s="13">
        <f t="shared" si="8"/>
        <v>74</v>
      </c>
      <c r="L29" s="13">
        <f t="shared" si="8"/>
        <v>72</v>
      </c>
      <c r="M29" s="13">
        <f t="shared" si="8"/>
        <v>108</v>
      </c>
      <c r="N29" s="13">
        <f t="shared" si="8"/>
        <v>113</v>
      </c>
      <c r="O29" s="13">
        <f t="shared" si="8"/>
        <v>108</v>
      </c>
      <c r="P29" s="13">
        <f t="shared" si="8"/>
        <v>87</v>
      </c>
      <c r="Q29" s="13">
        <f t="shared" si="8"/>
        <v>99</v>
      </c>
      <c r="R29" s="13">
        <f t="shared" si="8"/>
        <v>111</v>
      </c>
      <c r="S29" s="13">
        <f t="shared" si="8"/>
        <v>105</v>
      </c>
      <c r="T29" s="13">
        <f t="shared" si="8"/>
        <v>104</v>
      </c>
      <c r="U29" s="13">
        <f t="shared" si="8"/>
        <v>80</v>
      </c>
      <c r="V29" s="13">
        <f t="shared" si="8"/>
        <v>90</v>
      </c>
      <c r="W29" s="13">
        <f t="shared" si="8"/>
        <v>108</v>
      </c>
      <c r="X29" s="13">
        <f t="shared" si="8"/>
        <v>99</v>
      </c>
      <c r="Y29" s="13">
        <f t="shared" si="8"/>
        <v>99</v>
      </c>
      <c r="Z29" s="13">
        <f t="shared" si="8"/>
        <v>82</v>
      </c>
      <c r="AA29" s="13">
        <f t="shared" si="8"/>
        <v>114</v>
      </c>
      <c r="AB29" s="13">
        <f t="shared" si="8"/>
        <v>112</v>
      </c>
      <c r="AC29" s="13">
        <f t="shared" si="8"/>
        <v>120</v>
      </c>
      <c r="AD29" s="13">
        <f t="shared" si="8"/>
        <v>112</v>
      </c>
      <c r="AE29" s="13">
        <f t="shared" si="8"/>
        <v>97</v>
      </c>
      <c r="AF29" s="13">
        <f t="shared" si="8"/>
        <v>110</v>
      </c>
      <c r="AG29" s="13">
        <f t="shared" si="8"/>
        <v>110</v>
      </c>
      <c r="AH29" s="13">
        <f t="shared" si="8"/>
        <v>80</v>
      </c>
      <c r="AI29" s="13">
        <f t="shared" si="8"/>
        <v>99</v>
      </c>
      <c r="AJ29" s="13">
        <f t="shared" si="8"/>
        <v>90</v>
      </c>
      <c r="AK29" s="13">
        <f t="shared" si="8"/>
        <v>105</v>
      </c>
      <c r="AL29" s="13">
        <f t="shared" si="8"/>
        <v>100</v>
      </c>
      <c r="AM29" s="13">
        <f t="shared" si="8"/>
        <v>98</v>
      </c>
      <c r="AN29" s="13">
        <f t="shared" si="8"/>
        <v>90</v>
      </c>
      <c r="AO29" s="13">
        <f t="shared" si="8"/>
        <v>101</v>
      </c>
      <c r="AP29" s="13">
        <f t="shared" si="8"/>
        <v>107</v>
      </c>
      <c r="AQ29" s="13">
        <f t="shared" si="8"/>
        <v>126</v>
      </c>
      <c r="AR29" s="13">
        <f t="shared" si="8"/>
        <v>106</v>
      </c>
      <c r="AS29" s="13">
        <f t="shared" si="8"/>
        <v>107</v>
      </c>
      <c r="AT29" s="13">
        <f t="shared" si="8"/>
        <v>70</v>
      </c>
      <c r="AU29" s="13">
        <f t="shared" si="3"/>
        <v>4207</v>
      </c>
    </row>
    <row r="30" ht="12.75" customHeight="1">
      <c r="A30" s="35"/>
      <c r="B30" s="28"/>
      <c r="C30" s="36"/>
      <c r="D30" s="13" t="s">
        <v>14</v>
      </c>
      <c r="E30" s="13">
        <f t="shared" ref="E30:AT30" si="9">SUM(E28:E29)</f>
        <v>206</v>
      </c>
      <c r="F30" s="13">
        <f t="shared" si="9"/>
        <v>204</v>
      </c>
      <c r="G30" s="13">
        <f t="shared" si="9"/>
        <v>162</v>
      </c>
      <c r="H30" s="13">
        <f t="shared" si="9"/>
        <v>219</v>
      </c>
      <c r="I30" s="13">
        <f t="shared" si="9"/>
        <v>207</v>
      </c>
      <c r="J30" s="13">
        <f t="shared" si="9"/>
        <v>212</v>
      </c>
      <c r="K30" s="13">
        <f t="shared" si="9"/>
        <v>135</v>
      </c>
      <c r="L30" s="13">
        <f t="shared" si="9"/>
        <v>139</v>
      </c>
      <c r="M30" s="13">
        <f t="shared" si="9"/>
        <v>211</v>
      </c>
      <c r="N30" s="13">
        <f t="shared" si="9"/>
        <v>229</v>
      </c>
      <c r="O30" s="13">
        <f t="shared" si="9"/>
        <v>218</v>
      </c>
      <c r="P30" s="13">
        <f t="shared" si="9"/>
        <v>176</v>
      </c>
      <c r="Q30" s="13">
        <f t="shared" si="9"/>
        <v>179</v>
      </c>
      <c r="R30" s="13">
        <f t="shared" si="9"/>
        <v>186</v>
      </c>
      <c r="S30" s="13">
        <f t="shared" si="9"/>
        <v>184</v>
      </c>
      <c r="T30" s="13">
        <f t="shared" si="9"/>
        <v>203</v>
      </c>
      <c r="U30" s="13">
        <f t="shared" si="9"/>
        <v>157</v>
      </c>
      <c r="V30" s="13">
        <f t="shared" si="9"/>
        <v>173</v>
      </c>
      <c r="W30" s="13">
        <f t="shared" si="9"/>
        <v>214</v>
      </c>
      <c r="X30" s="13">
        <f t="shared" si="9"/>
        <v>183</v>
      </c>
      <c r="Y30" s="13">
        <f t="shared" si="9"/>
        <v>183</v>
      </c>
      <c r="Z30" s="13">
        <f t="shared" si="9"/>
        <v>154</v>
      </c>
      <c r="AA30" s="13">
        <f t="shared" si="9"/>
        <v>223</v>
      </c>
      <c r="AB30" s="13">
        <f t="shared" si="9"/>
        <v>212</v>
      </c>
      <c r="AC30" s="13">
        <f t="shared" si="9"/>
        <v>217</v>
      </c>
      <c r="AD30" s="13">
        <f t="shared" si="9"/>
        <v>199</v>
      </c>
      <c r="AE30" s="13">
        <f t="shared" si="9"/>
        <v>193</v>
      </c>
      <c r="AF30" s="13">
        <f t="shared" si="9"/>
        <v>209</v>
      </c>
      <c r="AG30" s="13">
        <f t="shared" si="9"/>
        <v>208</v>
      </c>
      <c r="AH30" s="13">
        <f t="shared" si="9"/>
        <v>168</v>
      </c>
      <c r="AI30" s="13">
        <f t="shared" si="9"/>
        <v>190</v>
      </c>
      <c r="AJ30" s="13">
        <f t="shared" si="9"/>
        <v>171</v>
      </c>
      <c r="AK30" s="13">
        <f t="shared" si="9"/>
        <v>205</v>
      </c>
      <c r="AL30" s="13">
        <f t="shared" si="9"/>
        <v>191</v>
      </c>
      <c r="AM30" s="13">
        <f t="shared" si="9"/>
        <v>187</v>
      </c>
      <c r="AN30" s="13">
        <f t="shared" si="9"/>
        <v>186</v>
      </c>
      <c r="AO30" s="13">
        <f t="shared" si="9"/>
        <v>189</v>
      </c>
      <c r="AP30" s="13">
        <f t="shared" si="9"/>
        <v>198</v>
      </c>
      <c r="AQ30" s="13">
        <f t="shared" si="9"/>
        <v>237</v>
      </c>
      <c r="AR30" s="13">
        <f t="shared" si="9"/>
        <v>206</v>
      </c>
      <c r="AS30" s="13">
        <f t="shared" si="9"/>
        <v>210</v>
      </c>
      <c r="AT30" s="13">
        <f t="shared" si="9"/>
        <v>130</v>
      </c>
      <c r="AU30" s="13">
        <f t="shared" si="3"/>
        <v>8063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19"/>
      <c r="R31" s="19"/>
      <c r="S31" s="19"/>
      <c r="T31" s="19"/>
      <c r="U31" s="19"/>
      <c r="V31" s="19"/>
      <c r="W31" s="19"/>
      <c r="X31" s="19"/>
      <c r="Y31" s="19"/>
      <c r="Z31" s="74"/>
      <c r="AA31" s="74"/>
      <c r="AB31" s="74"/>
      <c r="AC31" s="19"/>
      <c r="AD31" s="19"/>
      <c r="AE31" s="19"/>
      <c r="AF31" s="19"/>
      <c r="AG31" s="19"/>
      <c r="AH31" s="19"/>
      <c r="AI31" s="19"/>
      <c r="AJ31" s="19"/>
      <c r="AK31" s="74"/>
      <c r="AL31" s="74"/>
      <c r="AM31" s="74"/>
      <c r="AN31" s="19"/>
      <c r="AO31" s="19"/>
      <c r="AP31" s="19"/>
      <c r="AQ31" s="74"/>
      <c r="AR31" s="74"/>
      <c r="AS31" s="74"/>
      <c r="AT31" s="74"/>
      <c r="AU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13"/>
      <c r="R32" s="13"/>
      <c r="S32" s="13"/>
      <c r="T32" s="13"/>
      <c r="U32" s="13"/>
      <c r="V32" s="13"/>
      <c r="W32" s="13"/>
      <c r="X32" s="13"/>
      <c r="Y32" s="13"/>
      <c r="Z32" s="76"/>
      <c r="AA32" s="76"/>
      <c r="AB32" s="76"/>
      <c r="AC32" s="13"/>
      <c r="AD32" s="13"/>
      <c r="AE32" s="13"/>
      <c r="AF32" s="13"/>
      <c r="AG32" s="13"/>
      <c r="AH32" s="13"/>
      <c r="AI32" s="13"/>
      <c r="AJ32" s="13"/>
      <c r="AK32" s="76"/>
      <c r="AL32" s="76"/>
      <c r="AM32" s="76"/>
      <c r="AN32" s="13"/>
      <c r="AO32" s="13"/>
      <c r="AP32" s="13"/>
      <c r="AQ32" s="76"/>
      <c r="AR32" s="76"/>
      <c r="AS32" s="76"/>
      <c r="AT32" s="76"/>
      <c r="AU32" s="75"/>
    </row>
    <row r="33" ht="12.75" customHeight="1">
      <c r="A33" s="19">
        <v>1.0</v>
      </c>
      <c r="B33" s="20" t="s">
        <v>27</v>
      </c>
      <c r="C33" s="15"/>
      <c r="D33" s="16"/>
      <c r="E33" s="73">
        <v>261.0</v>
      </c>
      <c r="F33" s="73">
        <v>266.0</v>
      </c>
      <c r="G33" s="73">
        <v>226.0</v>
      </c>
      <c r="H33" s="73">
        <v>254.0</v>
      </c>
      <c r="I33" s="73">
        <v>249.0</v>
      </c>
      <c r="J33" s="73">
        <v>258.0</v>
      </c>
      <c r="K33" s="73">
        <v>185.0</v>
      </c>
      <c r="L33" s="73">
        <v>178.0</v>
      </c>
      <c r="M33" s="73">
        <v>268.0</v>
      </c>
      <c r="N33" s="73">
        <v>268.0</v>
      </c>
      <c r="O33" s="73">
        <v>294.0</v>
      </c>
      <c r="P33" s="73">
        <v>199.0</v>
      </c>
      <c r="Q33" s="73">
        <v>231.0</v>
      </c>
      <c r="R33" s="73">
        <v>219.0</v>
      </c>
      <c r="S33" s="73">
        <v>257.0</v>
      </c>
      <c r="T33" s="73">
        <v>279.0</v>
      </c>
      <c r="U33" s="73">
        <v>211.0</v>
      </c>
      <c r="V33" s="73">
        <v>248.0</v>
      </c>
      <c r="W33" s="73">
        <v>292.0</v>
      </c>
      <c r="X33" s="73">
        <v>267.0</v>
      </c>
      <c r="Y33" s="73">
        <v>255.0</v>
      </c>
      <c r="Z33" s="73">
        <v>225.0</v>
      </c>
      <c r="AA33" s="73">
        <v>294.0</v>
      </c>
      <c r="AB33" s="73">
        <v>274.0</v>
      </c>
      <c r="AC33" s="73">
        <v>263.0</v>
      </c>
      <c r="AD33" s="73">
        <v>288.0</v>
      </c>
      <c r="AE33" s="73">
        <v>245.0</v>
      </c>
      <c r="AF33" s="73">
        <v>268.0</v>
      </c>
      <c r="AG33" s="73">
        <v>282.0</v>
      </c>
      <c r="AH33" s="73">
        <v>206.0</v>
      </c>
      <c r="AI33" s="73">
        <v>234.0</v>
      </c>
      <c r="AJ33" s="73">
        <v>219.0</v>
      </c>
      <c r="AK33" s="73">
        <v>269.0</v>
      </c>
      <c r="AL33" s="73">
        <v>243.0</v>
      </c>
      <c r="AM33" s="73">
        <v>243.0</v>
      </c>
      <c r="AN33" s="73">
        <v>237.0</v>
      </c>
      <c r="AO33" s="73">
        <v>249.0</v>
      </c>
      <c r="AP33" s="73">
        <v>269.0</v>
      </c>
      <c r="AQ33" s="73">
        <v>272.0</v>
      </c>
      <c r="AR33" s="73">
        <v>274.0</v>
      </c>
      <c r="AS33" s="73">
        <v>291.0</v>
      </c>
      <c r="AT33" s="73">
        <v>192.0</v>
      </c>
      <c r="AU33" s="13">
        <f t="shared" ref="AU33:AU36" si="10">SUM(E33:AT33)</f>
        <v>10502</v>
      </c>
    </row>
    <row r="34" ht="12.75" customHeight="1">
      <c r="A34" s="19">
        <v>2.0</v>
      </c>
      <c r="B34" s="20" t="s">
        <v>28</v>
      </c>
      <c r="C34" s="15"/>
      <c r="D34" s="16"/>
      <c r="E34" s="77">
        <v>206.0</v>
      </c>
      <c r="F34" s="77">
        <v>204.0</v>
      </c>
      <c r="G34" s="77">
        <v>162.0</v>
      </c>
      <c r="H34" s="77">
        <v>219.0</v>
      </c>
      <c r="I34" s="77">
        <v>207.0</v>
      </c>
      <c r="J34" s="77">
        <v>212.0</v>
      </c>
      <c r="K34" s="77">
        <v>135.0</v>
      </c>
      <c r="L34" s="77">
        <v>139.0</v>
      </c>
      <c r="M34" s="77">
        <v>211.0</v>
      </c>
      <c r="N34" s="77">
        <v>229.0</v>
      </c>
      <c r="O34" s="77">
        <v>218.0</v>
      </c>
      <c r="P34" s="77">
        <v>176.0</v>
      </c>
      <c r="Q34" s="77">
        <v>179.0</v>
      </c>
      <c r="R34" s="77">
        <v>186.0</v>
      </c>
      <c r="S34" s="77">
        <v>184.0</v>
      </c>
      <c r="T34" s="77">
        <v>203.0</v>
      </c>
      <c r="U34" s="77">
        <v>157.0</v>
      </c>
      <c r="V34" s="77">
        <v>173.0</v>
      </c>
      <c r="W34" s="77">
        <v>214.0</v>
      </c>
      <c r="X34" s="77">
        <v>183.0</v>
      </c>
      <c r="Y34" s="77">
        <v>183.0</v>
      </c>
      <c r="Z34" s="77">
        <v>154.0</v>
      </c>
      <c r="AA34" s="77">
        <v>223.0</v>
      </c>
      <c r="AB34" s="77">
        <v>212.0</v>
      </c>
      <c r="AC34" s="77">
        <v>217.0</v>
      </c>
      <c r="AD34" s="77">
        <v>199.0</v>
      </c>
      <c r="AE34" s="77">
        <v>193.0</v>
      </c>
      <c r="AF34" s="77">
        <v>209.0</v>
      </c>
      <c r="AG34" s="77">
        <v>208.0</v>
      </c>
      <c r="AH34" s="77">
        <v>168.0</v>
      </c>
      <c r="AI34" s="77">
        <v>190.0</v>
      </c>
      <c r="AJ34" s="77">
        <v>171.0</v>
      </c>
      <c r="AK34" s="77">
        <v>205.0</v>
      </c>
      <c r="AL34" s="77">
        <v>191.0</v>
      </c>
      <c r="AM34" s="77">
        <v>187.0</v>
      </c>
      <c r="AN34" s="77">
        <v>186.0</v>
      </c>
      <c r="AO34" s="77">
        <v>189.0</v>
      </c>
      <c r="AP34" s="77">
        <v>198.0</v>
      </c>
      <c r="AQ34" s="77">
        <v>237.0</v>
      </c>
      <c r="AR34" s="77">
        <v>206.0</v>
      </c>
      <c r="AS34" s="77">
        <v>210.0</v>
      </c>
      <c r="AT34" s="77">
        <v>130.0</v>
      </c>
      <c r="AU34" s="13">
        <f t="shared" si="10"/>
        <v>8063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1.0</v>
      </c>
      <c r="L35" s="73">
        <v>0.0</v>
      </c>
      <c r="M35" s="73">
        <v>0.0</v>
      </c>
      <c r="N35" s="73">
        <v>0.0</v>
      </c>
      <c r="O35" s="73">
        <v>0.0</v>
      </c>
      <c r="P35" s="73">
        <v>0.0</v>
      </c>
      <c r="Q35" s="73">
        <v>0.0</v>
      </c>
      <c r="R35" s="73">
        <v>3.0</v>
      </c>
      <c r="S35" s="73">
        <v>0.0</v>
      </c>
      <c r="T35" s="73">
        <v>0.0</v>
      </c>
      <c r="U35" s="73">
        <v>0.0</v>
      </c>
      <c r="V35" s="73">
        <v>0.0</v>
      </c>
      <c r="W35" s="73">
        <v>0.0</v>
      </c>
      <c r="X35" s="73">
        <v>0.0</v>
      </c>
      <c r="Y35" s="73">
        <v>0.0</v>
      </c>
      <c r="Z35" s="73">
        <v>0.0</v>
      </c>
      <c r="AA35" s="73">
        <v>0.0</v>
      </c>
      <c r="AB35" s="73">
        <v>0.0</v>
      </c>
      <c r="AC35" s="73">
        <v>0.0</v>
      </c>
      <c r="AD35" s="73">
        <v>0.0</v>
      </c>
      <c r="AE35" s="73">
        <v>2.0</v>
      </c>
      <c r="AF35" s="73">
        <v>0.0</v>
      </c>
      <c r="AG35" s="73">
        <v>0.0</v>
      </c>
      <c r="AH35" s="73">
        <v>0.0</v>
      </c>
      <c r="AI35" s="73">
        <v>0.0</v>
      </c>
      <c r="AJ35" s="73">
        <v>0.0</v>
      </c>
      <c r="AK35" s="73">
        <v>0.0</v>
      </c>
      <c r="AL35" s="73">
        <v>0.0</v>
      </c>
      <c r="AM35" s="73">
        <v>1.0</v>
      </c>
      <c r="AN35" s="73">
        <v>0.0</v>
      </c>
      <c r="AO35" s="73">
        <v>0.0</v>
      </c>
      <c r="AP35" s="73">
        <v>1.0</v>
      </c>
      <c r="AQ35" s="73">
        <v>2.0</v>
      </c>
      <c r="AR35" s="73">
        <v>1.0</v>
      </c>
      <c r="AS35" s="73">
        <v>0.0</v>
      </c>
      <c r="AT35" s="73">
        <v>0.0</v>
      </c>
      <c r="AU35" s="13">
        <f t="shared" si="10"/>
        <v>11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T36" si="11">E33-(E34+E35)</f>
        <v>55</v>
      </c>
      <c r="F36" s="13">
        <f t="shared" si="11"/>
        <v>62</v>
      </c>
      <c r="G36" s="13">
        <f t="shared" si="11"/>
        <v>64</v>
      </c>
      <c r="H36" s="13">
        <f t="shared" si="11"/>
        <v>35</v>
      </c>
      <c r="I36" s="13">
        <f t="shared" si="11"/>
        <v>42</v>
      </c>
      <c r="J36" s="13">
        <f t="shared" si="11"/>
        <v>46</v>
      </c>
      <c r="K36" s="13">
        <f t="shared" si="11"/>
        <v>49</v>
      </c>
      <c r="L36" s="13">
        <f t="shared" si="11"/>
        <v>39</v>
      </c>
      <c r="M36" s="13">
        <f t="shared" si="11"/>
        <v>57</v>
      </c>
      <c r="N36" s="13">
        <f t="shared" si="11"/>
        <v>39</v>
      </c>
      <c r="O36" s="13">
        <f t="shared" si="11"/>
        <v>76</v>
      </c>
      <c r="P36" s="13">
        <f t="shared" si="11"/>
        <v>23</v>
      </c>
      <c r="Q36" s="13">
        <f t="shared" si="11"/>
        <v>52</v>
      </c>
      <c r="R36" s="13">
        <f t="shared" si="11"/>
        <v>30</v>
      </c>
      <c r="S36" s="13">
        <f t="shared" si="11"/>
        <v>73</v>
      </c>
      <c r="T36" s="13">
        <f t="shared" si="11"/>
        <v>76</v>
      </c>
      <c r="U36" s="13">
        <f t="shared" si="11"/>
        <v>54</v>
      </c>
      <c r="V36" s="13">
        <f t="shared" si="11"/>
        <v>75</v>
      </c>
      <c r="W36" s="13">
        <f t="shared" si="11"/>
        <v>78</v>
      </c>
      <c r="X36" s="13">
        <f t="shared" si="11"/>
        <v>84</v>
      </c>
      <c r="Y36" s="13">
        <f t="shared" si="11"/>
        <v>72</v>
      </c>
      <c r="Z36" s="13">
        <f t="shared" si="11"/>
        <v>71</v>
      </c>
      <c r="AA36" s="13">
        <f t="shared" si="11"/>
        <v>71</v>
      </c>
      <c r="AB36" s="13">
        <f t="shared" si="11"/>
        <v>62</v>
      </c>
      <c r="AC36" s="13">
        <f t="shared" si="11"/>
        <v>46</v>
      </c>
      <c r="AD36" s="13">
        <f t="shared" si="11"/>
        <v>89</v>
      </c>
      <c r="AE36" s="13">
        <f t="shared" si="11"/>
        <v>50</v>
      </c>
      <c r="AF36" s="13">
        <f t="shared" si="11"/>
        <v>59</v>
      </c>
      <c r="AG36" s="13">
        <f t="shared" si="11"/>
        <v>74</v>
      </c>
      <c r="AH36" s="13">
        <f t="shared" si="11"/>
        <v>38</v>
      </c>
      <c r="AI36" s="13">
        <f t="shared" si="11"/>
        <v>44</v>
      </c>
      <c r="AJ36" s="13">
        <f t="shared" si="11"/>
        <v>48</v>
      </c>
      <c r="AK36" s="13">
        <f t="shared" si="11"/>
        <v>64</v>
      </c>
      <c r="AL36" s="13">
        <f t="shared" si="11"/>
        <v>52</v>
      </c>
      <c r="AM36" s="13">
        <f t="shared" si="11"/>
        <v>55</v>
      </c>
      <c r="AN36" s="13">
        <f t="shared" si="11"/>
        <v>51</v>
      </c>
      <c r="AO36" s="13">
        <f t="shared" si="11"/>
        <v>60</v>
      </c>
      <c r="AP36" s="13">
        <f t="shared" si="11"/>
        <v>70</v>
      </c>
      <c r="AQ36" s="13">
        <f t="shared" si="11"/>
        <v>33</v>
      </c>
      <c r="AR36" s="13">
        <f t="shared" si="11"/>
        <v>67</v>
      </c>
      <c r="AS36" s="13">
        <f t="shared" si="11"/>
        <v>81</v>
      </c>
      <c r="AT36" s="13">
        <f t="shared" si="11"/>
        <v>62</v>
      </c>
      <c r="AU36" s="13">
        <f t="shared" si="10"/>
        <v>2428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6"/>
      <c r="AG37" s="19"/>
      <c r="AH37" s="19"/>
      <c r="AI37" s="19"/>
      <c r="AJ37" s="19"/>
      <c r="AK37" s="74"/>
      <c r="AL37" s="83"/>
      <c r="AM37" s="83"/>
      <c r="AN37" s="19"/>
      <c r="AO37" s="19"/>
      <c r="AP37" s="19"/>
      <c r="AQ37" s="74"/>
      <c r="AR37" s="83"/>
      <c r="AS37" s="83"/>
      <c r="AT37" s="83"/>
      <c r="AU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13"/>
      <c r="R38" s="13"/>
      <c r="S38" s="13"/>
      <c r="T38" s="13"/>
      <c r="U38" s="13"/>
      <c r="V38" s="13"/>
      <c r="W38" s="13"/>
      <c r="X38" s="13"/>
      <c r="Y38" s="13"/>
      <c r="Z38" s="76"/>
      <c r="AA38" s="76"/>
      <c r="AB38" s="76"/>
      <c r="AC38" s="13"/>
      <c r="AD38" s="13"/>
      <c r="AE38" s="13"/>
      <c r="AF38" s="13"/>
      <c r="AG38" s="13"/>
      <c r="AH38" s="13"/>
      <c r="AI38" s="13"/>
      <c r="AJ38" s="13"/>
      <c r="AK38" s="76"/>
      <c r="AL38" s="76"/>
      <c r="AM38" s="76"/>
      <c r="AN38" s="13"/>
      <c r="AO38" s="13"/>
      <c r="AP38" s="13"/>
      <c r="AQ38" s="76"/>
      <c r="AR38" s="76"/>
      <c r="AS38" s="76"/>
      <c r="AT38" s="76"/>
      <c r="AU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1.0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73">
        <v>0.0</v>
      </c>
      <c r="V39" s="73">
        <v>1.0</v>
      </c>
      <c r="W39" s="73">
        <v>0.0</v>
      </c>
      <c r="X39" s="73">
        <v>0.0</v>
      </c>
      <c r="Y39" s="73">
        <v>0.0</v>
      </c>
      <c r="Z39" s="73">
        <v>0.0</v>
      </c>
      <c r="AA39" s="73">
        <v>0.0</v>
      </c>
      <c r="AB39" s="73">
        <v>0.0</v>
      </c>
      <c r="AC39" s="73">
        <v>0.0</v>
      </c>
      <c r="AD39" s="73">
        <v>0.0</v>
      </c>
      <c r="AE39" s="73">
        <v>1.0</v>
      </c>
      <c r="AF39" s="73">
        <v>0.0</v>
      </c>
      <c r="AG39" s="73">
        <v>0.0</v>
      </c>
      <c r="AH39" s="73">
        <v>0.0</v>
      </c>
      <c r="AI39" s="73">
        <v>0.0</v>
      </c>
      <c r="AJ39" s="73">
        <v>0.0</v>
      </c>
      <c r="AK39" s="73">
        <v>0.0</v>
      </c>
      <c r="AL39" s="73">
        <v>0.0</v>
      </c>
      <c r="AM39" s="73">
        <v>0.0</v>
      </c>
      <c r="AN39" s="73">
        <v>0.0</v>
      </c>
      <c r="AO39" s="73">
        <v>0.0</v>
      </c>
      <c r="AP39" s="73">
        <v>0.0</v>
      </c>
      <c r="AQ39" s="73">
        <v>0.0</v>
      </c>
      <c r="AR39" s="73">
        <v>0.0</v>
      </c>
      <c r="AS39" s="73">
        <v>0.0</v>
      </c>
      <c r="AT39" s="73">
        <v>1.0</v>
      </c>
      <c r="AU39" s="13">
        <f t="shared" ref="AU39:AU41" si="12">SUM(E39:AT39)</f>
        <v>4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0.0</v>
      </c>
      <c r="T40" s="73">
        <v>0.0</v>
      </c>
      <c r="U40" s="73">
        <v>0.0</v>
      </c>
      <c r="V40" s="73">
        <v>1.0</v>
      </c>
      <c r="W40" s="73">
        <v>0.0</v>
      </c>
      <c r="X40" s="73">
        <v>0.0</v>
      </c>
      <c r="Y40" s="73">
        <v>0.0</v>
      </c>
      <c r="Z40" s="73">
        <v>0.0</v>
      </c>
      <c r="AA40" s="73">
        <v>0.0</v>
      </c>
      <c r="AB40" s="73">
        <v>0.0</v>
      </c>
      <c r="AC40" s="73">
        <v>0.0</v>
      </c>
      <c r="AD40" s="73">
        <v>0.0</v>
      </c>
      <c r="AE40" s="73">
        <v>1.0</v>
      </c>
      <c r="AF40" s="73">
        <v>0.0</v>
      </c>
      <c r="AG40" s="73">
        <v>0.0</v>
      </c>
      <c r="AH40" s="73">
        <v>0.0</v>
      </c>
      <c r="AI40" s="73">
        <v>0.0</v>
      </c>
      <c r="AJ40" s="73">
        <v>0.0</v>
      </c>
      <c r="AK40" s="73">
        <v>0.0</v>
      </c>
      <c r="AL40" s="73">
        <v>0.0</v>
      </c>
      <c r="AM40" s="73">
        <v>0.0</v>
      </c>
      <c r="AN40" s="73">
        <v>1.0</v>
      </c>
      <c r="AO40" s="73">
        <v>0.0</v>
      </c>
      <c r="AP40" s="73">
        <v>0.0</v>
      </c>
      <c r="AQ40" s="73">
        <v>0.0</v>
      </c>
      <c r="AR40" s="73">
        <v>0.0</v>
      </c>
      <c r="AS40" s="73">
        <v>0.0</v>
      </c>
      <c r="AT40" s="73">
        <v>0.0</v>
      </c>
      <c r="AU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T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2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2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1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1</v>
      </c>
      <c r="AU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6"/>
      <c r="AG42" s="19"/>
      <c r="AH42" s="19"/>
      <c r="AI42" s="19"/>
      <c r="AJ42" s="19"/>
      <c r="AK42" s="74"/>
      <c r="AL42" s="19"/>
      <c r="AM42" s="74"/>
      <c r="AN42" s="19"/>
      <c r="AO42" s="19"/>
      <c r="AP42" s="19"/>
      <c r="AQ42" s="74"/>
      <c r="AR42" s="19"/>
      <c r="AS42" s="74"/>
      <c r="AT42" s="19"/>
      <c r="A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13"/>
      <c r="S43" s="13"/>
      <c r="T43" s="13"/>
      <c r="U43" s="13"/>
      <c r="V43" s="13"/>
      <c r="W43" s="13"/>
      <c r="X43" s="13"/>
      <c r="Y43" s="13"/>
      <c r="Z43" s="76"/>
      <c r="AA43" s="13"/>
      <c r="AB43" s="76"/>
      <c r="AC43" s="13"/>
      <c r="AD43" s="13"/>
      <c r="AE43" s="13"/>
      <c r="AF43" s="13"/>
      <c r="AG43" s="13"/>
      <c r="AH43" s="13"/>
      <c r="AI43" s="13"/>
      <c r="AJ43" s="13"/>
      <c r="AK43" s="76"/>
      <c r="AL43" s="13"/>
      <c r="AM43" s="76"/>
      <c r="AN43" s="13"/>
      <c r="AO43" s="13"/>
      <c r="AP43" s="13"/>
      <c r="AQ43" s="76"/>
      <c r="AR43" s="13"/>
      <c r="AS43" s="76"/>
      <c r="AT43" s="13"/>
      <c r="A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19"/>
      <c r="S44" s="19"/>
      <c r="T44" s="19"/>
      <c r="U44" s="19"/>
      <c r="V44" s="19"/>
      <c r="W44" s="19"/>
      <c r="X44" s="19"/>
      <c r="Y44" s="19"/>
      <c r="Z44" s="74"/>
      <c r="AA44" s="19"/>
      <c r="AB44" s="74"/>
      <c r="AC44" s="19"/>
      <c r="AD44" s="19"/>
      <c r="AE44" s="19"/>
      <c r="AF44" s="19"/>
      <c r="AG44" s="19"/>
      <c r="AH44" s="19"/>
      <c r="AI44" s="19"/>
      <c r="AJ44" s="19"/>
      <c r="AK44" s="74"/>
      <c r="AL44" s="19"/>
      <c r="AM44" s="74"/>
      <c r="AN44" s="19"/>
      <c r="AO44" s="19"/>
      <c r="AP44" s="19"/>
      <c r="AQ44" s="74"/>
      <c r="AR44" s="19"/>
      <c r="AS44" s="74"/>
      <c r="AT44" s="19"/>
      <c r="AU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1.0</v>
      </c>
      <c r="F45" s="73">
        <v>0.0</v>
      </c>
      <c r="G45" s="73">
        <v>0.0</v>
      </c>
      <c r="H45" s="73">
        <v>2.0</v>
      </c>
      <c r="I45" s="73">
        <v>2.0</v>
      </c>
      <c r="J45" s="73">
        <v>4.0</v>
      </c>
      <c r="K45" s="73">
        <v>2.0</v>
      </c>
      <c r="L45" s="73">
        <v>6.0</v>
      </c>
      <c r="M45" s="73">
        <v>1.0</v>
      </c>
      <c r="N45" s="73">
        <v>5.0</v>
      </c>
      <c r="O45" s="73">
        <v>6.0</v>
      </c>
      <c r="P45" s="73">
        <v>7.0</v>
      </c>
      <c r="Q45" s="73">
        <v>10.0</v>
      </c>
      <c r="R45" s="73">
        <v>13.0</v>
      </c>
      <c r="S45" s="73">
        <v>5.0</v>
      </c>
      <c r="T45" s="73">
        <v>6.0</v>
      </c>
      <c r="U45" s="73">
        <v>5.0</v>
      </c>
      <c r="V45" s="73">
        <v>1.0</v>
      </c>
      <c r="W45" s="73">
        <v>2.0</v>
      </c>
      <c r="X45" s="73">
        <v>8.0</v>
      </c>
      <c r="Y45" s="73">
        <v>5.0</v>
      </c>
      <c r="Z45" s="73">
        <v>10.0</v>
      </c>
      <c r="AA45" s="73">
        <v>11.0</v>
      </c>
      <c r="AB45" s="73">
        <v>6.0</v>
      </c>
      <c r="AC45" s="73">
        <v>4.0</v>
      </c>
      <c r="AD45" s="73">
        <v>8.0</v>
      </c>
      <c r="AE45" s="73">
        <v>5.0</v>
      </c>
      <c r="AF45" s="73">
        <v>8.0</v>
      </c>
      <c r="AG45" s="73">
        <v>9.0</v>
      </c>
      <c r="AH45" s="73">
        <v>19.0</v>
      </c>
      <c r="AI45" s="73">
        <v>2.0</v>
      </c>
      <c r="AJ45" s="73">
        <v>7.0</v>
      </c>
      <c r="AK45" s="73">
        <v>14.0</v>
      </c>
      <c r="AL45" s="73">
        <v>12.0</v>
      </c>
      <c r="AM45" s="73">
        <v>11.0</v>
      </c>
      <c r="AN45" s="73">
        <v>6.0</v>
      </c>
      <c r="AO45" s="73">
        <v>7.0</v>
      </c>
      <c r="AP45" s="73">
        <v>6.0</v>
      </c>
      <c r="AQ45" s="73">
        <v>13.0</v>
      </c>
      <c r="AR45" s="73">
        <v>8.0</v>
      </c>
      <c r="AS45" s="73">
        <v>17.0</v>
      </c>
      <c r="AT45" s="73">
        <v>3.0</v>
      </c>
      <c r="AU45" s="13">
        <f t="shared" ref="AU45:AU54" si="14">SUM(E45:AT45)</f>
        <v>277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1.0</v>
      </c>
      <c r="F46" s="73">
        <v>6.0</v>
      </c>
      <c r="G46" s="73">
        <v>2.0</v>
      </c>
      <c r="H46" s="73">
        <v>17.0</v>
      </c>
      <c r="I46" s="73">
        <v>16.0</v>
      </c>
      <c r="J46" s="73">
        <v>10.0</v>
      </c>
      <c r="K46" s="73">
        <v>1.0</v>
      </c>
      <c r="L46" s="73">
        <v>2.0</v>
      </c>
      <c r="M46" s="73">
        <v>0.0</v>
      </c>
      <c r="N46" s="73">
        <v>11.0</v>
      </c>
      <c r="O46" s="73">
        <v>17.0</v>
      </c>
      <c r="P46" s="73">
        <v>11.0</v>
      </c>
      <c r="Q46" s="73">
        <v>16.0</v>
      </c>
      <c r="R46" s="73">
        <v>32.0</v>
      </c>
      <c r="S46" s="73">
        <v>5.0</v>
      </c>
      <c r="T46" s="73">
        <v>11.0</v>
      </c>
      <c r="U46" s="73">
        <v>14.0</v>
      </c>
      <c r="V46" s="73">
        <v>1.0</v>
      </c>
      <c r="W46" s="73">
        <v>14.0</v>
      </c>
      <c r="X46" s="73">
        <v>6.0</v>
      </c>
      <c r="Y46" s="73">
        <v>7.0</v>
      </c>
      <c r="Z46" s="73">
        <v>15.0</v>
      </c>
      <c r="AA46" s="73">
        <v>23.0</v>
      </c>
      <c r="AB46" s="73">
        <v>15.0</v>
      </c>
      <c r="AC46" s="73">
        <v>14.0</v>
      </c>
      <c r="AD46" s="73">
        <v>21.0</v>
      </c>
      <c r="AE46" s="73">
        <v>31.0</v>
      </c>
      <c r="AF46" s="73">
        <v>13.0</v>
      </c>
      <c r="AG46" s="73">
        <v>13.0</v>
      </c>
      <c r="AH46" s="73">
        <v>21.0</v>
      </c>
      <c r="AI46" s="73">
        <v>11.0</v>
      </c>
      <c r="AJ46" s="73">
        <v>27.0</v>
      </c>
      <c r="AK46" s="73">
        <v>16.0</v>
      </c>
      <c r="AL46" s="73">
        <v>26.0</v>
      </c>
      <c r="AM46" s="73">
        <v>31.0</v>
      </c>
      <c r="AN46" s="73">
        <v>16.0</v>
      </c>
      <c r="AO46" s="73">
        <v>15.0</v>
      </c>
      <c r="AP46" s="73">
        <v>29.0</v>
      </c>
      <c r="AQ46" s="73">
        <v>35.0</v>
      </c>
      <c r="AR46" s="73">
        <v>28.0</v>
      </c>
      <c r="AS46" s="73">
        <v>18.0</v>
      </c>
      <c r="AT46" s="73">
        <v>9.0</v>
      </c>
      <c r="AU46" s="13">
        <f t="shared" si="14"/>
        <v>627</v>
      </c>
    </row>
    <row r="47" ht="12.75" customHeight="1">
      <c r="A47" s="18"/>
      <c r="B47" s="49"/>
      <c r="C47" s="50" t="s">
        <v>41</v>
      </c>
      <c r="D47" s="51"/>
      <c r="E47" s="73">
        <v>0.0</v>
      </c>
      <c r="F47" s="73">
        <v>0.0</v>
      </c>
      <c r="G47" s="73">
        <v>1.0</v>
      </c>
      <c r="H47" s="73">
        <v>1.0</v>
      </c>
      <c r="I47" s="73">
        <v>3.0</v>
      </c>
      <c r="J47" s="73">
        <v>4.0</v>
      </c>
      <c r="K47" s="73">
        <v>0.0</v>
      </c>
      <c r="L47" s="73">
        <v>1.0</v>
      </c>
      <c r="M47" s="73">
        <v>0.0</v>
      </c>
      <c r="N47" s="73">
        <v>7.0</v>
      </c>
      <c r="O47" s="73">
        <v>3.0</v>
      </c>
      <c r="P47" s="73">
        <v>3.0</v>
      </c>
      <c r="Q47" s="73">
        <v>2.0</v>
      </c>
      <c r="R47" s="73">
        <v>6.0</v>
      </c>
      <c r="S47" s="73">
        <v>3.0</v>
      </c>
      <c r="T47" s="73">
        <v>2.0</v>
      </c>
      <c r="U47" s="73">
        <v>2.0</v>
      </c>
      <c r="V47" s="73">
        <v>3.0</v>
      </c>
      <c r="W47" s="73">
        <v>4.0</v>
      </c>
      <c r="X47" s="73">
        <v>5.0</v>
      </c>
      <c r="Y47" s="73">
        <v>6.0</v>
      </c>
      <c r="Z47" s="73">
        <v>2.0</v>
      </c>
      <c r="AA47" s="73">
        <v>6.0</v>
      </c>
      <c r="AB47" s="73">
        <v>4.0</v>
      </c>
      <c r="AC47" s="73">
        <v>4.0</v>
      </c>
      <c r="AD47" s="73">
        <v>2.0</v>
      </c>
      <c r="AE47" s="73">
        <v>9.0</v>
      </c>
      <c r="AF47" s="73">
        <v>5.0</v>
      </c>
      <c r="AG47" s="73">
        <v>4.0</v>
      </c>
      <c r="AH47" s="73">
        <v>3.0</v>
      </c>
      <c r="AI47" s="73">
        <v>2.0</v>
      </c>
      <c r="AJ47" s="73">
        <v>2.0</v>
      </c>
      <c r="AK47" s="73">
        <v>3.0</v>
      </c>
      <c r="AL47" s="73">
        <v>18.0</v>
      </c>
      <c r="AM47" s="73">
        <v>6.0</v>
      </c>
      <c r="AN47" s="73">
        <v>29.0</v>
      </c>
      <c r="AO47" s="73">
        <v>10.0</v>
      </c>
      <c r="AP47" s="73">
        <v>5.0</v>
      </c>
      <c r="AQ47" s="73">
        <v>7.0</v>
      </c>
      <c r="AR47" s="73">
        <v>13.0</v>
      </c>
      <c r="AS47" s="73">
        <v>15.0</v>
      </c>
      <c r="AT47" s="73">
        <v>2.0</v>
      </c>
      <c r="AU47" s="13">
        <f t="shared" si="14"/>
        <v>207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1.0</v>
      </c>
      <c r="G48" s="73">
        <v>0.0</v>
      </c>
      <c r="H48" s="73">
        <v>1.0</v>
      </c>
      <c r="I48" s="73">
        <v>1.0</v>
      </c>
      <c r="J48" s="73">
        <v>0.0</v>
      </c>
      <c r="K48" s="73">
        <v>0.0</v>
      </c>
      <c r="L48" s="73">
        <v>0.0</v>
      </c>
      <c r="M48" s="73">
        <v>0.0</v>
      </c>
      <c r="N48" s="73">
        <v>0.0</v>
      </c>
      <c r="O48" s="73">
        <v>1.0</v>
      </c>
      <c r="P48" s="73">
        <v>0.0</v>
      </c>
      <c r="Q48" s="73">
        <v>3.0</v>
      </c>
      <c r="R48" s="73">
        <v>1.0</v>
      </c>
      <c r="S48" s="73">
        <v>2.0</v>
      </c>
      <c r="T48" s="73">
        <v>0.0</v>
      </c>
      <c r="U48" s="73">
        <v>0.0</v>
      </c>
      <c r="V48" s="73">
        <v>0.0</v>
      </c>
      <c r="W48" s="73">
        <v>0.0</v>
      </c>
      <c r="X48" s="73">
        <v>1.0</v>
      </c>
      <c r="Y48" s="73">
        <v>1.0</v>
      </c>
      <c r="Z48" s="73">
        <v>0.0</v>
      </c>
      <c r="AA48" s="73">
        <v>0.0</v>
      </c>
      <c r="AB48" s="73">
        <v>2.0</v>
      </c>
      <c r="AC48" s="73">
        <v>1.0</v>
      </c>
      <c r="AD48" s="73">
        <v>2.0</v>
      </c>
      <c r="AE48" s="73">
        <v>1.0</v>
      </c>
      <c r="AF48" s="73">
        <v>2.0</v>
      </c>
      <c r="AG48" s="73">
        <v>1.0</v>
      </c>
      <c r="AH48" s="73">
        <v>1.0</v>
      </c>
      <c r="AI48" s="73">
        <v>1.0</v>
      </c>
      <c r="AJ48" s="73">
        <v>2.0</v>
      </c>
      <c r="AK48" s="73">
        <v>1.0</v>
      </c>
      <c r="AL48" s="73">
        <v>1.0</v>
      </c>
      <c r="AM48" s="73">
        <v>1.0</v>
      </c>
      <c r="AN48" s="73">
        <v>2.0</v>
      </c>
      <c r="AO48" s="73">
        <v>2.0</v>
      </c>
      <c r="AP48" s="73">
        <v>0.0</v>
      </c>
      <c r="AQ48" s="73">
        <v>0.0</v>
      </c>
      <c r="AR48" s="73">
        <v>0.0</v>
      </c>
      <c r="AS48" s="73">
        <v>0.0</v>
      </c>
      <c r="AT48" s="73">
        <v>1.0</v>
      </c>
      <c r="AU48" s="13">
        <f t="shared" si="14"/>
        <v>33</v>
      </c>
    </row>
    <row r="49" ht="12.75" customHeight="1">
      <c r="A49" s="18"/>
      <c r="B49" s="49"/>
      <c r="C49" s="50" t="s">
        <v>43</v>
      </c>
      <c r="D49" s="51"/>
      <c r="E49" s="73">
        <v>0.0</v>
      </c>
      <c r="F49" s="73">
        <v>0.0</v>
      </c>
      <c r="G49" s="73">
        <v>0.0</v>
      </c>
      <c r="H49" s="73">
        <v>2.0</v>
      </c>
      <c r="I49" s="73">
        <v>0.0</v>
      </c>
      <c r="J49" s="73">
        <v>1.0</v>
      </c>
      <c r="K49" s="73">
        <v>0.0</v>
      </c>
      <c r="L49" s="73">
        <v>0.0</v>
      </c>
      <c r="M49" s="73">
        <v>0.0</v>
      </c>
      <c r="N49" s="73">
        <v>0.0</v>
      </c>
      <c r="O49" s="73">
        <v>1.0</v>
      </c>
      <c r="P49" s="73">
        <v>0.0</v>
      </c>
      <c r="Q49" s="73">
        <v>1.0</v>
      </c>
      <c r="R49" s="73">
        <v>1.0</v>
      </c>
      <c r="S49" s="73">
        <v>1.0</v>
      </c>
      <c r="T49" s="73">
        <v>2.0</v>
      </c>
      <c r="U49" s="73">
        <v>0.0</v>
      </c>
      <c r="V49" s="73">
        <v>0.0</v>
      </c>
      <c r="W49" s="73">
        <v>1.0</v>
      </c>
      <c r="X49" s="73">
        <v>1.0</v>
      </c>
      <c r="Y49" s="73">
        <v>2.0</v>
      </c>
      <c r="Z49" s="73">
        <v>3.0</v>
      </c>
      <c r="AA49" s="73">
        <v>3.0</v>
      </c>
      <c r="AB49" s="73">
        <v>0.0</v>
      </c>
      <c r="AC49" s="73">
        <v>1.0</v>
      </c>
      <c r="AD49" s="73">
        <v>1.0</v>
      </c>
      <c r="AE49" s="73">
        <v>2.0</v>
      </c>
      <c r="AF49" s="73">
        <v>3.0</v>
      </c>
      <c r="AG49" s="73">
        <v>1.0</v>
      </c>
      <c r="AH49" s="73">
        <v>0.0</v>
      </c>
      <c r="AI49" s="73">
        <v>3.0</v>
      </c>
      <c r="AJ49" s="73">
        <v>2.0</v>
      </c>
      <c r="AK49" s="73">
        <v>3.0</v>
      </c>
      <c r="AL49" s="73">
        <v>0.0</v>
      </c>
      <c r="AM49" s="73">
        <v>3.0</v>
      </c>
      <c r="AN49" s="73">
        <v>2.0</v>
      </c>
      <c r="AO49" s="73">
        <v>0.0</v>
      </c>
      <c r="AP49" s="73">
        <v>2.0</v>
      </c>
      <c r="AQ49" s="73">
        <v>1.0</v>
      </c>
      <c r="AR49" s="73">
        <v>2.0</v>
      </c>
      <c r="AS49" s="73">
        <v>3.0</v>
      </c>
      <c r="AT49" s="73">
        <v>0.0</v>
      </c>
      <c r="AU49" s="13">
        <f t="shared" si="14"/>
        <v>48</v>
      </c>
    </row>
    <row r="50" ht="12.75" customHeight="1">
      <c r="A50" s="18"/>
      <c r="B50" s="49"/>
      <c r="C50" s="50" t="s">
        <v>44</v>
      </c>
      <c r="D50" s="51"/>
      <c r="E50" s="73">
        <v>2.0</v>
      </c>
      <c r="F50" s="73">
        <v>3.0</v>
      </c>
      <c r="G50" s="73">
        <v>0.0</v>
      </c>
      <c r="H50" s="73">
        <v>0.0</v>
      </c>
      <c r="I50" s="73">
        <v>1.0</v>
      </c>
      <c r="J50" s="73">
        <v>0.0</v>
      </c>
      <c r="K50" s="73">
        <v>0.0</v>
      </c>
      <c r="L50" s="73">
        <v>0.0</v>
      </c>
      <c r="M50" s="73">
        <v>0.0</v>
      </c>
      <c r="N50" s="73">
        <v>1.0</v>
      </c>
      <c r="O50" s="73">
        <v>4.0</v>
      </c>
      <c r="P50" s="73">
        <v>15.0</v>
      </c>
      <c r="Q50" s="73">
        <v>0.0</v>
      </c>
      <c r="R50" s="73">
        <v>1.0</v>
      </c>
      <c r="S50" s="73">
        <v>1.0</v>
      </c>
      <c r="T50" s="73">
        <v>0.0</v>
      </c>
      <c r="U50" s="73">
        <v>1.0</v>
      </c>
      <c r="V50" s="73">
        <v>1.0</v>
      </c>
      <c r="W50" s="73">
        <v>1.0</v>
      </c>
      <c r="X50" s="73">
        <v>3.0</v>
      </c>
      <c r="Y50" s="73">
        <v>0.0</v>
      </c>
      <c r="Z50" s="73">
        <v>0.0</v>
      </c>
      <c r="AA50" s="73">
        <v>3.0</v>
      </c>
      <c r="AB50" s="73">
        <v>0.0</v>
      </c>
      <c r="AC50" s="73">
        <v>4.0</v>
      </c>
      <c r="AD50" s="73">
        <v>3.0</v>
      </c>
      <c r="AE50" s="73">
        <v>35.0</v>
      </c>
      <c r="AF50" s="73">
        <v>9.0</v>
      </c>
      <c r="AG50" s="73">
        <v>1.0</v>
      </c>
      <c r="AH50" s="73">
        <v>5.0</v>
      </c>
      <c r="AI50" s="73">
        <v>3.0</v>
      </c>
      <c r="AJ50" s="73">
        <v>6.0</v>
      </c>
      <c r="AK50" s="73">
        <v>7.0</v>
      </c>
      <c r="AL50" s="73">
        <v>1.0</v>
      </c>
      <c r="AM50" s="73">
        <v>3.0</v>
      </c>
      <c r="AN50" s="73">
        <v>7.0</v>
      </c>
      <c r="AO50" s="73">
        <v>5.0</v>
      </c>
      <c r="AP50" s="73">
        <v>2.0</v>
      </c>
      <c r="AQ50" s="73">
        <v>13.0</v>
      </c>
      <c r="AR50" s="73">
        <v>3.0</v>
      </c>
      <c r="AS50" s="73">
        <v>5.0</v>
      </c>
      <c r="AT50" s="73">
        <v>2.0</v>
      </c>
      <c r="AU50" s="13">
        <f t="shared" si="14"/>
        <v>151</v>
      </c>
    </row>
    <row r="51" ht="12.75" customHeight="1">
      <c r="A51" s="18"/>
      <c r="B51" s="49"/>
      <c r="C51" s="50" t="s">
        <v>45</v>
      </c>
      <c r="D51" s="51"/>
      <c r="E51" s="73">
        <v>1.0</v>
      </c>
      <c r="F51" s="73">
        <v>1.0</v>
      </c>
      <c r="G51" s="73">
        <v>2.0</v>
      </c>
      <c r="H51" s="73">
        <v>0.0</v>
      </c>
      <c r="I51" s="73">
        <v>0.0</v>
      </c>
      <c r="J51" s="73">
        <v>0.0</v>
      </c>
      <c r="K51" s="73">
        <v>0.0</v>
      </c>
      <c r="L51" s="73">
        <v>0.0</v>
      </c>
      <c r="M51" s="73">
        <v>0.0</v>
      </c>
      <c r="N51" s="73">
        <v>0.0</v>
      </c>
      <c r="O51" s="73">
        <v>1.0</v>
      </c>
      <c r="P51" s="73">
        <v>2.0</v>
      </c>
      <c r="Q51" s="73">
        <v>1.0</v>
      </c>
      <c r="R51" s="73">
        <v>1.0</v>
      </c>
      <c r="S51" s="73">
        <v>0.0</v>
      </c>
      <c r="T51" s="73">
        <v>0.0</v>
      </c>
      <c r="U51" s="73">
        <v>3.0</v>
      </c>
      <c r="V51" s="73">
        <v>1.0</v>
      </c>
      <c r="W51" s="73">
        <v>2.0</v>
      </c>
      <c r="X51" s="73">
        <v>0.0</v>
      </c>
      <c r="Y51" s="73">
        <v>0.0</v>
      </c>
      <c r="Z51" s="73">
        <v>1.0</v>
      </c>
      <c r="AA51" s="73">
        <v>3.0</v>
      </c>
      <c r="AB51" s="73">
        <v>3.0</v>
      </c>
      <c r="AC51" s="73">
        <v>2.0</v>
      </c>
      <c r="AD51" s="73">
        <v>0.0</v>
      </c>
      <c r="AE51" s="73">
        <v>0.0</v>
      </c>
      <c r="AF51" s="73">
        <v>0.0</v>
      </c>
      <c r="AG51" s="73">
        <v>4.0</v>
      </c>
      <c r="AH51" s="73">
        <v>1.0</v>
      </c>
      <c r="AI51" s="73">
        <v>3.0</v>
      </c>
      <c r="AJ51" s="73">
        <v>1.0</v>
      </c>
      <c r="AK51" s="73">
        <v>1.0</v>
      </c>
      <c r="AL51" s="73">
        <v>2.0</v>
      </c>
      <c r="AM51" s="73">
        <v>1.0</v>
      </c>
      <c r="AN51" s="73">
        <v>0.0</v>
      </c>
      <c r="AO51" s="73">
        <v>1.0</v>
      </c>
      <c r="AP51" s="73">
        <v>3.0</v>
      </c>
      <c r="AQ51" s="73">
        <v>1.0</v>
      </c>
      <c r="AR51" s="73">
        <v>1.0</v>
      </c>
      <c r="AS51" s="73">
        <v>0.0</v>
      </c>
      <c r="AT51" s="73">
        <v>0.0</v>
      </c>
      <c r="AU51" s="13">
        <f t="shared" si="14"/>
        <v>43</v>
      </c>
    </row>
    <row r="52" ht="12.75" customHeight="1">
      <c r="A52" s="18"/>
      <c r="B52" s="49"/>
      <c r="C52" s="50" t="s">
        <v>46</v>
      </c>
      <c r="D52" s="51"/>
      <c r="E52" s="73">
        <v>0.0</v>
      </c>
      <c r="F52" s="73">
        <v>0.0</v>
      </c>
      <c r="G52" s="73">
        <v>0.0</v>
      </c>
      <c r="H52" s="73">
        <v>1.0</v>
      </c>
      <c r="I52" s="73">
        <v>0.0</v>
      </c>
      <c r="J52" s="73">
        <v>0.0</v>
      </c>
      <c r="K52" s="73">
        <v>0.0</v>
      </c>
      <c r="L52" s="73">
        <v>1.0</v>
      </c>
      <c r="M52" s="73">
        <v>0.0</v>
      </c>
      <c r="N52" s="73">
        <v>0.0</v>
      </c>
      <c r="O52" s="73">
        <v>0.0</v>
      </c>
      <c r="P52" s="73">
        <v>0.0</v>
      </c>
      <c r="Q52" s="73">
        <v>0.0</v>
      </c>
      <c r="R52" s="73">
        <v>0.0</v>
      </c>
      <c r="S52" s="73">
        <v>3.0</v>
      </c>
      <c r="T52" s="73">
        <v>2.0</v>
      </c>
      <c r="U52" s="73">
        <v>0.0</v>
      </c>
      <c r="V52" s="73">
        <v>0.0</v>
      </c>
      <c r="W52" s="73">
        <v>0.0</v>
      </c>
      <c r="X52" s="73">
        <v>0.0</v>
      </c>
      <c r="Y52" s="73">
        <v>0.0</v>
      </c>
      <c r="Z52" s="73">
        <v>0.0</v>
      </c>
      <c r="AA52" s="73">
        <v>1.0</v>
      </c>
      <c r="AB52" s="73">
        <v>0.0</v>
      </c>
      <c r="AC52" s="73">
        <v>2.0</v>
      </c>
      <c r="AD52" s="73">
        <v>1.0</v>
      </c>
      <c r="AE52" s="73">
        <v>1.0</v>
      </c>
      <c r="AF52" s="73">
        <v>4.0</v>
      </c>
      <c r="AG52" s="73">
        <v>1.0</v>
      </c>
      <c r="AH52" s="73">
        <v>1.0</v>
      </c>
      <c r="AI52" s="73">
        <v>1.0</v>
      </c>
      <c r="AJ52" s="73">
        <v>0.0</v>
      </c>
      <c r="AK52" s="73">
        <v>2.0</v>
      </c>
      <c r="AL52" s="73">
        <v>1.0</v>
      </c>
      <c r="AM52" s="73">
        <v>0.0</v>
      </c>
      <c r="AN52" s="73">
        <v>0.0</v>
      </c>
      <c r="AO52" s="73">
        <v>1.0</v>
      </c>
      <c r="AP52" s="73">
        <v>0.0</v>
      </c>
      <c r="AQ52" s="73">
        <v>1.0</v>
      </c>
      <c r="AR52" s="73">
        <v>1.0</v>
      </c>
      <c r="AS52" s="73">
        <v>2.0</v>
      </c>
      <c r="AT52" s="73">
        <v>1.0</v>
      </c>
      <c r="AU52" s="13">
        <f t="shared" si="14"/>
        <v>28</v>
      </c>
    </row>
    <row r="53" ht="12.75" customHeight="1">
      <c r="A53" s="18"/>
      <c r="B53" s="49"/>
      <c r="C53" s="50" t="s">
        <v>47</v>
      </c>
      <c r="D53" s="56"/>
      <c r="E53" s="73">
        <v>1.0</v>
      </c>
      <c r="F53" s="73">
        <v>0.0</v>
      </c>
      <c r="G53" s="73">
        <v>1.0</v>
      </c>
      <c r="H53" s="73">
        <v>1.0</v>
      </c>
      <c r="I53" s="73">
        <v>0.0</v>
      </c>
      <c r="J53" s="73">
        <v>0.0</v>
      </c>
      <c r="K53" s="73">
        <v>0.0</v>
      </c>
      <c r="L53" s="73">
        <v>0.0</v>
      </c>
      <c r="M53" s="73">
        <v>0.0</v>
      </c>
      <c r="N53" s="73">
        <v>0.0</v>
      </c>
      <c r="O53" s="73">
        <v>0.0</v>
      </c>
      <c r="P53" s="73">
        <v>0.0</v>
      </c>
      <c r="Q53" s="73">
        <v>0.0</v>
      </c>
      <c r="R53" s="73">
        <v>2.0</v>
      </c>
      <c r="S53" s="73">
        <v>0.0</v>
      </c>
      <c r="T53" s="73">
        <v>0.0</v>
      </c>
      <c r="U53" s="73">
        <v>0.0</v>
      </c>
      <c r="V53" s="73">
        <v>1.0</v>
      </c>
      <c r="W53" s="73">
        <v>1.0</v>
      </c>
      <c r="X53" s="73">
        <v>0.0</v>
      </c>
      <c r="Y53" s="73">
        <v>0.0</v>
      </c>
      <c r="Z53" s="73">
        <v>2.0</v>
      </c>
      <c r="AA53" s="73">
        <v>0.0</v>
      </c>
      <c r="AB53" s="73">
        <v>0.0</v>
      </c>
      <c r="AC53" s="73">
        <v>0.0</v>
      </c>
      <c r="AD53" s="73">
        <v>1.0</v>
      </c>
      <c r="AE53" s="73">
        <v>0.0</v>
      </c>
      <c r="AF53" s="73">
        <v>0.0</v>
      </c>
      <c r="AG53" s="73">
        <v>1.0</v>
      </c>
      <c r="AH53" s="73">
        <v>0.0</v>
      </c>
      <c r="AI53" s="73">
        <v>0.0</v>
      </c>
      <c r="AJ53" s="73">
        <v>0.0</v>
      </c>
      <c r="AK53" s="73">
        <v>1.0</v>
      </c>
      <c r="AL53" s="73">
        <v>0.0</v>
      </c>
      <c r="AM53" s="73">
        <v>0.0</v>
      </c>
      <c r="AN53" s="73">
        <v>0.0</v>
      </c>
      <c r="AO53" s="73">
        <v>0.0</v>
      </c>
      <c r="AP53" s="73">
        <v>0.0</v>
      </c>
      <c r="AQ53" s="73">
        <v>1.0</v>
      </c>
      <c r="AR53" s="73">
        <v>1.0</v>
      </c>
      <c r="AS53" s="73">
        <v>0.0</v>
      </c>
      <c r="AT53" s="73">
        <v>0.0</v>
      </c>
      <c r="AU53" s="13">
        <f t="shared" si="14"/>
        <v>14</v>
      </c>
    </row>
    <row r="54" ht="12.75" customHeight="1">
      <c r="A54" s="18"/>
      <c r="B54" s="49"/>
      <c r="C54" s="50" t="s">
        <v>48</v>
      </c>
      <c r="D54" s="51"/>
      <c r="E54" s="73">
        <v>2.0</v>
      </c>
      <c r="F54" s="73">
        <v>2.0</v>
      </c>
      <c r="G54" s="73">
        <v>1.0</v>
      </c>
      <c r="H54" s="73">
        <v>1.0</v>
      </c>
      <c r="I54" s="73">
        <v>0.0</v>
      </c>
      <c r="J54" s="73">
        <v>1.0</v>
      </c>
      <c r="K54" s="73">
        <v>0.0</v>
      </c>
      <c r="L54" s="73">
        <v>0.0</v>
      </c>
      <c r="M54" s="73">
        <v>0.0</v>
      </c>
      <c r="N54" s="73">
        <v>0.0</v>
      </c>
      <c r="O54" s="73">
        <v>0.0</v>
      </c>
      <c r="P54" s="73">
        <v>0.0</v>
      </c>
      <c r="Q54" s="73">
        <v>0.0</v>
      </c>
      <c r="R54" s="73">
        <v>0.0</v>
      </c>
      <c r="S54" s="73">
        <v>0.0</v>
      </c>
      <c r="T54" s="73">
        <v>2.0</v>
      </c>
      <c r="U54" s="73">
        <v>1.0</v>
      </c>
      <c r="V54" s="73">
        <v>1.0</v>
      </c>
      <c r="W54" s="73">
        <v>0.0</v>
      </c>
      <c r="X54" s="73">
        <v>0.0</v>
      </c>
      <c r="Y54" s="73">
        <v>0.0</v>
      </c>
      <c r="Z54" s="73">
        <v>1.0</v>
      </c>
      <c r="AA54" s="73">
        <v>1.0</v>
      </c>
      <c r="AB54" s="73">
        <v>1.0</v>
      </c>
      <c r="AC54" s="73">
        <v>2.0</v>
      </c>
      <c r="AD54" s="73">
        <v>1.0</v>
      </c>
      <c r="AE54" s="73">
        <v>2.0</v>
      </c>
      <c r="AF54" s="73">
        <v>2.0</v>
      </c>
      <c r="AG54" s="73">
        <v>1.0</v>
      </c>
      <c r="AH54" s="73">
        <v>1.0</v>
      </c>
      <c r="AI54" s="73">
        <v>0.0</v>
      </c>
      <c r="AJ54" s="73">
        <v>0.0</v>
      </c>
      <c r="AK54" s="73">
        <v>2.0</v>
      </c>
      <c r="AL54" s="73">
        <v>0.0</v>
      </c>
      <c r="AM54" s="73">
        <v>1.0</v>
      </c>
      <c r="AN54" s="73">
        <v>2.0</v>
      </c>
      <c r="AO54" s="73">
        <v>0.0</v>
      </c>
      <c r="AP54" s="73">
        <v>1.0</v>
      </c>
      <c r="AQ54" s="73">
        <v>0.0</v>
      </c>
      <c r="AR54" s="73">
        <v>0.0</v>
      </c>
      <c r="AS54" s="73">
        <v>0.0</v>
      </c>
      <c r="AT54" s="73">
        <v>0.0</v>
      </c>
      <c r="AU54" s="13">
        <f t="shared" si="14"/>
        <v>29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U55" si="15">SUM(E45:E54)</f>
        <v>8</v>
      </c>
      <c r="F55" s="13">
        <f t="shared" si="15"/>
        <v>13</v>
      </c>
      <c r="G55" s="13">
        <f t="shared" si="15"/>
        <v>7</v>
      </c>
      <c r="H55" s="13">
        <f t="shared" si="15"/>
        <v>26</v>
      </c>
      <c r="I55" s="13">
        <f t="shared" si="15"/>
        <v>23</v>
      </c>
      <c r="J55" s="13">
        <f t="shared" si="15"/>
        <v>20</v>
      </c>
      <c r="K55" s="13">
        <f t="shared" si="15"/>
        <v>3</v>
      </c>
      <c r="L55" s="13">
        <f t="shared" si="15"/>
        <v>10</v>
      </c>
      <c r="M55" s="13">
        <f t="shared" si="15"/>
        <v>1</v>
      </c>
      <c r="N55" s="13">
        <f t="shared" si="15"/>
        <v>24</v>
      </c>
      <c r="O55" s="13">
        <f t="shared" si="15"/>
        <v>33</v>
      </c>
      <c r="P55" s="13">
        <f t="shared" si="15"/>
        <v>38</v>
      </c>
      <c r="Q55" s="13">
        <f t="shared" si="15"/>
        <v>33</v>
      </c>
      <c r="R55" s="13">
        <f t="shared" si="15"/>
        <v>57</v>
      </c>
      <c r="S55" s="13">
        <f t="shared" si="15"/>
        <v>20</v>
      </c>
      <c r="T55" s="13">
        <f t="shared" si="15"/>
        <v>25</v>
      </c>
      <c r="U55" s="13">
        <f t="shared" si="15"/>
        <v>26</v>
      </c>
      <c r="V55" s="13">
        <f t="shared" si="15"/>
        <v>9</v>
      </c>
      <c r="W55" s="13">
        <f t="shared" si="15"/>
        <v>25</v>
      </c>
      <c r="X55" s="13">
        <f t="shared" si="15"/>
        <v>24</v>
      </c>
      <c r="Y55" s="13">
        <f t="shared" si="15"/>
        <v>21</v>
      </c>
      <c r="Z55" s="13">
        <f t="shared" si="15"/>
        <v>34</v>
      </c>
      <c r="AA55" s="13">
        <f t="shared" si="15"/>
        <v>51</v>
      </c>
      <c r="AB55" s="13">
        <f t="shared" si="15"/>
        <v>31</v>
      </c>
      <c r="AC55" s="13">
        <f t="shared" si="15"/>
        <v>34</v>
      </c>
      <c r="AD55" s="13">
        <f t="shared" si="15"/>
        <v>40</v>
      </c>
      <c r="AE55" s="13">
        <f t="shared" si="15"/>
        <v>86</v>
      </c>
      <c r="AF55" s="13">
        <f t="shared" si="15"/>
        <v>46</v>
      </c>
      <c r="AG55" s="13">
        <f t="shared" si="15"/>
        <v>36</v>
      </c>
      <c r="AH55" s="13">
        <f t="shared" si="15"/>
        <v>52</v>
      </c>
      <c r="AI55" s="13">
        <f t="shared" si="15"/>
        <v>26</v>
      </c>
      <c r="AJ55" s="13">
        <f t="shared" si="15"/>
        <v>47</v>
      </c>
      <c r="AK55" s="13">
        <f t="shared" si="15"/>
        <v>50</v>
      </c>
      <c r="AL55" s="13">
        <f t="shared" si="15"/>
        <v>61</v>
      </c>
      <c r="AM55" s="13">
        <f t="shared" si="15"/>
        <v>57</v>
      </c>
      <c r="AN55" s="13">
        <f t="shared" si="15"/>
        <v>64</v>
      </c>
      <c r="AO55" s="13">
        <f t="shared" si="15"/>
        <v>41</v>
      </c>
      <c r="AP55" s="13">
        <f t="shared" si="15"/>
        <v>48</v>
      </c>
      <c r="AQ55" s="13">
        <f t="shared" si="15"/>
        <v>72</v>
      </c>
      <c r="AR55" s="13">
        <f t="shared" si="15"/>
        <v>57</v>
      </c>
      <c r="AS55" s="13">
        <f t="shared" si="15"/>
        <v>60</v>
      </c>
      <c r="AT55" s="13">
        <f t="shared" si="15"/>
        <v>18</v>
      </c>
      <c r="AU55" s="13">
        <f t="shared" si="15"/>
        <v>1457</v>
      </c>
    </row>
    <row r="56" ht="12.75" customHeight="1">
      <c r="A56" s="45"/>
      <c r="B56" s="44"/>
      <c r="C56" s="44"/>
      <c r="D56" s="44"/>
      <c r="E56" s="44"/>
      <c r="AU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3">
        <v>5.0</v>
      </c>
      <c r="F57" s="73">
        <v>5.0</v>
      </c>
      <c r="G57" s="73">
        <v>6.0</v>
      </c>
      <c r="H57" s="73">
        <v>10.0</v>
      </c>
      <c r="I57" s="73">
        <v>5.0</v>
      </c>
      <c r="J57" s="73">
        <v>9.0</v>
      </c>
      <c r="K57" s="73">
        <v>18.0</v>
      </c>
      <c r="L57" s="73">
        <v>7.0</v>
      </c>
      <c r="M57" s="73">
        <v>9.0</v>
      </c>
      <c r="N57" s="73">
        <v>0.0</v>
      </c>
      <c r="O57" s="73">
        <v>4.0</v>
      </c>
      <c r="P57" s="73">
        <v>2.0</v>
      </c>
      <c r="Q57" s="73">
        <v>7.0</v>
      </c>
      <c r="R57" s="73">
        <v>5.0</v>
      </c>
      <c r="S57" s="73">
        <v>5.0</v>
      </c>
      <c r="T57" s="73">
        <v>8.0</v>
      </c>
      <c r="U57" s="73">
        <v>7.0</v>
      </c>
      <c r="V57" s="73">
        <v>13.0</v>
      </c>
      <c r="W57" s="73">
        <v>9.0</v>
      </c>
      <c r="X57" s="73">
        <v>13.0</v>
      </c>
      <c r="Y57" s="73">
        <v>18.0</v>
      </c>
      <c r="Z57" s="73">
        <v>4.0</v>
      </c>
      <c r="AA57" s="73">
        <v>19.0</v>
      </c>
      <c r="AB57" s="73">
        <v>7.0</v>
      </c>
      <c r="AC57" s="73">
        <v>9.0</v>
      </c>
      <c r="AD57" s="73">
        <v>8.0</v>
      </c>
      <c r="AE57" s="73">
        <v>7.0</v>
      </c>
      <c r="AF57" s="73">
        <v>6.0</v>
      </c>
      <c r="AG57" s="73">
        <v>18.0</v>
      </c>
      <c r="AH57" s="73">
        <v>6.0</v>
      </c>
      <c r="AI57" s="73">
        <v>16.0</v>
      </c>
      <c r="AJ57" s="73">
        <v>7.0</v>
      </c>
      <c r="AK57" s="73">
        <v>11.0</v>
      </c>
      <c r="AL57" s="73">
        <v>3.0</v>
      </c>
      <c r="AM57" s="73">
        <v>9.0</v>
      </c>
      <c r="AN57" s="73">
        <v>6.0</v>
      </c>
      <c r="AO57" s="73">
        <v>8.0</v>
      </c>
      <c r="AP57" s="73">
        <v>8.0</v>
      </c>
      <c r="AQ57" s="73">
        <v>16.0</v>
      </c>
      <c r="AR57" s="73">
        <v>7.0</v>
      </c>
      <c r="AS57" s="73">
        <v>8.0</v>
      </c>
      <c r="AT57" s="73">
        <v>6.0</v>
      </c>
      <c r="AU57" s="13">
        <f t="shared" ref="AU57:AU66" si="16">SUM(E57:AT57)</f>
        <v>354</v>
      </c>
    </row>
    <row r="58" ht="12.75" customHeight="1">
      <c r="A58" s="30" t="s">
        <v>39</v>
      </c>
      <c r="B58" s="49"/>
      <c r="C58" s="50" t="s">
        <v>51</v>
      </c>
      <c r="D58" s="51"/>
      <c r="E58" s="73">
        <v>104.0</v>
      </c>
      <c r="F58" s="73">
        <v>12.0</v>
      </c>
      <c r="G58" s="73">
        <v>20.0</v>
      </c>
      <c r="H58" s="73">
        <v>37.0</v>
      </c>
      <c r="I58" s="73">
        <v>88.0</v>
      </c>
      <c r="J58" s="73">
        <v>36.0</v>
      </c>
      <c r="K58" s="73">
        <v>40.0</v>
      </c>
      <c r="L58" s="73">
        <v>22.0</v>
      </c>
      <c r="M58" s="73">
        <v>164.0</v>
      </c>
      <c r="N58" s="73">
        <v>17.0</v>
      </c>
      <c r="O58" s="73">
        <v>8.0</v>
      </c>
      <c r="P58" s="73">
        <v>30.0</v>
      </c>
      <c r="Q58" s="73">
        <v>21.0</v>
      </c>
      <c r="R58" s="73">
        <v>12.0</v>
      </c>
      <c r="S58" s="73">
        <v>55.0</v>
      </c>
      <c r="T58" s="73">
        <v>34.0</v>
      </c>
      <c r="U58" s="73">
        <v>20.0</v>
      </c>
      <c r="V58" s="73">
        <v>14.0</v>
      </c>
      <c r="W58" s="73">
        <v>3.0</v>
      </c>
      <c r="X58" s="73">
        <v>7.0</v>
      </c>
      <c r="Y58" s="73">
        <v>10.0</v>
      </c>
      <c r="Z58" s="73">
        <v>15.0</v>
      </c>
      <c r="AA58" s="73">
        <v>19.0</v>
      </c>
      <c r="AB58" s="73">
        <v>31.0</v>
      </c>
      <c r="AC58" s="73">
        <v>72.0</v>
      </c>
      <c r="AD58" s="73">
        <v>22.0</v>
      </c>
      <c r="AE58" s="73">
        <v>17.0</v>
      </c>
      <c r="AF58" s="73">
        <v>43.0</v>
      </c>
      <c r="AG58" s="73">
        <v>8.0</v>
      </c>
      <c r="AH58" s="73">
        <v>16.0</v>
      </c>
      <c r="AI58" s="73">
        <v>67.0</v>
      </c>
      <c r="AJ58" s="73">
        <v>20.0</v>
      </c>
      <c r="AK58" s="73">
        <v>39.0</v>
      </c>
      <c r="AL58" s="73">
        <v>11.0</v>
      </c>
      <c r="AM58" s="73">
        <v>10.0</v>
      </c>
      <c r="AN58" s="73">
        <v>16.0</v>
      </c>
      <c r="AO58" s="73">
        <v>12.0</v>
      </c>
      <c r="AP58" s="73">
        <v>6.0</v>
      </c>
      <c r="AQ58" s="73">
        <v>16.0</v>
      </c>
      <c r="AR58" s="73">
        <v>6.0</v>
      </c>
      <c r="AS58" s="73">
        <v>7.0</v>
      </c>
      <c r="AT58" s="73">
        <v>4.0</v>
      </c>
      <c r="AU58" s="13">
        <f t="shared" si="16"/>
        <v>1211</v>
      </c>
    </row>
    <row r="59" ht="12.75" customHeight="1">
      <c r="A59" s="18"/>
      <c r="B59" s="49"/>
      <c r="C59" s="50" t="s">
        <v>52</v>
      </c>
      <c r="D59" s="51"/>
      <c r="E59" s="73">
        <v>3.0</v>
      </c>
      <c r="F59" s="73">
        <v>8.0</v>
      </c>
      <c r="G59" s="73">
        <v>6.0</v>
      </c>
      <c r="H59" s="73">
        <v>13.0</v>
      </c>
      <c r="I59" s="73">
        <v>14.0</v>
      </c>
      <c r="J59" s="73">
        <v>18.0</v>
      </c>
      <c r="K59" s="73">
        <v>2.0</v>
      </c>
      <c r="L59" s="73">
        <v>4.0</v>
      </c>
      <c r="M59" s="73">
        <v>1.0</v>
      </c>
      <c r="N59" s="73">
        <v>12.0</v>
      </c>
      <c r="O59" s="73">
        <v>16.0</v>
      </c>
      <c r="P59" s="73">
        <v>6.0</v>
      </c>
      <c r="Q59" s="73">
        <v>4.0</v>
      </c>
      <c r="R59" s="73">
        <v>3.0</v>
      </c>
      <c r="S59" s="73">
        <v>22.0</v>
      </c>
      <c r="T59" s="73">
        <v>25.0</v>
      </c>
      <c r="U59" s="73">
        <v>22.0</v>
      </c>
      <c r="V59" s="73">
        <v>34.0</v>
      </c>
      <c r="W59" s="73">
        <v>37.0</v>
      </c>
      <c r="X59" s="73">
        <v>27.0</v>
      </c>
      <c r="Y59" s="73">
        <v>20.0</v>
      </c>
      <c r="Z59" s="73">
        <v>17.0</v>
      </c>
      <c r="AA59" s="73">
        <v>33.0</v>
      </c>
      <c r="AB59" s="73">
        <v>48.0</v>
      </c>
      <c r="AC59" s="73">
        <v>22.0</v>
      </c>
      <c r="AD59" s="73">
        <v>21.0</v>
      </c>
      <c r="AE59" s="73">
        <v>12.0</v>
      </c>
      <c r="AF59" s="73">
        <v>19.0</v>
      </c>
      <c r="AG59" s="73">
        <v>38.0</v>
      </c>
      <c r="AH59" s="73">
        <v>8.0</v>
      </c>
      <c r="AI59" s="73">
        <v>17.0</v>
      </c>
      <c r="AJ59" s="73">
        <v>19.0</v>
      </c>
      <c r="AK59" s="73">
        <v>32.0</v>
      </c>
      <c r="AL59" s="73">
        <v>19.0</v>
      </c>
      <c r="AM59" s="73">
        <v>35.0</v>
      </c>
      <c r="AN59" s="73">
        <v>11.0</v>
      </c>
      <c r="AO59" s="73">
        <v>7.0</v>
      </c>
      <c r="AP59" s="73">
        <v>23.0</v>
      </c>
      <c r="AQ59" s="73">
        <v>30.0</v>
      </c>
      <c r="AR59" s="73">
        <v>25.0</v>
      </c>
      <c r="AS59" s="73">
        <v>11.0</v>
      </c>
      <c r="AT59" s="73">
        <v>2.0</v>
      </c>
      <c r="AU59" s="13">
        <f t="shared" si="16"/>
        <v>746</v>
      </c>
    </row>
    <row r="60" ht="12.75" customHeight="1">
      <c r="A60" s="18"/>
      <c r="B60" s="49"/>
      <c r="C60" s="50" t="s">
        <v>53</v>
      </c>
      <c r="D60" s="51"/>
      <c r="E60" s="73">
        <v>3.0</v>
      </c>
      <c r="F60" s="73">
        <v>2.0</v>
      </c>
      <c r="G60" s="73">
        <v>4.0</v>
      </c>
      <c r="H60" s="73">
        <v>2.0</v>
      </c>
      <c r="I60" s="73">
        <v>2.0</v>
      </c>
      <c r="J60" s="73">
        <v>0.0</v>
      </c>
      <c r="K60" s="73">
        <v>1.0</v>
      </c>
      <c r="L60" s="73">
        <v>1.0</v>
      </c>
      <c r="M60" s="73">
        <v>1.0</v>
      </c>
      <c r="N60" s="73">
        <v>1.0</v>
      </c>
      <c r="O60" s="73">
        <v>1.0</v>
      </c>
      <c r="P60" s="73">
        <v>3.0</v>
      </c>
      <c r="Q60" s="73">
        <v>0.0</v>
      </c>
      <c r="R60" s="73">
        <v>0.0</v>
      </c>
      <c r="S60" s="73">
        <v>2.0</v>
      </c>
      <c r="T60" s="73">
        <v>1.0</v>
      </c>
      <c r="U60" s="73">
        <v>0.0</v>
      </c>
      <c r="V60" s="73">
        <v>2.0</v>
      </c>
      <c r="W60" s="73">
        <v>3.0</v>
      </c>
      <c r="X60" s="73">
        <v>1.0</v>
      </c>
      <c r="Y60" s="73">
        <v>4.0</v>
      </c>
      <c r="Z60" s="73">
        <v>3.0</v>
      </c>
      <c r="AA60" s="73">
        <v>0.0</v>
      </c>
      <c r="AB60" s="73">
        <v>1.0</v>
      </c>
      <c r="AC60" s="73">
        <v>1.0</v>
      </c>
      <c r="AD60" s="73">
        <v>1.0</v>
      </c>
      <c r="AE60" s="73">
        <v>2.0</v>
      </c>
      <c r="AF60" s="73">
        <v>0.0</v>
      </c>
      <c r="AG60" s="73">
        <v>2.0</v>
      </c>
      <c r="AH60" s="73">
        <v>4.0</v>
      </c>
      <c r="AI60" s="73">
        <v>2.0</v>
      </c>
      <c r="AJ60" s="73">
        <v>0.0</v>
      </c>
      <c r="AK60" s="73">
        <v>1.0</v>
      </c>
      <c r="AL60" s="73">
        <v>0.0</v>
      </c>
      <c r="AM60" s="73">
        <v>1.0</v>
      </c>
      <c r="AN60" s="73">
        <v>0.0</v>
      </c>
      <c r="AO60" s="73">
        <v>3.0</v>
      </c>
      <c r="AP60" s="73">
        <v>0.0</v>
      </c>
      <c r="AQ60" s="73">
        <v>1.0</v>
      </c>
      <c r="AR60" s="73">
        <v>1.0</v>
      </c>
      <c r="AS60" s="73">
        <v>1.0</v>
      </c>
      <c r="AT60" s="73">
        <v>3.0</v>
      </c>
      <c r="AU60" s="13">
        <f t="shared" si="16"/>
        <v>61</v>
      </c>
    </row>
    <row r="61" ht="12.75" customHeight="1">
      <c r="A61" s="18"/>
      <c r="B61" s="49"/>
      <c r="C61" s="50" t="s">
        <v>54</v>
      </c>
      <c r="D61" s="51"/>
      <c r="E61" s="73">
        <v>2.0</v>
      </c>
      <c r="F61" s="73">
        <v>0.0</v>
      </c>
      <c r="G61" s="73">
        <v>0.0</v>
      </c>
      <c r="H61" s="73">
        <v>2.0</v>
      </c>
      <c r="I61" s="73">
        <v>3.0</v>
      </c>
      <c r="J61" s="73">
        <v>4.0</v>
      </c>
      <c r="K61" s="73">
        <v>0.0</v>
      </c>
      <c r="L61" s="73">
        <v>0.0</v>
      </c>
      <c r="M61" s="73">
        <v>0.0</v>
      </c>
      <c r="N61" s="73">
        <v>2.0</v>
      </c>
      <c r="O61" s="73">
        <v>2.0</v>
      </c>
      <c r="P61" s="73">
        <v>5.0</v>
      </c>
      <c r="Q61" s="73">
        <v>3.0</v>
      </c>
      <c r="R61" s="73">
        <v>19.0</v>
      </c>
      <c r="S61" s="73">
        <v>3.0</v>
      </c>
      <c r="T61" s="73">
        <v>2.0</v>
      </c>
      <c r="U61" s="73">
        <v>2.0</v>
      </c>
      <c r="V61" s="73">
        <v>2.0</v>
      </c>
      <c r="W61" s="73">
        <v>2.0</v>
      </c>
      <c r="X61" s="73">
        <v>5.0</v>
      </c>
      <c r="Y61" s="73">
        <v>3.0</v>
      </c>
      <c r="Z61" s="73">
        <v>4.0</v>
      </c>
      <c r="AA61" s="73">
        <v>6.0</v>
      </c>
      <c r="AB61" s="73">
        <v>3.0</v>
      </c>
      <c r="AC61" s="73">
        <v>9.0</v>
      </c>
      <c r="AD61" s="73">
        <v>2.0</v>
      </c>
      <c r="AE61" s="73">
        <v>1.0</v>
      </c>
      <c r="AF61" s="73">
        <v>4.0</v>
      </c>
      <c r="AG61" s="73">
        <v>5.0</v>
      </c>
      <c r="AH61" s="73">
        <v>0.0</v>
      </c>
      <c r="AI61" s="73">
        <v>2.0</v>
      </c>
      <c r="AJ61" s="73">
        <v>1.0</v>
      </c>
      <c r="AK61" s="73">
        <v>5.0</v>
      </c>
      <c r="AL61" s="73">
        <v>5.0</v>
      </c>
      <c r="AM61" s="73">
        <v>3.0</v>
      </c>
      <c r="AN61" s="73">
        <v>0.0</v>
      </c>
      <c r="AO61" s="73">
        <v>1.0</v>
      </c>
      <c r="AP61" s="73">
        <v>0.0</v>
      </c>
      <c r="AQ61" s="73">
        <v>2.0</v>
      </c>
      <c r="AR61" s="73">
        <v>2.0</v>
      </c>
      <c r="AS61" s="73">
        <v>3.0</v>
      </c>
      <c r="AT61" s="73">
        <v>2.0</v>
      </c>
      <c r="AU61" s="13">
        <f t="shared" si="16"/>
        <v>121</v>
      </c>
    </row>
    <row r="62" ht="12.75" customHeight="1">
      <c r="A62" s="18"/>
      <c r="B62" s="49"/>
      <c r="C62" s="50" t="s">
        <v>55</v>
      </c>
      <c r="D62" s="51"/>
      <c r="E62" s="73">
        <v>0.0</v>
      </c>
      <c r="F62" s="73">
        <v>2.0</v>
      </c>
      <c r="G62" s="73">
        <v>1.0</v>
      </c>
      <c r="H62" s="73">
        <v>2.0</v>
      </c>
      <c r="I62" s="73">
        <v>0.0</v>
      </c>
      <c r="J62" s="73">
        <v>0.0</v>
      </c>
      <c r="K62" s="73">
        <v>0.0</v>
      </c>
      <c r="L62" s="73">
        <v>0.0</v>
      </c>
      <c r="M62" s="73">
        <v>0.0</v>
      </c>
      <c r="N62" s="73">
        <v>1.0</v>
      </c>
      <c r="O62" s="73">
        <v>0.0</v>
      </c>
      <c r="P62" s="73">
        <v>5.0</v>
      </c>
      <c r="Q62" s="73">
        <v>1.0</v>
      </c>
      <c r="R62" s="73">
        <v>0.0</v>
      </c>
      <c r="S62" s="73">
        <v>1.0</v>
      </c>
      <c r="T62" s="73">
        <v>0.0</v>
      </c>
      <c r="U62" s="73">
        <v>1.0</v>
      </c>
      <c r="V62" s="73">
        <v>1.0</v>
      </c>
      <c r="W62" s="73">
        <v>2.0</v>
      </c>
      <c r="X62" s="73">
        <v>1.0</v>
      </c>
      <c r="Y62" s="73">
        <v>10.0</v>
      </c>
      <c r="Z62" s="73">
        <v>2.0</v>
      </c>
      <c r="AA62" s="73">
        <v>1.0</v>
      </c>
      <c r="AB62" s="73">
        <v>0.0</v>
      </c>
      <c r="AC62" s="73">
        <v>2.0</v>
      </c>
      <c r="AD62" s="73">
        <v>0.0</v>
      </c>
      <c r="AE62" s="73">
        <v>0.0</v>
      </c>
      <c r="AF62" s="73">
        <v>1.0</v>
      </c>
      <c r="AG62" s="73">
        <v>4.0</v>
      </c>
      <c r="AH62" s="73">
        <v>2.0</v>
      </c>
      <c r="AI62" s="73">
        <v>0.0</v>
      </c>
      <c r="AJ62" s="73">
        <v>1.0</v>
      </c>
      <c r="AK62" s="73">
        <v>1.0</v>
      </c>
      <c r="AL62" s="73">
        <v>1.0</v>
      </c>
      <c r="AM62" s="73">
        <v>1.0</v>
      </c>
      <c r="AN62" s="73">
        <v>2.0</v>
      </c>
      <c r="AO62" s="73">
        <v>0.0</v>
      </c>
      <c r="AP62" s="73">
        <v>0.0</v>
      </c>
      <c r="AQ62" s="73">
        <v>0.0</v>
      </c>
      <c r="AR62" s="73">
        <v>1.0</v>
      </c>
      <c r="AS62" s="73">
        <v>0.0</v>
      </c>
      <c r="AT62" s="73">
        <v>1.0</v>
      </c>
      <c r="AU62" s="13">
        <f t="shared" si="16"/>
        <v>48</v>
      </c>
    </row>
    <row r="63" ht="12.75" customHeight="1">
      <c r="A63" s="18"/>
      <c r="B63" s="49"/>
      <c r="C63" s="50" t="s">
        <v>56</v>
      </c>
      <c r="D63" s="51"/>
      <c r="E63" s="73">
        <v>0.0</v>
      </c>
      <c r="F63" s="73">
        <v>0.0</v>
      </c>
      <c r="G63" s="73">
        <v>0.0</v>
      </c>
      <c r="H63" s="73">
        <v>0.0</v>
      </c>
      <c r="I63" s="73">
        <v>0.0</v>
      </c>
      <c r="J63" s="73">
        <v>1.0</v>
      </c>
      <c r="K63" s="73">
        <v>0.0</v>
      </c>
      <c r="L63" s="73">
        <v>2.0</v>
      </c>
      <c r="M63" s="73">
        <v>0.0</v>
      </c>
      <c r="N63" s="73">
        <v>0.0</v>
      </c>
      <c r="O63" s="73">
        <v>1.0</v>
      </c>
      <c r="P63" s="73">
        <v>1.0</v>
      </c>
      <c r="Q63" s="73">
        <v>0.0</v>
      </c>
      <c r="R63" s="73">
        <v>2.0</v>
      </c>
      <c r="S63" s="73">
        <v>1.0</v>
      </c>
      <c r="T63" s="73">
        <v>0.0</v>
      </c>
      <c r="U63" s="73">
        <v>0.0</v>
      </c>
      <c r="V63" s="73">
        <v>0.0</v>
      </c>
      <c r="W63" s="73">
        <v>0.0</v>
      </c>
      <c r="X63" s="73">
        <v>0.0</v>
      </c>
      <c r="Y63" s="73">
        <v>1.0</v>
      </c>
      <c r="Z63" s="73">
        <v>1.0</v>
      </c>
      <c r="AA63" s="73">
        <v>0.0</v>
      </c>
      <c r="AB63" s="73">
        <v>1.0</v>
      </c>
      <c r="AC63" s="73">
        <v>0.0</v>
      </c>
      <c r="AD63" s="73">
        <v>0.0</v>
      </c>
      <c r="AE63" s="73">
        <v>0.0</v>
      </c>
      <c r="AF63" s="73">
        <v>1.0</v>
      </c>
      <c r="AG63" s="73">
        <v>1.0</v>
      </c>
      <c r="AH63" s="73">
        <v>1.0</v>
      </c>
      <c r="AI63" s="73">
        <v>0.0</v>
      </c>
      <c r="AJ63" s="73">
        <v>1.0</v>
      </c>
      <c r="AK63" s="73">
        <v>1.0</v>
      </c>
      <c r="AL63" s="73">
        <v>1.0</v>
      </c>
      <c r="AM63" s="73">
        <v>3.0</v>
      </c>
      <c r="AN63" s="73">
        <v>0.0</v>
      </c>
      <c r="AO63" s="73">
        <v>0.0</v>
      </c>
      <c r="AP63" s="73">
        <v>0.0</v>
      </c>
      <c r="AQ63" s="73">
        <v>0.0</v>
      </c>
      <c r="AR63" s="73">
        <v>3.0</v>
      </c>
      <c r="AS63" s="73">
        <v>0.0</v>
      </c>
      <c r="AT63" s="73">
        <v>1.0</v>
      </c>
      <c r="AU63" s="13">
        <f t="shared" si="16"/>
        <v>24</v>
      </c>
    </row>
    <row r="64" ht="12.75" customHeight="1">
      <c r="A64" s="18"/>
      <c r="B64" s="49"/>
      <c r="C64" s="50" t="s">
        <v>57</v>
      </c>
      <c r="D64" s="51"/>
      <c r="E64" s="73">
        <v>0.0</v>
      </c>
      <c r="F64" s="73">
        <v>0.0</v>
      </c>
      <c r="G64" s="73">
        <v>2.0</v>
      </c>
      <c r="H64" s="73">
        <v>0.0</v>
      </c>
      <c r="I64" s="73">
        <v>1.0</v>
      </c>
      <c r="J64" s="73">
        <v>0.0</v>
      </c>
      <c r="K64" s="73">
        <v>0.0</v>
      </c>
      <c r="L64" s="73">
        <v>0.0</v>
      </c>
      <c r="M64" s="73">
        <v>0.0</v>
      </c>
      <c r="N64" s="73">
        <v>0.0</v>
      </c>
      <c r="O64" s="73">
        <v>0.0</v>
      </c>
      <c r="P64" s="73">
        <v>0.0</v>
      </c>
      <c r="Q64" s="73">
        <v>0.0</v>
      </c>
      <c r="R64" s="73">
        <v>0.0</v>
      </c>
      <c r="S64" s="73">
        <v>0.0</v>
      </c>
      <c r="T64" s="73">
        <v>0.0</v>
      </c>
      <c r="U64" s="73">
        <v>0.0</v>
      </c>
      <c r="V64" s="73">
        <v>0.0</v>
      </c>
      <c r="W64" s="73">
        <v>0.0</v>
      </c>
      <c r="X64" s="73">
        <v>0.0</v>
      </c>
      <c r="Y64" s="73">
        <v>0.0</v>
      </c>
      <c r="Z64" s="73">
        <v>0.0</v>
      </c>
      <c r="AA64" s="73">
        <v>0.0</v>
      </c>
      <c r="AB64" s="73">
        <v>0.0</v>
      </c>
      <c r="AC64" s="73">
        <v>0.0</v>
      </c>
      <c r="AD64" s="73">
        <v>1.0</v>
      </c>
      <c r="AE64" s="73">
        <v>0.0</v>
      </c>
      <c r="AF64" s="73">
        <v>0.0</v>
      </c>
      <c r="AG64" s="73">
        <v>1.0</v>
      </c>
      <c r="AH64" s="73">
        <v>0.0</v>
      </c>
      <c r="AI64" s="73">
        <v>1.0</v>
      </c>
      <c r="AJ64" s="73">
        <v>0.0</v>
      </c>
      <c r="AK64" s="73">
        <v>0.0</v>
      </c>
      <c r="AL64" s="73">
        <v>0.0</v>
      </c>
      <c r="AM64" s="73">
        <v>0.0</v>
      </c>
      <c r="AN64" s="73">
        <v>0.0</v>
      </c>
      <c r="AO64" s="73">
        <v>0.0</v>
      </c>
      <c r="AP64" s="73">
        <v>0.0</v>
      </c>
      <c r="AQ64" s="73">
        <v>0.0</v>
      </c>
      <c r="AR64" s="73">
        <v>0.0</v>
      </c>
      <c r="AS64" s="73">
        <v>0.0</v>
      </c>
      <c r="AT64" s="73">
        <v>0.0</v>
      </c>
      <c r="AU64" s="13">
        <f t="shared" si="16"/>
        <v>6</v>
      </c>
    </row>
    <row r="65" ht="12.75" customHeight="1">
      <c r="A65" s="18"/>
      <c r="B65" s="49"/>
      <c r="C65" s="50" t="s">
        <v>58</v>
      </c>
      <c r="D65" s="51"/>
      <c r="E65" s="73">
        <v>0.0</v>
      </c>
      <c r="F65" s="73">
        <v>0.0</v>
      </c>
      <c r="G65" s="73">
        <v>0.0</v>
      </c>
      <c r="H65" s="73">
        <v>1.0</v>
      </c>
      <c r="I65" s="73">
        <v>0.0</v>
      </c>
      <c r="J65" s="73">
        <v>0.0</v>
      </c>
      <c r="K65" s="73">
        <v>0.0</v>
      </c>
      <c r="L65" s="73">
        <v>0.0</v>
      </c>
      <c r="M65" s="73">
        <v>0.0</v>
      </c>
      <c r="N65" s="73">
        <v>1.0</v>
      </c>
      <c r="O65" s="73">
        <v>0.0</v>
      </c>
      <c r="P65" s="73">
        <v>1.0</v>
      </c>
      <c r="Q65" s="73">
        <v>0.0</v>
      </c>
      <c r="R65" s="73">
        <v>1.0</v>
      </c>
      <c r="S65" s="73">
        <v>0.0</v>
      </c>
      <c r="T65" s="73">
        <v>1.0</v>
      </c>
      <c r="U65" s="73">
        <v>0.0</v>
      </c>
      <c r="V65" s="73">
        <v>1.0</v>
      </c>
      <c r="W65" s="73">
        <v>1.0</v>
      </c>
      <c r="X65" s="73">
        <v>0.0</v>
      </c>
      <c r="Y65" s="73">
        <v>0.0</v>
      </c>
      <c r="Z65" s="73">
        <v>1.0</v>
      </c>
      <c r="AA65" s="73">
        <v>0.0</v>
      </c>
      <c r="AB65" s="73">
        <v>0.0</v>
      </c>
      <c r="AC65" s="73">
        <v>0.0</v>
      </c>
      <c r="AD65" s="73">
        <v>0.0</v>
      </c>
      <c r="AE65" s="73">
        <v>0.0</v>
      </c>
      <c r="AF65" s="73">
        <v>0.0</v>
      </c>
      <c r="AG65" s="73">
        <v>0.0</v>
      </c>
      <c r="AH65" s="73">
        <v>0.0</v>
      </c>
      <c r="AI65" s="73">
        <v>0.0</v>
      </c>
      <c r="AJ65" s="73">
        <v>0.0</v>
      </c>
      <c r="AK65" s="73">
        <v>1.0</v>
      </c>
      <c r="AL65" s="73">
        <v>0.0</v>
      </c>
      <c r="AM65" s="73">
        <v>0.0</v>
      </c>
      <c r="AN65" s="73">
        <v>0.0</v>
      </c>
      <c r="AO65" s="73">
        <v>0.0</v>
      </c>
      <c r="AP65" s="73">
        <v>0.0</v>
      </c>
      <c r="AQ65" s="73">
        <v>0.0</v>
      </c>
      <c r="AR65" s="73">
        <v>0.0</v>
      </c>
      <c r="AS65" s="73">
        <v>0.0</v>
      </c>
      <c r="AT65" s="73">
        <v>0.0</v>
      </c>
      <c r="AU65" s="13">
        <f t="shared" si="16"/>
        <v>9</v>
      </c>
    </row>
    <row r="66" ht="12.75" customHeight="1">
      <c r="A66" s="18"/>
      <c r="B66" s="49"/>
      <c r="C66" s="50" t="s">
        <v>59</v>
      </c>
      <c r="D66" s="51"/>
      <c r="E66" s="73">
        <v>1.0</v>
      </c>
      <c r="F66" s="73">
        <v>0.0</v>
      </c>
      <c r="G66" s="73">
        <v>0.0</v>
      </c>
      <c r="H66" s="73">
        <v>0.0</v>
      </c>
      <c r="I66" s="73">
        <v>0.0</v>
      </c>
      <c r="J66" s="73">
        <v>0.0</v>
      </c>
      <c r="K66" s="73">
        <v>0.0</v>
      </c>
      <c r="L66" s="73">
        <v>0.0</v>
      </c>
      <c r="M66" s="73">
        <v>2.0</v>
      </c>
      <c r="N66" s="73">
        <v>1.0</v>
      </c>
      <c r="O66" s="73">
        <v>0.0</v>
      </c>
      <c r="P66" s="73">
        <v>3.0</v>
      </c>
      <c r="Q66" s="73">
        <v>1.0</v>
      </c>
      <c r="R66" s="73">
        <v>2.0</v>
      </c>
      <c r="S66" s="73">
        <v>4.0</v>
      </c>
      <c r="T66" s="73">
        <v>0.0</v>
      </c>
      <c r="U66" s="73">
        <v>0.0</v>
      </c>
      <c r="V66" s="73">
        <v>0.0</v>
      </c>
      <c r="W66" s="73">
        <v>1.0</v>
      </c>
      <c r="X66" s="73">
        <v>1.0</v>
      </c>
      <c r="Y66" s="73">
        <v>0.0</v>
      </c>
      <c r="Z66" s="73">
        <v>1.0</v>
      </c>
      <c r="AA66" s="73">
        <v>3.0</v>
      </c>
      <c r="AB66" s="73">
        <v>0.0</v>
      </c>
      <c r="AC66" s="73">
        <v>0.0</v>
      </c>
      <c r="AD66" s="73">
        <v>2.0</v>
      </c>
      <c r="AE66" s="73">
        <v>0.0</v>
      </c>
      <c r="AF66" s="73">
        <v>0.0</v>
      </c>
      <c r="AG66" s="73">
        <v>0.0</v>
      </c>
      <c r="AH66" s="73">
        <v>0.0</v>
      </c>
      <c r="AI66" s="73">
        <v>1.0</v>
      </c>
      <c r="AJ66" s="73">
        <v>1.0</v>
      </c>
      <c r="AK66" s="73">
        <v>0.0</v>
      </c>
      <c r="AL66" s="73">
        <v>1.0</v>
      </c>
      <c r="AM66" s="73">
        <v>2.0</v>
      </c>
      <c r="AN66" s="73">
        <v>0.0</v>
      </c>
      <c r="AO66" s="73">
        <v>3.0</v>
      </c>
      <c r="AP66" s="73">
        <v>0.0</v>
      </c>
      <c r="AQ66" s="73">
        <v>0.0</v>
      </c>
      <c r="AR66" s="73">
        <v>1.0</v>
      </c>
      <c r="AS66" s="73">
        <v>0.0</v>
      </c>
      <c r="AT66" s="73">
        <v>0.0</v>
      </c>
      <c r="AU66" s="13">
        <f t="shared" si="16"/>
        <v>31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U67" si="17">SUM(E57:E66)</f>
        <v>118</v>
      </c>
      <c r="F67" s="13">
        <f t="shared" si="17"/>
        <v>29</v>
      </c>
      <c r="G67" s="13">
        <f t="shared" si="17"/>
        <v>39</v>
      </c>
      <c r="H67" s="13">
        <f t="shared" si="17"/>
        <v>67</v>
      </c>
      <c r="I67" s="13">
        <f t="shared" si="17"/>
        <v>113</v>
      </c>
      <c r="J67" s="13">
        <f t="shared" si="17"/>
        <v>68</v>
      </c>
      <c r="K67" s="13">
        <f t="shared" si="17"/>
        <v>61</v>
      </c>
      <c r="L67" s="13">
        <f t="shared" si="17"/>
        <v>36</v>
      </c>
      <c r="M67" s="13">
        <f t="shared" si="17"/>
        <v>177</v>
      </c>
      <c r="N67" s="13">
        <f t="shared" si="17"/>
        <v>35</v>
      </c>
      <c r="O67" s="13">
        <f t="shared" si="17"/>
        <v>32</v>
      </c>
      <c r="P67" s="13">
        <f t="shared" si="17"/>
        <v>56</v>
      </c>
      <c r="Q67" s="13">
        <f t="shared" si="17"/>
        <v>37</v>
      </c>
      <c r="R67" s="13">
        <f t="shared" si="17"/>
        <v>44</v>
      </c>
      <c r="S67" s="13">
        <f t="shared" si="17"/>
        <v>93</v>
      </c>
      <c r="T67" s="13">
        <f t="shared" si="17"/>
        <v>71</v>
      </c>
      <c r="U67" s="13">
        <f t="shared" si="17"/>
        <v>52</v>
      </c>
      <c r="V67" s="13">
        <f t="shared" si="17"/>
        <v>67</v>
      </c>
      <c r="W67" s="13">
        <f t="shared" si="17"/>
        <v>58</v>
      </c>
      <c r="X67" s="13">
        <f t="shared" si="17"/>
        <v>55</v>
      </c>
      <c r="Y67" s="13">
        <f t="shared" si="17"/>
        <v>66</v>
      </c>
      <c r="Z67" s="13">
        <f t="shared" si="17"/>
        <v>48</v>
      </c>
      <c r="AA67" s="13">
        <f t="shared" si="17"/>
        <v>81</v>
      </c>
      <c r="AB67" s="13">
        <f t="shared" si="17"/>
        <v>91</v>
      </c>
      <c r="AC67" s="13">
        <f t="shared" si="17"/>
        <v>115</v>
      </c>
      <c r="AD67" s="13">
        <f t="shared" si="17"/>
        <v>57</v>
      </c>
      <c r="AE67" s="13">
        <f t="shared" si="17"/>
        <v>39</v>
      </c>
      <c r="AF67" s="13">
        <f t="shared" si="17"/>
        <v>74</v>
      </c>
      <c r="AG67" s="13">
        <f t="shared" si="17"/>
        <v>77</v>
      </c>
      <c r="AH67" s="13">
        <f t="shared" si="17"/>
        <v>37</v>
      </c>
      <c r="AI67" s="13">
        <f t="shared" si="17"/>
        <v>106</v>
      </c>
      <c r="AJ67" s="13">
        <f t="shared" si="17"/>
        <v>50</v>
      </c>
      <c r="AK67" s="13">
        <f t="shared" si="17"/>
        <v>91</v>
      </c>
      <c r="AL67" s="13">
        <f t="shared" si="17"/>
        <v>41</v>
      </c>
      <c r="AM67" s="13">
        <f t="shared" si="17"/>
        <v>64</v>
      </c>
      <c r="AN67" s="13">
        <f t="shared" si="17"/>
        <v>35</v>
      </c>
      <c r="AO67" s="13">
        <f t="shared" si="17"/>
        <v>34</v>
      </c>
      <c r="AP67" s="13">
        <f t="shared" si="17"/>
        <v>37</v>
      </c>
      <c r="AQ67" s="13">
        <f t="shared" si="17"/>
        <v>65</v>
      </c>
      <c r="AR67" s="13">
        <f t="shared" si="17"/>
        <v>46</v>
      </c>
      <c r="AS67" s="13">
        <f t="shared" si="17"/>
        <v>30</v>
      </c>
      <c r="AT67" s="13">
        <f t="shared" si="17"/>
        <v>19</v>
      </c>
      <c r="AU67" s="13">
        <f t="shared" si="17"/>
        <v>2611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3">
        <v>7.0</v>
      </c>
      <c r="F69" s="73">
        <v>12.0</v>
      </c>
      <c r="G69" s="73">
        <v>18.0</v>
      </c>
      <c r="H69" s="73">
        <v>11.0</v>
      </c>
      <c r="I69" s="73">
        <v>4.0</v>
      </c>
      <c r="J69" s="73">
        <v>12.0</v>
      </c>
      <c r="K69" s="73">
        <v>9.0</v>
      </c>
      <c r="L69" s="73">
        <v>7.0</v>
      </c>
      <c r="M69" s="73">
        <v>0.0</v>
      </c>
      <c r="N69" s="73">
        <v>7.0</v>
      </c>
      <c r="O69" s="73">
        <v>8.0</v>
      </c>
      <c r="P69" s="73">
        <v>1.0</v>
      </c>
      <c r="Q69" s="73">
        <v>4.0</v>
      </c>
      <c r="R69" s="73">
        <v>5.0</v>
      </c>
      <c r="S69" s="73">
        <v>6.0</v>
      </c>
      <c r="T69" s="73">
        <v>7.0</v>
      </c>
      <c r="U69" s="73">
        <v>9.0</v>
      </c>
      <c r="V69" s="73">
        <v>18.0</v>
      </c>
      <c r="W69" s="73">
        <v>8.0</v>
      </c>
      <c r="X69" s="73">
        <v>11.0</v>
      </c>
      <c r="Y69" s="73">
        <v>13.0</v>
      </c>
      <c r="Z69" s="73">
        <v>5.0</v>
      </c>
      <c r="AA69" s="73">
        <v>2.0</v>
      </c>
      <c r="AB69" s="73">
        <v>3.0</v>
      </c>
      <c r="AC69" s="73">
        <v>6.0</v>
      </c>
      <c r="AD69" s="73">
        <v>4.0</v>
      </c>
      <c r="AE69" s="73">
        <v>2.0</v>
      </c>
      <c r="AF69" s="73">
        <v>1.0</v>
      </c>
      <c r="AG69" s="73">
        <v>3.0</v>
      </c>
      <c r="AH69" s="73">
        <v>1.0</v>
      </c>
      <c r="AI69" s="73">
        <v>1.0</v>
      </c>
      <c r="AJ69" s="73">
        <v>6.0</v>
      </c>
      <c r="AK69" s="73">
        <v>0.0</v>
      </c>
      <c r="AL69" s="73">
        <v>9.0</v>
      </c>
      <c r="AM69" s="73">
        <v>2.0</v>
      </c>
      <c r="AN69" s="73">
        <v>3.0</v>
      </c>
      <c r="AO69" s="73">
        <v>3.0</v>
      </c>
      <c r="AP69" s="73">
        <v>3.0</v>
      </c>
      <c r="AQ69" s="73">
        <v>1.0</v>
      </c>
      <c r="AR69" s="73">
        <v>0.0</v>
      </c>
      <c r="AS69" s="73">
        <v>3.0</v>
      </c>
      <c r="AT69" s="73">
        <v>7.0</v>
      </c>
      <c r="AU69" s="13">
        <f t="shared" ref="AU69:AU78" si="18">SUM(E69:AT69)</f>
        <v>242</v>
      </c>
    </row>
    <row r="70" ht="12.75" customHeight="1">
      <c r="A70" s="30" t="s">
        <v>39</v>
      </c>
      <c r="B70" s="49"/>
      <c r="C70" s="50" t="s">
        <v>61</v>
      </c>
      <c r="D70" s="51"/>
      <c r="E70" s="73">
        <v>3.0</v>
      </c>
      <c r="F70" s="73">
        <v>4.0</v>
      </c>
      <c r="G70" s="73">
        <v>3.0</v>
      </c>
      <c r="H70" s="73">
        <v>7.0</v>
      </c>
      <c r="I70" s="73">
        <v>9.0</v>
      </c>
      <c r="J70" s="73">
        <v>6.0</v>
      </c>
      <c r="K70" s="73">
        <v>1.0</v>
      </c>
      <c r="L70" s="73">
        <v>3.0</v>
      </c>
      <c r="M70" s="73">
        <v>6.0</v>
      </c>
      <c r="N70" s="73">
        <v>2.0</v>
      </c>
      <c r="O70" s="73">
        <v>8.0</v>
      </c>
      <c r="P70" s="73">
        <v>3.0</v>
      </c>
      <c r="Q70" s="73">
        <v>2.0</v>
      </c>
      <c r="R70" s="73">
        <v>1.0</v>
      </c>
      <c r="S70" s="73">
        <v>2.0</v>
      </c>
      <c r="T70" s="73">
        <v>9.0</v>
      </c>
      <c r="U70" s="73">
        <v>0.0</v>
      </c>
      <c r="V70" s="73">
        <v>0.0</v>
      </c>
      <c r="W70" s="73">
        <v>4.0</v>
      </c>
      <c r="X70" s="73">
        <v>3.0</v>
      </c>
      <c r="Y70" s="73">
        <v>2.0</v>
      </c>
      <c r="Z70" s="73">
        <v>2.0</v>
      </c>
      <c r="AA70" s="73">
        <v>5.0</v>
      </c>
      <c r="AB70" s="73">
        <v>2.0</v>
      </c>
      <c r="AC70" s="73">
        <v>2.0</v>
      </c>
      <c r="AD70" s="73">
        <v>0.0</v>
      </c>
      <c r="AE70" s="73">
        <v>1.0</v>
      </c>
      <c r="AF70" s="73">
        <v>0.0</v>
      </c>
      <c r="AG70" s="73">
        <v>0.0</v>
      </c>
      <c r="AH70" s="73">
        <v>1.0</v>
      </c>
      <c r="AI70" s="73">
        <v>0.0</v>
      </c>
      <c r="AJ70" s="73">
        <v>3.0</v>
      </c>
      <c r="AK70" s="73">
        <v>0.0</v>
      </c>
      <c r="AL70" s="73">
        <v>2.0</v>
      </c>
      <c r="AM70" s="73">
        <v>3.0</v>
      </c>
      <c r="AN70" s="73">
        <v>2.0</v>
      </c>
      <c r="AO70" s="73">
        <v>2.0</v>
      </c>
      <c r="AP70" s="73">
        <v>2.0</v>
      </c>
      <c r="AQ70" s="73">
        <v>2.0</v>
      </c>
      <c r="AR70" s="73">
        <v>1.0</v>
      </c>
      <c r="AS70" s="73">
        <v>2.0</v>
      </c>
      <c r="AT70" s="73">
        <v>2.0</v>
      </c>
      <c r="AU70" s="13">
        <f t="shared" si="18"/>
        <v>112</v>
      </c>
    </row>
    <row r="71" ht="12.75" customHeight="1">
      <c r="A71" s="18"/>
      <c r="B71" s="49"/>
      <c r="C71" s="50" t="s">
        <v>62</v>
      </c>
      <c r="D71" s="51"/>
      <c r="E71" s="73">
        <v>7.0</v>
      </c>
      <c r="F71" s="73">
        <v>2.0</v>
      </c>
      <c r="G71" s="73">
        <v>2.0</v>
      </c>
      <c r="H71" s="73">
        <v>2.0</v>
      </c>
      <c r="I71" s="73">
        <v>1.0</v>
      </c>
      <c r="J71" s="73">
        <v>4.0</v>
      </c>
      <c r="K71" s="73">
        <v>2.0</v>
      </c>
      <c r="L71" s="73">
        <v>4.0</v>
      </c>
      <c r="M71" s="73">
        <v>1.0</v>
      </c>
      <c r="N71" s="73">
        <v>4.0</v>
      </c>
      <c r="O71" s="73">
        <v>4.0</v>
      </c>
      <c r="P71" s="73">
        <v>1.0</v>
      </c>
      <c r="Q71" s="73">
        <v>1.0</v>
      </c>
      <c r="R71" s="73">
        <v>1.0</v>
      </c>
      <c r="S71" s="73">
        <v>1.0</v>
      </c>
      <c r="T71" s="73">
        <v>8.0</v>
      </c>
      <c r="U71" s="73">
        <v>1.0</v>
      </c>
      <c r="V71" s="73">
        <v>7.0</v>
      </c>
      <c r="W71" s="73">
        <v>6.0</v>
      </c>
      <c r="X71" s="73">
        <v>8.0</v>
      </c>
      <c r="Y71" s="73">
        <v>4.0</v>
      </c>
      <c r="Z71" s="73">
        <v>3.0</v>
      </c>
      <c r="AA71" s="73">
        <v>0.0</v>
      </c>
      <c r="AB71" s="73">
        <v>0.0</v>
      </c>
      <c r="AC71" s="73">
        <v>3.0</v>
      </c>
      <c r="AD71" s="73">
        <v>2.0</v>
      </c>
      <c r="AE71" s="73">
        <v>9.0</v>
      </c>
      <c r="AF71" s="73">
        <v>13.0</v>
      </c>
      <c r="AG71" s="73">
        <v>6.0</v>
      </c>
      <c r="AH71" s="73">
        <v>2.0</v>
      </c>
      <c r="AI71" s="73">
        <v>1.0</v>
      </c>
      <c r="AJ71" s="73">
        <v>2.0</v>
      </c>
      <c r="AK71" s="73">
        <v>4.0</v>
      </c>
      <c r="AL71" s="73">
        <v>3.0</v>
      </c>
      <c r="AM71" s="73">
        <v>6.0</v>
      </c>
      <c r="AN71" s="73">
        <v>2.0</v>
      </c>
      <c r="AO71" s="73">
        <v>1.0</v>
      </c>
      <c r="AP71" s="73">
        <v>4.0</v>
      </c>
      <c r="AQ71" s="73">
        <v>1.0</v>
      </c>
      <c r="AR71" s="73">
        <v>2.0</v>
      </c>
      <c r="AS71" s="73">
        <v>2.0</v>
      </c>
      <c r="AT71" s="73">
        <v>6.0</v>
      </c>
      <c r="AU71" s="13">
        <f t="shared" si="18"/>
        <v>143</v>
      </c>
    </row>
    <row r="72" ht="12.75" customHeight="1">
      <c r="A72" s="18"/>
      <c r="B72" s="49"/>
      <c r="C72" s="50" t="s">
        <v>63</v>
      </c>
      <c r="D72" s="51"/>
      <c r="E72" s="73">
        <v>5.0</v>
      </c>
      <c r="F72" s="73">
        <v>8.0</v>
      </c>
      <c r="G72" s="73">
        <v>5.0</v>
      </c>
      <c r="H72" s="73">
        <v>2.0</v>
      </c>
      <c r="I72" s="73">
        <v>2.0</v>
      </c>
      <c r="J72" s="73">
        <v>4.0</v>
      </c>
      <c r="K72" s="73">
        <v>5.0</v>
      </c>
      <c r="L72" s="73">
        <v>5.0</v>
      </c>
      <c r="M72" s="73">
        <v>1.0</v>
      </c>
      <c r="N72" s="73">
        <v>1.0</v>
      </c>
      <c r="O72" s="73">
        <v>0.0</v>
      </c>
      <c r="P72" s="73">
        <v>2.0</v>
      </c>
      <c r="Q72" s="73">
        <v>2.0</v>
      </c>
      <c r="R72" s="73">
        <v>1.0</v>
      </c>
      <c r="S72" s="73">
        <v>1.0</v>
      </c>
      <c r="T72" s="73">
        <v>1.0</v>
      </c>
      <c r="U72" s="73">
        <v>1.0</v>
      </c>
      <c r="V72" s="73">
        <v>9.0</v>
      </c>
      <c r="W72" s="73">
        <v>1.0</v>
      </c>
      <c r="X72" s="73">
        <v>1.0</v>
      </c>
      <c r="Y72" s="73">
        <v>6.0</v>
      </c>
      <c r="Z72" s="73">
        <v>0.0</v>
      </c>
      <c r="AA72" s="73">
        <v>2.0</v>
      </c>
      <c r="AB72" s="73">
        <v>0.0</v>
      </c>
      <c r="AC72" s="73">
        <v>2.0</v>
      </c>
      <c r="AD72" s="73">
        <v>5.0</v>
      </c>
      <c r="AE72" s="73">
        <v>2.0</v>
      </c>
      <c r="AF72" s="73">
        <v>1.0</v>
      </c>
      <c r="AG72" s="73">
        <v>4.0</v>
      </c>
      <c r="AH72" s="73">
        <v>4.0</v>
      </c>
      <c r="AI72" s="73">
        <v>2.0</v>
      </c>
      <c r="AJ72" s="73">
        <v>2.0</v>
      </c>
      <c r="AK72" s="73">
        <v>1.0</v>
      </c>
      <c r="AL72" s="73">
        <v>2.0</v>
      </c>
      <c r="AM72" s="73">
        <v>1.0</v>
      </c>
      <c r="AN72" s="73">
        <v>1.0</v>
      </c>
      <c r="AO72" s="73">
        <v>4.0</v>
      </c>
      <c r="AP72" s="73">
        <v>6.0</v>
      </c>
      <c r="AQ72" s="73">
        <v>2.0</v>
      </c>
      <c r="AR72" s="73">
        <v>1.0</v>
      </c>
      <c r="AS72" s="73">
        <v>1.0</v>
      </c>
      <c r="AT72" s="73">
        <v>4.0</v>
      </c>
      <c r="AU72" s="13">
        <f t="shared" si="18"/>
        <v>110</v>
      </c>
    </row>
    <row r="73" ht="12.75" customHeight="1">
      <c r="A73" s="18"/>
      <c r="B73" s="49"/>
      <c r="C73" s="50" t="s">
        <v>64</v>
      </c>
      <c r="D73" s="51"/>
      <c r="E73" s="73">
        <v>1.0</v>
      </c>
      <c r="F73" s="73">
        <v>4.0</v>
      </c>
      <c r="G73" s="73">
        <v>1.0</v>
      </c>
      <c r="H73" s="73">
        <v>3.0</v>
      </c>
      <c r="I73" s="73">
        <v>0.0</v>
      </c>
      <c r="J73" s="73">
        <v>3.0</v>
      </c>
      <c r="K73" s="73">
        <v>1.0</v>
      </c>
      <c r="L73" s="73">
        <v>4.0</v>
      </c>
      <c r="M73" s="73">
        <v>0.0</v>
      </c>
      <c r="N73" s="73">
        <v>3.0</v>
      </c>
      <c r="O73" s="73">
        <v>3.0</v>
      </c>
      <c r="P73" s="73">
        <v>0.0</v>
      </c>
      <c r="Q73" s="73">
        <v>0.0</v>
      </c>
      <c r="R73" s="73">
        <v>2.0</v>
      </c>
      <c r="S73" s="73">
        <v>2.0</v>
      </c>
      <c r="T73" s="73">
        <v>0.0</v>
      </c>
      <c r="U73" s="73">
        <v>1.0</v>
      </c>
      <c r="V73" s="73">
        <v>5.0</v>
      </c>
      <c r="W73" s="73">
        <v>8.0</v>
      </c>
      <c r="X73" s="73">
        <v>1.0</v>
      </c>
      <c r="Y73" s="73">
        <v>5.0</v>
      </c>
      <c r="Z73" s="73">
        <v>0.0</v>
      </c>
      <c r="AA73" s="73">
        <v>0.0</v>
      </c>
      <c r="AB73" s="73">
        <v>2.0</v>
      </c>
      <c r="AC73" s="73">
        <v>3.0</v>
      </c>
      <c r="AD73" s="73">
        <v>1.0</v>
      </c>
      <c r="AE73" s="73">
        <v>1.0</v>
      </c>
      <c r="AF73" s="73">
        <v>1.0</v>
      </c>
      <c r="AG73" s="73">
        <v>3.0</v>
      </c>
      <c r="AH73" s="73">
        <v>3.0</v>
      </c>
      <c r="AI73" s="73">
        <v>0.0</v>
      </c>
      <c r="AJ73" s="73">
        <v>4.0</v>
      </c>
      <c r="AK73" s="73">
        <v>0.0</v>
      </c>
      <c r="AL73" s="73">
        <v>10.0</v>
      </c>
      <c r="AM73" s="73">
        <v>0.0</v>
      </c>
      <c r="AN73" s="73">
        <v>22.0</v>
      </c>
      <c r="AO73" s="73">
        <v>15.0</v>
      </c>
      <c r="AP73" s="73">
        <v>5.0</v>
      </c>
      <c r="AQ73" s="73">
        <v>16.0</v>
      </c>
      <c r="AR73" s="73">
        <v>4.0</v>
      </c>
      <c r="AS73" s="73">
        <v>9.0</v>
      </c>
      <c r="AT73" s="73">
        <v>17.0</v>
      </c>
      <c r="AU73" s="13">
        <f t="shared" si="18"/>
        <v>163</v>
      </c>
    </row>
    <row r="74" ht="12.75" customHeight="1">
      <c r="A74" s="18"/>
      <c r="B74" s="49"/>
      <c r="C74" s="50" t="s">
        <v>65</v>
      </c>
      <c r="D74" s="51"/>
      <c r="E74" s="73">
        <v>2.0</v>
      </c>
      <c r="F74" s="73">
        <v>2.0</v>
      </c>
      <c r="G74" s="73">
        <v>2.0</v>
      </c>
      <c r="H74" s="73">
        <v>1.0</v>
      </c>
      <c r="I74" s="73">
        <v>2.0</v>
      </c>
      <c r="J74" s="73">
        <v>1.0</v>
      </c>
      <c r="K74" s="73">
        <v>0.0</v>
      </c>
      <c r="L74" s="73">
        <v>2.0</v>
      </c>
      <c r="M74" s="73">
        <v>0.0</v>
      </c>
      <c r="N74" s="73">
        <v>0.0</v>
      </c>
      <c r="O74" s="73">
        <v>1.0</v>
      </c>
      <c r="P74" s="73">
        <v>0.0</v>
      </c>
      <c r="Q74" s="73">
        <v>0.0</v>
      </c>
      <c r="R74" s="73">
        <v>3.0</v>
      </c>
      <c r="S74" s="73">
        <v>0.0</v>
      </c>
      <c r="T74" s="73">
        <v>1.0</v>
      </c>
      <c r="U74" s="73">
        <v>0.0</v>
      </c>
      <c r="V74" s="73">
        <v>1.0</v>
      </c>
      <c r="W74" s="73">
        <v>1.0</v>
      </c>
      <c r="X74" s="73">
        <v>2.0</v>
      </c>
      <c r="Y74" s="73">
        <v>1.0</v>
      </c>
      <c r="Z74" s="73">
        <v>2.0</v>
      </c>
      <c r="AA74" s="73">
        <v>1.0</v>
      </c>
      <c r="AB74" s="73">
        <v>0.0</v>
      </c>
      <c r="AC74" s="73">
        <v>1.0</v>
      </c>
      <c r="AD74" s="73">
        <v>0.0</v>
      </c>
      <c r="AE74" s="73">
        <v>2.0</v>
      </c>
      <c r="AF74" s="73">
        <v>1.0</v>
      </c>
      <c r="AG74" s="73">
        <v>1.0</v>
      </c>
      <c r="AH74" s="73">
        <v>1.0</v>
      </c>
      <c r="AI74" s="73">
        <v>0.0</v>
      </c>
      <c r="AJ74" s="73">
        <v>1.0</v>
      </c>
      <c r="AK74" s="73">
        <v>0.0</v>
      </c>
      <c r="AL74" s="73">
        <v>0.0</v>
      </c>
      <c r="AM74" s="73">
        <v>0.0</v>
      </c>
      <c r="AN74" s="73">
        <v>4.0</v>
      </c>
      <c r="AO74" s="73">
        <v>1.0</v>
      </c>
      <c r="AP74" s="73">
        <v>0.0</v>
      </c>
      <c r="AQ74" s="73">
        <v>0.0</v>
      </c>
      <c r="AR74" s="73">
        <v>0.0</v>
      </c>
      <c r="AS74" s="73">
        <v>1.0</v>
      </c>
      <c r="AT74" s="73">
        <v>1.0</v>
      </c>
      <c r="AU74" s="13">
        <f t="shared" si="18"/>
        <v>39</v>
      </c>
    </row>
    <row r="75" ht="12.75" customHeight="1">
      <c r="A75" s="18"/>
      <c r="B75" s="49"/>
      <c r="C75" s="50" t="s">
        <v>66</v>
      </c>
      <c r="D75" s="51"/>
      <c r="E75" s="73">
        <v>1.0</v>
      </c>
      <c r="F75" s="73">
        <v>1.0</v>
      </c>
      <c r="G75" s="73">
        <v>2.0</v>
      </c>
      <c r="H75" s="73">
        <v>0.0</v>
      </c>
      <c r="I75" s="73">
        <v>0.0</v>
      </c>
      <c r="J75" s="73">
        <v>0.0</v>
      </c>
      <c r="K75" s="73">
        <v>4.0</v>
      </c>
      <c r="L75" s="73">
        <v>0.0</v>
      </c>
      <c r="M75" s="73">
        <v>1.0</v>
      </c>
      <c r="N75" s="73">
        <v>1.0</v>
      </c>
      <c r="O75" s="73">
        <v>0.0</v>
      </c>
      <c r="P75" s="73">
        <v>0.0</v>
      </c>
      <c r="Q75" s="73">
        <v>0.0</v>
      </c>
      <c r="R75" s="73">
        <v>2.0</v>
      </c>
      <c r="S75" s="73">
        <v>0.0</v>
      </c>
      <c r="T75" s="73">
        <v>1.0</v>
      </c>
      <c r="U75" s="73">
        <v>0.0</v>
      </c>
      <c r="V75" s="73">
        <v>1.0</v>
      </c>
      <c r="W75" s="73">
        <v>0.0</v>
      </c>
      <c r="X75" s="73">
        <v>1.0</v>
      </c>
      <c r="Y75" s="73">
        <v>3.0</v>
      </c>
      <c r="Z75" s="73">
        <v>0.0</v>
      </c>
      <c r="AA75" s="73">
        <v>0.0</v>
      </c>
      <c r="AB75" s="73">
        <v>1.0</v>
      </c>
      <c r="AC75" s="73">
        <v>0.0</v>
      </c>
      <c r="AD75" s="73">
        <v>0.0</v>
      </c>
      <c r="AE75" s="73">
        <v>0.0</v>
      </c>
      <c r="AF75" s="73">
        <v>3.0</v>
      </c>
      <c r="AG75" s="73">
        <v>1.0</v>
      </c>
      <c r="AH75" s="73">
        <v>3.0</v>
      </c>
      <c r="AI75" s="73">
        <v>0.0</v>
      </c>
      <c r="AJ75" s="73">
        <v>0.0</v>
      </c>
      <c r="AK75" s="73">
        <v>1.0</v>
      </c>
      <c r="AL75" s="73">
        <v>0.0</v>
      </c>
      <c r="AM75" s="73">
        <v>1.0</v>
      </c>
      <c r="AN75" s="73">
        <v>0.0</v>
      </c>
      <c r="AO75" s="73">
        <v>0.0</v>
      </c>
      <c r="AP75" s="73">
        <v>0.0</v>
      </c>
      <c r="AQ75" s="73">
        <v>0.0</v>
      </c>
      <c r="AR75" s="73">
        <v>0.0</v>
      </c>
      <c r="AS75" s="73">
        <v>0.0</v>
      </c>
      <c r="AT75" s="73">
        <v>1.0</v>
      </c>
      <c r="AU75" s="13">
        <f t="shared" si="18"/>
        <v>29</v>
      </c>
    </row>
    <row r="76" ht="12.75" customHeight="1">
      <c r="A76" s="18"/>
      <c r="B76" s="49"/>
      <c r="C76" s="50" t="s">
        <v>67</v>
      </c>
      <c r="D76" s="51"/>
      <c r="E76" s="73">
        <v>0.0</v>
      </c>
      <c r="F76" s="73">
        <v>1.0</v>
      </c>
      <c r="G76" s="73">
        <v>0.0</v>
      </c>
      <c r="H76" s="73">
        <v>2.0</v>
      </c>
      <c r="I76" s="73">
        <v>0.0</v>
      </c>
      <c r="J76" s="73">
        <v>0.0</v>
      </c>
      <c r="K76" s="73">
        <v>1.0</v>
      </c>
      <c r="L76" s="73">
        <v>0.0</v>
      </c>
      <c r="M76" s="73">
        <v>1.0</v>
      </c>
      <c r="N76" s="73">
        <v>0.0</v>
      </c>
      <c r="O76" s="73">
        <v>0.0</v>
      </c>
      <c r="P76" s="73">
        <v>0.0</v>
      </c>
      <c r="Q76" s="73">
        <v>1.0</v>
      </c>
      <c r="R76" s="73">
        <v>0.0</v>
      </c>
      <c r="S76" s="73">
        <v>1.0</v>
      </c>
      <c r="T76" s="73">
        <v>0.0</v>
      </c>
      <c r="U76" s="73">
        <v>0.0</v>
      </c>
      <c r="V76" s="73">
        <v>1.0</v>
      </c>
      <c r="W76" s="73">
        <v>1.0</v>
      </c>
      <c r="X76" s="73">
        <v>0.0</v>
      </c>
      <c r="Y76" s="73">
        <v>2.0</v>
      </c>
      <c r="Z76" s="73">
        <v>0.0</v>
      </c>
      <c r="AA76" s="73">
        <v>1.0</v>
      </c>
      <c r="AB76" s="73">
        <v>0.0</v>
      </c>
      <c r="AC76" s="73">
        <v>0.0</v>
      </c>
      <c r="AD76" s="73">
        <v>0.0</v>
      </c>
      <c r="AE76" s="73">
        <v>0.0</v>
      </c>
      <c r="AF76" s="73">
        <v>0.0</v>
      </c>
      <c r="AG76" s="73">
        <v>0.0</v>
      </c>
      <c r="AH76" s="73">
        <v>0.0</v>
      </c>
      <c r="AI76" s="73">
        <v>0.0</v>
      </c>
      <c r="AJ76" s="73">
        <v>1.0</v>
      </c>
      <c r="AK76" s="73">
        <v>1.0</v>
      </c>
      <c r="AL76" s="73">
        <v>0.0</v>
      </c>
      <c r="AM76" s="73">
        <v>0.0</v>
      </c>
      <c r="AN76" s="73">
        <v>0.0</v>
      </c>
      <c r="AO76" s="73">
        <v>0.0</v>
      </c>
      <c r="AP76" s="73">
        <v>0.0</v>
      </c>
      <c r="AQ76" s="73">
        <v>0.0</v>
      </c>
      <c r="AR76" s="73">
        <v>0.0</v>
      </c>
      <c r="AS76" s="73">
        <v>0.0</v>
      </c>
      <c r="AT76" s="73">
        <v>0.0</v>
      </c>
      <c r="AU76" s="13">
        <f t="shared" si="18"/>
        <v>14</v>
      </c>
    </row>
    <row r="77" ht="12.75" customHeight="1">
      <c r="A77" s="18"/>
      <c r="B77" s="49"/>
      <c r="C77" s="50" t="s">
        <v>68</v>
      </c>
      <c r="D77" s="51"/>
      <c r="E77" s="73">
        <v>0.0</v>
      </c>
      <c r="F77" s="73">
        <v>3.0</v>
      </c>
      <c r="G77" s="73">
        <v>1.0</v>
      </c>
      <c r="H77" s="73">
        <v>1.0</v>
      </c>
      <c r="I77" s="73">
        <v>0.0</v>
      </c>
      <c r="J77" s="73">
        <v>1.0</v>
      </c>
      <c r="K77" s="73">
        <v>1.0</v>
      </c>
      <c r="L77" s="73">
        <v>0.0</v>
      </c>
      <c r="M77" s="73">
        <v>0.0</v>
      </c>
      <c r="N77" s="73">
        <v>1.0</v>
      </c>
      <c r="O77" s="73">
        <v>0.0</v>
      </c>
      <c r="P77" s="73">
        <v>1.0</v>
      </c>
      <c r="Q77" s="73">
        <v>0.0</v>
      </c>
      <c r="R77" s="73">
        <v>1.0</v>
      </c>
      <c r="S77" s="73">
        <v>0.0</v>
      </c>
      <c r="T77" s="73">
        <v>1.0</v>
      </c>
      <c r="U77" s="73">
        <v>0.0</v>
      </c>
      <c r="V77" s="73">
        <v>1.0</v>
      </c>
      <c r="W77" s="73">
        <v>0.0</v>
      </c>
      <c r="X77" s="73">
        <v>0.0</v>
      </c>
      <c r="Y77" s="73">
        <v>0.0</v>
      </c>
      <c r="Z77" s="73">
        <v>0.0</v>
      </c>
      <c r="AA77" s="73">
        <v>0.0</v>
      </c>
      <c r="AB77" s="73">
        <v>1.0</v>
      </c>
      <c r="AC77" s="73">
        <v>0.0</v>
      </c>
      <c r="AD77" s="73">
        <v>0.0</v>
      </c>
      <c r="AE77" s="73">
        <v>0.0</v>
      </c>
      <c r="AF77" s="73">
        <v>1.0</v>
      </c>
      <c r="AG77" s="73">
        <v>1.0</v>
      </c>
      <c r="AH77" s="73">
        <v>0.0</v>
      </c>
      <c r="AI77" s="73">
        <v>0.0</v>
      </c>
      <c r="AJ77" s="73">
        <v>1.0</v>
      </c>
      <c r="AK77" s="73">
        <v>0.0</v>
      </c>
      <c r="AL77" s="73">
        <v>0.0</v>
      </c>
      <c r="AM77" s="73">
        <v>0.0</v>
      </c>
      <c r="AN77" s="73">
        <v>1.0</v>
      </c>
      <c r="AO77" s="73">
        <v>0.0</v>
      </c>
      <c r="AP77" s="73">
        <v>1.0</v>
      </c>
      <c r="AQ77" s="73">
        <v>1.0</v>
      </c>
      <c r="AR77" s="73">
        <v>0.0</v>
      </c>
      <c r="AS77" s="73">
        <v>0.0</v>
      </c>
      <c r="AT77" s="73">
        <v>1.0</v>
      </c>
      <c r="AU77" s="13">
        <f t="shared" si="18"/>
        <v>20</v>
      </c>
    </row>
    <row r="78" ht="12.75" customHeight="1">
      <c r="A78" s="18"/>
      <c r="B78" s="49"/>
      <c r="C78" s="50" t="s">
        <v>69</v>
      </c>
      <c r="D78" s="51"/>
      <c r="E78" s="73">
        <v>1.0</v>
      </c>
      <c r="F78" s="73">
        <v>0.0</v>
      </c>
      <c r="G78" s="73">
        <v>1.0</v>
      </c>
      <c r="H78" s="73">
        <v>1.0</v>
      </c>
      <c r="I78" s="73">
        <v>1.0</v>
      </c>
      <c r="J78" s="73">
        <v>0.0</v>
      </c>
      <c r="K78" s="73">
        <v>0.0</v>
      </c>
      <c r="L78" s="73">
        <v>0.0</v>
      </c>
      <c r="M78" s="73">
        <v>0.0</v>
      </c>
      <c r="N78" s="73">
        <v>0.0</v>
      </c>
      <c r="O78" s="73">
        <v>2.0</v>
      </c>
      <c r="P78" s="73">
        <v>0.0</v>
      </c>
      <c r="Q78" s="73">
        <v>0.0</v>
      </c>
      <c r="R78" s="73">
        <v>0.0</v>
      </c>
      <c r="S78" s="73">
        <v>0.0</v>
      </c>
      <c r="T78" s="73">
        <v>2.0</v>
      </c>
      <c r="U78" s="73">
        <v>0.0</v>
      </c>
      <c r="V78" s="73">
        <v>1.0</v>
      </c>
      <c r="W78" s="73">
        <v>2.0</v>
      </c>
      <c r="X78" s="73">
        <v>0.0</v>
      </c>
      <c r="Y78" s="73">
        <v>0.0</v>
      </c>
      <c r="Z78" s="73">
        <v>0.0</v>
      </c>
      <c r="AA78" s="73">
        <v>1.0</v>
      </c>
      <c r="AB78" s="73">
        <v>1.0</v>
      </c>
      <c r="AC78" s="73">
        <v>1.0</v>
      </c>
      <c r="AD78" s="73">
        <v>0.0</v>
      </c>
      <c r="AE78" s="73">
        <v>0.0</v>
      </c>
      <c r="AF78" s="73">
        <v>1.0</v>
      </c>
      <c r="AG78" s="73">
        <v>2.0</v>
      </c>
      <c r="AH78" s="73">
        <v>0.0</v>
      </c>
      <c r="AI78" s="73">
        <v>0.0</v>
      </c>
      <c r="AJ78" s="73">
        <v>0.0</v>
      </c>
      <c r="AK78" s="73">
        <v>0.0</v>
      </c>
      <c r="AL78" s="73">
        <v>2.0</v>
      </c>
      <c r="AM78" s="73">
        <v>2.0</v>
      </c>
      <c r="AN78" s="73">
        <v>0.0</v>
      </c>
      <c r="AO78" s="73">
        <v>0.0</v>
      </c>
      <c r="AP78" s="73">
        <v>0.0</v>
      </c>
      <c r="AQ78" s="73">
        <v>0.0</v>
      </c>
      <c r="AR78" s="73">
        <v>0.0</v>
      </c>
      <c r="AS78" s="73">
        <v>0.0</v>
      </c>
      <c r="AT78" s="73">
        <v>0.0</v>
      </c>
      <c r="AU78" s="13">
        <f t="shared" si="18"/>
        <v>21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U79" si="19">SUM(E69:E78)</f>
        <v>27</v>
      </c>
      <c r="F79" s="13">
        <f t="shared" si="19"/>
        <v>37</v>
      </c>
      <c r="G79" s="13">
        <f t="shared" si="19"/>
        <v>35</v>
      </c>
      <c r="H79" s="13">
        <f t="shared" si="19"/>
        <v>30</v>
      </c>
      <c r="I79" s="13">
        <f t="shared" si="19"/>
        <v>19</v>
      </c>
      <c r="J79" s="13">
        <f t="shared" si="19"/>
        <v>31</v>
      </c>
      <c r="K79" s="13">
        <f t="shared" si="19"/>
        <v>24</v>
      </c>
      <c r="L79" s="13">
        <f t="shared" si="19"/>
        <v>25</v>
      </c>
      <c r="M79" s="13">
        <f t="shared" si="19"/>
        <v>10</v>
      </c>
      <c r="N79" s="13">
        <f t="shared" si="19"/>
        <v>19</v>
      </c>
      <c r="O79" s="13">
        <f t="shared" si="19"/>
        <v>26</v>
      </c>
      <c r="P79" s="13">
        <f t="shared" si="19"/>
        <v>8</v>
      </c>
      <c r="Q79" s="13">
        <f t="shared" si="19"/>
        <v>10</v>
      </c>
      <c r="R79" s="13">
        <f t="shared" si="19"/>
        <v>16</v>
      </c>
      <c r="S79" s="13">
        <f t="shared" si="19"/>
        <v>13</v>
      </c>
      <c r="T79" s="13">
        <f t="shared" si="19"/>
        <v>30</v>
      </c>
      <c r="U79" s="13">
        <f t="shared" si="19"/>
        <v>12</v>
      </c>
      <c r="V79" s="13">
        <f t="shared" si="19"/>
        <v>44</v>
      </c>
      <c r="W79" s="13">
        <f t="shared" si="19"/>
        <v>31</v>
      </c>
      <c r="X79" s="13">
        <f t="shared" si="19"/>
        <v>27</v>
      </c>
      <c r="Y79" s="13">
        <f t="shared" si="19"/>
        <v>36</v>
      </c>
      <c r="Z79" s="13">
        <f t="shared" si="19"/>
        <v>12</v>
      </c>
      <c r="AA79" s="13">
        <f t="shared" si="19"/>
        <v>12</v>
      </c>
      <c r="AB79" s="13">
        <f t="shared" si="19"/>
        <v>10</v>
      </c>
      <c r="AC79" s="13">
        <f t="shared" si="19"/>
        <v>18</v>
      </c>
      <c r="AD79" s="13">
        <f t="shared" si="19"/>
        <v>12</v>
      </c>
      <c r="AE79" s="13">
        <f t="shared" si="19"/>
        <v>17</v>
      </c>
      <c r="AF79" s="13">
        <f t="shared" si="19"/>
        <v>22</v>
      </c>
      <c r="AG79" s="13">
        <f t="shared" si="19"/>
        <v>21</v>
      </c>
      <c r="AH79" s="13">
        <f t="shared" si="19"/>
        <v>15</v>
      </c>
      <c r="AI79" s="13">
        <f t="shared" si="19"/>
        <v>4</v>
      </c>
      <c r="AJ79" s="13">
        <f t="shared" si="19"/>
        <v>20</v>
      </c>
      <c r="AK79" s="13">
        <f t="shared" si="19"/>
        <v>7</v>
      </c>
      <c r="AL79" s="13">
        <f t="shared" si="19"/>
        <v>28</v>
      </c>
      <c r="AM79" s="13">
        <f t="shared" si="19"/>
        <v>15</v>
      </c>
      <c r="AN79" s="13">
        <f t="shared" si="19"/>
        <v>35</v>
      </c>
      <c r="AO79" s="13">
        <f t="shared" si="19"/>
        <v>26</v>
      </c>
      <c r="AP79" s="13">
        <f t="shared" si="19"/>
        <v>21</v>
      </c>
      <c r="AQ79" s="13">
        <f t="shared" si="19"/>
        <v>23</v>
      </c>
      <c r="AR79" s="13">
        <f t="shared" si="19"/>
        <v>8</v>
      </c>
      <c r="AS79" s="13">
        <f t="shared" si="19"/>
        <v>18</v>
      </c>
      <c r="AT79" s="13">
        <f t="shared" si="19"/>
        <v>39</v>
      </c>
      <c r="AU79" s="13">
        <f t="shared" si="19"/>
        <v>893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3">
        <v>0.0</v>
      </c>
      <c r="F81" s="73">
        <v>2.0</v>
      </c>
      <c r="G81" s="73">
        <v>1.0</v>
      </c>
      <c r="H81" s="73">
        <v>2.0</v>
      </c>
      <c r="I81" s="73">
        <v>1.0</v>
      </c>
      <c r="J81" s="73">
        <v>8.0</v>
      </c>
      <c r="K81" s="73">
        <v>0.0</v>
      </c>
      <c r="L81" s="73">
        <v>2.0</v>
      </c>
      <c r="M81" s="73">
        <v>0.0</v>
      </c>
      <c r="N81" s="73">
        <v>4.0</v>
      </c>
      <c r="O81" s="73">
        <v>2.0</v>
      </c>
      <c r="P81" s="73">
        <v>3.0</v>
      </c>
      <c r="Q81" s="73">
        <v>5.0</v>
      </c>
      <c r="R81" s="73">
        <v>2.0</v>
      </c>
      <c r="S81" s="73">
        <v>1.0</v>
      </c>
      <c r="T81" s="73">
        <v>0.0</v>
      </c>
      <c r="U81" s="73">
        <v>3.0</v>
      </c>
      <c r="V81" s="73">
        <v>3.0</v>
      </c>
      <c r="W81" s="73">
        <v>4.0</v>
      </c>
      <c r="X81" s="73">
        <v>1.0</v>
      </c>
      <c r="Y81" s="73">
        <v>1.0</v>
      </c>
      <c r="Z81" s="73">
        <v>1.0</v>
      </c>
      <c r="AA81" s="73">
        <v>1.0</v>
      </c>
      <c r="AB81" s="73">
        <v>2.0</v>
      </c>
      <c r="AC81" s="73">
        <v>1.0</v>
      </c>
      <c r="AD81" s="73">
        <v>5.0</v>
      </c>
      <c r="AE81" s="73">
        <v>2.0</v>
      </c>
      <c r="AF81" s="73">
        <v>1.0</v>
      </c>
      <c r="AG81" s="73">
        <v>1.0</v>
      </c>
      <c r="AH81" s="73">
        <v>1.0</v>
      </c>
      <c r="AI81" s="73">
        <v>1.0</v>
      </c>
      <c r="AJ81" s="73">
        <v>1.0</v>
      </c>
      <c r="AK81" s="73">
        <v>1.0</v>
      </c>
      <c r="AL81" s="73">
        <v>2.0</v>
      </c>
      <c r="AM81" s="73">
        <v>0.0</v>
      </c>
      <c r="AN81" s="73">
        <v>2.0</v>
      </c>
      <c r="AO81" s="73">
        <v>2.0</v>
      </c>
      <c r="AP81" s="73">
        <v>3.0</v>
      </c>
      <c r="AQ81" s="73">
        <v>0.0</v>
      </c>
      <c r="AR81" s="73">
        <v>0.0</v>
      </c>
      <c r="AS81" s="73">
        <v>0.0</v>
      </c>
      <c r="AT81" s="73">
        <v>3.0</v>
      </c>
      <c r="AU81" s="13">
        <f t="shared" ref="AU81:AU90" si="20">SUM(E81:AT81)</f>
        <v>75</v>
      </c>
    </row>
    <row r="82" ht="12.75" customHeight="1">
      <c r="A82" s="30" t="s">
        <v>39</v>
      </c>
      <c r="B82" s="49"/>
      <c r="C82" s="50" t="s">
        <v>71</v>
      </c>
      <c r="D82" s="51"/>
      <c r="E82" s="73">
        <v>1.0</v>
      </c>
      <c r="F82" s="73">
        <v>5.0</v>
      </c>
      <c r="G82" s="73">
        <v>0.0</v>
      </c>
      <c r="H82" s="73">
        <v>2.0</v>
      </c>
      <c r="I82" s="73">
        <v>1.0</v>
      </c>
      <c r="J82" s="73">
        <v>15.0</v>
      </c>
      <c r="K82" s="73">
        <v>10.0</v>
      </c>
      <c r="L82" s="73">
        <v>4.0</v>
      </c>
      <c r="M82" s="73">
        <v>0.0</v>
      </c>
      <c r="N82" s="73">
        <v>3.0</v>
      </c>
      <c r="O82" s="73">
        <v>2.0</v>
      </c>
      <c r="P82" s="73">
        <v>0.0</v>
      </c>
      <c r="Q82" s="73">
        <v>3.0</v>
      </c>
      <c r="R82" s="73">
        <v>2.0</v>
      </c>
      <c r="S82" s="73">
        <v>1.0</v>
      </c>
      <c r="T82" s="73">
        <v>6.0</v>
      </c>
      <c r="U82" s="73">
        <v>8.0</v>
      </c>
      <c r="V82" s="73">
        <v>1.0</v>
      </c>
      <c r="W82" s="73">
        <v>1.0</v>
      </c>
      <c r="X82" s="73">
        <v>6.0</v>
      </c>
      <c r="Y82" s="73">
        <v>5.0</v>
      </c>
      <c r="Z82" s="73">
        <v>2.0</v>
      </c>
      <c r="AA82" s="73">
        <v>4.0</v>
      </c>
      <c r="AB82" s="73">
        <v>3.0</v>
      </c>
      <c r="AC82" s="73">
        <v>3.0</v>
      </c>
      <c r="AD82" s="73">
        <v>6.0</v>
      </c>
      <c r="AE82" s="73">
        <v>1.0</v>
      </c>
      <c r="AF82" s="73">
        <v>1.0</v>
      </c>
      <c r="AG82" s="73">
        <v>4.0</v>
      </c>
      <c r="AH82" s="73">
        <v>8.0</v>
      </c>
      <c r="AI82" s="73">
        <v>0.0</v>
      </c>
      <c r="AJ82" s="73">
        <v>0.0</v>
      </c>
      <c r="AK82" s="73">
        <v>5.0</v>
      </c>
      <c r="AL82" s="73">
        <v>1.0</v>
      </c>
      <c r="AM82" s="73">
        <v>3.0</v>
      </c>
      <c r="AN82" s="73">
        <v>1.0</v>
      </c>
      <c r="AO82" s="73">
        <v>6.0</v>
      </c>
      <c r="AP82" s="73">
        <v>6.0</v>
      </c>
      <c r="AQ82" s="73">
        <v>14.0</v>
      </c>
      <c r="AR82" s="73">
        <v>0.0</v>
      </c>
      <c r="AS82" s="73">
        <v>2.0</v>
      </c>
      <c r="AT82" s="73">
        <v>0.0</v>
      </c>
      <c r="AU82" s="13">
        <f t="shared" si="20"/>
        <v>146</v>
      </c>
    </row>
    <row r="83" ht="12.75" customHeight="1">
      <c r="A83" s="18"/>
      <c r="B83" s="49"/>
      <c r="C83" s="50" t="s">
        <v>72</v>
      </c>
      <c r="D83" s="51"/>
      <c r="E83" s="73">
        <v>1.0</v>
      </c>
      <c r="F83" s="73">
        <v>0.0</v>
      </c>
      <c r="G83" s="73">
        <v>1.0</v>
      </c>
      <c r="H83" s="73">
        <v>0.0</v>
      </c>
      <c r="I83" s="73">
        <v>0.0</v>
      </c>
      <c r="J83" s="73">
        <v>0.0</v>
      </c>
      <c r="K83" s="73">
        <v>0.0</v>
      </c>
      <c r="L83" s="73">
        <v>0.0</v>
      </c>
      <c r="M83" s="73">
        <v>0.0</v>
      </c>
      <c r="N83" s="73">
        <v>3.0</v>
      </c>
      <c r="O83" s="73">
        <v>2.0</v>
      </c>
      <c r="P83" s="73">
        <v>0.0</v>
      </c>
      <c r="Q83" s="73">
        <v>0.0</v>
      </c>
      <c r="R83" s="73">
        <v>0.0</v>
      </c>
      <c r="S83" s="73">
        <v>0.0</v>
      </c>
      <c r="T83" s="73">
        <v>0.0</v>
      </c>
      <c r="U83" s="73">
        <v>0.0</v>
      </c>
      <c r="V83" s="73">
        <v>0.0</v>
      </c>
      <c r="W83" s="73">
        <v>1.0</v>
      </c>
      <c r="X83" s="73">
        <v>2.0</v>
      </c>
      <c r="Y83" s="73">
        <v>1.0</v>
      </c>
      <c r="Z83" s="73">
        <v>0.0</v>
      </c>
      <c r="AA83" s="73">
        <v>0.0</v>
      </c>
      <c r="AB83" s="73">
        <v>0.0</v>
      </c>
      <c r="AC83" s="73">
        <v>0.0</v>
      </c>
      <c r="AD83" s="73">
        <v>0.0</v>
      </c>
      <c r="AE83" s="73">
        <v>0.0</v>
      </c>
      <c r="AF83" s="73">
        <v>1.0</v>
      </c>
      <c r="AG83" s="73">
        <v>1.0</v>
      </c>
      <c r="AH83" s="73">
        <v>1.0</v>
      </c>
      <c r="AI83" s="73">
        <v>0.0</v>
      </c>
      <c r="AJ83" s="73">
        <v>0.0</v>
      </c>
      <c r="AK83" s="73">
        <v>0.0</v>
      </c>
      <c r="AL83" s="73">
        <v>0.0</v>
      </c>
      <c r="AM83" s="73">
        <v>2.0</v>
      </c>
      <c r="AN83" s="73">
        <v>0.0</v>
      </c>
      <c r="AO83" s="73">
        <v>0.0</v>
      </c>
      <c r="AP83" s="73">
        <v>1.0</v>
      </c>
      <c r="AQ83" s="73">
        <v>1.0</v>
      </c>
      <c r="AR83" s="73">
        <v>1.0</v>
      </c>
      <c r="AS83" s="73">
        <v>0.0</v>
      </c>
      <c r="AT83" s="73">
        <v>0.0</v>
      </c>
      <c r="AU83" s="13">
        <f t="shared" si="20"/>
        <v>19</v>
      </c>
    </row>
    <row r="84" ht="12.75" customHeight="1">
      <c r="A84" s="18"/>
      <c r="B84" s="49"/>
      <c r="C84" s="50" t="s">
        <v>73</v>
      </c>
      <c r="D84" s="51"/>
      <c r="E84" s="73">
        <v>2.0</v>
      </c>
      <c r="F84" s="73">
        <v>0.0</v>
      </c>
      <c r="G84" s="73">
        <v>1.0</v>
      </c>
      <c r="H84" s="73">
        <v>0.0</v>
      </c>
      <c r="I84" s="73">
        <v>0.0</v>
      </c>
      <c r="J84" s="73">
        <v>0.0</v>
      </c>
      <c r="K84" s="73">
        <v>0.0</v>
      </c>
      <c r="L84" s="73">
        <v>1.0</v>
      </c>
      <c r="M84" s="73">
        <v>0.0</v>
      </c>
      <c r="N84" s="73">
        <v>0.0</v>
      </c>
      <c r="O84" s="73">
        <v>1.0</v>
      </c>
      <c r="P84" s="73">
        <v>0.0</v>
      </c>
      <c r="Q84" s="73">
        <v>1.0</v>
      </c>
      <c r="R84" s="73">
        <v>0.0</v>
      </c>
      <c r="S84" s="73">
        <v>0.0</v>
      </c>
      <c r="T84" s="73">
        <v>1.0</v>
      </c>
      <c r="U84" s="73">
        <v>1.0</v>
      </c>
      <c r="V84" s="73">
        <v>0.0</v>
      </c>
      <c r="W84" s="73">
        <v>1.0</v>
      </c>
      <c r="X84" s="73">
        <v>1.0</v>
      </c>
      <c r="Y84" s="73">
        <v>0.0</v>
      </c>
      <c r="Z84" s="73">
        <v>0.0</v>
      </c>
      <c r="AA84" s="73">
        <v>0.0</v>
      </c>
      <c r="AB84" s="73">
        <v>0.0</v>
      </c>
      <c r="AC84" s="73">
        <v>0.0</v>
      </c>
      <c r="AD84" s="73">
        <v>0.0</v>
      </c>
      <c r="AE84" s="73">
        <v>1.0</v>
      </c>
      <c r="AF84" s="73">
        <v>1.0</v>
      </c>
      <c r="AG84" s="73">
        <v>1.0</v>
      </c>
      <c r="AH84" s="73">
        <v>1.0</v>
      </c>
      <c r="AI84" s="73">
        <v>0.0</v>
      </c>
      <c r="AJ84" s="73">
        <v>0.0</v>
      </c>
      <c r="AK84" s="73">
        <v>0.0</v>
      </c>
      <c r="AL84" s="73">
        <v>0.0</v>
      </c>
      <c r="AM84" s="73">
        <v>0.0</v>
      </c>
      <c r="AN84" s="73">
        <v>1.0</v>
      </c>
      <c r="AO84" s="73">
        <v>0.0</v>
      </c>
      <c r="AP84" s="73">
        <v>0.0</v>
      </c>
      <c r="AQ84" s="73">
        <v>0.0</v>
      </c>
      <c r="AR84" s="73">
        <v>0.0</v>
      </c>
      <c r="AS84" s="73">
        <v>0.0</v>
      </c>
      <c r="AT84" s="73">
        <v>0.0</v>
      </c>
      <c r="AU84" s="13">
        <f t="shared" si="20"/>
        <v>15</v>
      </c>
    </row>
    <row r="85" ht="12.75" customHeight="1">
      <c r="A85" s="18"/>
      <c r="B85" s="49"/>
      <c r="C85" s="50" t="s">
        <v>74</v>
      </c>
      <c r="D85" s="51"/>
      <c r="E85" s="73">
        <v>1.0</v>
      </c>
      <c r="F85" s="73">
        <v>0.0</v>
      </c>
      <c r="G85" s="73">
        <v>0.0</v>
      </c>
      <c r="H85" s="73">
        <v>0.0</v>
      </c>
      <c r="I85" s="73">
        <v>0.0</v>
      </c>
      <c r="J85" s="73">
        <v>0.0</v>
      </c>
      <c r="K85" s="73">
        <v>0.0</v>
      </c>
      <c r="L85" s="73">
        <v>1.0</v>
      </c>
      <c r="M85" s="73">
        <v>0.0</v>
      </c>
      <c r="N85" s="73">
        <v>1.0</v>
      </c>
      <c r="O85" s="73">
        <v>0.0</v>
      </c>
      <c r="P85" s="73">
        <v>9.0</v>
      </c>
      <c r="Q85" s="73">
        <v>3.0</v>
      </c>
      <c r="R85" s="73">
        <v>8.0</v>
      </c>
      <c r="S85" s="73">
        <v>0.0</v>
      </c>
      <c r="T85" s="73">
        <v>0.0</v>
      </c>
      <c r="U85" s="73">
        <v>0.0</v>
      </c>
      <c r="V85" s="73">
        <v>1.0</v>
      </c>
      <c r="W85" s="73">
        <v>2.0</v>
      </c>
      <c r="X85" s="73">
        <v>2.0</v>
      </c>
      <c r="Y85" s="73">
        <v>0.0</v>
      </c>
      <c r="Z85" s="73">
        <v>0.0</v>
      </c>
      <c r="AA85" s="73">
        <v>1.0</v>
      </c>
      <c r="AB85" s="73">
        <v>3.0</v>
      </c>
      <c r="AC85" s="73">
        <v>0.0</v>
      </c>
      <c r="AD85" s="73">
        <v>2.0</v>
      </c>
      <c r="AE85" s="73">
        <v>0.0</v>
      </c>
      <c r="AF85" s="73">
        <v>1.0</v>
      </c>
      <c r="AG85" s="73">
        <v>1.0</v>
      </c>
      <c r="AH85" s="73">
        <v>1.0</v>
      </c>
      <c r="AI85" s="73">
        <v>0.0</v>
      </c>
      <c r="AJ85" s="73">
        <v>0.0</v>
      </c>
      <c r="AK85" s="73">
        <v>2.0</v>
      </c>
      <c r="AL85" s="73">
        <v>0.0</v>
      </c>
      <c r="AM85" s="73">
        <v>0.0</v>
      </c>
      <c r="AN85" s="73">
        <v>0.0</v>
      </c>
      <c r="AO85" s="73">
        <v>0.0</v>
      </c>
      <c r="AP85" s="73">
        <v>1.0</v>
      </c>
      <c r="AQ85" s="73">
        <v>0.0</v>
      </c>
      <c r="AR85" s="73">
        <v>0.0</v>
      </c>
      <c r="AS85" s="73">
        <v>0.0</v>
      </c>
      <c r="AT85" s="73">
        <v>8.0</v>
      </c>
      <c r="AU85" s="13">
        <f t="shared" si="20"/>
        <v>48</v>
      </c>
    </row>
    <row r="86" ht="12.75" customHeight="1">
      <c r="A86" s="18"/>
      <c r="B86" s="49"/>
      <c r="C86" s="50" t="s">
        <v>75</v>
      </c>
      <c r="D86" s="51"/>
      <c r="E86" s="73">
        <v>1.0</v>
      </c>
      <c r="F86" s="73">
        <v>3.0</v>
      </c>
      <c r="G86" s="73">
        <v>1.0</v>
      </c>
      <c r="H86" s="73">
        <v>1.0</v>
      </c>
      <c r="I86" s="73">
        <v>2.0</v>
      </c>
      <c r="J86" s="73">
        <v>24.0</v>
      </c>
      <c r="K86" s="73">
        <v>1.0</v>
      </c>
      <c r="L86" s="73">
        <v>4.0</v>
      </c>
      <c r="M86" s="73">
        <v>0.0</v>
      </c>
      <c r="N86" s="73">
        <v>69.0</v>
      </c>
      <c r="O86" s="73">
        <v>13.0</v>
      </c>
      <c r="P86" s="73">
        <v>2.0</v>
      </c>
      <c r="Q86" s="73">
        <v>18.0</v>
      </c>
      <c r="R86" s="73">
        <v>0.0</v>
      </c>
      <c r="S86" s="73">
        <v>1.0</v>
      </c>
      <c r="T86" s="73">
        <v>3.0</v>
      </c>
      <c r="U86" s="73">
        <v>0.0</v>
      </c>
      <c r="V86" s="73">
        <v>2.0</v>
      </c>
      <c r="W86" s="73">
        <v>8.0</v>
      </c>
      <c r="X86" s="73">
        <v>4.0</v>
      </c>
      <c r="Y86" s="73">
        <v>0.0</v>
      </c>
      <c r="Z86" s="73">
        <v>0.0</v>
      </c>
      <c r="AA86" s="73">
        <v>2.0</v>
      </c>
      <c r="AB86" s="73">
        <v>1.0</v>
      </c>
      <c r="AC86" s="73">
        <v>0.0</v>
      </c>
      <c r="AD86" s="73">
        <v>0.0</v>
      </c>
      <c r="AE86" s="73">
        <v>4.0</v>
      </c>
      <c r="AF86" s="73">
        <v>5.0</v>
      </c>
      <c r="AG86" s="73">
        <v>0.0</v>
      </c>
      <c r="AH86" s="73">
        <v>1.0</v>
      </c>
      <c r="AI86" s="73">
        <v>0.0</v>
      </c>
      <c r="AJ86" s="73">
        <v>1.0</v>
      </c>
      <c r="AK86" s="73">
        <v>0.0</v>
      </c>
      <c r="AL86" s="73">
        <v>7.0</v>
      </c>
      <c r="AM86" s="73">
        <v>2.0</v>
      </c>
      <c r="AN86" s="73">
        <v>4.0</v>
      </c>
      <c r="AO86" s="73">
        <v>4.0</v>
      </c>
      <c r="AP86" s="73">
        <v>2.0</v>
      </c>
      <c r="AQ86" s="73">
        <v>2.0</v>
      </c>
      <c r="AR86" s="73">
        <v>1.0</v>
      </c>
      <c r="AS86" s="73">
        <v>0.0</v>
      </c>
      <c r="AT86" s="73">
        <v>1.0</v>
      </c>
      <c r="AU86" s="13">
        <f t="shared" si="20"/>
        <v>194</v>
      </c>
    </row>
    <row r="87" ht="12.75" customHeight="1">
      <c r="A87" s="18"/>
      <c r="B87" s="49"/>
      <c r="C87" s="50" t="s">
        <v>76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0.0</v>
      </c>
      <c r="M87" s="73">
        <v>0.0</v>
      </c>
      <c r="N87" s="73">
        <v>0.0</v>
      </c>
      <c r="O87" s="73">
        <v>0.0</v>
      </c>
      <c r="P87" s="73">
        <v>0.0</v>
      </c>
      <c r="Q87" s="73">
        <v>2.0</v>
      </c>
      <c r="R87" s="73">
        <v>0.0</v>
      </c>
      <c r="S87" s="73">
        <v>0.0</v>
      </c>
      <c r="T87" s="73">
        <v>0.0</v>
      </c>
      <c r="U87" s="73">
        <v>0.0</v>
      </c>
      <c r="V87" s="73">
        <v>0.0</v>
      </c>
      <c r="W87" s="73">
        <v>1.0</v>
      </c>
      <c r="X87" s="73">
        <v>0.0</v>
      </c>
      <c r="Y87" s="73">
        <v>0.0</v>
      </c>
      <c r="Z87" s="73">
        <v>0.0</v>
      </c>
      <c r="AA87" s="73">
        <v>0.0</v>
      </c>
      <c r="AB87" s="73">
        <v>0.0</v>
      </c>
      <c r="AC87" s="73">
        <v>0.0</v>
      </c>
      <c r="AD87" s="73">
        <v>0.0</v>
      </c>
      <c r="AE87" s="73">
        <v>0.0</v>
      </c>
      <c r="AF87" s="73">
        <v>0.0</v>
      </c>
      <c r="AG87" s="73">
        <v>0.0</v>
      </c>
      <c r="AH87" s="73">
        <v>0.0</v>
      </c>
      <c r="AI87" s="73">
        <v>0.0</v>
      </c>
      <c r="AJ87" s="73">
        <v>0.0</v>
      </c>
      <c r="AK87" s="73">
        <v>0.0</v>
      </c>
      <c r="AL87" s="73">
        <v>1.0</v>
      </c>
      <c r="AM87" s="73">
        <v>0.0</v>
      </c>
      <c r="AN87" s="73">
        <v>0.0</v>
      </c>
      <c r="AO87" s="73">
        <v>1.0</v>
      </c>
      <c r="AP87" s="73">
        <v>0.0</v>
      </c>
      <c r="AQ87" s="73">
        <v>0.0</v>
      </c>
      <c r="AR87" s="73">
        <v>0.0</v>
      </c>
      <c r="AS87" s="73">
        <v>0.0</v>
      </c>
      <c r="AT87" s="73">
        <v>0.0</v>
      </c>
      <c r="AU87" s="13">
        <f t="shared" si="20"/>
        <v>5</v>
      </c>
    </row>
    <row r="88" ht="12.75" customHeight="1">
      <c r="A88" s="18"/>
      <c r="B88" s="49"/>
      <c r="C88" s="50" t="s">
        <v>77</v>
      </c>
      <c r="D88" s="51"/>
      <c r="E88" s="73">
        <v>0.0</v>
      </c>
      <c r="F88" s="73">
        <v>0.0</v>
      </c>
      <c r="G88" s="73">
        <v>0.0</v>
      </c>
      <c r="H88" s="73">
        <v>0.0</v>
      </c>
      <c r="I88" s="73">
        <v>0.0</v>
      </c>
      <c r="J88" s="73">
        <v>0.0</v>
      </c>
      <c r="K88" s="73">
        <v>0.0</v>
      </c>
      <c r="L88" s="73">
        <v>0.0</v>
      </c>
      <c r="M88" s="73">
        <v>0.0</v>
      </c>
      <c r="N88" s="73">
        <v>0.0</v>
      </c>
      <c r="O88" s="73">
        <v>0.0</v>
      </c>
      <c r="P88" s="73">
        <v>0.0</v>
      </c>
      <c r="Q88" s="73">
        <v>0.0</v>
      </c>
      <c r="R88" s="73">
        <v>0.0</v>
      </c>
      <c r="S88" s="73">
        <v>0.0</v>
      </c>
      <c r="T88" s="73">
        <v>0.0</v>
      </c>
      <c r="U88" s="73">
        <v>0.0</v>
      </c>
      <c r="V88" s="73">
        <v>0.0</v>
      </c>
      <c r="W88" s="73">
        <v>1.0</v>
      </c>
      <c r="X88" s="73">
        <v>0.0</v>
      </c>
      <c r="Y88" s="73">
        <v>0.0</v>
      </c>
      <c r="Z88" s="73">
        <v>0.0</v>
      </c>
      <c r="AA88" s="73">
        <v>0.0</v>
      </c>
      <c r="AB88" s="73">
        <v>0.0</v>
      </c>
      <c r="AC88" s="73">
        <v>0.0</v>
      </c>
      <c r="AD88" s="73">
        <v>0.0</v>
      </c>
      <c r="AE88" s="73">
        <v>0.0</v>
      </c>
      <c r="AF88" s="73">
        <v>0.0</v>
      </c>
      <c r="AG88" s="73">
        <v>0.0</v>
      </c>
      <c r="AH88" s="73">
        <v>0.0</v>
      </c>
      <c r="AI88" s="73">
        <v>0.0</v>
      </c>
      <c r="AJ88" s="73">
        <v>0.0</v>
      </c>
      <c r="AK88" s="73">
        <v>0.0</v>
      </c>
      <c r="AL88" s="73">
        <v>0.0</v>
      </c>
      <c r="AM88" s="73">
        <v>0.0</v>
      </c>
      <c r="AN88" s="73">
        <v>0.0</v>
      </c>
      <c r="AO88" s="73">
        <v>0.0</v>
      </c>
      <c r="AP88" s="73">
        <v>0.0</v>
      </c>
      <c r="AQ88" s="73">
        <v>0.0</v>
      </c>
      <c r="AR88" s="73">
        <v>0.0</v>
      </c>
      <c r="AS88" s="73">
        <v>0.0</v>
      </c>
      <c r="AT88" s="73">
        <v>0.0</v>
      </c>
      <c r="AU88" s="13">
        <f t="shared" si="20"/>
        <v>1</v>
      </c>
    </row>
    <row r="89" ht="12.75" customHeight="1">
      <c r="A89" s="18"/>
      <c r="B89" s="49"/>
      <c r="C89" s="50" t="s">
        <v>78</v>
      </c>
      <c r="D89" s="51"/>
      <c r="E89" s="73">
        <v>0.0</v>
      </c>
      <c r="F89" s="73">
        <v>0.0</v>
      </c>
      <c r="G89" s="73">
        <v>0.0</v>
      </c>
      <c r="H89" s="73">
        <v>0.0</v>
      </c>
      <c r="I89" s="73">
        <v>0.0</v>
      </c>
      <c r="J89" s="73">
        <v>1.0</v>
      </c>
      <c r="K89" s="73">
        <v>0.0</v>
      </c>
      <c r="L89" s="73">
        <v>0.0</v>
      </c>
      <c r="M89" s="73">
        <v>0.0</v>
      </c>
      <c r="N89" s="73">
        <v>1.0</v>
      </c>
      <c r="O89" s="73">
        <v>1.0</v>
      </c>
      <c r="P89" s="73">
        <v>0.0</v>
      </c>
      <c r="Q89" s="73">
        <v>0.0</v>
      </c>
      <c r="R89" s="73">
        <v>0.0</v>
      </c>
      <c r="S89" s="73">
        <v>0.0</v>
      </c>
      <c r="T89" s="73">
        <v>0.0</v>
      </c>
      <c r="U89" s="73">
        <v>0.0</v>
      </c>
      <c r="V89" s="73">
        <v>0.0</v>
      </c>
      <c r="W89" s="73">
        <v>0.0</v>
      </c>
      <c r="X89" s="73">
        <v>0.0</v>
      </c>
      <c r="Y89" s="73">
        <v>0.0</v>
      </c>
      <c r="Z89" s="73">
        <v>0.0</v>
      </c>
      <c r="AA89" s="73">
        <v>0.0</v>
      </c>
      <c r="AB89" s="73">
        <v>0.0</v>
      </c>
      <c r="AC89" s="73">
        <v>0.0</v>
      </c>
      <c r="AD89" s="73">
        <v>0.0</v>
      </c>
      <c r="AE89" s="73">
        <v>0.0</v>
      </c>
      <c r="AF89" s="73">
        <v>0.0</v>
      </c>
      <c r="AG89" s="73">
        <v>0.0</v>
      </c>
      <c r="AH89" s="73">
        <v>0.0</v>
      </c>
      <c r="AI89" s="73">
        <v>0.0</v>
      </c>
      <c r="AJ89" s="73">
        <v>0.0</v>
      </c>
      <c r="AK89" s="73">
        <v>0.0</v>
      </c>
      <c r="AL89" s="73">
        <v>0.0</v>
      </c>
      <c r="AM89" s="73">
        <v>0.0</v>
      </c>
      <c r="AN89" s="73">
        <v>0.0</v>
      </c>
      <c r="AO89" s="73">
        <v>0.0</v>
      </c>
      <c r="AP89" s="73">
        <v>1.0</v>
      </c>
      <c r="AQ89" s="73">
        <v>0.0</v>
      </c>
      <c r="AR89" s="73">
        <v>0.0</v>
      </c>
      <c r="AS89" s="73">
        <v>1.0</v>
      </c>
      <c r="AT89" s="73">
        <v>0.0</v>
      </c>
      <c r="AU89" s="13">
        <f t="shared" si="20"/>
        <v>5</v>
      </c>
    </row>
    <row r="90" ht="12.75" customHeight="1">
      <c r="A90" s="18"/>
      <c r="B90" s="49"/>
      <c r="C90" s="50" t="s">
        <v>79</v>
      </c>
      <c r="D90" s="51"/>
      <c r="E90" s="73">
        <v>2.0</v>
      </c>
      <c r="F90" s="73">
        <v>0.0</v>
      </c>
      <c r="G90" s="73">
        <v>1.0</v>
      </c>
      <c r="H90" s="73">
        <v>0.0</v>
      </c>
      <c r="I90" s="73">
        <v>0.0</v>
      </c>
      <c r="J90" s="73">
        <v>0.0</v>
      </c>
      <c r="K90" s="73">
        <v>0.0</v>
      </c>
      <c r="L90" s="73">
        <v>0.0</v>
      </c>
      <c r="M90" s="73">
        <v>0.0</v>
      </c>
      <c r="N90" s="73">
        <v>0.0</v>
      </c>
      <c r="O90" s="73">
        <v>0.0</v>
      </c>
      <c r="P90" s="73">
        <v>3.0</v>
      </c>
      <c r="Q90" s="73">
        <v>0.0</v>
      </c>
      <c r="R90" s="73">
        <v>0.0</v>
      </c>
      <c r="S90" s="73">
        <v>0.0</v>
      </c>
      <c r="T90" s="73">
        <v>0.0</v>
      </c>
      <c r="U90" s="73">
        <v>0.0</v>
      </c>
      <c r="V90" s="73">
        <v>1.0</v>
      </c>
      <c r="W90" s="73">
        <v>1.0</v>
      </c>
      <c r="X90" s="73">
        <v>0.0</v>
      </c>
      <c r="Y90" s="73">
        <v>0.0</v>
      </c>
      <c r="Z90" s="73">
        <v>0.0</v>
      </c>
      <c r="AA90" s="73">
        <v>0.0</v>
      </c>
      <c r="AB90" s="73">
        <v>0.0</v>
      </c>
      <c r="AC90" s="73">
        <v>1.0</v>
      </c>
      <c r="AD90" s="73">
        <v>0.0</v>
      </c>
      <c r="AE90" s="73">
        <v>0.0</v>
      </c>
      <c r="AF90" s="73">
        <v>0.0</v>
      </c>
      <c r="AG90" s="73">
        <v>0.0</v>
      </c>
      <c r="AH90" s="73">
        <v>1.0</v>
      </c>
      <c r="AI90" s="73">
        <v>0.0</v>
      </c>
      <c r="AJ90" s="73">
        <v>0.0</v>
      </c>
      <c r="AK90" s="73">
        <v>0.0</v>
      </c>
      <c r="AL90" s="73">
        <v>0.0</v>
      </c>
      <c r="AM90" s="73">
        <v>0.0</v>
      </c>
      <c r="AN90" s="73">
        <v>1.0</v>
      </c>
      <c r="AO90" s="73">
        <v>0.0</v>
      </c>
      <c r="AP90" s="73">
        <v>0.0</v>
      </c>
      <c r="AQ90" s="73">
        <v>0.0</v>
      </c>
      <c r="AR90" s="73">
        <v>0.0</v>
      </c>
      <c r="AS90" s="73">
        <v>0.0</v>
      </c>
      <c r="AT90" s="73">
        <v>0.0</v>
      </c>
      <c r="AU90" s="13">
        <f t="shared" si="20"/>
        <v>11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U91" si="21">SUM(E81:E90)</f>
        <v>8</v>
      </c>
      <c r="F91" s="13">
        <f t="shared" si="21"/>
        <v>10</v>
      </c>
      <c r="G91" s="13">
        <f t="shared" si="21"/>
        <v>5</v>
      </c>
      <c r="H91" s="13">
        <f t="shared" si="21"/>
        <v>5</v>
      </c>
      <c r="I91" s="13">
        <f t="shared" si="21"/>
        <v>4</v>
      </c>
      <c r="J91" s="13">
        <f t="shared" si="21"/>
        <v>48</v>
      </c>
      <c r="K91" s="13">
        <f t="shared" si="21"/>
        <v>11</v>
      </c>
      <c r="L91" s="13">
        <f t="shared" si="21"/>
        <v>12</v>
      </c>
      <c r="M91" s="13">
        <f t="shared" si="21"/>
        <v>0</v>
      </c>
      <c r="N91" s="13">
        <f t="shared" si="21"/>
        <v>81</v>
      </c>
      <c r="O91" s="13">
        <f t="shared" si="21"/>
        <v>21</v>
      </c>
      <c r="P91" s="13">
        <f t="shared" si="21"/>
        <v>17</v>
      </c>
      <c r="Q91" s="13">
        <f t="shared" si="21"/>
        <v>32</v>
      </c>
      <c r="R91" s="13">
        <f t="shared" si="21"/>
        <v>12</v>
      </c>
      <c r="S91" s="13">
        <f t="shared" si="21"/>
        <v>3</v>
      </c>
      <c r="T91" s="13">
        <f t="shared" si="21"/>
        <v>10</v>
      </c>
      <c r="U91" s="13">
        <f t="shared" si="21"/>
        <v>12</v>
      </c>
      <c r="V91" s="13">
        <f t="shared" si="21"/>
        <v>8</v>
      </c>
      <c r="W91" s="13">
        <f t="shared" si="21"/>
        <v>20</v>
      </c>
      <c r="X91" s="13">
        <f t="shared" si="21"/>
        <v>16</v>
      </c>
      <c r="Y91" s="13">
        <f t="shared" si="21"/>
        <v>7</v>
      </c>
      <c r="Z91" s="13">
        <f t="shared" si="21"/>
        <v>3</v>
      </c>
      <c r="AA91" s="13">
        <f t="shared" si="21"/>
        <v>8</v>
      </c>
      <c r="AB91" s="13">
        <f t="shared" si="21"/>
        <v>9</v>
      </c>
      <c r="AC91" s="13">
        <f t="shared" si="21"/>
        <v>5</v>
      </c>
      <c r="AD91" s="13">
        <f t="shared" si="21"/>
        <v>13</v>
      </c>
      <c r="AE91" s="13">
        <f t="shared" si="21"/>
        <v>8</v>
      </c>
      <c r="AF91" s="13">
        <f t="shared" si="21"/>
        <v>10</v>
      </c>
      <c r="AG91" s="13">
        <f t="shared" si="21"/>
        <v>8</v>
      </c>
      <c r="AH91" s="13">
        <f t="shared" si="21"/>
        <v>14</v>
      </c>
      <c r="AI91" s="13">
        <f t="shared" si="21"/>
        <v>1</v>
      </c>
      <c r="AJ91" s="13">
        <f t="shared" si="21"/>
        <v>2</v>
      </c>
      <c r="AK91" s="13">
        <f t="shared" si="21"/>
        <v>8</v>
      </c>
      <c r="AL91" s="13">
        <f t="shared" si="21"/>
        <v>11</v>
      </c>
      <c r="AM91" s="13">
        <f t="shared" si="21"/>
        <v>7</v>
      </c>
      <c r="AN91" s="13">
        <f t="shared" si="21"/>
        <v>9</v>
      </c>
      <c r="AO91" s="13">
        <f t="shared" si="21"/>
        <v>13</v>
      </c>
      <c r="AP91" s="13">
        <f t="shared" si="21"/>
        <v>14</v>
      </c>
      <c r="AQ91" s="13">
        <f t="shared" si="21"/>
        <v>17</v>
      </c>
      <c r="AR91" s="13">
        <f t="shared" si="21"/>
        <v>2</v>
      </c>
      <c r="AS91" s="13">
        <f t="shared" si="21"/>
        <v>3</v>
      </c>
      <c r="AT91" s="13">
        <f t="shared" si="21"/>
        <v>12</v>
      </c>
      <c r="AU91" s="13">
        <f t="shared" si="21"/>
        <v>519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3">
        <v>0.0</v>
      </c>
      <c r="F93" s="73">
        <v>2.0</v>
      </c>
      <c r="G93" s="73">
        <v>0.0</v>
      </c>
      <c r="H93" s="73">
        <v>0.0</v>
      </c>
      <c r="I93" s="73">
        <v>1.0</v>
      </c>
      <c r="J93" s="73">
        <v>0.0</v>
      </c>
      <c r="K93" s="73">
        <v>1.0</v>
      </c>
      <c r="L93" s="73">
        <v>0.0</v>
      </c>
      <c r="M93" s="73">
        <v>0.0</v>
      </c>
      <c r="N93" s="73">
        <v>7.0</v>
      </c>
      <c r="O93" s="73">
        <v>5.0</v>
      </c>
      <c r="P93" s="73">
        <v>1.0</v>
      </c>
      <c r="Q93" s="73">
        <v>2.0</v>
      </c>
      <c r="R93" s="73">
        <v>0.0</v>
      </c>
      <c r="S93" s="73">
        <v>3.0</v>
      </c>
      <c r="T93" s="73">
        <v>1.0</v>
      </c>
      <c r="U93" s="73">
        <v>0.0</v>
      </c>
      <c r="V93" s="73">
        <v>1.0</v>
      </c>
      <c r="W93" s="73">
        <v>2.0</v>
      </c>
      <c r="X93" s="73">
        <v>2.0</v>
      </c>
      <c r="Y93" s="73">
        <v>3.0</v>
      </c>
      <c r="Z93" s="73">
        <v>1.0</v>
      </c>
      <c r="AA93" s="73">
        <v>4.0</v>
      </c>
      <c r="AB93" s="73">
        <v>2.0</v>
      </c>
      <c r="AC93" s="73">
        <v>0.0</v>
      </c>
      <c r="AD93" s="73">
        <v>1.0</v>
      </c>
      <c r="AE93" s="73">
        <v>0.0</v>
      </c>
      <c r="AF93" s="73">
        <v>0.0</v>
      </c>
      <c r="AG93" s="73">
        <v>0.0</v>
      </c>
      <c r="AH93" s="73">
        <v>3.0</v>
      </c>
      <c r="AI93" s="73">
        <v>0.0</v>
      </c>
      <c r="AJ93" s="73">
        <v>2.0</v>
      </c>
      <c r="AK93" s="73">
        <v>0.0</v>
      </c>
      <c r="AL93" s="73">
        <v>3.0</v>
      </c>
      <c r="AM93" s="73">
        <v>1.0</v>
      </c>
      <c r="AN93" s="73">
        <v>4.0</v>
      </c>
      <c r="AO93" s="73">
        <v>3.0</v>
      </c>
      <c r="AP93" s="73">
        <v>6.0</v>
      </c>
      <c r="AQ93" s="73">
        <v>6.0</v>
      </c>
      <c r="AR93" s="73">
        <v>12.0</v>
      </c>
      <c r="AS93" s="73">
        <v>7.0</v>
      </c>
      <c r="AT93" s="73">
        <v>0.0</v>
      </c>
      <c r="AU93" s="13">
        <f t="shared" ref="AU93:AU102" si="22">SUM(E93:AT93)</f>
        <v>86</v>
      </c>
    </row>
    <row r="94" ht="12.75" customHeight="1">
      <c r="A94" s="30" t="s">
        <v>39</v>
      </c>
      <c r="B94" s="49"/>
      <c r="C94" s="50" t="s">
        <v>82</v>
      </c>
      <c r="D94" s="56"/>
      <c r="E94" s="73">
        <v>0.0</v>
      </c>
      <c r="F94" s="73">
        <v>1.0</v>
      </c>
      <c r="G94" s="73">
        <v>1.0</v>
      </c>
      <c r="H94" s="73">
        <v>1.0</v>
      </c>
      <c r="I94" s="73">
        <v>2.0</v>
      </c>
      <c r="J94" s="73">
        <v>3.0</v>
      </c>
      <c r="K94" s="73">
        <v>3.0</v>
      </c>
      <c r="L94" s="73">
        <v>3.0</v>
      </c>
      <c r="M94" s="73">
        <v>1.0</v>
      </c>
      <c r="N94" s="73">
        <v>7.0</v>
      </c>
      <c r="O94" s="73">
        <v>3.0</v>
      </c>
      <c r="P94" s="73">
        <v>2.0</v>
      </c>
      <c r="Q94" s="73">
        <v>6.0</v>
      </c>
      <c r="R94" s="73">
        <v>4.0</v>
      </c>
      <c r="S94" s="73">
        <v>3.0</v>
      </c>
      <c r="T94" s="73">
        <v>3.0</v>
      </c>
      <c r="U94" s="73">
        <v>4.0</v>
      </c>
      <c r="V94" s="73">
        <v>1.0</v>
      </c>
      <c r="W94" s="73">
        <v>2.0</v>
      </c>
      <c r="X94" s="73">
        <v>6.0</v>
      </c>
      <c r="Y94" s="73">
        <v>5.0</v>
      </c>
      <c r="Z94" s="73">
        <v>4.0</v>
      </c>
      <c r="AA94" s="73">
        <v>6.0</v>
      </c>
      <c r="AB94" s="73">
        <v>1.0</v>
      </c>
      <c r="AC94" s="73">
        <v>6.0</v>
      </c>
      <c r="AD94" s="73">
        <v>3.0</v>
      </c>
      <c r="AE94" s="73">
        <v>3.0</v>
      </c>
      <c r="AF94" s="73">
        <v>1.0</v>
      </c>
      <c r="AG94" s="73">
        <v>4.0</v>
      </c>
      <c r="AH94" s="73">
        <v>2.0</v>
      </c>
      <c r="AI94" s="73">
        <v>5.0</v>
      </c>
      <c r="AJ94" s="73">
        <v>5.0</v>
      </c>
      <c r="AK94" s="73">
        <v>0.0</v>
      </c>
      <c r="AL94" s="73">
        <v>5.0</v>
      </c>
      <c r="AM94" s="73">
        <v>2.0</v>
      </c>
      <c r="AN94" s="73">
        <v>1.0</v>
      </c>
      <c r="AO94" s="73">
        <v>4.0</v>
      </c>
      <c r="AP94" s="73">
        <v>29.0</v>
      </c>
      <c r="AQ94" s="73">
        <v>6.0</v>
      </c>
      <c r="AR94" s="73">
        <v>25.0</v>
      </c>
      <c r="AS94" s="73">
        <v>7.0</v>
      </c>
      <c r="AT94" s="73">
        <v>8.0</v>
      </c>
      <c r="AU94" s="13">
        <f t="shared" si="22"/>
        <v>188</v>
      </c>
    </row>
    <row r="95" ht="12.75" customHeight="1">
      <c r="A95" s="18"/>
      <c r="B95" s="49"/>
      <c r="C95" s="50" t="s">
        <v>83</v>
      </c>
      <c r="D95" s="56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1.0</v>
      </c>
      <c r="K95" s="73">
        <v>0.0</v>
      </c>
      <c r="L95" s="73">
        <v>0.0</v>
      </c>
      <c r="M95" s="73">
        <v>0.0</v>
      </c>
      <c r="N95" s="73">
        <v>2.0</v>
      </c>
      <c r="O95" s="73">
        <v>2.0</v>
      </c>
      <c r="P95" s="73">
        <v>0.0</v>
      </c>
      <c r="Q95" s="73">
        <v>0.0</v>
      </c>
      <c r="R95" s="73">
        <v>0.0</v>
      </c>
      <c r="S95" s="73">
        <v>1.0</v>
      </c>
      <c r="T95" s="73">
        <v>0.0</v>
      </c>
      <c r="U95" s="73">
        <v>1.0</v>
      </c>
      <c r="V95" s="73">
        <v>0.0</v>
      </c>
      <c r="W95" s="73">
        <v>1.0</v>
      </c>
      <c r="X95" s="73">
        <v>0.0</v>
      </c>
      <c r="Y95" s="73">
        <v>0.0</v>
      </c>
      <c r="Z95" s="73">
        <v>0.0</v>
      </c>
      <c r="AA95" s="73">
        <v>1.0</v>
      </c>
      <c r="AB95" s="73">
        <v>0.0</v>
      </c>
      <c r="AC95" s="73">
        <v>0.0</v>
      </c>
      <c r="AD95" s="73">
        <v>0.0</v>
      </c>
      <c r="AE95" s="73">
        <v>0.0</v>
      </c>
      <c r="AF95" s="73">
        <v>0.0</v>
      </c>
      <c r="AG95" s="73">
        <v>2.0</v>
      </c>
      <c r="AH95" s="73">
        <v>1.0</v>
      </c>
      <c r="AI95" s="73">
        <v>1.0</v>
      </c>
      <c r="AJ95" s="73">
        <v>1.0</v>
      </c>
      <c r="AK95" s="73">
        <v>0.0</v>
      </c>
      <c r="AL95" s="73">
        <v>0.0</v>
      </c>
      <c r="AM95" s="73">
        <v>0.0</v>
      </c>
      <c r="AN95" s="73">
        <v>1.0</v>
      </c>
      <c r="AO95" s="73">
        <v>0.0</v>
      </c>
      <c r="AP95" s="73">
        <v>0.0</v>
      </c>
      <c r="AQ95" s="73">
        <v>1.0</v>
      </c>
      <c r="AR95" s="73">
        <v>0.0</v>
      </c>
      <c r="AS95" s="73">
        <v>0.0</v>
      </c>
      <c r="AT95" s="73">
        <v>0.0</v>
      </c>
      <c r="AU95" s="13">
        <f t="shared" si="22"/>
        <v>16</v>
      </c>
    </row>
    <row r="96" ht="12.75" customHeight="1">
      <c r="A96" s="18"/>
      <c r="B96" s="49"/>
      <c r="C96" s="50" t="s">
        <v>84</v>
      </c>
      <c r="D96" s="56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1.0</v>
      </c>
      <c r="K96" s="73">
        <v>0.0</v>
      </c>
      <c r="L96" s="73">
        <v>0.0</v>
      </c>
      <c r="M96" s="73">
        <v>0.0</v>
      </c>
      <c r="N96" s="73">
        <v>1.0</v>
      </c>
      <c r="O96" s="73">
        <v>0.0</v>
      </c>
      <c r="P96" s="73">
        <v>0.0</v>
      </c>
      <c r="Q96" s="73">
        <v>1.0</v>
      </c>
      <c r="R96" s="73">
        <v>0.0</v>
      </c>
      <c r="S96" s="73">
        <v>0.0</v>
      </c>
      <c r="T96" s="73">
        <v>0.0</v>
      </c>
      <c r="U96" s="73">
        <v>0.0</v>
      </c>
      <c r="V96" s="73">
        <v>0.0</v>
      </c>
      <c r="W96" s="73">
        <v>1.0</v>
      </c>
      <c r="X96" s="73">
        <v>0.0</v>
      </c>
      <c r="Y96" s="73">
        <v>0.0</v>
      </c>
      <c r="Z96" s="73">
        <v>0.0</v>
      </c>
      <c r="AA96" s="73">
        <v>0.0</v>
      </c>
      <c r="AB96" s="73">
        <v>0.0</v>
      </c>
      <c r="AC96" s="73">
        <v>0.0</v>
      </c>
      <c r="AD96" s="73">
        <v>0.0</v>
      </c>
      <c r="AE96" s="73">
        <v>0.0</v>
      </c>
      <c r="AF96" s="73">
        <v>0.0</v>
      </c>
      <c r="AG96" s="73">
        <v>0.0</v>
      </c>
      <c r="AH96" s="73">
        <v>0.0</v>
      </c>
      <c r="AI96" s="73">
        <v>0.0</v>
      </c>
      <c r="AJ96" s="73">
        <v>0.0</v>
      </c>
      <c r="AK96" s="73">
        <v>0.0</v>
      </c>
      <c r="AL96" s="73">
        <v>0.0</v>
      </c>
      <c r="AM96" s="73">
        <v>0.0</v>
      </c>
      <c r="AN96" s="73">
        <v>0.0</v>
      </c>
      <c r="AO96" s="73">
        <v>0.0</v>
      </c>
      <c r="AP96" s="73">
        <v>0.0</v>
      </c>
      <c r="AQ96" s="73">
        <v>1.0</v>
      </c>
      <c r="AR96" s="73">
        <v>0.0</v>
      </c>
      <c r="AS96" s="73">
        <v>0.0</v>
      </c>
      <c r="AT96" s="73">
        <v>0.0</v>
      </c>
      <c r="AU96" s="13">
        <f t="shared" si="22"/>
        <v>5</v>
      </c>
    </row>
    <row r="97" ht="12.75" customHeight="1">
      <c r="A97" s="18"/>
      <c r="B97" s="49"/>
      <c r="C97" s="50" t="s">
        <v>85</v>
      </c>
      <c r="D97" s="56"/>
      <c r="E97" s="73">
        <v>0.0</v>
      </c>
      <c r="F97" s="73">
        <v>0.0</v>
      </c>
      <c r="G97" s="73">
        <v>0.0</v>
      </c>
      <c r="H97" s="73">
        <v>1.0</v>
      </c>
      <c r="I97" s="73">
        <v>0.0</v>
      </c>
      <c r="J97" s="73">
        <v>0.0</v>
      </c>
      <c r="K97" s="73">
        <v>0.0</v>
      </c>
      <c r="L97" s="73">
        <v>1.0</v>
      </c>
      <c r="M97" s="73">
        <v>1.0</v>
      </c>
      <c r="N97" s="73">
        <v>0.0</v>
      </c>
      <c r="O97" s="73">
        <v>2.0</v>
      </c>
      <c r="P97" s="73">
        <v>0.0</v>
      </c>
      <c r="Q97" s="73">
        <v>0.0</v>
      </c>
      <c r="R97" s="73">
        <v>0.0</v>
      </c>
      <c r="S97" s="73">
        <v>0.0</v>
      </c>
      <c r="T97" s="73">
        <v>1.0</v>
      </c>
      <c r="U97" s="73">
        <v>0.0</v>
      </c>
      <c r="V97" s="73">
        <v>0.0</v>
      </c>
      <c r="W97" s="73">
        <v>0.0</v>
      </c>
      <c r="X97" s="73">
        <v>1.0</v>
      </c>
      <c r="Y97" s="73">
        <v>2.0</v>
      </c>
      <c r="Z97" s="73">
        <v>0.0</v>
      </c>
      <c r="AA97" s="73">
        <v>1.0</v>
      </c>
      <c r="AB97" s="73">
        <v>0.0</v>
      </c>
      <c r="AC97" s="73">
        <v>0.0</v>
      </c>
      <c r="AD97" s="73">
        <v>0.0</v>
      </c>
      <c r="AE97" s="73">
        <v>1.0</v>
      </c>
      <c r="AF97" s="73">
        <v>0.0</v>
      </c>
      <c r="AG97" s="73">
        <v>0.0</v>
      </c>
      <c r="AH97" s="73">
        <v>0.0</v>
      </c>
      <c r="AI97" s="73">
        <v>0.0</v>
      </c>
      <c r="AJ97" s="73">
        <v>0.0</v>
      </c>
      <c r="AK97" s="73">
        <v>0.0</v>
      </c>
      <c r="AL97" s="73">
        <v>1.0</v>
      </c>
      <c r="AM97" s="73">
        <v>0.0</v>
      </c>
      <c r="AN97" s="73">
        <v>0.0</v>
      </c>
      <c r="AO97" s="73">
        <v>1.0</v>
      </c>
      <c r="AP97" s="73">
        <v>0.0</v>
      </c>
      <c r="AQ97" s="73">
        <v>0.0</v>
      </c>
      <c r="AR97" s="73">
        <v>2.0</v>
      </c>
      <c r="AS97" s="73">
        <v>2.0</v>
      </c>
      <c r="AT97" s="73">
        <v>1.0</v>
      </c>
      <c r="AU97" s="13">
        <f t="shared" si="22"/>
        <v>18</v>
      </c>
    </row>
    <row r="98" ht="12.75" customHeight="1">
      <c r="A98" s="18"/>
      <c r="B98" s="49"/>
      <c r="C98" s="50" t="s">
        <v>86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73">
        <v>1.0</v>
      </c>
      <c r="M98" s="73">
        <v>0.0</v>
      </c>
      <c r="N98" s="73">
        <v>1.0</v>
      </c>
      <c r="O98" s="73">
        <v>0.0</v>
      </c>
      <c r="P98" s="73">
        <v>0.0</v>
      </c>
      <c r="Q98" s="73">
        <v>1.0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3.0</v>
      </c>
      <c r="X98" s="73">
        <v>0.0</v>
      </c>
      <c r="Y98" s="73">
        <v>1.0</v>
      </c>
      <c r="Z98" s="73">
        <v>0.0</v>
      </c>
      <c r="AA98" s="73">
        <v>0.0</v>
      </c>
      <c r="AB98" s="73">
        <v>0.0</v>
      </c>
      <c r="AC98" s="73">
        <v>0.0</v>
      </c>
      <c r="AD98" s="73">
        <v>2.0</v>
      </c>
      <c r="AE98" s="73">
        <v>0.0</v>
      </c>
      <c r="AF98" s="73">
        <v>0.0</v>
      </c>
      <c r="AG98" s="73">
        <v>0.0</v>
      </c>
      <c r="AH98" s="73">
        <v>0.0</v>
      </c>
      <c r="AI98" s="73">
        <v>0.0</v>
      </c>
      <c r="AJ98" s="73">
        <v>0.0</v>
      </c>
      <c r="AK98" s="73">
        <v>0.0</v>
      </c>
      <c r="AL98" s="73">
        <v>0.0</v>
      </c>
      <c r="AM98" s="73">
        <v>1.0</v>
      </c>
      <c r="AN98" s="73">
        <v>0.0</v>
      </c>
      <c r="AO98" s="73">
        <v>0.0</v>
      </c>
      <c r="AP98" s="73">
        <v>0.0</v>
      </c>
      <c r="AQ98" s="73">
        <v>0.0</v>
      </c>
      <c r="AR98" s="73">
        <v>0.0</v>
      </c>
      <c r="AS98" s="73">
        <v>0.0</v>
      </c>
      <c r="AT98" s="73">
        <v>0.0</v>
      </c>
      <c r="AU98" s="13">
        <f t="shared" si="22"/>
        <v>10</v>
      </c>
    </row>
    <row r="99" ht="12.75" customHeight="1">
      <c r="A99" s="18"/>
      <c r="B99" s="49"/>
      <c r="C99" s="50" t="s">
        <v>87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1.0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0.0</v>
      </c>
      <c r="AA99" s="73">
        <v>0.0</v>
      </c>
      <c r="AB99" s="73">
        <v>0.0</v>
      </c>
      <c r="AC99" s="73">
        <v>0.0</v>
      </c>
      <c r="AD99" s="73">
        <v>0.0</v>
      </c>
      <c r="AE99" s="73">
        <v>0.0</v>
      </c>
      <c r="AF99" s="73">
        <v>1.0</v>
      </c>
      <c r="AG99" s="73">
        <v>0.0</v>
      </c>
      <c r="AH99" s="73">
        <v>0.0</v>
      </c>
      <c r="AI99" s="73">
        <v>0.0</v>
      </c>
      <c r="AJ99" s="73">
        <v>1.0</v>
      </c>
      <c r="AK99" s="73">
        <v>0.0</v>
      </c>
      <c r="AL99" s="73">
        <v>1.0</v>
      </c>
      <c r="AM99" s="73">
        <v>0.0</v>
      </c>
      <c r="AN99" s="73">
        <v>1.0</v>
      </c>
      <c r="AO99" s="73">
        <v>0.0</v>
      </c>
      <c r="AP99" s="73">
        <v>0.0</v>
      </c>
      <c r="AQ99" s="73">
        <v>0.0</v>
      </c>
      <c r="AR99" s="73">
        <v>0.0</v>
      </c>
      <c r="AS99" s="73">
        <v>0.0</v>
      </c>
      <c r="AT99" s="73">
        <v>0.0</v>
      </c>
      <c r="AU99" s="13">
        <f t="shared" si="22"/>
        <v>5</v>
      </c>
    </row>
    <row r="100" ht="12.75" customHeight="1">
      <c r="A100" s="18"/>
      <c r="B100" s="49"/>
      <c r="C100" s="50" t="s">
        <v>88</v>
      </c>
      <c r="D100" s="56"/>
      <c r="E100" s="73">
        <v>0.0</v>
      </c>
      <c r="F100" s="73">
        <v>0.0</v>
      </c>
      <c r="G100" s="73">
        <v>0.0</v>
      </c>
      <c r="H100" s="73">
        <v>0.0</v>
      </c>
      <c r="I100" s="73">
        <v>0.0</v>
      </c>
      <c r="J100" s="73">
        <v>0.0</v>
      </c>
      <c r="K100" s="73">
        <v>0.0</v>
      </c>
      <c r="L100" s="73">
        <v>0.0</v>
      </c>
      <c r="M100" s="73">
        <v>0.0</v>
      </c>
      <c r="N100" s="73">
        <v>0.0</v>
      </c>
      <c r="O100" s="73">
        <v>0.0</v>
      </c>
      <c r="P100" s="73">
        <v>0.0</v>
      </c>
      <c r="Q100" s="73">
        <v>0.0</v>
      </c>
      <c r="R100" s="73">
        <v>0.0</v>
      </c>
      <c r="S100" s="73">
        <v>0.0</v>
      </c>
      <c r="T100" s="73">
        <v>0.0</v>
      </c>
      <c r="U100" s="73">
        <v>0.0</v>
      </c>
      <c r="V100" s="73">
        <v>0.0</v>
      </c>
      <c r="W100" s="73">
        <v>1.0</v>
      </c>
      <c r="X100" s="73">
        <v>0.0</v>
      </c>
      <c r="Y100" s="73">
        <v>0.0</v>
      </c>
      <c r="Z100" s="73">
        <v>0.0</v>
      </c>
      <c r="AA100" s="73">
        <v>0.0</v>
      </c>
      <c r="AB100" s="73">
        <v>0.0</v>
      </c>
      <c r="AC100" s="73">
        <v>0.0</v>
      </c>
      <c r="AD100" s="73">
        <v>0.0</v>
      </c>
      <c r="AE100" s="73">
        <v>0.0</v>
      </c>
      <c r="AF100" s="73">
        <v>0.0</v>
      </c>
      <c r="AG100" s="73">
        <v>0.0</v>
      </c>
      <c r="AH100" s="73">
        <v>0.0</v>
      </c>
      <c r="AI100" s="73">
        <v>0.0</v>
      </c>
      <c r="AJ100" s="73">
        <v>0.0</v>
      </c>
      <c r="AK100" s="73">
        <v>0.0</v>
      </c>
      <c r="AL100" s="73">
        <v>0.0</v>
      </c>
      <c r="AM100" s="73">
        <v>0.0</v>
      </c>
      <c r="AN100" s="73">
        <v>0.0</v>
      </c>
      <c r="AO100" s="73">
        <v>0.0</v>
      </c>
      <c r="AP100" s="73">
        <v>0.0</v>
      </c>
      <c r="AQ100" s="73">
        <v>0.0</v>
      </c>
      <c r="AR100" s="73">
        <v>0.0</v>
      </c>
      <c r="AS100" s="73">
        <v>0.0</v>
      </c>
      <c r="AT100" s="73">
        <v>0.0</v>
      </c>
      <c r="AU100" s="13">
        <f t="shared" si="22"/>
        <v>1</v>
      </c>
    </row>
    <row r="101" ht="12.75" customHeight="1">
      <c r="A101" s="18"/>
      <c r="B101" s="49"/>
      <c r="C101" s="50" t="s">
        <v>89</v>
      </c>
      <c r="D101" s="56"/>
      <c r="E101" s="73">
        <v>0.0</v>
      </c>
      <c r="F101" s="73">
        <v>0.0</v>
      </c>
      <c r="G101" s="73">
        <v>0.0</v>
      </c>
      <c r="H101" s="73">
        <v>0.0</v>
      </c>
      <c r="I101" s="73">
        <v>0.0</v>
      </c>
      <c r="J101" s="73">
        <v>0.0</v>
      </c>
      <c r="K101" s="73">
        <v>0.0</v>
      </c>
      <c r="L101" s="73">
        <v>0.0</v>
      </c>
      <c r="M101" s="73">
        <v>0.0</v>
      </c>
      <c r="N101" s="73">
        <v>0.0</v>
      </c>
      <c r="O101" s="73">
        <v>0.0</v>
      </c>
      <c r="P101" s="73">
        <v>0.0</v>
      </c>
      <c r="Q101" s="73">
        <v>0.0</v>
      </c>
      <c r="R101" s="73">
        <v>0.0</v>
      </c>
      <c r="S101" s="73">
        <v>0.0</v>
      </c>
      <c r="T101" s="73">
        <v>0.0</v>
      </c>
      <c r="U101" s="73">
        <v>1.0</v>
      </c>
      <c r="V101" s="73">
        <v>0.0</v>
      </c>
      <c r="W101" s="73">
        <v>0.0</v>
      </c>
      <c r="X101" s="73">
        <v>0.0</v>
      </c>
      <c r="Y101" s="73">
        <v>0.0</v>
      </c>
      <c r="Z101" s="73">
        <v>0.0</v>
      </c>
      <c r="AA101" s="73">
        <v>0.0</v>
      </c>
      <c r="AB101" s="73">
        <v>2.0</v>
      </c>
      <c r="AC101" s="73">
        <v>0.0</v>
      </c>
      <c r="AD101" s="73">
        <v>0.0</v>
      </c>
      <c r="AE101" s="73">
        <v>0.0</v>
      </c>
      <c r="AF101" s="73">
        <v>0.0</v>
      </c>
      <c r="AG101" s="73">
        <v>0.0</v>
      </c>
      <c r="AH101" s="73">
        <v>0.0</v>
      </c>
      <c r="AI101" s="73">
        <v>0.0</v>
      </c>
      <c r="AJ101" s="73">
        <v>0.0</v>
      </c>
      <c r="AK101" s="73">
        <v>0.0</v>
      </c>
      <c r="AL101" s="73">
        <v>0.0</v>
      </c>
      <c r="AM101" s="73">
        <v>0.0</v>
      </c>
      <c r="AN101" s="73">
        <v>0.0</v>
      </c>
      <c r="AO101" s="73">
        <v>0.0</v>
      </c>
      <c r="AP101" s="73">
        <v>0.0</v>
      </c>
      <c r="AQ101" s="73">
        <v>0.0</v>
      </c>
      <c r="AR101" s="73">
        <v>0.0</v>
      </c>
      <c r="AS101" s="73">
        <v>0.0</v>
      </c>
      <c r="AT101" s="73">
        <v>0.0</v>
      </c>
      <c r="AU101" s="13">
        <f t="shared" si="22"/>
        <v>3</v>
      </c>
    </row>
    <row r="102" ht="12.75" customHeight="1">
      <c r="A102" s="18"/>
      <c r="B102" s="49"/>
      <c r="C102" s="50" t="s">
        <v>90</v>
      </c>
      <c r="D102" s="56"/>
      <c r="E102" s="73">
        <v>2.0</v>
      </c>
      <c r="F102" s="73">
        <v>0.0</v>
      </c>
      <c r="G102" s="73">
        <v>0.0</v>
      </c>
      <c r="H102" s="73">
        <v>0.0</v>
      </c>
      <c r="I102" s="73">
        <v>0.0</v>
      </c>
      <c r="J102" s="73">
        <v>0.0</v>
      </c>
      <c r="K102" s="73">
        <v>1.0</v>
      </c>
      <c r="L102" s="73">
        <v>0.0</v>
      </c>
      <c r="M102" s="73">
        <v>0.0</v>
      </c>
      <c r="N102" s="73">
        <v>0.0</v>
      </c>
      <c r="O102" s="73">
        <v>0.0</v>
      </c>
      <c r="P102" s="73">
        <v>0.0</v>
      </c>
      <c r="Q102" s="73">
        <v>0.0</v>
      </c>
      <c r="R102" s="73">
        <v>0.0</v>
      </c>
      <c r="S102" s="73">
        <v>1.0</v>
      </c>
      <c r="T102" s="73">
        <v>0.0</v>
      </c>
      <c r="U102" s="73">
        <v>0.0</v>
      </c>
      <c r="V102" s="73">
        <v>0.0</v>
      </c>
      <c r="W102" s="73">
        <v>0.0</v>
      </c>
      <c r="X102" s="73">
        <v>0.0</v>
      </c>
      <c r="Y102" s="73">
        <v>0.0</v>
      </c>
      <c r="Z102" s="73">
        <v>0.0</v>
      </c>
      <c r="AA102" s="73">
        <v>0.0</v>
      </c>
      <c r="AB102" s="73">
        <v>0.0</v>
      </c>
      <c r="AC102" s="73">
        <v>0.0</v>
      </c>
      <c r="AD102" s="73">
        <v>0.0</v>
      </c>
      <c r="AE102" s="73">
        <v>0.0</v>
      </c>
      <c r="AF102" s="73">
        <v>0.0</v>
      </c>
      <c r="AG102" s="73">
        <v>0.0</v>
      </c>
      <c r="AH102" s="73">
        <v>0.0</v>
      </c>
      <c r="AI102" s="73">
        <v>0.0</v>
      </c>
      <c r="AJ102" s="73">
        <v>0.0</v>
      </c>
      <c r="AK102" s="73">
        <v>0.0</v>
      </c>
      <c r="AL102" s="73">
        <v>0.0</v>
      </c>
      <c r="AM102" s="73">
        <v>0.0</v>
      </c>
      <c r="AN102" s="73">
        <v>0.0</v>
      </c>
      <c r="AO102" s="73">
        <v>0.0</v>
      </c>
      <c r="AP102" s="73">
        <v>0.0</v>
      </c>
      <c r="AQ102" s="73">
        <v>0.0</v>
      </c>
      <c r="AR102" s="73">
        <v>0.0</v>
      </c>
      <c r="AS102" s="73">
        <v>0.0</v>
      </c>
      <c r="AT102" s="73">
        <v>0.0</v>
      </c>
      <c r="AU102" s="13">
        <f t="shared" si="22"/>
        <v>4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U103" si="23">SUM(E93:E102)</f>
        <v>2</v>
      </c>
      <c r="F103" s="13">
        <f t="shared" si="23"/>
        <v>3</v>
      </c>
      <c r="G103" s="13">
        <f t="shared" si="23"/>
        <v>1</v>
      </c>
      <c r="H103" s="13">
        <f t="shared" si="23"/>
        <v>2</v>
      </c>
      <c r="I103" s="13">
        <f t="shared" si="23"/>
        <v>3</v>
      </c>
      <c r="J103" s="13">
        <f t="shared" si="23"/>
        <v>5</v>
      </c>
      <c r="K103" s="13">
        <f t="shared" si="23"/>
        <v>5</v>
      </c>
      <c r="L103" s="13">
        <f t="shared" si="23"/>
        <v>5</v>
      </c>
      <c r="M103" s="13">
        <f t="shared" si="23"/>
        <v>2</v>
      </c>
      <c r="N103" s="13">
        <f t="shared" si="23"/>
        <v>18</v>
      </c>
      <c r="O103" s="13">
        <f t="shared" si="23"/>
        <v>12</v>
      </c>
      <c r="P103" s="13">
        <f t="shared" si="23"/>
        <v>3</v>
      </c>
      <c r="Q103" s="13">
        <f t="shared" si="23"/>
        <v>10</v>
      </c>
      <c r="R103" s="13">
        <f t="shared" si="23"/>
        <v>4</v>
      </c>
      <c r="S103" s="13">
        <f t="shared" si="23"/>
        <v>8</v>
      </c>
      <c r="T103" s="13">
        <f t="shared" si="23"/>
        <v>6</v>
      </c>
      <c r="U103" s="13">
        <f t="shared" si="23"/>
        <v>6</v>
      </c>
      <c r="V103" s="13">
        <f t="shared" si="23"/>
        <v>2</v>
      </c>
      <c r="W103" s="13">
        <f t="shared" si="23"/>
        <v>10</v>
      </c>
      <c r="X103" s="13">
        <f t="shared" si="23"/>
        <v>9</v>
      </c>
      <c r="Y103" s="13">
        <f t="shared" si="23"/>
        <v>11</v>
      </c>
      <c r="Z103" s="13">
        <f t="shared" si="23"/>
        <v>5</v>
      </c>
      <c r="AA103" s="13">
        <f t="shared" si="23"/>
        <v>12</v>
      </c>
      <c r="AB103" s="13">
        <f t="shared" si="23"/>
        <v>5</v>
      </c>
      <c r="AC103" s="13">
        <f t="shared" si="23"/>
        <v>6</v>
      </c>
      <c r="AD103" s="13">
        <f t="shared" si="23"/>
        <v>6</v>
      </c>
      <c r="AE103" s="13">
        <f t="shared" si="23"/>
        <v>4</v>
      </c>
      <c r="AF103" s="13">
        <f t="shared" si="23"/>
        <v>2</v>
      </c>
      <c r="AG103" s="13">
        <f t="shared" si="23"/>
        <v>6</v>
      </c>
      <c r="AH103" s="13">
        <f t="shared" si="23"/>
        <v>6</v>
      </c>
      <c r="AI103" s="13">
        <f t="shared" si="23"/>
        <v>6</v>
      </c>
      <c r="AJ103" s="13">
        <f t="shared" si="23"/>
        <v>9</v>
      </c>
      <c r="AK103" s="13">
        <f t="shared" si="23"/>
        <v>0</v>
      </c>
      <c r="AL103" s="13">
        <f t="shared" si="23"/>
        <v>10</v>
      </c>
      <c r="AM103" s="13">
        <f t="shared" si="23"/>
        <v>4</v>
      </c>
      <c r="AN103" s="13">
        <f t="shared" si="23"/>
        <v>7</v>
      </c>
      <c r="AO103" s="13">
        <f t="shared" si="23"/>
        <v>8</v>
      </c>
      <c r="AP103" s="13">
        <f t="shared" si="23"/>
        <v>35</v>
      </c>
      <c r="AQ103" s="13">
        <f t="shared" si="23"/>
        <v>14</v>
      </c>
      <c r="AR103" s="13">
        <f t="shared" si="23"/>
        <v>39</v>
      </c>
      <c r="AS103" s="13">
        <f t="shared" si="23"/>
        <v>16</v>
      </c>
      <c r="AT103" s="13">
        <f t="shared" si="23"/>
        <v>9</v>
      </c>
      <c r="AU103" s="13">
        <f t="shared" si="23"/>
        <v>336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3">
        <v>0.0</v>
      </c>
      <c r="F105" s="73">
        <v>0.0</v>
      </c>
      <c r="G105" s="73">
        <v>3.0</v>
      </c>
      <c r="H105" s="73">
        <v>0.0</v>
      </c>
      <c r="I105" s="73">
        <v>2.0</v>
      </c>
      <c r="J105" s="73">
        <v>0.0</v>
      </c>
      <c r="K105" s="73">
        <v>0.0</v>
      </c>
      <c r="L105" s="73">
        <v>4.0</v>
      </c>
      <c r="M105" s="73">
        <v>1.0</v>
      </c>
      <c r="N105" s="73">
        <v>0.0</v>
      </c>
      <c r="O105" s="73">
        <v>1.0</v>
      </c>
      <c r="P105" s="73">
        <v>1.0</v>
      </c>
      <c r="Q105" s="73">
        <v>1.0</v>
      </c>
      <c r="R105" s="73">
        <v>2.0</v>
      </c>
      <c r="S105" s="73">
        <v>4.0</v>
      </c>
      <c r="T105" s="73">
        <v>3.0</v>
      </c>
      <c r="U105" s="73">
        <v>1.0</v>
      </c>
      <c r="V105" s="73">
        <v>0.0</v>
      </c>
      <c r="W105" s="73">
        <v>1.0</v>
      </c>
      <c r="X105" s="73">
        <v>1.0</v>
      </c>
      <c r="Y105" s="73">
        <v>1.0</v>
      </c>
      <c r="Z105" s="73">
        <v>5.0</v>
      </c>
      <c r="AA105" s="73">
        <v>3.0</v>
      </c>
      <c r="AB105" s="73">
        <v>2.0</v>
      </c>
      <c r="AC105" s="73">
        <v>0.0</v>
      </c>
      <c r="AD105" s="73">
        <v>1.0</v>
      </c>
      <c r="AE105" s="73">
        <v>1.0</v>
      </c>
      <c r="AF105" s="73">
        <v>2.0</v>
      </c>
      <c r="AG105" s="73">
        <v>4.0</v>
      </c>
      <c r="AH105" s="73">
        <v>2.0</v>
      </c>
      <c r="AI105" s="73">
        <v>1.0</v>
      </c>
      <c r="AJ105" s="73">
        <v>1.0</v>
      </c>
      <c r="AK105" s="73">
        <v>0.0</v>
      </c>
      <c r="AL105" s="73">
        <v>1.0</v>
      </c>
      <c r="AM105" s="73">
        <v>2.0</v>
      </c>
      <c r="AN105" s="73">
        <v>0.0</v>
      </c>
      <c r="AO105" s="73">
        <v>2.0</v>
      </c>
      <c r="AP105" s="73">
        <v>2.0</v>
      </c>
      <c r="AQ105" s="73">
        <v>0.0</v>
      </c>
      <c r="AR105" s="73">
        <v>0.0</v>
      </c>
      <c r="AS105" s="73">
        <v>1.0</v>
      </c>
      <c r="AT105" s="73">
        <v>0.0</v>
      </c>
      <c r="AU105" s="13">
        <f t="shared" ref="AU105:AU114" si="24">SUM(E105:AT105)</f>
        <v>56</v>
      </c>
    </row>
    <row r="106" ht="12.75" customHeight="1">
      <c r="A106" s="30" t="s">
        <v>39</v>
      </c>
      <c r="B106" s="49"/>
      <c r="C106" s="50" t="s">
        <v>93</v>
      </c>
      <c r="D106" s="51"/>
      <c r="E106" s="73">
        <v>0.0</v>
      </c>
      <c r="F106" s="73">
        <v>0.0</v>
      </c>
      <c r="G106" s="73">
        <v>0.0</v>
      </c>
      <c r="H106" s="73">
        <v>0.0</v>
      </c>
      <c r="I106" s="73">
        <v>0.0</v>
      </c>
      <c r="J106" s="73">
        <v>0.0</v>
      </c>
      <c r="K106" s="73">
        <v>1.0</v>
      </c>
      <c r="L106" s="73">
        <v>0.0</v>
      </c>
      <c r="M106" s="73">
        <v>0.0</v>
      </c>
      <c r="N106" s="73">
        <v>0.0</v>
      </c>
      <c r="O106" s="73">
        <v>0.0</v>
      </c>
      <c r="P106" s="73">
        <v>1.0</v>
      </c>
      <c r="Q106" s="73">
        <v>0.0</v>
      </c>
      <c r="R106" s="73">
        <v>0.0</v>
      </c>
      <c r="S106" s="73">
        <v>0.0</v>
      </c>
      <c r="T106" s="73">
        <v>0.0</v>
      </c>
      <c r="U106" s="73">
        <v>0.0</v>
      </c>
      <c r="V106" s="73">
        <v>0.0</v>
      </c>
      <c r="W106" s="73">
        <v>0.0</v>
      </c>
      <c r="X106" s="73">
        <v>0.0</v>
      </c>
      <c r="Y106" s="73">
        <v>0.0</v>
      </c>
      <c r="Z106" s="73">
        <v>0.0</v>
      </c>
      <c r="AA106" s="73">
        <v>0.0</v>
      </c>
      <c r="AB106" s="73">
        <v>1.0</v>
      </c>
      <c r="AC106" s="73">
        <v>1.0</v>
      </c>
      <c r="AD106" s="73">
        <v>0.0</v>
      </c>
      <c r="AE106" s="73">
        <v>2.0</v>
      </c>
      <c r="AF106" s="73">
        <v>2.0</v>
      </c>
      <c r="AG106" s="73">
        <v>2.0</v>
      </c>
      <c r="AH106" s="73">
        <v>1.0</v>
      </c>
      <c r="AI106" s="73">
        <v>0.0</v>
      </c>
      <c r="AJ106" s="73">
        <v>0.0</v>
      </c>
      <c r="AK106" s="73">
        <v>1.0</v>
      </c>
      <c r="AL106" s="73">
        <v>0.0</v>
      </c>
      <c r="AM106" s="73">
        <v>2.0</v>
      </c>
      <c r="AN106" s="73">
        <v>0.0</v>
      </c>
      <c r="AO106" s="73">
        <v>0.0</v>
      </c>
      <c r="AP106" s="73">
        <v>0.0</v>
      </c>
      <c r="AQ106" s="73">
        <v>0.0</v>
      </c>
      <c r="AR106" s="73">
        <v>0.0</v>
      </c>
      <c r="AS106" s="73">
        <v>1.0</v>
      </c>
      <c r="AT106" s="73">
        <v>0.0</v>
      </c>
      <c r="AU106" s="13">
        <f t="shared" si="24"/>
        <v>15</v>
      </c>
    </row>
    <row r="107" ht="12.75" customHeight="1">
      <c r="A107" s="18"/>
      <c r="B107" s="49"/>
      <c r="C107" s="50" t="s">
        <v>94</v>
      </c>
      <c r="D107" s="51"/>
      <c r="E107" s="73">
        <v>0.0</v>
      </c>
      <c r="F107" s="73">
        <v>0.0</v>
      </c>
      <c r="G107" s="73">
        <v>0.0</v>
      </c>
      <c r="H107" s="73">
        <v>0.0</v>
      </c>
      <c r="I107" s="73">
        <v>0.0</v>
      </c>
      <c r="J107" s="73">
        <v>0.0</v>
      </c>
      <c r="K107" s="73">
        <v>1.0</v>
      </c>
      <c r="L107" s="73">
        <v>0.0</v>
      </c>
      <c r="M107" s="73">
        <v>0.0</v>
      </c>
      <c r="N107" s="73">
        <v>0.0</v>
      </c>
      <c r="O107" s="73">
        <v>2.0</v>
      </c>
      <c r="P107" s="73">
        <v>0.0</v>
      </c>
      <c r="Q107" s="73">
        <v>0.0</v>
      </c>
      <c r="R107" s="73">
        <v>0.0</v>
      </c>
      <c r="S107" s="73">
        <v>0.0</v>
      </c>
      <c r="T107" s="73">
        <v>0.0</v>
      </c>
      <c r="U107" s="73">
        <v>0.0</v>
      </c>
      <c r="V107" s="73">
        <v>1.0</v>
      </c>
      <c r="W107" s="73">
        <v>1.0</v>
      </c>
      <c r="X107" s="73">
        <v>2.0</v>
      </c>
      <c r="Y107" s="73">
        <v>0.0</v>
      </c>
      <c r="Z107" s="73">
        <v>0.0</v>
      </c>
      <c r="AA107" s="73">
        <v>1.0</v>
      </c>
      <c r="AB107" s="73">
        <v>0.0</v>
      </c>
      <c r="AC107" s="73">
        <v>0.0</v>
      </c>
      <c r="AD107" s="73">
        <v>0.0</v>
      </c>
      <c r="AE107" s="73">
        <v>1.0</v>
      </c>
      <c r="AF107" s="73">
        <v>0.0</v>
      </c>
      <c r="AG107" s="73">
        <v>1.0</v>
      </c>
      <c r="AH107" s="73">
        <v>0.0</v>
      </c>
      <c r="AI107" s="73">
        <v>0.0</v>
      </c>
      <c r="AJ107" s="73">
        <v>0.0</v>
      </c>
      <c r="AK107" s="73">
        <v>0.0</v>
      </c>
      <c r="AL107" s="73">
        <v>0.0</v>
      </c>
      <c r="AM107" s="73">
        <v>0.0</v>
      </c>
      <c r="AN107" s="73">
        <v>0.0</v>
      </c>
      <c r="AO107" s="73">
        <v>1.0</v>
      </c>
      <c r="AP107" s="73">
        <v>0.0</v>
      </c>
      <c r="AQ107" s="73">
        <v>1.0</v>
      </c>
      <c r="AR107" s="73">
        <v>0.0</v>
      </c>
      <c r="AS107" s="73">
        <v>0.0</v>
      </c>
      <c r="AT107" s="73">
        <v>0.0</v>
      </c>
      <c r="AU107" s="13">
        <f t="shared" si="24"/>
        <v>12</v>
      </c>
    </row>
    <row r="108" ht="12.75" customHeight="1">
      <c r="A108" s="18"/>
      <c r="B108" s="57"/>
      <c r="C108" s="58"/>
      <c r="D108" s="59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3">
        <f t="shared" si="24"/>
        <v>0</v>
      </c>
    </row>
    <row r="109" ht="12.75" customHeight="1">
      <c r="A109" s="18"/>
      <c r="B109" s="57"/>
      <c r="C109" s="58"/>
      <c r="D109" s="59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3">
        <f t="shared" si="24"/>
        <v>0</v>
      </c>
    </row>
    <row r="110" ht="12.75" customHeight="1">
      <c r="A110" s="18"/>
      <c r="B110" s="57"/>
      <c r="C110" s="58"/>
      <c r="D110" s="59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3">
        <f t="shared" si="24"/>
        <v>0</v>
      </c>
    </row>
    <row r="111" ht="12.75" customHeight="1">
      <c r="A111" s="18"/>
      <c r="B111" s="57"/>
      <c r="C111" s="58"/>
      <c r="D111" s="59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3">
        <f t="shared" si="24"/>
        <v>0</v>
      </c>
    </row>
    <row r="112" ht="12.75" customHeight="1">
      <c r="A112" s="18"/>
      <c r="B112" s="57"/>
      <c r="C112" s="58"/>
      <c r="D112" s="59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3">
        <f t="shared" si="24"/>
        <v>0</v>
      </c>
    </row>
    <row r="113" ht="12.75" customHeight="1">
      <c r="A113" s="18"/>
      <c r="B113" s="57"/>
      <c r="C113" s="58"/>
      <c r="D113" s="59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3">
        <f t="shared" si="24"/>
        <v>0</v>
      </c>
    </row>
    <row r="114" ht="12.75" customHeight="1">
      <c r="A114" s="18"/>
      <c r="B114" s="57"/>
      <c r="C114" s="58"/>
      <c r="D114" s="59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3">
        <f t="shared" si="24"/>
        <v>0</v>
      </c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U115" si="25">SUM(E105:E114)</f>
        <v>0</v>
      </c>
      <c r="F115" s="13">
        <f t="shared" si="25"/>
        <v>0</v>
      </c>
      <c r="G115" s="13">
        <f t="shared" si="25"/>
        <v>3</v>
      </c>
      <c r="H115" s="13">
        <f t="shared" si="25"/>
        <v>0</v>
      </c>
      <c r="I115" s="13">
        <f t="shared" si="25"/>
        <v>2</v>
      </c>
      <c r="J115" s="13">
        <f t="shared" si="25"/>
        <v>0</v>
      </c>
      <c r="K115" s="13">
        <f t="shared" si="25"/>
        <v>2</v>
      </c>
      <c r="L115" s="13">
        <f t="shared" si="25"/>
        <v>4</v>
      </c>
      <c r="M115" s="13">
        <f t="shared" si="25"/>
        <v>1</v>
      </c>
      <c r="N115" s="13">
        <f t="shared" si="25"/>
        <v>0</v>
      </c>
      <c r="O115" s="13">
        <f t="shared" si="25"/>
        <v>3</v>
      </c>
      <c r="P115" s="13">
        <f t="shared" si="25"/>
        <v>2</v>
      </c>
      <c r="Q115" s="13">
        <f t="shared" si="25"/>
        <v>1</v>
      </c>
      <c r="R115" s="13">
        <f t="shared" si="25"/>
        <v>2</v>
      </c>
      <c r="S115" s="13">
        <f t="shared" si="25"/>
        <v>4</v>
      </c>
      <c r="T115" s="13">
        <f t="shared" si="25"/>
        <v>3</v>
      </c>
      <c r="U115" s="13">
        <f t="shared" si="25"/>
        <v>1</v>
      </c>
      <c r="V115" s="13">
        <f t="shared" si="25"/>
        <v>1</v>
      </c>
      <c r="W115" s="13">
        <f t="shared" si="25"/>
        <v>2</v>
      </c>
      <c r="X115" s="13">
        <f t="shared" si="25"/>
        <v>3</v>
      </c>
      <c r="Y115" s="13">
        <f t="shared" si="25"/>
        <v>1</v>
      </c>
      <c r="Z115" s="13">
        <f t="shared" si="25"/>
        <v>5</v>
      </c>
      <c r="AA115" s="13">
        <f t="shared" si="25"/>
        <v>4</v>
      </c>
      <c r="AB115" s="13">
        <f t="shared" si="25"/>
        <v>3</v>
      </c>
      <c r="AC115" s="13">
        <f t="shared" si="25"/>
        <v>1</v>
      </c>
      <c r="AD115" s="13">
        <f t="shared" si="25"/>
        <v>1</v>
      </c>
      <c r="AE115" s="13">
        <f t="shared" si="25"/>
        <v>4</v>
      </c>
      <c r="AF115" s="13">
        <f t="shared" si="25"/>
        <v>4</v>
      </c>
      <c r="AG115" s="13">
        <f t="shared" si="25"/>
        <v>7</v>
      </c>
      <c r="AH115" s="13">
        <f t="shared" si="25"/>
        <v>3</v>
      </c>
      <c r="AI115" s="13">
        <f t="shared" si="25"/>
        <v>1</v>
      </c>
      <c r="AJ115" s="13">
        <f t="shared" si="25"/>
        <v>1</v>
      </c>
      <c r="AK115" s="13">
        <f t="shared" si="25"/>
        <v>1</v>
      </c>
      <c r="AL115" s="13">
        <f t="shared" si="25"/>
        <v>1</v>
      </c>
      <c r="AM115" s="13">
        <f t="shared" si="25"/>
        <v>4</v>
      </c>
      <c r="AN115" s="13">
        <f t="shared" si="25"/>
        <v>0</v>
      </c>
      <c r="AO115" s="13">
        <f t="shared" si="25"/>
        <v>3</v>
      </c>
      <c r="AP115" s="13">
        <f t="shared" si="25"/>
        <v>2</v>
      </c>
      <c r="AQ115" s="13">
        <f t="shared" si="25"/>
        <v>1</v>
      </c>
      <c r="AR115" s="13">
        <f t="shared" si="25"/>
        <v>0</v>
      </c>
      <c r="AS115" s="13">
        <f t="shared" si="25"/>
        <v>2</v>
      </c>
      <c r="AT115" s="13">
        <f t="shared" si="25"/>
        <v>0</v>
      </c>
      <c r="AU115" s="13">
        <f t="shared" si="25"/>
        <v>83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  <c r="AU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3">
        <v>0.0</v>
      </c>
      <c r="F117" s="73">
        <v>1.0</v>
      </c>
      <c r="G117" s="73">
        <v>2.0</v>
      </c>
      <c r="H117" s="73">
        <v>2.0</v>
      </c>
      <c r="I117" s="73">
        <v>0.0</v>
      </c>
      <c r="J117" s="73">
        <v>5.0</v>
      </c>
      <c r="K117" s="73">
        <v>1.0</v>
      </c>
      <c r="L117" s="73">
        <v>1.0</v>
      </c>
      <c r="M117" s="73">
        <v>2.0</v>
      </c>
      <c r="N117" s="73">
        <v>1.0</v>
      </c>
      <c r="O117" s="73">
        <v>1.0</v>
      </c>
      <c r="P117" s="73">
        <v>0.0</v>
      </c>
      <c r="Q117" s="73">
        <v>0.0</v>
      </c>
      <c r="R117" s="73">
        <v>3.0</v>
      </c>
      <c r="S117" s="73">
        <v>1.0</v>
      </c>
      <c r="T117" s="73">
        <v>0.0</v>
      </c>
      <c r="U117" s="73">
        <v>1.0</v>
      </c>
      <c r="V117" s="73">
        <v>1.0</v>
      </c>
      <c r="W117" s="73">
        <v>0.0</v>
      </c>
      <c r="X117" s="73">
        <v>1.0</v>
      </c>
      <c r="Y117" s="73">
        <v>1.0</v>
      </c>
      <c r="Z117" s="73">
        <v>0.0</v>
      </c>
      <c r="AA117" s="73">
        <v>2.0</v>
      </c>
      <c r="AB117" s="73">
        <v>0.0</v>
      </c>
      <c r="AC117" s="73">
        <v>1.0</v>
      </c>
      <c r="AD117" s="73">
        <v>1.0</v>
      </c>
      <c r="AE117" s="73">
        <v>0.0</v>
      </c>
      <c r="AF117" s="73">
        <v>1.0</v>
      </c>
      <c r="AG117" s="73">
        <v>0.0</v>
      </c>
      <c r="AH117" s="73">
        <v>0.0</v>
      </c>
      <c r="AI117" s="73">
        <v>0.0</v>
      </c>
      <c r="AJ117" s="73">
        <v>4.0</v>
      </c>
      <c r="AK117" s="73">
        <v>0.0</v>
      </c>
      <c r="AL117" s="73">
        <v>0.0</v>
      </c>
      <c r="AM117" s="73">
        <v>0.0</v>
      </c>
      <c r="AN117" s="73">
        <v>0.0</v>
      </c>
      <c r="AO117" s="73">
        <v>1.0</v>
      </c>
      <c r="AP117" s="73">
        <v>1.0</v>
      </c>
      <c r="AQ117" s="73">
        <v>0.0</v>
      </c>
      <c r="AR117" s="73">
        <v>0.0</v>
      </c>
      <c r="AS117" s="73">
        <v>1.0</v>
      </c>
      <c r="AT117" s="73">
        <v>1.0</v>
      </c>
      <c r="AU117" s="13">
        <f t="shared" ref="AU117:AU126" si="26">SUM(E117:AT117)</f>
        <v>37</v>
      </c>
    </row>
    <row r="118" ht="12.75" customHeight="1">
      <c r="A118" s="30" t="s">
        <v>39</v>
      </c>
      <c r="B118" s="49"/>
      <c r="C118" s="50" t="s">
        <v>97</v>
      </c>
      <c r="D118" s="51"/>
      <c r="E118" s="73">
        <v>0.0</v>
      </c>
      <c r="F118" s="73">
        <v>0.0</v>
      </c>
      <c r="G118" s="73">
        <v>0.0</v>
      </c>
      <c r="H118" s="73">
        <v>0.0</v>
      </c>
      <c r="I118" s="73">
        <v>0.0</v>
      </c>
      <c r="J118" s="73">
        <v>1.0</v>
      </c>
      <c r="K118" s="73">
        <v>0.0</v>
      </c>
      <c r="L118" s="73">
        <v>0.0</v>
      </c>
      <c r="M118" s="73">
        <v>0.0</v>
      </c>
      <c r="N118" s="73">
        <v>1.0</v>
      </c>
      <c r="O118" s="73">
        <v>0.0</v>
      </c>
      <c r="P118" s="73">
        <v>0.0</v>
      </c>
      <c r="Q118" s="73">
        <v>1.0</v>
      </c>
      <c r="R118" s="73">
        <v>0.0</v>
      </c>
      <c r="S118" s="73">
        <v>0.0</v>
      </c>
      <c r="T118" s="73">
        <v>1.0</v>
      </c>
      <c r="U118" s="73">
        <v>0.0</v>
      </c>
      <c r="V118" s="73">
        <v>0.0</v>
      </c>
      <c r="W118" s="73">
        <v>0.0</v>
      </c>
      <c r="X118" s="73">
        <v>0.0</v>
      </c>
      <c r="Y118" s="73">
        <v>0.0</v>
      </c>
      <c r="Z118" s="73">
        <v>0.0</v>
      </c>
      <c r="AA118" s="73">
        <v>1.0</v>
      </c>
      <c r="AB118" s="73">
        <v>1.0</v>
      </c>
      <c r="AC118" s="73">
        <v>0.0</v>
      </c>
      <c r="AD118" s="73">
        <v>0.0</v>
      </c>
      <c r="AE118" s="73">
        <v>0.0</v>
      </c>
      <c r="AF118" s="73">
        <v>0.0</v>
      </c>
      <c r="AG118" s="73">
        <v>0.0</v>
      </c>
      <c r="AH118" s="73">
        <v>0.0</v>
      </c>
      <c r="AI118" s="73">
        <v>0.0</v>
      </c>
      <c r="AJ118" s="73">
        <v>0.0</v>
      </c>
      <c r="AK118" s="73">
        <v>0.0</v>
      </c>
      <c r="AL118" s="73">
        <v>0.0</v>
      </c>
      <c r="AM118" s="73">
        <v>0.0</v>
      </c>
      <c r="AN118" s="73">
        <v>0.0</v>
      </c>
      <c r="AO118" s="73">
        <v>0.0</v>
      </c>
      <c r="AP118" s="73">
        <v>1.0</v>
      </c>
      <c r="AQ118" s="73">
        <v>0.0</v>
      </c>
      <c r="AR118" s="73">
        <v>0.0</v>
      </c>
      <c r="AS118" s="73">
        <v>0.0</v>
      </c>
      <c r="AT118" s="73">
        <v>0.0</v>
      </c>
      <c r="AU118" s="13">
        <f t="shared" si="26"/>
        <v>7</v>
      </c>
    </row>
    <row r="119" ht="12.75" customHeight="1">
      <c r="A119" s="18"/>
      <c r="B119" s="49"/>
      <c r="C119" s="50" t="s">
        <v>98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1.0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1.0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0.0</v>
      </c>
      <c r="Z119" s="73">
        <v>0.0</v>
      </c>
      <c r="AA119" s="73">
        <v>0.0</v>
      </c>
      <c r="AB119" s="73">
        <v>0.0</v>
      </c>
      <c r="AC119" s="73">
        <v>0.0</v>
      </c>
      <c r="AD119" s="73">
        <v>0.0</v>
      </c>
      <c r="AE119" s="73">
        <v>0.0</v>
      </c>
      <c r="AF119" s="73">
        <v>0.0</v>
      </c>
      <c r="AG119" s="73">
        <v>0.0</v>
      </c>
      <c r="AH119" s="73">
        <v>0.0</v>
      </c>
      <c r="AI119" s="73">
        <v>0.0</v>
      </c>
      <c r="AJ119" s="73">
        <v>0.0</v>
      </c>
      <c r="AK119" s="73">
        <v>0.0</v>
      </c>
      <c r="AL119" s="73">
        <v>0.0</v>
      </c>
      <c r="AM119" s="73">
        <v>0.0</v>
      </c>
      <c r="AN119" s="73">
        <v>1.0</v>
      </c>
      <c r="AO119" s="73">
        <v>0.0</v>
      </c>
      <c r="AP119" s="73">
        <v>0.0</v>
      </c>
      <c r="AQ119" s="73">
        <v>0.0</v>
      </c>
      <c r="AR119" s="73">
        <v>0.0</v>
      </c>
      <c r="AS119" s="73">
        <v>0.0</v>
      </c>
      <c r="AT119" s="73">
        <v>0.0</v>
      </c>
      <c r="AU119" s="13">
        <f t="shared" si="26"/>
        <v>3</v>
      </c>
    </row>
    <row r="120" ht="12.75" customHeight="1">
      <c r="A120" s="18"/>
      <c r="B120" s="49"/>
      <c r="C120" s="50" t="s">
        <v>99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1.0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1.0</v>
      </c>
      <c r="AA120" s="73">
        <v>0.0</v>
      </c>
      <c r="AB120" s="73">
        <v>0.0</v>
      </c>
      <c r="AC120" s="73">
        <v>0.0</v>
      </c>
      <c r="AD120" s="73">
        <v>0.0</v>
      </c>
      <c r="AE120" s="73">
        <v>0.0</v>
      </c>
      <c r="AF120" s="73">
        <v>0.0</v>
      </c>
      <c r="AG120" s="73">
        <v>1.0</v>
      </c>
      <c r="AH120" s="73">
        <v>0.0</v>
      </c>
      <c r="AI120" s="73">
        <v>0.0</v>
      </c>
      <c r="AJ120" s="73">
        <v>0.0</v>
      </c>
      <c r="AK120" s="73">
        <v>0.0</v>
      </c>
      <c r="AL120" s="73">
        <v>0.0</v>
      </c>
      <c r="AM120" s="73">
        <v>0.0</v>
      </c>
      <c r="AN120" s="73">
        <v>0.0</v>
      </c>
      <c r="AO120" s="73">
        <v>0.0</v>
      </c>
      <c r="AP120" s="73">
        <v>0.0</v>
      </c>
      <c r="AQ120" s="73">
        <v>0.0</v>
      </c>
      <c r="AR120" s="73">
        <v>0.0</v>
      </c>
      <c r="AS120" s="73">
        <v>0.0</v>
      </c>
      <c r="AT120" s="73">
        <v>0.0</v>
      </c>
      <c r="AU120" s="13">
        <f t="shared" si="26"/>
        <v>3</v>
      </c>
    </row>
    <row r="121" ht="12.75" customHeight="1">
      <c r="A121" s="18"/>
      <c r="B121" s="49"/>
      <c r="C121" s="50" t="s">
        <v>100</v>
      </c>
      <c r="D121" s="51"/>
      <c r="E121" s="73">
        <v>0.0</v>
      </c>
      <c r="F121" s="73">
        <v>1.0</v>
      </c>
      <c r="G121" s="73">
        <v>0.0</v>
      </c>
      <c r="H121" s="73">
        <v>0.0</v>
      </c>
      <c r="I121" s="73">
        <v>0.0</v>
      </c>
      <c r="J121" s="73">
        <v>0.0</v>
      </c>
      <c r="K121" s="73">
        <v>0.0</v>
      </c>
      <c r="L121" s="73">
        <v>0.0</v>
      </c>
      <c r="M121" s="73">
        <v>0.0</v>
      </c>
      <c r="N121" s="73">
        <v>0.0</v>
      </c>
      <c r="O121" s="73">
        <v>0.0</v>
      </c>
      <c r="P121" s="73">
        <v>0.0</v>
      </c>
      <c r="Q121" s="73">
        <v>0.0</v>
      </c>
      <c r="R121" s="73">
        <v>0.0</v>
      </c>
      <c r="S121" s="73">
        <v>0.0</v>
      </c>
      <c r="T121" s="73">
        <v>0.0</v>
      </c>
      <c r="U121" s="73">
        <v>0.0</v>
      </c>
      <c r="V121" s="73">
        <v>0.0</v>
      </c>
      <c r="W121" s="73">
        <v>0.0</v>
      </c>
      <c r="X121" s="73">
        <v>0.0</v>
      </c>
      <c r="Y121" s="73">
        <v>0.0</v>
      </c>
      <c r="Z121" s="73">
        <v>0.0</v>
      </c>
      <c r="AA121" s="73">
        <v>1.0</v>
      </c>
      <c r="AB121" s="73">
        <v>0.0</v>
      </c>
      <c r="AC121" s="73">
        <v>0.0</v>
      </c>
      <c r="AD121" s="73">
        <v>0.0</v>
      </c>
      <c r="AE121" s="73">
        <v>0.0</v>
      </c>
      <c r="AF121" s="73">
        <v>0.0</v>
      </c>
      <c r="AG121" s="73">
        <v>0.0</v>
      </c>
      <c r="AH121" s="73">
        <v>0.0</v>
      </c>
      <c r="AI121" s="73">
        <v>0.0</v>
      </c>
      <c r="AJ121" s="73">
        <v>0.0</v>
      </c>
      <c r="AK121" s="73">
        <v>0.0</v>
      </c>
      <c r="AL121" s="73">
        <v>0.0</v>
      </c>
      <c r="AM121" s="73">
        <v>0.0</v>
      </c>
      <c r="AN121" s="73">
        <v>0.0</v>
      </c>
      <c r="AO121" s="73">
        <v>1.0</v>
      </c>
      <c r="AP121" s="73">
        <v>0.0</v>
      </c>
      <c r="AQ121" s="73">
        <v>0.0</v>
      </c>
      <c r="AR121" s="73">
        <v>0.0</v>
      </c>
      <c r="AS121" s="73">
        <v>0.0</v>
      </c>
      <c r="AT121" s="73">
        <v>0.0</v>
      </c>
      <c r="AU121" s="13">
        <f t="shared" si="26"/>
        <v>3</v>
      </c>
    </row>
    <row r="122" ht="12.75" customHeight="1">
      <c r="A122" s="18"/>
      <c r="B122" s="49"/>
      <c r="C122" s="50" t="s">
        <v>101</v>
      </c>
      <c r="D122" s="51"/>
      <c r="E122" s="73">
        <v>0.0</v>
      </c>
      <c r="F122" s="73">
        <v>0.0</v>
      </c>
      <c r="G122" s="73">
        <v>0.0</v>
      </c>
      <c r="H122" s="73">
        <v>1.0</v>
      </c>
      <c r="I122" s="73">
        <v>0.0</v>
      </c>
      <c r="J122" s="73">
        <v>0.0</v>
      </c>
      <c r="K122" s="73">
        <v>0.0</v>
      </c>
      <c r="L122" s="73">
        <v>0.0</v>
      </c>
      <c r="M122" s="73">
        <v>0.0</v>
      </c>
      <c r="N122" s="73">
        <v>0.0</v>
      </c>
      <c r="O122" s="73">
        <v>0.0</v>
      </c>
      <c r="P122" s="73">
        <v>0.0</v>
      </c>
      <c r="Q122" s="73">
        <v>0.0</v>
      </c>
      <c r="R122" s="73">
        <v>0.0</v>
      </c>
      <c r="S122" s="73">
        <v>0.0</v>
      </c>
      <c r="T122" s="73">
        <v>0.0</v>
      </c>
      <c r="U122" s="73">
        <v>0.0</v>
      </c>
      <c r="V122" s="73">
        <v>0.0</v>
      </c>
      <c r="W122" s="73">
        <v>0.0</v>
      </c>
      <c r="X122" s="73">
        <v>0.0</v>
      </c>
      <c r="Y122" s="73">
        <v>0.0</v>
      </c>
      <c r="Z122" s="73">
        <v>0.0</v>
      </c>
      <c r="AA122" s="73">
        <v>0.0</v>
      </c>
      <c r="AB122" s="73">
        <v>0.0</v>
      </c>
      <c r="AC122" s="73">
        <v>0.0</v>
      </c>
      <c r="AD122" s="73">
        <v>0.0</v>
      </c>
      <c r="AE122" s="73">
        <v>0.0</v>
      </c>
      <c r="AF122" s="73">
        <v>0.0</v>
      </c>
      <c r="AG122" s="73">
        <v>0.0</v>
      </c>
      <c r="AH122" s="73">
        <v>0.0</v>
      </c>
      <c r="AI122" s="73">
        <v>0.0</v>
      </c>
      <c r="AJ122" s="73">
        <v>0.0</v>
      </c>
      <c r="AK122" s="73">
        <v>0.0</v>
      </c>
      <c r="AL122" s="73">
        <v>0.0</v>
      </c>
      <c r="AM122" s="73">
        <v>0.0</v>
      </c>
      <c r="AN122" s="73">
        <v>0.0</v>
      </c>
      <c r="AO122" s="73">
        <v>0.0</v>
      </c>
      <c r="AP122" s="73">
        <v>0.0</v>
      </c>
      <c r="AQ122" s="73">
        <v>0.0</v>
      </c>
      <c r="AR122" s="73">
        <v>0.0</v>
      </c>
      <c r="AS122" s="73">
        <v>0.0</v>
      </c>
      <c r="AT122" s="73">
        <v>0.0</v>
      </c>
      <c r="AU122" s="13">
        <f t="shared" si="26"/>
        <v>1</v>
      </c>
    </row>
    <row r="123" ht="12.75" customHeight="1">
      <c r="A123" s="18"/>
      <c r="B123" s="57"/>
      <c r="C123" s="58"/>
      <c r="D123" s="59"/>
      <c r="E123" s="61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13">
        <f t="shared" si="26"/>
        <v>0</v>
      </c>
    </row>
    <row r="124" ht="12.75" customHeight="1">
      <c r="A124" s="18"/>
      <c r="B124" s="57"/>
      <c r="C124" s="58"/>
      <c r="D124" s="59"/>
      <c r="E124" s="61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13">
        <f t="shared" si="26"/>
        <v>0</v>
      </c>
    </row>
    <row r="125" ht="12.75" customHeight="1">
      <c r="A125" s="18"/>
      <c r="B125" s="57"/>
      <c r="C125" s="58"/>
      <c r="D125" s="59"/>
      <c r="E125" s="61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13">
        <f t="shared" si="26"/>
        <v>0</v>
      </c>
    </row>
    <row r="126" ht="12.75" customHeight="1">
      <c r="A126" s="18"/>
      <c r="B126" s="57"/>
      <c r="C126" s="58"/>
      <c r="D126" s="59"/>
      <c r="E126" s="61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13">
        <f t="shared" si="26"/>
        <v>0</v>
      </c>
    </row>
    <row r="127" ht="12.75" customHeight="1">
      <c r="A127" s="19" t="s">
        <v>15</v>
      </c>
      <c r="B127" s="47" t="s">
        <v>49</v>
      </c>
      <c r="C127" s="15"/>
      <c r="D127" s="16"/>
      <c r="E127" s="13">
        <f t="shared" ref="E127:AU127" si="27">SUM(E117:E126)</f>
        <v>0</v>
      </c>
      <c r="F127" s="13">
        <f t="shared" si="27"/>
        <v>2</v>
      </c>
      <c r="G127" s="13">
        <f t="shared" si="27"/>
        <v>2</v>
      </c>
      <c r="H127" s="13">
        <f t="shared" si="27"/>
        <v>3</v>
      </c>
      <c r="I127" s="13">
        <f t="shared" si="27"/>
        <v>0</v>
      </c>
      <c r="J127" s="13">
        <f t="shared" si="27"/>
        <v>6</v>
      </c>
      <c r="K127" s="13">
        <f t="shared" si="27"/>
        <v>1</v>
      </c>
      <c r="L127" s="13">
        <f t="shared" si="27"/>
        <v>2</v>
      </c>
      <c r="M127" s="13">
        <f t="shared" si="27"/>
        <v>2</v>
      </c>
      <c r="N127" s="13">
        <f t="shared" si="27"/>
        <v>2</v>
      </c>
      <c r="O127" s="13">
        <f t="shared" si="27"/>
        <v>1</v>
      </c>
      <c r="P127" s="13">
        <f t="shared" si="27"/>
        <v>0</v>
      </c>
      <c r="Q127" s="13">
        <f t="shared" si="27"/>
        <v>1</v>
      </c>
      <c r="R127" s="13">
        <f t="shared" si="27"/>
        <v>4</v>
      </c>
      <c r="S127" s="13">
        <f t="shared" si="27"/>
        <v>1</v>
      </c>
      <c r="T127" s="13">
        <f t="shared" si="27"/>
        <v>2</v>
      </c>
      <c r="U127" s="13">
        <f t="shared" si="27"/>
        <v>1</v>
      </c>
      <c r="V127" s="13">
        <f t="shared" si="27"/>
        <v>1</v>
      </c>
      <c r="W127" s="13">
        <f t="shared" si="27"/>
        <v>0</v>
      </c>
      <c r="X127" s="13">
        <f t="shared" si="27"/>
        <v>1</v>
      </c>
      <c r="Y127" s="13">
        <f t="shared" si="27"/>
        <v>1</v>
      </c>
      <c r="Z127" s="13">
        <f t="shared" si="27"/>
        <v>1</v>
      </c>
      <c r="AA127" s="13">
        <f t="shared" si="27"/>
        <v>4</v>
      </c>
      <c r="AB127" s="13">
        <f t="shared" si="27"/>
        <v>1</v>
      </c>
      <c r="AC127" s="13">
        <f t="shared" si="27"/>
        <v>1</v>
      </c>
      <c r="AD127" s="13">
        <f t="shared" si="27"/>
        <v>1</v>
      </c>
      <c r="AE127" s="13">
        <f t="shared" si="27"/>
        <v>0</v>
      </c>
      <c r="AF127" s="13">
        <f t="shared" si="27"/>
        <v>1</v>
      </c>
      <c r="AG127" s="13">
        <f t="shared" si="27"/>
        <v>1</v>
      </c>
      <c r="AH127" s="13">
        <f t="shared" si="27"/>
        <v>0</v>
      </c>
      <c r="AI127" s="13">
        <f t="shared" si="27"/>
        <v>0</v>
      </c>
      <c r="AJ127" s="13">
        <f t="shared" si="27"/>
        <v>4</v>
      </c>
      <c r="AK127" s="13">
        <f t="shared" si="27"/>
        <v>0</v>
      </c>
      <c r="AL127" s="13">
        <f t="shared" si="27"/>
        <v>0</v>
      </c>
      <c r="AM127" s="13">
        <f t="shared" si="27"/>
        <v>0</v>
      </c>
      <c r="AN127" s="13">
        <f t="shared" si="27"/>
        <v>1</v>
      </c>
      <c r="AO127" s="13">
        <f t="shared" si="27"/>
        <v>2</v>
      </c>
      <c r="AP127" s="13">
        <f t="shared" si="27"/>
        <v>2</v>
      </c>
      <c r="AQ127" s="13">
        <f t="shared" si="27"/>
        <v>0</v>
      </c>
      <c r="AR127" s="13">
        <f t="shared" si="27"/>
        <v>0</v>
      </c>
      <c r="AS127" s="13">
        <f t="shared" si="27"/>
        <v>1</v>
      </c>
      <c r="AT127" s="13">
        <f t="shared" si="27"/>
        <v>1</v>
      </c>
      <c r="AU127" s="13">
        <f t="shared" si="27"/>
        <v>54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3">
        <v>0.0</v>
      </c>
      <c r="F129" s="73">
        <v>1.0</v>
      </c>
      <c r="G129" s="73">
        <v>2.0</v>
      </c>
      <c r="H129" s="73">
        <v>0.0</v>
      </c>
      <c r="I129" s="73">
        <v>0.0</v>
      </c>
      <c r="J129" s="73">
        <v>0.0</v>
      </c>
      <c r="K129" s="73">
        <v>1.0</v>
      </c>
      <c r="L129" s="73">
        <v>0.0</v>
      </c>
      <c r="M129" s="73">
        <v>0.0</v>
      </c>
      <c r="N129" s="73">
        <v>0.0</v>
      </c>
      <c r="O129" s="73">
        <v>0.0</v>
      </c>
      <c r="P129" s="73">
        <v>0.0</v>
      </c>
      <c r="Q129" s="73">
        <v>0.0</v>
      </c>
      <c r="R129" s="73">
        <v>0.0</v>
      </c>
      <c r="S129" s="73">
        <v>1.0</v>
      </c>
      <c r="T129" s="73">
        <v>1.0</v>
      </c>
      <c r="U129" s="73">
        <v>0.0</v>
      </c>
      <c r="V129" s="73">
        <v>1.0</v>
      </c>
      <c r="W129" s="73">
        <v>0.0</v>
      </c>
      <c r="X129" s="73">
        <v>0.0</v>
      </c>
      <c r="Y129" s="73">
        <v>0.0</v>
      </c>
      <c r="Z129" s="73">
        <v>1.0</v>
      </c>
      <c r="AA129" s="73">
        <v>0.0</v>
      </c>
      <c r="AB129" s="73">
        <v>2.0</v>
      </c>
      <c r="AC129" s="73">
        <v>4.0</v>
      </c>
      <c r="AD129" s="73">
        <v>2.0</v>
      </c>
      <c r="AE129" s="73">
        <v>0.0</v>
      </c>
      <c r="AF129" s="73">
        <v>0.0</v>
      </c>
      <c r="AG129" s="73">
        <v>0.0</v>
      </c>
      <c r="AH129" s="73">
        <v>0.0</v>
      </c>
      <c r="AI129" s="73">
        <v>1.0</v>
      </c>
      <c r="AJ129" s="73">
        <v>0.0</v>
      </c>
      <c r="AK129" s="73">
        <v>1.0</v>
      </c>
      <c r="AL129" s="73">
        <v>0.0</v>
      </c>
      <c r="AM129" s="73">
        <v>0.0</v>
      </c>
      <c r="AN129" s="73">
        <v>0.0</v>
      </c>
      <c r="AO129" s="73">
        <v>1.0</v>
      </c>
      <c r="AP129" s="73">
        <v>0.0</v>
      </c>
      <c r="AQ129" s="73">
        <v>0.0</v>
      </c>
      <c r="AR129" s="73">
        <v>1.0</v>
      </c>
      <c r="AS129" s="73">
        <v>0.0</v>
      </c>
      <c r="AT129" s="73">
        <v>0.0</v>
      </c>
      <c r="AU129" s="13">
        <f t="shared" ref="AU129:AU138" si="28">SUM(E129:AT129)</f>
        <v>20</v>
      </c>
    </row>
    <row r="130" ht="12.75" customHeight="1">
      <c r="A130" s="30" t="s">
        <v>39</v>
      </c>
      <c r="B130" s="49"/>
      <c r="C130" s="50" t="s">
        <v>104</v>
      </c>
      <c r="D130" s="51"/>
      <c r="E130" s="73">
        <v>0.0</v>
      </c>
      <c r="F130" s="73">
        <v>0.0</v>
      </c>
      <c r="G130" s="73">
        <v>1.0</v>
      </c>
      <c r="H130" s="73">
        <v>0.0</v>
      </c>
      <c r="I130" s="73">
        <v>0.0</v>
      </c>
      <c r="J130" s="73">
        <v>0.0</v>
      </c>
      <c r="K130" s="73">
        <v>0.0</v>
      </c>
      <c r="L130" s="73">
        <v>0.0</v>
      </c>
      <c r="M130" s="73">
        <v>0.0</v>
      </c>
      <c r="N130" s="73">
        <v>0.0</v>
      </c>
      <c r="O130" s="73">
        <v>0.0</v>
      </c>
      <c r="P130" s="73">
        <v>0.0</v>
      </c>
      <c r="Q130" s="73">
        <v>1.0</v>
      </c>
      <c r="R130" s="73">
        <v>1.0</v>
      </c>
      <c r="S130" s="73">
        <v>0.0</v>
      </c>
      <c r="T130" s="73">
        <v>1.0</v>
      </c>
      <c r="U130" s="73">
        <v>0.0</v>
      </c>
      <c r="V130" s="73">
        <v>1.0</v>
      </c>
      <c r="W130" s="73">
        <v>1.0</v>
      </c>
      <c r="X130" s="73">
        <v>0.0</v>
      </c>
      <c r="Y130" s="73">
        <v>1.0</v>
      </c>
      <c r="Z130" s="73">
        <v>3.0</v>
      </c>
      <c r="AA130" s="73">
        <v>2.0</v>
      </c>
      <c r="AB130" s="73">
        <v>4.0</v>
      </c>
      <c r="AC130" s="73">
        <v>2.0</v>
      </c>
      <c r="AD130" s="73">
        <v>1.0</v>
      </c>
      <c r="AE130" s="73">
        <v>0.0</v>
      </c>
      <c r="AF130" s="73">
        <v>3.0</v>
      </c>
      <c r="AG130" s="73">
        <v>0.0</v>
      </c>
      <c r="AH130" s="73">
        <v>0.0</v>
      </c>
      <c r="AI130" s="73">
        <v>1.0</v>
      </c>
      <c r="AJ130" s="73">
        <v>0.0</v>
      </c>
      <c r="AK130" s="73">
        <v>2.0</v>
      </c>
      <c r="AL130" s="73">
        <v>0.0</v>
      </c>
      <c r="AM130" s="73">
        <v>0.0</v>
      </c>
      <c r="AN130" s="73">
        <v>0.0</v>
      </c>
      <c r="AO130" s="73">
        <v>0.0</v>
      </c>
      <c r="AP130" s="73">
        <v>1.0</v>
      </c>
      <c r="AQ130" s="73">
        <v>3.0</v>
      </c>
      <c r="AR130" s="73">
        <v>0.0</v>
      </c>
      <c r="AS130" s="73">
        <v>2.0</v>
      </c>
      <c r="AT130" s="73">
        <v>1.0</v>
      </c>
      <c r="AU130" s="13">
        <f t="shared" si="28"/>
        <v>32</v>
      </c>
    </row>
    <row r="131" ht="12.75" customHeight="1">
      <c r="A131" s="18"/>
      <c r="B131" s="49"/>
      <c r="C131" s="50" t="s">
        <v>105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1.0</v>
      </c>
      <c r="J131" s="73">
        <v>0.0</v>
      </c>
      <c r="K131" s="73">
        <v>0.0</v>
      </c>
      <c r="L131" s="73">
        <v>0.0</v>
      </c>
      <c r="M131" s="73">
        <v>0.0</v>
      </c>
      <c r="N131" s="73">
        <v>0.0</v>
      </c>
      <c r="O131" s="73">
        <v>0.0</v>
      </c>
      <c r="P131" s="73">
        <v>1.0</v>
      </c>
      <c r="Q131" s="73">
        <v>1.0</v>
      </c>
      <c r="R131" s="73">
        <v>0.0</v>
      </c>
      <c r="S131" s="73">
        <v>0.0</v>
      </c>
      <c r="T131" s="73">
        <v>1.0</v>
      </c>
      <c r="U131" s="73">
        <v>0.0</v>
      </c>
      <c r="V131" s="73">
        <v>0.0</v>
      </c>
      <c r="W131" s="73">
        <v>0.0</v>
      </c>
      <c r="X131" s="73">
        <v>0.0</v>
      </c>
      <c r="Y131" s="73">
        <v>0.0</v>
      </c>
      <c r="Z131" s="73">
        <v>0.0</v>
      </c>
      <c r="AA131" s="73">
        <v>2.0</v>
      </c>
      <c r="AB131" s="73">
        <v>1.0</v>
      </c>
      <c r="AC131" s="73">
        <v>0.0</v>
      </c>
      <c r="AD131" s="73">
        <v>0.0</v>
      </c>
      <c r="AE131" s="73">
        <v>0.0</v>
      </c>
      <c r="AF131" s="73">
        <v>0.0</v>
      </c>
      <c r="AG131" s="73">
        <v>1.0</v>
      </c>
      <c r="AH131" s="73">
        <v>0.0</v>
      </c>
      <c r="AI131" s="73">
        <v>0.0</v>
      </c>
      <c r="AJ131" s="73">
        <v>0.0</v>
      </c>
      <c r="AK131" s="73">
        <v>0.0</v>
      </c>
      <c r="AL131" s="73">
        <v>0.0</v>
      </c>
      <c r="AM131" s="73">
        <v>0.0</v>
      </c>
      <c r="AN131" s="73">
        <v>0.0</v>
      </c>
      <c r="AO131" s="73">
        <v>0.0</v>
      </c>
      <c r="AP131" s="73">
        <v>1.0</v>
      </c>
      <c r="AQ131" s="73">
        <v>0.0</v>
      </c>
      <c r="AR131" s="73">
        <v>0.0</v>
      </c>
      <c r="AS131" s="73">
        <v>0.0</v>
      </c>
      <c r="AT131" s="73">
        <v>0.0</v>
      </c>
      <c r="AU131" s="13">
        <f t="shared" si="28"/>
        <v>9</v>
      </c>
    </row>
    <row r="132" ht="12.75" customHeight="1">
      <c r="A132" s="18"/>
      <c r="B132" s="49"/>
      <c r="C132" s="50" t="s">
        <v>106</v>
      </c>
      <c r="D132" s="51"/>
      <c r="E132" s="73">
        <v>1.0</v>
      </c>
      <c r="F132" s="73">
        <v>0.0</v>
      </c>
      <c r="G132" s="73">
        <v>0.0</v>
      </c>
      <c r="H132" s="73">
        <v>1.0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1.0</v>
      </c>
      <c r="V132" s="73">
        <v>0.0</v>
      </c>
      <c r="W132" s="73">
        <v>0.0</v>
      </c>
      <c r="X132" s="73">
        <v>0.0</v>
      </c>
      <c r="Y132" s="73">
        <v>0.0</v>
      </c>
      <c r="Z132" s="73">
        <v>0.0</v>
      </c>
      <c r="AA132" s="73">
        <v>0.0</v>
      </c>
      <c r="AB132" s="73">
        <v>0.0</v>
      </c>
      <c r="AC132" s="73">
        <v>0.0</v>
      </c>
      <c r="AD132" s="73">
        <v>0.0</v>
      </c>
      <c r="AE132" s="73">
        <v>0.0</v>
      </c>
      <c r="AF132" s="73">
        <v>0.0</v>
      </c>
      <c r="AG132" s="73">
        <v>1.0</v>
      </c>
      <c r="AH132" s="73">
        <v>0.0</v>
      </c>
      <c r="AI132" s="73">
        <v>0.0</v>
      </c>
      <c r="AJ132" s="73">
        <v>0.0</v>
      </c>
      <c r="AK132" s="73">
        <v>0.0</v>
      </c>
      <c r="AL132" s="73">
        <v>0.0</v>
      </c>
      <c r="AM132" s="73">
        <v>0.0</v>
      </c>
      <c r="AN132" s="73">
        <v>0.0</v>
      </c>
      <c r="AO132" s="73">
        <v>0.0</v>
      </c>
      <c r="AP132" s="73">
        <v>0.0</v>
      </c>
      <c r="AQ132" s="73">
        <v>0.0</v>
      </c>
      <c r="AR132" s="73">
        <v>0.0</v>
      </c>
      <c r="AS132" s="73">
        <v>0.0</v>
      </c>
      <c r="AT132" s="73">
        <v>0.0</v>
      </c>
      <c r="AU132" s="13">
        <f t="shared" si="28"/>
        <v>4</v>
      </c>
    </row>
    <row r="133" ht="12.75" customHeight="1">
      <c r="A133" s="18"/>
      <c r="B133" s="49"/>
      <c r="C133" s="50" t="s">
        <v>107</v>
      </c>
      <c r="D133" s="51"/>
      <c r="E133" s="73">
        <v>0.0</v>
      </c>
      <c r="F133" s="73">
        <v>0.0</v>
      </c>
      <c r="G133" s="73">
        <v>0.0</v>
      </c>
      <c r="H133" s="73">
        <v>2.0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1.0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73">
        <v>0.0</v>
      </c>
      <c r="AC133" s="73">
        <v>0.0</v>
      </c>
      <c r="AD133" s="73">
        <v>0.0</v>
      </c>
      <c r="AE133" s="73">
        <v>0.0</v>
      </c>
      <c r="AF133" s="73">
        <v>0.0</v>
      </c>
      <c r="AG133" s="73">
        <v>0.0</v>
      </c>
      <c r="AH133" s="73">
        <v>0.0</v>
      </c>
      <c r="AI133" s="73">
        <v>0.0</v>
      </c>
      <c r="AJ133" s="73">
        <v>0.0</v>
      </c>
      <c r="AK133" s="73">
        <v>0.0</v>
      </c>
      <c r="AL133" s="73">
        <v>0.0</v>
      </c>
      <c r="AM133" s="73">
        <v>0.0</v>
      </c>
      <c r="AN133" s="73">
        <v>0.0</v>
      </c>
      <c r="AO133" s="73">
        <v>0.0</v>
      </c>
      <c r="AP133" s="73">
        <v>0.0</v>
      </c>
      <c r="AQ133" s="73">
        <v>1.0</v>
      </c>
      <c r="AR133" s="73">
        <v>0.0</v>
      </c>
      <c r="AS133" s="73">
        <v>0.0</v>
      </c>
      <c r="AT133" s="73">
        <v>0.0</v>
      </c>
      <c r="AU133" s="13">
        <f t="shared" si="28"/>
        <v>4</v>
      </c>
    </row>
    <row r="134" ht="12.75" customHeight="1">
      <c r="A134" s="18"/>
      <c r="B134" s="49"/>
      <c r="C134" s="50" t="s">
        <v>108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0.0</v>
      </c>
      <c r="Y134" s="73">
        <v>0.0</v>
      </c>
      <c r="Z134" s="73">
        <v>0.0</v>
      </c>
      <c r="AA134" s="73">
        <v>0.0</v>
      </c>
      <c r="AB134" s="73">
        <v>0.0</v>
      </c>
      <c r="AC134" s="73">
        <v>0.0</v>
      </c>
      <c r="AD134" s="73">
        <v>0.0</v>
      </c>
      <c r="AE134" s="73">
        <v>0.0</v>
      </c>
      <c r="AF134" s="73">
        <v>0.0</v>
      </c>
      <c r="AG134" s="73">
        <v>0.0</v>
      </c>
      <c r="AH134" s="73">
        <v>0.0</v>
      </c>
      <c r="AI134" s="73">
        <v>0.0</v>
      </c>
      <c r="AJ134" s="73">
        <v>0.0</v>
      </c>
      <c r="AK134" s="73">
        <v>2.0</v>
      </c>
      <c r="AL134" s="73">
        <v>1.0</v>
      </c>
      <c r="AM134" s="73">
        <v>0.0</v>
      </c>
      <c r="AN134" s="73">
        <v>0.0</v>
      </c>
      <c r="AO134" s="73">
        <v>0.0</v>
      </c>
      <c r="AP134" s="73">
        <v>0.0</v>
      </c>
      <c r="AQ134" s="73">
        <v>0.0</v>
      </c>
      <c r="AR134" s="73">
        <v>1.0</v>
      </c>
      <c r="AS134" s="73">
        <v>1.0</v>
      </c>
      <c r="AT134" s="73">
        <v>0.0</v>
      </c>
      <c r="AU134" s="13">
        <f t="shared" si="28"/>
        <v>5</v>
      </c>
    </row>
    <row r="135" ht="12.75" customHeight="1">
      <c r="A135" s="18"/>
      <c r="B135" s="49"/>
      <c r="C135" s="50" t="s">
        <v>109</v>
      </c>
      <c r="D135" s="51"/>
      <c r="E135" s="73">
        <v>2.0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1.0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0.0</v>
      </c>
      <c r="AA135" s="73">
        <v>0.0</v>
      </c>
      <c r="AB135" s="73">
        <v>0.0</v>
      </c>
      <c r="AC135" s="73">
        <v>0.0</v>
      </c>
      <c r="AD135" s="73">
        <v>0.0</v>
      </c>
      <c r="AE135" s="73">
        <v>0.0</v>
      </c>
      <c r="AF135" s="73">
        <v>0.0</v>
      </c>
      <c r="AG135" s="73">
        <v>0.0</v>
      </c>
      <c r="AH135" s="73">
        <v>0.0</v>
      </c>
      <c r="AI135" s="73">
        <v>0.0</v>
      </c>
      <c r="AJ135" s="73">
        <v>0.0</v>
      </c>
      <c r="AK135" s="73">
        <v>0.0</v>
      </c>
      <c r="AL135" s="73">
        <v>0.0</v>
      </c>
      <c r="AM135" s="73">
        <v>0.0</v>
      </c>
      <c r="AN135" s="73">
        <v>0.0</v>
      </c>
      <c r="AO135" s="73">
        <v>1.0</v>
      </c>
      <c r="AP135" s="73">
        <v>0.0</v>
      </c>
      <c r="AQ135" s="73">
        <v>0.0</v>
      </c>
      <c r="AR135" s="73">
        <v>0.0</v>
      </c>
      <c r="AS135" s="73">
        <v>0.0</v>
      </c>
      <c r="AT135" s="73">
        <v>0.0</v>
      </c>
      <c r="AU135" s="13">
        <f t="shared" si="28"/>
        <v>4</v>
      </c>
    </row>
    <row r="136" ht="12.75" customHeight="1">
      <c r="A136" s="18"/>
      <c r="B136" s="49"/>
      <c r="C136" s="50" t="s">
        <v>110</v>
      </c>
      <c r="D136" s="51"/>
      <c r="E136" s="73">
        <v>1.0</v>
      </c>
      <c r="F136" s="73">
        <v>0.0</v>
      </c>
      <c r="G136" s="73">
        <v>0.0</v>
      </c>
      <c r="H136" s="73">
        <v>1.0</v>
      </c>
      <c r="I136" s="73">
        <v>0.0</v>
      </c>
      <c r="J136" s="73">
        <v>2.0</v>
      </c>
      <c r="K136" s="73">
        <v>0.0</v>
      </c>
      <c r="L136" s="73">
        <v>1.0</v>
      </c>
      <c r="M136" s="73">
        <v>0.0</v>
      </c>
      <c r="N136" s="73">
        <v>0.0</v>
      </c>
      <c r="O136" s="73">
        <v>0.0</v>
      </c>
      <c r="P136" s="73">
        <v>0.0</v>
      </c>
      <c r="Q136" s="73">
        <v>0.0</v>
      </c>
      <c r="R136" s="73">
        <v>0.0</v>
      </c>
      <c r="S136" s="73">
        <v>0.0</v>
      </c>
      <c r="T136" s="73">
        <v>0.0</v>
      </c>
      <c r="U136" s="73">
        <v>0.0</v>
      </c>
      <c r="V136" s="73">
        <v>0.0</v>
      </c>
      <c r="W136" s="73">
        <v>0.0</v>
      </c>
      <c r="X136" s="73">
        <v>0.0</v>
      </c>
      <c r="Y136" s="73">
        <v>0.0</v>
      </c>
      <c r="Z136" s="73">
        <v>0.0</v>
      </c>
      <c r="AA136" s="73">
        <v>0.0</v>
      </c>
      <c r="AB136" s="73">
        <v>0.0</v>
      </c>
      <c r="AC136" s="73">
        <v>0.0</v>
      </c>
      <c r="AD136" s="73">
        <v>0.0</v>
      </c>
      <c r="AE136" s="73">
        <v>0.0</v>
      </c>
      <c r="AF136" s="73">
        <v>0.0</v>
      </c>
      <c r="AG136" s="73">
        <v>0.0</v>
      </c>
      <c r="AH136" s="73">
        <v>0.0</v>
      </c>
      <c r="AI136" s="73">
        <v>0.0</v>
      </c>
      <c r="AJ136" s="73">
        <v>0.0</v>
      </c>
      <c r="AK136" s="73">
        <v>0.0</v>
      </c>
      <c r="AL136" s="73">
        <v>0.0</v>
      </c>
      <c r="AM136" s="73">
        <v>0.0</v>
      </c>
      <c r="AN136" s="73">
        <v>0.0</v>
      </c>
      <c r="AO136" s="73">
        <v>0.0</v>
      </c>
      <c r="AP136" s="73">
        <v>0.0</v>
      </c>
      <c r="AQ136" s="73">
        <v>0.0</v>
      </c>
      <c r="AR136" s="73">
        <v>0.0</v>
      </c>
      <c r="AS136" s="73">
        <v>0.0</v>
      </c>
      <c r="AT136" s="73">
        <v>0.0</v>
      </c>
      <c r="AU136" s="13">
        <f t="shared" si="28"/>
        <v>5</v>
      </c>
    </row>
    <row r="137" ht="12.75" customHeight="1">
      <c r="A137" s="18"/>
      <c r="B137" s="49"/>
      <c r="C137" s="50" t="s">
        <v>111</v>
      </c>
      <c r="D137" s="51"/>
      <c r="E137" s="73">
        <v>0.0</v>
      </c>
      <c r="F137" s="73">
        <v>0.0</v>
      </c>
      <c r="G137" s="73">
        <v>0.0</v>
      </c>
      <c r="H137" s="73">
        <v>0.0</v>
      </c>
      <c r="I137" s="73">
        <v>0.0</v>
      </c>
      <c r="J137" s="73">
        <v>0.0</v>
      </c>
      <c r="K137" s="73">
        <v>0.0</v>
      </c>
      <c r="L137" s="73">
        <v>0.0</v>
      </c>
      <c r="M137" s="73">
        <v>0.0</v>
      </c>
      <c r="N137" s="73">
        <v>0.0</v>
      </c>
      <c r="O137" s="73">
        <v>0.0</v>
      </c>
      <c r="P137" s="73">
        <v>0.0</v>
      </c>
      <c r="Q137" s="73">
        <v>0.0</v>
      </c>
      <c r="R137" s="73">
        <v>0.0</v>
      </c>
      <c r="S137" s="73">
        <v>0.0</v>
      </c>
      <c r="T137" s="73">
        <v>0.0</v>
      </c>
      <c r="U137" s="73">
        <v>0.0</v>
      </c>
      <c r="V137" s="73">
        <v>0.0</v>
      </c>
      <c r="W137" s="73">
        <v>0.0</v>
      </c>
      <c r="X137" s="73">
        <v>0.0</v>
      </c>
      <c r="Y137" s="73">
        <v>0.0</v>
      </c>
      <c r="Z137" s="73">
        <v>0.0</v>
      </c>
      <c r="AA137" s="73">
        <v>0.0</v>
      </c>
      <c r="AB137" s="73">
        <v>0.0</v>
      </c>
      <c r="AC137" s="73">
        <v>0.0</v>
      </c>
      <c r="AD137" s="73">
        <v>0.0</v>
      </c>
      <c r="AE137" s="73">
        <v>0.0</v>
      </c>
      <c r="AF137" s="73">
        <v>0.0</v>
      </c>
      <c r="AG137" s="73">
        <v>0.0</v>
      </c>
      <c r="AH137" s="73">
        <v>0.0</v>
      </c>
      <c r="AI137" s="73">
        <v>0.0</v>
      </c>
      <c r="AJ137" s="73">
        <v>0.0</v>
      </c>
      <c r="AK137" s="73">
        <v>0.0</v>
      </c>
      <c r="AL137" s="73">
        <v>0.0</v>
      </c>
      <c r="AM137" s="73">
        <v>0.0</v>
      </c>
      <c r="AN137" s="73">
        <v>0.0</v>
      </c>
      <c r="AO137" s="73">
        <v>0.0</v>
      </c>
      <c r="AP137" s="73">
        <v>0.0</v>
      </c>
      <c r="AQ137" s="73">
        <v>0.0</v>
      </c>
      <c r="AR137" s="73">
        <v>0.0</v>
      </c>
      <c r="AS137" s="73">
        <v>0.0</v>
      </c>
      <c r="AT137" s="73">
        <v>0.0</v>
      </c>
      <c r="AU137" s="13">
        <f t="shared" si="28"/>
        <v>0</v>
      </c>
    </row>
    <row r="138" ht="12.75" customHeight="1">
      <c r="A138" s="18"/>
      <c r="B138" s="49"/>
      <c r="C138" s="50" t="s">
        <v>112</v>
      </c>
      <c r="D138" s="51"/>
      <c r="E138" s="73">
        <v>0.0</v>
      </c>
      <c r="F138" s="73">
        <v>1.0</v>
      </c>
      <c r="G138" s="73">
        <v>0.0</v>
      </c>
      <c r="H138" s="73">
        <v>0.0</v>
      </c>
      <c r="I138" s="73">
        <v>0.0</v>
      </c>
      <c r="J138" s="73">
        <v>0.0</v>
      </c>
      <c r="K138" s="73">
        <v>0.0</v>
      </c>
      <c r="L138" s="73">
        <v>0.0</v>
      </c>
      <c r="M138" s="73">
        <v>0.0</v>
      </c>
      <c r="N138" s="73">
        <v>0.0</v>
      </c>
      <c r="O138" s="73">
        <v>0.0</v>
      </c>
      <c r="P138" s="73">
        <v>0.0</v>
      </c>
      <c r="Q138" s="73">
        <v>0.0</v>
      </c>
      <c r="R138" s="73">
        <v>0.0</v>
      </c>
      <c r="S138" s="73">
        <v>0.0</v>
      </c>
      <c r="T138" s="73">
        <v>0.0</v>
      </c>
      <c r="U138" s="73">
        <v>0.0</v>
      </c>
      <c r="V138" s="73">
        <v>0.0</v>
      </c>
      <c r="W138" s="73">
        <v>0.0</v>
      </c>
      <c r="X138" s="73">
        <v>0.0</v>
      </c>
      <c r="Y138" s="73">
        <v>0.0</v>
      </c>
      <c r="Z138" s="73">
        <v>0.0</v>
      </c>
      <c r="AA138" s="73">
        <v>0.0</v>
      </c>
      <c r="AB138" s="73">
        <v>0.0</v>
      </c>
      <c r="AC138" s="73">
        <v>0.0</v>
      </c>
      <c r="AD138" s="73">
        <v>0.0</v>
      </c>
      <c r="AE138" s="73">
        <v>0.0</v>
      </c>
      <c r="AF138" s="73">
        <v>0.0</v>
      </c>
      <c r="AG138" s="73">
        <v>0.0</v>
      </c>
      <c r="AH138" s="73">
        <v>0.0</v>
      </c>
      <c r="AI138" s="73">
        <v>0.0</v>
      </c>
      <c r="AJ138" s="73">
        <v>0.0</v>
      </c>
      <c r="AK138" s="73">
        <v>2.0</v>
      </c>
      <c r="AL138" s="73">
        <v>0.0</v>
      </c>
      <c r="AM138" s="73">
        <v>0.0</v>
      </c>
      <c r="AN138" s="73">
        <v>0.0</v>
      </c>
      <c r="AO138" s="73">
        <v>0.0</v>
      </c>
      <c r="AP138" s="73">
        <v>0.0</v>
      </c>
      <c r="AQ138" s="73">
        <v>0.0</v>
      </c>
      <c r="AR138" s="73">
        <v>0.0</v>
      </c>
      <c r="AS138" s="73">
        <v>0.0</v>
      </c>
      <c r="AT138" s="73">
        <v>0.0</v>
      </c>
      <c r="AU138" s="13">
        <f t="shared" si="28"/>
        <v>3</v>
      </c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U139" si="29">SUM(E129:E138)</f>
        <v>4</v>
      </c>
      <c r="F139" s="13">
        <f t="shared" si="29"/>
        <v>2</v>
      </c>
      <c r="G139" s="13">
        <f t="shared" si="29"/>
        <v>3</v>
      </c>
      <c r="H139" s="13">
        <f t="shared" si="29"/>
        <v>4</v>
      </c>
      <c r="I139" s="13">
        <f t="shared" si="29"/>
        <v>1</v>
      </c>
      <c r="J139" s="13">
        <f t="shared" si="29"/>
        <v>2</v>
      </c>
      <c r="K139" s="13">
        <f t="shared" si="29"/>
        <v>1</v>
      </c>
      <c r="L139" s="13">
        <f t="shared" si="29"/>
        <v>1</v>
      </c>
      <c r="M139" s="13">
        <f t="shared" si="29"/>
        <v>0</v>
      </c>
      <c r="N139" s="13">
        <f t="shared" si="29"/>
        <v>0</v>
      </c>
      <c r="O139" s="13">
        <f t="shared" si="29"/>
        <v>0</v>
      </c>
      <c r="P139" s="13">
        <f t="shared" si="29"/>
        <v>1</v>
      </c>
      <c r="Q139" s="13">
        <f t="shared" si="29"/>
        <v>4</v>
      </c>
      <c r="R139" s="13">
        <f t="shared" si="29"/>
        <v>1</v>
      </c>
      <c r="S139" s="13">
        <f t="shared" si="29"/>
        <v>1</v>
      </c>
      <c r="T139" s="13">
        <f t="shared" si="29"/>
        <v>3</v>
      </c>
      <c r="U139" s="13">
        <f t="shared" si="29"/>
        <v>1</v>
      </c>
      <c r="V139" s="13">
        <f t="shared" si="29"/>
        <v>2</v>
      </c>
      <c r="W139" s="13">
        <f t="shared" si="29"/>
        <v>1</v>
      </c>
      <c r="X139" s="13">
        <f t="shared" si="29"/>
        <v>0</v>
      </c>
      <c r="Y139" s="13">
        <f t="shared" si="29"/>
        <v>1</v>
      </c>
      <c r="Z139" s="13">
        <f t="shared" si="29"/>
        <v>4</v>
      </c>
      <c r="AA139" s="13">
        <f t="shared" si="29"/>
        <v>4</v>
      </c>
      <c r="AB139" s="13">
        <f t="shared" si="29"/>
        <v>7</v>
      </c>
      <c r="AC139" s="13">
        <f t="shared" si="29"/>
        <v>6</v>
      </c>
      <c r="AD139" s="13">
        <f t="shared" si="29"/>
        <v>3</v>
      </c>
      <c r="AE139" s="13">
        <f t="shared" si="29"/>
        <v>0</v>
      </c>
      <c r="AF139" s="13">
        <f t="shared" si="29"/>
        <v>3</v>
      </c>
      <c r="AG139" s="13">
        <f t="shared" si="29"/>
        <v>2</v>
      </c>
      <c r="AH139" s="13">
        <f t="shared" si="29"/>
        <v>0</v>
      </c>
      <c r="AI139" s="13">
        <f t="shared" si="29"/>
        <v>2</v>
      </c>
      <c r="AJ139" s="13">
        <f t="shared" si="29"/>
        <v>0</v>
      </c>
      <c r="AK139" s="13">
        <f t="shared" si="29"/>
        <v>7</v>
      </c>
      <c r="AL139" s="13">
        <f t="shared" si="29"/>
        <v>1</v>
      </c>
      <c r="AM139" s="13">
        <f t="shared" si="29"/>
        <v>0</v>
      </c>
      <c r="AN139" s="13">
        <f t="shared" si="29"/>
        <v>0</v>
      </c>
      <c r="AO139" s="13">
        <f t="shared" si="29"/>
        <v>2</v>
      </c>
      <c r="AP139" s="13">
        <f t="shared" si="29"/>
        <v>2</v>
      </c>
      <c r="AQ139" s="13">
        <f t="shared" si="29"/>
        <v>4</v>
      </c>
      <c r="AR139" s="13">
        <f t="shared" si="29"/>
        <v>2</v>
      </c>
      <c r="AS139" s="13">
        <f t="shared" si="29"/>
        <v>3</v>
      </c>
      <c r="AT139" s="13">
        <f t="shared" si="29"/>
        <v>1</v>
      </c>
      <c r="AU139" s="13">
        <f t="shared" si="29"/>
        <v>86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1.0</v>
      </c>
      <c r="M141" s="73">
        <v>0.0</v>
      </c>
      <c r="N141" s="73">
        <v>1.0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1.0</v>
      </c>
      <c r="X141" s="73">
        <v>0.0</v>
      </c>
      <c r="Y141" s="73">
        <v>1.0</v>
      </c>
      <c r="Z141" s="73">
        <v>0.0</v>
      </c>
      <c r="AA141" s="73">
        <v>0.0</v>
      </c>
      <c r="AB141" s="73">
        <v>0.0</v>
      </c>
      <c r="AC141" s="73">
        <v>0.0</v>
      </c>
      <c r="AD141" s="73">
        <v>0.0</v>
      </c>
      <c r="AE141" s="73">
        <v>0.0</v>
      </c>
      <c r="AF141" s="73">
        <v>0.0</v>
      </c>
      <c r="AG141" s="73">
        <v>0.0</v>
      </c>
      <c r="AH141" s="73">
        <v>0.0</v>
      </c>
      <c r="AI141" s="73">
        <v>1.0</v>
      </c>
      <c r="AJ141" s="73">
        <v>1.0</v>
      </c>
      <c r="AK141" s="73">
        <v>0.0</v>
      </c>
      <c r="AL141" s="73">
        <v>0.0</v>
      </c>
      <c r="AM141" s="73">
        <v>0.0</v>
      </c>
      <c r="AN141" s="73">
        <v>0.0</v>
      </c>
      <c r="AO141" s="73">
        <v>1.0</v>
      </c>
      <c r="AP141" s="73">
        <v>0.0</v>
      </c>
      <c r="AQ141" s="73">
        <v>0.0</v>
      </c>
      <c r="AR141" s="73">
        <v>0.0</v>
      </c>
      <c r="AS141" s="73">
        <v>0.0</v>
      </c>
      <c r="AT141" s="73">
        <v>0.0</v>
      </c>
      <c r="AU141" s="13">
        <f t="shared" ref="AU141:AU150" si="30">SUM(E141:AT141)</f>
        <v>7</v>
      </c>
    </row>
    <row r="142" ht="12.75" customHeight="1">
      <c r="A142" s="30" t="s">
        <v>39</v>
      </c>
      <c r="B142" s="49"/>
      <c r="C142" s="50" t="s">
        <v>115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73">
        <v>0.0</v>
      </c>
      <c r="AB142" s="73">
        <v>0.0</v>
      </c>
      <c r="AC142" s="73">
        <v>0.0</v>
      </c>
      <c r="AD142" s="73">
        <v>0.0</v>
      </c>
      <c r="AE142" s="73">
        <v>0.0</v>
      </c>
      <c r="AF142" s="73">
        <v>0.0</v>
      </c>
      <c r="AG142" s="73">
        <v>0.0</v>
      </c>
      <c r="AH142" s="73">
        <v>0.0</v>
      </c>
      <c r="AI142" s="73">
        <v>0.0</v>
      </c>
      <c r="AJ142" s="73">
        <v>0.0</v>
      </c>
      <c r="AK142" s="73">
        <v>0.0</v>
      </c>
      <c r="AL142" s="73">
        <v>0.0</v>
      </c>
      <c r="AM142" s="73">
        <v>0.0</v>
      </c>
      <c r="AN142" s="73">
        <v>0.0</v>
      </c>
      <c r="AO142" s="73">
        <v>0.0</v>
      </c>
      <c r="AP142" s="73">
        <v>0.0</v>
      </c>
      <c r="AQ142" s="73">
        <v>0.0</v>
      </c>
      <c r="AR142" s="73">
        <v>0.0</v>
      </c>
      <c r="AS142" s="73">
        <v>0.0</v>
      </c>
      <c r="AT142" s="73">
        <v>0.0</v>
      </c>
      <c r="AU142" s="13">
        <f t="shared" si="30"/>
        <v>0</v>
      </c>
    </row>
    <row r="143" ht="12.75" customHeight="1">
      <c r="A143" s="18"/>
      <c r="B143" s="49"/>
      <c r="C143" s="50" t="s">
        <v>116</v>
      </c>
      <c r="D143" s="51"/>
      <c r="E143" s="73">
        <v>0.0</v>
      </c>
      <c r="F143" s="73">
        <v>0.0</v>
      </c>
      <c r="G143" s="73">
        <v>0.0</v>
      </c>
      <c r="H143" s="73">
        <v>0.0</v>
      </c>
      <c r="I143" s="73">
        <v>0.0</v>
      </c>
      <c r="J143" s="73">
        <v>0.0</v>
      </c>
      <c r="K143" s="73">
        <v>0.0</v>
      </c>
      <c r="L143" s="73">
        <v>0.0</v>
      </c>
      <c r="M143" s="73">
        <v>0.0</v>
      </c>
      <c r="N143" s="73">
        <v>0.0</v>
      </c>
      <c r="O143" s="73">
        <v>0.0</v>
      </c>
      <c r="P143" s="73">
        <v>0.0</v>
      </c>
      <c r="Q143" s="73">
        <v>0.0</v>
      </c>
      <c r="R143" s="73">
        <v>0.0</v>
      </c>
      <c r="S143" s="73">
        <v>0.0</v>
      </c>
      <c r="T143" s="73">
        <v>0.0</v>
      </c>
      <c r="U143" s="73">
        <v>0.0</v>
      </c>
      <c r="V143" s="73">
        <v>0.0</v>
      </c>
      <c r="W143" s="73">
        <v>0.0</v>
      </c>
      <c r="X143" s="73">
        <v>0.0</v>
      </c>
      <c r="Y143" s="73">
        <v>0.0</v>
      </c>
      <c r="Z143" s="73">
        <v>0.0</v>
      </c>
      <c r="AA143" s="73">
        <v>0.0</v>
      </c>
      <c r="AB143" s="73">
        <v>0.0</v>
      </c>
      <c r="AC143" s="73">
        <v>0.0</v>
      </c>
      <c r="AD143" s="73">
        <v>0.0</v>
      </c>
      <c r="AE143" s="73">
        <v>0.0</v>
      </c>
      <c r="AF143" s="73">
        <v>1.0</v>
      </c>
      <c r="AG143" s="73">
        <v>0.0</v>
      </c>
      <c r="AH143" s="73">
        <v>0.0</v>
      </c>
      <c r="AI143" s="73">
        <v>0.0</v>
      </c>
      <c r="AJ143" s="73">
        <v>0.0</v>
      </c>
      <c r="AK143" s="73">
        <v>0.0</v>
      </c>
      <c r="AL143" s="73">
        <v>0.0</v>
      </c>
      <c r="AM143" s="73">
        <v>0.0</v>
      </c>
      <c r="AN143" s="73">
        <v>0.0</v>
      </c>
      <c r="AO143" s="73">
        <v>0.0</v>
      </c>
      <c r="AP143" s="73">
        <v>0.0</v>
      </c>
      <c r="AQ143" s="73">
        <v>0.0</v>
      </c>
      <c r="AR143" s="73">
        <v>0.0</v>
      </c>
      <c r="AS143" s="73">
        <v>0.0</v>
      </c>
      <c r="AT143" s="73">
        <v>0.0</v>
      </c>
      <c r="AU143" s="13">
        <f t="shared" si="30"/>
        <v>1</v>
      </c>
    </row>
    <row r="144" ht="12.75" customHeight="1">
      <c r="A144" s="18"/>
      <c r="B144" s="49"/>
      <c r="C144" s="50" t="s">
        <v>117</v>
      </c>
      <c r="D144" s="51"/>
      <c r="E144" s="73">
        <v>0.0</v>
      </c>
      <c r="F144" s="73">
        <v>0.0</v>
      </c>
      <c r="G144" s="73">
        <v>0.0</v>
      </c>
      <c r="H144" s="73">
        <v>0.0</v>
      </c>
      <c r="I144" s="73">
        <v>1.0</v>
      </c>
      <c r="J144" s="73">
        <v>0.0</v>
      </c>
      <c r="K144" s="73">
        <v>0.0</v>
      </c>
      <c r="L144" s="73">
        <v>0.0</v>
      </c>
      <c r="M144" s="73">
        <v>0.0</v>
      </c>
      <c r="N144" s="73">
        <v>0.0</v>
      </c>
      <c r="O144" s="73">
        <v>0.0</v>
      </c>
      <c r="P144" s="73">
        <v>0.0</v>
      </c>
      <c r="Q144" s="73">
        <v>0.0</v>
      </c>
      <c r="R144" s="73">
        <v>0.0</v>
      </c>
      <c r="S144" s="73">
        <v>0.0</v>
      </c>
      <c r="T144" s="73">
        <v>0.0</v>
      </c>
      <c r="U144" s="73">
        <v>0.0</v>
      </c>
      <c r="V144" s="73">
        <v>0.0</v>
      </c>
      <c r="W144" s="73">
        <v>0.0</v>
      </c>
      <c r="X144" s="73">
        <v>0.0</v>
      </c>
      <c r="Y144" s="73">
        <v>0.0</v>
      </c>
      <c r="Z144" s="73">
        <v>0.0</v>
      </c>
      <c r="AA144" s="73">
        <v>0.0</v>
      </c>
      <c r="AB144" s="73">
        <v>0.0</v>
      </c>
      <c r="AC144" s="73">
        <v>0.0</v>
      </c>
      <c r="AD144" s="73">
        <v>0.0</v>
      </c>
      <c r="AE144" s="73">
        <v>0.0</v>
      </c>
      <c r="AF144" s="73">
        <v>0.0</v>
      </c>
      <c r="AG144" s="73">
        <v>0.0</v>
      </c>
      <c r="AH144" s="73">
        <v>0.0</v>
      </c>
      <c r="AI144" s="73">
        <v>0.0</v>
      </c>
      <c r="AJ144" s="73">
        <v>0.0</v>
      </c>
      <c r="AK144" s="73">
        <v>0.0</v>
      </c>
      <c r="AL144" s="73">
        <v>0.0</v>
      </c>
      <c r="AM144" s="73">
        <v>0.0</v>
      </c>
      <c r="AN144" s="73">
        <v>0.0</v>
      </c>
      <c r="AO144" s="73">
        <v>0.0</v>
      </c>
      <c r="AP144" s="73">
        <v>0.0</v>
      </c>
      <c r="AQ144" s="73">
        <v>0.0</v>
      </c>
      <c r="AR144" s="73">
        <v>0.0</v>
      </c>
      <c r="AS144" s="73">
        <v>0.0</v>
      </c>
      <c r="AT144" s="73">
        <v>0.0</v>
      </c>
      <c r="AU144" s="13">
        <f t="shared" si="30"/>
        <v>1</v>
      </c>
    </row>
    <row r="145" ht="12.75" customHeight="1">
      <c r="A145" s="18"/>
      <c r="B145" s="57"/>
      <c r="C145" s="58"/>
      <c r="D145" s="5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3">
        <f t="shared" si="30"/>
        <v>0</v>
      </c>
    </row>
    <row r="146" ht="12.75" customHeight="1">
      <c r="A146" s="18"/>
      <c r="B146" s="57"/>
      <c r="C146" s="58"/>
      <c r="D146" s="5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3">
        <f t="shared" si="30"/>
        <v>0</v>
      </c>
    </row>
    <row r="147" ht="12.75" customHeight="1">
      <c r="A147" s="18"/>
      <c r="B147" s="57"/>
      <c r="C147" s="58"/>
      <c r="D147" s="5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3">
        <f t="shared" si="30"/>
        <v>0</v>
      </c>
    </row>
    <row r="148" ht="12.75" customHeight="1">
      <c r="A148" s="18"/>
      <c r="B148" s="57"/>
      <c r="C148" s="58"/>
      <c r="D148" s="5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3">
        <f t="shared" si="30"/>
        <v>0</v>
      </c>
    </row>
    <row r="149" ht="12.75" customHeight="1">
      <c r="A149" s="18"/>
      <c r="B149" s="57"/>
      <c r="C149" s="58"/>
      <c r="D149" s="5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3">
        <f t="shared" si="30"/>
        <v>0</v>
      </c>
    </row>
    <row r="150" ht="12.75" customHeight="1">
      <c r="A150" s="18"/>
      <c r="B150" s="57"/>
      <c r="C150" s="58"/>
      <c r="D150" s="5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3">
        <f t="shared" si="30"/>
        <v>0</v>
      </c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U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1"/>
        <v>0</v>
      </c>
      <c r="N151" s="13">
        <f t="shared" si="31"/>
        <v>1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1</v>
      </c>
      <c r="X151" s="13">
        <f t="shared" si="31"/>
        <v>0</v>
      </c>
      <c r="Y151" s="13">
        <f t="shared" si="31"/>
        <v>1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1</v>
      </c>
      <c r="AG151" s="13">
        <f t="shared" si="31"/>
        <v>0</v>
      </c>
      <c r="AH151" s="13">
        <f t="shared" si="31"/>
        <v>0</v>
      </c>
      <c r="AI151" s="13">
        <f t="shared" si="31"/>
        <v>1</v>
      </c>
      <c r="AJ151" s="13">
        <f t="shared" si="31"/>
        <v>1</v>
      </c>
      <c r="AK151" s="13">
        <f t="shared" si="31"/>
        <v>0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1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9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13"/>
    </row>
    <row r="153" ht="12.75" customHeight="1">
      <c r="A153" s="30" t="s">
        <v>37</v>
      </c>
      <c r="B153" s="17" t="s">
        <v>118</v>
      </c>
      <c r="C153" s="62" t="s">
        <v>119</v>
      </c>
      <c r="D153" s="23"/>
      <c r="E153" s="73">
        <v>0.0</v>
      </c>
      <c r="F153" s="73">
        <v>1.0</v>
      </c>
      <c r="G153" s="73">
        <v>0.0</v>
      </c>
      <c r="H153" s="73">
        <v>0.0</v>
      </c>
      <c r="I153" s="73">
        <v>0.0</v>
      </c>
      <c r="J153" s="73">
        <v>0.0</v>
      </c>
      <c r="K153" s="73">
        <v>1.0</v>
      </c>
      <c r="L153" s="73">
        <v>0.0</v>
      </c>
      <c r="M153" s="73">
        <v>0.0</v>
      </c>
      <c r="N153" s="73">
        <v>0.0</v>
      </c>
      <c r="O153" s="73">
        <v>1.0</v>
      </c>
      <c r="P153" s="73">
        <v>1.0</v>
      </c>
      <c r="Q153" s="73">
        <v>0.0</v>
      </c>
      <c r="R153" s="73">
        <v>0.0</v>
      </c>
      <c r="S153" s="73">
        <v>0.0</v>
      </c>
      <c r="T153" s="73">
        <v>0.0</v>
      </c>
      <c r="U153" s="73">
        <v>0.0</v>
      </c>
      <c r="V153" s="73">
        <v>0.0</v>
      </c>
      <c r="W153" s="73">
        <v>1.0</v>
      </c>
      <c r="X153" s="73">
        <v>0.0</v>
      </c>
      <c r="Y153" s="73">
        <v>0.0</v>
      </c>
      <c r="Z153" s="73">
        <v>0.0</v>
      </c>
      <c r="AA153" s="73">
        <v>0.0</v>
      </c>
      <c r="AB153" s="73">
        <v>0.0</v>
      </c>
      <c r="AC153" s="73">
        <v>0.0</v>
      </c>
      <c r="AD153" s="73">
        <v>1.0</v>
      </c>
      <c r="AE153" s="73">
        <v>0.0</v>
      </c>
      <c r="AF153" s="73">
        <v>1.0</v>
      </c>
      <c r="AG153" s="73">
        <v>0.0</v>
      </c>
      <c r="AH153" s="73">
        <v>0.0</v>
      </c>
      <c r="AI153" s="73">
        <v>0.0</v>
      </c>
      <c r="AJ153" s="73">
        <v>0.0</v>
      </c>
      <c r="AK153" s="73">
        <v>0.0</v>
      </c>
      <c r="AL153" s="73">
        <v>0.0</v>
      </c>
      <c r="AM153" s="73">
        <v>0.0</v>
      </c>
      <c r="AN153" s="73">
        <v>0.0</v>
      </c>
      <c r="AO153" s="73">
        <v>0.0</v>
      </c>
      <c r="AP153" s="73">
        <v>0.0</v>
      </c>
      <c r="AQ153" s="73">
        <v>0.0</v>
      </c>
      <c r="AR153" s="73">
        <v>0.0</v>
      </c>
      <c r="AS153" s="73">
        <v>1.0</v>
      </c>
      <c r="AT153" s="73">
        <v>0.0</v>
      </c>
      <c r="AU153" s="13">
        <f t="shared" ref="AU153:AU162" si="32">SUM(E153:AT153)</f>
        <v>8</v>
      </c>
    </row>
    <row r="154" ht="12.75" customHeight="1">
      <c r="A154" s="63" t="s">
        <v>39</v>
      </c>
      <c r="B154" s="49"/>
      <c r="C154" s="50" t="s">
        <v>120</v>
      </c>
      <c r="D154" s="51"/>
      <c r="E154" s="80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0.0</v>
      </c>
      <c r="M154" s="73">
        <v>0.0</v>
      </c>
      <c r="N154" s="73">
        <v>1.0</v>
      </c>
      <c r="O154" s="73">
        <v>0.0</v>
      </c>
      <c r="P154" s="73">
        <v>0.0</v>
      </c>
      <c r="Q154" s="73">
        <v>0.0</v>
      </c>
      <c r="R154" s="73">
        <v>1.0</v>
      </c>
      <c r="S154" s="73">
        <v>0.0</v>
      </c>
      <c r="T154" s="73">
        <v>1.0</v>
      </c>
      <c r="U154" s="73">
        <v>0.0</v>
      </c>
      <c r="V154" s="73">
        <v>0.0</v>
      </c>
      <c r="W154" s="73">
        <v>0.0</v>
      </c>
      <c r="X154" s="73">
        <v>1.0</v>
      </c>
      <c r="Y154" s="73">
        <v>0.0</v>
      </c>
      <c r="Z154" s="73">
        <v>0.0</v>
      </c>
      <c r="AA154" s="73">
        <v>0.0</v>
      </c>
      <c r="AB154" s="73">
        <v>0.0</v>
      </c>
      <c r="AC154" s="73">
        <v>0.0</v>
      </c>
      <c r="AD154" s="73">
        <v>0.0</v>
      </c>
      <c r="AE154" s="73">
        <v>0.0</v>
      </c>
      <c r="AF154" s="73">
        <v>0.0</v>
      </c>
      <c r="AG154" s="73">
        <v>0.0</v>
      </c>
      <c r="AH154" s="73">
        <v>0.0</v>
      </c>
      <c r="AI154" s="73">
        <v>0.0</v>
      </c>
      <c r="AJ154" s="73">
        <v>0.0</v>
      </c>
      <c r="AK154" s="73">
        <v>0.0</v>
      </c>
      <c r="AL154" s="73">
        <v>0.0</v>
      </c>
      <c r="AM154" s="73">
        <v>1.0</v>
      </c>
      <c r="AN154" s="73">
        <v>0.0</v>
      </c>
      <c r="AO154" s="73">
        <v>0.0</v>
      </c>
      <c r="AP154" s="73">
        <v>0.0</v>
      </c>
      <c r="AQ154" s="73">
        <v>1.0</v>
      </c>
      <c r="AR154" s="73">
        <v>1.0</v>
      </c>
      <c r="AS154" s="73">
        <v>0.0</v>
      </c>
      <c r="AT154" s="73">
        <v>0.0</v>
      </c>
      <c r="AU154" s="13">
        <f t="shared" si="32"/>
        <v>7</v>
      </c>
    </row>
    <row r="155" ht="12.75" customHeight="1">
      <c r="A155" s="18"/>
      <c r="B155" s="49"/>
      <c r="C155" s="50" t="s">
        <v>121</v>
      </c>
      <c r="D155" s="51"/>
      <c r="E155" s="80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73">
        <v>0.0</v>
      </c>
      <c r="AA155" s="73">
        <v>0.0</v>
      </c>
      <c r="AB155" s="73">
        <v>0.0</v>
      </c>
      <c r="AC155" s="73">
        <v>0.0</v>
      </c>
      <c r="AD155" s="73">
        <v>0.0</v>
      </c>
      <c r="AE155" s="73">
        <v>0.0</v>
      </c>
      <c r="AF155" s="73">
        <v>0.0</v>
      </c>
      <c r="AG155" s="73">
        <v>0.0</v>
      </c>
      <c r="AH155" s="73">
        <v>0.0</v>
      </c>
      <c r="AI155" s="73">
        <v>0.0</v>
      </c>
      <c r="AJ155" s="73">
        <v>0.0</v>
      </c>
      <c r="AK155" s="73">
        <v>0.0</v>
      </c>
      <c r="AL155" s="73">
        <v>1.0</v>
      </c>
      <c r="AM155" s="73">
        <v>0.0</v>
      </c>
      <c r="AN155" s="73">
        <v>0.0</v>
      </c>
      <c r="AO155" s="73">
        <v>0.0</v>
      </c>
      <c r="AP155" s="73">
        <v>0.0</v>
      </c>
      <c r="AQ155" s="73">
        <v>0.0</v>
      </c>
      <c r="AR155" s="73">
        <v>0.0</v>
      </c>
      <c r="AS155" s="73">
        <v>0.0</v>
      </c>
      <c r="AT155" s="73">
        <v>0.0</v>
      </c>
      <c r="AU155" s="13">
        <f t="shared" si="32"/>
        <v>1</v>
      </c>
    </row>
    <row r="156" ht="12.75" customHeight="1">
      <c r="A156" s="18"/>
      <c r="B156" s="49"/>
      <c r="C156" s="50" t="s">
        <v>122</v>
      </c>
      <c r="D156" s="51"/>
      <c r="E156" s="80">
        <v>1.0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1.0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1.0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73">
        <v>0.0</v>
      </c>
      <c r="AC156" s="73">
        <v>0.0</v>
      </c>
      <c r="AD156" s="73">
        <v>0.0</v>
      </c>
      <c r="AE156" s="73">
        <v>0.0</v>
      </c>
      <c r="AF156" s="73">
        <v>0.0</v>
      </c>
      <c r="AG156" s="73">
        <v>0.0</v>
      </c>
      <c r="AH156" s="73">
        <v>0.0</v>
      </c>
      <c r="AI156" s="73">
        <v>0.0</v>
      </c>
      <c r="AJ156" s="73">
        <v>0.0</v>
      </c>
      <c r="AK156" s="73">
        <v>0.0</v>
      </c>
      <c r="AL156" s="73">
        <v>0.0</v>
      </c>
      <c r="AM156" s="73">
        <v>0.0</v>
      </c>
      <c r="AN156" s="73">
        <v>1.0</v>
      </c>
      <c r="AO156" s="73">
        <v>0.0</v>
      </c>
      <c r="AP156" s="73">
        <v>0.0</v>
      </c>
      <c r="AQ156" s="73">
        <v>0.0</v>
      </c>
      <c r="AR156" s="73">
        <v>0.0</v>
      </c>
      <c r="AS156" s="73">
        <v>0.0</v>
      </c>
      <c r="AT156" s="73">
        <v>0.0</v>
      </c>
      <c r="AU156" s="13">
        <f t="shared" si="32"/>
        <v>4</v>
      </c>
    </row>
    <row r="157" ht="12.75" customHeight="1">
      <c r="A157" s="18"/>
      <c r="B157" s="49"/>
      <c r="C157" s="50" t="s">
        <v>123</v>
      </c>
      <c r="D157" s="51"/>
      <c r="E157" s="80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1.0</v>
      </c>
      <c r="X157" s="73">
        <v>0.0</v>
      </c>
      <c r="Y157" s="73">
        <v>0.0</v>
      </c>
      <c r="Z157" s="73">
        <v>0.0</v>
      </c>
      <c r="AA157" s="73">
        <v>0.0</v>
      </c>
      <c r="AB157" s="73">
        <v>0.0</v>
      </c>
      <c r="AC157" s="73">
        <v>0.0</v>
      </c>
      <c r="AD157" s="73">
        <v>0.0</v>
      </c>
      <c r="AE157" s="73">
        <v>0.0</v>
      </c>
      <c r="AF157" s="73">
        <v>0.0</v>
      </c>
      <c r="AG157" s="73">
        <v>0.0</v>
      </c>
      <c r="AH157" s="73">
        <v>0.0</v>
      </c>
      <c r="AI157" s="73">
        <v>0.0</v>
      </c>
      <c r="AJ157" s="73">
        <v>0.0</v>
      </c>
      <c r="AK157" s="73">
        <v>0.0</v>
      </c>
      <c r="AL157" s="73">
        <v>0.0</v>
      </c>
      <c r="AM157" s="73">
        <v>0.0</v>
      </c>
      <c r="AN157" s="73">
        <v>0.0</v>
      </c>
      <c r="AO157" s="73">
        <v>0.0</v>
      </c>
      <c r="AP157" s="73">
        <v>0.0</v>
      </c>
      <c r="AQ157" s="73">
        <v>0.0</v>
      </c>
      <c r="AR157" s="73">
        <v>0.0</v>
      </c>
      <c r="AS157" s="73">
        <v>0.0</v>
      </c>
      <c r="AT157" s="73">
        <v>0.0</v>
      </c>
      <c r="AU157" s="13">
        <f t="shared" si="32"/>
        <v>1</v>
      </c>
    </row>
    <row r="158" ht="12.75" customHeight="1">
      <c r="A158" s="18"/>
      <c r="B158" s="49"/>
      <c r="C158" s="50" t="s">
        <v>124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1.0</v>
      </c>
      <c r="Z158" s="73">
        <v>0.0</v>
      </c>
      <c r="AA158" s="73">
        <v>0.0</v>
      </c>
      <c r="AB158" s="73">
        <v>0.0</v>
      </c>
      <c r="AC158" s="73">
        <v>0.0</v>
      </c>
      <c r="AD158" s="73">
        <v>0.0</v>
      </c>
      <c r="AE158" s="73">
        <v>0.0</v>
      </c>
      <c r="AF158" s="73">
        <v>0.0</v>
      </c>
      <c r="AG158" s="73">
        <v>0.0</v>
      </c>
      <c r="AH158" s="73">
        <v>0.0</v>
      </c>
      <c r="AI158" s="73">
        <v>0.0</v>
      </c>
      <c r="AJ158" s="73">
        <v>0.0</v>
      </c>
      <c r="AK158" s="73">
        <v>0.0</v>
      </c>
      <c r="AL158" s="73">
        <v>0.0</v>
      </c>
      <c r="AM158" s="73">
        <v>0.0</v>
      </c>
      <c r="AN158" s="73">
        <v>0.0</v>
      </c>
      <c r="AO158" s="73">
        <v>0.0</v>
      </c>
      <c r="AP158" s="73">
        <v>0.0</v>
      </c>
      <c r="AQ158" s="73">
        <v>0.0</v>
      </c>
      <c r="AR158" s="73">
        <v>0.0</v>
      </c>
      <c r="AS158" s="73">
        <v>0.0</v>
      </c>
      <c r="AT158" s="73">
        <v>0.0</v>
      </c>
      <c r="AU158" s="13">
        <f t="shared" si="32"/>
        <v>1</v>
      </c>
    </row>
    <row r="159" ht="12.75" customHeight="1">
      <c r="A159" s="18"/>
      <c r="B159" s="49"/>
      <c r="C159" s="50" t="s">
        <v>125</v>
      </c>
      <c r="D159" s="51"/>
      <c r="E159" s="80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73">
        <v>0.0</v>
      </c>
      <c r="AB159" s="73">
        <v>0.0</v>
      </c>
      <c r="AC159" s="73">
        <v>0.0</v>
      </c>
      <c r="AD159" s="73">
        <v>0.0</v>
      </c>
      <c r="AE159" s="73">
        <v>0.0</v>
      </c>
      <c r="AF159" s="73">
        <v>0.0</v>
      </c>
      <c r="AG159" s="73">
        <v>0.0</v>
      </c>
      <c r="AH159" s="73">
        <v>0.0</v>
      </c>
      <c r="AI159" s="73">
        <v>0.0</v>
      </c>
      <c r="AJ159" s="73">
        <v>0.0</v>
      </c>
      <c r="AK159" s="73">
        <v>0.0</v>
      </c>
      <c r="AL159" s="73">
        <v>0.0</v>
      </c>
      <c r="AM159" s="73">
        <v>0.0</v>
      </c>
      <c r="AN159" s="73">
        <v>0.0</v>
      </c>
      <c r="AO159" s="73">
        <v>0.0</v>
      </c>
      <c r="AP159" s="73">
        <v>0.0</v>
      </c>
      <c r="AQ159" s="73">
        <v>0.0</v>
      </c>
      <c r="AR159" s="73">
        <v>0.0</v>
      </c>
      <c r="AS159" s="73">
        <v>0.0</v>
      </c>
      <c r="AT159" s="73">
        <v>0.0</v>
      </c>
      <c r="AU159" s="13">
        <f t="shared" si="32"/>
        <v>0</v>
      </c>
    </row>
    <row r="160" ht="12.75" customHeight="1">
      <c r="A160" s="18"/>
      <c r="B160" s="49"/>
      <c r="C160" s="50" t="s">
        <v>126</v>
      </c>
      <c r="D160" s="51"/>
      <c r="E160" s="80">
        <v>0.0</v>
      </c>
      <c r="F160" s="73">
        <v>0.0</v>
      </c>
      <c r="G160" s="73">
        <v>0.0</v>
      </c>
      <c r="H160" s="73">
        <v>1.0</v>
      </c>
      <c r="I160" s="73">
        <v>0.0</v>
      </c>
      <c r="J160" s="73">
        <v>0.0</v>
      </c>
      <c r="K160" s="73">
        <v>1.0</v>
      </c>
      <c r="L160" s="73">
        <v>0.0</v>
      </c>
      <c r="M160" s="73">
        <v>0.0</v>
      </c>
      <c r="N160" s="73">
        <v>1.0</v>
      </c>
      <c r="O160" s="73">
        <v>0.0</v>
      </c>
      <c r="P160" s="73">
        <v>0.0</v>
      </c>
      <c r="Q160" s="73">
        <v>1.0</v>
      </c>
      <c r="R160" s="73">
        <v>0.0</v>
      </c>
      <c r="S160" s="73">
        <v>0.0</v>
      </c>
      <c r="T160" s="73">
        <v>0.0</v>
      </c>
      <c r="U160" s="73">
        <v>0.0</v>
      </c>
      <c r="V160" s="73">
        <v>0.0</v>
      </c>
      <c r="W160" s="73">
        <v>0.0</v>
      </c>
      <c r="X160" s="73">
        <v>0.0</v>
      </c>
      <c r="Y160" s="73">
        <v>2.0</v>
      </c>
      <c r="Z160" s="73">
        <v>0.0</v>
      </c>
      <c r="AA160" s="73">
        <v>0.0</v>
      </c>
      <c r="AB160" s="73">
        <v>0.0</v>
      </c>
      <c r="AC160" s="73">
        <v>0.0</v>
      </c>
      <c r="AD160" s="73">
        <v>0.0</v>
      </c>
      <c r="AE160" s="73">
        <v>0.0</v>
      </c>
      <c r="AF160" s="73">
        <v>0.0</v>
      </c>
      <c r="AG160" s="73">
        <v>0.0</v>
      </c>
      <c r="AH160" s="73">
        <v>0.0</v>
      </c>
      <c r="AI160" s="73">
        <v>0.0</v>
      </c>
      <c r="AJ160" s="73">
        <v>0.0</v>
      </c>
      <c r="AK160" s="73">
        <v>0.0</v>
      </c>
      <c r="AL160" s="73">
        <v>0.0</v>
      </c>
      <c r="AM160" s="73">
        <v>0.0</v>
      </c>
      <c r="AN160" s="73">
        <v>0.0</v>
      </c>
      <c r="AO160" s="73">
        <v>0.0</v>
      </c>
      <c r="AP160" s="73">
        <v>0.0</v>
      </c>
      <c r="AQ160" s="73">
        <v>0.0</v>
      </c>
      <c r="AR160" s="73">
        <v>0.0</v>
      </c>
      <c r="AS160" s="73">
        <v>0.0</v>
      </c>
      <c r="AT160" s="73">
        <v>0.0</v>
      </c>
      <c r="AU160" s="13">
        <f t="shared" si="32"/>
        <v>6</v>
      </c>
    </row>
    <row r="161" ht="12.75" customHeight="1">
      <c r="A161" s="18"/>
      <c r="B161" s="57"/>
      <c r="C161" s="64"/>
      <c r="D161" s="59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3">
        <f t="shared" si="32"/>
        <v>0</v>
      </c>
    </row>
    <row r="162" ht="12.75" customHeight="1">
      <c r="A162" s="18"/>
      <c r="B162" s="57"/>
      <c r="C162" s="64"/>
      <c r="D162" s="59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3">
        <f t="shared" si="32"/>
        <v>0</v>
      </c>
    </row>
    <row r="163" ht="12.75" customHeight="1">
      <c r="A163" s="19" t="s">
        <v>15</v>
      </c>
      <c r="B163" s="65" t="s">
        <v>49</v>
      </c>
      <c r="C163" s="44"/>
      <c r="D163" s="28"/>
      <c r="E163" s="13">
        <f t="shared" ref="E163:AU163" si="33">SUM(E153:E162)</f>
        <v>1</v>
      </c>
      <c r="F163" s="13">
        <f t="shared" si="33"/>
        <v>1</v>
      </c>
      <c r="G163" s="13">
        <f t="shared" si="33"/>
        <v>0</v>
      </c>
      <c r="H163" s="13">
        <f t="shared" si="33"/>
        <v>1</v>
      </c>
      <c r="I163" s="13">
        <f t="shared" si="33"/>
        <v>0</v>
      </c>
      <c r="J163" s="13">
        <f t="shared" si="33"/>
        <v>0</v>
      </c>
      <c r="K163" s="13">
        <f t="shared" si="33"/>
        <v>3</v>
      </c>
      <c r="L163" s="13">
        <f t="shared" si="33"/>
        <v>0</v>
      </c>
      <c r="M163" s="13">
        <f t="shared" si="33"/>
        <v>0</v>
      </c>
      <c r="N163" s="13">
        <f t="shared" si="33"/>
        <v>2</v>
      </c>
      <c r="O163" s="13">
        <f t="shared" si="33"/>
        <v>1</v>
      </c>
      <c r="P163" s="13">
        <f t="shared" si="33"/>
        <v>1</v>
      </c>
      <c r="Q163" s="13">
        <f t="shared" si="33"/>
        <v>1</v>
      </c>
      <c r="R163" s="13">
        <f t="shared" si="33"/>
        <v>1</v>
      </c>
      <c r="S163" s="13">
        <f t="shared" si="33"/>
        <v>0</v>
      </c>
      <c r="T163" s="13">
        <f t="shared" si="33"/>
        <v>2</v>
      </c>
      <c r="U163" s="13">
        <f t="shared" si="33"/>
        <v>0</v>
      </c>
      <c r="V163" s="13">
        <f t="shared" si="33"/>
        <v>0</v>
      </c>
      <c r="W163" s="13">
        <f t="shared" si="33"/>
        <v>2</v>
      </c>
      <c r="X163" s="13">
        <f t="shared" si="33"/>
        <v>1</v>
      </c>
      <c r="Y163" s="13">
        <f t="shared" si="33"/>
        <v>3</v>
      </c>
      <c r="Z163" s="13">
        <f t="shared" si="33"/>
        <v>0</v>
      </c>
      <c r="AA163" s="13">
        <f t="shared" si="33"/>
        <v>0</v>
      </c>
      <c r="AB163" s="13">
        <f t="shared" si="33"/>
        <v>0</v>
      </c>
      <c r="AC163" s="13">
        <f t="shared" si="33"/>
        <v>0</v>
      </c>
      <c r="AD163" s="13">
        <f t="shared" si="33"/>
        <v>1</v>
      </c>
      <c r="AE163" s="13">
        <f t="shared" si="33"/>
        <v>0</v>
      </c>
      <c r="AF163" s="13">
        <f t="shared" si="33"/>
        <v>1</v>
      </c>
      <c r="AG163" s="13">
        <f t="shared" si="33"/>
        <v>0</v>
      </c>
      <c r="AH163" s="13">
        <f t="shared" si="33"/>
        <v>0</v>
      </c>
      <c r="AI163" s="13">
        <f t="shared" si="33"/>
        <v>0</v>
      </c>
      <c r="AJ163" s="13">
        <f t="shared" si="33"/>
        <v>0</v>
      </c>
      <c r="AK163" s="13">
        <f t="shared" si="33"/>
        <v>0</v>
      </c>
      <c r="AL163" s="13">
        <f t="shared" si="33"/>
        <v>1</v>
      </c>
      <c r="AM163" s="13">
        <f t="shared" si="33"/>
        <v>1</v>
      </c>
      <c r="AN163" s="13">
        <f t="shared" si="33"/>
        <v>1</v>
      </c>
      <c r="AO163" s="13">
        <f t="shared" si="33"/>
        <v>0</v>
      </c>
      <c r="AP163" s="13">
        <f t="shared" si="33"/>
        <v>0</v>
      </c>
      <c r="AQ163" s="13">
        <f t="shared" si="33"/>
        <v>1</v>
      </c>
      <c r="AR163" s="13">
        <f t="shared" si="33"/>
        <v>1</v>
      </c>
      <c r="AS163" s="13">
        <f t="shared" si="33"/>
        <v>1</v>
      </c>
      <c r="AT163" s="13">
        <f t="shared" si="33"/>
        <v>0</v>
      </c>
      <c r="AU163" s="13">
        <f t="shared" si="33"/>
        <v>28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3">
        <v>0.0</v>
      </c>
      <c r="F165" s="73">
        <v>1.0</v>
      </c>
      <c r="G165" s="73">
        <v>1.0</v>
      </c>
      <c r="H165" s="73">
        <v>0.0</v>
      </c>
      <c r="I165" s="73">
        <v>0.0</v>
      </c>
      <c r="J165" s="73">
        <v>0.0</v>
      </c>
      <c r="K165" s="73">
        <v>0.0</v>
      </c>
      <c r="L165" s="73">
        <v>0.0</v>
      </c>
      <c r="M165" s="73">
        <v>0.0</v>
      </c>
      <c r="N165" s="73">
        <v>0.0</v>
      </c>
      <c r="O165" s="73">
        <v>0.0</v>
      </c>
      <c r="P165" s="73">
        <v>0.0</v>
      </c>
      <c r="Q165" s="73">
        <v>0.0</v>
      </c>
      <c r="R165" s="73">
        <v>0.0</v>
      </c>
      <c r="S165" s="73">
        <v>0.0</v>
      </c>
      <c r="T165" s="73">
        <v>0.0</v>
      </c>
      <c r="U165" s="73">
        <v>1.0</v>
      </c>
      <c r="V165" s="73">
        <v>0.0</v>
      </c>
      <c r="W165" s="73">
        <v>1.0</v>
      </c>
      <c r="X165" s="73">
        <v>1.0</v>
      </c>
      <c r="Y165" s="73">
        <v>0.0</v>
      </c>
      <c r="Z165" s="73">
        <v>0.0</v>
      </c>
      <c r="AA165" s="73">
        <v>0.0</v>
      </c>
      <c r="AB165" s="73">
        <v>0.0</v>
      </c>
      <c r="AC165" s="73">
        <v>0.0</v>
      </c>
      <c r="AD165" s="73">
        <v>1.0</v>
      </c>
      <c r="AE165" s="73">
        <v>0.0</v>
      </c>
      <c r="AF165" s="73">
        <v>0.0</v>
      </c>
      <c r="AG165" s="73">
        <v>0.0</v>
      </c>
      <c r="AH165" s="73">
        <v>0.0</v>
      </c>
      <c r="AI165" s="73">
        <v>0.0</v>
      </c>
      <c r="AJ165" s="73">
        <v>0.0</v>
      </c>
      <c r="AK165" s="73">
        <v>0.0</v>
      </c>
      <c r="AL165" s="73">
        <v>0.0</v>
      </c>
      <c r="AM165" s="73">
        <v>1.0</v>
      </c>
      <c r="AN165" s="73">
        <v>0.0</v>
      </c>
      <c r="AO165" s="73">
        <v>0.0</v>
      </c>
      <c r="AP165" s="73">
        <v>0.0</v>
      </c>
      <c r="AQ165" s="73">
        <v>0.0</v>
      </c>
      <c r="AR165" s="73">
        <v>0.0</v>
      </c>
      <c r="AS165" s="73">
        <v>0.0</v>
      </c>
      <c r="AT165" s="73">
        <v>0.0</v>
      </c>
      <c r="AU165" s="13">
        <f t="shared" ref="AU165:AU174" si="34">SUM(E165:AT165)</f>
        <v>7</v>
      </c>
    </row>
    <row r="166" ht="12.75" customHeight="1">
      <c r="A166" s="30" t="s">
        <v>39</v>
      </c>
      <c r="B166" s="49"/>
      <c r="C166" s="50" t="s">
        <v>129</v>
      </c>
      <c r="D166" s="51"/>
      <c r="E166" s="73">
        <v>1.0</v>
      </c>
      <c r="F166" s="73">
        <v>0.0</v>
      </c>
      <c r="G166" s="73">
        <v>0.0</v>
      </c>
      <c r="H166" s="73">
        <v>0.0</v>
      </c>
      <c r="I166" s="73">
        <v>0.0</v>
      </c>
      <c r="J166" s="73">
        <v>2.0</v>
      </c>
      <c r="K166" s="73">
        <v>0.0</v>
      </c>
      <c r="L166" s="73">
        <v>0.0</v>
      </c>
      <c r="M166" s="73">
        <v>0.0</v>
      </c>
      <c r="N166" s="73">
        <v>0.0</v>
      </c>
      <c r="O166" s="73">
        <v>1.0</v>
      </c>
      <c r="P166" s="73">
        <v>0.0</v>
      </c>
      <c r="Q166" s="73">
        <v>0.0</v>
      </c>
      <c r="R166" s="73">
        <v>0.0</v>
      </c>
      <c r="S166" s="73">
        <v>1.0</v>
      </c>
      <c r="T166" s="73">
        <v>0.0</v>
      </c>
      <c r="U166" s="73">
        <v>1.0</v>
      </c>
      <c r="V166" s="73">
        <v>2.0</v>
      </c>
      <c r="W166" s="73">
        <v>2.0</v>
      </c>
      <c r="X166" s="73">
        <v>0.0</v>
      </c>
      <c r="Y166" s="73">
        <v>0.0</v>
      </c>
      <c r="Z166" s="73">
        <v>0.0</v>
      </c>
      <c r="AA166" s="73">
        <v>1.0</v>
      </c>
      <c r="AB166" s="73">
        <v>1.0</v>
      </c>
      <c r="AC166" s="73">
        <v>1.0</v>
      </c>
      <c r="AD166" s="73">
        <v>1.0</v>
      </c>
      <c r="AE166" s="73">
        <v>0.0</v>
      </c>
      <c r="AF166" s="73">
        <v>1.0</v>
      </c>
      <c r="AG166" s="73">
        <v>0.0</v>
      </c>
      <c r="AH166" s="73">
        <v>1.0</v>
      </c>
      <c r="AI166" s="73">
        <v>0.0</v>
      </c>
      <c r="AJ166" s="73">
        <v>1.0</v>
      </c>
      <c r="AK166" s="73">
        <v>0.0</v>
      </c>
      <c r="AL166" s="73">
        <v>3.0</v>
      </c>
      <c r="AM166" s="73">
        <v>0.0</v>
      </c>
      <c r="AN166" s="73">
        <v>0.0</v>
      </c>
      <c r="AO166" s="73">
        <v>1.0</v>
      </c>
      <c r="AP166" s="73">
        <v>0.0</v>
      </c>
      <c r="AQ166" s="73">
        <v>1.0</v>
      </c>
      <c r="AR166" s="73">
        <v>1.0</v>
      </c>
      <c r="AS166" s="73">
        <v>0.0</v>
      </c>
      <c r="AT166" s="73">
        <v>0.0</v>
      </c>
      <c r="AU166" s="13">
        <f t="shared" si="34"/>
        <v>23</v>
      </c>
    </row>
    <row r="167" ht="12.75" customHeight="1">
      <c r="A167" s="18"/>
      <c r="B167" s="57"/>
      <c r="C167" s="58"/>
      <c r="D167" s="5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3">
        <f t="shared" si="34"/>
        <v>0</v>
      </c>
    </row>
    <row r="168" ht="12.75" customHeight="1">
      <c r="A168" s="18"/>
      <c r="B168" s="57"/>
      <c r="C168" s="58"/>
      <c r="D168" s="5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3">
        <f t="shared" si="34"/>
        <v>0</v>
      </c>
    </row>
    <row r="169" ht="12.75" customHeight="1">
      <c r="A169" s="18"/>
      <c r="B169" s="57"/>
      <c r="C169" s="58"/>
      <c r="D169" s="5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3">
        <f t="shared" si="34"/>
        <v>0</v>
      </c>
    </row>
    <row r="170" ht="12.75" customHeight="1">
      <c r="A170" s="18"/>
      <c r="B170" s="57"/>
      <c r="C170" s="58"/>
      <c r="D170" s="5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3">
        <f t="shared" si="34"/>
        <v>0</v>
      </c>
    </row>
    <row r="171" ht="12.75" customHeight="1">
      <c r="A171" s="18"/>
      <c r="B171" s="57"/>
      <c r="C171" s="58"/>
      <c r="D171" s="5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3">
        <f t="shared" si="34"/>
        <v>0</v>
      </c>
    </row>
    <row r="172" ht="12.75" customHeight="1">
      <c r="A172" s="18"/>
      <c r="B172" s="57"/>
      <c r="C172" s="58"/>
      <c r="D172" s="5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3">
        <f t="shared" si="34"/>
        <v>0</v>
      </c>
    </row>
    <row r="173" ht="12.75" customHeight="1">
      <c r="A173" s="18"/>
      <c r="B173" s="57"/>
      <c r="C173" s="58"/>
      <c r="D173" s="5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3">
        <f t="shared" si="34"/>
        <v>0</v>
      </c>
    </row>
    <row r="174" ht="12.75" customHeight="1">
      <c r="A174" s="18"/>
      <c r="B174" s="57"/>
      <c r="C174" s="58"/>
      <c r="D174" s="5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3">
        <f t="shared" si="34"/>
        <v>0</v>
      </c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U175" si="35">SUM(E165:E174)</f>
        <v>1</v>
      </c>
      <c r="F175" s="13">
        <f t="shared" si="35"/>
        <v>1</v>
      </c>
      <c r="G175" s="13">
        <f t="shared" si="35"/>
        <v>1</v>
      </c>
      <c r="H175" s="13">
        <f t="shared" si="35"/>
        <v>0</v>
      </c>
      <c r="I175" s="13">
        <f t="shared" si="35"/>
        <v>0</v>
      </c>
      <c r="J175" s="13">
        <f t="shared" si="35"/>
        <v>2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1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2</v>
      </c>
      <c r="V175" s="13">
        <f t="shared" si="35"/>
        <v>2</v>
      </c>
      <c r="W175" s="13">
        <f t="shared" si="35"/>
        <v>3</v>
      </c>
      <c r="X175" s="13">
        <f t="shared" si="35"/>
        <v>1</v>
      </c>
      <c r="Y175" s="13">
        <f t="shared" si="35"/>
        <v>0</v>
      </c>
      <c r="Z175" s="13">
        <f t="shared" si="35"/>
        <v>0</v>
      </c>
      <c r="AA175" s="13">
        <f t="shared" si="35"/>
        <v>1</v>
      </c>
      <c r="AB175" s="13">
        <f t="shared" si="35"/>
        <v>1</v>
      </c>
      <c r="AC175" s="13">
        <f t="shared" si="35"/>
        <v>1</v>
      </c>
      <c r="AD175" s="13">
        <f t="shared" si="35"/>
        <v>2</v>
      </c>
      <c r="AE175" s="13">
        <f t="shared" si="35"/>
        <v>0</v>
      </c>
      <c r="AF175" s="13">
        <f t="shared" si="35"/>
        <v>1</v>
      </c>
      <c r="AG175" s="13">
        <f t="shared" si="35"/>
        <v>0</v>
      </c>
      <c r="AH175" s="13">
        <f t="shared" si="35"/>
        <v>1</v>
      </c>
      <c r="AI175" s="13">
        <f t="shared" si="35"/>
        <v>0</v>
      </c>
      <c r="AJ175" s="13">
        <f t="shared" si="35"/>
        <v>1</v>
      </c>
      <c r="AK175" s="13">
        <f t="shared" si="35"/>
        <v>0</v>
      </c>
      <c r="AL175" s="13">
        <f t="shared" si="35"/>
        <v>3</v>
      </c>
      <c r="AM175" s="13">
        <f t="shared" si="35"/>
        <v>1</v>
      </c>
      <c r="AN175" s="13">
        <f t="shared" si="35"/>
        <v>0</v>
      </c>
      <c r="AO175" s="13">
        <f t="shared" si="35"/>
        <v>1</v>
      </c>
      <c r="AP175" s="13">
        <f t="shared" si="35"/>
        <v>0</v>
      </c>
      <c r="AQ175" s="13">
        <f t="shared" si="35"/>
        <v>1</v>
      </c>
      <c r="AR175" s="13">
        <f t="shared" si="35"/>
        <v>1</v>
      </c>
      <c r="AS175" s="13">
        <f t="shared" si="35"/>
        <v>0</v>
      </c>
      <c r="AT175" s="13">
        <f t="shared" si="35"/>
        <v>0</v>
      </c>
      <c r="AU175" s="13">
        <f t="shared" si="35"/>
        <v>30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3">
        <v>0.0</v>
      </c>
      <c r="F177" s="73">
        <v>1.0</v>
      </c>
      <c r="G177" s="73">
        <v>1.0</v>
      </c>
      <c r="H177" s="73">
        <v>0.0</v>
      </c>
      <c r="I177" s="73">
        <v>1.0</v>
      </c>
      <c r="J177" s="73">
        <v>0.0</v>
      </c>
      <c r="K177" s="73">
        <v>0.0</v>
      </c>
      <c r="L177" s="73">
        <v>0.0</v>
      </c>
      <c r="M177" s="73">
        <v>0.0</v>
      </c>
      <c r="N177" s="73">
        <v>0.0</v>
      </c>
      <c r="O177" s="73">
        <v>0.0</v>
      </c>
      <c r="P177" s="73">
        <v>1.0</v>
      </c>
      <c r="Q177" s="73">
        <v>0.0</v>
      </c>
      <c r="R177" s="73">
        <v>1.0</v>
      </c>
      <c r="S177" s="73">
        <v>1.0</v>
      </c>
      <c r="T177" s="73">
        <v>0.0</v>
      </c>
      <c r="U177" s="73">
        <v>0.0</v>
      </c>
      <c r="V177" s="73">
        <v>0.0</v>
      </c>
      <c r="W177" s="73">
        <v>0.0</v>
      </c>
      <c r="X177" s="73">
        <v>0.0</v>
      </c>
      <c r="Y177" s="73">
        <v>1.0</v>
      </c>
      <c r="Z177" s="73">
        <v>0.0</v>
      </c>
      <c r="AA177" s="73">
        <v>0.0</v>
      </c>
      <c r="AB177" s="73">
        <v>0.0</v>
      </c>
      <c r="AC177" s="73">
        <v>0.0</v>
      </c>
      <c r="AD177" s="73">
        <v>0.0</v>
      </c>
      <c r="AE177" s="73">
        <v>0.0</v>
      </c>
      <c r="AF177" s="73">
        <v>1.0</v>
      </c>
      <c r="AG177" s="73">
        <v>0.0</v>
      </c>
      <c r="AH177" s="73">
        <v>1.0</v>
      </c>
      <c r="AI177" s="73">
        <v>0.0</v>
      </c>
      <c r="AJ177" s="73">
        <v>0.0</v>
      </c>
      <c r="AK177" s="73">
        <v>0.0</v>
      </c>
      <c r="AL177" s="73">
        <v>0.0</v>
      </c>
      <c r="AM177" s="73">
        <v>1.0</v>
      </c>
      <c r="AN177" s="73">
        <v>0.0</v>
      </c>
      <c r="AO177" s="73">
        <v>0.0</v>
      </c>
      <c r="AP177" s="73">
        <v>1.0</v>
      </c>
      <c r="AQ177" s="73">
        <v>1.0</v>
      </c>
      <c r="AR177" s="73">
        <v>1.0</v>
      </c>
      <c r="AS177" s="73">
        <v>1.0</v>
      </c>
      <c r="AT177" s="73">
        <v>0.0</v>
      </c>
      <c r="AU177" s="13">
        <f t="shared" ref="AU177:AU186" si="36">SUM(E177:AT177)</f>
        <v>14</v>
      </c>
    </row>
    <row r="178" ht="12.75" customHeight="1">
      <c r="A178" s="30" t="s">
        <v>39</v>
      </c>
      <c r="B178" s="49"/>
      <c r="C178" s="50" t="s">
        <v>132</v>
      </c>
      <c r="D178" s="51"/>
      <c r="E178" s="73">
        <v>1.0</v>
      </c>
      <c r="F178" s="73">
        <v>1.0</v>
      </c>
      <c r="G178" s="73">
        <v>0.0</v>
      </c>
      <c r="H178" s="73">
        <v>0.0</v>
      </c>
      <c r="I178" s="73">
        <v>0.0</v>
      </c>
      <c r="J178" s="73">
        <v>0.0</v>
      </c>
      <c r="K178" s="73">
        <v>0.0</v>
      </c>
      <c r="L178" s="73">
        <v>0.0</v>
      </c>
      <c r="M178" s="73">
        <v>0.0</v>
      </c>
      <c r="N178" s="73">
        <v>3.0</v>
      </c>
      <c r="O178" s="73">
        <v>0.0</v>
      </c>
      <c r="P178" s="73">
        <v>0.0</v>
      </c>
      <c r="Q178" s="73">
        <v>0.0</v>
      </c>
      <c r="R178" s="73">
        <v>0.0</v>
      </c>
      <c r="S178" s="73">
        <v>0.0</v>
      </c>
      <c r="T178" s="73">
        <v>0.0</v>
      </c>
      <c r="U178" s="73">
        <v>0.0</v>
      </c>
      <c r="V178" s="73">
        <v>0.0</v>
      </c>
      <c r="W178" s="73">
        <v>2.0</v>
      </c>
      <c r="X178" s="73">
        <v>0.0</v>
      </c>
      <c r="Y178" s="73">
        <v>0.0</v>
      </c>
      <c r="Z178" s="73">
        <v>0.0</v>
      </c>
      <c r="AA178" s="73">
        <v>0.0</v>
      </c>
      <c r="AB178" s="73">
        <v>0.0</v>
      </c>
      <c r="AC178" s="73">
        <v>0.0</v>
      </c>
      <c r="AD178" s="73">
        <v>1.0</v>
      </c>
      <c r="AE178" s="73">
        <v>0.0</v>
      </c>
      <c r="AF178" s="73">
        <v>1.0</v>
      </c>
      <c r="AG178" s="73">
        <v>2.0</v>
      </c>
      <c r="AH178" s="73">
        <v>0.0</v>
      </c>
      <c r="AI178" s="73">
        <v>0.0</v>
      </c>
      <c r="AJ178" s="73">
        <v>0.0</v>
      </c>
      <c r="AK178" s="73">
        <v>0.0</v>
      </c>
      <c r="AL178" s="73">
        <v>1.0</v>
      </c>
      <c r="AM178" s="73">
        <v>0.0</v>
      </c>
      <c r="AN178" s="73">
        <v>0.0</v>
      </c>
      <c r="AO178" s="73">
        <v>0.0</v>
      </c>
      <c r="AP178" s="73">
        <v>0.0</v>
      </c>
      <c r="AQ178" s="73">
        <v>0.0</v>
      </c>
      <c r="AR178" s="73">
        <v>2.0</v>
      </c>
      <c r="AS178" s="73">
        <v>1.0</v>
      </c>
      <c r="AT178" s="73">
        <v>0.0</v>
      </c>
      <c r="AU178" s="13">
        <f t="shared" si="36"/>
        <v>15</v>
      </c>
    </row>
    <row r="179" ht="12.75" customHeight="1">
      <c r="A179" s="18"/>
      <c r="B179" s="49"/>
      <c r="C179" s="50" t="s">
        <v>133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0.0</v>
      </c>
      <c r="R179" s="73">
        <v>0.0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73">
        <v>0.0</v>
      </c>
      <c r="Y179" s="73">
        <v>0.0</v>
      </c>
      <c r="Z179" s="73">
        <v>0.0</v>
      </c>
      <c r="AA179" s="73">
        <v>0.0</v>
      </c>
      <c r="AB179" s="73">
        <v>0.0</v>
      </c>
      <c r="AC179" s="73">
        <v>0.0</v>
      </c>
      <c r="AD179" s="73">
        <v>0.0</v>
      </c>
      <c r="AE179" s="73">
        <v>0.0</v>
      </c>
      <c r="AF179" s="73">
        <v>0.0</v>
      </c>
      <c r="AG179" s="73">
        <v>0.0</v>
      </c>
      <c r="AH179" s="73">
        <v>0.0</v>
      </c>
      <c r="AI179" s="73">
        <v>0.0</v>
      </c>
      <c r="AJ179" s="73">
        <v>0.0</v>
      </c>
      <c r="AK179" s="73">
        <v>0.0</v>
      </c>
      <c r="AL179" s="73">
        <v>0.0</v>
      </c>
      <c r="AM179" s="73">
        <v>0.0</v>
      </c>
      <c r="AN179" s="73">
        <v>0.0</v>
      </c>
      <c r="AO179" s="73">
        <v>0.0</v>
      </c>
      <c r="AP179" s="73">
        <v>1.0</v>
      </c>
      <c r="AQ179" s="73">
        <v>0.0</v>
      </c>
      <c r="AR179" s="73">
        <v>0.0</v>
      </c>
      <c r="AS179" s="73">
        <v>1.0</v>
      </c>
      <c r="AT179" s="73">
        <v>0.0</v>
      </c>
      <c r="AU179" s="13">
        <f t="shared" si="36"/>
        <v>2</v>
      </c>
    </row>
    <row r="180" ht="12.75" customHeight="1">
      <c r="A180" s="18"/>
      <c r="B180" s="49"/>
      <c r="C180" s="50" t="s">
        <v>134</v>
      </c>
      <c r="D180" s="51"/>
      <c r="E180" s="73">
        <v>0.0</v>
      </c>
      <c r="F180" s="73">
        <v>0.0</v>
      </c>
      <c r="G180" s="73">
        <v>0.0</v>
      </c>
      <c r="H180" s="73">
        <v>0.0</v>
      </c>
      <c r="I180" s="73">
        <v>0.0</v>
      </c>
      <c r="J180" s="73">
        <v>0.0</v>
      </c>
      <c r="K180" s="73">
        <v>0.0</v>
      </c>
      <c r="L180" s="73">
        <v>0.0</v>
      </c>
      <c r="M180" s="73">
        <v>0.0</v>
      </c>
      <c r="N180" s="73">
        <v>0.0</v>
      </c>
      <c r="O180" s="73">
        <v>0.0</v>
      </c>
      <c r="P180" s="73">
        <v>0.0</v>
      </c>
      <c r="Q180" s="73">
        <v>0.0</v>
      </c>
      <c r="R180" s="73">
        <v>1.0</v>
      </c>
      <c r="S180" s="73">
        <v>0.0</v>
      </c>
      <c r="T180" s="73">
        <v>0.0</v>
      </c>
      <c r="U180" s="73">
        <v>1.0</v>
      </c>
      <c r="V180" s="73">
        <v>1.0</v>
      </c>
      <c r="W180" s="73">
        <v>1.0</v>
      </c>
      <c r="X180" s="73">
        <v>0.0</v>
      </c>
      <c r="Y180" s="73">
        <v>0.0</v>
      </c>
      <c r="Z180" s="73">
        <v>0.0</v>
      </c>
      <c r="AA180" s="73">
        <v>0.0</v>
      </c>
      <c r="AB180" s="73">
        <v>0.0</v>
      </c>
      <c r="AC180" s="73">
        <v>0.0</v>
      </c>
      <c r="AD180" s="73">
        <v>0.0</v>
      </c>
      <c r="AE180" s="73">
        <v>0.0</v>
      </c>
      <c r="AF180" s="73">
        <v>0.0</v>
      </c>
      <c r="AG180" s="73">
        <v>0.0</v>
      </c>
      <c r="AH180" s="73">
        <v>0.0</v>
      </c>
      <c r="AI180" s="73">
        <v>0.0</v>
      </c>
      <c r="AJ180" s="73">
        <v>1.0</v>
      </c>
      <c r="AK180" s="73">
        <v>0.0</v>
      </c>
      <c r="AL180" s="73">
        <v>0.0</v>
      </c>
      <c r="AM180" s="73">
        <v>0.0</v>
      </c>
      <c r="AN180" s="73">
        <v>0.0</v>
      </c>
      <c r="AO180" s="73">
        <v>2.0</v>
      </c>
      <c r="AP180" s="73">
        <v>0.0</v>
      </c>
      <c r="AQ180" s="73">
        <v>1.0</v>
      </c>
      <c r="AR180" s="73">
        <v>1.0</v>
      </c>
      <c r="AS180" s="73">
        <v>0.0</v>
      </c>
      <c r="AT180" s="73">
        <v>0.0</v>
      </c>
      <c r="AU180" s="13">
        <f t="shared" si="36"/>
        <v>9</v>
      </c>
    </row>
    <row r="181" ht="12.75" customHeight="1">
      <c r="A181" s="18"/>
      <c r="B181" s="49"/>
      <c r="C181" s="50" t="s">
        <v>135</v>
      </c>
      <c r="D181" s="51"/>
      <c r="E181" s="73">
        <v>0.0</v>
      </c>
      <c r="F181" s="73">
        <v>1.0</v>
      </c>
      <c r="G181" s="73">
        <v>0.0</v>
      </c>
      <c r="H181" s="73">
        <v>0.0</v>
      </c>
      <c r="I181" s="73">
        <v>0.0</v>
      </c>
      <c r="J181" s="73">
        <v>0.0</v>
      </c>
      <c r="K181" s="73">
        <v>1.0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1.0</v>
      </c>
      <c r="S181" s="73">
        <v>0.0</v>
      </c>
      <c r="T181" s="73">
        <v>0.0</v>
      </c>
      <c r="U181" s="73">
        <v>0.0</v>
      </c>
      <c r="V181" s="73">
        <v>0.0</v>
      </c>
      <c r="W181" s="73">
        <v>0.0</v>
      </c>
      <c r="X181" s="73">
        <v>0.0</v>
      </c>
      <c r="Y181" s="73">
        <v>0.0</v>
      </c>
      <c r="Z181" s="73">
        <v>1.0</v>
      </c>
      <c r="AA181" s="73">
        <v>0.0</v>
      </c>
      <c r="AB181" s="73">
        <v>0.0</v>
      </c>
      <c r="AC181" s="73">
        <v>0.0</v>
      </c>
      <c r="AD181" s="73">
        <v>0.0</v>
      </c>
      <c r="AE181" s="73">
        <v>0.0</v>
      </c>
      <c r="AF181" s="73">
        <v>1.0</v>
      </c>
      <c r="AG181" s="73">
        <v>0.0</v>
      </c>
      <c r="AH181" s="73">
        <v>0.0</v>
      </c>
      <c r="AI181" s="73">
        <v>0.0</v>
      </c>
      <c r="AJ181" s="73">
        <v>0.0</v>
      </c>
      <c r="AK181" s="73">
        <v>0.0</v>
      </c>
      <c r="AL181" s="73">
        <v>0.0</v>
      </c>
      <c r="AM181" s="73">
        <v>0.0</v>
      </c>
      <c r="AN181" s="73">
        <v>0.0</v>
      </c>
      <c r="AO181" s="73">
        <v>0.0</v>
      </c>
      <c r="AP181" s="73">
        <v>0.0</v>
      </c>
      <c r="AQ181" s="73">
        <v>0.0</v>
      </c>
      <c r="AR181" s="73">
        <v>0.0</v>
      </c>
      <c r="AS181" s="73">
        <v>0.0</v>
      </c>
      <c r="AT181" s="73">
        <v>0.0</v>
      </c>
      <c r="AU181" s="13">
        <f t="shared" si="36"/>
        <v>5</v>
      </c>
    </row>
    <row r="182" ht="12.75" customHeight="1">
      <c r="A182" s="18"/>
      <c r="B182" s="49"/>
      <c r="C182" s="50" t="s">
        <v>136</v>
      </c>
      <c r="D182" s="51"/>
      <c r="E182" s="73">
        <v>0.0</v>
      </c>
      <c r="F182" s="73">
        <v>0.0</v>
      </c>
      <c r="G182" s="73">
        <v>0.0</v>
      </c>
      <c r="H182" s="73">
        <v>1.0</v>
      </c>
      <c r="I182" s="73">
        <v>0.0</v>
      </c>
      <c r="J182" s="73">
        <v>0.0</v>
      </c>
      <c r="K182" s="73">
        <v>0.0</v>
      </c>
      <c r="L182" s="73">
        <v>0.0</v>
      </c>
      <c r="M182" s="73">
        <v>1.0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73">
        <v>0.0</v>
      </c>
      <c r="T182" s="73">
        <v>0.0</v>
      </c>
      <c r="U182" s="73">
        <v>0.0</v>
      </c>
      <c r="V182" s="73">
        <v>0.0</v>
      </c>
      <c r="W182" s="73">
        <v>0.0</v>
      </c>
      <c r="X182" s="73">
        <v>0.0</v>
      </c>
      <c r="Y182" s="73">
        <v>0.0</v>
      </c>
      <c r="Z182" s="73">
        <v>1.0</v>
      </c>
      <c r="AA182" s="73">
        <v>0.0</v>
      </c>
      <c r="AB182" s="73">
        <v>0.0</v>
      </c>
      <c r="AC182" s="73">
        <v>0.0</v>
      </c>
      <c r="AD182" s="73">
        <v>0.0</v>
      </c>
      <c r="AE182" s="73">
        <v>0.0</v>
      </c>
      <c r="AF182" s="73">
        <v>0.0</v>
      </c>
      <c r="AG182" s="73">
        <v>0.0</v>
      </c>
      <c r="AH182" s="73">
        <v>1.0</v>
      </c>
      <c r="AI182" s="73">
        <v>2.0</v>
      </c>
      <c r="AJ182" s="73">
        <v>0.0</v>
      </c>
      <c r="AK182" s="73">
        <v>0.0</v>
      </c>
      <c r="AL182" s="73">
        <v>0.0</v>
      </c>
      <c r="AM182" s="73">
        <v>0.0</v>
      </c>
      <c r="AN182" s="73">
        <v>0.0</v>
      </c>
      <c r="AO182" s="73">
        <v>0.0</v>
      </c>
      <c r="AP182" s="73">
        <v>0.0</v>
      </c>
      <c r="AQ182" s="73">
        <v>1.0</v>
      </c>
      <c r="AR182" s="73">
        <v>0.0</v>
      </c>
      <c r="AS182" s="73">
        <v>0.0</v>
      </c>
      <c r="AT182" s="73">
        <v>0.0</v>
      </c>
      <c r="AU182" s="13">
        <f t="shared" si="36"/>
        <v>7</v>
      </c>
    </row>
    <row r="183" ht="12.75" customHeight="1">
      <c r="A183" s="18"/>
      <c r="B183" s="49"/>
      <c r="C183" s="50" t="s">
        <v>137</v>
      </c>
      <c r="D183" s="51"/>
      <c r="E183" s="73">
        <v>0.0</v>
      </c>
      <c r="F183" s="73">
        <v>1.0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0.0</v>
      </c>
      <c r="T183" s="73">
        <v>0.0</v>
      </c>
      <c r="U183" s="73">
        <v>0.0</v>
      </c>
      <c r="V183" s="73">
        <v>0.0</v>
      </c>
      <c r="W183" s="73">
        <v>0.0</v>
      </c>
      <c r="X183" s="73">
        <v>0.0</v>
      </c>
      <c r="Y183" s="73">
        <v>0.0</v>
      </c>
      <c r="Z183" s="73">
        <v>0.0</v>
      </c>
      <c r="AA183" s="73">
        <v>0.0</v>
      </c>
      <c r="AB183" s="73">
        <v>0.0</v>
      </c>
      <c r="AC183" s="73">
        <v>0.0</v>
      </c>
      <c r="AD183" s="73">
        <v>0.0</v>
      </c>
      <c r="AE183" s="73">
        <v>0.0</v>
      </c>
      <c r="AF183" s="73">
        <v>0.0</v>
      </c>
      <c r="AG183" s="73">
        <v>0.0</v>
      </c>
      <c r="AH183" s="73">
        <v>0.0</v>
      </c>
      <c r="AI183" s="73">
        <v>0.0</v>
      </c>
      <c r="AJ183" s="73">
        <v>0.0</v>
      </c>
      <c r="AK183" s="73">
        <v>0.0</v>
      </c>
      <c r="AL183" s="73">
        <v>0.0</v>
      </c>
      <c r="AM183" s="73">
        <v>0.0</v>
      </c>
      <c r="AN183" s="73">
        <v>0.0</v>
      </c>
      <c r="AO183" s="73">
        <v>0.0</v>
      </c>
      <c r="AP183" s="73">
        <v>0.0</v>
      </c>
      <c r="AQ183" s="73">
        <v>0.0</v>
      </c>
      <c r="AR183" s="73">
        <v>0.0</v>
      </c>
      <c r="AS183" s="73">
        <v>1.0</v>
      </c>
      <c r="AT183" s="73">
        <v>0.0</v>
      </c>
      <c r="AU183" s="13">
        <f t="shared" si="36"/>
        <v>2</v>
      </c>
    </row>
    <row r="184" ht="12.75" customHeight="1">
      <c r="A184" s="18"/>
      <c r="B184" s="49"/>
      <c r="C184" s="50" t="s">
        <v>138</v>
      </c>
      <c r="D184" s="51"/>
      <c r="E184" s="73">
        <v>0.0</v>
      </c>
      <c r="F184" s="73">
        <v>0.0</v>
      </c>
      <c r="G184" s="73">
        <v>0.0</v>
      </c>
      <c r="H184" s="73">
        <v>1.0</v>
      </c>
      <c r="I184" s="73">
        <v>0.0</v>
      </c>
      <c r="J184" s="73">
        <v>0.0</v>
      </c>
      <c r="K184" s="73">
        <v>0.0</v>
      </c>
      <c r="L184" s="73">
        <v>0.0</v>
      </c>
      <c r="M184" s="73">
        <v>0.0</v>
      </c>
      <c r="N184" s="73">
        <v>0.0</v>
      </c>
      <c r="O184" s="73">
        <v>0.0</v>
      </c>
      <c r="P184" s="73">
        <v>0.0</v>
      </c>
      <c r="Q184" s="73">
        <v>0.0</v>
      </c>
      <c r="R184" s="73">
        <v>0.0</v>
      </c>
      <c r="S184" s="73">
        <v>0.0</v>
      </c>
      <c r="T184" s="73">
        <v>0.0</v>
      </c>
      <c r="U184" s="73">
        <v>0.0</v>
      </c>
      <c r="V184" s="73">
        <v>0.0</v>
      </c>
      <c r="W184" s="73">
        <v>0.0</v>
      </c>
      <c r="X184" s="73">
        <v>0.0</v>
      </c>
      <c r="Y184" s="73">
        <v>0.0</v>
      </c>
      <c r="Z184" s="73">
        <v>0.0</v>
      </c>
      <c r="AA184" s="73">
        <v>0.0</v>
      </c>
      <c r="AB184" s="73">
        <v>0.0</v>
      </c>
      <c r="AC184" s="73">
        <v>0.0</v>
      </c>
      <c r="AD184" s="73">
        <v>0.0</v>
      </c>
      <c r="AE184" s="73">
        <v>0.0</v>
      </c>
      <c r="AF184" s="73">
        <v>0.0</v>
      </c>
      <c r="AG184" s="73">
        <v>0.0</v>
      </c>
      <c r="AH184" s="73">
        <v>0.0</v>
      </c>
      <c r="AI184" s="73">
        <v>0.0</v>
      </c>
      <c r="AJ184" s="73">
        <v>0.0</v>
      </c>
      <c r="AK184" s="73">
        <v>0.0</v>
      </c>
      <c r="AL184" s="73">
        <v>0.0</v>
      </c>
      <c r="AM184" s="73">
        <v>0.0</v>
      </c>
      <c r="AN184" s="73">
        <v>0.0</v>
      </c>
      <c r="AO184" s="73">
        <v>0.0</v>
      </c>
      <c r="AP184" s="73">
        <v>0.0</v>
      </c>
      <c r="AQ184" s="73">
        <v>0.0</v>
      </c>
      <c r="AR184" s="73">
        <v>0.0</v>
      </c>
      <c r="AS184" s="73">
        <v>0.0</v>
      </c>
      <c r="AT184" s="73">
        <v>0.0</v>
      </c>
      <c r="AU184" s="13">
        <f t="shared" si="36"/>
        <v>1</v>
      </c>
    </row>
    <row r="185" ht="12.75" customHeight="1">
      <c r="A185" s="18"/>
      <c r="B185" s="49"/>
      <c r="C185" s="50" t="s">
        <v>139</v>
      </c>
      <c r="D185" s="51"/>
      <c r="E185" s="73">
        <v>0.0</v>
      </c>
      <c r="F185" s="73">
        <v>0.0</v>
      </c>
      <c r="G185" s="73">
        <v>2.0</v>
      </c>
      <c r="H185" s="73">
        <v>0.0</v>
      </c>
      <c r="I185" s="73">
        <v>0.0</v>
      </c>
      <c r="J185" s="73">
        <v>0.0</v>
      </c>
      <c r="K185" s="73">
        <v>0.0</v>
      </c>
      <c r="L185" s="73">
        <v>0.0</v>
      </c>
      <c r="M185" s="73">
        <v>0.0</v>
      </c>
      <c r="N185" s="73">
        <v>0.0</v>
      </c>
      <c r="O185" s="73">
        <v>0.0</v>
      </c>
      <c r="P185" s="73">
        <v>0.0</v>
      </c>
      <c r="Q185" s="73">
        <v>0.0</v>
      </c>
      <c r="R185" s="73">
        <v>0.0</v>
      </c>
      <c r="S185" s="73">
        <v>0.0</v>
      </c>
      <c r="T185" s="73">
        <v>0.0</v>
      </c>
      <c r="U185" s="73">
        <v>0.0</v>
      </c>
      <c r="V185" s="73">
        <v>0.0</v>
      </c>
      <c r="W185" s="73">
        <v>0.0</v>
      </c>
      <c r="X185" s="73">
        <v>0.0</v>
      </c>
      <c r="Y185" s="73">
        <v>0.0</v>
      </c>
      <c r="Z185" s="73">
        <v>0.0</v>
      </c>
      <c r="AA185" s="73">
        <v>0.0</v>
      </c>
      <c r="AB185" s="73">
        <v>0.0</v>
      </c>
      <c r="AC185" s="73">
        <v>0.0</v>
      </c>
      <c r="AD185" s="73">
        <v>0.0</v>
      </c>
      <c r="AE185" s="73">
        <v>0.0</v>
      </c>
      <c r="AF185" s="73">
        <v>0.0</v>
      </c>
      <c r="AG185" s="73">
        <v>0.0</v>
      </c>
      <c r="AH185" s="73">
        <v>0.0</v>
      </c>
      <c r="AI185" s="73">
        <v>0.0</v>
      </c>
      <c r="AJ185" s="73">
        <v>0.0</v>
      </c>
      <c r="AK185" s="73">
        <v>0.0</v>
      </c>
      <c r="AL185" s="73">
        <v>1.0</v>
      </c>
      <c r="AM185" s="73">
        <v>0.0</v>
      </c>
      <c r="AN185" s="73">
        <v>0.0</v>
      </c>
      <c r="AO185" s="73">
        <v>0.0</v>
      </c>
      <c r="AP185" s="73">
        <v>0.0</v>
      </c>
      <c r="AQ185" s="73">
        <v>0.0</v>
      </c>
      <c r="AR185" s="73">
        <v>0.0</v>
      </c>
      <c r="AS185" s="73">
        <v>0.0</v>
      </c>
      <c r="AT185" s="73">
        <v>0.0</v>
      </c>
      <c r="AU185" s="13">
        <f t="shared" si="36"/>
        <v>3</v>
      </c>
    </row>
    <row r="186" ht="12.75" customHeight="1">
      <c r="A186" s="18"/>
      <c r="B186" s="49"/>
      <c r="C186" s="50" t="s">
        <v>140</v>
      </c>
      <c r="D186" s="51"/>
      <c r="E186" s="73">
        <v>0.0</v>
      </c>
      <c r="F186" s="73">
        <v>0.0</v>
      </c>
      <c r="G186" s="73">
        <v>0.0</v>
      </c>
      <c r="H186" s="73">
        <v>0.0</v>
      </c>
      <c r="I186" s="73">
        <v>0.0</v>
      </c>
      <c r="J186" s="73">
        <v>0.0</v>
      </c>
      <c r="K186" s="73">
        <v>0.0</v>
      </c>
      <c r="L186" s="73">
        <v>0.0</v>
      </c>
      <c r="M186" s="73">
        <v>1.0</v>
      </c>
      <c r="N186" s="73">
        <v>0.0</v>
      </c>
      <c r="O186" s="73">
        <v>0.0</v>
      </c>
      <c r="P186" s="73">
        <v>0.0</v>
      </c>
      <c r="Q186" s="73">
        <v>0.0</v>
      </c>
      <c r="R186" s="73">
        <v>0.0</v>
      </c>
      <c r="S186" s="73">
        <v>0.0</v>
      </c>
      <c r="T186" s="73">
        <v>0.0</v>
      </c>
      <c r="U186" s="73">
        <v>0.0</v>
      </c>
      <c r="V186" s="73">
        <v>0.0</v>
      </c>
      <c r="W186" s="73">
        <v>0.0</v>
      </c>
      <c r="X186" s="73">
        <v>0.0</v>
      </c>
      <c r="Y186" s="73">
        <v>0.0</v>
      </c>
      <c r="Z186" s="73">
        <v>0.0</v>
      </c>
      <c r="AA186" s="73">
        <v>0.0</v>
      </c>
      <c r="AB186" s="73">
        <v>0.0</v>
      </c>
      <c r="AC186" s="73">
        <v>1.0</v>
      </c>
      <c r="AD186" s="73">
        <v>0.0</v>
      </c>
      <c r="AE186" s="73">
        <v>0.0</v>
      </c>
      <c r="AF186" s="73">
        <v>0.0</v>
      </c>
      <c r="AG186" s="73">
        <v>0.0</v>
      </c>
      <c r="AH186" s="73">
        <v>0.0</v>
      </c>
      <c r="AI186" s="73">
        <v>0.0</v>
      </c>
      <c r="AJ186" s="73">
        <v>0.0</v>
      </c>
      <c r="AK186" s="73">
        <v>0.0</v>
      </c>
      <c r="AL186" s="73">
        <v>0.0</v>
      </c>
      <c r="AM186" s="73">
        <v>0.0</v>
      </c>
      <c r="AN186" s="73">
        <v>0.0</v>
      </c>
      <c r="AO186" s="73">
        <v>0.0</v>
      </c>
      <c r="AP186" s="73">
        <v>0.0</v>
      </c>
      <c r="AQ186" s="73">
        <v>0.0</v>
      </c>
      <c r="AR186" s="73">
        <v>0.0</v>
      </c>
      <c r="AS186" s="73">
        <v>0.0</v>
      </c>
      <c r="AT186" s="73">
        <v>0.0</v>
      </c>
      <c r="AU186" s="13">
        <f t="shared" si="36"/>
        <v>2</v>
      </c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U187" si="37">SUM(E177:E186)</f>
        <v>1</v>
      </c>
      <c r="F187" s="13">
        <f t="shared" si="37"/>
        <v>4</v>
      </c>
      <c r="G187" s="13">
        <f t="shared" si="37"/>
        <v>3</v>
      </c>
      <c r="H187" s="13">
        <f t="shared" si="37"/>
        <v>2</v>
      </c>
      <c r="I187" s="13">
        <f t="shared" si="37"/>
        <v>1</v>
      </c>
      <c r="J187" s="13">
        <f t="shared" si="37"/>
        <v>0</v>
      </c>
      <c r="K187" s="13">
        <f t="shared" si="37"/>
        <v>1</v>
      </c>
      <c r="L187" s="13">
        <f t="shared" si="37"/>
        <v>0</v>
      </c>
      <c r="M187" s="13">
        <f t="shared" si="37"/>
        <v>2</v>
      </c>
      <c r="N187" s="13">
        <f t="shared" si="37"/>
        <v>3</v>
      </c>
      <c r="O187" s="13">
        <f t="shared" si="37"/>
        <v>0</v>
      </c>
      <c r="P187" s="13">
        <f t="shared" si="37"/>
        <v>1</v>
      </c>
      <c r="Q187" s="13">
        <f t="shared" si="37"/>
        <v>0</v>
      </c>
      <c r="R187" s="13">
        <f t="shared" si="37"/>
        <v>3</v>
      </c>
      <c r="S187" s="13">
        <f t="shared" si="37"/>
        <v>1</v>
      </c>
      <c r="T187" s="13">
        <f t="shared" si="37"/>
        <v>0</v>
      </c>
      <c r="U187" s="13">
        <f t="shared" si="37"/>
        <v>1</v>
      </c>
      <c r="V187" s="13">
        <f t="shared" si="37"/>
        <v>1</v>
      </c>
      <c r="W187" s="13">
        <f t="shared" si="37"/>
        <v>3</v>
      </c>
      <c r="X187" s="13">
        <f t="shared" si="37"/>
        <v>0</v>
      </c>
      <c r="Y187" s="13">
        <f t="shared" si="37"/>
        <v>1</v>
      </c>
      <c r="Z187" s="13">
        <f t="shared" si="37"/>
        <v>2</v>
      </c>
      <c r="AA187" s="13">
        <f t="shared" si="37"/>
        <v>0</v>
      </c>
      <c r="AB187" s="13">
        <f t="shared" si="37"/>
        <v>0</v>
      </c>
      <c r="AC187" s="13">
        <f t="shared" si="37"/>
        <v>1</v>
      </c>
      <c r="AD187" s="13">
        <f t="shared" si="37"/>
        <v>1</v>
      </c>
      <c r="AE187" s="13">
        <f t="shared" si="37"/>
        <v>0</v>
      </c>
      <c r="AF187" s="13">
        <f t="shared" si="37"/>
        <v>3</v>
      </c>
      <c r="AG187" s="13">
        <f t="shared" si="37"/>
        <v>2</v>
      </c>
      <c r="AH187" s="13">
        <f t="shared" si="37"/>
        <v>2</v>
      </c>
      <c r="AI187" s="13">
        <f t="shared" si="37"/>
        <v>2</v>
      </c>
      <c r="AJ187" s="13">
        <f t="shared" si="37"/>
        <v>1</v>
      </c>
      <c r="AK187" s="13">
        <f t="shared" si="37"/>
        <v>0</v>
      </c>
      <c r="AL187" s="13">
        <f t="shared" si="37"/>
        <v>2</v>
      </c>
      <c r="AM187" s="13">
        <f t="shared" si="37"/>
        <v>1</v>
      </c>
      <c r="AN187" s="13">
        <f t="shared" si="37"/>
        <v>0</v>
      </c>
      <c r="AO187" s="13">
        <f t="shared" si="37"/>
        <v>2</v>
      </c>
      <c r="AP187" s="13">
        <f t="shared" si="37"/>
        <v>2</v>
      </c>
      <c r="AQ187" s="13">
        <f t="shared" si="37"/>
        <v>3</v>
      </c>
      <c r="AR187" s="13">
        <f t="shared" si="37"/>
        <v>4</v>
      </c>
      <c r="AS187" s="13">
        <f t="shared" si="37"/>
        <v>4</v>
      </c>
      <c r="AT187" s="13">
        <f t="shared" si="37"/>
        <v>0</v>
      </c>
      <c r="AU187" s="13">
        <f t="shared" si="37"/>
        <v>60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C188" s="78"/>
      <c r="AD188" s="78"/>
      <c r="AE188" s="78"/>
      <c r="AF188" s="78"/>
      <c r="AG188" s="78"/>
      <c r="AH188" s="78"/>
      <c r="AI188" s="78"/>
      <c r="AJ188" s="78"/>
      <c r="AK188" s="78"/>
      <c r="AN188" s="78"/>
      <c r="AO188" s="78"/>
      <c r="AP188" s="78"/>
      <c r="AQ188" s="78"/>
      <c r="AU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3">
        <v>1.0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0.0</v>
      </c>
      <c r="U189" s="73">
        <v>0.0</v>
      </c>
      <c r="V189" s="73">
        <v>0.0</v>
      </c>
      <c r="W189" s="73">
        <v>0.0</v>
      </c>
      <c r="X189" s="73">
        <v>0.0</v>
      </c>
      <c r="Y189" s="73">
        <v>0.0</v>
      </c>
      <c r="Z189" s="73">
        <v>0.0</v>
      </c>
      <c r="AA189" s="73">
        <v>0.0</v>
      </c>
      <c r="AB189" s="73">
        <v>0.0</v>
      </c>
      <c r="AC189" s="73">
        <v>0.0</v>
      </c>
      <c r="AD189" s="73">
        <v>0.0</v>
      </c>
      <c r="AE189" s="73">
        <v>0.0</v>
      </c>
      <c r="AF189" s="73">
        <v>0.0</v>
      </c>
      <c r="AG189" s="73">
        <v>0.0</v>
      </c>
      <c r="AH189" s="73">
        <v>0.0</v>
      </c>
      <c r="AI189" s="73">
        <v>1.0</v>
      </c>
      <c r="AJ189" s="73">
        <v>0.0</v>
      </c>
      <c r="AK189" s="73">
        <v>0.0</v>
      </c>
      <c r="AL189" s="73">
        <v>0.0</v>
      </c>
      <c r="AM189" s="73">
        <v>0.0</v>
      </c>
      <c r="AN189" s="73">
        <v>0.0</v>
      </c>
      <c r="AO189" s="73">
        <v>0.0</v>
      </c>
      <c r="AP189" s="73">
        <v>0.0</v>
      </c>
      <c r="AQ189" s="73">
        <v>0.0</v>
      </c>
      <c r="AR189" s="73">
        <v>0.0</v>
      </c>
      <c r="AS189" s="73">
        <v>1.0</v>
      </c>
      <c r="AT189" s="73">
        <v>0.0</v>
      </c>
      <c r="AU189" s="13">
        <f t="shared" ref="AU189:AU198" si="38">SUM(E189:AT189)</f>
        <v>3</v>
      </c>
    </row>
    <row r="190" ht="12.75" customHeight="1">
      <c r="A190" s="30" t="s">
        <v>39</v>
      </c>
      <c r="B190" s="49"/>
      <c r="C190" s="50" t="s">
        <v>143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73">
        <v>0.0</v>
      </c>
      <c r="AC190" s="73">
        <v>1.0</v>
      </c>
      <c r="AD190" s="73">
        <v>0.0</v>
      </c>
      <c r="AE190" s="73">
        <v>0.0</v>
      </c>
      <c r="AF190" s="73">
        <v>0.0</v>
      </c>
      <c r="AG190" s="73">
        <v>0.0</v>
      </c>
      <c r="AH190" s="73">
        <v>0.0</v>
      </c>
      <c r="AI190" s="73">
        <v>0.0</v>
      </c>
      <c r="AJ190" s="73">
        <v>0.0</v>
      </c>
      <c r="AK190" s="73">
        <v>0.0</v>
      </c>
      <c r="AL190" s="73">
        <v>0.0</v>
      </c>
      <c r="AM190" s="73">
        <v>0.0</v>
      </c>
      <c r="AN190" s="73">
        <v>0.0</v>
      </c>
      <c r="AO190" s="73">
        <v>0.0</v>
      </c>
      <c r="AP190" s="73">
        <v>0.0</v>
      </c>
      <c r="AQ190" s="73">
        <v>0.0</v>
      </c>
      <c r="AR190" s="73">
        <v>0.0</v>
      </c>
      <c r="AS190" s="73">
        <v>1.0</v>
      </c>
      <c r="AT190" s="73">
        <v>0.0</v>
      </c>
      <c r="AU190" s="13">
        <f t="shared" si="38"/>
        <v>2</v>
      </c>
    </row>
    <row r="191" ht="12.75" customHeight="1">
      <c r="A191" s="18"/>
      <c r="B191" s="49"/>
      <c r="C191" s="50" t="s">
        <v>144</v>
      </c>
      <c r="D191" s="51"/>
      <c r="E191" s="73">
        <v>0.0</v>
      </c>
      <c r="F191" s="73">
        <v>0.0</v>
      </c>
      <c r="G191" s="73">
        <v>0.0</v>
      </c>
      <c r="H191" s="73">
        <v>1.0</v>
      </c>
      <c r="I191" s="73">
        <v>0.0</v>
      </c>
      <c r="J191" s="73">
        <v>1.0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1.0</v>
      </c>
      <c r="AA191" s="73">
        <v>0.0</v>
      </c>
      <c r="AB191" s="73">
        <v>0.0</v>
      </c>
      <c r="AC191" s="73">
        <v>0.0</v>
      </c>
      <c r="AD191" s="73">
        <v>0.0</v>
      </c>
      <c r="AE191" s="73">
        <v>0.0</v>
      </c>
      <c r="AF191" s="73">
        <v>1.0</v>
      </c>
      <c r="AG191" s="73">
        <v>0.0</v>
      </c>
      <c r="AH191" s="73">
        <v>0.0</v>
      </c>
      <c r="AI191" s="73">
        <v>0.0</v>
      </c>
      <c r="AJ191" s="73">
        <v>0.0</v>
      </c>
      <c r="AK191" s="73">
        <v>0.0</v>
      </c>
      <c r="AL191" s="73">
        <v>0.0</v>
      </c>
      <c r="AM191" s="73">
        <v>0.0</v>
      </c>
      <c r="AN191" s="73">
        <v>1.0</v>
      </c>
      <c r="AO191" s="73">
        <v>0.0</v>
      </c>
      <c r="AP191" s="73">
        <v>0.0</v>
      </c>
      <c r="AQ191" s="73">
        <v>0.0</v>
      </c>
      <c r="AR191" s="73">
        <v>0.0</v>
      </c>
      <c r="AS191" s="73">
        <v>0.0</v>
      </c>
      <c r="AT191" s="73">
        <v>0.0</v>
      </c>
      <c r="AU191" s="13">
        <f t="shared" si="38"/>
        <v>5</v>
      </c>
    </row>
    <row r="192" ht="12.75" customHeight="1">
      <c r="A192" s="18"/>
      <c r="B192" s="49"/>
      <c r="C192" s="50" t="s">
        <v>145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1.0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73">
        <v>0.0</v>
      </c>
      <c r="AC192" s="73">
        <v>0.0</v>
      </c>
      <c r="AD192" s="73">
        <v>0.0</v>
      </c>
      <c r="AE192" s="73">
        <v>0.0</v>
      </c>
      <c r="AF192" s="73">
        <v>0.0</v>
      </c>
      <c r="AG192" s="73">
        <v>0.0</v>
      </c>
      <c r="AH192" s="73">
        <v>0.0</v>
      </c>
      <c r="AI192" s="73">
        <v>0.0</v>
      </c>
      <c r="AJ192" s="73">
        <v>0.0</v>
      </c>
      <c r="AK192" s="73">
        <v>0.0</v>
      </c>
      <c r="AL192" s="73">
        <v>0.0</v>
      </c>
      <c r="AM192" s="73">
        <v>0.0</v>
      </c>
      <c r="AN192" s="73">
        <v>0.0</v>
      </c>
      <c r="AO192" s="73">
        <v>0.0</v>
      </c>
      <c r="AP192" s="73">
        <v>0.0</v>
      </c>
      <c r="AQ192" s="73">
        <v>0.0</v>
      </c>
      <c r="AR192" s="73">
        <v>0.0</v>
      </c>
      <c r="AS192" s="73">
        <v>0.0</v>
      </c>
      <c r="AT192" s="73">
        <v>0.0</v>
      </c>
      <c r="AU192" s="13">
        <f t="shared" si="38"/>
        <v>1</v>
      </c>
    </row>
    <row r="193" ht="12.75" customHeight="1">
      <c r="A193" s="18"/>
      <c r="B193" s="49"/>
      <c r="C193" s="50" t="s">
        <v>146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0.0</v>
      </c>
      <c r="AC193" s="73">
        <v>0.0</v>
      </c>
      <c r="AD193" s="73">
        <v>0.0</v>
      </c>
      <c r="AE193" s="73">
        <v>0.0</v>
      </c>
      <c r="AF193" s="73">
        <v>0.0</v>
      </c>
      <c r="AG193" s="73">
        <v>0.0</v>
      </c>
      <c r="AH193" s="73">
        <v>0.0</v>
      </c>
      <c r="AI193" s="73">
        <v>0.0</v>
      </c>
      <c r="AJ193" s="73">
        <v>0.0</v>
      </c>
      <c r="AK193" s="73">
        <v>0.0</v>
      </c>
      <c r="AL193" s="73">
        <v>0.0</v>
      </c>
      <c r="AM193" s="73">
        <v>0.0</v>
      </c>
      <c r="AN193" s="73">
        <v>0.0</v>
      </c>
      <c r="AO193" s="73">
        <v>0.0</v>
      </c>
      <c r="AP193" s="73">
        <v>0.0</v>
      </c>
      <c r="AQ193" s="73">
        <v>0.0</v>
      </c>
      <c r="AR193" s="73">
        <v>0.0</v>
      </c>
      <c r="AS193" s="73">
        <v>0.0</v>
      </c>
      <c r="AT193" s="73">
        <v>0.0</v>
      </c>
      <c r="AU193" s="13">
        <f t="shared" si="38"/>
        <v>0</v>
      </c>
    </row>
    <row r="194" ht="12.75" customHeight="1">
      <c r="A194" s="18"/>
      <c r="B194" s="49"/>
      <c r="C194" s="50" t="s">
        <v>147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0.0</v>
      </c>
      <c r="AD194" s="73">
        <v>0.0</v>
      </c>
      <c r="AE194" s="73">
        <v>0.0</v>
      </c>
      <c r="AF194" s="73">
        <v>0.0</v>
      </c>
      <c r="AG194" s="73">
        <v>0.0</v>
      </c>
      <c r="AH194" s="73">
        <v>0.0</v>
      </c>
      <c r="AI194" s="73">
        <v>0.0</v>
      </c>
      <c r="AJ194" s="73">
        <v>1.0</v>
      </c>
      <c r="AK194" s="73">
        <v>0.0</v>
      </c>
      <c r="AL194" s="73">
        <v>0.0</v>
      </c>
      <c r="AM194" s="73">
        <v>0.0</v>
      </c>
      <c r="AN194" s="73">
        <v>0.0</v>
      </c>
      <c r="AO194" s="73">
        <v>0.0</v>
      </c>
      <c r="AP194" s="73">
        <v>0.0</v>
      </c>
      <c r="AQ194" s="73">
        <v>0.0</v>
      </c>
      <c r="AR194" s="73">
        <v>1.0</v>
      </c>
      <c r="AS194" s="73">
        <v>0.0</v>
      </c>
      <c r="AT194" s="73">
        <v>0.0</v>
      </c>
      <c r="AU194" s="13">
        <f t="shared" si="38"/>
        <v>2</v>
      </c>
    </row>
    <row r="195" ht="12.75" customHeight="1">
      <c r="A195" s="18"/>
      <c r="B195" s="49"/>
      <c r="C195" s="50" t="s">
        <v>148</v>
      </c>
      <c r="D195" s="51"/>
      <c r="E195" s="73">
        <v>0.0</v>
      </c>
      <c r="F195" s="73">
        <v>1.0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73">
        <v>0.0</v>
      </c>
      <c r="AC195" s="73">
        <v>0.0</v>
      </c>
      <c r="AD195" s="73">
        <v>0.0</v>
      </c>
      <c r="AE195" s="73">
        <v>0.0</v>
      </c>
      <c r="AF195" s="73">
        <v>0.0</v>
      </c>
      <c r="AG195" s="73">
        <v>0.0</v>
      </c>
      <c r="AH195" s="73">
        <v>0.0</v>
      </c>
      <c r="AI195" s="73">
        <v>0.0</v>
      </c>
      <c r="AJ195" s="73">
        <v>0.0</v>
      </c>
      <c r="AK195" s="73">
        <v>0.0</v>
      </c>
      <c r="AL195" s="73">
        <v>0.0</v>
      </c>
      <c r="AM195" s="73">
        <v>0.0</v>
      </c>
      <c r="AN195" s="73">
        <v>0.0</v>
      </c>
      <c r="AO195" s="73">
        <v>0.0</v>
      </c>
      <c r="AP195" s="73">
        <v>0.0</v>
      </c>
      <c r="AQ195" s="73">
        <v>0.0</v>
      </c>
      <c r="AR195" s="73">
        <v>0.0</v>
      </c>
      <c r="AS195" s="73">
        <v>0.0</v>
      </c>
      <c r="AT195" s="73">
        <v>0.0</v>
      </c>
      <c r="AU195" s="13">
        <f t="shared" si="38"/>
        <v>1</v>
      </c>
    </row>
    <row r="196" ht="12.75" customHeight="1">
      <c r="A196" s="18"/>
      <c r="B196" s="49"/>
      <c r="C196" s="50" t="s">
        <v>149</v>
      </c>
      <c r="D196" s="51"/>
      <c r="E196" s="73">
        <v>0.0</v>
      </c>
      <c r="F196" s="73">
        <v>0.0</v>
      </c>
      <c r="G196" s="73">
        <v>0.0</v>
      </c>
      <c r="H196" s="73">
        <v>0.0</v>
      </c>
      <c r="I196" s="73">
        <v>0.0</v>
      </c>
      <c r="J196" s="73">
        <v>0.0</v>
      </c>
      <c r="K196" s="73">
        <v>0.0</v>
      </c>
      <c r="L196" s="73">
        <v>0.0</v>
      </c>
      <c r="M196" s="73">
        <v>0.0</v>
      </c>
      <c r="N196" s="73">
        <v>0.0</v>
      </c>
      <c r="O196" s="73">
        <v>0.0</v>
      </c>
      <c r="P196" s="73">
        <v>0.0</v>
      </c>
      <c r="Q196" s="73">
        <v>0.0</v>
      </c>
      <c r="R196" s="73">
        <v>0.0</v>
      </c>
      <c r="S196" s="73">
        <v>0.0</v>
      </c>
      <c r="T196" s="73">
        <v>0.0</v>
      </c>
      <c r="U196" s="73">
        <v>0.0</v>
      </c>
      <c r="V196" s="73">
        <v>0.0</v>
      </c>
      <c r="W196" s="73">
        <v>0.0</v>
      </c>
      <c r="X196" s="73">
        <v>0.0</v>
      </c>
      <c r="Y196" s="73">
        <v>0.0</v>
      </c>
      <c r="Z196" s="73">
        <v>0.0</v>
      </c>
      <c r="AA196" s="73">
        <v>0.0</v>
      </c>
      <c r="AB196" s="73">
        <v>0.0</v>
      </c>
      <c r="AC196" s="73">
        <v>0.0</v>
      </c>
      <c r="AD196" s="73">
        <v>0.0</v>
      </c>
      <c r="AE196" s="73">
        <v>0.0</v>
      </c>
      <c r="AF196" s="73">
        <v>0.0</v>
      </c>
      <c r="AG196" s="73">
        <v>0.0</v>
      </c>
      <c r="AH196" s="73">
        <v>1.0</v>
      </c>
      <c r="AI196" s="73">
        <v>0.0</v>
      </c>
      <c r="AJ196" s="73">
        <v>0.0</v>
      </c>
      <c r="AK196" s="73">
        <v>0.0</v>
      </c>
      <c r="AL196" s="73">
        <v>0.0</v>
      </c>
      <c r="AM196" s="73">
        <v>0.0</v>
      </c>
      <c r="AN196" s="73">
        <v>0.0</v>
      </c>
      <c r="AO196" s="73">
        <v>0.0</v>
      </c>
      <c r="AP196" s="73">
        <v>0.0</v>
      </c>
      <c r="AQ196" s="73">
        <v>0.0</v>
      </c>
      <c r="AR196" s="73">
        <v>0.0</v>
      </c>
      <c r="AS196" s="73">
        <v>0.0</v>
      </c>
      <c r="AT196" s="73">
        <v>0.0</v>
      </c>
      <c r="AU196" s="13">
        <f t="shared" si="38"/>
        <v>1</v>
      </c>
    </row>
    <row r="197" ht="12.75" customHeight="1">
      <c r="A197" s="18"/>
      <c r="B197" s="49"/>
      <c r="C197" s="50" t="s">
        <v>150</v>
      </c>
      <c r="D197" s="51"/>
      <c r="E197" s="73">
        <v>0.0</v>
      </c>
      <c r="F197" s="73">
        <v>0.0</v>
      </c>
      <c r="G197" s="73">
        <v>0.0</v>
      </c>
      <c r="H197" s="73">
        <v>0.0</v>
      </c>
      <c r="I197" s="73">
        <v>0.0</v>
      </c>
      <c r="J197" s="73">
        <v>0.0</v>
      </c>
      <c r="K197" s="73">
        <v>0.0</v>
      </c>
      <c r="L197" s="73">
        <v>0.0</v>
      </c>
      <c r="M197" s="73">
        <v>0.0</v>
      </c>
      <c r="N197" s="73">
        <v>0.0</v>
      </c>
      <c r="O197" s="73">
        <v>0.0</v>
      </c>
      <c r="P197" s="73">
        <v>0.0</v>
      </c>
      <c r="Q197" s="73">
        <v>2.0</v>
      </c>
      <c r="R197" s="73">
        <v>0.0</v>
      </c>
      <c r="S197" s="73">
        <v>0.0</v>
      </c>
      <c r="T197" s="73">
        <v>0.0</v>
      </c>
      <c r="U197" s="73">
        <v>0.0</v>
      </c>
      <c r="V197" s="73">
        <v>0.0</v>
      </c>
      <c r="W197" s="73">
        <v>0.0</v>
      </c>
      <c r="X197" s="73">
        <v>0.0</v>
      </c>
      <c r="Y197" s="73">
        <v>0.0</v>
      </c>
      <c r="Z197" s="73">
        <v>1.0</v>
      </c>
      <c r="AA197" s="73">
        <v>0.0</v>
      </c>
      <c r="AB197" s="73">
        <v>0.0</v>
      </c>
      <c r="AC197" s="73">
        <v>0.0</v>
      </c>
      <c r="AD197" s="73">
        <v>0.0</v>
      </c>
      <c r="AE197" s="73">
        <v>0.0</v>
      </c>
      <c r="AF197" s="73">
        <v>0.0</v>
      </c>
      <c r="AG197" s="73">
        <v>0.0</v>
      </c>
      <c r="AH197" s="73">
        <v>0.0</v>
      </c>
      <c r="AI197" s="73">
        <v>0.0</v>
      </c>
      <c r="AJ197" s="73">
        <v>0.0</v>
      </c>
      <c r="AK197" s="73">
        <v>0.0</v>
      </c>
      <c r="AL197" s="73">
        <v>0.0</v>
      </c>
      <c r="AM197" s="73">
        <v>0.0</v>
      </c>
      <c r="AN197" s="73">
        <v>0.0</v>
      </c>
      <c r="AO197" s="73">
        <v>0.0</v>
      </c>
      <c r="AP197" s="73">
        <v>0.0</v>
      </c>
      <c r="AQ197" s="73">
        <v>0.0</v>
      </c>
      <c r="AR197" s="73">
        <v>0.0</v>
      </c>
      <c r="AS197" s="73">
        <v>0.0</v>
      </c>
      <c r="AT197" s="73">
        <v>0.0</v>
      </c>
      <c r="AU197" s="13">
        <f t="shared" si="38"/>
        <v>3</v>
      </c>
    </row>
    <row r="198" ht="12.75" customHeight="1">
      <c r="A198" s="18"/>
      <c r="B198" s="49"/>
      <c r="C198" s="50" t="s">
        <v>151</v>
      </c>
      <c r="D198" s="51"/>
      <c r="E198" s="73">
        <v>0.0</v>
      </c>
      <c r="F198" s="73">
        <v>0.0</v>
      </c>
      <c r="G198" s="73">
        <v>0.0</v>
      </c>
      <c r="H198" s="73">
        <v>0.0</v>
      </c>
      <c r="I198" s="73">
        <v>0.0</v>
      </c>
      <c r="J198" s="73">
        <v>0.0</v>
      </c>
      <c r="K198" s="73">
        <v>0.0</v>
      </c>
      <c r="L198" s="73">
        <v>0.0</v>
      </c>
      <c r="M198" s="73">
        <v>1.0</v>
      </c>
      <c r="N198" s="73">
        <v>1.0</v>
      </c>
      <c r="O198" s="73">
        <v>0.0</v>
      </c>
      <c r="P198" s="73">
        <v>0.0</v>
      </c>
      <c r="Q198" s="73">
        <v>0.0</v>
      </c>
      <c r="R198" s="73">
        <v>0.0</v>
      </c>
      <c r="S198" s="73">
        <v>0.0</v>
      </c>
      <c r="T198" s="73">
        <v>0.0</v>
      </c>
      <c r="U198" s="73">
        <v>0.0</v>
      </c>
      <c r="V198" s="73">
        <v>0.0</v>
      </c>
      <c r="W198" s="73">
        <v>0.0</v>
      </c>
      <c r="X198" s="73">
        <v>0.0</v>
      </c>
      <c r="Y198" s="73">
        <v>0.0</v>
      </c>
      <c r="Z198" s="73">
        <v>0.0</v>
      </c>
      <c r="AA198" s="73">
        <v>0.0</v>
      </c>
      <c r="AB198" s="73">
        <v>0.0</v>
      </c>
      <c r="AC198" s="73">
        <v>0.0</v>
      </c>
      <c r="AD198" s="73">
        <v>0.0</v>
      </c>
      <c r="AE198" s="73">
        <v>1.0</v>
      </c>
      <c r="AF198" s="73">
        <v>0.0</v>
      </c>
      <c r="AG198" s="73">
        <v>0.0</v>
      </c>
      <c r="AH198" s="73">
        <v>0.0</v>
      </c>
      <c r="AI198" s="73">
        <v>0.0</v>
      </c>
      <c r="AJ198" s="73">
        <v>0.0</v>
      </c>
      <c r="AK198" s="73">
        <v>0.0</v>
      </c>
      <c r="AL198" s="73">
        <v>0.0</v>
      </c>
      <c r="AM198" s="73">
        <v>0.0</v>
      </c>
      <c r="AN198" s="73">
        <v>0.0</v>
      </c>
      <c r="AO198" s="73">
        <v>0.0</v>
      </c>
      <c r="AP198" s="73">
        <v>0.0</v>
      </c>
      <c r="AQ198" s="73">
        <v>0.0</v>
      </c>
      <c r="AR198" s="73">
        <v>0.0</v>
      </c>
      <c r="AS198" s="73">
        <v>0.0</v>
      </c>
      <c r="AT198" s="73">
        <v>0.0</v>
      </c>
      <c r="AU198" s="13">
        <f t="shared" si="38"/>
        <v>3</v>
      </c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U199" si="39">SUM(E189:E198)</f>
        <v>1</v>
      </c>
      <c r="F199" s="13">
        <f t="shared" si="39"/>
        <v>1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0</v>
      </c>
      <c r="M199" s="13">
        <f t="shared" si="39"/>
        <v>2</v>
      </c>
      <c r="N199" s="13">
        <f t="shared" si="39"/>
        <v>1</v>
      </c>
      <c r="O199" s="13">
        <f t="shared" si="39"/>
        <v>0</v>
      </c>
      <c r="P199" s="13">
        <f t="shared" si="39"/>
        <v>0</v>
      </c>
      <c r="Q199" s="13">
        <f t="shared" si="39"/>
        <v>2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2</v>
      </c>
      <c r="AA199" s="13">
        <f t="shared" si="39"/>
        <v>0</v>
      </c>
      <c r="AB199" s="13">
        <f t="shared" si="39"/>
        <v>0</v>
      </c>
      <c r="AC199" s="13">
        <f t="shared" si="39"/>
        <v>1</v>
      </c>
      <c r="AD199" s="13">
        <f t="shared" si="39"/>
        <v>0</v>
      </c>
      <c r="AE199" s="13">
        <f t="shared" si="39"/>
        <v>1</v>
      </c>
      <c r="AF199" s="13">
        <f t="shared" si="39"/>
        <v>1</v>
      </c>
      <c r="AG199" s="13">
        <f t="shared" si="39"/>
        <v>0</v>
      </c>
      <c r="AH199" s="13">
        <f t="shared" si="39"/>
        <v>1</v>
      </c>
      <c r="AI199" s="13">
        <f t="shared" si="39"/>
        <v>1</v>
      </c>
      <c r="AJ199" s="13">
        <f t="shared" si="39"/>
        <v>1</v>
      </c>
      <c r="AK199" s="13">
        <f t="shared" si="39"/>
        <v>0</v>
      </c>
      <c r="AL199" s="13">
        <f t="shared" si="39"/>
        <v>0</v>
      </c>
      <c r="AM199" s="13">
        <f t="shared" si="39"/>
        <v>0</v>
      </c>
      <c r="AN199" s="13">
        <f t="shared" si="39"/>
        <v>1</v>
      </c>
      <c r="AO199" s="13">
        <f t="shared" si="39"/>
        <v>0</v>
      </c>
      <c r="AP199" s="13">
        <f t="shared" si="39"/>
        <v>0</v>
      </c>
      <c r="AQ199" s="13">
        <f t="shared" si="39"/>
        <v>0</v>
      </c>
      <c r="AR199" s="13">
        <f t="shared" si="39"/>
        <v>1</v>
      </c>
      <c r="AS199" s="13">
        <f t="shared" si="39"/>
        <v>2</v>
      </c>
      <c r="AT199" s="13">
        <f t="shared" si="39"/>
        <v>0</v>
      </c>
      <c r="AU199" s="13">
        <f t="shared" si="39"/>
        <v>21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3">
        <v>3.0</v>
      </c>
      <c r="F201" s="73">
        <v>2.0</v>
      </c>
      <c r="G201" s="73">
        <v>6.0</v>
      </c>
      <c r="H201" s="73">
        <v>0.0</v>
      </c>
      <c r="I201" s="73">
        <v>2.0</v>
      </c>
      <c r="J201" s="73">
        <v>2.0</v>
      </c>
      <c r="K201" s="73">
        <v>2.0</v>
      </c>
      <c r="L201" s="73">
        <v>5.0</v>
      </c>
      <c r="M201" s="73">
        <v>1.0</v>
      </c>
      <c r="N201" s="73">
        <v>3.0</v>
      </c>
      <c r="O201" s="73">
        <v>1.0</v>
      </c>
      <c r="P201" s="73">
        <v>3.0</v>
      </c>
      <c r="Q201" s="73">
        <v>2.0</v>
      </c>
      <c r="R201" s="73">
        <v>3.0</v>
      </c>
      <c r="S201" s="73">
        <v>6.0</v>
      </c>
      <c r="T201" s="73">
        <v>0.0</v>
      </c>
      <c r="U201" s="73">
        <v>1.0</v>
      </c>
      <c r="V201" s="73">
        <v>2.0</v>
      </c>
      <c r="W201" s="73">
        <v>3.0</v>
      </c>
      <c r="X201" s="73">
        <v>4.0</v>
      </c>
      <c r="Y201" s="73">
        <v>2.0</v>
      </c>
      <c r="Z201" s="73">
        <v>2.0</v>
      </c>
      <c r="AA201" s="73">
        <v>5.0</v>
      </c>
      <c r="AB201" s="73">
        <v>2.0</v>
      </c>
      <c r="AC201" s="73">
        <v>2.0</v>
      </c>
      <c r="AD201" s="73">
        <v>4.0</v>
      </c>
      <c r="AE201" s="73">
        <v>0.0</v>
      </c>
      <c r="AF201" s="73">
        <v>3.0</v>
      </c>
      <c r="AG201" s="73">
        <v>2.0</v>
      </c>
      <c r="AH201" s="73">
        <v>0.0</v>
      </c>
      <c r="AI201" s="73">
        <v>2.0</v>
      </c>
      <c r="AJ201" s="73">
        <v>2.0</v>
      </c>
      <c r="AK201" s="73">
        <v>7.0</v>
      </c>
      <c r="AL201" s="73">
        <v>1.0</v>
      </c>
      <c r="AM201" s="73">
        <v>5.0</v>
      </c>
      <c r="AN201" s="73">
        <v>1.0</v>
      </c>
      <c r="AO201" s="73">
        <v>2.0</v>
      </c>
      <c r="AP201" s="73">
        <v>1.0</v>
      </c>
      <c r="AQ201" s="73">
        <v>4.0</v>
      </c>
      <c r="AR201" s="73">
        <v>0.0</v>
      </c>
      <c r="AS201" s="73">
        <v>2.0</v>
      </c>
      <c r="AT201" s="73">
        <v>4.0</v>
      </c>
      <c r="AU201" s="13">
        <f t="shared" ref="AU201:AU210" si="40">SUM(E201:AT201)</f>
        <v>104</v>
      </c>
    </row>
    <row r="202" ht="12.75" customHeight="1">
      <c r="A202" s="30" t="s">
        <v>39</v>
      </c>
      <c r="B202" s="49"/>
      <c r="C202" s="50" t="s">
        <v>154</v>
      </c>
      <c r="D202" s="51"/>
      <c r="E202" s="73">
        <v>6.0</v>
      </c>
      <c r="F202" s="73">
        <v>14.0</v>
      </c>
      <c r="G202" s="73">
        <v>2.0</v>
      </c>
      <c r="H202" s="73">
        <v>2.0</v>
      </c>
      <c r="I202" s="73">
        <v>5.0</v>
      </c>
      <c r="J202" s="73">
        <v>6.0</v>
      </c>
      <c r="K202" s="73">
        <v>11.0</v>
      </c>
      <c r="L202" s="73">
        <v>3.0</v>
      </c>
      <c r="M202" s="73">
        <v>6.0</v>
      </c>
      <c r="N202" s="73">
        <v>3.0</v>
      </c>
      <c r="O202" s="73">
        <v>6.0</v>
      </c>
      <c r="P202" s="73">
        <v>4.0</v>
      </c>
      <c r="Q202" s="73">
        <v>7.0</v>
      </c>
      <c r="R202" s="73">
        <v>9.0</v>
      </c>
      <c r="S202" s="73">
        <v>5.0</v>
      </c>
      <c r="T202" s="73">
        <v>3.0</v>
      </c>
      <c r="U202" s="73">
        <v>5.0</v>
      </c>
      <c r="V202" s="73">
        <v>10.0</v>
      </c>
      <c r="W202" s="73">
        <v>13.0</v>
      </c>
      <c r="X202" s="73">
        <v>0.0</v>
      </c>
      <c r="Y202" s="73">
        <v>2.0</v>
      </c>
      <c r="Z202" s="73">
        <v>7.0</v>
      </c>
      <c r="AA202" s="73">
        <v>3.0</v>
      </c>
      <c r="AB202" s="73">
        <v>4.0</v>
      </c>
      <c r="AC202" s="73">
        <v>4.0</v>
      </c>
      <c r="AD202" s="73">
        <v>6.0</v>
      </c>
      <c r="AE202" s="73">
        <v>1.0</v>
      </c>
      <c r="AF202" s="73">
        <v>0.0</v>
      </c>
      <c r="AG202" s="73">
        <v>6.0</v>
      </c>
      <c r="AH202" s="73">
        <v>11.0</v>
      </c>
      <c r="AI202" s="73">
        <v>4.0</v>
      </c>
      <c r="AJ202" s="73">
        <v>4.0</v>
      </c>
      <c r="AK202" s="73">
        <v>3.0</v>
      </c>
      <c r="AL202" s="73">
        <v>3.0</v>
      </c>
      <c r="AM202" s="73">
        <v>4.0</v>
      </c>
      <c r="AN202" s="73">
        <v>12.0</v>
      </c>
      <c r="AO202" s="73">
        <v>15.0</v>
      </c>
      <c r="AP202" s="73">
        <v>4.0</v>
      </c>
      <c r="AQ202" s="73">
        <v>3.0</v>
      </c>
      <c r="AR202" s="73">
        <v>3.0</v>
      </c>
      <c r="AS202" s="73">
        <v>8.0</v>
      </c>
      <c r="AT202" s="73">
        <v>3.0</v>
      </c>
      <c r="AU202" s="13">
        <f t="shared" si="40"/>
        <v>230</v>
      </c>
    </row>
    <row r="203" ht="12.75" customHeight="1">
      <c r="A203" s="18"/>
      <c r="B203" s="49"/>
      <c r="C203" s="50" t="s">
        <v>155</v>
      </c>
      <c r="D203" s="51"/>
      <c r="E203" s="73">
        <v>0.0</v>
      </c>
      <c r="F203" s="73">
        <v>1.0</v>
      </c>
      <c r="G203" s="73">
        <v>0.0</v>
      </c>
      <c r="H203" s="73">
        <v>0.0</v>
      </c>
      <c r="I203" s="73">
        <v>0.0</v>
      </c>
      <c r="J203" s="73">
        <v>1.0</v>
      </c>
      <c r="K203" s="73">
        <v>3.0</v>
      </c>
      <c r="L203" s="73">
        <v>2.0</v>
      </c>
      <c r="M203" s="73">
        <v>0.0</v>
      </c>
      <c r="N203" s="73">
        <v>0.0</v>
      </c>
      <c r="O203" s="73">
        <v>2.0</v>
      </c>
      <c r="P203" s="73">
        <v>1.0</v>
      </c>
      <c r="Q203" s="73">
        <v>1.0</v>
      </c>
      <c r="R203" s="73">
        <v>1.0</v>
      </c>
      <c r="S203" s="73">
        <v>1.0</v>
      </c>
      <c r="T203" s="73">
        <v>2.0</v>
      </c>
      <c r="U203" s="73">
        <v>1.0</v>
      </c>
      <c r="V203" s="73">
        <v>0.0</v>
      </c>
      <c r="W203" s="73">
        <v>0.0</v>
      </c>
      <c r="X203" s="73">
        <v>1.0</v>
      </c>
      <c r="Y203" s="73">
        <v>0.0</v>
      </c>
      <c r="Z203" s="73">
        <v>0.0</v>
      </c>
      <c r="AA203" s="73">
        <v>1.0</v>
      </c>
      <c r="AB203" s="73">
        <v>1.0</v>
      </c>
      <c r="AC203" s="73">
        <v>2.0</v>
      </c>
      <c r="AD203" s="73">
        <v>1.0</v>
      </c>
      <c r="AE203" s="73">
        <v>0.0</v>
      </c>
      <c r="AF203" s="73">
        <v>1.0</v>
      </c>
      <c r="AG203" s="73">
        <v>1.0</v>
      </c>
      <c r="AH203" s="73">
        <v>1.0</v>
      </c>
      <c r="AI203" s="73">
        <v>0.0</v>
      </c>
      <c r="AJ203" s="73">
        <v>1.0</v>
      </c>
      <c r="AK203" s="73">
        <v>0.0</v>
      </c>
      <c r="AL203" s="73">
        <v>0.0</v>
      </c>
      <c r="AM203" s="73">
        <v>2.0</v>
      </c>
      <c r="AN203" s="73">
        <v>0.0</v>
      </c>
      <c r="AO203" s="73">
        <v>0.0</v>
      </c>
      <c r="AP203" s="73">
        <v>0.0</v>
      </c>
      <c r="AQ203" s="73">
        <v>1.0</v>
      </c>
      <c r="AR203" s="73">
        <v>0.0</v>
      </c>
      <c r="AS203" s="73">
        <v>0.0</v>
      </c>
      <c r="AT203" s="73">
        <v>1.0</v>
      </c>
      <c r="AU203" s="13">
        <f t="shared" si="40"/>
        <v>30</v>
      </c>
    </row>
    <row r="204" ht="12.75" customHeight="1">
      <c r="A204" s="18"/>
      <c r="B204" s="49"/>
      <c r="C204" s="50" t="s">
        <v>156</v>
      </c>
      <c r="D204" s="51"/>
      <c r="E204" s="73">
        <v>0.0</v>
      </c>
      <c r="F204" s="73">
        <v>0.0</v>
      </c>
      <c r="G204" s="73">
        <v>2.0</v>
      </c>
      <c r="H204" s="73">
        <v>2.0</v>
      </c>
      <c r="I204" s="73">
        <v>0.0</v>
      </c>
      <c r="J204" s="73">
        <v>0.0</v>
      </c>
      <c r="K204" s="73">
        <v>0.0</v>
      </c>
      <c r="L204" s="73">
        <v>0.0</v>
      </c>
      <c r="M204" s="73">
        <v>0.0</v>
      </c>
      <c r="N204" s="73">
        <v>0.0</v>
      </c>
      <c r="O204" s="73">
        <v>0.0</v>
      </c>
      <c r="P204" s="73">
        <v>0.0</v>
      </c>
      <c r="Q204" s="73">
        <v>1.0</v>
      </c>
      <c r="R204" s="73">
        <v>0.0</v>
      </c>
      <c r="S204" s="73">
        <v>1.0</v>
      </c>
      <c r="T204" s="73">
        <v>1.0</v>
      </c>
      <c r="U204" s="73">
        <v>0.0</v>
      </c>
      <c r="V204" s="73">
        <v>0.0</v>
      </c>
      <c r="W204" s="73">
        <v>1.0</v>
      </c>
      <c r="X204" s="73">
        <v>0.0</v>
      </c>
      <c r="Y204" s="73">
        <v>1.0</v>
      </c>
      <c r="Z204" s="73">
        <v>0.0</v>
      </c>
      <c r="AA204" s="73">
        <v>0.0</v>
      </c>
      <c r="AB204" s="73">
        <v>0.0</v>
      </c>
      <c r="AC204" s="73">
        <v>1.0</v>
      </c>
      <c r="AD204" s="73">
        <v>0.0</v>
      </c>
      <c r="AE204" s="73">
        <v>0.0</v>
      </c>
      <c r="AF204" s="73">
        <v>0.0</v>
      </c>
      <c r="AG204" s="73">
        <v>0.0</v>
      </c>
      <c r="AH204" s="73">
        <v>0.0</v>
      </c>
      <c r="AI204" s="73">
        <v>0.0</v>
      </c>
      <c r="AJ204" s="73">
        <v>0.0</v>
      </c>
      <c r="AK204" s="73">
        <v>0.0</v>
      </c>
      <c r="AL204" s="73">
        <v>0.0</v>
      </c>
      <c r="AM204" s="73">
        <v>0.0</v>
      </c>
      <c r="AN204" s="73">
        <v>1.0</v>
      </c>
      <c r="AO204" s="73">
        <v>0.0</v>
      </c>
      <c r="AP204" s="73">
        <v>1.0</v>
      </c>
      <c r="AQ204" s="73">
        <v>0.0</v>
      </c>
      <c r="AR204" s="73">
        <v>0.0</v>
      </c>
      <c r="AS204" s="73">
        <v>0.0</v>
      </c>
      <c r="AT204" s="73">
        <v>0.0</v>
      </c>
      <c r="AU204" s="13">
        <f t="shared" si="40"/>
        <v>12</v>
      </c>
    </row>
    <row r="205" ht="12.75" customHeight="1">
      <c r="A205" s="18"/>
      <c r="B205" s="49"/>
      <c r="C205" s="50" t="s">
        <v>157</v>
      </c>
      <c r="D205" s="51"/>
      <c r="E205" s="73">
        <v>0.0</v>
      </c>
      <c r="F205" s="73">
        <v>2.0</v>
      </c>
      <c r="G205" s="73">
        <v>2.0</v>
      </c>
      <c r="H205" s="73">
        <v>0.0</v>
      </c>
      <c r="I205" s="73">
        <v>0.0</v>
      </c>
      <c r="J205" s="73">
        <v>0.0</v>
      </c>
      <c r="K205" s="73">
        <v>0.0</v>
      </c>
      <c r="L205" s="73">
        <v>0.0</v>
      </c>
      <c r="M205" s="73">
        <v>0.0</v>
      </c>
      <c r="N205" s="73">
        <v>1.0</v>
      </c>
      <c r="O205" s="73">
        <v>2.0</v>
      </c>
      <c r="P205" s="73">
        <v>0.0</v>
      </c>
      <c r="Q205" s="73">
        <v>1.0</v>
      </c>
      <c r="R205" s="73">
        <v>0.0</v>
      </c>
      <c r="S205" s="73">
        <v>0.0</v>
      </c>
      <c r="T205" s="73">
        <v>0.0</v>
      </c>
      <c r="U205" s="73">
        <v>0.0</v>
      </c>
      <c r="V205" s="73">
        <v>1.0</v>
      </c>
      <c r="W205" s="73">
        <v>0.0</v>
      </c>
      <c r="X205" s="73">
        <v>0.0</v>
      </c>
      <c r="Y205" s="73">
        <v>0.0</v>
      </c>
      <c r="Z205" s="73">
        <v>1.0</v>
      </c>
      <c r="AA205" s="73">
        <v>1.0</v>
      </c>
      <c r="AB205" s="73">
        <v>0.0</v>
      </c>
      <c r="AC205" s="73">
        <v>1.0</v>
      </c>
      <c r="AD205" s="73">
        <v>0.0</v>
      </c>
      <c r="AE205" s="73">
        <v>0.0</v>
      </c>
      <c r="AF205" s="73">
        <v>0.0</v>
      </c>
      <c r="AG205" s="73">
        <v>0.0</v>
      </c>
      <c r="AH205" s="73">
        <v>1.0</v>
      </c>
      <c r="AI205" s="73">
        <v>0.0</v>
      </c>
      <c r="AJ205" s="73">
        <v>0.0</v>
      </c>
      <c r="AK205" s="73">
        <v>0.0</v>
      </c>
      <c r="AL205" s="73">
        <v>0.0</v>
      </c>
      <c r="AM205" s="73">
        <v>0.0</v>
      </c>
      <c r="AN205" s="73">
        <v>1.0</v>
      </c>
      <c r="AO205" s="73">
        <v>0.0</v>
      </c>
      <c r="AP205" s="73">
        <v>0.0</v>
      </c>
      <c r="AQ205" s="73">
        <v>0.0</v>
      </c>
      <c r="AR205" s="73">
        <v>0.0</v>
      </c>
      <c r="AS205" s="73">
        <v>0.0</v>
      </c>
      <c r="AT205" s="73">
        <v>0.0</v>
      </c>
      <c r="AU205" s="13">
        <f t="shared" si="40"/>
        <v>14</v>
      </c>
    </row>
    <row r="206" ht="12.75" customHeight="1">
      <c r="A206" s="18"/>
      <c r="B206" s="49"/>
      <c r="C206" s="50" t="s">
        <v>158</v>
      </c>
      <c r="D206" s="51"/>
      <c r="E206" s="73">
        <v>0.0</v>
      </c>
      <c r="F206" s="73">
        <v>1.0</v>
      </c>
      <c r="G206" s="73">
        <v>0.0</v>
      </c>
      <c r="H206" s="73">
        <v>0.0</v>
      </c>
      <c r="I206" s="73">
        <v>1.0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1.0</v>
      </c>
      <c r="P206" s="73">
        <v>1.0</v>
      </c>
      <c r="Q206" s="73">
        <v>0.0</v>
      </c>
      <c r="R206" s="73">
        <v>0.0</v>
      </c>
      <c r="S206" s="73">
        <v>0.0</v>
      </c>
      <c r="T206" s="73">
        <v>1.0</v>
      </c>
      <c r="U206" s="73">
        <v>0.0</v>
      </c>
      <c r="V206" s="73">
        <v>0.0</v>
      </c>
      <c r="W206" s="73">
        <v>0.0</v>
      </c>
      <c r="X206" s="73">
        <v>0.0</v>
      </c>
      <c r="Y206" s="73">
        <v>0.0</v>
      </c>
      <c r="Z206" s="73">
        <v>0.0</v>
      </c>
      <c r="AA206" s="73">
        <v>0.0</v>
      </c>
      <c r="AB206" s="73">
        <v>0.0</v>
      </c>
      <c r="AC206" s="73">
        <v>0.0</v>
      </c>
      <c r="AD206" s="73">
        <v>1.0</v>
      </c>
      <c r="AE206" s="73">
        <v>0.0</v>
      </c>
      <c r="AF206" s="73">
        <v>0.0</v>
      </c>
      <c r="AG206" s="73">
        <v>0.0</v>
      </c>
      <c r="AH206" s="73">
        <v>0.0</v>
      </c>
      <c r="AI206" s="73">
        <v>0.0</v>
      </c>
      <c r="AJ206" s="73">
        <v>0.0</v>
      </c>
      <c r="AK206" s="73">
        <v>1.0</v>
      </c>
      <c r="AL206" s="73">
        <v>1.0</v>
      </c>
      <c r="AM206" s="73">
        <v>1.0</v>
      </c>
      <c r="AN206" s="73">
        <v>0.0</v>
      </c>
      <c r="AO206" s="73">
        <v>0.0</v>
      </c>
      <c r="AP206" s="73">
        <v>0.0</v>
      </c>
      <c r="AQ206" s="73">
        <v>0.0</v>
      </c>
      <c r="AR206" s="73">
        <v>0.0</v>
      </c>
      <c r="AS206" s="73">
        <v>0.0</v>
      </c>
      <c r="AT206" s="73">
        <v>0.0</v>
      </c>
      <c r="AU206" s="13">
        <f t="shared" si="40"/>
        <v>9</v>
      </c>
    </row>
    <row r="207" ht="12.75" customHeight="1">
      <c r="A207" s="18"/>
      <c r="B207" s="49"/>
      <c r="C207" s="50" t="s">
        <v>159</v>
      </c>
      <c r="D207" s="51"/>
      <c r="E207" s="73">
        <v>0.0</v>
      </c>
      <c r="F207" s="73">
        <v>5.0</v>
      </c>
      <c r="G207" s="73">
        <v>1.0</v>
      </c>
      <c r="H207" s="73">
        <v>0.0</v>
      </c>
      <c r="I207" s="73">
        <v>1.0</v>
      </c>
      <c r="J207" s="73">
        <v>0.0</v>
      </c>
      <c r="K207" s="73">
        <v>2.0</v>
      </c>
      <c r="L207" s="73">
        <v>4.0</v>
      </c>
      <c r="M207" s="73">
        <v>0.0</v>
      </c>
      <c r="N207" s="73">
        <v>0.0</v>
      </c>
      <c r="O207" s="73">
        <v>1.0</v>
      </c>
      <c r="P207" s="73">
        <v>4.0</v>
      </c>
      <c r="Q207" s="73">
        <v>3.0</v>
      </c>
      <c r="R207" s="73">
        <v>0.0</v>
      </c>
      <c r="S207" s="73">
        <v>0.0</v>
      </c>
      <c r="T207" s="73">
        <v>0.0</v>
      </c>
      <c r="U207" s="73">
        <v>0.0</v>
      </c>
      <c r="V207" s="73">
        <v>0.0</v>
      </c>
      <c r="W207" s="73">
        <v>1.0</v>
      </c>
      <c r="X207" s="73">
        <v>0.0</v>
      </c>
      <c r="Y207" s="73">
        <v>0.0</v>
      </c>
      <c r="Z207" s="73">
        <v>0.0</v>
      </c>
      <c r="AA207" s="73">
        <v>2.0</v>
      </c>
      <c r="AB207" s="73">
        <v>0.0</v>
      </c>
      <c r="AC207" s="73">
        <v>0.0</v>
      </c>
      <c r="AD207" s="73">
        <v>3.0</v>
      </c>
      <c r="AE207" s="73">
        <v>2.0</v>
      </c>
      <c r="AF207" s="73">
        <v>1.0</v>
      </c>
      <c r="AG207" s="73">
        <v>1.0</v>
      </c>
      <c r="AH207" s="73">
        <v>0.0</v>
      </c>
      <c r="AI207" s="73">
        <v>0.0</v>
      </c>
      <c r="AJ207" s="73">
        <v>0.0</v>
      </c>
      <c r="AK207" s="73">
        <v>0.0</v>
      </c>
      <c r="AL207" s="73">
        <v>0.0</v>
      </c>
      <c r="AM207" s="73">
        <v>0.0</v>
      </c>
      <c r="AN207" s="73">
        <v>1.0</v>
      </c>
      <c r="AO207" s="73">
        <v>0.0</v>
      </c>
      <c r="AP207" s="73">
        <v>0.0</v>
      </c>
      <c r="AQ207" s="73">
        <v>0.0</v>
      </c>
      <c r="AR207" s="73">
        <v>0.0</v>
      </c>
      <c r="AS207" s="73">
        <v>0.0</v>
      </c>
      <c r="AT207" s="73">
        <v>1.0</v>
      </c>
      <c r="AU207" s="13">
        <f t="shared" si="40"/>
        <v>33</v>
      </c>
    </row>
    <row r="208" ht="12.75" customHeight="1">
      <c r="A208" s="18"/>
      <c r="B208" s="49"/>
      <c r="C208" s="50" t="s">
        <v>160</v>
      </c>
      <c r="D208" s="51"/>
      <c r="E208" s="73">
        <v>1.0</v>
      </c>
      <c r="F208" s="73">
        <v>1.0</v>
      </c>
      <c r="G208" s="73">
        <v>1.0</v>
      </c>
      <c r="H208" s="73">
        <v>0.0</v>
      </c>
      <c r="I208" s="73">
        <v>0.0</v>
      </c>
      <c r="J208" s="73">
        <v>1.0</v>
      </c>
      <c r="K208" s="73">
        <v>0.0</v>
      </c>
      <c r="L208" s="73">
        <v>1.0</v>
      </c>
      <c r="M208" s="73">
        <v>0.0</v>
      </c>
      <c r="N208" s="73">
        <v>0.0</v>
      </c>
      <c r="O208" s="73">
        <v>0.0</v>
      </c>
      <c r="P208" s="73">
        <v>4.0</v>
      </c>
      <c r="Q208" s="73">
        <v>1.0</v>
      </c>
      <c r="R208" s="73">
        <v>0.0</v>
      </c>
      <c r="S208" s="73">
        <v>2.0</v>
      </c>
      <c r="T208" s="73">
        <v>0.0</v>
      </c>
      <c r="U208" s="73">
        <v>3.0</v>
      </c>
      <c r="V208" s="73">
        <v>0.0</v>
      </c>
      <c r="W208" s="73">
        <v>3.0</v>
      </c>
      <c r="X208" s="73">
        <v>1.0</v>
      </c>
      <c r="Y208" s="73">
        <v>0.0</v>
      </c>
      <c r="Z208" s="73">
        <v>3.0</v>
      </c>
      <c r="AA208" s="73">
        <v>2.0</v>
      </c>
      <c r="AB208" s="73">
        <v>1.0</v>
      </c>
      <c r="AC208" s="73">
        <v>1.0</v>
      </c>
      <c r="AD208" s="73">
        <v>4.0</v>
      </c>
      <c r="AE208" s="73">
        <v>0.0</v>
      </c>
      <c r="AF208" s="73">
        <v>1.0</v>
      </c>
      <c r="AG208" s="73">
        <v>3.0</v>
      </c>
      <c r="AH208" s="73">
        <v>3.0</v>
      </c>
      <c r="AI208" s="73">
        <v>4.0</v>
      </c>
      <c r="AJ208" s="73">
        <v>1.0</v>
      </c>
      <c r="AK208" s="73">
        <v>1.0</v>
      </c>
      <c r="AL208" s="73">
        <v>1.0</v>
      </c>
      <c r="AM208" s="73">
        <v>0.0</v>
      </c>
      <c r="AN208" s="73">
        <v>1.0</v>
      </c>
      <c r="AO208" s="73">
        <v>0.0</v>
      </c>
      <c r="AP208" s="73">
        <v>0.0</v>
      </c>
      <c r="AQ208" s="73">
        <v>0.0</v>
      </c>
      <c r="AR208" s="73">
        <v>2.0</v>
      </c>
      <c r="AS208" s="73">
        <v>3.0</v>
      </c>
      <c r="AT208" s="73">
        <v>1.0</v>
      </c>
      <c r="AU208" s="13">
        <f t="shared" si="40"/>
        <v>51</v>
      </c>
    </row>
    <row r="209" ht="12.75" customHeight="1">
      <c r="A209" s="18"/>
      <c r="B209" s="49"/>
      <c r="C209" s="50" t="s">
        <v>161</v>
      </c>
      <c r="D209" s="51"/>
      <c r="E209" s="73">
        <v>0.0</v>
      </c>
      <c r="F209" s="73">
        <v>1.0</v>
      </c>
      <c r="G209" s="73">
        <v>1.0</v>
      </c>
      <c r="H209" s="73">
        <v>0.0</v>
      </c>
      <c r="I209" s="73">
        <v>0.0</v>
      </c>
      <c r="J209" s="73">
        <v>0.0</v>
      </c>
      <c r="K209" s="73">
        <v>0.0</v>
      </c>
      <c r="L209" s="73">
        <v>0.0</v>
      </c>
      <c r="M209" s="73">
        <v>0.0</v>
      </c>
      <c r="N209" s="73">
        <v>0.0</v>
      </c>
      <c r="O209" s="73">
        <v>0.0</v>
      </c>
      <c r="P209" s="73">
        <v>1.0</v>
      </c>
      <c r="Q209" s="73">
        <v>1.0</v>
      </c>
      <c r="R209" s="73">
        <v>0.0</v>
      </c>
      <c r="S209" s="73">
        <v>0.0</v>
      </c>
      <c r="T209" s="73">
        <v>0.0</v>
      </c>
      <c r="U209" s="73">
        <v>0.0</v>
      </c>
      <c r="V209" s="73">
        <v>0.0</v>
      </c>
      <c r="W209" s="73">
        <v>0.0</v>
      </c>
      <c r="X209" s="73">
        <v>0.0</v>
      </c>
      <c r="Y209" s="73">
        <v>0.0</v>
      </c>
      <c r="Z209" s="73">
        <v>0.0</v>
      </c>
      <c r="AA209" s="73">
        <v>0.0</v>
      </c>
      <c r="AB209" s="73">
        <v>0.0</v>
      </c>
      <c r="AC209" s="73">
        <v>0.0</v>
      </c>
      <c r="AD209" s="73">
        <v>0.0</v>
      </c>
      <c r="AE209" s="73">
        <v>0.0</v>
      </c>
      <c r="AF209" s="73">
        <v>0.0</v>
      </c>
      <c r="AG209" s="73">
        <v>0.0</v>
      </c>
      <c r="AH209" s="73">
        <v>0.0</v>
      </c>
      <c r="AI209" s="73">
        <v>0.0</v>
      </c>
      <c r="AJ209" s="73">
        <v>0.0</v>
      </c>
      <c r="AK209" s="73">
        <v>0.0</v>
      </c>
      <c r="AL209" s="73">
        <v>0.0</v>
      </c>
      <c r="AM209" s="73">
        <v>0.0</v>
      </c>
      <c r="AN209" s="73">
        <v>0.0</v>
      </c>
      <c r="AO209" s="73">
        <v>0.0</v>
      </c>
      <c r="AP209" s="73">
        <v>0.0</v>
      </c>
      <c r="AQ209" s="73">
        <v>0.0</v>
      </c>
      <c r="AR209" s="73">
        <v>0.0</v>
      </c>
      <c r="AS209" s="73">
        <v>0.0</v>
      </c>
      <c r="AT209" s="73">
        <v>0.0</v>
      </c>
      <c r="AU209" s="13">
        <f t="shared" si="40"/>
        <v>4</v>
      </c>
    </row>
    <row r="210" ht="12.75" customHeight="1">
      <c r="A210" s="18"/>
      <c r="B210" s="49"/>
      <c r="C210" s="50" t="s">
        <v>162</v>
      </c>
      <c r="D210" s="51"/>
      <c r="E210" s="73">
        <v>0.0</v>
      </c>
      <c r="F210" s="73">
        <v>1.0</v>
      </c>
      <c r="G210" s="73">
        <v>0.0</v>
      </c>
      <c r="H210" s="73">
        <v>0.0</v>
      </c>
      <c r="I210" s="73">
        <v>0.0</v>
      </c>
      <c r="J210" s="73">
        <v>0.0</v>
      </c>
      <c r="K210" s="73">
        <v>2.0</v>
      </c>
      <c r="L210" s="73">
        <v>1.0</v>
      </c>
      <c r="M210" s="73">
        <v>1.0</v>
      </c>
      <c r="N210" s="73">
        <v>0.0</v>
      </c>
      <c r="O210" s="73">
        <v>4.0</v>
      </c>
      <c r="P210" s="73">
        <v>2.0</v>
      </c>
      <c r="Q210" s="73">
        <v>2.0</v>
      </c>
      <c r="R210" s="73">
        <v>0.0</v>
      </c>
      <c r="S210" s="73">
        <v>0.0</v>
      </c>
      <c r="T210" s="73">
        <v>0.0</v>
      </c>
      <c r="U210" s="73">
        <v>0.0</v>
      </c>
      <c r="V210" s="73">
        <v>0.0</v>
      </c>
      <c r="W210" s="73">
        <v>1.0</v>
      </c>
      <c r="X210" s="73">
        <v>0.0</v>
      </c>
      <c r="Y210" s="73">
        <v>0.0</v>
      </c>
      <c r="Z210" s="73">
        <v>0.0</v>
      </c>
      <c r="AA210" s="73">
        <v>0.0</v>
      </c>
      <c r="AB210" s="73">
        <v>0.0</v>
      </c>
      <c r="AC210" s="73">
        <v>0.0</v>
      </c>
      <c r="AD210" s="73">
        <v>0.0</v>
      </c>
      <c r="AE210" s="73">
        <v>0.0</v>
      </c>
      <c r="AF210" s="73">
        <v>1.0</v>
      </c>
      <c r="AG210" s="73">
        <v>0.0</v>
      </c>
      <c r="AH210" s="73">
        <v>0.0</v>
      </c>
      <c r="AI210" s="73">
        <v>0.0</v>
      </c>
      <c r="AJ210" s="73">
        <v>0.0</v>
      </c>
      <c r="AK210" s="73">
        <v>0.0</v>
      </c>
      <c r="AL210" s="73">
        <v>0.0</v>
      </c>
      <c r="AM210" s="73">
        <v>0.0</v>
      </c>
      <c r="AN210" s="73">
        <v>0.0</v>
      </c>
      <c r="AO210" s="73">
        <v>0.0</v>
      </c>
      <c r="AP210" s="73">
        <v>0.0</v>
      </c>
      <c r="AQ210" s="73">
        <v>0.0</v>
      </c>
      <c r="AR210" s="73">
        <v>0.0</v>
      </c>
      <c r="AS210" s="73">
        <v>0.0</v>
      </c>
      <c r="AT210" s="73">
        <v>0.0</v>
      </c>
      <c r="AU210" s="13">
        <f t="shared" si="40"/>
        <v>15</v>
      </c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U211" si="41">SUM(E201:E210)</f>
        <v>10</v>
      </c>
      <c r="F211" s="13">
        <f t="shared" si="41"/>
        <v>28</v>
      </c>
      <c r="G211" s="13">
        <f t="shared" si="41"/>
        <v>15</v>
      </c>
      <c r="H211" s="13">
        <f t="shared" si="41"/>
        <v>4</v>
      </c>
      <c r="I211" s="13">
        <f t="shared" si="41"/>
        <v>9</v>
      </c>
      <c r="J211" s="13">
        <f t="shared" si="41"/>
        <v>10</v>
      </c>
      <c r="K211" s="13">
        <f t="shared" si="41"/>
        <v>20</v>
      </c>
      <c r="L211" s="13">
        <f t="shared" si="41"/>
        <v>16</v>
      </c>
      <c r="M211" s="13">
        <f t="shared" si="41"/>
        <v>8</v>
      </c>
      <c r="N211" s="13">
        <f t="shared" si="41"/>
        <v>7</v>
      </c>
      <c r="O211" s="13">
        <f t="shared" si="41"/>
        <v>17</v>
      </c>
      <c r="P211" s="13">
        <f t="shared" si="41"/>
        <v>20</v>
      </c>
      <c r="Q211" s="13">
        <f t="shared" si="41"/>
        <v>19</v>
      </c>
      <c r="R211" s="13">
        <f t="shared" si="41"/>
        <v>13</v>
      </c>
      <c r="S211" s="13">
        <f t="shared" si="41"/>
        <v>15</v>
      </c>
      <c r="T211" s="13">
        <f t="shared" si="41"/>
        <v>7</v>
      </c>
      <c r="U211" s="13">
        <f t="shared" si="41"/>
        <v>10</v>
      </c>
      <c r="V211" s="13">
        <f t="shared" si="41"/>
        <v>13</v>
      </c>
      <c r="W211" s="13">
        <f t="shared" si="41"/>
        <v>22</v>
      </c>
      <c r="X211" s="13">
        <f t="shared" si="41"/>
        <v>6</v>
      </c>
      <c r="Y211" s="13">
        <f t="shared" si="41"/>
        <v>5</v>
      </c>
      <c r="Z211" s="13">
        <f t="shared" si="41"/>
        <v>13</v>
      </c>
      <c r="AA211" s="13">
        <f t="shared" si="41"/>
        <v>14</v>
      </c>
      <c r="AB211" s="13">
        <f t="shared" si="41"/>
        <v>8</v>
      </c>
      <c r="AC211" s="13">
        <f t="shared" si="41"/>
        <v>11</v>
      </c>
      <c r="AD211" s="13">
        <f t="shared" si="41"/>
        <v>19</v>
      </c>
      <c r="AE211" s="13">
        <f t="shared" si="41"/>
        <v>3</v>
      </c>
      <c r="AF211" s="13">
        <f t="shared" si="41"/>
        <v>7</v>
      </c>
      <c r="AG211" s="13">
        <f t="shared" si="41"/>
        <v>13</v>
      </c>
      <c r="AH211" s="13">
        <f t="shared" si="41"/>
        <v>16</v>
      </c>
      <c r="AI211" s="13">
        <f t="shared" si="41"/>
        <v>10</v>
      </c>
      <c r="AJ211" s="13">
        <f t="shared" si="41"/>
        <v>8</v>
      </c>
      <c r="AK211" s="13">
        <f t="shared" si="41"/>
        <v>12</v>
      </c>
      <c r="AL211" s="13">
        <f t="shared" si="41"/>
        <v>6</v>
      </c>
      <c r="AM211" s="13">
        <f t="shared" si="41"/>
        <v>12</v>
      </c>
      <c r="AN211" s="13">
        <f t="shared" si="41"/>
        <v>17</v>
      </c>
      <c r="AO211" s="13">
        <f t="shared" si="41"/>
        <v>17</v>
      </c>
      <c r="AP211" s="13">
        <f t="shared" si="41"/>
        <v>6</v>
      </c>
      <c r="AQ211" s="13">
        <f t="shared" si="41"/>
        <v>8</v>
      </c>
      <c r="AR211" s="13">
        <f t="shared" si="41"/>
        <v>5</v>
      </c>
      <c r="AS211" s="13">
        <f t="shared" si="41"/>
        <v>13</v>
      </c>
      <c r="AT211" s="13">
        <f t="shared" si="41"/>
        <v>10</v>
      </c>
      <c r="AU211" s="13">
        <f t="shared" si="41"/>
        <v>502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3">
        <v>2.0</v>
      </c>
      <c r="F213" s="73">
        <v>1.0</v>
      </c>
      <c r="G213" s="73">
        <v>1.0</v>
      </c>
      <c r="H213" s="73">
        <v>2.0</v>
      </c>
      <c r="I213" s="73">
        <v>0.0</v>
      </c>
      <c r="J213" s="73">
        <v>0.0</v>
      </c>
      <c r="K213" s="73">
        <v>1.0</v>
      </c>
      <c r="L213" s="73">
        <v>0.0</v>
      </c>
      <c r="M213" s="73">
        <v>1.0</v>
      </c>
      <c r="N213" s="73">
        <v>1.0</v>
      </c>
      <c r="O213" s="73">
        <v>1.0</v>
      </c>
      <c r="P213" s="73">
        <v>0.0</v>
      </c>
      <c r="Q213" s="73">
        <v>3.0</v>
      </c>
      <c r="R213" s="73">
        <v>3.0</v>
      </c>
      <c r="S213" s="73">
        <v>1.0</v>
      </c>
      <c r="T213" s="73">
        <v>2.0</v>
      </c>
      <c r="U213" s="73">
        <v>1.0</v>
      </c>
      <c r="V213" s="73">
        <v>3.0</v>
      </c>
      <c r="W213" s="73">
        <v>2.0</v>
      </c>
      <c r="X213" s="73">
        <v>3.0</v>
      </c>
      <c r="Y213" s="73">
        <v>2.0</v>
      </c>
      <c r="Z213" s="73">
        <v>2.0</v>
      </c>
      <c r="AA213" s="73">
        <v>2.0</v>
      </c>
      <c r="AB213" s="73">
        <v>1.0</v>
      </c>
      <c r="AC213" s="73">
        <v>1.0</v>
      </c>
      <c r="AD213" s="73">
        <v>0.0</v>
      </c>
      <c r="AE213" s="73">
        <v>1.0</v>
      </c>
      <c r="AF213" s="73">
        <v>2.0</v>
      </c>
      <c r="AG213" s="73">
        <v>1.0</v>
      </c>
      <c r="AH213" s="73">
        <v>1.0</v>
      </c>
      <c r="AI213" s="73">
        <v>1.0</v>
      </c>
      <c r="AJ213" s="73">
        <v>1.0</v>
      </c>
      <c r="AK213" s="73">
        <v>0.0</v>
      </c>
      <c r="AL213" s="73">
        <v>0.0</v>
      </c>
      <c r="AM213" s="73">
        <v>1.0</v>
      </c>
      <c r="AN213" s="73">
        <v>1.0</v>
      </c>
      <c r="AO213" s="73">
        <v>1.0</v>
      </c>
      <c r="AP213" s="73">
        <v>1.0</v>
      </c>
      <c r="AQ213" s="73">
        <v>4.0</v>
      </c>
      <c r="AR213" s="73">
        <v>2.0</v>
      </c>
      <c r="AS213" s="73">
        <v>1.0</v>
      </c>
      <c r="AT213" s="73">
        <v>0.0</v>
      </c>
      <c r="AU213" s="13">
        <f t="shared" ref="AU213:AU222" si="42">SUM(E213:AT213)</f>
        <v>54</v>
      </c>
    </row>
    <row r="214" ht="12.75" customHeight="1">
      <c r="A214" s="30" t="s">
        <v>39</v>
      </c>
      <c r="B214" s="49"/>
      <c r="C214" s="50" t="s">
        <v>165</v>
      </c>
      <c r="D214" s="51"/>
      <c r="E214" s="73">
        <v>0.0</v>
      </c>
      <c r="F214" s="73">
        <v>0.0</v>
      </c>
      <c r="G214" s="73">
        <v>1.0</v>
      </c>
      <c r="H214" s="73">
        <v>1.0</v>
      </c>
      <c r="I214" s="73">
        <v>0.0</v>
      </c>
      <c r="J214" s="73">
        <v>1.0</v>
      </c>
      <c r="K214" s="73">
        <v>0.0</v>
      </c>
      <c r="L214" s="73">
        <v>0.0</v>
      </c>
      <c r="M214" s="73">
        <v>0.0</v>
      </c>
      <c r="N214" s="73">
        <v>0.0</v>
      </c>
      <c r="O214" s="73">
        <v>1.0</v>
      </c>
      <c r="P214" s="73">
        <v>0.0</v>
      </c>
      <c r="Q214" s="73">
        <v>1.0</v>
      </c>
      <c r="R214" s="73">
        <v>3.0</v>
      </c>
      <c r="S214" s="73">
        <v>2.0</v>
      </c>
      <c r="T214" s="73">
        <v>2.0</v>
      </c>
      <c r="U214" s="73">
        <v>2.0</v>
      </c>
      <c r="V214" s="73">
        <v>2.0</v>
      </c>
      <c r="W214" s="73">
        <v>2.0</v>
      </c>
      <c r="X214" s="73">
        <v>1.0</v>
      </c>
      <c r="Y214" s="73">
        <v>1.0</v>
      </c>
      <c r="Z214" s="73">
        <v>0.0</v>
      </c>
      <c r="AA214" s="73">
        <v>5.0</v>
      </c>
      <c r="AB214" s="73">
        <v>0.0</v>
      </c>
      <c r="AC214" s="73">
        <v>0.0</v>
      </c>
      <c r="AD214" s="73">
        <v>3.0</v>
      </c>
      <c r="AE214" s="73">
        <v>3.0</v>
      </c>
      <c r="AF214" s="73">
        <v>2.0</v>
      </c>
      <c r="AG214" s="73">
        <v>1.0</v>
      </c>
      <c r="AH214" s="73">
        <v>1.0</v>
      </c>
      <c r="AI214" s="73">
        <v>4.0</v>
      </c>
      <c r="AJ214" s="73">
        <v>2.0</v>
      </c>
      <c r="AK214" s="73">
        <v>2.0</v>
      </c>
      <c r="AL214" s="73">
        <v>2.0</v>
      </c>
      <c r="AM214" s="73">
        <v>0.0</v>
      </c>
      <c r="AN214" s="73">
        <v>0.0</v>
      </c>
      <c r="AO214" s="73">
        <v>0.0</v>
      </c>
      <c r="AP214" s="73">
        <v>0.0</v>
      </c>
      <c r="AQ214" s="73">
        <v>1.0</v>
      </c>
      <c r="AR214" s="73">
        <v>0.0</v>
      </c>
      <c r="AS214" s="73">
        <v>1.0</v>
      </c>
      <c r="AT214" s="73">
        <v>0.0</v>
      </c>
      <c r="AU214" s="13">
        <f t="shared" si="42"/>
        <v>47</v>
      </c>
    </row>
    <row r="215" ht="12.75" customHeight="1">
      <c r="A215" s="18"/>
      <c r="B215" s="49"/>
      <c r="C215" s="50" t="s">
        <v>166</v>
      </c>
      <c r="D215" s="51"/>
      <c r="E215" s="73">
        <v>0.0</v>
      </c>
      <c r="F215" s="73">
        <v>1.0</v>
      </c>
      <c r="G215" s="73">
        <v>1.0</v>
      </c>
      <c r="H215" s="73">
        <v>1.0</v>
      </c>
      <c r="I215" s="73">
        <v>0.0</v>
      </c>
      <c r="J215" s="73">
        <v>0.0</v>
      </c>
      <c r="K215" s="73">
        <v>1.0</v>
      </c>
      <c r="L215" s="73">
        <v>0.0</v>
      </c>
      <c r="M215" s="73">
        <v>0.0</v>
      </c>
      <c r="N215" s="73">
        <v>1.0</v>
      </c>
      <c r="O215" s="73">
        <v>1.0</v>
      </c>
      <c r="P215" s="73">
        <v>0.0</v>
      </c>
      <c r="Q215" s="73">
        <v>2.0</v>
      </c>
      <c r="R215" s="73">
        <v>0.0</v>
      </c>
      <c r="S215" s="73">
        <v>2.0</v>
      </c>
      <c r="T215" s="73">
        <v>1.0</v>
      </c>
      <c r="U215" s="73">
        <v>4.0</v>
      </c>
      <c r="V215" s="73">
        <v>2.0</v>
      </c>
      <c r="W215" s="73">
        <v>3.0</v>
      </c>
      <c r="X215" s="73">
        <v>0.0</v>
      </c>
      <c r="Y215" s="73">
        <v>0.0</v>
      </c>
      <c r="Z215" s="73">
        <v>1.0</v>
      </c>
      <c r="AA215" s="73">
        <v>2.0</v>
      </c>
      <c r="AB215" s="73">
        <v>0.0</v>
      </c>
      <c r="AC215" s="73">
        <v>0.0</v>
      </c>
      <c r="AD215" s="73">
        <v>2.0</v>
      </c>
      <c r="AE215" s="73">
        <v>0.0</v>
      </c>
      <c r="AF215" s="73">
        <v>3.0</v>
      </c>
      <c r="AG215" s="73">
        <v>0.0</v>
      </c>
      <c r="AH215" s="73">
        <v>1.0</v>
      </c>
      <c r="AI215" s="73">
        <v>0.0</v>
      </c>
      <c r="AJ215" s="73">
        <v>0.0</v>
      </c>
      <c r="AK215" s="73">
        <v>1.0</v>
      </c>
      <c r="AL215" s="73">
        <v>1.0</v>
      </c>
      <c r="AM215" s="73">
        <v>1.0</v>
      </c>
      <c r="AN215" s="73">
        <v>0.0</v>
      </c>
      <c r="AO215" s="73">
        <v>0.0</v>
      </c>
      <c r="AP215" s="73">
        <v>2.0</v>
      </c>
      <c r="AQ215" s="73">
        <v>0.0</v>
      </c>
      <c r="AR215" s="73">
        <v>0.0</v>
      </c>
      <c r="AS215" s="73">
        <v>0.0</v>
      </c>
      <c r="AT215" s="73">
        <v>0.0</v>
      </c>
      <c r="AU215" s="13">
        <f t="shared" si="42"/>
        <v>34</v>
      </c>
    </row>
    <row r="216" ht="12.75" customHeight="1">
      <c r="A216" s="18"/>
      <c r="B216" s="49"/>
      <c r="C216" s="50" t="s">
        <v>167</v>
      </c>
      <c r="D216" s="51"/>
      <c r="E216" s="73">
        <v>1.0</v>
      </c>
      <c r="F216" s="73">
        <v>1.0</v>
      </c>
      <c r="G216" s="73">
        <v>1.0</v>
      </c>
      <c r="H216" s="73">
        <v>1.0</v>
      </c>
      <c r="I216" s="73">
        <v>0.0</v>
      </c>
      <c r="J216" s="73">
        <v>0.0</v>
      </c>
      <c r="K216" s="73">
        <v>0.0</v>
      </c>
      <c r="L216" s="73">
        <v>1.0</v>
      </c>
      <c r="M216" s="73">
        <v>0.0</v>
      </c>
      <c r="N216" s="73">
        <v>1.0</v>
      </c>
      <c r="O216" s="73">
        <v>0.0</v>
      </c>
      <c r="P216" s="73">
        <v>1.0</v>
      </c>
      <c r="Q216" s="73">
        <v>0.0</v>
      </c>
      <c r="R216" s="73">
        <v>0.0</v>
      </c>
      <c r="S216" s="73">
        <v>0.0</v>
      </c>
      <c r="T216" s="73">
        <v>1.0</v>
      </c>
      <c r="U216" s="73">
        <v>0.0</v>
      </c>
      <c r="V216" s="73">
        <v>0.0</v>
      </c>
      <c r="W216" s="73">
        <v>1.0</v>
      </c>
      <c r="X216" s="73">
        <v>0.0</v>
      </c>
      <c r="Y216" s="73">
        <v>0.0</v>
      </c>
      <c r="Z216" s="73">
        <v>0.0</v>
      </c>
      <c r="AA216" s="73">
        <v>0.0</v>
      </c>
      <c r="AB216" s="73">
        <v>0.0</v>
      </c>
      <c r="AC216" s="73">
        <v>0.0</v>
      </c>
      <c r="AD216" s="73">
        <v>0.0</v>
      </c>
      <c r="AE216" s="73">
        <v>1.0</v>
      </c>
      <c r="AF216" s="73">
        <v>0.0</v>
      </c>
      <c r="AG216" s="73">
        <v>0.0</v>
      </c>
      <c r="AH216" s="73">
        <v>0.0</v>
      </c>
      <c r="AI216" s="73">
        <v>0.0</v>
      </c>
      <c r="AJ216" s="73">
        <v>1.0</v>
      </c>
      <c r="AK216" s="73">
        <v>0.0</v>
      </c>
      <c r="AL216" s="73">
        <v>0.0</v>
      </c>
      <c r="AM216" s="73">
        <v>3.0</v>
      </c>
      <c r="AN216" s="73">
        <v>0.0</v>
      </c>
      <c r="AO216" s="73">
        <v>0.0</v>
      </c>
      <c r="AP216" s="73">
        <v>0.0</v>
      </c>
      <c r="AQ216" s="73">
        <v>1.0</v>
      </c>
      <c r="AR216" s="73">
        <v>0.0</v>
      </c>
      <c r="AS216" s="73">
        <v>0.0</v>
      </c>
      <c r="AT216" s="73">
        <v>1.0</v>
      </c>
      <c r="AU216" s="13">
        <f t="shared" si="42"/>
        <v>16</v>
      </c>
    </row>
    <row r="217" ht="12.75" customHeight="1">
      <c r="A217" s="18"/>
      <c r="B217" s="57"/>
      <c r="C217" s="58"/>
      <c r="D217" s="66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3">
        <f t="shared" si="42"/>
        <v>0</v>
      </c>
    </row>
    <row r="218" ht="12.75" customHeight="1">
      <c r="A218" s="18"/>
      <c r="B218" s="57"/>
      <c r="C218" s="58"/>
      <c r="D218" s="66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3">
        <f t="shared" si="42"/>
        <v>0</v>
      </c>
    </row>
    <row r="219" ht="12.75" customHeight="1">
      <c r="A219" s="18"/>
      <c r="B219" s="57"/>
      <c r="C219" s="58"/>
      <c r="D219" s="66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3">
        <f t="shared" si="42"/>
        <v>0</v>
      </c>
    </row>
    <row r="220" ht="12.75" customHeight="1">
      <c r="A220" s="18"/>
      <c r="B220" s="57"/>
      <c r="C220" s="58"/>
      <c r="D220" s="66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3">
        <f t="shared" si="42"/>
        <v>0</v>
      </c>
    </row>
    <row r="221" ht="12.75" customHeight="1">
      <c r="A221" s="18"/>
      <c r="B221" s="57"/>
      <c r="C221" s="58"/>
      <c r="D221" s="66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3">
        <f t="shared" si="42"/>
        <v>0</v>
      </c>
    </row>
    <row r="222" ht="12.75" customHeight="1">
      <c r="A222" s="18"/>
      <c r="B222" s="57"/>
      <c r="C222" s="58"/>
      <c r="D222" s="66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3">
        <f t="shared" si="42"/>
        <v>0</v>
      </c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U223" si="43">SUM(E213:E222)</f>
        <v>3</v>
      </c>
      <c r="F223" s="13">
        <f t="shared" si="43"/>
        <v>3</v>
      </c>
      <c r="G223" s="13">
        <f t="shared" si="43"/>
        <v>4</v>
      </c>
      <c r="H223" s="13">
        <f t="shared" si="43"/>
        <v>5</v>
      </c>
      <c r="I223" s="13">
        <f t="shared" si="43"/>
        <v>0</v>
      </c>
      <c r="J223" s="13">
        <f t="shared" si="43"/>
        <v>1</v>
      </c>
      <c r="K223" s="13">
        <f t="shared" si="43"/>
        <v>2</v>
      </c>
      <c r="L223" s="13">
        <f t="shared" si="43"/>
        <v>1</v>
      </c>
      <c r="M223" s="13">
        <f t="shared" si="43"/>
        <v>1</v>
      </c>
      <c r="N223" s="13">
        <f t="shared" si="43"/>
        <v>3</v>
      </c>
      <c r="O223" s="13">
        <f t="shared" si="43"/>
        <v>3</v>
      </c>
      <c r="P223" s="13">
        <f t="shared" si="43"/>
        <v>1</v>
      </c>
      <c r="Q223" s="13">
        <f t="shared" si="43"/>
        <v>6</v>
      </c>
      <c r="R223" s="13">
        <f t="shared" si="43"/>
        <v>6</v>
      </c>
      <c r="S223" s="13">
        <f t="shared" si="43"/>
        <v>5</v>
      </c>
      <c r="T223" s="13">
        <f t="shared" si="43"/>
        <v>6</v>
      </c>
      <c r="U223" s="13">
        <f t="shared" si="43"/>
        <v>7</v>
      </c>
      <c r="V223" s="13">
        <f t="shared" si="43"/>
        <v>7</v>
      </c>
      <c r="W223" s="13">
        <f t="shared" si="43"/>
        <v>8</v>
      </c>
      <c r="X223" s="13">
        <f t="shared" si="43"/>
        <v>4</v>
      </c>
      <c r="Y223" s="13">
        <f t="shared" si="43"/>
        <v>3</v>
      </c>
      <c r="Z223" s="13">
        <f t="shared" si="43"/>
        <v>3</v>
      </c>
      <c r="AA223" s="13">
        <f t="shared" si="43"/>
        <v>9</v>
      </c>
      <c r="AB223" s="13">
        <f t="shared" si="43"/>
        <v>1</v>
      </c>
      <c r="AC223" s="13">
        <f t="shared" si="43"/>
        <v>1</v>
      </c>
      <c r="AD223" s="13">
        <f t="shared" si="43"/>
        <v>5</v>
      </c>
      <c r="AE223" s="13">
        <f t="shared" si="43"/>
        <v>5</v>
      </c>
      <c r="AF223" s="13">
        <f t="shared" si="43"/>
        <v>7</v>
      </c>
      <c r="AG223" s="13">
        <f t="shared" si="43"/>
        <v>2</v>
      </c>
      <c r="AH223" s="13">
        <f t="shared" si="43"/>
        <v>3</v>
      </c>
      <c r="AI223" s="13">
        <f t="shared" si="43"/>
        <v>5</v>
      </c>
      <c r="AJ223" s="13">
        <f t="shared" si="43"/>
        <v>4</v>
      </c>
      <c r="AK223" s="13">
        <f t="shared" si="43"/>
        <v>3</v>
      </c>
      <c r="AL223" s="13">
        <f t="shared" si="43"/>
        <v>3</v>
      </c>
      <c r="AM223" s="13">
        <f t="shared" si="43"/>
        <v>5</v>
      </c>
      <c r="AN223" s="13">
        <f t="shared" si="43"/>
        <v>1</v>
      </c>
      <c r="AO223" s="13">
        <f t="shared" si="43"/>
        <v>1</v>
      </c>
      <c r="AP223" s="13">
        <f t="shared" si="43"/>
        <v>3</v>
      </c>
      <c r="AQ223" s="13">
        <f t="shared" si="43"/>
        <v>6</v>
      </c>
      <c r="AR223" s="13">
        <f t="shared" si="43"/>
        <v>2</v>
      </c>
      <c r="AS223" s="13">
        <f t="shared" si="43"/>
        <v>2</v>
      </c>
      <c r="AT223" s="13">
        <f t="shared" si="43"/>
        <v>1</v>
      </c>
      <c r="AU223" s="13">
        <f t="shared" si="43"/>
        <v>151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3">
        <v>0.0</v>
      </c>
      <c r="F225" s="73">
        <v>0.0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1.0</v>
      </c>
      <c r="M225" s="73">
        <v>1.0</v>
      </c>
      <c r="N225" s="73">
        <v>0.0</v>
      </c>
      <c r="O225" s="73">
        <v>0.0</v>
      </c>
      <c r="P225" s="73">
        <v>0.0</v>
      </c>
      <c r="Q225" s="73">
        <v>1.0</v>
      </c>
      <c r="R225" s="73">
        <v>0.0</v>
      </c>
      <c r="S225" s="73">
        <v>0.0</v>
      </c>
      <c r="T225" s="73">
        <v>1.0</v>
      </c>
      <c r="U225" s="73">
        <v>0.0</v>
      </c>
      <c r="V225" s="73">
        <v>2.0</v>
      </c>
      <c r="W225" s="73">
        <v>0.0</v>
      </c>
      <c r="X225" s="73">
        <v>0.0</v>
      </c>
      <c r="Y225" s="73">
        <v>0.0</v>
      </c>
      <c r="Z225" s="73">
        <v>0.0</v>
      </c>
      <c r="AA225" s="73">
        <v>1.0</v>
      </c>
      <c r="AB225" s="73">
        <v>0.0</v>
      </c>
      <c r="AC225" s="73">
        <v>0.0</v>
      </c>
      <c r="AD225" s="73">
        <v>0.0</v>
      </c>
      <c r="AE225" s="73">
        <v>0.0</v>
      </c>
      <c r="AF225" s="73">
        <v>1.0</v>
      </c>
      <c r="AG225" s="73">
        <v>0.0</v>
      </c>
      <c r="AH225" s="73">
        <v>0.0</v>
      </c>
      <c r="AI225" s="73">
        <v>1.0</v>
      </c>
      <c r="AJ225" s="73">
        <v>0.0</v>
      </c>
      <c r="AK225" s="73">
        <v>0.0</v>
      </c>
      <c r="AL225" s="73">
        <v>0.0</v>
      </c>
      <c r="AM225" s="73">
        <v>0.0</v>
      </c>
      <c r="AN225" s="73">
        <v>0.0</v>
      </c>
      <c r="AO225" s="73">
        <v>2.0</v>
      </c>
      <c r="AP225" s="73">
        <v>0.0</v>
      </c>
      <c r="AQ225" s="73">
        <v>0.0</v>
      </c>
      <c r="AR225" s="73">
        <v>0.0</v>
      </c>
      <c r="AS225" s="73">
        <v>0.0</v>
      </c>
      <c r="AT225" s="73">
        <v>0.0</v>
      </c>
      <c r="AU225" s="13">
        <f t="shared" ref="AU225:AU234" si="44">SUM(E225:AT225)</f>
        <v>11</v>
      </c>
    </row>
    <row r="226" ht="12.75" customHeight="1">
      <c r="A226" s="30" t="s">
        <v>39</v>
      </c>
      <c r="B226" s="49"/>
      <c r="C226" s="50" t="s">
        <v>170</v>
      </c>
      <c r="D226" s="51"/>
      <c r="E226" s="73">
        <v>0.0</v>
      </c>
      <c r="F226" s="73">
        <v>0.0</v>
      </c>
      <c r="G226" s="73">
        <v>0.0</v>
      </c>
      <c r="H226" s="73">
        <v>0.0</v>
      </c>
      <c r="I226" s="73">
        <v>1.0</v>
      </c>
      <c r="J226" s="73">
        <v>1.0</v>
      </c>
      <c r="K226" s="73">
        <v>1.0</v>
      </c>
      <c r="L226" s="73">
        <v>1.0</v>
      </c>
      <c r="M226" s="73">
        <v>0.0</v>
      </c>
      <c r="N226" s="73">
        <v>1.0</v>
      </c>
      <c r="O226" s="73">
        <v>0.0</v>
      </c>
      <c r="P226" s="73">
        <v>0.0</v>
      </c>
      <c r="Q226" s="73">
        <v>2.0</v>
      </c>
      <c r="R226" s="73">
        <v>0.0</v>
      </c>
      <c r="S226" s="73">
        <v>0.0</v>
      </c>
      <c r="T226" s="73">
        <v>0.0</v>
      </c>
      <c r="U226" s="73">
        <v>0.0</v>
      </c>
      <c r="V226" s="73">
        <v>0.0</v>
      </c>
      <c r="W226" s="73">
        <v>0.0</v>
      </c>
      <c r="X226" s="73">
        <v>2.0</v>
      </c>
      <c r="Y226" s="73">
        <v>0.0</v>
      </c>
      <c r="Z226" s="73">
        <v>0.0</v>
      </c>
      <c r="AA226" s="73">
        <v>0.0</v>
      </c>
      <c r="AB226" s="73">
        <v>1.0</v>
      </c>
      <c r="AC226" s="73">
        <v>0.0</v>
      </c>
      <c r="AD226" s="73">
        <v>2.0</v>
      </c>
      <c r="AE226" s="73">
        <v>0.0</v>
      </c>
      <c r="AF226" s="73">
        <v>0.0</v>
      </c>
      <c r="AG226" s="73">
        <v>0.0</v>
      </c>
      <c r="AH226" s="73">
        <v>0.0</v>
      </c>
      <c r="AI226" s="73">
        <v>0.0</v>
      </c>
      <c r="AJ226" s="73">
        <v>0.0</v>
      </c>
      <c r="AK226" s="73">
        <v>0.0</v>
      </c>
      <c r="AL226" s="73">
        <v>1.0</v>
      </c>
      <c r="AM226" s="73">
        <v>0.0</v>
      </c>
      <c r="AN226" s="73">
        <v>0.0</v>
      </c>
      <c r="AO226" s="73">
        <v>5.0</v>
      </c>
      <c r="AP226" s="73">
        <v>2.0</v>
      </c>
      <c r="AQ226" s="73">
        <v>0.0</v>
      </c>
      <c r="AR226" s="73">
        <v>0.0</v>
      </c>
      <c r="AS226" s="73">
        <v>2.0</v>
      </c>
      <c r="AT226" s="73">
        <v>0.0</v>
      </c>
      <c r="AU226" s="13">
        <f t="shared" si="44"/>
        <v>22</v>
      </c>
    </row>
    <row r="227" ht="12.75" customHeight="1">
      <c r="A227" s="18"/>
      <c r="B227" s="49"/>
      <c r="C227" s="50" t="s">
        <v>171</v>
      </c>
      <c r="D227" s="51"/>
      <c r="E227" s="73">
        <v>0.0</v>
      </c>
      <c r="F227" s="73">
        <v>0.0</v>
      </c>
      <c r="G227" s="73">
        <v>1.0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0.0</v>
      </c>
      <c r="U227" s="73">
        <v>0.0</v>
      </c>
      <c r="V227" s="73">
        <v>0.0</v>
      </c>
      <c r="W227" s="73">
        <v>0.0</v>
      </c>
      <c r="X227" s="73">
        <v>0.0</v>
      </c>
      <c r="Y227" s="73">
        <v>0.0</v>
      </c>
      <c r="Z227" s="73">
        <v>0.0</v>
      </c>
      <c r="AA227" s="73">
        <v>0.0</v>
      </c>
      <c r="AB227" s="73">
        <v>0.0</v>
      </c>
      <c r="AC227" s="73">
        <v>0.0</v>
      </c>
      <c r="AD227" s="73">
        <v>0.0</v>
      </c>
      <c r="AE227" s="73">
        <v>0.0</v>
      </c>
      <c r="AF227" s="73">
        <v>0.0</v>
      </c>
      <c r="AG227" s="73">
        <v>0.0</v>
      </c>
      <c r="AH227" s="73">
        <v>0.0</v>
      </c>
      <c r="AI227" s="73">
        <v>0.0</v>
      </c>
      <c r="AJ227" s="73">
        <v>0.0</v>
      </c>
      <c r="AK227" s="73">
        <v>0.0</v>
      </c>
      <c r="AL227" s="73">
        <v>0.0</v>
      </c>
      <c r="AM227" s="73">
        <v>0.0</v>
      </c>
      <c r="AN227" s="73">
        <v>0.0</v>
      </c>
      <c r="AO227" s="73">
        <v>0.0</v>
      </c>
      <c r="AP227" s="73">
        <v>0.0</v>
      </c>
      <c r="AQ227" s="73">
        <v>0.0</v>
      </c>
      <c r="AR227" s="73">
        <v>0.0</v>
      </c>
      <c r="AS227" s="73">
        <v>0.0</v>
      </c>
      <c r="AT227" s="73">
        <v>0.0</v>
      </c>
      <c r="AU227" s="13">
        <f t="shared" si="44"/>
        <v>1</v>
      </c>
    </row>
    <row r="228" ht="12.75" customHeight="1">
      <c r="A228" s="18"/>
      <c r="B228" s="49"/>
      <c r="C228" s="50" t="s">
        <v>172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1.0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73">
        <v>0.0</v>
      </c>
      <c r="AB228" s="73">
        <v>0.0</v>
      </c>
      <c r="AC228" s="73">
        <v>0.0</v>
      </c>
      <c r="AD228" s="73">
        <v>0.0</v>
      </c>
      <c r="AE228" s="73">
        <v>0.0</v>
      </c>
      <c r="AF228" s="73">
        <v>0.0</v>
      </c>
      <c r="AG228" s="73">
        <v>0.0</v>
      </c>
      <c r="AH228" s="73">
        <v>0.0</v>
      </c>
      <c r="AI228" s="73">
        <v>0.0</v>
      </c>
      <c r="AJ228" s="73">
        <v>0.0</v>
      </c>
      <c r="AK228" s="73">
        <v>0.0</v>
      </c>
      <c r="AL228" s="73">
        <v>0.0</v>
      </c>
      <c r="AM228" s="73">
        <v>0.0</v>
      </c>
      <c r="AN228" s="73">
        <v>0.0</v>
      </c>
      <c r="AO228" s="73">
        <v>0.0</v>
      </c>
      <c r="AP228" s="73">
        <v>0.0</v>
      </c>
      <c r="AQ228" s="73">
        <v>0.0</v>
      </c>
      <c r="AR228" s="73">
        <v>0.0</v>
      </c>
      <c r="AS228" s="73">
        <v>0.0</v>
      </c>
      <c r="AT228" s="73">
        <v>0.0</v>
      </c>
      <c r="AU228" s="13">
        <f t="shared" si="44"/>
        <v>1</v>
      </c>
    </row>
    <row r="229" ht="12.75" customHeight="1">
      <c r="A229" s="18"/>
      <c r="B229" s="49"/>
      <c r="C229" s="50" t="s">
        <v>173</v>
      </c>
      <c r="D229" s="51"/>
      <c r="E229" s="73">
        <v>0.0</v>
      </c>
      <c r="F229" s="73">
        <v>0.0</v>
      </c>
      <c r="G229" s="73">
        <v>1.0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73">
        <v>1.0</v>
      </c>
      <c r="V229" s="73">
        <v>0.0</v>
      </c>
      <c r="W229" s="73">
        <v>0.0</v>
      </c>
      <c r="X229" s="73">
        <v>0.0</v>
      </c>
      <c r="Y229" s="73">
        <v>0.0</v>
      </c>
      <c r="Z229" s="73">
        <v>0.0</v>
      </c>
      <c r="AA229" s="73">
        <v>0.0</v>
      </c>
      <c r="AB229" s="73">
        <v>0.0</v>
      </c>
      <c r="AC229" s="73">
        <v>0.0</v>
      </c>
      <c r="AD229" s="73">
        <v>0.0</v>
      </c>
      <c r="AE229" s="73">
        <v>0.0</v>
      </c>
      <c r="AF229" s="73">
        <v>0.0</v>
      </c>
      <c r="AG229" s="73">
        <v>0.0</v>
      </c>
      <c r="AH229" s="73">
        <v>0.0</v>
      </c>
      <c r="AI229" s="73">
        <v>0.0</v>
      </c>
      <c r="AJ229" s="73">
        <v>0.0</v>
      </c>
      <c r="AK229" s="73">
        <v>0.0</v>
      </c>
      <c r="AL229" s="73">
        <v>0.0</v>
      </c>
      <c r="AM229" s="73">
        <v>0.0</v>
      </c>
      <c r="AN229" s="73">
        <v>0.0</v>
      </c>
      <c r="AO229" s="73">
        <v>0.0</v>
      </c>
      <c r="AP229" s="73">
        <v>0.0</v>
      </c>
      <c r="AQ229" s="73">
        <v>0.0</v>
      </c>
      <c r="AR229" s="73">
        <v>0.0</v>
      </c>
      <c r="AS229" s="73">
        <v>0.0</v>
      </c>
      <c r="AT229" s="73">
        <v>0.0</v>
      </c>
      <c r="AU229" s="13">
        <f t="shared" si="44"/>
        <v>2</v>
      </c>
    </row>
    <row r="230" ht="12.75" customHeight="1">
      <c r="A230" s="18"/>
      <c r="B230" s="57"/>
      <c r="C230" s="58"/>
      <c r="D230" s="5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3">
        <f t="shared" si="44"/>
        <v>0</v>
      </c>
    </row>
    <row r="231" ht="12.75" customHeight="1">
      <c r="A231" s="18"/>
      <c r="B231" s="57"/>
      <c r="C231" s="58"/>
      <c r="D231" s="5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3">
        <f t="shared" si="44"/>
        <v>0</v>
      </c>
    </row>
    <row r="232" ht="12.75" customHeight="1">
      <c r="A232" s="18"/>
      <c r="B232" s="57"/>
      <c r="C232" s="58"/>
      <c r="D232" s="5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3">
        <f t="shared" si="44"/>
        <v>0</v>
      </c>
    </row>
    <row r="233" ht="12.75" customHeight="1">
      <c r="A233" s="18"/>
      <c r="B233" s="57"/>
      <c r="C233" s="58"/>
      <c r="D233" s="5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3">
        <f t="shared" si="44"/>
        <v>0</v>
      </c>
    </row>
    <row r="234" ht="12.75" customHeight="1">
      <c r="A234" s="18"/>
      <c r="B234" s="57"/>
      <c r="C234" s="58"/>
      <c r="D234" s="5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3">
        <f t="shared" si="44"/>
        <v>0</v>
      </c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U235" si="45">SUM(E225:E234)</f>
        <v>0</v>
      </c>
      <c r="F235" s="13">
        <f t="shared" si="45"/>
        <v>0</v>
      </c>
      <c r="G235" s="13">
        <f t="shared" si="45"/>
        <v>2</v>
      </c>
      <c r="H235" s="13">
        <f t="shared" si="45"/>
        <v>0</v>
      </c>
      <c r="I235" s="13">
        <f t="shared" si="45"/>
        <v>1</v>
      </c>
      <c r="J235" s="13">
        <f t="shared" si="45"/>
        <v>1</v>
      </c>
      <c r="K235" s="13">
        <f t="shared" si="45"/>
        <v>1</v>
      </c>
      <c r="L235" s="13">
        <f t="shared" si="45"/>
        <v>2</v>
      </c>
      <c r="M235" s="13">
        <f t="shared" si="45"/>
        <v>1</v>
      </c>
      <c r="N235" s="13">
        <f t="shared" si="45"/>
        <v>1</v>
      </c>
      <c r="O235" s="13">
        <f t="shared" si="45"/>
        <v>0</v>
      </c>
      <c r="P235" s="13">
        <f t="shared" si="45"/>
        <v>0</v>
      </c>
      <c r="Q235" s="13">
        <f t="shared" si="45"/>
        <v>3</v>
      </c>
      <c r="R235" s="13">
        <f t="shared" si="45"/>
        <v>0</v>
      </c>
      <c r="S235" s="13">
        <f t="shared" si="45"/>
        <v>0</v>
      </c>
      <c r="T235" s="13">
        <f t="shared" si="45"/>
        <v>1</v>
      </c>
      <c r="U235" s="13">
        <f t="shared" si="45"/>
        <v>2</v>
      </c>
      <c r="V235" s="13">
        <f t="shared" si="45"/>
        <v>2</v>
      </c>
      <c r="W235" s="13">
        <f t="shared" si="45"/>
        <v>0</v>
      </c>
      <c r="X235" s="13">
        <f t="shared" si="45"/>
        <v>2</v>
      </c>
      <c r="Y235" s="13">
        <f t="shared" si="45"/>
        <v>0</v>
      </c>
      <c r="Z235" s="13">
        <f t="shared" si="45"/>
        <v>0</v>
      </c>
      <c r="AA235" s="13">
        <f t="shared" si="45"/>
        <v>1</v>
      </c>
      <c r="AB235" s="13">
        <f t="shared" si="45"/>
        <v>1</v>
      </c>
      <c r="AC235" s="13">
        <f t="shared" si="45"/>
        <v>0</v>
      </c>
      <c r="AD235" s="13">
        <f t="shared" si="45"/>
        <v>2</v>
      </c>
      <c r="AE235" s="13">
        <f t="shared" si="45"/>
        <v>0</v>
      </c>
      <c r="AF235" s="13">
        <f t="shared" si="45"/>
        <v>1</v>
      </c>
      <c r="AG235" s="13">
        <f t="shared" si="45"/>
        <v>0</v>
      </c>
      <c r="AH235" s="13">
        <f t="shared" si="45"/>
        <v>0</v>
      </c>
      <c r="AI235" s="13">
        <f t="shared" si="45"/>
        <v>1</v>
      </c>
      <c r="AJ235" s="13">
        <f t="shared" si="45"/>
        <v>0</v>
      </c>
      <c r="AK235" s="13">
        <f t="shared" si="45"/>
        <v>0</v>
      </c>
      <c r="AL235" s="13">
        <f t="shared" si="45"/>
        <v>1</v>
      </c>
      <c r="AM235" s="13">
        <f t="shared" si="45"/>
        <v>0</v>
      </c>
      <c r="AN235" s="13">
        <f t="shared" si="45"/>
        <v>0</v>
      </c>
      <c r="AO235" s="13">
        <f t="shared" si="45"/>
        <v>7</v>
      </c>
      <c r="AP235" s="13">
        <f t="shared" si="45"/>
        <v>2</v>
      </c>
      <c r="AQ235" s="13">
        <f t="shared" si="45"/>
        <v>0</v>
      </c>
      <c r="AR235" s="13">
        <f t="shared" si="45"/>
        <v>0</v>
      </c>
      <c r="AS235" s="13">
        <f t="shared" si="45"/>
        <v>2</v>
      </c>
      <c r="AT235" s="13">
        <f t="shared" si="45"/>
        <v>0</v>
      </c>
      <c r="AU235" s="13">
        <f t="shared" si="45"/>
        <v>37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3">
        <v>1.0</v>
      </c>
      <c r="F237" s="73">
        <v>2.0</v>
      </c>
      <c r="G237" s="73">
        <v>3.0</v>
      </c>
      <c r="H237" s="73">
        <v>6.0</v>
      </c>
      <c r="I237" s="73">
        <v>2.0</v>
      </c>
      <c r="J237" s="73">
        <v>1.0</v>
      </c>
      <c r="K237" s="73">
        <v>0.0</v>
      </c>
      <c r="L237" s="73">
        <v>5.0</v>
      </c>
      <c r="M237" s="73">
        <v>0.0</v>
      </c>
      <c r="N237" s="73">
        <v>0.0</v>
      </c>
      <c r="O237" s="73">
        <v>4.0</v>
      </c>
      <c r="P237" s="73">
        <v>1.0</v>
      </c>
      <c r="Q237" s="73">
        <v>0.0</v>
      </c>
      <c r="R237" s="73">
        <v>2.0</v>
      </c>
      <c r="S237" s="73">
        <v>1.0</v>
      </c>
      <c r="T237" s="73">
        <v>2.0</v>
      </c>
      <c r="U237" s="73">
        <v>1.0</v>
      </c>
      <c r="V237" s="73">
        <v>0.0</v>
      </c>
      <c r="W237" s="73">
        <v>5.0</v>
      </c>
      <c r="X237" s="73">
        <v>3.0</v>
      </c>
      <c r="Y237" s="73">
        <v>3.0</v>
      </c>
      <c r="Z237" s="73">
        <v>4.0</v>
      </c>
      <c r="AA237" s="73">
        <v>0.0</v>
      </c>
      <c r="AB237" s="73">
        <v>3.0</v>
      </c>
      <c r="AC237" s="73">
        <v>1.0</v>
      </c>
      <c r="AD237" s="73">
        <v>1.0</v>
      </c>
      <c r="AE237" s="73">
        <v>1.0</v>
      </c>
      <c r="AF237" s="73">
        <v>1.0</v>
      </c>
      <c r="AG237" s="73">
        <v>2.0</v>
      </c>
      <c r="AH237" s="73">
        <v>0.0</v>
      </c>
      <c r="AI237" s="73">
        <v>2.0</v>
      </c>
      <c r="AJ237" s="73">
        <v>1.0</v>
      </c>
      <c r="AK237" s="73">
        <v>1.0</v>
      </c>
      <c r="AL237" s="73">
        <v>2.0</v>
      </c>
      <c r="AM237" s="73">
        <v>0.0</v>
      </c>
      <c r="AN237" s="73">
        <v>0.0</v>
      </c>
      <c r="AO237" s="73">
        <v>3.0</v>
      </c>
      <c r="AP237" s="73">
        <v>2.0</v>
      </c>
      <c r="AQ237" s="73">
        <v>1.0</v>
      </c>
      <c r="AR237" s="73">
        <v>6.0</v>
      </c>
      <c r="AS237" s="73">
        <v>3.0</v>
      </c>
      <c r="AT237" s="73">
        <v>0.0</v>
      </c>
      <c r="AU237" s="13">
        <f t="shared" ref="AU237:AU246" si="46">SUM(E237:AT237)</f>
        <v>76</v>
      </c>
    </row>
    <row r="238" ht="12.75" customHeight="1">
      <c r="A238" s="30" t="s">
        <v>39</v>
      </c>
      <c r="B238" s="49"/>
      <c r="C238" s="50" t="s">
        <v>176</v>
      </c>
      <c r="D238" s="51"/>
      <c r="E238" s="73">
        <v>0.0</v>
      </c>
      <c r="F238" s="73">
        <v>2.0</v>
      </c>
      <c r="G238" s="73">
        <v>0.0</v>
      </c>
      <c r="H238" s="73">
        <v>4.0</v>
      </c>
      <c r="I238" s="73">
        <v>5.0</v>
      </c>
      <c r="J238" s="73">
        <v>0.0</v>
      </c>
      <c r="K238" s="73">
        <v>0.0</v>
      </c>
      <c r="L238" s="73">
        <v>0.0</v>
      </c>
      <c r="M238" s="73">
        <v>1.0</v>
      </c>
      <c r="N238" s="73">
        <v>0.0</v>
      </c>
      <c r="O238" s="73">
        <v>0.0</v>
      </c>
      <c r="P238" s="73">
        <v>1.0</v>
      </c>
      <c r="Q238" s="73">
        <v>1.0</v>
      </c>
      <c r="R238" s="73">
        <v>0.0</v>
      </c>
      <c r="S238" s="73">
        <v>0.0</v>
      </c>
      <c r="T238" s="73">
        <v>4.0</v>
      </c>
      <c r="U238" s="73">
        <v>2.0</v>
      </c>
      <c r="V238" s="73">
        <v>0.0</v>
      </c>
      <c r="W238" s="73">
        <v>2.0</v>
      </c>
      <c r="X238" s="73">
        <v>9.0</v>
      </c>
      <c r="Y238" s="73">
        <v>4.0</v>
      </c>
      <c r="Z238" s="73">
        <v>1.0</v>
      </c>
      <c r="AA238" s="73">
        <v>0.0</v>
      </c>
      <c r="AB238" s="73">
        <v>0.0</v>
      </c>
      <c r="AC238" s="73">
        <v>4.0</v>
      </c>
      <c r="AD238" s="73">
        <v>1.0</v>
      </c>
      <c r="AE238" s="73">
        <v>1.0</v>
      </c>
      <c r="AF238" s="73">
        <v>2.0</v>
      </c>
      <c r="AG238" s="73">
        <v>1.0</v>
      </c>
      <c r="AH238" s="73">
        <v>1.0</v>
      </c>
      <c r="AI238" s="73">
        <v>0.0</v>
      </c>
      <c r="AJ238" s="73">
        <v>0.0</v>
      </c>
      <c r="AK238" s="73">
        <v>1.0</v>
      </c>
      <c r="AL238" s="73">
        <v>3.0</v>
      </c>
      <c r="AM238" s="73">
        <v>0.0</v>
      </c>
      <c r="AN238" s="73">
        <v>3.0</v>
      </c>
      <c r="AO238" s="73">
        <v>0.0</v>
      </c>
      <c r="AP238" s="73">
        <v>0.0</v>
      </c>
      <c r="AQ238" s="73">
        <v>0.0</v>
      </c>
      <c r="AR238" s="73">
        <v>1.0</v>
      </c>
      <c r="AS238" s="73">
        <v>3.0</v>
      </c>
      <c r="AT238" s="73">
        <v>2.0</v>
      </c>
      <c r="AU238" s="13">
        <f t="shared" si="46"/>
        <v>59</v>
      </c>
    </row>
    <row r="239" ht="12.75" customHeight="1">
      <c r="A239" s="18"/>
      <c r="B239" s="49"/>
      <c r="C239" s="50" t="s">
        <v>177</v>
      </c>
      <c r="D239" s="51"/>
      <c r="E239" s="73">
        <v>0.0</v>
      </c>
      <c r="F239" s="73">
        <v>1.0</v>
      </c>
      <c r="G239" s="73">
        <v>0.0</v>
      </c>
      <c r="H239" s="73">
        <v>0.0</v>
      </c>
      <c r="I239" s="73">
        <v>0.0</v>
      </c>
      <c r="J239" s="73">
        <v>0.0</v>
      </c>
      <c r="K239" s="73">
        <v>0.0</v>
      </c>
      <c r="L239" s="73">
        <v>0.0</v>
      </c>
      <c r="M239" s="73">
        <v>0.0</v>
      </c>
      <c r="N239" s="73">
        <v>0.0</v>
      </c>
      <c r="O239" s="73">
        <v>0.0</v>
      </c>
      <c r="P239" s="73">
        <v>0.0</v>
      </c>
      <c r="Q239" s="73">
        <v>1.0</v>
      </c>
      <c r="R239" s="73">
        <v>3.0</v>
      </c>
      <c r="S239" s="73">
        <v>1.0</v>
      </c>
      <c r="T239" s="73">
        <v>1.0</v>
      </c>
      <c r="U239" s="73">
        <v>1.0</v>
      </c>
      <c r="V239" s="73">
        <v>0.0</v>
      </c>
      <c r="W239" s="73">
        <v>1.0</v>
      </c>
      <c r="X239" s="73">
        <v>1.0</v>
      </c>
      <c r="Y239" s="73">
        <v>2.0</v>
      </c>
      <c r="Z239" s="73">
        <v>0.0</v>
      </c>
      <c r="AA239" s="73">
        <v>1.0</v>
      </c>
      <c r="AB239" s="73">
        <v>13.0</v>
      </c>
      <c r="AC239" s="73">
        <v>0.0</v>
      </c>
      <c r="AD239" s="73">
        <v>1.0</v>
      </c>
      <c r="AE239" s="73">
        <v>3.0</v>
      </c>
      <c r="AF239" s="73">
        <v>2.0</v>
      </c>
      <c r="AG239" s="73">
        <v>1.0</v>
      </c>
      <c r="AH239" s="73">
        <v>0.0</v>
      </c>
      <c r="AI239" s="73">
        <v>0.0</v>
      </c>
      <c r="AJ239" s="73">
        <v>1.0</v>
      </c>
      <c r="AK239" s="73">
        <v>1.0</v>
      </c>
      <c r="AL239" s="73">
        <v>1.0</v>
      </c>
      <c r="AM239" s="73">
        <v>0.0</v>
      </c>
      <c r="AN239" s="73">
        <v>0.0</v>
      </c>
      <c r="AO239" s="73">
        <v>0.0</v>
      </c>
      <c r="AP239" s="73">
        <v>0.0</v>
      </c>
      <c r="AQ239" s="73">
        <v>0.0</v>
      </c>
      <c r="AR239" s="73">
        <v>2.0</v>
      </c>
      <c r="AS239" s="73">
        <v>2.0</v>
      </c>
      <c r="AT239" s="73">
        <v>1.0</v>
      </c>
      <c r="AU239" s="13">
        <f t="shared" si="46"/>
        <v>41</v>
      </c>
    </row>
    <row r="240" ht="12.75" customHeight="1">
      <c r="A240" s="18"/>
      <c r="B240" s="49"/>
      <c r="C240" s="50" t="s">
        <v>178</v>
      </c>
      <c r="D240" s="51"/>
      <c r="E240" s="73">
        <v>0.0</v>
      </c>
      <c r="F240" s="73">
        <v>2.0</v>
      </c>
      <c r="G240" s="73">
        <v>0.0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73">
        <v>0.0</v>
      </c>
      <c r="N240" s="73">
        <v>0.0</v>
      </c>
      <c r="O240" s="73">
        <v>2.0</v>
      </c>
      <c r="P240" s="73">
        <v>1.0</v>
      </c>
      <c r="Q240" s="73">
        <v>0.0</v>
      </c>
      <c r="R240" s="73">
        <v>0.0</v>
      </c>
      <c r="S240" s="73">
        <v>1.0</v>
      </c>
      <c r="T240" s="73">
        <v>0.0</v>
      </c>
      <c r="U240" s="73">
        <v>0.0</v>
      </c>
      <c r="V240" s="73">
        <v>0.0</v>
      </c>
      <c r="W240" s="73">
        <v>1.0</v>
      </c>
      <c r="X240" s="73">
        <v>1.0</v>
      </c>
      <c r="Y240" s="73">
        <v>0.0</v>
      </c>
      <c r="Z240" s="73">
        <v>0.0</v>
      </c>
      <c r="AA240" s="73">
        <v>0.0</v>
      </c>
      <c r="AB240" s="73">
        <v>1.0</v>
      </c>
      <c r="AC240" s="73">
        <v>0.0</v>
      </c>
      <c r="AD240" s="73">
        <v>0.0</v>
      </c>
      <c r="AE240" s="73">
        <v>0.0</v>
      </c>
      <c r="AF240" s="73">
        <v>0.0</v>
      </c>
      <c r="AG240" s="73">
        <v>0.0</v>
      </c>
      <c r="AH240" s="73">
        <v>1.0</v>
      </c>
      <c r="AI240" s="73">
        <v>0.0</v>
      </c>
      <c r="AJ240" s="73">
        <v>0.0</v>
      </c>
      <c r="AK240" s="73">
        <v>0.0</v>
      </c>
      <c r="AL240" s="73">
        <v>1.0</v>
      </c>
      <c r="AM240" s="73">
        <v>0.0</v>
      </c>
      <c r="AN240" s="73">
        <v>0.0</v>
      </c>
      <c r="AO240" s="73">
        <v>0.0</v>
      </c>
      <c r="AP240" s="73">
        <v>0.0</v>
      </c>
      <c r="AQ240" s="73">
        <v>2.0</v>
      </c>
      <c r="AR240" s="73">
        <v>0.0</v>
      </c>
      <c r="AS240" s="73">
        <v>1.0</v>
      </c>
      <c r="AT240" s="73">
        <v>0.0</v>
      </c>
      <c r="AU240" s="13">
        <f t="shared" si="46"/>
        <v>14</v>
      </c>
    </row>
    <row r="241" ht="12.75" customHeight="1">
      <c r="A241" s="18"/>
      <c r="B241" s="49"/>
      <c r="C241" s="50" t="s">
        <v>179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1.0</v>
      </c>
      <c r="T241" s="73">
        <v>1.0</v>
      </c>
      <c r="U241" s="73">
        <v>0.0</v>
      </c>
      <c r="V241" s="73">
        <v>0.0</v>
      </c>
      <c r="W241" s="73">
        <v>0.0</v>
      </c>
      <c r="X241" s="73">
        <v>0.0</v>
      </c>
      <c r="Y241" s="73">
        <v>0.0</v>
      </c>
      <c r="Z241" s="73">
        <v>1.0</v>
      </c>
      <c r="AA241" s="73">
        <v>1.0</v>
      </c>
      <c r="AB241" s="73">
        <v>0.0</v>
      </c>
      <c r="AC241" s="73">
        <v>0.0</v>
      </c>
      <c r="AD241" s="73">
        <v>0.0</v>
      </c>
      <c r="AE241" s="73">
        <v>0.0</v>
      </c>
      <c r="AF241" s="73">
        <v>0.0</v>
      </c>
      <c r="AG241" s="73">
        <v>0.0</v>
      </c>
      <c r="AH241" s="73">
        <v>0.0</v>
      </c>
      <c r="AI241" s="73">
        <v>0.0</v>
      </c>
      <c r="AJ241" s="73">
        <v>1.0</v>
      </c>
      <c r="AK241" s="73">
        <v>1.0</v>
      </c>
      <c r="AL241" s="73">
        <v>0.0</v>
      </c>
      <c r="AM241" s="73">
        <v>0.0</v>
      </c>
      <c r="AN241" s="73">
        <v>0.0</v>
      </c>
      <c r="AO241" s="73">
        <v>0.0</v>
      </c>
      <c r="AP241" s="73">
        <v>0.0</v>
      </c>
      <c r="AQ241" s="73">
        <v>0.0</v>
      </c>
      <c r="AR241" s="73">
        <v>1.0</v>
      </c>
      <c r="AS241" s="73">
        <v>1.0</v>
      </c>
      <c r="AT241" s="73">
        <v>0.0</v>
      </c>
      <c r="AU241" s="13">
        <f t="shared" si="46"/>
        <v>8</v>
      </c>
    </row>
    <row r="242" ht="12.75" customHeight="1">
      <c r="A242" s="18"/>
      <c r="B242" s="49"/>
      <c r="C242" s="50" t="s">
        <v>180</v>
      </c>
      <c r="D242" s="51"/>
      <c r="E242" s="73">
        <v>2.0</v>
      </c>
      <c r="F242" s="73">
        <v>0.0</v>
      </c>
      <c r="G242" s="73">
        <v>1.0</v>
      </c>
      <c r="H242" s="73">
        <v>2.0</v>
      </c>
      <c r="I242" s="73">
        <v>0.0</v>
      </c>
      <c r="J242" s="73">
        <v>0.0</v>
      </c>
      <c r="K242" s="73">
        <v>0.0</v>
      </c>
      <c r="L242" s="73">
        <v>0.0</v>
      </c>
      <c r="M242" s="73">
        <v>0.0</v>
      </c>
      <c r="N242" s="73">
        <v>0.0</v>
      </c>
      <c r="O242" s="73">
        <v>1.0</v>
      </c>
      <c r="P242" s="73">
        <v>0.0</v>
      </c>
      <c r="Q242" s="73">
        <v>2.0</v>
      </c>
      <c r="R242" s="73">
        <v>0.0</v>
      </c>
      <c r="S242" s="73">
        <v>0.0</v>
      </c>
      <c r="T242" s="73">
        <v>0.0</v>
      </c>
      <c r="U242" s="73">
        <v>0.0</v>
      </c>
      <c r="V242" s="73">
        <v>0.0</v>
      </c>
      <c r="W242" s="73">
        <v>0.0</v>
      </c>
      <c r="X242" s="73">
        <v>1.0</v>
      </c>
      <c r="Y242" s="73">
        <v>0.0</v>
      </c>
      <c r="Z242" s="73">
        <v>0.0</v>
      </c>
      <c r="AA242" s="73">
        <v>0.0</v>
      </c>
      <c r="AB242" s="73">
        <v>0.0</v>
      </c>
      <c r="AC242" s="73">
        <v>0.0</v>
      </c>
      <c r="AD242" s="73">
        <v>1.0</v>
      </c>
      <c r="AE242" s="73">
        <v>1.0</v>
      </c>
      <c r="AF242" s="73">
        <v>0.0</v>
      </c>
      <c r="AG242" s="73">
        <v>1.0</v>
      </c>
      <c r="AH242" s="73">
        <v>0.0</v>
      </c>
      <c r="AI242" s="73">
        <v>0.0</v>
      </c>
      <c r="AJ242" s="73">
        <v>1.0</v>
      </c>
      <c r="AK242" s="73">
        <v>1.0</v>
      </c>
      <c r="AL242" s="73">
        <v>1.0</v>
      </c>
      <c r="AM242" s="73">
        <v>0.0</v>
      </c>
      <c r="AN242" s="73">
        <v>0.0</v>
      </c>
      <c r="AO242" s="73">
        <v>1.0</v>
      </c>
      <c r="AP242" s="73">
        <v>0.0</v>
      </c>
      <c r="AQ242" s="73">
        <v>2.0</v>
      </c>
      <c r="AR242" s="73">
        <v>0.0</v>
      </c>
      <c r="AS242" s="73">
        <v>0.0</v>
      </c>
      <c r="AT242" s="73">
        <v>0.0</v>
      </c>
      <c r="AU242" s="13">
        <f t="shared" si="46"/>
        <v>18</v>
      </c>
    </row>
    <row r="243" ht="12.75" customHeight="1">
      <c r="A243" s="18"/>
      <c r="B243" s="49"/>
      <c r="C243" s="50" t="s">
        <v>181</v>
      </c>
      <c r="D243" s="51"/>
      <c r="E243" s="73">
        <v>0.0</v>
      </c>
      <c r="F243" s="73">
        <v>1.0</v>
      </c>
      <c r="G243" s="73">
        <v>1.0</v>
      </c>
      <c r="H243" s="73">
        <v>0.0</v>
      </c>
      <c r="I243" s="73">
        <v>1.0</v>
      </c>
      <c r="J243" s="73">
        <v>1.0</v>
      </c>
      <c r="K243" s="73">
        <v>0.0</v>
      </c>
      <c r="L243" s="73">
        <v>0.0</v>
      </c>
      <c r="M243" s="73">
        <v>0.0</v>
      </c>
      <c r="N243" s="73">
        <v>0.0</v>
      </c>
      <c r="O243" s="73">
        <v>0.0</v>
      </c>
      <c r="P243" s="73">
        <v>0.0</v>
      </c>
      <c r="Q243" s="73">
        <v>1.0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73">
        <v>0.0</v>
      </c>
      <c r="Z243" s="73">
        <v>0.0</v>
      </c>
      <c r="AA243" s="73">
        <v>1.0</v>
      </c>
      <c r="AB243" s="73">
        <v>3.0</v>
      </c>
      <c r="AC243" s="73">
        <v>0.0</v>
      </c>
      <c r="AD243" s="73">
        <v>0.0</v>
      </c>
      <c r="AE243" s="73">
        <v>0.0</v>
      </c>
      <c r="AF243" s="73">
        <v>0.0</v>
      </c>
      <c r="AG243" s="73">
        <v>0.0</v>
      </c>
      <c r="AH243" s="73">
        <v>0.0</v>
      </c>
      <c r="AI243" s="73">
        <v>0.0</v>
      </c>
      <c r="AJ243" s="73">
        <v>1.0</v>
      </c>
      <c r="AK243" s="73">
        <v>0.0</v>
      </c>
      <c r="AL243" s="73">
        <v>0.0</v>
      </c>
      <c r="AM243" s="73">
        <v>0.0</v>
      </c>
      <c r="AN243" s="73">
        <v>0.0</v>
      </c>
      <c r="AO243" s="73">
        <v>0.0</v>
      </c>
      <c r="AP243" s="73">
        <v>0.0</v>
      </c>
      <c r="AQ243" s="73">
        <v>0.0</v>
      </c>
      <c r="AR243" s="73">
        <v>0.0</v>
      </c>
      <c r="AS243" s="73">
        <v>0.0</v>
      </c>
      <c r="AT243" s="73">
        <v>0.0</v>
      </c>
      <c r="AU243" s="13">
        <f t="shared" si="46"/>
        <v>10</v>
      </c>
    </row>
    <row r="244" ht="12.75" customHeight="1">
      <c r="A244" s="18"/>
      <c r="B244" s="49"/>
      <c r="C244" s="50" t="s">
        <v>182</v>
      </c>
      <c r="D244" s="51"/>
      <c r="E244" s="73">
        <v>2.0</v>
      </c>
      <c r="F244" s="73">
        <v>3.0</v>
      </c>
      <c r="G244" s="73">
        <v>1.0</v>
      </c>
      <c r="H244" s="73">
        <v>1.0</v>
      </c>
      <c r="I244" s="73">
        <v>0.0</v>
      </c>
      <c r="J244" s="73">
        <v>0.0</v>
      </c>
      <c r="K244" s="73">
        <v>0.0</v>
      </c>
      <c r="L244" s="73">
        <v>1.0</v>
      </c>
      <c r="M244" s="73">
        <v>0.0</v>
      </c>
      <c r="N244" s="73">
        <v>0.0</v>
      </c>
      <c r="O244" s="73">
        <v>0.0</v>
      </c>
      <c r="P244" s="73">
        <v>0.0</v>
      </c>
      <c r="Q244" s="73">
        <v>0.0</v>
      </c>
      <c r="R244" s="73">
        <v>1.0</v>
      </c>
      <c r="S244" s="73">
        <v>0.0</v>
      </c>
      <c r="T244" s="73">
        <v>0.0</v>
      </c>
      <c r="U244" s="73">
        <v>1.0</v>
      </c>
      <c r="V244" s="73">
        <v>0.0</v>
      </c>
      <c r="W244" s="73">
        <v>0.0</v>
      </c>
      <c r="X244" s="73">
        <v>0.0</v>
      </c>
      <c r="Y244" s="73">
        <v>1.0</v>
      </c>
      <c r="Z244" s="73">
        <v>0.0</v>
      </c>
      <c r="AA244" s="73">
        <v>0.0</v>
      </c>
      <c r="AB244" s="73">
        <v>0.0</v>
      </c>
      <c r="AC244" s="73">
        <v>0.0</v>
      </c>
      <c r="AD244" s="73">
        <v>0.0</v>
      </c>
      <c r="AE244" s="73">
        <v>0.0</v>
      </c>
      <c r="AF244" s="73">
        <v>0.0</v>
      </c>
      <c r="AG244" s="73">
        <v>1.0</v>
      </c>
      <c r="AH244" s="73">
        <v>0.0</v>
      </c>
      <c r="AI244" s="73">
        <v>0.0</v>
      </c>
      <c r="AJ244" s="73">
        <v>1.0</v>
      </c>
      <c r="AK244" s="73">
        <v>0.0</v>
      </c>
      <c r="AL244" s="73">
        <v>0.0</v>
      </c>
      <c r="AM244" s="73">
        <v>0.0</v>
      </c>
      <c r="AN244" s="73">
        <v>0.0</v>
      </c>
      <c r="AO244" s="73">
        <v>0.0</v>
      </c>
      <c r="AP244" s="73">
        <v>0.0</v>
      </c>
      <c r="AQ244" s="73">
        <v>1.0</v>
      </c>
      <c r="AR244" s="73">
        <v>1.0</v>
      </c>
      <c r="AS244" s="73">
        <v>1.0</v>
      </c>
      <c r="AT244" s="73">
        <v>0.0</v>
      </c>
      <c r="AU244" s="13">
        <f t="shared" si="46"/>
        <v>16</v>
      </c>
    </row>
    <row r="245" ht="12.75" customHeight="1">
      <c r="A245" s="18"/>
      <c r="B245" s="49"/>
      <c r="C245" s="50" t="s">
        <v>183</v>
      </c>
      <c r="D245" s="51"/>
      <c r="E245" s="73">
        <v>2.0</v>
      </c>
      <c r="F245" s="73">
        <v>1.0</v>
      </c>
      <c r="G245" s="73">
        <v>0.0</v>
      </c>
      <c r="H245" s="73">
        <v>1.0</v>
      </c>
      <c r="I245" s="73">
        <v>0.0</v>
      </c>
      <c r="J245" s="73">
        <v>0.0</v>
      </c>
      <c r="K245" s="73">
        <v>0.0</v>
      </c>
      <c r="L245" s="73">
        <v>0.0</v>
      </c>
      <c r="M245" s="73">
        <v>0.0</v>
      </c>
      <c r="N245" s="73">
        <v>1.0</v>
      </c>
      <c r="O245" s="73">
        <v>0.0</v>
      </c>
      <c r="P245" s="73">
        <v>0.0</v>
      </c>
      <c r="Q245" s="73">
        <v>0.0</v>
      </c>
      <c r="R245" s="73">
        <v>0.0</v>
      </c>
      <c r="S245" s="73">
        <v>0.0</v>
      </c>
      <c r="T245" s="73">
        <v>0.0</v>
      </c>
      <c r="U245" s="73">
        <v>0.0</v>
      </c>
      <c r="V245" s="73">
        <v>0.0</v>
      </c>
      <c r="W245" s="73">
        <v>0.0</v>
      </c>
      <c r="X245" s="73">
        <v>0.0</v>
      </c>
      <c r="Y245" s="73">
        <v>0.0</v>
      </c>
      <c r="Z245" s="73">
        <v>0.0</v>
      </c>
      <c r="AA245" s="73">
        <v>0.0</v>
      </c>
      <c r="AB245" s="73">
        <v>0.0</v>
      </c>
      <c r="AC245" s="73">
        <v>0.0</v>
      </c>
      <c r="AD245" s="73">
        <v>0.0</v>
      </c>
      <c r="AE245" s="73">
        <v>0.0</v>
      </c>
      <c r="AF245" s="73">
        <v>0.0</v>
      </c>
      <c r="AG245" s="73">
        <v>0.0</v>
      </c>
      <c r="AH245" s="73">
        <v>0.0</v>
      </c>
      <c r="AI245" s="73">
        <v>0.0</v>
      </c>
      <c r="AJ245" s="73">
        <v>1.0</v>
      </c>
      <c r="AK245" s="73">
        <v>0.0</v>
      </c>
      <c r="AL245" s="73">
        <v>0.0</v>
      </c>
      <c r="AM245" s="73">
        <v>0.0</v>
      </c>
      <c r="AN245" s="73">
        <v>0.0</v>
      </c>
      <c r="AO245" s="73">
        <v>0.0</v>
      </c>
      <c r="AP245" s="73">
        <v>0.0</v>
      </c>
      <c r="AQ245" s="73">
        <v>0.0</v>
      </c>
      <c r="AR245" s="73">
        <v>0.0</v>
      </c>
      <c r="AS245" s="73">
        <v>0.0</v>
      </c>
      <c r="AT245" s="73">
        <v>0.0</v>
      </c>
      <c r="AU245" s="13">
        <f t="shared" si="46"/>
        <v>6</v>
      </c>
    </row>
    <row r="246" ht="12.75" customHeight="1">
      <c r="A246" s="18"/>
      <c r="B246" s="49"/>
      <c r="C246" s="50" t="s">
        <v>184</v>
      </c>
      <c r="D246" s="51"/>
      <c r="E246" s="73">
        <v>0.0</v>
      </c>
      <c r="F246" s="73">
        <v>0.0</v>
      </c>
      <c r="G246" s="73">
        <v>0.0</v>
      </c>
      <c r="H246" s="73">
        <v>0.0</v>
      </c>
      <c r="I246" s="73">
        <v>0.0</v>
      </c>
      <c r="J246" s="73">
        <v>0.0</v>
      </c>
      <c r="K246" s="73">
        <v>0.0</v>
      </c>
      <c r="L246" s="73">
        <v>0.0</v>
      </c>
      <c r="M246" s="73">
        <v>1.0</v>
      </c>
      <c r="N246" s="73">
        <v>1.0</v>
      </c>
      <c r="O246" s="73">
        <v>2.0</v>
      </c>
      <c r="P246" s="73">
        <v>2.0</v>
      </c>
      <c r="Q246" s="73">
        <v>0.0</v>
      </c>
      <c r="R246" s="73">
        <v>1.0</v>
      </c>
      <c r="S246" s="73">
        <v>0.0</v>
      </c>
      <c r="T246" s="73">
        <v>0.0</v>
      </c>
      <c r="U246" s="73">
        <v>1.0</v>
      </c>
      <c r="V246" s="73">
        <v>0.0</v>
      </c>
      <c r="W246" s="73">
        <v>0.0</v>
      </c>
      <c r="X246" s="73">
        <v>0.0</v>
      </c>
      <c r="Y246" s="73">
        <v>0.0</v>
      </c>
      <c r="Z246" s="73">
        <v>0.0</v>
      </c>
      <c r="AA246" s="73">
        <v>0.0</v>
      </c>
      <c r="AB246" s="73">
        <v>0.0</v>
      </c>
      <c r="AC246" s="73">
        <v>0.0</v>
      </c>
      <c r="AD246" s="73">
        <v>2.0</v>
      </c>
      <c r="AE246" s="73">
        <v>1.0</v>
      </c>
      <c r="AF246" s="73">
        <v>0.0</v>
      </c>
      <c r="AG246" s="73">
        <v>0.0</v>
      </c>
      <c r="AH246" s="73">
        <v>0.0</v>
      </c>
      <c r="AI246" s="73">
        <v>0.0</v>
      </c>
      <c r="AJ246" s="73">
        <v>0.0</v>
      </c>
      <c r="AK246" s="73">
        <v>0.0</v>
      </c>
      <c r="AL246" s="73">
        <v>0.0</v>
      </c>
      <c r="AM246" s="73">
        <v>0.0</v>
      </c>
      <c r="AN246" s="73">
        <v>0.0</v>
      </c>
      <c r="AO246" s="73">
        <v>0.0</v>
      </c>
      <c r="AP246" s="73">
        <v>0.0</v>
      </c>
      <c r="AQ246" s="73">
        <v>0.0</v>
      </c>
      <c r="AR246" s="73">
        <v>0.0</v>
      </c>
      <c r="AS246" s="73">
        <v>0.0</v>
      </c>
      <c r="AT246" s="73">
        <v>0.0</v>
      </c>
      <c r="AU246" s="13">
        <f t="shared" si="46"/>
        <v>11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U247" si="47">SUM(E237:E246)</f>
        <v>7</v>
      </c>
      <c r="F247" s="13">
        <f t="shared" si="47"/>
        <v>12</v>
      </c>
      <c r="G247" s="13">
        <f t="shared" si="47"/>
        <v>6</v>
      </c>
      <c r="H247" s="13">
        <f t="shared" si="47"/>
        <v>14</v>
      </c>
      <c r="I247" s="13">
        <f t="shared" si="47"/>
        <v>8</v>
      </c>
      <c r="J247" s="13">
        <f t="shared" si="47"/>
        <v>2</v>
      </c>
      <c r="K247" s="13">
        <f t="shared" si="47"/>
        <v>0</v>
      </c>
      <c r="L247" s="13">
        <f t="shared" si="47"/>
        <v>6</v>
      </c>
      <c r="M247" s="13">
        <f t="shared" si="47"/>
        <v>2</v>
      </c>
      <c r="N247" s="13">
        <f t="shared" si="47"/>
        <v>2</v>
      </c>
      <c r="O247" s="13">
        <f t="shared" si="47"/>
        <v>9</v>
      </c>
      <c r="P247" s="13">
        <f t="shared" si="47"/>
        <v>5</v>
      </c>
      <c r="Q247" s="13">
        <f t="shared" si="47"/>
        <v>5</v>
      </c>
      <c r="R247" s="13">
        <f t="shared" si="47"/>
        <v>7</v>
      </c>
      <c r="S247" s="13">
        <f t="shared" si="47"/>
        <v>4</v>
      </c>
      <c r="T247" s="13">
        <f t="shared" si="47"/>
        <v>8</v>
      </c>
      <c r="U247" s="13">
        <f t="shared" si="47"/>
        <v>6</v>
      </c>
      <c r="V247" s="13">
        <f t="shared" si="47"/>
        <v>0</v>
      </c>
      <c r="W247" s="13">
        <f t="shared" si="47"/>
        <v>9</v>
      </c>
      <c r="X247" s="13">
        <f t="shared" si="47"/>
        <v>15</v>
      </c>
      <c r="Y247" s="13">
        <f t="shared" si="47"/>
        <v>10</v>
      </c>
      <c r="Z247" s="13">
        <f t="shared" si="47"/>
        <v>6</v>
      </c>
      <c r="AA247" s="13">
        <f t="shared" si="47"/>
        <v>3</v>
      </c>
      <c r="AB247" s="13">
        <f t="shared" si="47"/>
        <v>20</v>
      </c>
      <c r="AC247" s="13">
        <f t="shared" si="47"/>
        <v>5</v>
      </c>
      <c r="AD247" s="13">
        <f t="shared" si="47"/>
        <v>6</v>
      </c>
      <c r="AE247" s="13">
        <f t="shared" si="47"/>
        <v>7</v>
      </c>
      <c r="AF247" s="13">
        <f t="shared" si="47"/>
        <v>5</v>
      </c>
      <c r="AG247" s="13">
        <f t="shared" si="47"/>
        <v>6</v>
      </c>
      <c r="AH247" s="13">
        <f t="shared" si="47"/>
        <v>2</v>
      </c>
      <c r="AI247" s="13">
        <f t="shared" si="47"/>
        <v>2</v>
      </c>
      <c r="AJ247" s="13">
        <f t="shared" si="47"/>
        <v>7</v>
      </c>
      <c r="AK247" s="13">
        <f t="shared" si="47"/>
        <v>5</v>
      </c>
      <c r="AL247" s="13">
        <f t="shared" si="47"/>
        <v>8</v>
      </c>
      <c r="AM247" s="13">
        <f t="shared" si="47"/>
        <v>0</v>
      </c>
      <c r="AN247" s="13">
        <f t="shared" si="47"/>
        <v>3</v>
      </c>
      <c r="AO247" s="13">
        <f t="shared" si="47"/>
        <v>4</v>
      </c>
      <c r="AP247" s="13">
        <f t="shared" si="47"/>
        <v>2</v>
      </c>
      <c r="AQ247" s="13">
        <f t="shared" si="47"/>
        <v>6</v>
      </c>
      <c r="AR247" s="13">
        <f t="shared" si="47"/>
        <v>11</v>
      </c>
      <c r="AS247" s="13">
        <f t="shared" si="47"/>
        <v>11</v>
      </c>
      <c r="AT247" s="13">
        <f t="shared" si="47"/>
        <v>3</v>
      </c>
      <c r="AU247" s="13">
        <f t="shared" si="47"/>
        <v>259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3">
        <v>0.0</v>
      </c>
      <c r="F249" s="73">
        <v>1.0</v>
      </c>
      <c r="G249" s="73">
        <v>1.0</v>
      </c>
      <c r="H249" s="73">
        <v>4.0</v>
      </c>
      <c r="I249" s="73">
        <v>1.0</v>
      </c>
      <c r="J249" s="73">
        <v>0.0</v>
      </c>
      <c r="K249" s="73">
        <v>0.0</v>
      </c>
      <c r="L249" s="73">
        <v>1.0</v>
      </c>
      <c r="M249" s="73">
        <v>0.0</v>
      </c>
      <c r="N249" s="73">
        <v>1.0</v>
      </c>
      <c r="O249" s="73">
        <v>0.0</v>
      </c>
      <c r="P249" s="73">
        <v>0.0</v>
      </c>
      <c r="Q249" s="73">
        <v>0.0</v>
      </c>
      <c r="R249" s="73">
        <v>1.0</v>
      </c>
      <c r="S249" s="73">
        <v>0.0</v>
      </c>
      <c r="T249" s="73">
        <v>0.0</v>
      </c>
      <c r="U249" s="73">
        <v>0.0</v>
      </c>
      <c r="V249" s="73">
        <v>0.0</v>
      </c>
      <c r="W249" s="73">
        <v>0.0</v>
      </c>
      <c r="X249" s="73">
        <v>0.0</v>
      </c>
      <c r="Y249" s="73">
        <v>2.0</v>
      </c>
      <c r="Z249" s="73">
        <v>0.0</v>
      </c>
      <c r="AA249" s="73">
        <v>0.0</v>
      </c>
      <c r="AB249" s="73">
        <v>0.0</v>
      </c>
      <c r="AC249" s="73">
        <v>0.0</v>
      </c>
      <c r="AD249" s="73">
        <v>1.0</v>
      </c>
      <c r="AE249" s="73">
        <v>0.0</v>
      </c>
      <c r="AF249" s="73">
        <v>0.0</v>
      </c>
      <c r="AG249" s="73">
        <v>0.0</v>
      </c>
      <c r="AH249" s="73">
        <v>0.0</v>
      </c>
      <c r="AI249" s="73">
        <v>0.0</v>
      </c>
      <c r="AJ249" s="73">
        <v>0.0</v>
      </c>
      <c r="AK249" s="73">
        <v>0.0</v>
      </c>
      <c r="AL249" s="73">
        <v>0.0</v>
      </c>
      <c r="AM249" s="73">
        <v>0.0</v>
      </c>
      <c r="AN249" s="73">
        <v>0.0</v>
      </c>
      <c r="AO249" s="73">
        <v>0.0</v>
      </c>
      <c r="AP249" s="73">
        <v>0.0</v>
      </c>
      <c r="AQ249" s="73">
        <v>1.0</v>
      </c>
      <c r="AR249" s="73">
        <v>0.0</v>
      </c>
      <c r="AS249" s="73">
        <v>0.0</v>
      </c>
      <c r="AT249" s="73">
        <v>0.0</v>
      </c>
      <c r="AU249" s="13">
        <f t="shared" ref="AU249:AU258" si="48">SUM(E249:AT249)</f>
        <v>14</v>
      </c>
    </row>
    <row r="250" ht="12.75" customHeight="1">
      <c r="A250" s="30" t="s">
        <v>39</v>
      </c>
      <c r="B250" s="49"/>
      <c r="C250" s="50" t="s">
        <v>187</v>
      </c>
      <c r="D250" s="51"/>
      <c r="E250" s="73">
        <v>1.0</v>
      </c>
      <c r="F250" s="73">
        <v>19.0</v>
      </c>
      <c r="G250" s="73">
        <v>6.0</v>
      </c>
      <c r="H250" s="73">
        <v>22.0</v>
      </c>
      <c r="I250" s="73">
        <v>11.0</v>
      </c>
      <c r="J250" s="73">
        <v>0.0</v>
      </c>
      <c r="K250" s="73">
        <v>0.0</v>
      </c>
      <c r="L250" s="73">
        <v>0.0</v>
      </c>
      <c r="M250" s="73">
        <v>0.0</v>
      </c>
      <c r="N250" s="73">
        <v>4.0</v>
      </c>
      <c r="O250" s="73">
        <v>0.0</v>
      </c>
      <c r="P250" s="73">
        <v>0.0</v>
      </c>
      <c r="Q250" s="73">
        <v>0.0</v>
      </c>
      <c r="R250" s="73">
        <v>0.0</v>
      </c>
      <c r="S250" s="73">
        <v>0.0</v>
      </c>
      <c r="T250" s="73">
        <v>0.0</v>
      </c>
      <c r="U250" s="73">
        <v>0.0</v>
      </c>
      <c r="V250" s="73">
        <v>0.0</v>
      </c>
      <c r="W250" s="73">
        <v>0.0</v>
      </c>
      <c r="X250" s="73">
        <v>0.0</v>
      </c>
      <c r="Y250" s="73">
        <v>0.0</v>
      </c>
      <c r="Z250" s="73">
        <v>0.0</v>
      </c>
      <c r="AA250" s="73">
        <v>0.0</v>
      </c>
      <c r="AB250" s="73">
        <v>1.0</v>
      </c>
      <c r="AC250" s="73">
        <v>1.0</v>
      </c>
      <c r="AD250" s="73">
        <v>0.0</v>
      </c>
      <c r="AE250" s="73">
        <v>0.0</v>
      </c>
      <c r="AF250" s="73">
        <v>2.0</v>
      </c>
      <c r="AG250" s="73">
        <v>0.0</v>
      </c>
      <c r="AH250" s="73">
        <v>0.0</v>
      </c>
      <c r="AI250" s="73">
        <v>0.0</v>
      </c>
      <c r="AJ250" s="73">
        <v>0.0</v>
      </c>
      <c r="AK250" s="73">
        <v>0.0</v>
      </c>
      <c r="AL250" s="73">
        <v>0.0</v>
      </c>
      <c r="AM250" s="73">
        <v>0.0</v>
      </c>
      <c r="AN250" s="73">
        <v>0.0</v>
      </c>
      <c r="AO250" s="73">
        <v>0.0</v>
      </c>
      <c r="AP250" s="73">
        <v>0.0</v>
      </c>
      <c r="AQ250" s="73">
        <v>0.0</v>
      </c>
      <c r="AR250" s="73">
        <v>0.0</v>
      </c>
      <c r="AS250" s="73">
        <v>0.0</v>
      </c>
      <c r="AT250" s="73">
        <v>0.0</v>
      </c>
      <c r="AU250" s="13">
        <f t="shared" si="48"/>
        <v>67</v>
      </c>
    </row>
    <row r="251" ht="12.75" customHeight="1">
      <c r="A251" s="18"/>
      <c r="B251" s="49"/>
      <c r="C251" s="50" t="s">
        <v>188</v>
      </c>
      <c r="D251" s="51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0.0</v>
      </c>
      <c r="Y251" s="73">
        <v>0.0</v>
      </c>
      <c r="Z251" s="73">
        <v>0.0</v>
      </c>
      <c r="AA251" s="73">
        <v>0.0</v>
      </c>
      <c r="AB251" s="73">
        <v>0.0</v>
      </c>
      <c r="AC251" s="73">
        <v>0.0</v>
      </c>
      <c r="AD251" s="73">
        <v>0.0</v>
      </c>
      <c r="AE251" s="73">
        <v>0.0</v>
      </c>
      <c r="AF251" s="73">
        <v>0.0</v>
      </c>
      <c r="AG251" s="73">
        <v>0.0</v>
      </c>
      <c r="AH251" s="73">
        <v>0.0</v>
      </c>
      <c r="AI251" s="73">
        <v>0.0</v>
      </c>
      <c r="AJ251" s="73">
        <v>0.0</v>
      </c>
      <c r="AK251" s="73">
        <v>0.0</v>
      </c>
      <c r="AL251" s="73">
        <v>0.0</v>
      </c>
      <c r="AM251" s="73">
        <v>0.0</v>
      </c>
      <c r="AN251" s="73">
        <v>0.0</v>
      </c>
      <c r="AO251" s="73">
        <v>0.0</v>
      </c>
      <c r="AP251" s="73">
        <v>0.0</v>
      </c>
      <c r="AQ251" s="73">
        <v>0.0</v>
      </c>
      <c r="AR251" s="73">
        <v>0.0</v>
      </c>
      <c r="AS251" s="73">
        <v>0.0</v>
      </c>
      <c r="AT251" s="73">
        <v>0.0</v>
      </c>
      <c r="AU251" s="13">
        <f t="shared" si="48"/>
        <v>0</v>
      </c>
    </row>
    <row r="252" ht="12.75" customHeight="1">
      <c r="A252" s="18"/>
      <c r="B252" s="49"/>
      <c r="C252" s="50" t="s">
        <v>189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73">
        <v>1.0</v>
      </c>
      <c r="S252" s="73">
        <v>0.0</v>
      </c>
      <c r="T252" s="73">
        <v>0.0</v>
      </c>
      <c r="U252" s="73">
        <v>0.0</v>
      </c>
      <c r="V252" s="73">
        <v>1.0</v>
      </c>
      <c r="W252" s="73">
        <v>0.0</v>
      </c>
      <c r="X252" s="73">
        <v>0.0</v>
      </c>
      <c r="Y252" s="73">
        <v>0.0</v>
      </c>
      <c r="Z252" s="73">
        <v>1.0</v>
      </c>
      <c r="AA252" s="73">
        <v>0.0</v>
      </c>
      <c r="AB252" s="73">
        <v>0.0</v>
      </c>
      <c r="AC252" s="73">
        <v>0.0</v>
      </c>
      <c r="AD252" s="73">
        <v>0.0</v>
      </c>
      <c r="AE252" s="73">
        <v>0.0</v>
      </c>
      <c r="AF252" s="73">
        <v>0.0</v>
      </c>
      <c r="AG252" s="73">
        <v>0.0</v>
      </c>
      <c r="AH252" s="73">
        <v>0.0</v>
      </c>
      <c r="AI252" s="73">
        <v>0.0</v>
      </c>
      <c r="AJ252" s="73">
        <v>0.0</v>
      </c>
      <c r="AK252" s="73">
        <v>0.0</v>
      </c>
      <c r="AL252" s="73">
        <v>1.0</v>
      </c>
      <c r="AM252" s="73">
        <v>0.0</v>
      </c>
      <c r="AN252" s="73">
        <v>0.0</v>
      </c>
      <c r="AO252" s="73">
        <v>0.0</v>
      </c>
      <c r="AP252" s="73">
        <v>0.0</v>
      </c>
      <c r="AQ252" s="73">
        <v>3.0</v>
      </c>
      <c r="AR252" s="73">
        <v>0.0</v>
      </c>
      <c r="AS252" s="73">
        <v>0.0</v>
      </c>
      <c r="AT252" s="73">
        <v>1.0</v>
      </c>
      <c r="AU252" s="13">
        <f t="shared" si="48"/>
        <v>8</v>
      </c>
    </row>
    <row r="253" ht="12.75" customHeight="1">
      <c r="A253" s="18"/>
      <c r="B253" s="57"/>
      <c r="C253" s="67"/>
      <c r="D253" s="5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3">
        <f t="shared" si="48"/>
        <v>0</v>
      </c>
    </row>
    <row r="254" ht="12.75" customHeight="1">
      <c r="A254" s="18"/>
      <c r="B254" s="57"/>
      <c r="C254" s="67"/>
      <c r="D254" s="5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3">
        <f t="shared" si="48"/>
        <v>0</v>
      </c>
    </row>
    <row r="255" ht="12.75" customHeight="1">
      <c r="A255" s="18"/>
      <c r="B255" s="57"/>
      <c r="C255" s="67"/>
      <c r="D255" s="5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3">
        <f t="shared" si="48"/>
        <v>0</v>
      </c>
    </row>
    <row r="256" ht="12.75" customHeight="1">
      <c r="A256" s="18"/>
      <c r="B256" s="57"/>
      <c r="C256" s="64"/>
      <c r="D256" s="5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3">
        <f t="shared" si="48"/>
        <v>0</v>
      </c>
    </row>
    <row r="257" ht="12.75" customHeight="1">
      <c r="A257" s="18"/>
      <c r="B257" s="57"/>
      <c r="C257" s="64"/>
      <c r="D257" s="5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3">
        <f t="shared" si="48"/>
        <v>0</v>
      </c>
    </row>
    <row r="258" ht="12.75" customHeight="1">
      <c r="A258" s="18"/>
      <c r="B258" s="57"/>
      <c r="C258" s="64"/>
      <c r="D258" s="5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3">
        <f t="shared" si="48"/>
        <v>0</v>
      </c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U259" si="49">SUM(E249:E258)</f>
        <v>1</v>
      </c>
      <c r="F259" s="13">
        <f t="shared" si="49"/>
        <v>20</v>
      </c>
      <c r="G259" s="13">
        <f t="shared" si="49"/>
        <v>7</v>
      </c>
      <c r="H259" s="13">
        <f t="shared" si="49"/>
        <v>26</v>
      </c>
      <c r="I259" s="13">
        <f t="shared" si="49"/>
        <v>12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 t="shared" si="49"/>
        <v>0</v>
      </c>
      <c r="N259" s="13">
        <f t="shared" si="49"/>
        <v>5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2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1</v>
      </c>
      <c r="W259" s="13">
        <f t="shared" si="49"/>
        <v>0</v>
      </c>
      <c r="X259" s="13">
        <f t="shared" si="49"/>
        <v>0</v>
      </c>
      <c r="Y259" s="13">
        <f t="shared" si="49"/>
        <v>2</v>
      </c>
      <c r="Z259" s="13">
        <f t="shared" si="49"/>
        <v>1</v>
      </c>
      <c r="AA259" s="13">
        <f t="shared" si="49"/>
        <v>0</v>
      </c>
      <c r="AB259" s="13">
        <f t="shared" si="49"/>
        <v>1</v>
      </c>
      <c r="AC259" s="13">
        <f t="shared" si="49"/>
        <v>1</v>
      </c>
      <c r="AD259" s="13">
        <f t="shared" si="49"/>
        <v>1</v>
      </c>
      <c r="AE259" s="13">
        <f t="shared" si="49"/>
        <v>0</v>
      </c>
      <c r="AF259" s="13">
        <f t="shared" si="49"/>
        <v>2</v>
      </c>
      <c r="AG259" s="13">
        <f t="shared" si="49"/>
        <v>0</v>
      </c>
      <c r="AH259" s="13">
        <f t="shared" si="49"/>
        <v>0</v>
      </c>
      <c r="AI259" s="13">
        <f t="shared" si="49"/>
        <v>0</v>
      </c>
      <c r="AJ259" s="13">
        <f t="shared" si="49"/>
        <v>0</v>
      </c>
      <c r="AK259" s="13">
        <f t="shared" si="49"/>
        <v>0</v>
      </c>
      <c r="AL259" s="13">
        <f t="shared" si="49"/>
        <v>1</v>
      </c>
      <c r="AM259" s="13">
        <f t="shared" si="49"/>
        <v>0</v>
      </c>
      <c r="AN259" s="13">
        <f t="shared" si="49"/>
        <v>0</v>
      </c>
      <c r="AO259" s="13">
        <f t="shared" si="49"/>
        <v>0</v>
      </c>
      <c r="AP259" s="13">
        <f t="shared" si="49"/>
        <v>0</v>
      </c>
      <c r="AQ259" s="13">
        <f t="shared" si="49"/>
        <v>4</v>
      </c>
      <c r="AR259" s="13">
        <f t="shared" si="49"/>
        <v>0</v>
      </c>
      <c r="AS259" s="13">
        <f t="shared" si="49"/>
        <v>0</v>
      </c>
      <c r="AT259" s="13">
        <f t="shared" si="49"/>
        <v>1</v>
      </c>
      <c r="AU259" s="13">
        <f t="shared" si="49"/>
        <v>89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13"/>
      <c r="R261" s="13"/>
      <c r="S261" s="13"/>
      <c r="T261" s="13"/>
      <c r="U261" s="13"/>
      <c r="V261" s="13"/>
      <c r="W261" s="13"/>
      <c r="X261" s="13"/>
      <c r="Y261" s="13"/>
      <c r="Z261" s="76"/>
      <c r="AA261" s="76"/>
      <c r="AB261" s="76"/>
      <c r="AC261" s="13"/>
      <c r="AD261" s="13"/>
      <c r="AE261" s="13"/>
      <c r="AF261" s="13"/>
      <c r="AG261" s="13"/>
      <c r="AH261" s="13"/>
      <c r="AI261" s="13"/>
      <c r="AJ261" s="13"/>
      <c r="AK261" s="76"/>
      <c r="AL261" s="76"/>
      <c r="AM261" s="76"/>
      <c r="AN261" s="13"/>
      <c r="AO261" s="13"/>
      <c r="AP261" s="13"/>
      <c r="AQ261" s="76"/>
      <c r="AR261" s="76"/>
      <c r="AS261" s="76"/>
      <c r="AT261" s="76"/>
      <c r="AU261" s="13"/>
    </row>
    <row r="262" ht="12.75" customHeight="1">
      <c r="A262" s="42"/>
      <c r="B262" s="68" t="s">
        <v>192</v>
      </c>
      <c r="C262" s="69" t="s">
        <v>193</v>
      </c>
      <c r="D262" s="16"/>
      <c r="E262" s="19">
        <f t="shared" ref="E262:AT262" si="50">E55+E67+E79+E91+E103+E115+E127+E139+E151+E163+E175+E187+E199+E211+E223+E235+E247+E259</f>
        <v>192</v>
      </c>
      <c r="F262" s="19">
        <f t="shared" si="50"/>
        <v>166</v>
      </c>
      <c r="G262" s="19">
        <f t="shared" si="50"/>
        <v>133</v>
      </c>
      <c r="H262" s="19">
        <f t="shared" si="50"/>
        <v>190</v>
      </c>
      <c r="I262" s="19">
        <f t="shared" si="50"/>
        <v>197</v>
      </c>
      <c r="J262" s="19">
        <f t="shared" si="50"/>
        <v>197</v>
      </c>
      <c r="K262" s="19">
        <f t="shared" si="50"/>
        <v>135</v>
      </c>
      <c r="L262" s="19">
        <f t="shared" si="50"/>
        <v>122</v>
      </c>
      <c r="M262" s="19">
        <f t="shared" si="50"/>
        <v>209</v>
      </c>
      <c r="N262" s="19">
        <f t="shared" si="50"/>
        <v>204</v>
      </c>
      <c r="O262" s="19">
        <f t="shared" si="50"/>
        <v>159</v>
      </c>
      <c r="P262" s="19">
        <f t="shared" si="50"/>
        <v>153</v>
      </c>
      <c r="Q262" s="19">
        <f t="shared" si="50"/>
        <v>164</v>
      </c>
      <c r="R262" s="19">
        <f t="shared" si="50"/>
        <v>172</v>
      </c>
      <c r="S262" s="19">
        <f t="shared" si="50"/>
        <v>169</v>
      </c>
      <c r="T262" s="19">
        <f t="shared" si="50"/>
        <v>174</v>
      </c>
      <c r="U262" s="19">
        <f t="shared" si="50"/>
        <v>139</v>
      </c>
      <c r="V262" s="19">
        <f t="shared" si="50"/>
        <v>160</v>
      </c>
      <c r="W262" s="19">
        <f t="shared" si="50"/>
        <v>195</v>
      </c>
      <c r="X262" s="19">
        <f t="shared" si="50"/>
        <v>164</v>
      </c>
      <c r="Y262" s="19">
        <f t="shared" si="50"/>
        <v>169</v>
      </c>
      <c r="Z262" s="19">
        <f t="shared" si="50"/>
        <v>139</v>
      </c>
      <c r="AA262" s="19">
        <f t="shared" si="50"/>
        <v>204</v>
      </c>
      <c r="AB262" s="19">
        <f t="shared" si="50"/>
        <v>189</v>
      </c>
      <c r="AC262" s="19">
        <f t="shared" si="50"/>
        <v>207</v>
      </c>
      <c r="AD262" s="19">
        <f t="shared" si="50"/>
        <v>170</v>
      </c>
      <c r="AE262" s="19">
        <f t="shared" si="50"/>
        <v>174</v>
      </c>
      <c r="AF262" s="19">
        <f t="shared" si="50"/>
        <v>191</v>
      </c>
      <c r="AG262" s="19">
        <f t="shared" si="50"/>
        <v>181</v>
      </c>
      <c r="AH262" s="19">
        <f t="shared" si="50"/>
        <v>152</v>
      </c>
      <c r="AI262" s="19">
        <f t="shared" si="50"/>
        <v>168</v>
      </c>
      <c r="AJ262" s="19">
        <f t="shared" si="50"/>
        <v>156</v>
      </c>
      <c r="AK262" s="19">
        <f t="shared" si="50"/>
        <v>184</v>
      </c>
      <c r="AL262" s="19">
        <f t="shared" si="50"/>
        <v>178</v>
      </c>
      <c r="AM262" s="19">
        <f t="shared" si="50"/>
        <v>171</v>
      </c>
      <c r="AN262" s="19">
        <f t="shared" si="50"/>
        <v>174</v>
      </c>
      <c r="AO262" s="19">
        <f t="shared" si="50"/>
        <v>162</v>
      </c>
      <c r="AP262" s="19">
        <f t="shared" si="50"/>
        <v>176</v>
      </c>
      <c r="AQ262" s="19">
        <f t="shared" si="50"/>
        <v>225</v>
      </c>
      <c r="AR262" s="19">
        <f t="shared" si="50"/>
        <v>179</v>
      </c>
      <c r="AS262" s="19">
        <f t="shared" si="50"/>
        <v>168</v>
      </c>
      <c r="AT262" s="19">
        <f t="shared" si="50"/>
        <v>114</v>
      </c>
      <c r="AU262" s="13">
        <f t="shared" ref="AU262:AU264" si="51">SUM(E262:AT262)</f>
        <v>7225</v>
      </c>
    </row>
    <row r="263" ht="12.75" customHeight="1">
      <c r="A263" s="35"/>
      <c r="B263" s="68" t="s">
        <v>194</v>
      </c>
      <c r="C263" s="69" t="s">
        <v>195</v>
      </c>
      <c r="D263" s="16"/>
      <c r="E263" s="73">
        <v>14.0</v>
      </c>
      <c r="F263" s="73">
        <v>38.0</v>
      </c>
      <c r="G263" s="73">
        <v>29.0</v>
      </c>
      <c r="H263" s="73">
        <v>29.0</v>
      </c>
      <c r="I263" s="73">
        <v>10.0</v>
      </c>
      <c r="J263" s="73">
        <v>15.0</v>
      </c>
      <c r="K263" s="73">
        <v>0.0</v>
      </c>
      <c r="L263" s="73">
        <v>17.0</v>
      </c>
      <c r="M263" s="73">
        <v>2.0</v>
      </c>
      <c r="N263" s="73">
        <v>25.0</v>
      </c>
      <c r="O263" s="73">
        <v>59.0</v>
      </c>
      <c r="P263" s="73">
        <v>23.0</v>
      </c>
      <c r="Q263" s="73">
        <v>15.0</v>
      </c>
      <c r="R263" s="73">
        <v>14.0</v>
      </c>
      <c r="S263" s="73">
        <v>15.0</v>
      </c>
      <c r="T263" s="73">
        <v>29.0</v>
      </c>
      <c r="U263" s="73">
        <v>18.0</v>
      </c>
      <c r="V263" s="73">
        <v>13.0</v>
      </c>
      <c r="W263" s="73">
        <v>19.0</v>
      </c>
      <c r="X263" s="73">
        <v>19.0</v>
      </c>
      <c r="Y263" s="73">
        <v>14.0</v>
      </c>
      <c r="Z263" s="73">
        <v>15.0</v>
      </c>
      <c r="AA263" s="73">
        <v>19.0</v>
      </c>
      <c r="AB263" s="73">
        <v>23.0</v>
      </c>
      <c r="AC263" s="73">
        <v>10.0</v>
      </c>
      <c r="AD263" s="73">
        <v>29.0</v>
      </c>
      <c r="AE263" s="73">
        <v>19.0</v>
      </c>
      <c r="AF263" s="73">
        <v>18.0</v>
      </c>
      <c r="AG263" s="73">
        <v>27.0</v>
      </c>
      <c r="AH263" s="73">
        <v>16.0</v>
      </c>
      <c r="AI263" s="73">
        <v>22.0</v>
      </c>
      <c r="AJ263" s="73">
        <v>15.0</v>
      </c>
      <c r="AK263" s="73">
        <v>21.0</v>
      </c>
      <c r="AL263" s="73">
        <v>13.0</v>
      </c>
      <c r="AM263" s="73">
        <v>16.0</v>
      </c>
      <c r="AN263" s="73">
        <v>12.0</v>
      </c>
      <c r="AO263" s="73">
        <v>27.0</v>
      </c>
      <c r="AP263" s="73">
        <v>22.0</v>
      </c>
      <c r="AQ263" s="73">
        <v>12.0</v>
      </c>
      <c r="AR263" s="73">
        <v>27.0</v>
      </c>
      <c r="AS263" s="73">
        <v>42.0</v>
      </c>
      <c r="AT263" s="73">
        <v>16.0</v>
      </c>
      <c r="AU263" s="13">
        <f t="shared" si="51"/>
        <v>838</v>
      </c>
    </row>
    <row r="264" ht="12.75" customHeight="1">
      <c r="A264" s="41"/>
      <c r="B264" s="68" t="s">
        <v>196</v>
      </c>
      <c r="C264" s="69" t="s">
        <v>197</v>
      </c>
      <c r="D264" s="16"/>
      <c r="E264" s="13">
        <f t="shared" ref="E264:AT264" si="52">SUM(E262:E263)</f>
        <v>206</v>
      </c>
      <c r="F264" s="13">
        <f t="shared" si="52"/>
        <v>204</v>
      </c>
      <c r="G264" s="13">
        <f t="shared" si="52"/>
        <v>162</v>
      </c>
      <c r="H264" s="13">
        <f t="shared" si="52"/>
        <v>219</v>
      </c>
      <c r="I264" s="13">
        <f t="shared" si="52"/>
        <v>207</v>
      </c>
      <c r="J264" s="13">
        <f t="shared" si="52"/>
        <v>212</v>
      </c>
      <c r="K264" s="13">
        <f t="shared" si="52"/>
        <v>135</v>
      </c>
      <c r="L264" s="13">
        <f t="shared" si="52"/>
        <v>139</v>
      </c>
      <c r="M264" s="13">
        <f t="shared" si="52"/>
        <v>211</v>
      </c>
      <c r="N264" s="13">
        <f t="shared" si="52"/>
        <v>229</v>
      </c>
      <c r="O264" s="13">
        <f t="shared" si="52"/>
        <v>218</v>
      </c>
      <c r="P264" s="13">
        <f t="shared" si="52"/>
        <v>176</v>
      </c>
      <c r="Q264" s="13">
        <f t="shared" si="52"/>
        <v>179</v>
      </c>
      <c r="R264" s="13">
        <f t="shared" si="52"/>
        <v>186</v>
      </c>
      <c r="S264" s="13">
        <f t="shared" si="52"/>
        <v>184</v>
      </c>
      <c r="T264" s="13">
        <f t="shared" si="52"/>
        <v>203</v>
      </c>
      <c r="U264" s="13">
        <f t="shared" si="52"/>
        <v>157</v>
      </c>
      <c r="V264" s="13">
        <f t="shared" si="52"/>
        <v>173</v>
      </c>
      <c r="W264" s="13">
        <f t="shared" si="52"/>
        <v>214</v>
      </c>
      <c r="X264" s="13">
        <f t="shared" si="52"/>
        <v>183</v>
      </c>
      <c r="Y264" s="13">
        <f t="shared" si="52"/>
        <v>183</v>
      </c>
      <c r="Z264" s="13">
        <f t="shared" si="52"/>
        <v>154</v>
      </c>
      <c r="AA264" s="13">
        <f t="shared" si="52"/>
        <v>223</v>
      </c>
      <c r="AB264" s="13">
        <f t="shared" si="52"/>
        <v>212</v>
      </c>
      <c r="AC264" s="13">
        <f t="shared" si="52"/>
        <v>217</v>
      </c>
      <c r="AD264" s="13">
        <f t="shared" si="52"/>
        <v>199</v>
      </c>
      <c r="AE264" s="13">
        <f t="shared" si="52"/>
        <v>193</v>
      </c>
      <c r="AF264" s="13">
        <f t="shared" si="52"/>
        <v>209</v>
      </c>
      <c r="AG264" s="13">
        <f t="shared" si="52"/>
        <v>208</v>
      </c>
      <c r="AH264" s="13">
        <f t="shared" si="52"/>
        <v>168</v>
      </c>
      <c r="AI264" s="13">
        <f t="shared" si="52"/>
        <v>190</v>
      </c>
      <c r="AJ264" s="13">
        <f t="shared" si="52"/>
        <v>171</v>
      </c>
      <c r="AK264" s="13">
        <f t="shared" si="52"/>
        <v>205</v>
      </c>
      <c r="AL264" s="13">
        <f t="shared" si="52"/>
        <v>191</v>
      </c>
      <c r="AM264" s="13">
        <f t="shared" si="52"/>
        <v>187</v>
      </c>
      <c r="AN264" s="13">
        <f t="shared" si="52"/>
        <v>186</v>
      </c>
      <c r="AO264" s="13">
        <f t="shared" si="52"/>
        <v>189</v>
      </c>
      <c r="AP264" s="13">
        <f t="shared" si="52"/>
        <v>198</v>
      </c>
      <c r="AQ264" s="13">
        <f t="shared" si="52"/>
        <v>237</v>
      </c>
      <c r="AR264" s="13">
        <f t="shared" si="52"/>
        <v>206</v>
      </c>
      <c r="AS264" s="13">
        <f t="shared" si="52"/>
        <v>210</v>
      </c>
      <c r="AT264" s="13">
        <f t="shared" si="52"/>
        <v>130</v>
      </c>
      <c r="AU264" s="13">
        <f t="shared" si="51"/>
        <v>8063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A248:E248"/>
    <mergeCell ref="C249:D249"/>
    <mergeCell ref="B259:D259"/>
    <mergeCell ref="B261:D261"/>
    <mergeCell ref="C262:D262"/>
    <mergeCell ref="C263:D263"/>
    <mergeCell ref="C264:D264"/>
    <mergeCell ref="B223:D223"/>
    <mergeCell ref="A224:E224"/>
    <mergeCell ref="C225:D225"/>
    <mergeCell ref="B235:D235"/>
    <mergeCell ref="A236:E236"/>
    <mergeCell ref="C237:D237"/>
    <mergeCell ref="B247:D247"/>
    <mergeCell ref="B12:D12"/>
    <mergeCell ref="E12:AT12"/>
    <mergeCell ref="AU12:A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F37"/>
    <mergeCell ref="B38:D38"/>
    <mergeCell ref="B39:C41"/>
    <mergeCell ref="A42:D42"/>
    <mergeCell ref="E42:AF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B55:D55"/>
    <mergeCell ref="A56:E56"/>
    <mergeCell ref="C57:D57"/>
    <mergeCell ref="B67:D67"/>
    <mergeCell ref="B127:D127"/>
    <mergeCell ref="A128:E128"/>
    <mergeCell ref="C129:D129"/>
  </mergeCells>
  <conditionalFormatting sqref="E14:AT15">
    <cfRule type="containsBlanks" dxfId="1" priority="1">
      <formula>LEN(TRIM(E14))=0</formula>
    </cfRule>
  </conditionalFormatting>
  <conditionalFormatting sqref="E19:AT20">
    <cfRule type="containsBlanks" dxfId="1" priority="2">
      <formula>LEN(TRIM(E19))=0</formula>
    </cfRule>
  </conditionalFormatting>
  <conditionalFormatting sqref="E22:AT23 E25:AT26 E33:AT33 E35:AT35 E39:AT40">
    <cfRule type="containsBlanks" dxfId="1" priority="3">
      <formula>LEN(TRIM(E22))=0</formula>
    </cfRule>
  </conditionalFormatting>
  <conditionalFormatting sqref="E30:AT30">
    <cfRule type="expression" dxfId="0" priority="4">
      <formula>E30&lt;&gt;E47</formula>
    </cfRule>
  </conditionalFormatting>
  <conditionalFormatting sqref="E30:AT30">
    <cfRule type="expression" dxfId="0" priority="5">
      <formula>E30&lt;&gt;E34</formula>
    </cfRule>
  </conditionalFormatting>
  <conditionalFormatting sqref="E34:AT34">
    <cfRule type="expression" dxfId="2" priority="6">
      <formula>E30&lt;&gt;E34</formula>
    </cfRule>
  </conditionalFormatting>
  <conditionalFormatting sqref="E34:AT34">
    <cfRule type="expression" dxfId="3" priority="7">
      <formula>E30=E34</formula>
    </cfRule>
  </conditionalFormatting>
  <conditionalFormatting sqref="E34:AT34">
    <cfRule type="expression" dxfId="0" priority="8">
      <formula>E34&lt;&gt;E30</formula>
    </cfRule>
  </conditionalFormatting>
  <conditionalFormatting sqref="E34:AT34">
    <cfRule type="expression" dxfId="0" priority="9">
      <formula>E34&lt;&gt;E64</formula>
    </cfRule>
  </conditionalFormatting>
  <conditionalFormatting sqref="E45:AT54">
    <cfRule type="containsBlanks" dxfId="1" priority="10">
      <formula>LEN(TRIM(E45))=0</formula>
    </cfRule>
  </conditionalFormatting>
  <conditionalFormatting sqref="E57:AT66">
    <cfRule type="containsBlanks" dxfId="1" priority="11">
      <formula>LEN(TRIM(E57))=0</formula>
    </cfRule>
  </conditionalFormatting>
  <conditionalFormatting sqref="E69:AT78">
    <cfRule type="containsBlanks" dxfId="1" priority="12">
      <formula>LEN(TRIM(E69))=0</formula>
    </cfRule>
  </conditionalFormatting>
  <conditionalFormatting sqref="E81:AT90">
    <cfRule type="containsBlanks" dxfId="1" priority="13">
      <formula>LEN(TRIM(E81))=0</formula>
    </cfRule>
  </conditionalFormatting>
  <conditionalFormatting sqref="E93:AT102">
    <cfRule type="containsBlanks" dxfId="1" priority="14">
      <formula>LEN(TRIM(E93))=0</formula>
    </cfRule>
  </conditionalFormatting>
  <conditionalFormatting sqref="E105:AT114">
    <cfRule type="containsBlanks" dxfId="1" priority="15">
      <formula>LEN(TRIM(E105))=0</formula>
    </cfRule>
  </conditionalFormatting>
  <conditionalFormatting sqref="E117:AT126">
    <cfRule type="containsBlanks" dxfId="1" priority="16">
      <formula>LEN(TRIM(E117))=0</formula>
    </cfRule>
  </conditionalFormatting>
  <conditionalFormatting sqref="E129:AT138">
    <cfRule type="containsBlanks" dxfId="1" priority="17">
      <formula>LEN(TRIM(E129))=0</formula>
    </cfRule>
  </conditionalFormatting>
  <conditionalFormatting sqref="E141:AT150">
    <cfRule type="containsBlanks" dxfId="1" priority="18">
      <formula>LEN(TRIM(E141))=0</formula>
    </cfRule>
  </conditionalFormatting>
  <conditionalFormatting sqref="E153:AT162">
    <cfRule type="containsBlanks" dxfId="1" priority="19">
      <formula>LEN(TRIM(E153))=0</formula>
    </cfRule>
  </conditionalFormatting>
  <conditionalFormatting sqref="E165:AT174">
    <cfRule type="containsBlanks" dxfId="1" priority="20">
      <formula>LEN(TRIM(E165))=0</formula>
    </cfRule>
  </conditionalFormatting>
  <conditionalFormatting sqref="E177:AT186">
    <cfRule type="containsBlanks" dxfId="1" priority="21">
      <formula>LEN(TRIM(E177))=0</formula>
    </cfRule>
  </conditionalFormatting>
  <conditionalFormatting sqref="E189:AT198">
    <cfRule type="containsBlanks" dxfId="1" priority="22">
      <formula>LEN(TRIM(E189))=0</formula>
    </cfRule>
  </conditionalFormatting>
  <conditionalFormatting sqref="E201:AT210">
    <cfRule type="containsBlanks" dxfId="1" priority="23">
      <formula>LEN(TRIM(E201))=0</formula>
    </cfRule>
  </conditionalFormatting>
  <conditionalFormatting sqref="E213:AT222">
    <cfRule type="containsBlanks" dxfId="1" priority="24">
      <formula>LEN(TRIM(E213))=0</formula>
    </cfRule>
  </conditionalFormatting>
  <conditionalFormatting sqref="E225:AT234">
    <cfRule type="containsBlanks" dxfId="1" priority="25">
      <formula>LEN(TRIM(E225))=0</formula>
    </cfRule>
  </conditionalFormatting>
  <conditionalFormatting sqref="E237:AT246">
    <cfRule type="containsBlanks" dxfId="1" priority="26">
      <formula>LEN(TRIM(E237))=0</formula>
    </cfRule>
  </conditionalFormatting>
  <conditionalFormatting sqref="E249:AT258">
    <cfRule type="containsBlanks" dxfId="1" priority="27">
      <formula>LEN(TRIM(E249))=0</formula>
    </cfRule>
  </conditionalFormatting>
  <conditionalFormatting sqref="E262:AT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