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o\Downloads\"/>
    </mc:Choice>
  </mc:AlternateContent>
  <xr:revisionPtr revIDLastSave="0" documentId="13_ncr:1_{0E268911-A689-43EA-A9AA-11D47CD35CCE}" xr6:coauthVersionLast="47" xr6:coauthVersionMax="47" xr10:uidLastSave="{00000000-0000-0000-0000-000000000000}"/>
  <bookViews>
    <workbookView xWindow="-110" yWindow="-110" windowWidth="19420" windowHeight="11500" tabRatio="810" activeTab="4" xr2:uid="{F263E089-6C93-4E6F-AA5B-BD89F8333161}"/>
  </bookViews>
  <sheets>
    <sheet name="DPRD PROVINSI" sheetId="1" r:id="rId1"/>
    <sheet name="GAMBIRAN" sheetId="9" r:id="rId2"/>
    <sheet name="JAJAG" sheetId="10" r:id="rId3"/>
    <sheet name="PURWODADI" sheetId="11" r:id="rId4"/>
    <sheet name="WRINGINAGUNG" sheetId="15" r:id="rId5"/>
    <sheet name="WRINGINREJO" sheetId="16" r:id="rId6"/>
    <sheet name="YOSOMULYO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9" i="15" l="1"/>
  <c r="G259" i="15"/>
  <c r="H259" i="15"/>
  <c r="I259" i="15"/>
  <c r="J259" i="15"/>
  <c r="K259" i="15"/>
  <c r="L259" i="15"/>
  <c r="M259" i="15"/>
  <c r="N259" i="15"/>
  <c r="O259" i="15"/>
  <c r="P259" i="15"/>
  <c r="Q259" i="15"/>
  <c r="R259" i="15"/>
  <c r="S259" i="15"/>
  <c r="T259" i="15"/>
  <c r="U259" i="15"/>
  <c r="V259" i="15"/>
  <c r="W259" i="15"/>
  <c r="X259" i="15"/>
  <c r="Y259" i="15"/>
  <c r="Z259" i="15"/>
  <c r="AA259" i="15"/>
  <c r="AB249" i="15"/>
  <c r="AB237" i="15"/>
  <c r="F247" i="15"/>
  <c r="G247" i="15"/>
  <c r="H247" i="15"/>
  <c r="I247" i="15"/>
  <c r="J247" i="15"/>
  <c r="K247" i="15"/>
  <c r="L247" i="15"/>
  <c r="M247" i="15"/>
  <c r="N247" i="15"/>
  <c r="O247" i="15"/>
  <c r="P247" i="15"/>
  <c r="Q247" i="15"/>
  <c r="R247" i="15"/>
  <c r="S247" i="15"/>
  <c r="T247" i="15"/>
  <c r="U247" i="15"/>
  <c r="V247" i="15"/>
  <c r="W247" i="15"/>
  <c r="X247" i="15"/>
  <c r="Y247" i="15"/>
  <c r="Z247" i="15"/>
  <c r="AA247" i="15"/>
  <c r="E259" i="15"/>
  <c r="E247" i="15"/>
  <c r="F223" i="15"/>
  <c r="G223" i="15"/>
  <c r="H223" i="15"/>
  <c r="I223" i="15"/>
  <c r="J223" i="15"/>
  <c r="K223" i="15"/>
  <c r="L223" i="15"/>
  <c r="M223" i="15"/>
  <c r="N223" i="15"/>
  <c r="O223" i="15"/>
  <c r="P223" i="15"/>
  <c r="Q223" i="15"/>
  <c r="R223" i="15"/>
  <c r="S223" i="15"/>
  <c r="T223" i="15"/>
  <c r="U223" i="15"/>
  <c r="V223" i="15"/>
  <c r="W223" i="15"/>
  <c r="X223" i="15"/>
  <c r="Y223" i="15"/>
  <c r="Z223" i="15"/>
  <c r="AA223" i="15"/>
  <c r="F235" i="15"/>
  <c r="G235" i="15"/>
  <c r="H235" i="15"/>
  <c r="I235" i="15"/>
  <c r="J235" i="15"/>
  <c r="K235" i="15"/>
  <c r="L235" i="15"/>
  <c r="M235" i="15"/>
  <c r="N235" i="15"/>
  <c r="O235" i="15"/>
  <c r="P235" i="15"/>
  <c r="Q235" i="15"/>
  <c r="R235" i="15"/>
  <c r="S235" i="15"/>
  <c r="T235" i="15"/>
  <c r="U235" i="15"/>
  <c r="V235" i="15"/>
  <c r="W235" i="15"/>
  <c r="X235" i="15"/>
  <c r="Y235" i="15"/>
  <c r="Z235" i="15"/>
  <c r="AA235" i="15"/>
  <c r="E235" i="15"/>
  <c r="E223" i="15"/>
  <c r="AB201" i="15"/>
  <c r="AB189" i="15"/>
  <c r="F199" i="15"/>
  <c r="G199" i="15"/>
  <c r="H199" i="15"/>
  <c r="I199" i="15"/>
  <c r="J199" i="15"/>
  <c r="K199" i="15"/>
  <c r="L199" i="15"/>
  <c r="M199" i="15"/>
  <c r="N199" i="15"/>
  <c r="O199" i="15"/>
  <c r="P199" i="15"/>
  <c r="Q199" i="15"/>
  <c r="R199" i="15"/>
  <c r="S199" i="15"/>
  <c r="T199" i="15"/>
  <c r="U199" i="15"/>
  <c r="V199" i="15"/>
  <c r="W199" i="15"/>
  <c r="X199" i="15"/>
  <c r="Y199" i="15"/>
  <c r="Z199" i="15"/>
  <c r="AA199" i="15"/>
  <c r="F211" i="15"/>
  <c r="G211" i="15"/>
  <c r="H211" i="15"/>
  <c r="I211" i="15"/>
  <c r="J211" i="15"/>
  <c r="K211" i="15"/>
  <c r="L211" i="15"/>
  <c r="M211" i="15"/>
  <c r="N211" i="15"/>
  <c r="O211" i="15"/>
  <c r="P211" i="15"/>
  <c r="Q211" i="15"/>
  <c r="R211" i="15"/>
  <c r="S211" i="15"/>
  <c r="T211" i="15"/>
  <c r="U211" i="15"/>
  <c r="V211" i="15"/>
  <c r="W211" i="15"/>
  <c r="X211" i="15"/>
  <c r="Y211" i="15"/>
  <c r="Z211" i="15"/>
  <c r="AA211" i="15"/>
  <c r="E211" i="15"/>
  <c r="E199" i="15"/>
  <c r="F187" i="15"/>
  <c r="G187" i="15"/>
  <c r="H187" i="15"/>
  <c r="I187" i="15"/>
  <c r="J187" i="15"/>
  <c r="K187" i="15"/>
  <c r="L187" i="15"/>
  <c r="M187" i="15"/>
  <c r="N187" i="15"/>
  <c r="O187" i="15"/>
  <c r="P187" i="15"/>
  <c r="Q187" i="15"/>
  <c r="R187" i="15"/>
  <c r="S187" i="15"/>
  <c r="T187" i="15"/>
  <c r="U187" i="15"/>
  <c r="V187" i="15"/>
  <c r="W187" i="15"/>
  <c r="X187" i="15"/>
  <c r="Y187" i="15"/>
  <c r="Z187" i="15"/>
  <c r="AA187" i="15"/>
  <c r="F175" i="15"/>
  <c r="G175" i="15"/>
  <c r="H175" i="15"/>
  <c r="I175" i="15"/>
  <c r="J175" i="15"/>
  <c r="K175" i="15"/>
  <c r="L175" i="15"/>
  <c r="M175" i="15"/>
  <c r="N175" i="15"/>
  <c r="O175" i="15"/>
  <c r="P175" i="15"/>
  <c r="Q175" i="15"/>
  <c r="R175" i="15"/>
  <c r="S175" i="15"/>
  <c r="T175" i="15"/>
  <c r="U175" i="15"/>
  <c r="V175" i="15"/>
  <c r="W175" i="15"/>
  <c r="X175" i="15"/>
  <c r="Y175" i="15"/>
  <c r="Z175" i="15"/>
  <c r="AA175" i="15"/>
  <c r="E187" i="15"/>
  <c r="E175" i="15"/>
  <c r="AB154" i="15"/>
  <c r="AB155" i="15"/>
  <c r="AB156" i="15"/>
  <c r="AB157" i="15"/>
  <c r="AB158" i="15"/>
  <c r="AB159" i="15"/>
  <c r="AB160" i="15"/>
  <c r="AB153" i="15"/>
  <c r="AB141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S151" i="15"/>
  <c r="T151" i="15"/>
  <c r="U151" i="15"/>
  <c r="V151" i="15"/>
  <c r="W151" i="15"/>
  <c r="X151" i="15"/>
  <c r="Y151" i="15"/>
  <c r="Z151" i="15"/>
  <c r="AA151" i="15"/>
  <c r="F163" i="15"/>
  <c r="G163" i="15"/>
  <c r="H163" i="15"/>
  <c r="I163" i="15"/>
  <c r="J163" i="15"/>
  <c r="K163" i="15"/>
  <c r="L163" i="15"/>
  <c r="M163" i="15"/>
  <c r="N163" i="15"/>
  <c r="O163" i="15"/>
  <c r="P163" i="15"/>
  <c r="Q163" i="15"/>
  <c r="R163" i="15"/>
  <c r="S163" i="15"/>
  <c r="T163" i="15"/>
  <c r="U163" i="15"/>
  <c r="V163" i="15"/>
  <c r="W163" i="15"/>
  <c r="X163" i="15"/>
  <c r="Y163" i="15"/>
  <c r="Z163" i="15"/>
  <c r="AA163" i="15"/>
  <c r="E163" i="15"/>
  <c r="E151" i="15"/>
  <c r="AB117" i="15"/>
  <c r="AB129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U139" i="15"/>
  <c r="V139" i="15"/>
  <c r="W139" i="15"/>
  <c r="X139" i="15"/>
  <c r="Y139" i="15"/>
  <c r="Z139" i="15"/>
  <c r="AA139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T127" i="15"/>
  <c r="U127" i="15"/>
  <c r="V127" i="15"/>
  <c r="W127" i="15"/>
  <c r="X127" i="15"/>
  <c r="Y127" i="15"/>
  <c r="Z127" i="15"/>
  <c r="AA127" i="15"/>
  <c r="E139" i="15"/>
  <c r="E127" i="15"/>
  <c r="AB105" i="15"/>
  <c r="AB93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Y115" i="15"/>
  <c r="Z115" i="15"/>
  <c r="AA115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Y103" i="15"/>
  <c r="Z103" i="15"/>
  <c r="AA103" i="15"/>
  <c r="E115" i="15"/>
  <c r="E103" i="15"/>
  <c r="AB81" i="15"/>
  <c r="AB6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Y91" i="15"/>
  <c r="Z91" i="15"/>
  <c r="AA91" i="15"/>
  <c r="E91" i="15"/>
  <c r="E79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E67" i="15"/>
  <c r="E55" i="15"/>
  <c r="AB14" i="15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W259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R247" i="16"/>
  <c r="S247" i="16"/>
  <c r="T247" i="16"/>
  <c r="U247" i="16"/>
  <c r="V247" i="16"/>
  <c r="W247" i="16"/>
  <c r="E259" i="16"/>
  <c r="E247" i="16"/>
  <c r="X225" i="16"/>
  <c r="X213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V223" i="16"/>
  <c r="W223" i="16"/>
  <c r="E235" i="16"/>
  <c r="E223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R199" i="16"/>
  <c r="S199" i="16"/>
  <c r="T199" i="16"/>
  <c r="U199" i="16"/>
  <c r="V199" i="16"/>
  <c r="W199" i="16"/>
  <c r="E211" i="16"/>
  <c r="E199" i="16"/>
  <c r="X165" i="16"/>
  <c r="X17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U175" i="16"/>
  <c r="V175" i="16"/>
  <c r="W175" i="16"/>
  <c r="E187" i="16"/>
  <c r="E175" i="16"/>
  <c r="X154" i="16"/>
  <c r="X155" i="16"/>
  <c r="X156" i="16"/>
  <c r="X157" i="16"/>
  <c r="X158" i="16"/>
  <c r="X159" i="16"/>
  <c r="X160" i="16"/>
  <c r="X153" i="16"/>
  <c r="X14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V151" i="16"/>
  <c r="W151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E163" i="16"/>
  <c r="E151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E139" i="16"/>
  <c r="E127" i="16"/>
  <c r="X105" i="16"/>
  <c r="X93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E115" i="16"/>
  <c r="E103" i="16"/>
  <c r="X69" i="16"/>
  <c r="X8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E91" i="16"/>
  <c r="E79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E67" i="16"/>
  <c r="E55" i="16"/>
  <c r="F259" i="17"/>
  <c r="G259" i="17"/>
  <c r="H259" i="17"/>
  <c r="I259" i="17"/>
  <c r="J259" i="17"/>
  <c r="K259" i="17"/>
  <c r="L259" i="17"/>
  <c r="M259" i="17"/>
  <c r="N259" i="17"/>
  <c r="O259" i="17"/>
  <c r="P259" i="17"/>
  <c r="Q259" i="17"/>
  <c r="R259" i="17"/>
  <c r="S259" i="17"/>
  <c r="T259" i="17"/>
  <c r="U259" i="17"/>
  <c r="V259" i="17"/>
  <c r="W259" i="17"/>
  <c r="X259" i="17"/>
  <c r="Y259" i="17"/>
  <c r="Z259" i="17"/>
  <c r="AA259" i="17"/>
  <c r="AB259" i="17"/>
  <c r="AC259" i="17"/>
  <c r="AD259" i="17"/>
  <c r="AE259" i="17"/>
  <c r="AF259" i="17"/>
  <c r="AG259" i="17"/>
  <c r="AH259" i="17"/>
  <c r="AI259" i="17"/>
  <c r="AJ259" i="17"/>
  <c r="AK259" i="17"/>
  <c r="AL259" i="17"/>
  <c r="AM259" i="17"/>
  <c r="AN259" i="17"/>
  <c r="AO259" i="17"/>
  <c r="F247" i="17"/>
  <c r="G247" i="17"/>
  <c r="H247" i="17"/>
  <c r="I247" i="17"/>
  <c r="J247" i="17"/>
  <c r="K247" i="17"/>
  <c r="L247" i="17"/>
  <c r="M247" i="17"/>
  <c r="N247" i="17"/>
  <c r="O247" i="17"/>
  <c r="P247" i="17"/>
  <c r="Q247" i="17"/>
  <c r="R247" i="17"/>
  <c r="S247" i="17"/>
  <c r="T247" i="17"/>
  <c r="U247" i="17"/>
  <c r="V247" i="17"/>
  <c r="W247" i="17"/>
  <c r="X247" i="17"/>
  <c r="Y247" i="17"/>
  <c r="Z247" i="17"/>
  <c r="AA247" i="17"/>
  <c r="AB247" i="17"/>
  <c r="AC247" i="17"/>
  <c r="AD247" i="17"/>
  <c r="AE247" i="17"/>
  <c r="AF247" i="17"/>
  <c r="AG247" i="17"/>
  <c r="AH247" i="17"/>
  <c r="AI247" i="17"/>
  <c r="AJ247" i="17"/>
  <c r="AK247" i="17"/>
  <c r="AL247" i="17"/>
  <c r="AM247" i="17"/>
  <c r="AN247" i="17"/>
  <c r="AO247" i="17"/>
  <c r="E259" i="17"/>
  <c r="E247" i="17"/>
  <c r="AP225" i="17"/>
  <c r="AP213" i="17"/>
  <c r="F235" i="17"/>
  <c r="G235" i="17"/>
  <c r="H235" i="17"/>
  <c r="I235" i="17"/>
  <c r="J235" i="17"/>
  <c r="K235" i="17"/>
  <c r="L235" i="17"/>
  <c r="M235" i="17"/>
  <c r="N235" i="17"/>
  <c r="O235" i="17"/>
  <c r="P235" i="17"/>
  <c r="Q235" i="17"/>
  <c r="R235" i="17"/>
  <c r="S235" i="17"/>
  <c r="T235" i="17"/>
  <c r="U235" i="17"/>
  <c r="V235" i="17"/>
  <c r="W235" i="17"/>
  <c r="X235" i="17"/>
  <c r="Y235" i="17"/>
  <c r="Z235" i="17"/>
  <c r="AA235" i="17"/>
  <c r="AB235" i="17"/>
  <c r="AC235" i="17"/>
  <c r="AD235" i="17"/>
  <c r="AE235" i="17"/>
  <c r="AF235" i="17"/>
  <c r="AG235" i="17"/>
  <c r="AH235" i="17"/>
  <c r="AI235" i="17"/>
  <c r="AJ235" i="17"/>
  <c r="AK235" i="17"/>
  <c r="AL235" i="17"/>
  <c r="AM235" i="17"/>
  <c r="AN235" i="17"/>
  <c r="AO235" i="17"/>
  <c r="F223" i="17"/>
  <c r="G223" i="17"/>
  <c r="H223" i="17"/>
  <c r="I223" i="17"/>
  <c r="J223" i="17"/>
  <c r="K223" i="17"/>
  <c r="L223" i="17"/>
  <c r="M223" i="17"/>
  <c r="N223" i="17"/>
  <c r="O223" i="17"/>
  <c r="P223" i="17"/>
  <c r="Q223" i="17"/>
  <c r="R223" i="17"/>
  <c r="S223" i="17"/>
  <c r="T223" i="17"/>
  <c r="U223" i="17"/>
  <c r="V223" i="17"/>
  <c r="W223" i="17"/>
  <c r="X223" i="17"/>
  <c r="Y223" i="17"/>
  <c r="Z223" i="17"/>
  <c r="AA223" i="17"/>
  <c r="AB223" i="17"/>
  <c r="AC223" i="17"/>
  <c r="AD223" i="17"/>
  <c r="AE223" i="17"/>
  <c r="AF223" i="17"/>
  <c r="AG223" i="17"/>
  <c r="AH223" i="17"/>
  <c r="AI223" i="17"/>
  <c r="AJ223" i="17"/>
  <c r="AK223" i="17"/>
  <c r="AL223" i="17"/>
  <c r="AM223" i="17"/>
  <c r="AN223" i="17"/>
  <c r="AO223" i="17"/>
  <c r="E235" i="17"/>
  <c r="E223" i="17"/>
  <c r="F211" i="17"/>
  <c r="G211" i="17"/>
  <c r="H211" i="17"/>
  <c r="I211" i="17"/>
  <c r="J211" i="17"/>
  <c r="K211" i="17"/>
  <c r="L211" i="17"/>
  <c r="M211" i="17"/>
  <c r="N211" i="17"/>
  <c r="O211" i="17"/>
  <c r="P211" i="17"/>
  <c r="Q211" i="17"/>
  <c r="R211" i="17"/>
  <c r="S211" i="17"/>
  <c r="T211" i="17"/>
  <c r="U211" i="17"/>
  <c r="V211" i="17"/>
  <c r="W211" i="17"/>
  <c r="X211" i="17"/>
  <c r="Y211" i="17"/>
  <c r="Z211" i="17"/>
  <c r="AA211" i="17"/>
  <c r="AB211" i="17"/>
  <c r="AC211" i="17"/>
  <c r="AD211" i="17"/>
  <c r="AE211" i="17"/>
  <c r="AF211" i="17"/>
  <c r="AG211" i="17"/>
  <c r="AH211" i="17"/>
  <c r="AI211" i="17"/>
  <c r="AJ211" i="17"/>
  <c r="AK211" i="17"/>
  <c r="AL211" i="17"/>
  <c r="AM211" i="17"/>
  <c r="AN211" i="17"/>
  <c r="AO211" i="17"/>
  <c r="F199" i="17"/>
  <c r="G199" i="17"/>
  <c r="H199" i="17"/>
  <c r="I199" i="17"/>
  <c r="J199" i="17"/>
  <c r="K199" i="17"/>
  <c r="L199" i="17"/>
  <c r="M199" i="17"/>
  <c r="N199" i="17"/>
  <c r="O199" i="17"/>
  <c r="P199" i="17"/>
  <c r="Q199" i="17"/>
  <c r="R199" i="17"/>
  <c r="S199" i="17"/>
  <c r="T199" i="17"/>
  <c r="U199" i="17"/>
  <c r="V199" i="17"/>
  <c r="W199" i="17"/>
  <c r="X199" i="17"/>
  <c r="Y199" i="17"/>
  <c r="Z199" i="17"/>
  <c r="AA199" i="17"/>
  <c r="AB199" i="17"/>
  <c r="AC199" i="17"/>
  <c r="AD199" i="17"/>
  <c r="AE199" i="17"/>
  <c r="AF199" i="17"/>
  <c r="AG199" i="17"/>
  <c r="AH199" i="17"/>
  <c r="AI199" i="17"/>
  <c r="AJ199" i="17"/>
  <c r="AK199" i="17"/>
  <c r="AL199" i="17"/>
  <c r="AM199" i="17"/>
  <c r="AN199" i="17"/>
  <c r="AO199" i="17"/>
  <c r="E211" i="17"/>
  <c r="E199" i="17"/>
  <c r="AP177" i="17"/>
  <c r="AP165" i="17"/>
  <c r="F187" i="17"/>
  <c r="G187" i="17"/>
  <c r="H187" i="17"/>
  <c r="I187" i="17"/>
  <c r="J187" i="17"/>
  <c r="K187" i="17"/>
  <c r="L187" i="17"/>
  <c r="M187" i="17"/>
  <c r="N187" i="17"/>
  <c r="O187" i="17"/>
  <c r="P187" i="17"/>
  <c r="Q187" i="17"/>
  <c r="R187" i="17"/>
  <c r="S187" i="17"/>
  <c r="T187" i="17"/>
  <c r="U187" i="17"/>
  <c r="V187" i="17"/>
  <c r="W187" i="17"/>
  <c r="X187" i="17"/>
  <c r="Y187" i="17"/>
  <c r="Z187" i="17"/>
  <c r="AA187" i="17"/>
  <c r="AB187" i="17"/>
  <c r="AC187" i="17"/>
  <c r="AD187" i="17"/>
  <c r="AE187" i="17"/>
  <c r="AF187" i="17"/>
  <c r="AG187" i="17"/>
  <c r="AH187" i="17"/>
  <c r="AI187" i="17"/>
  <c r="AJ187" i="17"/>
  <c r="AK187" i="17"/>
  <c r="AL187" i="17"/>
  <c r="AM187" i="17"/>
  <c r="AN187" i="17"/>
  <c r="AO187" i="17"/>
  <c r="F175" i="17"/>
  <c r="G175" i="17"/>
  <c r="H175" i="17"/>
  <c r="I175" i="17"/>
  <c r="J175" i="17"/>
  <c r="K175" i="17"/>
  <c r="L175" i="17"/>
  <c r="M175" i="17"/>
  <c r="N175" i="17"/>
  <c r="O175" i="17"/>
  <c r="P175" i="17"/>
  <c r="Q175" i="17"/>
  <c r="R175" i="17"/>
  <c r="S175" i="17"/>
  <c r="T175" i="17"/>
  <c r="U175" i="17"/>
  <c r="V175" i="17"/>
  <c r="W175" i="17"/>
  <c r="X175" i="17"/>
  <c r="Y175" i="17"/>
  <c r="Z175" i="17"/>
  <c r="AA175" i="17"/>
  <c r="AB175" i="17"/>
  <c r="AC175" i="17"/>
  <c r="AD175" i="17"/>
  <c r="AE175" i="17"/>
  <c r="AF175" i="17"/>
  <c r="AG175" i="17"/>
  <c r="AH175" i="17"/>
  <c r="AI175" i="17"/>
  <c r="AJ175" i="17"/>
  <c r="AK175" i="17"/>
  <c r="AL175" i="17"/>
  <c r="AM175" i="17"/>
  <c r="AN175" i="17"/>
  <c r="AO175" i="17"/>
  <c r="E187" i="17"/>
  <c r="E175" i="17"/>
  <c r="AP154" i="17"/>
  <c r="AP155" i="17"/>
  <c r="AP156" i="17"/>
  <c r="AP157" i="17"/>
  <c r="AP158" i="17"/>
  <c r="AP159" i="17"/>
  <c r="AP160" i="17"/>
  <c r="AP153" i="17"/>
  <c r="AP141" i="17"/>
  <c r="F151" i="17"/>
  <c r="G151" i="17"/>
  <c r="H151" i="17"/>
  <c r="I151" i="17"/>
  <c r="J151" i="17"/>
  <c r="K151" i="17"/>
  <c r="L151" i="17"/>
  <c r="M151" i="17"/>
  <c r="N151" i="17"/>
  <c r="O151" i="17"/>
  <c r="P151" i="17"/>
  <c r="Q151" i="17"/>
  <c r="R151" i="17"/>
  <c r="S151" i="17"/>
  <c r="T151" i="17"/>
  <c r="U151" i="17"/>
  <c r="V151" i="17"/>
  <c r="W151" i="17"/>
  <c r="X151" i="17"/>
  <c r="Y151" i="17"/>
  <c r="Z151" i="17"/>
  <c r="AA151" i="17"/>
  <c r="AB151" i="17"/>
  <c r="AC151" i="17"/>
  <c r="AD151" i="17"/>
  <c r="AE151" i="17"/>
  <c r="AF151" i="17"/>
  <c r="AG151" i="17"/>
  <c r="AH151" i="17"/>
  <c r="AI151" i="17"/>
  <c r="AJ151" i="17"/>
  <c r="AK151" i="17"/>
  <c r="AL151" i="17"/>
  <c r="AM151" i="17"/>
  <c r="AN151" i="17"/>
  <c r="AO151" i="17"/>
  <c r="F163" i="17"/>
  <c r="G163" i="17"/>
  <c r="H163" i="17"/>
  <c r="I163" i="17"/>
  <c r="J163" i="17"/>
  <c r="K163" i="17"/>
  <c r="L163" i="17"/>
  <c r="M163" i="17"/>
  <c r="N163" i="17"/>
  <c r="O163" i="17"/>
  <c r="P163" i="17"/>
  <c r="Q163" i="17"/>
  <c r="R163" i="17"/>
  <c r="S163" i="17"/>
  <c r="T163" i="17"/>
  <c r="U163" i="17"/>
  <c r="V163" i="17"/>
  <c r="W163" i="17"/>
  <c r="X163" i="17"/>
  <c r="Y163" i="17"/>
  <c r="Z163" i="17"/>
  <c r="AA163" i="17"/>
  <c r="AB163" i="17"/>
  <c r="AC163" i="17"/>
  <c r="AD163" i="17"/>
  <c r="AE163" i="17"/>
  <c r="AF163" i="17"/>
  <c r="AG163" i="17"/>
  <c r="AH163" i="17"/>
  <c r="AI163" i="17"/>
  <c r="AJ163" i="17"/>
  <c r="AK163" i="17"/>
  <c r="AL163" i="17"/>
  <c r="AM163" i="17"/>
  <c r="AN163" i="17"/>
  <c r="AO163" i="17"/>
  <c r="E163" i="17"/>
  <c r="E151" i="17"/>
  <c r="F127" i="17"/>
  <c r="G127" i="17"/>
  <c r="H127" i="17"/>
  <c r="I127" i="17"/>
  <c r="J127" i="17"/>
  <c r="K127" i="17"/>
  <c r="L127" i="17"/>
  <c r="M127" i="17"/>
  <c r="N127" i="17"/>
  <c r="O127" i="17"/>
  <c r="P127" i="17"/>
  <c r="Q127" i="17"/>
  <c r="R127" i="17"/>
  <c r="S127" i="17"/>
  <c r="T127" i="17"/>
  <c r="U127" i="17"/>
  <c r="V127" i="17"/>
  <c r="W127" i="17"/>
  <c r="X127" i="17"/>
  <c r="Y127" i="17"/>
  <c r="Z127" i="17"/>
  <c r="AA127" i="17"/>
  <c r="AB127" i="17"/>
  <c r="AC127" i="17"/>
  <c r="AD127" i="17"/>
  <c r="AE127" i="17"/>
  <c r="AF127" i="17"/>
  <c r="AG127" i="17"/>
  <c r="AH127" i="17"/>
  <c r="AI127" i="17"/>
  <c r="AJ127" i="17"/>
  <c r="AK127" i="17"/>
  <c r="AL127" i="17"/>
  <c r="AM127" i="17"/>
  <c r="AN127" i="17"/>
  <c r="AO127" i="17"/>
  <c r="AP117" i="17"/>
  <c r="AP129" i="17"/>
  <c r="F139" i="17"/>
  <c r="G139" i="17"/>
  <c r="H139" i="17"/>
  <c r="I139" i="17"/>
  <c r="J139" i="17"/>
  <c r="K139" i="17"/>
  <c r="L139" i="17"/>
  <c r="M139" i="17"/>
  <c r="N139" i="17"/>
  <c r="O139" i="17"/>
  <c r="P139" i="17"/>
  <c r="Q139" i="17"/>
  <c r="R139" i="17"/>
  <c r="S139" i="17"/>
  <c r="T139" i="17"/>
  <c r="U139" i="17"/>
  <c r="V139" i="17"/>
  <c r="W139" i="17"/>
  <c r="X139" i="17"/>
  <c r="Y139" i="17"/>
  <c r="Z139" i="17"/>
  <c r="AA139" i="17"/>
  <c r="AB139" i="17"/>
  <c r="AC139" i="17"/>
  <c r="AD139" i="17"/>
  <c r="AE139" i="17"/>
  <c r="AF139" i="17"/>
  <c r="AG139" i="17"/>
  <c r="AH139" i="17"/>
  <c r="AI139" i="17"/>
  <c r="AJ139" i="17"/>
  <c r="AK139" i="17"/>
  <c r="AL139" i="17"/>
  <c r="AM139" i="17"/>
  <c r="AN139" i="17"/>
  <c r="AO139" i="17"/>
  <c r="E139" i="17"/>
  <c r="E127" i="17"/>
  <c r="AP93" i="17"/>
  <c r="AP105" i="17"/>
  <c r="F115" i="17"/>
  <c r="G115" i="17"/>
  <c r="H115" i="17"/>
  <c r="I115" i="17"/>
  <c r="J115" i="17"/>
  <c r="K115" i="17"/>
  <c r="L115" i="17"/>
  <c r="M115" i="17"/>
  <c r="N115" i="17"/>
  <c r="O115" i="17"/>
  <c r="P115" i="17"/>
  <c r="Q115" i="17"/>
  <c r="R115" i="17"/>
  <c r="S115" i="17"/>
  <c r="T115" i="17"/>
  <c r="U115" i="17"/>
  <c r="V115" i="17"/>
  <c r="W115" i="17"/>
  <c r="X115" i="17"/>
  <c r="Y115" i="17"/>
  <c r="Z115" i="17"/>
  <c r="AA115" i="17"/>
  <c r="AB115" i="17"/>
  <c r="AC115" i="17"/>
  <c r="AD115" i="17"/>
  <c r="AE115" i="17"/>
  <c r="AF115" i="17"/>
  <c r="AG115" i="17"/>
  <c r="AH115" i="17"/>
  <c r="AI115" i="17"/>
  <c r="AJ115" i="17"/>
  <c r="AK115" i="17"/>
  <c r="AL115" i="17"/>
  <c r="AM115" i="17"/>
  <c r="AN115" i="17"/>
  <c r="AO115" i="17"/>
  <c r="F103" i="17"/>
  <c r="G103" i="17"/>
  <c r="H103" i="17"/>
  <c r="I103" i="17"/>
  <c r="J103" i="17"/>
  <c r="K103" i="17"/>
  <c r="L103" i="17"/>
  <c r="M103" i="17"/>
  <c r="N103" i="17"/>
  <c r="O103" i="17"/>
  <c r="P103" i="17"/>
  <c r="Q103" i="17"/>
  <c r="R103" i="17"/>
  <c r="S103" i="17"/>
  <c r="T103" i="17"/>
  <c r="U103" i="17"/>
  <c r="V103" i="17"/>
  <c r="W103" i="17"/>
  <c r="X103" i="17"/>
  <c r="Y103" i="17"/>
  <c r="Z103" i="17"/>
  <c r="AA103" i="17"/>
  <c r="AB103" i="17"/>
  <c r="AC103" i="17"/>
  <c r="AD103" i="17"/>
  <c r="AE103" i="17"/>
  <c r="AF103" i="17"/>
  <c r="AG103" i="17"/>
  <c r="AH103" i="17"/>
  <c r="AI103" i="17"/>
  <c r="AJ103" i="17"/>
  <c r="AK103" i="17"/>
  <c r="AL103" i="17"/>
  <c r="AM103" i="17"/>
  <c r="AN103" i="17"/>
  <c r="AO103" i="17"/>
  <c r="E115" i="17"/>
  <c r="E103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Y91" i="17"/>
  <c r="Z91" i="17"/>
  <c r="AA91" i="17"/>
  <c r="AB91" i="17"/>
  <c r="AC91" i="17"/>
  <c r="AD91" i="17"/>
  <c r="AE91" i="17"/>
  <c r="AF91" i="17"/>
  <c r="AG91" i="17"/>
  <c r="AH91" i="17"/>
  <c r="AI91" i="17"/>
  <c r="AJ91" i="17"/>
  <c r="AK91" i="17"/>
  <c r="AL91" i="17"/>
  <c r="AM91" i="17"/>
  <c r="AN91" i="17"/>
  <c r="AO91" i="17"/>
  <c r="E91" i="17"/>
  <c r="E79" i="17"/>
  <c r="AP45" i="17"/>
  <c r="AP5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AL55" i="17"/>
  <c r="AM55" i="17"/>
  <c r="AN55" i="17"/>
  <c r="AO55" i="17"/>
  <c r="E67" i="17"/>
  <c r="E55" i="17"/>
  <c r="F247" i="9"/>
  <c r="G247" i="9"/>
  <c r="H247" i="9"/>
  <c r="I247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AJ247" i="9"/>
  <c r="AK247" i="9"/>
  <c r="AL247" i="9"/>
  <c r="AM247" i="9"/>
  <c r="AN247" i="9"/>
  <c r="AO247" i="9"/>
  <c r="AP247" i="9"/>
  <c r="AQ247" i="9"/>
  <c r="AR247" i="9"/>
  <c r="AS247" i="9"/>
  <c r="AT247" i="9"/>
  <c r="AU247" i="9"/>
  <c r="AV247" i="9"/>
  <c r="AW247" i="9"/>
  <c r="AX247" i="9"/>
  <c r="F259" i="9"/>
  <c r="G259" i="9"/>
  <c r="H259" i="9"/>
  <c r="I259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X259" i="9"/>
  <c r="Y259" i="9"/>
  <c r="Z259" i="9"/>
  <c r="AA259" i="9"/>
  <c r="AB259" i="9"/>
  <c r="AC259" i="9"/>
  <c r="AD259" i="9"/>
  <c r="AE259" i="9"/>
  <c r="AF259" i="9"/>
  <c r="AG259" i="9"/>
  <c r="AH259" i="9"/>
  <c r="AI259" i="9"/>
  <c r="AJ259" i="9"/>
  <c r="AK259" i="9"/>
  <c r="AL259" i="9"/>
  <c r="AM259" i="9"/>
  <c r="AN259" i="9"/>
  <c r="AO259" i="9"/>
  <c r="AP259" i="9"/>
  <c r="AQ259" i="9"/>
  <c r="AR259" i="9"/>
  <c r="AS259" i="9"/>
  <c r="AT259" i="9"/>
  <c r="AU259" i="9"/>
  <c r="AV259" i="9"/>
  <c r="AW259" i="9"/>
  <c r="AX259" i="9"/>
  <c r="E259" i="9"/>
  <c r="E247" i="9"/>
  <c r="AY213" i="9"/>
  <c r="AY225" i="9"/>
  <c r="F223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AJ223" i="9"/>
  <c r="AK223" i="9"/>
  <c r="AL223" i="9"/>
  <c r="AM223" i="9"/>
  <c r="AN223" i="9"/>
  <c r="AO223" i="9"/>
  <c r="AP223" i="9"/>
  <c r="AQ223" i="9"/>
  <c r="AR223" i="9"/>
  <c r="AS223" i="9"/>
  <c r="AT223" i="9"/>
  <c r="AU223" i="9"/>
  <c r="AV223" i="9"/>
  <c r="AW223" i="9"/>
  <c r="AX223" i="9"/>
  <c r="F235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AI235" i="9"/>
  <c r="AJ235" i="9"/>
  <c r="AK235" i="9"/>
  <c r="AL235" i="9"/>
  <c r="AM235" i="9"/>
  <c r="AN235" i="9"/>
  <c r="AO235" i="9"/>
  <c r="AP235" i="9"/>
  <c r="AQ235" i="9"/>
  <c r="AR235" i="9"/>
  <c r="AS235" i="9"/>
  <c r="AT235" i="9"/>
  <c r="AU235" i="9"/>
  <c r="AV235" i="9"/>
  <c r="AW235" i="9"/>
  <c r="AX235" i="9"/>
  <c r="E235" i="9"/>
  <c r="E223" i="9"/>
  <c r="F199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AJ199" i="9"/>
  <c r="AK199" i="9"/>
  <c r="AL199" i="9"/>
  <c r="AM199" i="9"/>
  <c r="AN199" i="9"/>
  <c r="AO199" i="9"/>
  <c r="AP199" i="9"/>
  <c r="AQ199" i="9"/>
  <c r="AR199" i="9"/>
  <c r="AS199" i="9"/>
  <c r="AT199" i="9"/>
  <c r="AU199" i="9"/>
  <c r="AV199" i="9"/>
  <c r="AW199" i="9"/>
  <c r="AX199" i="9"/>
  <c r="F211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AI211" i="9"/>
  <c r="AJ211" i="9"/>
  <c r="AK211" i="9"/>
  <c r="AL211" i="9"/>
  <c r="AM211" i="9"/>
  <c r="AN211" i="9"/>
  <c r="AO211" i="9"/>
  <c r="AP211" i="9"/>
  <c r="AQ211" i="9"/>
  <c r="AR211" i="9"/>
  <c r="AS211" i="9"/>
  <c r="AT211" i="9"/>
  <c r="AU211" i="9"/>
  <c r="AV211" i="9"/>
  <c r="AW211" i="9"/>
  <c r="AX211" i="9"/>
  <c r="E211" i="9"/>
  <c r="E199" i="9"/>
  <c r="AX187" i="9"/>
  <c r="AY165" i="9"/>
  <c r="AY177" i="9"/>
  <c r="F175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AJ175" i="9"/>
  <c r="AK175" i="9"/>
  <c r="AL175" i="9"/>
  <c r="AM175" i="9"/>
  <c r="AN175" i="9"/>
  <c r="AO175" i="9"/>
  <c r="AP175" i="9"/>
  <c r="AQ175" i="9"/>
  <c r="AR175" i="9"/>
  <c r="AS175" i="9"/>
  <c r="AT175" i="9"/>
  <c r="AU175" i="9"/>
  <c r="AV175" i="9"/>
  <c r="AW175" i="9"/>
  <c r="AX175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AJ187" i="9"/>
  <c r="AK187" i="9"/>
  <c r="AL187" i="9"/>
  <c r="AM187" i="9"/>
  <c r="AN187" i="9"/>
  <c r="AO187" i="9"/>
  <c r="AP187" i="9"/>
  <c r="AQ187" i="9"/>
  <c r="AR187" i="9"/>
  <c r="AS187" i="9"/>
  <c r="AT187" i="9"/>
  <c r="AU187" i="9"/>
  <c r="AV187" i="9"/>
  <c r="AW187" i="9"/>
  <c r="E187" i="9"/>
  <c r="E175" i="9"/>
  <c r="AY153" i="9"/>
  <c r="AY141" i="9"/>
  <c r="F163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AK163" i="9"/>
  <c r="AL163" i="9"/>
  <c r="AM163" i="9"/>
  <c r="AN163" i="9"/>
  <c r="AO163" i="9"/>
  <c r="AP163" i="9"/>
  <c r="AQ163" i="9"/>
  <c r="AR163" i="9"/>
  <c r="AS163" i="9"/>
  <c r="AT163" i="9"/>
  <c r="AU163" i="9"/>
  <c r="AV163" i="9"/>
  <c r="AW163" i="9"/>
  <c r="AX163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AK151" i="9"/>
  <c r="AL151" i="9"/>
  <c r="AM151" i="9"/>
  <c r="AN151" i="9"/>
  <c r="AO151" i="9"/>
  <c r="AP151" i="9"/>
  <c r="AQ151" i="9"/>
  <c r="AR151" i="9"/>
  <c r="AS151" i="9"/>
  <c r="AT151" i="9"/>
  <c r="AU151" i="9"/>
  <c r="AV151" i="9"/>
  <c r="AW151" i="9"/>
  <c r="AX151" i="9"/>
  <c r="E163" i="9"/>
  <c r="E151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V139" i="9"/>
  <c r="AW139" i="9"/>
  <c r="AX139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AR127" i="9"/>
  <c r="AS127" i="9"/>
  <c r="AT127" i="9"/>
  <c r="AU127" i="9"/>
  <c r="AV127" i="9"/>
  <c r="AW127" i="9"/>
  <c r="AX127" i="9"/>
  <c r="E139" i="9"/>
  <c r="E127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V115" i="9"/>
  <c r="AW115" i="9"/>
  <c r="AX115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AR103" i="9"/>
  <c r="AS103" i="9"/>
  <c r="AT103" i="9"/>
  <c r="AU103" i="9"/>
  <c r="AV103" i="9"/>
  <c r="AW103" i="9"/>
  <c r="AX103" i="9"/>
  <c r="E115" i="9"/>
  <c r="E103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AR91" i="9"/>
  <c r="AS91" i="9"/>
  <c r="AT91" i="9"/>
  <c r="AU91" i="9"/>
  <c r="AV91" i="9"/>
  <c r="AW91" i="9"/>
  <c r="AX91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AR79" i="9"/>
  <c r="AS79" i="9"/>
  <c r="AT79" i="9"/>
  <c r="AU79" i="9"/>
  <c r="AV79" i="9"/>
  <c r="AW79" i="9"/>
  <c r="AX79" i="9"/>
  <c r="E91" i="9"/>
  <c r="E79" i="9"/>
  <c r="E67" i="9"/>
  <c r="AY81" i="9"/>
  <c r="AY69" i="9"/>
  <c r="AY57" i="9" l="1"/>
  <c r="AY45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E55" i="9"/>
  <c r="AY33" i="9"/>
  <c r="AY34" i="9"/>
  <c r="AY35" i="9"/>
  <c r="AY15" i="9"/>
  <c r="AY17" i="9"/>
  <c r="AY18" i="9"/>
  <c r="AY19" i="9"/>
  <c r="AY20" i="9"/>
  <c r="AY22" i="9"/>
  <c r="AY23" i="9"/>
  <c r="AY25" i="9"/>
  <c r="AY26" i="9"/>
  <c r="AY31" i="9"/>
  <c r="AY32" i="9"/>
  <c r="AY37" i="9"/>
  <c r="AY38" i="9"/>
  <c r="AY39" i="9"/>
  <c r="AY40" i="9"/>
  <c r="AY42" i="9"/>
  <c r="AY43" i="9"/>
  <c r="AY44" i="9"/>
  <c r="AY46" i="9"/>
  <c r="AY47" i="9"/>
  <c r="AY48" i="9"/>
  <c r="AY49" i="9"/>
  <c r="AY50" i="9"/>
  <c r="AY51" i="9"/>
  <c r="AY52" i="9"/>
  <c r="AY53" i="9"/>
  <c r="AY54" i="9"/>
  <c r="AY56" i="9"/>
  <c r="AY58" i="9"/>
  <c r="AY59" i="9"/>
  <c r="AY60" i="9"/>
  <c r="AY61" i="9"/>
  <c r="AY62" i="9"/>
  <c r="AY63" i="9"/>
  <c r="AY64" i="9"/>
  <c r="AY65" i="9"/>
  <c r="AY66" i="9"/>
  <c r="AY68" i="9"/>
  <c r="AY70" i="9"/>
  <c r="AY79" i="9" s="1"/>
  <c r="AY71" i="9"/>
  <c r="AY72" i="9"/>
  <c r="AY73" i="9"/>
  <c r="AY74" i="9"/>
  <c r="AY75" i="9"/>
  <c r="AY76" i="9"/>
  <c r="AY77" i="9"/>
  <c r="AY78" i="9"/>
  <c r="AY80" i="9"/>
  <c r="AY82" i="9"/>
  <c r="AY91" i="9" s="1"/>
  <c r="AY83" i="9"/>
  <c r="AY84" i="9"/>
  <c r="AY85" i="9"/>
  <c r="AY86" i="9"/>
  <c r="AY87" i="9"/>
  <c r="AY88" i="9"/>
  <c r="AY89" i="9"/>
  <c r="AY90" i="9"/>
  <c r="AY92" i="9"/>
  <c r="AY93" i="9"/>
  <c r="AY94" i="9"/>
  <c r="AY95" i="9"/>
  <c r="AY96" i="9"/>
  <c r="AY97" i="9"/>
  <c r="AY98" i="9"/>
  <c r="AY99" i="9"/>
  <c r="AY100" i="9"/>
  <c r="AY101" i="9"/>
  <c r="AY102" i="9"/>
  <c r="AY104" i="9"/>
  <c r="AY105" i="9"/>
  <c r="AY106" i="9"/>
  <c r="AY107" i="9"/>
  <c r="AY108" i="9"/>
  <c r="AY109" i="9"/>
  <c r="AY110" i="9"/>
  <c r="AY111" i="9"/>
  <c r="AY112" i="9"/>
  <c r="AY113" i="9"/>
  <c r="AY114" i="9"/>
  <c r="AY116" i="9"/>
  <c r="AY117" i="9"/>
  <c r="AY118" i="9"/>
  <c r="AY119" i="9"/>
  <c r="AY120" i="9"/>
  <c r="AY121" i="9"/>
  <c r="AY122" i="9"/>
  <c r="AY123" i="9"/>
  <c r="AY124" i="9"/>
  <c r="AY125" i="9"/>
  <c r="AY126" i="9"/>
  <c r="AY128" i="9"/>
  <c r="AY129" i="9"/>
  <c r="AY130" i="9"/>
  <c r="AY131" i="9"/>
  <c r="AY132" i="9"/>
  <c r="AY133" i="9"/>
  <c r="AY134" i="9"/>
  <c r="AY135" i="9"/>
  <c r="AY136" i="9"/>
  <c r="AY137" i="9"/>
  <c r="AY138" i="9"/>
  <c r="AY140" i="9"/>
  <c r="AY142" i="9"/>
  <c r="AY143" i="9"/>
  <c r="AY144" i="9"/>
  <c r="AY145" i="9"/>
  <c r="AY146" i="9"/>
  <c r="AY147" i="9"/>
  <c r="AY148" i="9"/>
  <c r="AY149" i="9"/>
  <c r="AY150" i="9"/>
  <c r="AY152" i="9"/>
  <c r="AY154" i="9"/>
  <c r="AY155" i="9"/>
  <c r="AY156" i="9"/>
  <c r="AY157" i="9"/>
  <c r="AY158" i="9"/>
  <c r="E158" i="1" s="1"/>
  <c r="AY159" i="9"/>
  <c r="AY160" i="9"/>
  <c r="AY161" i="9"/>
  <c r="AY162" i="9"/>
  <c r="AY164" i="9"/>
  <c r="AY166" i="9"/>
  <c r="AY175" i="9" s="1"/>
  <c r="AY167" i="9"/>
  <c r="AY168" i="9"/>
  <c r="AY169" i="9"/>
  <c r="AY170" i="9"/>
  <c r="AY171" i="9"/>
  <c r="AY172" i="9"/>
  <c r="AY173" i="9"/>
  <c r="AY174" i="9"/>
  <c r="AY176" i="9"/>
  <c r="AY178" i="9"/>
  <c r="AY179" i="9"/>
  <c r="AY180" i="9"/>
  <c r="AY181" i="9"/>
  <c r="AY182" i="9"/>
  <c r="AY183" i="9"/>
  <c r="AY184" i="9"/>
  <c r="AY185" i="9"/>
  <c r="AY186" i="9"/>
  <c r="AY188" i="9"/>
  <c r="AY189" i="9"/>
  <c r="AY190" i="9"/>
  <c r="AY191" i="9"/>
  <c r="AY192" i="9"/>
  <c r="AY193" i="9"/>
  <c r="AY194" i="9"/>
  <c r="AY195" i="9"/>
  <c r="AY196" i="9"/>
  <c r="AY197" i="9"/>
  <c r="AY198" i="9"/>
  <c r="AY200" i="9"/>
  <c r="AY201" i="9"/>
  <c r="AY202" i="9"/>
  <c r="AY203" i="9"/>
  <c r="AY204" i="9"/>
  <c r="AY205" i="9"/>
  <c r="AY206" i="9"/>
  <c r="AY207" i="9"/>
  <c r="AY208" i="9"/>
  <c r="AY209" i="9"/>
  <c r="AY210" i="9"/>
  <c r="AY212" i="9"/>
  <c r="AY214" i="9"/>
  <c r="AY215" i="9"/>
  <c r="AY216" i="9"/>
  <c r="AY217" i="9"/>
  <c r="AY218" i="9"/>
  <c r="AY219" i="9"/>
  <c r="AY220" i="9"/>
  <c r="AY221" i="9"/>
  <c r="AY222" i="9"/>
  <c r="AY224" i="9"/>
  <c r="AY226" i="9"/>
  <c r="AY227" i="9"/>
  <c r="AY228" i="9"/>
  <c r="AY229" i="9"/>
  <c r="AY230" i="9"/>
  <c r="AY231" i="9"/>
  <c r="AY232" i="9"/>
  <c r="AY233" i="9"/>
  <c r="AY234" i="9"/>
  <c r="AY236" i="9"/>
  <c r="AY237" i="9"/>
  <c r="AY238" i="9"/>
  <c r="AY239" i="9"/>
  <c r="AY240" i="9"/>
  <c r="AY241" i="9"/>
  <c r="AY242" i="9"/>
  <c r="AY243" i="9"/>
  <c r="AY244" i="9"/>
  <c r="AY245" i="9"/>
  <c r="AY246" i="9"/>
  <c r="AY248" i="9"/>
  <c r="AY249" i="9"/>
  <c r="AY250" i="9"/>
  <c r="AY251" i="9"/>
  <c r="AY252" i="9"/>
  <c r="AY253" i="9"/>
  <c r="AY254" i="9"/>
  <c r="AY255" i="9"/>
  <c r="AY256" i="9"/>
  <c r="AY257" i="9"/>
  <c r="AY258" i="9"/>
  <c r="AY260" i="9"/>
  <c r="AY261" i="9"/>
  <c r="AY263" i="9"/>
  <c r="AY14" i="9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J259" i="10"/>
  <c r="AK259" i="10"/>
  <c r="AL259" i="10"/>
  <c r="AM259" i="10"/>
  <c r="AN259" i="10"/>
  <c r="AO259" i="10"/>
  <c r="AP259" i="10"/>
  <c r="AQ259" i="10"/>
  <c r="AR259" i="10"/>
  <c r="AS259" i="10"/>
  <c r="AT259" i="10"/>
  <c r="AU259" i="10"/>
  <c r="AV259" i="10"/>
  <c r="AW259" i="10"/>
  <c r="AX259" i="10"/>
  <c r="AY259" i="10"/>
  <c r="AZ259" i="10"/>
  <c r="E259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J247" i="10"/>
  <c r="AK247" i="10"/>
  <c r="AL247" i="10"/>
  <c r="AM247" i="10"/>
  <c r="AN247" i="10"/>
  <c r="AO247" i="10"/>
  <c r="AP247" i="10"/>
  <c r="AQ247" i="10"/>
  <c r="AR247" i="10"/>
  <c r="AS247" i="10"/>
  <c r="AT247" i="10"/>
  <c r="AU247" i="10"/>
  <c r="AV247" i="10"/>
  <c r="AW247" i="10"/>
  <c r="AX247" i="10"/>
  <c r="AY247" i="10"/>
  <c r="AZ247" i="10"/>
  <c r="E247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J235" i="10"/>
  <c r="AK235" i="10"/>
  <c r="AL235" i="10"/>
  <c r="AM235" i="10"/>
  <c r="AN235" i="10"/>
  <c r="AO235" i="10"/>
  <c r="AP235" i="10"/>
  <c r="AQ235" i="10"/>
  <c r="AR235" i="10"/>
  <c r="AS235" i="10"/>
  <c r="AT235" i="10"/>
  <c r="AU235" i="10"/>
  <c r="AV235" i="10"/>
  <c r="AW235" i="10"/>
  <c r="AX235" i="10"/>
  <c r="AY235" i="10"/>
  <c r="AZ235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J223" i="10"/>
  <c r="AK223" i="10"/>
  <c r="AL223" i="10"/>
  <c r="AM223" i="10"/>
  <c r="AN223" i="10"/>
  <c r="AO223" i="10"/>
  <c r="AP223" i="10"/>
  <c r="AQ223" i="10"/>
  <c r="AR223" i="10"/>
  <c r="AS223" i="10"/>
  <c r="AT223" i="10"/>
  <c r="AU223" i="10"/>
  <c r="AV223" i="10"/>
  <c r="AW223" i="10"/>
  <c r="AX223" i="10"/>
  <c r="AY223" i="10"/>
  <c r="AZ223" i="10"/>
  <c r="E235" i="10"/>
  <c r="E223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J199" i="10"/>
  <c r="AK199" i="10"/>
  <c r="AL199" i="10"/>
  <c r="AM199" i="10"/>
  <c r="AN199" i="10"/>
  <c r="AO199" i="10"/>
  <c r="AP199" i="10"/>
  <c r="AQ199" i="10"/>
  <c r="AR199" i="10"/>
  <c r="AS199" i="10"/>
  <c r="AT199" i="10"/>
  <c r="AU199" i="10"/>
  <c r="AV199" i="10"/>
  <c r="AW199" i="10"/>
  <c r="AX199" i="10"/>
  <c r="AY199" i="10"/>
  <c r="AZ199" i="10"/>
  <c r="BA189" i="10"/>
  <c r="BA20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J211" i="10"/>
  <c r="AK211" i="10"/>
  <c r="AL211" i="10"/>
  <c r="AM211" i="10"/>
  <c r="AN211" i="10"/>
  <c r="AO211" i="10"/>
  <c r="AP211" i="10"/>
  <c r="AQ211" i="10"/>
  <c r="AR211" i="10"/>
  <c r="AS211" i="10"/>
  <c r="AT211" i="10"/>
  <c r="AU211" i="10"/>
  <c r="AV211" i="10"/>
  <c r="AW211" i="10"/>
  <c r="AX211" i="10"/>
  <c r="AY211" i="10"/>
  <c r="AZ211" i="10"/>
  <c r="E211" i="10"/>
  <c r="E199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J187" i="10"/>
  <c r="AK187" i="10"/>
  <c r="AL187" i="10"/>
  <c r="AM187" i="10"/>
  <c r="AN187" i="10"/>
  <c r="AO187" i="10"/>
  <c r="AP187" i="10"/>
  <c r="AQ187" i="10"/>
  <c r="AR187" i="10"/>
  <c r="AS187" i="10"/>
  <c r="AT187" i="10"/>
  <c r="AU187" i="10"/>
  <c r="AV187" i="10"/>
  <c r="AW187" i="10"/>
  <c r="AX187" i="10"/>
  <c r="AY187" i="10"/>
  <c r="AZ187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J175" i="10"/>
  <c r="AK175" i="10"/>
  <c r="AL175" i="10"/>
  <c r="AM175" i="10"/>
  <c r="AN175" i="10"/>
  <c r="AO175" i="10"/>
  <c r="AP175" i="10"/>
  <c r="AQ175" i="10"/>
  <c r="AR175" i="10"/>
  <c r="AS175" i="10"/>
  <c r="AT175" i="10"/>
  <c r="AU175" i="10"/>
  <c r="AV175" i="10"/>
  <c r="AW175" i="10"/>
  <c r="AX175" i="10"/>
  <c r="AY175" i="10"/>
  <c r="AZ175" i="10"/>
  <c r="E187" i="10"/>
  <c r="E175" i="10"/>
  <c r="BA154" i="10"/>
  <c r="BA155" i="10"/>
  <c r="BA156" i="10"/>
  <c r="BA157" i="10"/>
  <c r="BA158" i="10"/>
  <c r="BA159" i="10"/>
  <c r="BA160" i="10"/>
  <c r="BA153" i="10"/>
  <c r="BA14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J151" i="10"/>
  <c r="AK151" i="10"/>
  <c r="AL151" i="10"/>
  <c r="AM151" i="10"/>
  <c r="AN151" i="10"/>
  <c r="AO151" i="10"/>
  <c r="AP151" i="10"/>
  <c r="AQ151" i="10"/>
  <c r="AR151" i="10"/>
  <c r="AS151" i="10"/>
  <c r="AT151" i="10"/>
  <c r="AU151" i="10"/>
  <c r="AV151" i="10"/>
  <c r="AW151" i="10"/>
  <c r="AX151" i="10"/>
  <c r="AY151" i="10"/>
  <c r="AZ151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E262" i="10" s="1"/>
  <c r="AE264" i="10" s="1"/>
  <c r="AF163" i="10"/>
  <c r="AG163" i="10"/>
  <c r="AH163" i="10"/>
  <c r="AI163" i="10"/>
  <c r="AJ163" i="10"/>
  <c r="AK163" i="10"/>
  <c r="AL163" i="10"/>
  <c r="AM163" i="10"/>
  <c r="AN163" i="10"/>
  <c r="AO163" i="10"/>
  <c r="AP163" i="10"/>
  <c r="AQ163" i="10"/>
  <c r="AR163" i="10"/>
  <c r="AS163" i="10"/>
  <c r="AT163" i="10"/>
  <c r="AU163" i="10"/>
  <c r="AV163" i="10"/>
  <c r="AW163" i="10"/>
  <c r="AX163" i="10"/>
  <c r="AY163" i="10"/>
  <c r="AZ163" i="10"/>
  <c r="E163" i="10"/>
  <c r="E151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AW139" i="10"/>
  <c r="AX139" i="10"/>
  <c r="AY139" i="10"/>
  <c r="AZ139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AW127" i="10"/>
  <c r="AX127" i="10"/>
  <c r="AY127" i="10"/>
  <c r="AZ127" i="10"/>
  <c r="E139" i="10"/>
  <c r="E127" i="10"/>
  <c r="BA105" i="10"/>
  <c r="BA93" i="10"/>
  <c r="E103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V262" i="10" s="1"/>
  <c r="V264" i="10" s="1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AW115" i="10"/>
  <c r="AX115" i="10"/>
  <c r="AY115" i="10"/>
  <c r="AZ115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X262" i="10" s="1"/>
  <c r="X264" i="10" s="1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AW103" i="10"/>
  <c r="AX103" i="10"/>
  <c r="AY103" i="10"/>
  <c r="AZ103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AW91" i="10"/>
  <c r="AX91" i="10"/>
  <c r="AY91" i="10"/>
  <c r="AZ91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AX79" i="10"/>
  <c r="AY79" i="10"/>
  <c r="AZ79" i="10"/>
  <c r="E79" i="10"/>
  <c r="BA69" i="10"/>
  <c r="E91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AX67" i="10"/>
  <c r="AY67" i="10"/>
  <c r="AZ67" i="10"/>
  <c r="E67" i="10"/>
  <c r="E55" i="10"/>
  <c r="AC249" i="11"/>
  <c r="AC23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E259" i="11"/>
  <c r="E247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E235" i="11"/>
  <c r="E223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E211" i="11"/>
  <c r="E199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E187" i="11"/>
  <c r="E175" i="11"/>
  <c r="AC154" i="11"/>
  <c r="AC155" i="11"/>
  <c r="AC156" i="11"/>
  <c r="AC157" i="11"/>
  <c r="AC158" i="11"/>
  <c r="AC159" i="11"/>
  <c r="AC160" i="11"/>
  <c r="AC153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E163" i="11"/>
  <c r="E151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E139" i="11"/>
  <c r="E127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E115" i="11"/>
  <c r="E103" i="11"/>
  <c r="AC81" i="11"/>
  <c r="AC69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E91" i="11"/>
  <c r="E79" i="11"/>
  <c r="AC57" i="11"/>
  <c r="AC45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E67" i="11"/>
  <c r="E55" i="11"/>
  <c r="AC14" i="11"/>
  <c r="E160" i="1"/>
  <c r="S262" i="17"/>
  <c r="S264" i="17" s="1"/>
  <c r="AA262" i="17"/>
  <c r="AA264" i="17" s="1"/>
  <c r="Z262" i="17"/>
  <c r="Z264" i="17" s="1"/>
  <c r="Y262" i="17"/>
  <c r="Y264" i="17" s="1"/>
  <c r="X262" i="17"/>
  <c r="X264" i="17" s="1"/>
  <c r="W262" i="17"/>
  <c r="W264" i="17" s="1"/>
  <c r="V262" i="17"/>
  <c r="V264" i="17" s="1"/>
  <c r="U262" i="17"/>
  <c r="U264" i="17" s="1"/>
  <c r="T262" i="17"/>
  <c r="T264" i="17" s="1"/>
  <c r="R262" i="17"/>
  <c r="R264" i="17" s="1"/>
  <c r="Q262" i="17"/>
  <c r="Q264" i="17" s="1"/>
  <c r="P262" i="17"/>
  <c r="P264" i="17" s="1"/>
  <c r="O262" i="17"/>
  <c r="O264" i="17" s="1"/>
  <c r="N262" i="17"/>
  <c r="N264" i="17" s="1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N30" i="17" s="1"/>
  <c r="AA28" i="17"/>
  <c r="AA30" i="17" s="1"/>
  <c r="Z28" i="17"/>
  <c r="Y28" i="17"/>
  <c r="Y30" i="17" s="1"/>
  <c r="X28" i="17"/>
  <c r="X30" i="17" s="1"/>
  <c r="W28" i="17"/>
  <c r="V28" i="17"/>
  <c r="U28" i="17"/>
  <c r="T28" i="17"/>
  <c r="S28" i="17"/>
  <c r="S30" i="17" s="1"/>
  <c r="R28" i="17"/>
  <c r="Q28" i="17"/>
  <c r="P28" i="17"/>
  <c r="P30" i="17" s="1"/>
  <c r="O28" i="17"/>
  <c r="O30" i="17" s="1"/>
  <c r="N28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Y41" i="11"/>
  <c r="X41" i="11"/>
  <c r="W41" i="11"/>
  <c r="Y36" i="11"/>
  <c r="X36" i="11"/>
  <c r="W36" i="11"/>
  <c r="Y29" i="11"/>
  <c r="X29" i="11"/>
  <c r="W29" i="11"/>
  <c r="Y28" i="11"/>
  <c r="X28" i="11"/>
  <c r="X30" i="11" s="1"/>
  <c r="W28" i="11"/>
  <c r="W30" i="11" s="1"/>
  <c r="Y27" i="11"/>
  <c r="X27" i="11"/>
  <c r="W27" i="11"/>
  <c r="Y24" i="11"/>
  <c r="X24" i="11"/>
  <c r="W24" i="11"/>
  <c r="Y21" i="11"/>
  <c r="X21" i="11"/>
  <c r="W21" i="11"/>
  <c r="Y16" i="11"/>
  <c r="X16" i="11"/>
  <c r="W16" i="11"/>
  <c r="Y262" i="10"/>
  <c r="Y264" i="10" s="1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AG28" i="10"/>
  <c r="AG30" i="10" s="1"/>
  <c r="AF28" i="10"/>
  <c r="AF30" i="10" s="1"/>
  <c r="AE28" i="10"/>
  <c r="AE30" i="10" s="1"/>
  <c r="AD28" i="10"/>
  <c r="AC28" i="10"/>
  <c r="AB28" i="10"/>
  <c r="AA28" i="10"/>
  <c r="Z28" i="10"/>
  <c r="Y28" i="10"/>
  <c r="X28" i="10"/>
  <c r="W28" i="10"/>
  <c r="V28" i="10"/>
  <c r="U28" i="10"/>
  <c r="U30" i="10" s="1"/>
  <c r="T28" i="10"/>
  <c r="T30" i="10" s="1"/>
  <c r="S28" i="10"/>
  <c r="R28" i="10"/>
  <c r="Q28" i="10"/>
  <c r="Q30" i="10" s="1"/>
  <c r="P28" i="10"/>
  <c r="O28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W30" i="17" l="1"/>
  <c r="T30" i="17"/>
  <c r="Z30" i="17"/>
  <c r="U30" i="17"/>
  <c r="V30" i="17"/>
  <c r="Q30" i="17"/>
  <c r="R30" i="17"/>
  <c r="AY259" i="9"/>
  <c r="AY247" i="9"/>
  <c r="AY235" i="9"/>
  <c r="AY223" i="9"/>
  <c r="AY199" i="9"/>
  <c r="AY211" i="9"/>
  <c r="AY187" i="9"/>
  <c r="AY151" i="9"/>
  <c r="AY163" i="9"/>
  <c r="E159" i="1"/>
  <c r="AY139" i="9"/>
  <c r="AY127" i="9"/>
  <c r="AY115" i="9"/>
  <c r="AY103" i="9"/>
  <c r="AY55" i="9"/>
  <c r="AY67" i="9"/>
  <c r="AF262" i="10"/>
  <c r="AF264" i="10" s="1"/>
  <c r="T262" i="10"/>
  <c r="T264" i="10" s="1"/>
  <c r="W262" i="10"/>
  <c r="W264" i="10" s="1"/>
  <c r="AB262" i="10"/>
  <c r="AB264" i="10" s="1"/>
  <c r="Z262" i="10"/>
  <c r="Z264" i="10" s="1"/>
  <c r="P262" i="10"/>
  <c r="P264" i="10" s="1"/>
  <c r="S262" i="10"/>
  <c r="S264" i="10" s="1"/>
  <c r="AD262" i="10"/>
  <c r="AD264" i="10" s="1"/>
  <c r="AG262" i="10"/>
  <c r="AG264" i="10" s="1"/>
  <c r="U262" i="10"/>
  <c r="U264" i="10" s="1"/>
  <c r="AC262" i="10"/>
  <c r="AC264" i="10" s="1"/>
  <c r="R262" i="10"/>
  <c r="R264" i="10" s="1"/>
  <c r="Q262" i="10"/>
  <c r="Q264" i="10" s="1"/>
  <c r="O262" i="10"/>
  <c r="O264" i="10" s="1"/>
  <c r="AA262" i="10"/>
  <c r="AA264" i="10" s="1"/>
  <c r="Z30" i="10"/>
  <c r="AA30" i="10"/>
  <c r="AB30" i="10"/>
  <c r="AC30" i="10"/>
  <c r="AD30" i="10"/>
  <c r="Y30" i="10"/>
  <c r="V30" i="10"/>
  <c r="W30" i="10"/>
  <c r="X30" i="10"/>
  <c r="O30" i="10"/>
  <c r="P30" i="10"/>
  <c r="R30" i="10"/>
  <c r="S30" i="10"/>
  <c r="X262" i="11"/>
  <c r="X264" i="11" s="1"/>
  <c r="Y262" i="11"/>
  <c r="Y264" i="11" s="1"/>
  <c r="W262" i="11"/>
  <c r="W264" i="11" s="1"/>
  <c r="Y30" i="11"/>
  <c r="P262" i="9"/>
  <c r="P264" i="9" s="1"/>
  <c r="O262" i="9"/>
  <c r="O264" i="9" s="1"/>
  <c r="N262" i="9"/>
  <c r="N264" i="9" s="1"/>
  <c r="M262" i="9"/>
  <c r="M264" i="9" s="1"/>
  <c r="L262" i="9"/>
  <c r="L264" i="9" s="1"/>
  <c r="K262" i="9"/>
  <c r="K264" i="9" s="1"/>
  <c r="T262" i="9"/>
  <c r="T264" i="9" s="1"/>
  <c r="V262" i="9"/>
  <c r="V264" i="9" s="1"/>
  <c r="U262" i="9"/>
  <c r="U264" i="9" s="1"/>
  <c r="S262" i="9"/>
  <c r="S264" i="9" s="1"/>
  <c r="R262" i="9"/>
  <c r="R264" i="9" s="1"/>
  <c r="Q262" i="9"/>
  <c r="Q264" i="9" s="1"/>
  <c r="J262" i="9"/>
  <c r="J264" i="9" s="1"/>
  <c r="I262" i="9"/>
  <c r="I264" i="9" s="1"/>
  <c r="H262" i="9"/>
  <c r="H264" i="9" s="1"/>
  <c r="G262" i="9"/>
  <c r="G264" i="9" s="1"/>
  <c r="F262" i="9"/>
  <c r="F264" i="9" s="1"/>
  <c r="E262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V28" i="9"/>
  <c r="V30" i="9" s="1"/>
  <c r="U28" i="9"/>
  <c r="T28" i="9"/>
  <c r="S28" i="9"/>
  <c r="R28" i="9"/>
  <c r="Q28" i="9"/>
  <c r="P28" i="9"/>
  <c r="P30" i="9" s="1"/>
  <c r="O28" i="9"/>
  <c r="O30" i="9" s="1"/>
  <c r="N28" i="9"/>
  <c r="M28" i="9"/>
  <c r="M30" i="9" s="1"/>
  <c r="L28" i="9"/>
  <c r="L30" i="9" s="1"/>
  <c r="K28" i="9"/>
  <c r="K30" i="9" s="1"/>
  <c r="J28" i="9"/>
  <c r="I28" i="9"/>
  <c r="H28" i="9"/>
  <c r="G28" i="9"/>
  <c r="F28" i="9"/>
  <c r="F30" i="9" s="1"/>
  <c r="E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E264" i="9" l="1"/>
  <c r="T30" i="9"/>
  <c r="U30" i="9"/>
  <c r="R30" i="9"/>
  <c r="H30" i="9"/>
  <c r="J30" i="9"/>
  <c r="N30" i="9"/>
  <c r="E30" i="9"/>
  <c r="Q30" i="9"/>
  <c r="G30" i="9"/>
  <c r="S30" i="9"/>
  <c r="I30" i="9"/>
  <c r="AP263" i="17"/>
  <c r="AP252" i="17"/>
  <c r="AP251" i="17"/>
  <c r="AP250" i="17"/>
  <c r="AP249" i="17"/>
  <c r="AP259" i="17" s="1"/>
  <c r="AP246" i="17"/>
  <c r="AP245" i="17"/>
  <c r="AP244" i="17"/>
  <c r="AP243" i="17"/>
  <c r="AP242" i="17"/>
  <c r="AP241" i="17"/>
  <c r="AP240" i="17"/>
  <c r="AP239" i="17"/>
  <c r="AP238" i="17"/>
  <c r="AP237" i="17"/>
  <c r="AP229" i="17"/>
  <c r="AP228" i="17"/>
  <c r="AP227" i="17"/>
  <c r="AP226" i="17"/>
  <c r="AP235" i="17" s="1"/>
  <c r="AP216" i="17"/>
  <c r="AP215" i="17"/>
  <c r="AP214" i="17"/>
  <c r="AP210" i="17"/>
  <c r="AP209" i="17"/>
  <c r="AP208" i="17"/>
  <c r="AP207" i="17"/>
  <c r="AP206" i="17"/>
  <c r="AP205" i="17"/>
  <c r="AP204" i="17"/>
  <c r="AP203" i="17"/>
  <c r="AP202" i="17"/>
  <c r="AP201" i="17"/>
  <c r="AP198" i="17"/>
  <c r="AP197" i="17"/>
  <c r="AP196" i="17"/>
  <c r="AP195" i="17"/>
  <c r="AP194" i="17"/>
  <c r="AP193" i="17"/>
  <c r="AP192" i="17"/>
  <c r="AP191" i="17"/>
  <c r="AP190" i="17"/>
  <c r="AP189" i="17"/>
  <c r="AP186" i="17"/>
  <c r="AP185" i="17"/>
  <c r="AP184" i="17"/>
  <c r="AP183" i="17"/>
  <c r="AP182" i="17"/>
  <c r="AP181" i="17"/>
  <c r="AP180" i="17"/>
  <c r="AP179" i="17"/>
  <c r="AP178" i="17"/>
  <c r="AP187" i="17" s="1"/>
  <c r="AP166" i="17"/>
  <c r="AP175" i="17" s="1"/>
  <c r="AP144" i="17"/>
  <c r="AP143" i="17"/>
  <c r="AP142" i="17"/>
  <c r="AP138" i="17"/>
  <c r="AP137" i="17"/>
  <c r="AP136" i="17"/>
  <c r="AP135" i="17"/>
  <c r="AP134" i="17"/>
  <c r="AP133" i="17"/>
  <c r="AP132" i="17"/>
  <c r="AP131" i="17"/>
  <c r="AP130" i="17"/>
  <c r="AP122" i="17"/>
  <c r="AP121" i="17"/>
  <c r="AP120" i="17"/>
  <c r="AP119" i="17"/>
  <c r="AP118" i="17"/>
  <c r="AP127" i="17" s="1"/>
  <c r="AP107" i="17"/>
  <c r="AP106" i="17"/>
  <c r="AP115" i="17" s="1"/>
  <c r="AP102" i="17"/>
  <c r="AP101" i="17"/>
  <c r="AP100" i="17"/>
  <c r="AP99" i="17"/>
  <c r="AP98" i="17"/>
  <c r="AP97" i="17"/>
  <c r="AP96" i="17"/>
  <c r="AP95" i="17"/>
  <c r="AP94" i="17"/>
  <c r="H262" i="17"/>
  <c r="H264" i="17" s="1"/>
  <c r="AP90" i="17"/>
  <c r="AP89" i="17"/>
  <c r="AP88" i="17"/>
  <c r="AP87" i="17"/>
  <c r="AP86" i="17"/>
  <c r="AP85" i="17"/>
  <c r="AP84" i="17"/>
  <c r="AP83" i="17"/>
  <c r="AP82" i="17"/>
  <c r="AP81" i="17"/>
  <c r="AP91" i="17" s="1"/>
  <c r="AP78" i="17"/>
  <c r="AP77" i="17"/>
  <c r="AP76" i="17"/>
  <c r="AP75" i="17"/>
  <c r="AP74" i="17"/>
  <c r="AP73" i="17"/>
  <c r="AP72" i="17"/>
  <c r="AP71" i="17"/>
  <c r="AP70" i="17"/>
  <c r="AP69" i="17"/>
  <c r="AP66" i="17"/>
  <c r="AP65" i="17"/>
  <c r="AP64" i="17"/>
  <c r="AP63" i="17"/>
  <c r="AP62" i="17"/>
  <c r="AP61" i="17"/>
  <c r="AP60" i="17"/>
  <c r="AP59" i="17"/>
  <c r="AP58" i="17"/>
  <c r="AP54" i="17"/>
  <c r="AP53" i="17"/>
  <c r="AP52" i="17"/>
  <c r="AP51" i="17"/>
  <c r="AP50" i="17"/>
  <c r="AP49" i="17"/>
  <c r="AP48" i="17"/>
  <c r="AP47" i="17"/>
  <c r="AP46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M41" i="17"/>
  <c r="L41" i="17"/>
  <c r="K41" i="17"/>
  <c r="J41" i="17"/>
  <c r="I41" i="17"/>
  <c r="H41" i="17"/>
  <c r="G41" i="17"/>
  <c r="F41" i="17"/>
  <c r="E41" i="17"/>
  <c r="AP40" i="17"/>
  <c r="AP39" i="17"/>
  <c r="AO36" i="17"/>
  <c r="AN36" i="17"/>
  <c r="AM36" i="17"/>
  <c r="AL36" i="17"/>
  <c r="AK36" i="17"/>
  <c r="AJ36" i="17"/>
  <c r="AI36" i="17"/>
  <c r="AH36" i="17"/>
  <c r="AG36" i="17"/>
  <c r="AF36" i="17"/>
  <c r="AE36" i="17"/>
  <c r="AD36" i="17"/>
  <c r="AC36" i="17"/>
  <c r="AB36" i="17"/>
  <c r="M36" i="17"/>
  <c r="L36" i="17"/>
  <c r="K36" i="17"/>
  <c r="J36" i="17"/>
  <c r="I36" i="17"/>
  <c r="H36" i="17"/>
  <c r="G36" i="17"/>
  <c r="F36" i="17"/>
  <c r="E36" i="17"/>
  <c r="AP35" i="17"/>
  <c r="AP34" i="17"/>
  <c r="AP33" i="17"/>
  <c r="AO29" i="17"/>
  <c r="AN29" i="17"/>
  <c r="AM29" i="17"/>
  <c r="AL29" i="17"/>
  <c r="AK29" i="17"/>
  <c r="AJ29" i="17"/>
  <c r="AI29" i="17"/>
  <c r="AI30" i="17" s="1"/>
  <c r="AH29" i="17"/>
  <c r="AG29" i="17"/>
  <c r="AF29" i="17"/>
  <c r="AE29" i="17"/>
  <c r="AD29" i="17"/>
  <c r="AC29" i="17"/>
  <c r="AB29" i="17"/>
  <c r="M29" i="17"/>
  <c r="L29" i="17"/>
  <c r="K29" i="17"/>
  <c r="J29" i="17"/>
  <c r="I29" i="17"/>
  <c r="I30" i="17" s="1"/>
  <c r="H29" i="17"/>
  <c r="G29" i="17"/>
  <c r="F29" i="17"/>
  <c r="E29" i="17"/>
  <c r="AO28" i="17"/>
  <c r="AN28" i="17"/>
  <c r="AN30" i="17" s="1"/>
  <c r="AM28" i="17"/>
  <c r="AL28" i="17"/>
  <c r="AK28" i="17"/>
  <c r="AJ28" i="17"/>
  <c r="AJ30" i="17" s="1"/>
  <c r="AI28" i="17"/>
  <c r="AH28" i="17"/>
  <c r="AG28" i="17"/>
  <c r="AF28" i="17"/>
  <c r="AE28" i="17"/>
  <c r="AE30" i="17" s="1"/>
  <c r="AD28" i="17"/>
  <c r="AC28" i="17"/>
  <c r="AB28" i="17"/>
  <c r="M28" i="17"/>
  <c r="L28" i="17"/>
  <c r="K28" i="17"/>
  <c r="J28" i="17"/>
  <c r="I28" i="17"/>
  <c r="H28" i="17"/>
  <c r="G28" i="17"/>
  <c r="F28" i="17"/>
  <c r="E28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M27" i="17"/>
  <c r="L27" i="17"/>
  <c r="K27" i="17"/>
  <c r="J27" i="17"/>
  <c r="I27" i="17"/>
  <c r="H27" i="17"/>
  <c r="G27" i="17"/>
  <c r="F27" i="17"/>
  <c r="E27" i="17"/>
  <c r="AP26" i="17"/>
  <c r="AP25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M24" i="17"/>
  <c r="L24" i="17"/>
  <c r="K24" i="17"/>
  <c r="J24" i="17"/>
  <c r="I24" i="17"/>
  <c r="H24" i="17"/>
  <c r="G24" i="17"/>
  <c r="F24" i="17"/>
  <c r="E24" i="17"/>
  <c r="AP23" i="17"/>
  <c r="AP22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M21" i="17"/>
  <c r="L21" i="17"/>
  <c r="K21" i="17"/>
  <c r="J21" i="17"/>
  <c r="I21" i="17"/>
  <c r="H21" i="17"/>
  <c r="G21" i="17"/>
  <c r="F21" i="17"/>
  <c r="E21" i="17"/>
  <c r="AP20" i="17"/>
  <c r="AP19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M16" i="17"/>
  <c r="L16" i="17"/>
  <c r="K16" i="17"/>
  <c r="J16" i="17"/>
  <c r="I16" i="17"/>
  <c r="H16" i="17"/>
  <c r="G16" i="17"/>
  <c r="F16" i="17"/>
  <c r="E16" i="17"/>
  <c r="AP15" i="17"/>
  <c r="AP14" i="17"/>
  <c r="X263" i="16"/>
  <c r="X252" i="16"/>
  <c r="X251" i="16"/>
  <c r="X250" i="16"/>
  <c r="X249" i="16"/>
  <c r="X246" i="16"/>
  <c r="X245" i="16"/>
  <c r="X244" i="16"/>
  <c r="X243" i="16"/>
  <c r="X242" i="16"/>
  <c r="X241" i="16"/>
  <c r="X240" i="16"/>
  <c r="X239" i="16"/>
  <c r="X238" i="16"/>
  <c r="X237" i="16"/>
  <c r="X229" i="16"/>
  <c r="X228" i="16"/>
  <c r="X227" i="16"/>
  <c r="X226" i="16"/>
  <c r="X216" i="16"/>
  <c r="X215" i="16"/>
  <c r="X214" i="16"/>
  <c r="X223" i="16" s="1"/>
  <c r="X210" i="16"/>
  <c r="X209" i="16"/>
  <c r="X208" i="16"/>
  <c r="X207" i="16"/>
  <c r="X206" i="16"/>
  <c r="X205" i="16"/>
  <c r="X204" i="16"/>
  <c r="X203" i="16"/>
  <c r="X202" i="16"/>
  <c r="X201" i="16"/>
  <c r="X198" i="16"/>
  <c r="X197" i="16"/>
  <c r="X196" i="16"/>
  <c r="X195" i="16"/>
  <c r="X194" i="16"/>
  <c r="X193" i="16"/>
  <c r="X192" i="16"/>
  <c r="X191" i="16"/>
  <c r="X190" i="16"/>
  <c r="X189" i="16"/>
  <c r="X186" i="16"/>
  <c r="X185" i="16"/>
  <c r="X184" i="16"/>
  <c r="X183" i="16"/>
  <c r="X182" i="16"/>
  <c r="X181" i="16"/>
  <c r="X180" i="16"/>
  <c r="X179" i="16"/>
  <c r="X178" i="16"/>
  <c r="X166" i="16"/>
  <c r="X175" i="16" s="1"/>
  <c r="X144" i="16"/>
  <c r="X143" i="16"/>
  <c r="X142" i="16"/>
  <c r="X151" i="16" s="1"/>
  <c r="X138" i="16"/>
  <c r="X137" i="16"/>
  <c r="X136" i="16"/>
  <c r="X135" i="16"/>
  <c r="X134" i="16"/>
  <c r="X133" i="16"/>
  <c r="X132" i="16"/>
  <c r="X131" i="16"/>
  <c r="X130" i="16"/>
  <c r="X129" i="16"/>
  <c r="X122" i="16"/>
  <c r="X121" i="16"/>
  <c r="X120" i="16"/>
  <c r="X119" i="16"/>
  <c r="X118" i="16"/>
  <c r="X117" i="16"/>
  <c r="X107" i="16"/>
  <c r="X106" i="16"/>
  <c r="X115" i="16" s="1"/>
  <c r="X102" i="16"/>
  <c r="X101" i="16"/>
  <c r="X100" i="16"/>
  <c r="X99" i="16"/>
  <c r="X98" i="16"/>
  <c r="X97" i="16"/>
  <c r="X96" i="16"/>
  <c r="X95" i="16"/>
  <c r="X94" i="16"/>
  <c r="X90" i="16"/>
  <c r="X89" i="16"/>
  <c r="X88" i="16"/>
  <c r="X87" i="16"/>
  <c r="X86" i="16"/>
  <c r="X85" i="16"/>
  <c r="X84" i="16"/>
  <c r="X83" i="16"/>
  <c r="X82" i="16"/>
  <c r="X78" i="16"/>
  <c r="X77" i="16"/>
  <c r="X76" i="16"/>
  <c r="X75" i="16"/>
  <c r="X74" i="16"/>
  <c r="X73" i="16"/>
  <c r="X72" i="16"/>
  <c r="X71" i="16"/>
  <c r="X70" i="16"/>
  <c r="X66" i="16"/>
  <c r="X65" i="16"/>
  <c r="X64" i="16"/>
  <c r="X63" i="16"/>
  <c r="X62" i="16"/>
  <c r="X61" i="16"/>
  <c r="X60" i="16"/>
  <c r="X59" i="16"/>
  <c r="X58" i="16"/>
  <c r="X57" i="16"/>
  <c r="R262" i="16"/>
  <c r="R264" i="16" s="1"/>
  <c r="M262" i="16"/>
  <c r="M264" i="16" s="1"/>
  <c r="X54" i="16"/>
  <c r="X53" i="16"/>
  <c r="X52" i="16"/>
  <c r="X51" i="16"/>
  <c r="X50" i="16"/>
  <c r="X49" i="16"/>
  <c r="X48" i="16"/>
  <c r="X47" i="16"/>
  <c r="X46" i="16"/>
  <c r="X45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X40" i="16"/>
  <c r="X39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X35" i="16"/>
  <c r="X34" i="16"/>
  <c r="X33" i="16"/>
  <c r="V30" i="16"/>
  <c r="U30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F30" i="16" s="1"/>
  <c r="E29" i="16"/>
  <c r="W28" i="16"/>
  <c r="W30" i="16" s="1"/>
  <c r="V28" i="16"/>
  <c r="U28" i="16"/>
  <c r="T28" i="16"/>
  <c r="T30" i="16" s="1"/>
  <c r="S28" i="16"/>
  <c r="S30" i="16" s="1"/>
  <c r="R28" i="16"/>
  <c r="Q28" i="16"/>
  <c r="Q30" i="16" s="1"/>
  <c r="P28" i="16"/>
  <c r="O28" i="16"/>
  <c r="O30" i="16" s="1"/>
  <c r="N28" i="16"/>
  <c r="M28" i="16"/>
  <c r="L28" i="16"/>
  <c r="K28" i="16"/>
  <c r="K30" i="16" s="1"/>
  <c r="J28" i="16"/>
  <c r="I28" i="16"/>
  <c r="H28" i="16"/>
  <c r="G28" i="16"/>
  <c r="F28" i="16"/>
  <c r="E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X26" i="16"/>
  <c r="X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X23" i="16"/>
  <c r="X22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X20" i="16"/>
  <c r="X19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X15" i="16"/>
  <c r="X14" i="16"/>
  <c r="AB263" i="15"/>
  <c r="AB252" i="15"/>
  <c r="AB251" i="15"/>
  <c r="AB250" i="15"/>
  <c r="AB259" i="15" s="1"/>
  <c r="AB246" i="15"/>
  <c r="AB245" i="15"/>
  <c r="AB244" i="15"/>
  <c r="AB243" i="15"/>
  <c r="AB242" i="15"/>
  <c r="AB241" i="15"/>
  <c r="AB240" i="15"/>
  <c r="AB239" i="15"/>
  <c r="AB238" i="15"/>
  <c r="AB229" i="15"/>
  <c r="AB228" i="15"/>
  <c r="AB227" i="15"/>
  <c r="AB226" i="15"/>
  <c r="AB225" i="15"/>
  <c r="AB235" i="15" s="1"/>
  <c r="AB216" i="15"/>
  <c r="AB215" i="15"/>
  <c r="AB214" i="15"/>
  <c r="AB213" i="15"/>
  <c r="AB210" i="15"/>
  <c r="AB209" i="15"/>
  <c r="AB208" i="15"/>
  <c r="AB207" i="15"/>
  <c r="AB206" i="15"/>
  <c r="AB205" i="15"/>
  <c r="AB204" i="15"/>
  <c r="AB203" i="15"/>
  <c r="AB202" i="15"/>
  <c r="AB198" i="15"/>
  <c r="AB197" i="15"/>
  <c r="AB196" i="15"/>
  <c r="AB195" i="15"/>
  <c r="AB194" i="15"/>
  <c r="AB193" i="15"/>
  <c r="AB192" i="15"/>
  <c r="AB191" i="15"/>
  <c r="AB190" i="15"/>
  <c r="AB186" i="15"/>
  <c r="AB185" i="15"/>
  <c r="AB184" i="15"/>
  <c r="AB183" i="15"/>
  <c r="AB182" i="15"/>
  <c r="AB181" i="15"/>
  <c r="AB180" i="15"/>
  <c r="AB179" i="15"/>
  <c r="AB178" i="15"/>
  <c r="AB177" i="15"/>
  <c r="AB166" i="15"/>
  <c r="AB165" i="15"/>
  <c r="AB175" i="15" s="1"/>
  <c r="AB144" i="15"/>
  <c r="AB143" i="15"/>
  <c r="AB142" i="15"/>
  <c r="AB138" i="15"/>
  <c r="AB137" i="15"/>
  <c r="AB136" i="15"/>
  <c r="AB135" i="15"/>
  <c r="AB134" i="15"/>
  <c r="AB133" i="15"/>
  <c r="AB132" i="15"/>
  <c r="AB131" i="15"/>
  <c r="AB130" i="15"/>
  <c r="AB122" i="15"/>
  <c r="AB121" i="15"/>
  <c r="AB120" i="15"/>
  <c r="AB119" i="15"/>
  <c r="AB118" i="15"/>
  <c r="AB127" i="15" s="1"/>
  <c r="AB107" i="15"/>
  <c r="AB106" i="15"/>
  <c r="AB115" i="15" s="1"/>
  <c r="AB102" i="15"/>
  <c r="AB101" i="15"/>
  <c r="AB100" i="15"/>
  <c r="AB99" i="15"/>
  <c r="AB98" i="15"/>
  <c r="AB97" i="15"/>
  <c r="AB96" i="15"/>
  <c r="AB95" i="15"/>
  <c r="AB94" i="15"/>
  <c r="AB90" i="15"/>
  <c r="AB89" i="15"/>
  <c r="AB88" i="15"/>
  <c r="AB87" i="15"/>
  <c r="AB86" i="15"/>
  <c r="AB85" i="15"/>
  <c r="AB84" i="15"/>
  <c r="AB83" i="15"/>
  <c r="AB82" i="15"/>
  <c r="AB78" i="15"/>
  <c r="AB77" i="15"/>
  <c r="AB76" i="15"/>
  <c r="AB75" i="15"/>
  <c r="AB74" i="15"/>
  <c r="AB73" i="15"/>
  <c r="AB72" i="15"/>
  <c r="AB71" i="15"/>
  <c r="AB70" i="15"/>
  <c r="AB79" i="15" s="1"/>
  <c r="AB66" i="15"/>
  <c r="AB65" i="15"/>
  <c r="AB64" i="15"/>
  <c r="AB63" i="15"/>
  <c r="AB62" i="15"/>
  <c r="AB61" i="15"/>
  <c r="AB60" i="15"/>
  <c r="AB59" i="15"/>
  <c r="AB58" i="15"/>
  <c r="AB57" i="15"/>
  <c r="AB54" i="15"/>
  <c r="AB53" i="15"/>
  <c r="AB52" i="15"/>
  <c r="AB51" i="15"/>
  <c r="AB50" i="15"/>
  <c r="AB49" i="15"/>
  <c r="AB48" i="15"/>
  <c r="AB47" i="15"/>
  <c r="AB46" i="15"/>
  <c r="AB45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AB40" i="15"/>
  <c r="AB39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AB35" i="15"/>
  <c r="AB34" i="15"/>
  <c r="AB33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AA28" i="15"/>
  <c r="Z28" i="15"/>
  <c r="Y28" i="15"/>
  <c r="X28" i="15"/>
  <c r="W28" i="15"/>
  <c r="V28" i="15"/>
  <c r="V30" i="15" s="1"/>
  <c r="U28" i="15"/>
  <c r="T28" i="15"/>
  <c r="S28" i="15"/>
  <c r="R28" i="15"/>
  <c r="Q28" i="15"/>
  <c r="P28" i="15"/>
  <c r="P30" i="15" s="1"/>
  <c r="O28" i="15"/>
  <c r="N28" i="15"/>
  <c r="M28" i="15"/>
  <c r="L28" i="15"/>
  <c r="K28" i="15"/>
  <c r="J28" i="15"/>
  <c r="J30" i="15" s="1"/>
  <c r="I28" i="15"/>
  <c r="I30" i="15" s="1"/>
  <c r="H28" i="15"/>
  <c r="H30" i="15" s="1"/>
  <c r="G28" i="15"/>
  <c r="F28" i="15"/>
  <c r="E28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AB26" i="15"/>
  <c r="AB25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AB23" i="15"/>
  <c r="AB22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AB20" i="15"/>
  <c r="AB19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AB15" i="15"/>
  <c r="AC245" i="11"/>
  <c r="AC246" i="11"/>
  <c r="AC208" i="11"/>
  <c r="AC209" i="11"/>
  <c r="AC210" i="11"/>
  <c r="E210" i="1" s="1"/>
  <c r="AC196" i="11"/>
  <c r="AC197" i="11"/>
  <c r="AC198" i="11"/>
  <c r="AC185" i="11"/>
  <c r="AC186" i="11"/>
  <c r="AC137" i="11"/>
  <c r="AC138" i="11"/>
  <c r="AC121" i="11"/>
  <c r="AC122" i="11"/>
  <c r="AC101" i="11"/>
  <c r="AC102" i="11"/>
  <c r="AC89" i="11"/>
  <c r="AC90" i="11"/>
  <c r="AC77" i="11"/>
  <c r="AC78" i="11"/>
  <c r="AC64" i="11"/>
  <c r="AC65" i="11"/>
  <c r="AC66" i="11"/>
  <c r="AC53" i="11"/>
  <c r="AC54" i="11"/>
  <c r="BA245" i="10"/>
  <c r="BA246" i="10"/>
  <c r="BA210" i="10"/>
  <c r="BA209" i="10"/>
  <c r="BA197" i="10"/>
  <c r="BA198" i="10"/>
  <c r="BA186" i="10"/>
  <c r="BA185" i="10"/>
  <c r="BA138" i="10"/>
  <c r="BA137" i="10"/>
  <c r="BA121" i="10"/>
  <c r="BA122" i="10"/>
  <c r="BA102" i="10"/>
  <c r="BA101" i="10"/>
  <c r="BA90" i="10"/>
  <c r="BA89" i="10"/>
  <c r="BA78" i="10"/>
  <c r="BA77" i="10"/>
  <c r="BA66" i="10"/>
  <c r="BA65" i="10"/>
  <c r="BA54" i="10"/>
  <c r="BA53" i="10"/>
  <c r="AB247" i="15" l="1"/>
  <c r="AB223" i="15"/>
  <c r="AB211" i="15"/>
  <c r="AB199" i="15"/>
  <c r="AB187" i="15"/>
  <c r="AB151" i="15"/>
  <c r="AB139" i="15"/>
  <c r="AB103" i="15"/>
  <c r="E90" i="1"/>
  <c r="AB91" i="15"/>
  <c r="AB67" i="15"/>
  <c r="AB55" i="15"/>
  <c r="O30" i="15"/>
  <c r="E30" i="15"/>
  <c r="R30" i="15"/>
  <c r="X259" i="16"/>
  <c r="X247" i="16"/>
  <c r="X235" i="16"/>
  <c r="X211" i="16"/>
  <c r="X199" i="16"/>
  <c r="E186" i="1"/>
  <c r="X187" i="16"/>
  <c r="X139" i="16"/>
  <c r="X127" i="16"/>
  <c r="X103" i="16"/>
  <c r="E102" i="1"/>
  <c r="E89" i="1"/>
  <c r="X91" i="16"/>
  <c r="X79" i="16"/>
  <c r="E53" i="1"/>
  <c r="E65" i="1"/>
  <c r="X67" i="16"/>
  <c r="E66" i="1"/>
  <c r="X55" i="16"/>
  <c r="M30" i="16"/>
  <c r="N30" i="16"/>
  <c r="AP247" i="17"/>
  <c r="AP223" i="17"/>
  <c r="AP211" i="17"/>
  <c r="AP199" i="17"/>
  <c r="AP151" i="17"/>
  <c r="E138" i="1"/>
  <c r="E137" i="1"/>
  <c r="AP139" i="17"/>
  <c r="AP103" i="17"/>
  <c r="AP79" i="17"/>
  <c r="AP67" i="17"/>
  <c r="AP55" i="17"/>
  <c r="AF30" i="17"/>
  <c r="AH30" i="17"/>
  <c r="AC30" i="17"/>
  <c r="F30" i="17"/>
  <c r="E246" i="1"/>
  <c r="E245" i="1"/>
  <c r="E209" i="1"/>
  <c r="E198" i="1"/>
  <c r="E197" i="1"/>
  <c r="E185" i="1"/>
  <c r="E121" i="1"/>
  <c r="E122" i="1"/>
  <c r="E101" i="1"/>
  <c r="E78" i="1"/>
  <c r="E77" i="1"/>
  <c r="E54" i="1"/>
  <c r="G30" i="17"/>
  <c r="AF262" i="17"/>
  <c r="AF264" i="17" s="1"/>
  <c r="AJ262" i="17"/>
  <c r="AJ264" i="17" s="1"/>
  <c r="M30" i="17"/>
  <c r="AM30" i="17"/>
  <c r="L30" i="17"/>
  <c r="AK30" i="17"/>
  <c r="AL30" i="17"/>
  <c r="AD30" i="17"/>
  <c r="L30" i="16"/>
  <c r="E30" i="16"/>
  <c r="N262" i="16"/>
  <c r="N264" i="16" s="1"/>
  <c r="X24" i="16"/>
  <c r="X36" i="16"/>
  <c r="O262" i="16"/>
  <c r="O264" i="16" s="1"/>
  <c r="I262" i="16"/>
  <c r="I264" i="16" s="1"/>
  <c r="G30" i="16"/>
  <c r="P262" i="16"/>
  <c r="P264" i="16" s="1"/>
  <c r="E262" i="16"/>
  <c r="H30" i="16"/>
  <c r="Q262" i="16"/>
  <c r="Q264" i="16" s="1"/>
  <c r="F262" i="16"/>
  <c r="F264" i="16" s="1"/>
  <c r="X21" i="16"/>
  <c r="P30" i="16"/>
  <c r="I30" i="16"/>
  <c r="G262" i="16"/>
  <c r="G264" i="16" s="1"/>
  <c r="X28" i="16"/>
  <c r="J30" i="16"/>
  <c r="H262" i="16"/>
  <c r="H264" i="16" s="1"/>
  <c r="X163" i="16"/>
  <c r="R30" i="16"/>
  <c r="S262" i="16"/>
  <c r="S264" i="16" s="1"/>
  <c r="X16" i="16"/>
  <c r="V262" i="16"/>
  <c r="V264" i="16" s="1"/>
  <c r="T262" i="16"/>
  <c r="T264" i="16" s="1"/>
  <c r="J262" i="16"/>
  <c r="J264" i="16" s="1"/>
  <c r="W262" i="16"/>
  <c r="W264" i="16" s="1"/>
  <c r="U262" i="16"/>
  <c r="U264" i="16" s="1"/>
  <c r="K262" i="16"/>
  <c r="K264" i="16" s="1"/>
  <c r="X27" i="16"/>
  <c r="X41" i="16"/>
  <c r="L262" i="16"/>
  <c r="L264" i="16" s="1"/>
  <c r="G30" i="15"/>
  <c r="S30" i="15"/>
  <c r="T30" i="15"/>
  <c r="U30" i="15"/>
  <c r="K30" i="15"/>
  <c r="W30" i="15"/>
  <c r="N30" i="15"/>
  <c r="Z30" i="15"/>
  <c r="Z262" i="15"/>
  <c r="Z264" i="15" s="1"/>
  <c r="AA30" i="15"/>
  <c r="Q30" i="15"/>
  <c r="F30" i="15"/>
  <c r="AP24" i="17"/>
  <c r="AH262" i="17"/>
  <c r="AH264" i="17" s="1"/>
  <c r="AL262" i="17"/>
  <c r="AL264" i="17" s="1"/>
  <c r="AN262" i="17"/>
  <c r="AN264" i="17" s="1"/>
  <c r="AG262" i="17"/>
  <c r="AG264" i="17" s="1"/>
  <c r="I262" i="17"/>
  <c r="I264" i="17" s="1"/>
  <c r="AI262" i="17"/>
  <c r="AI264" i="17" s="1"/>
  <c r="AK262" i="17"/>
  <c r="AK264" i="17" s="1"/>
  <c r="AO30" i="17"/>
  <c r="AM262" i="17"/>
  <c r="AM264" i="17" s="1"/>
  <c r="E262" i="17"/>
  <c r="E264" i="17" s="1"/>
  <c r="AO262" i="17"/>
  <c r="AO264" i="17" s="1"/>
  <c r="H30" i="17"/>
  <c r="F262" i="17"/>
  <c r="F264" i="17" s="1"/>
  <c r="AP28" i="17"/>
  <c r="AP163" i="17"/>
  <c r="AP27" i="17"/>
  <c r="E30" i="17"/>
  <c r="K30" i="17"/>
  <c r="J30" i="17"/>
  <c r="J262" i="17"/>
  <c r="J264" i="17" s="1"/>
  <c r="AB30" i="17"/>
  <c r="K262" i="17"/>
  <c r="K264" i="17" s="1"/>
  <c r="L262" i="17"/>
  <c r="L264" i="17" s="1"/>
  <c r="AP36" i="17"/>
  <c r="M262" i="17"/>
  <c r="M264" i="17" s="1"/>
  <c r="AB262" i="17"/>
  <c r="AB264" i="17" s="1"/>
  <c r="AC262" i="17"/>
  <c r="AC264" i="17" s="1"/>
  <c r="AG30" i="17"/>
  <c r="AP41" i="17"/>
  <c r="AD262" i="17"/>
  <c r="AD264" i="17" s="1"/>
  <c r="AP21" i="17"/>
  <c r="AE262" i="17"/>
  <c r="AE264" i="17" s="1"/>
  <c r="AP16" i="17"/>
  <c r="G262" i="17"/>
  <c r="G264" i="17" s="1"/>
  <c r="AP29" i="17"/>
  <c r="X29" i="16"/>
  <c r="F262" i="15"/>
  <c r="F264" i="15" s="1"/>
  <c r="G262" i="15"/>
  <c r="G264" i="15" s="1"/>
  <c r="L30" i="15"/>
  <c r="P262" i="15"/>
  <c r="P264" i="15" s="1"/>
  <c r="H262" i="15"/>
  <c r="H264" i="15" s="1"/>
  <c r="I262" i="15"/>
  <c r="I264" i="15" s="1"/>
  <c r="AB36" i="15"/>
  <c r="Q262" i="15"/>
  <c r="Q264" i="15" s="1"/>
  <c r="R262" i="15"/>
  <c r="R264" i="15" s="1"/>
  <c r="AB163" i="15"/>
  <c r="L262" i="15"/>
  <c r="L264" i="15" s="1"/>
  <c r="K262" i="15"/>
  <c r="K264" i="15" s="1"/>
  <c r="M30" i="15"/>
  <c r="AB21" i="15"/>
  <c r="M262" i="15"/>
  <c r="M264" i="15" s="1"/>
  <c r="AB41" i="15"/>
  <c r="N262" i="15"/>
  <c r="N264" i="15" s="1"/>
  <c r="AB24" i="15"/>
  <c r="AB29" i="15"/>
  <c r="O262" i="15"/>
  <c r="O264" i="15" s="1"/>
  <c r="W262" i="15"/>
  <c r="W264" i="15" s="1"/>
  <c r="V262" i="15"/>
  <c r="V264" i="15" s="1"/>
  <c r="J262" i="15"/>
  <c r="J264" i="15" s="1"/>
  <c r="AA262" i="15"/>
  <c r="AA264" i="15" s="1"/>
  <c r="S262" i="15"/>
  <c r="S264" i="15" s="1"/>
  <c r="AB16" i="15"/>
  <c r="T262" i="15"/>
  <c r="T264" i="15" s="1"/>
  <c r="X30" i="15"/>
  <c r="U262" i="15"/>
  <c r="U264" i="15" s="1"/>
  <c r="X262" i="15"/>
  <c r="X264" i="15" s="1"/>
  <c r="AB27" i="15"/>
  <c r="Y30" i="15"/>
  <c r="Y262" i="15"/>
  <c r="Y264" i="15" s="1"/>
  <c r="E262" i="15"/>
  <c r="AB28" i="15"/>
  <c r="X262" i="16" l="1"/>
  <c r="AP264" i="17"/>
  <c r="AP30" i="17"/>
  <c r="X30" i="16"/>
  <c r="E264" i="16"/>
  <c r="X264" i="16" s="1"/>
  <c r="AB30" i="15"/>
  <c r="AP262" i="17"/>
  <c r="AB262" i="15"/>
  <c r="E264" i="15"/>
  <c r="AB264" i="15" s="1"/>
  <c r="AC263" i="11" l="1"/>
  <c r="AC252" i="11"/>
  <c r="AC251" i="11"/>
  <c r="AC250" i="11"/>
  <c r="AC244" i="11"/>
  <c r="AC243" i="11"/>
  <c r="AC242" i="11"/>
  <c r="AC241" i="11"/>
  <c r="E241" i="1" s="1"/>
  <c r="AC240" i="11"/>
  <c r="E240" i="1" s="1"/>
  <c r="AC239" i="11"/>
  <c r="E239" i="1" s="1"/>
  <c r="AC238" i="11"/>
  <c r="AC229" i="11"/>
  <c r="E229" i="1" s="1"/>
  <c r="AC228" i="11"/>
  <c r="AC227" i="11"/>
  <c r="AC226" i="11"/>
  <c r="AC225" i="11"/>
  <c r="AC216" i="11"/>
  <c r="AC215" i="11"/>
  <c r="AC214" i="11"/>
  <c r="AC213" i="11"/>
  <c r="AC207" i="11"/>
  <c r="AC206" i="11"/>
  <c r="E206" i="1" s="1"/>
  <c r="AC205" i="11"/>
  <c r="E205" i="1" s="1"/>
  <c r="AC204" i="11"/>
  <c r="E204" i="1" s="1"/>
  <c r="AC203" i="11"/>
  <c r="AC202" i="11"/>
  <c r="AC201" i="11"/>
  <c r="AC195" i="11"/>
  <c r="AC194" i="11"/>
  <c r="AC193" i="11"/>
  <c r="AC192" i="11"/>
  <c r="AC191" i="11"/>
  <c r="AC190" i="11"/>
  <c r="AC189" i="11"/>
  <c r="AC184" i="11"/>
  <c r="E184" i="1" s="1"/>
  <c r="AC183" i="11"/>
  <c r="E183" i="1" s="1"/>
  <c r="AC182" i="11"/>
  <c r="AC181" i="11"/>
  <c r="AC180" i="11"/>
  <c r="AC179" i="11"/>
  <c r="AC178" i="11"/>
  <c r="AC177" i="11"/>
  <c r="AC166" i="11"/>
  <c r="AC165" i="11"/>
  <c r="E154" i="1"/>
  <c r="E153" i="1"/>
  <c r="AC144" i="11"/>
  <c r="AC143" i="11"/>
  <c r="AC142" i="11"/>
  <c r="AC141" i="11"/>
  <c r="AC136" i="11"/>
  <c r="AC135" i="11"/>
  <c r="AC134" i="11"/>
  <c r="AC133" i="11"/>
  <c r="AC132" i="11"/>
  <c r="AC131" i="11"/>
  <c r="AC130" i="11"/>
  <c r="AC129" i="11"/>
  <c r="AC120" i="11"/>
  <c r="AC119" i="11"/>
  <c r="AC118" i="11"/>
  <c r="AC117" i="11"/>
  <c r="AC107" i="11"/>
  <c r="E107" i="1" s="1"/>
  <c r="AC106" i="11"/>
  <c r="AC105" i="11"/>
  <c r="AC100" i="11"/>
  <c r="AC99" i="11"/>
  <c r="AC98" i="11"/>
  <c r="AC97" i="11"/>
  <c r="AC96" i="11"/>
  <c r="AC95" i="11"/>
  <c r="AC94" i="11"/>
  <c r="AC93" i="11"/>
  <c r="AC88" i="11"/>
  <c r="AC87" i="11"/>
  <c r="AC86" i="11"/>
  <c r="AC85" i="11"/>
  <c r="AC84" i="11"/>
  <c r="AC83" i="11"/>
  <c r="AC82" i="11"/>
  <c r="AC76" i="11"/>
  <c r="AC75" i="11"/>
  <c r="AC74" i="11"/>
  <c r="AC73" i="11"/>
  <c r="AC72" i="11"/>
  <c r="AC71" i="11"/>
  <c r="AC70" i="11"/>
  <c r="AC63" i="11"/>
  <c r="AC62" i="11"/>
  <c r="AC61" i="11"/>
  <c r="AC60" i="11"/>
  <c r="AC59" i="11"/>
  <c r="AC58" i="11"/>
  <c r="AC52" i="11"/>
  <c r="AC51" i="11"/>
  <c r="AC50" i="11"/>
  <c r="AC49" i="11"/>
  <c r="AC48" i="11"/>
  <c r="AC47" i="11"/>
  <c r="AC46" i="11"/>
  <c r="AB41" i="11"/>
  <c r="AA41" i="11"/>
  <c r="Z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AC40" i="11"/>
  <c r="AC39" i="11"/>
  <c r="AB36" i="11"/>
  <c r="AA36" i="11"/>
  <c r="Z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AC35" i="11"/>
  <c r="AC34" i="11"/>
  <c r="AC33" i="11"/>
  <c r="AB29" i="11"/>
  <c r="AA29" i="11"/>
  <c r="Z29" i="11"/>
  <c r="V29" i="11"/>
  <c r="U29" i="11"/>
  <c r="T29" i="11"/>
  <c r="S29" i="11"/>
  <c r="R29" i="11"/>
  <c r="Q29" i="11"/>
  <c r="P29" i="11"/>
  <c r="O29" i="11"/>
  <c r="O30" i="11" s="1"/>
  <c r="N29" i="11"/>
  <c r="M29" i="11"/>
  <c r="L29" i="11"/>
  <c r="K29" i="11"/>
  <c r="J29" i="11"/>
  <c r="I29" i="11"/>
  <c r="H29" i="11"/>
  <c r="G29" i="11"/>
  <c r="F29" i="11"/>
  <c r="E29" i="11"/>
  <c r="AB28" i="11"/>
  <c r="AA28" i="11"/>
  <c r="Z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G30" i="11" s="1"/>
  <c r="F28" i="11"/>
  <c r="E28" i="11"/>
  <c r="E30" i="11" s="1"/>
  <c r="AB27" i="11"/>
  <c r="AA27" i="11"/>
  <c r="Z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AC26" i="11"/>
  <c r="AC25" i="11"/>
  <c r="AB24" i="11"/>
  <c r="AA24" i="11"/>
  <c r="Z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AC23" i="11"/>
  <c r="E23" i="1" s="1"/>
  <c r="AC22" i="11"/>
  <c r="AB21" i="11"/>
  <c r="AA21" i="11"/>
  <c r="Z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AC20" i="11"/>
  <c r="AC19" i="11"/>
  <c r="AB16" i="11"/>
  <c r="AA16" i="11"/>
  <c r="Z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AC15" i="11"/>
  <c r="BA263" i="10"/>
  <c r="BA252" i="10"/>
  <c r="BA251" i="10"/>
  <c r="BA250" i="10"/>
  <c r="BA249" i="10"/>
  <c r="BA244" i="10"/>
  <c r="BA243" i="10"/>
  <c r="BA242" i="10"/>
  <c r="BA241" i="10"/>
  <c r="BA240" i="10"/>
  <c r="BA239" i="10"/>
  <c r="BA238" i="10"/>
  <c r="BA237" i="10"/>
  <c r="BA229" i="10"/>
  <c r="BA228" i="10"/>
  <c r="BA227" i="10"/>
  <c r="BA226" i="10"/>
  <c r="BA225" i="10"/>
  <c r="BA216" i="10"/>
  <c r="BA215" i="10"/>
  <c r="BA214" i="10"/>
  <c r="BA213" i="10"/>
  <c r="BA208" i="10"/>
  <c r="E208" i="1" s="1"/>
  <c r="BA207" i="10"/>
  <c r="BA206" i="10"/>
  <c r="BA205" i="10"/>
  <c r="BA204" i="10"/>
  <c r="BA203" i="10"/>
  <c r="BA202" i="10"/>
  <c r="BA196" i="10"/>
  <c r="E196" i="1" s="1"/>
  <c r="BA195" i="10"/>
  <c r="BA194" i="10"/>
  <c r="BA193" i="10"/>
  <c r="BA192" i="10"/>
  <c r="BA191" i="10"/>
  <c r="BA190" i="10"/>
  <c r="BA199" i="10" s="1"/>
  <c r="BA184" i="10"/>
  <c r="BA183" i="10"/>
  <c r="BA182" i="10"/>
  <c r="BA181" i="10"/>
  <c r="BA180" i="10"/>
  <c r="BA179" i="10"/>
  <c r="BA178" i="10"/>
  <c r="BA177" i="10"/>
  <c r="BA166" i="10"/>
  <c r="BA165" i="10"/>
  <c r="BA175" i="10" s="1"/>
  <c r="E156" i="1"/>
  <c r="E155" i="1"/>
  <c r="BA144" i="10"/>
  <c r="BA143" i="10"/>
  <c r="BA142" i="10"/>
  <c r="BA136" i="10"/>
  <c r="BA135" i="10"/>
  <c r="BA134" i="10"/>
  <c r="BA133" i="10"/>
  <c r="BA132" i="10"/>
  <c r="BA131" i="10"/>
  <c r="BA130" i="10"/>
  <c r="BA129" i="10"/>
  <c r="BA120" i="10"/>
  <c r="BA119" i="10"/>
  <c r="BA118" i="10"/>
  <c r="BA117" i="10"/>
  <c r="BA107" i="10"/>
  <c r="BA106" i="10"/>
  <c r="BA115" i="10" s="1"/>
  <c r="BA100" i="10"/>
  <c r="BA99" i="10"/>
  <c r="BA98" i="10"/>
  <c r="BA97" i="10"/>
  <c r="BA96" i="10"/>
  <c r="BA95" i="10"/>
  <c r="BA94" i="10"/>
  <c r="BA88" i="10"/>
  <c r="BA87" i="10"/>
  <c r="BA86" i="10"/>
  <c r="BA85" i="10"/>
  <c r="BA84" i="10"/>
  <c r="BA83" i="10"/>
  <c r="BA82" i="10"/>
  <c r="BA81" i="10"/>
  <c r="BA76" i="10"/>
  <c r="BA75" i="10"/>
  <c r="BA74" i="10"/>
  <c r="BA73" i="10"/>
  <c r="BA72" i="10"/>
  <c r="BA71" i="10"/>
  <c r="BA70" i="10"/>
  <c r="E69" i="1"/>
  <c r="BA64" i="10"/>
  <c r="E64" i="1" s="1"/>
  <c r="BA63" i="10"/>
  <c r="BA62" i="10"/>
  <c r="BA61" i="10"/>
  <c r="BA60" i="10"/>
  <c r="BA59" i="10"/>
  <c r="BA58" i="10"/>
  <c r="BA57" i="10"/>
  <c r="BA52" i="10"/>
  <c r="BA51" i="10"/>
  <c r="BA50" i="10"/>
  <c r="BA49" i="10"/>
  <c r="BA48" i="10"/>
  <c r="BA47" i="10"/>
  <c r="BA46" i="10"/>
  <c r="BA45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N41" i="10"/>
  <c r="M41" i="10"/>
  <c r="L41" i="10"/>
  <c r="K41" i="10"/>
  <c r="J41" i="10"/>
  <c r="I41" i="10"/>
  <c r="H41" i="10"/>
  <c r="G41" i="10"/>
  <c r="F41" i="10"/>
  <c r="E41" i="10"/>
  <c r="BA40" i="10"/>
  <c r="BA39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N36" i="10"/>
  <c r="M36" i="10"/>
  <c r="L36" i="10"/>
  <c r="K36" i="10"/>
  <c r="J36" i="10"/>
  <c r="I36" i="10"/>
  <c r="H36" i="10"/>
  <c r="G36" i="10"/>
  <c r="F36" i="10"/>
  <c r="E36" i="10"/>
  <c r="BA35" i="10"/>
  <c r="BA34" i="10"/>
  <c r="BA33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N29" i="10"/>
  <c r="M29" i="10"/>
  <c r="L29" i="10"/>
  <c r="K29" i="10"/>
  <c r="J29" i="10"/>
  <c r="I29" i="10"/>
  <c r="I30" i="10" s="1"/>
  <c r="H29" i="10"/>
  <c r="G29" i="10"/>
  <c r="F29" i="10"/>
  <c r="E29" i="10"/>
  <c r="AZ28" i="10"/>
  <c r="AY28" i="10"/>
  <c r="AX28" i="10"/>
  <c r="AW28" i="10"/>
  <c r="AV28" i="10"/>
  <c r="AU28" i="10"/>
  <c r="AT28" i="10"/>
  <c r="AT30" i="10" s="1"/>
  <c r="AS28" i="10"/>
  <c r="AS30" i="10" s="1"/>
  <c r="AR28" i="10"/>
  <c r="AQ28" i="10"/>
  <c r="AP28" i="10"/>
  <c r="AO28" i="10"/>
  <c r="AN28" i="10"/>
  <c r="AM28" i="10"/>
  <c r="AL28" i="10"/>
  <c r="AK28" i="10"/>
  <c r="AJ28" i="10"/>
  <c r="AI28" i="10"/>
  <c r="AH28" i="10"/>
  <c r="AH30" i="10" s="1"/>
  <c r="N28" i="10"/>
  <c r="M28" i="10"/>
  <c r="L28" i="10"/>
  <c r="L30" i="10" s="1"/>
  <c r="K28" i="10"/>
  <c r="K30" i="10" s="1"/>
  <c r="J28" i="10"/>
  <c r="I28" i="10"/>
  <c r="H28" i="10"/>
  <c r="G28" i="10"/>
  <c r="F28" i="10"/>
  <c r="E28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N27" i="10"/>
  <c r="M27" i="10"/>
  <c r="L27" i="10"/>
  <c r="K27" i="10"/>
  <c r="J27" i="10"/>
  <c r="I27" i="10"/>
  <c r="H27" i="10"/>
  <c r="G27" i="10"/>
  <c r="F27" i="10"/>
  <c r="E27" i="10"/>
  <c r="BA26" i="10"/>
  <c r="BA25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N24" i="10"/>
  <c r="M24" i="10"/>
  <c r="L24" i="10"/>
  <c r="K24" i="10"/>
  <c r="J24" i="10"/>
  <c r="I24" i="10"/>
  <c r="H24" i="10"/>
  <c r="G24" i="10"/>
  <c r="F24" i="10"/>
  <c r="E24" i="10"/>
  <c r="BA23" i="10"/>
  <c r="BA22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N21" i="10"/>
  <c r="M21" i="10"/>
  <c r="L21" i="10"/>
  <c r="K21" i="10"/>
  <c r="J21" i="10"/>
  <c r="I21" i="10"/>
  <c r="H21" i="10"/>
  <c r="G21" i="10"/>
  <c r="F21" i="10"/>
  <c r="E21" i="10"/>
  <c r="BA20" i="10"/>
  <c r="BA19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N16" i="10"/>
  <c r="M16" i="10"/>
  <c r="L16" i="10"/>
  <c r="K16" i="10"/>
  <c r="J16" i="10"/>
  <c r="I16" i="10"/>
  <c r="H16" i="10"/>
  <c r="G16" i="10"/>
  <c r="F16" i="10"/>
  <c r="E16" i="10"/>
  <c r="BA15" i="10"/>
  <c r="BA14" i="10"/>
  <c r="E14" i="1" s="1"/>
  <c r="AP262" i="9"/>
  <c r="AP264" i="9" s="1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M30" i="9" s="1"/>
  <c r="AL28" i="9"/>
  <c r="AL30" i="9" s="1"/>
  <c r="AK28" i="9"/>
  <c r="AK30" i="9" s="1"/>
  <c r="AJ28" i="9"/>
  <c r="AI28" i="9"/>
  <c r="AH28" i="9"/>
  <c r="AG28" i="9"/>
  <c r="AF28" i="9"/>
  <c r="AE28" i="9"/>
  <c r="AE30" i="9" s="1"/>
  <c r="AD28" i="9"/>
  <c r="AC28" i="9"/>
  <c r="AB28" i="9"/>
  <c r="AA28" i="9"/>
  <c r="Z28" i="9"/>
  <c r="Y28" i="9"/>
  <c r="X28" i="9"/>
  <c r="W28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AY24" i="9" l="1"/>
  <c r="AP30" i="9"/>
  <c r="AN30" i="9"/>
  <c r="AO30" i="9"/>
  <c r="AY41" i="9"/>
  <c r="AY36" i="9"/>
  <c r="AY27" i="9"/>
  <c r="AY28" i="9"/>
  <c r="AY21" i="9"/>
  <c r="AY29" i="9"/>
  <c r="X30" i="9"/>
  <c r="AY16" i="9"/>
  <c r="E263" i="1"/>
  <c r="E249" i="1"/>
  <c r="BA259" i="10"/>
  <c r="E251" i="1"/>
  <c r="E252" i="1"/>
  <c r="E242" i="1"/>
  <c r="E243" i="1"/>
  <c r="BA247" i="10"/>
  <c r="E237" i="1"/>
  <c r="E244" i="1"/>
  <c r="BA235" i="10"/>
  <c r="E226" i="1"/>
  <c r="E235" i="1" s="1"/>
  <c r="E227" i="1"/>
  <c r="E228" i="1"/>
  <c r="BA223" i="10"/>
  <c r="E214" i="1"/>
  <c r="E215" i="1"/>
  <c r="E216" i="1"/>
  <c r="E207" i="1"/>
  <c r="BA211" i="10"/>
  <c r="E202" i="1"/>
  <c r="E203" i="1"/>
  <c r="E190" i="1"/>
  <c r="E191" i="1"/>
  <c r="E192" i="1"/>
  <c r="E193" i="1"/>
  <c r="E194" i="1"/>
  <c r="E195" i="1"/>
  <c r="E179" i="1"/>
  <c r="BA187" i="10"/>
  <c r="E178" i="1"/>
  <c r="E180" i="1"/>
  <c r="E181" i="1"/>
  <c r="E182" i="1"/>
  <c r="E166" i="1"/>
  <c r="E144" i="1"/>
  <c r="E143" i="1"/>
  <c r="BA151" i="10"/>
  <c r="E142" i="1"/>
  <c r="E131" i="1"/>
  <c r="E132" i="1"/>
  <c r="E133" i="1"/>
  <c r="E134" i="1"/>
  <c r="E135" i="1"/>
  <c r="E136" i="1"/>
  <c r="E130" i="1"/>
  <c r="BA139" i="10"/>
  <c r="BA127" i="10"/>
  <c r="E118" i="1"/>
  <c r="E119" i="1"/>
  <c r="E120" i="1"/>
  <c r="E98" i="1"/>
  <c r="E100" i="1"/>
  <c r="BA103" i="10"/>
  <c r="E96" i="1"/>
  <c r="E99" i="1"/>
  <c r="E106" i="1"/>
  <c r="E97" i="1"/>
  <c r="E94" i="1"/>
  <c r="E95" i="1"/>
  <c r="E81" i="1"/>
  <c r="BA91" i="10"/>
  <c r="E75" i="1"/>
  <c r="E76" i="1"/>
  <c r="BA79" i="10"/>
  <c r="E83" i="1"/>
  <c r="E84" i="1"/>
  <c r="E85" i="1"/>
  <c r="E86" i="1"/>
  <c r="E87" i="1"/>
  <c r="E88" i="1"/>
  <c r="E71" i="1"/>
  <c r="E72" i="1"/>
  <c r="E73" i="1"/>
  <c r="E74" i="1"/>
  <c r="E59" i="1"/>
  <c r="E62" i="1"/>
  <c r="E52" i="1"/>
  <c r="E60" i="1"/>
  <c r="E61" i="1"/>
  <c r="BA67" i="10"/>
  <c r="E57" i="1"/>
  <c r="E63" i="1"/>
  <c r="E45" i="1"/>
  <c r="BA55" i="10"/>
  <c r="E47" i="1"/>
  <c r="E48" i="1"/>
  <c r="E49" i="1"/>
  <c r="E50" i="1"/>
  <c r="E51" i="1"/>
  <c r="E22" i="1"/>
  <c r="AY30" i="10"/>
  <c r="AL30" i="10"/>
  <c r="AM30" i="10"/>
  <c r="AP30" i="10"/>
  <c r="AJ30" i="10"/>
  <c r="AK30" i="10"/>
  <c r="AU30" i="10"/>
  <c r="E25" i="1"/>
  <c r="E19" i="1"/>
  <c r="E39" i="1"/>
  <c r="E40" i="1"/>
  <c r="E33" i="1"/>
  <c r="E34" i="1"/>
  <c r="E35" i="1"/>
  <c r="E26" i="1"/>
  <c r="E20" i="1"/>
  <c r="E15" i="1"/>
  <c r="E250" i="1"/>
  <c r="AC259" i="11"/>
  <c r="AC247" i="11"/>
  <c r="E238" i="1"/>
  <c r="E225" i="1"/>
  <c r="AC235" i="11"/>
  <c r="E213" i="1"/>
  <c r="E223" i="1" s="1"/>
  <c r="AC223" i="11"/>
  <c r="AC211" i="11"/>
  <c r="E201" i="1"/>
  <c r="E189" i="1"/>
  <c r="AC199" i="11"/>
  <c r="E177" i="1"/>
  <c r="AC187" i="11"/>
  <c r="E165" i="1"/>
  <c r="AC175" i="11"/>
  <c r="E141" i="1"/>
  <c r="AC151" i="11"/>
  <c r="AC139" i="11"/>
  <c r="E129" i="1"/>
  <c r="AC127" i="11"/>
  <c r="E117" i="1"/>
  <c r="E105" i="1"/>
  <c r="AC115" i="11"/>
  <c r="E93" i="1"/>
  <c r="AC103" i="11"/>
  <c r="E82" i="1"/>
  <c r="AC91" i="11"/>
  <c r="AC79" i="11"/>
  <c r="E70" i="1"/>
  <c r="E58" i="1"/>
  <c r="AC67" i="11"/>
  <c r="AC55" i="11"/>
  <c r="E46" i="1"/>
  <c r="T30" i="11"/>
  <c r="U30" i="11"/>
  <c r="I30" i="11"/>
  <c r="M30" i="11"/>
  <c r="J30" i="11"/>
  <c r="V30" i="11"/>
  <c r="AA30" i="11"/>
  <c r="I262" i="11"/>
  <c r="I264" i="11" s="1"/>
  <c r="AB30" i="11"/>
  <c r="P30" i="11"/>
  <c r="AA262" i="11"/>
  <c r="AA264" i="11" s="1"/>
  <c r="H30" i="11"/>
  <c r="F30" i="11"/>
  <c r="R30" i="11"/>
  <c r="AI30" i="10"/>
  <c r="AO262" i="10"/>
  <c r="AO264" i="10" s="1"/>
  <c r="AP262" i="10"/>
  <c r="AP264" i="10" s="1"/>
  <c r="AN30" i="10"/>
  <c r="AZ30" i="10"/>
  <c r="J30" i="10"/>
  <c r="AO30" i="10"/>
  <c r="E30" i="10"/>
  <c r="F30" i="10"/>
  <c r="AX30" i="10"/>
  <c r="F262" i="10"/>
  <c r="F264" i="10" s="1"/>
  <c r="M30" i="10"/>
  <c r="AR30" i="10"/>
  <c r="AU262" i="10"/>
  <c r="AU264" i="10" s="1"/>
  <c r="Y30" i="9"/>
  <c r="Z30" i="9"/>
  <c r="AF30" i="9"/>
  <c r="AR30" i="9"/>
  <c r="AG30" i="9"/>
  <c r="AS30" i="9"/>
  <c r="AC30" i="9"/>
  <c r="X262" i="9"/>
  <c r="X264" i="9" s="1"/>
  <c r="AH30" i="9"/>
  <c r="AT30" i="9"/>
  <c r="W30" i="9"/>
  <c r="AI30" i="9"/>
  <c r="AU30" i="9"/>
  <c r="AJ30" i="9"/>
  <c r="AV30" i="9"/>
  <c r="H262" i="11"/>
  <c r="H264" i="11" s="1"/>
  <c r="Z30" i="11"/>
  <c r="AC21" i="11"/>
  <c r="K262" i="11"/>
  <c r="K264" i="11" s="1"/>
  <c r="AC24" i="11"/>
  <c r="AC28" i="11"/>
  <c r="L262" i="11"/>
  <c r="L264" i="11" s="1"/>
  <c r="O262" i="11"/>
  <c r="O264" i="11" s="1"/>
  <c r="Z262" i="11"/>
  <c r="Z264" i="11" s="1"/>
  <c r="P262" i="11"/>
  <c r="P264" i="11" s="1"/>
  <c r="E262" i="11"/>
  <c r="E264" i="11" s="1"/>
  <c r="AC16" i="11"/>
  <c r="AC29" i="11"/>
  <c r="Q262" i="11"/>
  <c r="Q264" i="11" s="1"/>
  <c r="L30" i="11"/>
  <c r="R262" i="11"/>
  <c r="R264" i="11" s="1"/>
  <c r="AB262" i="11"/>
  <c r="AB264" i="11" s="1"/>
  <c r="AC36" i="11"/>
  <c r="S262" i="11"/>
  <c r="S264" i="11" s="1"/>
  <c r="N30" i="11"/>
  <c r="AC41" i="11"/>
  <c r="T262" i="11"/>
  <c r="T264" i="11" s="1"/>
  <c r="AC27" i="11"/>
  <c r="N262" i="11"/>
  <c r="N264" i="11" s="1"/>
  <c r="V262" i="11"/>
  <c r="V264" i="11" s="1"/>
  <c r="M262" i="11"/>
  <c r="M264" i="11" s="1"/>
  <c r="Q30" i="11"/>
  <c r="U262" i="11"/>
  <c r="U264" i="11" s="1"/>
  <c r="S30" i="11"/>
  <c r="G262" i="11"/>
  <c r="G264" i="11" s="1"/>
  <c r="K30" i="11"/>
  <c r="J262" i="11"/>
  <c r="J264" i="11" s="1"/>
  <c r="F262" i="11"/>
  <c r="F264" i="11" s="1"/>
  <c r="AM262" i="10"/>
  <c r="AM264" i="10" s="1"/>
  <c r="I262" i="10"/>
  <c r="I264" i="10" s="1"/>
  <c r="AX262" i="10"/>
  <c r="AX264" i="10" s="1"/>
  <c r="AN262" i="10"/>
  <c r="AN264" i="10" s="1"/>
  <c r="H262" i="10"/>
  <c r="H264" i="10" s="1"/>
  <c r="AW262" i="10"/>
  <c r="AW264" i="10" s="1"/>
  <c r="AV262" i="10"/>
  <c r="AV264" i="10" s="1"/>
  <c r="AQ262" i="10"/>
  <c r="AQ264" i="10" s="1"/>
  <c r="BA28" i="10"/>
  <c r="AS262" i="10"/>
  <c r="AS264" i="10" s="1"/>
  <c r="G262" i="10"/>
  <c r="G264" i="10" s="1"/>
  <c r="BA27" i="10"/>
  <c r="BA29" i="10"/>
  <c r="AZ262" i="10"/>
  <c r="AZ264" i="10" s="1"/>
  <c r="J262" i="10"/>
  <c r="J264" i="10" s="1"/>
  <c r="AY262" i="10"/>
  <c r="AY264" i="10" s="1"/>
  <c r="BA163" i="10"/>
  <c r="BA36" i="10"/>
  <c r="L262" i="10"/>
  <c r="L264" i="10" s="1"/>
  <c r="AQ30" i="10"/>
  <c r="M262" i="10"/>
  <c r="M264" i="10" s="1"/>
  <c r="BA16" i="10"/>
  <c r="AH262" i="10"/>
  <c r="AH264" i="10" s="1"/>
  <c r="AJ262" i="10"/>
  <c r="AJ264" i="10" s="1"/>
  <c r="AI262" i="10"/>
  <c r="AI264" i="10" s="1"/>
  <c r="G30" i="10"/>
  <c r="AV30" i="10"/>
  <c r="AK262" i="10"/>
  <c r="AK264" i="10" s="1"/>
  <c r="BA21" i="10"/>
  <c r="K262" i="10"/>
  <c r="K264" i="10" s="1"/>
  <c r="AR262" i="10"/>
  <c r="AR264" i="10" s="1"/>
  <c r="AT262" i="10"/>
  <c r="AT264" i="10" s="1"/>
  <c r="BA24" i="10"/>
  <c r="BA41" i="10"/>
  <c r="N262" i="10"/>
  <c r="N264" i="10" s="1"/>
  <c r="H30" i="10"/>
  <c r="AW30" i="10"/>
  <c r="AL262" i="10"/>
  <c r="AL264" i="10" s="1"/>
  <c r="N30" i="10"/>
  <c r="E262" i="10"/>
  <c r="AT262" i="9"/>
  <c r="AT264" i="9" s="1"/>
  <c r="AX262" i="9"/>
  <c r="AX264" i="9" s="1"/>
  <c r="AQ262" i="9"/>
  <c r="AQ264" i="9" s="1"/>
  <c r="AR262" i="9"/>
  <c r="AR264" i="9" s="1"/>
  <c r="AS262" i="9"/>
  <c r="AS264" i="9" s="1"/>
  <c r="Y262" i="9"/>
  <c r="Y264" i="9" s="1"/>
  <c r="AU262" i="9"/>
  <c r="AU264" i="9" s="1"/>
  <c r="AV262" i="9"/>
  <c r="AV264" i="9" s="1"/>
  <c r="AA262" i="9"/>
  <c r="AA264" i="9" s="1"/>
  <c r="AW262" i="9"/>
  <c r="AW264" i="9" s="1"/>
  <c r="AC262" i="9"/>
  <c r="AC264" i="9" s="1"/>
  <c r="AE262" i="9"/>
  <c r="AE264" i="9" s="1"/>
  <c r="AK262" i="9"/>
  <c r="AK264" i="9" s="1"/>
  <c r="AB262" i="9"/>
  <c r="AB264" i="9" s="1"/>
  <c r="AG262" i="9"/>
  <c r="AG264" i="9" s="1"/>
  <c r="AJ262" i="9"/>
  <c r="AJ264" i="9" s="1"/>
  <c r="AA30" i="9"/>
  <c r="AW30" i="9"/>
  <c r="AQ30" i="9"/>
  <c r="AL262" i="9"/>
  <c r="AL264" i="9" s="1"/>
  <c r="AF262" i="9"/>
  <c r="AF264" i="9" s="1"/>
  <c r="Z262" i="9"/>
  <c r="Z264" i="9" s="1"/>
  <c r="AI262" i="9"/>
  <c r="AI264" i="9" s="1"/>
  <c r="AH262" i="9"/>
  <c r="AH264" i="9" s="1"/>
  <c r="AB30" i="9"/>
  <c r="AX30" i="9"/>
  <c r="AM262" i="9"/>
  <c r="AM264" i="9" s="1"/>
  <c r="AN262" i="9"/>
  <c r="AN264" i="9" s="1"/>
  <c r="AD30" i="9"/>
  <c r="AO262" i="9"/>
  <c r="AO264" i="9" s="1"/>
  <c r="W262" i="9"/>
  <c r="AD262" i="9"/>
  <c r="AD264" i="9" s="1"/>
  <c r="E211" i="1" l="1"/>
  <c r="E67" i="1"/>
  <c r="AY262" i="9"/>
  <c r="AY30" i="9"/>
  <c r="E151" i="1"/>
  <c r="E103" i="1"/>
  <c r="E247" i="1"/>
  <c r="E199" i="1"/>
  <c r="E175" i="1"/>
  <c r="E187" i="1"/>
  <c r="E139" i="1"/>
  <c r="E127" i="1"/>
  <c r="E91" i="1"/>
  <c r="E55" i="1"/>
  <c r="E157" i="1"/>
  <c r="E163" i="1" s="1"/>
  <c r="AC163" i="11"/>
  <c r="E259" i="1"/>
  <c r="E79" i="1"/>
  <c r="E115" i="1"/>
  <c r="AC30" i="11"/>
  <c r="AC262" i="11"/>
  <c r="AC264" i="11"/>
  <c r="BA30" i="10"/>
  <c r="BA262" i="10"/>
  <c r="E264" i="10"/>
  <c r="BA264" i="10" s="1"/>
  <c r="W264" i="9"/>
  <c r="AY264" i="9" s="1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<sst xmlns="http://schemas.openxmlformats.org/spreadsheetml/2006/main" count="2211" uniqueCount="252">
  <si>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</si>
  <si>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</si>
  <si>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</si>
  <si>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</si>
  <si>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</si>
  <si>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</si>
  <si>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</si>
  <si>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</si>
  <si>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</si>
  <si>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</si>
  <si>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</si>
  <si>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</si>
  <si>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</si>
  <si>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</si>
  <si>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</si>
  <si>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</si>
  <si>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</si>
  <si>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</si>
  <si>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</si>
  <si>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</si>
  <si>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</si>
  <si>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</si>
  <si>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</si>
  <si>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</si>
  <si>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</si>
  <si>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</si>
  <si>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</si>
  <si>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</si>
  <si>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</si>
  <si>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</si>
  <si>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</si>
  <si>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</si>
  <si>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</si>
  <si>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</si>
  <si>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</si>
  <si>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</si>
  <si>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</si>
  <si>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</si>
  <si>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</si>
  <si>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</si>
  <si>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</si>
  <si>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</si>
  <si>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</si>
  <si>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</si>
  <si>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</si>
  <si>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</si>
  <si>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</si>
  <si>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</si>
  <si>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</si>
  <si>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</si>
  <si>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</si>
  <si>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</si>
  <si>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</si>
  <si>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</si>
  <si>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</si>
  <si>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</si>
  <si>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</si>
  <si>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</si>
  <si>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</si>
  <si>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</si>
  <si>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</si>
  <si>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</si>
  <si>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</si>
  <si>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</si>
  <si>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</si>
  <si>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</si>
  <si>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</si>
  <si>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</si>
  <si>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</si>
  <si>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</si>
  <si>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</si>
  <si>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</si>
  <si>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</si>
  <si>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</si>
  <si>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</si>
  <si>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</si>
  <si>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</si>
  <si>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</si>
  <si>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</si>
  <si>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</si>
  <si>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</si>
  <si>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</si>
  <si>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</si>
  <si>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</si>
  <si>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</si>
  <si>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</si>
  <si>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</si>
  <si>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</si>
  <si>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</si>
  <si>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</si>
  <si>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</si>
  <si>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</si>
  <si>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</si>
  <si>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</si>
  <si>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</si>
  <si>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</si>
  <si>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</si>
  <si>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</si>
  <si>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</si>
  <si>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</si>
  <si>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</si>
  <si>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</si>
  <si>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</si>
  <si>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</si>
  <si>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</si>
  <si>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</si>
  <si>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</si>
  <si>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</si>
  <si>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</si>
  <si>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</si>
  <si>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</si>
  <si>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</si>
  <si>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</si>
  <si>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</si>
  <si>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</si>
  <si>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</si>
  <si>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</si>
  <si>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</si>
  <si>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</si>
  <si>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</si>
  <si>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</si>
  <si>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</si>
  <si>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</si>
  <si>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</si>
  <si>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</si>
  <si>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</si>
  <si>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</si>
  <si>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</si>
  <si>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</si>
  <si>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</si>
  <si>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</si>
  <si>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</si>
  <si>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</si>
  <si>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</si>
  <si>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</si>
  <si>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</si>
  <si>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</si>
  <si>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</si>
  <si>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</si>
  <si>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</si>
  <si>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</si>
  <si>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</si>
  <si>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</si>
  <si>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</si>
  <si>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</si>
  <si>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</si>
  <si>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</si>
  <si>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</si>
  <si>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</si>
  <si>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</si>
  <si>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</si>
  <si>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</si>
  <si>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</si>
  <si>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</si>
  <si>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</si>
  <si>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</si>
  <si>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</si>
  <si>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</si>
  <si>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</si>
  <si>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</si>
  <si>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</si>
  <si>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</si>
  <si>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</si>
  <si>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</si>
  <si>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</si>
  <si>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</si>
  <si>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</si>
  <si>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</si>
  <si>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</si>
  <si>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</si>
  <si>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</si>
  <si>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</si>
  <si>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</si>
  <si>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</si>
  <si>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</si>
  <si>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</si>
  <si>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</si>
  <si>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</si>
  <si>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</si>
  <si>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</si>
  <si>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</si>
  <si>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</si>
  <si>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</si>
  <si>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</si>
  <si>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</si>
  <si>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</si>
  <si>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</si>
  <si>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</si>
  <si>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</si>
  <si>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</si>
  <si>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</si>
  <si>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</si>
  <si>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</si>
  <si>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</si>
  <si>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</si>
  <si>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</si>
  <si>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</si>
  <si>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</si>
  <si>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</si>
  <si>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</si>
  <si>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</si>
  <si>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</si>
  <si>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</si>
  <si>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</si>
  <si>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</si>
  <si>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</si>
  <si>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</si>
  <si>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</si>
  <si>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</si>
  <si>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</si>
  <si>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</si>
  <si>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</si>
  <si>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</si>
  <si>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</si>
  <si>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</si>
  <si>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</si>
  <si>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</si>
  <si>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</si>
  <si>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</si>
  <si>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</si>
  <si>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</si>
  <si>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</si>
  <si>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</si>
  <si>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</si>
  <si>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</si>
  <si>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</si>
  <si>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</si>
  <si>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</si>
  <si>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</si>
  <si>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</si>
  <si>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</si>
  <si>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</si>
  <si>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</si>
  <si>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</si>
  <si>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</si>
  <si>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</si>
  <si>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</si>
  <si>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</si>
  <si>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</si>
  <si>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</si>
  <si>
    <t>GAMBIRAN</t>
  </si>
  <si>
    <t>TPS 043</t>
  </si>
  <si>
    <t>TPS 044</t>
  </si>
  <si>
    <t>TPS 045</t>
  </si>
  <si>
    <t>TPS 046</t>
  </si>
  <si>
    <t>JAJAG</t>
  </si>
  <si>
    <t>TPS 047</t>
  </si>
  <si>
    <t>TPS 048</t>
  </si>
  <si>
    <t>PURWODADI</t>
  </si>
  <si>
    <t>WRINGINREJO</t>
  </si>
  <si>
    <t>YOSOMULYO</t>
  </si>
  <si>
    <t>WRINGINAGUNG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</si>
</sst>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3" fillId="0" borderId="23" xfId="0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0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</cellXfs>
  <cellStyles count="1">
    <cellStyle name="Normal" xfId="0" builtinId="0"/>
  </cellStyles>
  <dxfs count="18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zoomScaleNormal="100" workbookViewId="0">
      <selection activeCell="E262" sqref="E262:E263"/>
    </sheetView>
  </sheetViews>
  <sheetFormatPr defaultColWidth="0" defaultRowHeight="15" customHeight="1" zeroHeight="1" x14ac:dyDescent="0.3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16" width="0" hidden="1" customWidth="1"/>
    <col min="217" max="16384" width="12.59765625" hidden="1"/>
  </cols>
  <sheetData>
    <row r="1" spans="1:216" ht="15" customHeight="1" x14ac:dyDescent="0.3"/>
    <row r="2" spans="1:216" ht="15" customHeight="1" x14ac:dyDescent="0.3"/>
    <row r="3" spans="1:216" ht="15" customHeight="1" x14ac:dyDescent="0.3"/>
    <row r="4" spans="1:216" ht="15" customHeight="1" x14ac:dyDescent="0.3"/>
    <row r="5" spans="1:216" ht="15.75" customHeight="1" x14ac:dyDescent="0.3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</row>
    <row r="7" spans="1:216" ht="15.75" customHeight="1" x14ac:dyDescent="0.3">
      <c r="F7" s="20"/>
      <c r="G7" s="20"/>
      <c r="H7" s="20"/>
      <c r="I7" s="20"/>
      <c r="J7" s="20"/>
      <c r="K7" s="20"/>
      <c r="L7" s="20"/>
      <c r="M7" s="20"/>
      <c r="N7" s="20"/>
      <c r="O7" s="20"/>
      <c r="P7" s="33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</row>
    <row r="8" spans="1:216" ht="15.75" customHeight="1" x14ac:dyDescent="0.3">
      <c r="C8" s="44" t="s">
        <v>116</v>
      </c>
      <c r="D8" s="44" t="s">
        <v>240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3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</row>
    <row r="9" spans="1:216" ht="15.75" customHeight="1" x14ac:dyDescent="0.3">
      <c r="C9" s="44" t="s">
        <v>117</v>
      </c>
      <c r="D9" s="44" t="s">
        <v>118</v>
      </c>
      <c r="F9" s="1"/>
      <c r="G9" s="1"/>
      <c r="H9" s="1"/>
      <c r="I9" s="1"/>
      <c r="J9" s="1"/>
      <c r="K9" s="1"/>
      <c r="L9" s="1"/>
      <c r="M9" s="1"/>
      <c r="N9" s="1"/>
      <c r="O9" s="1"/>
      <c r="P9" s="35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</row>
    <row r="10" spans="1:216" ht="15.75" customHeight="1" x14ac:dyDescent="0.3">
      <c r="C10" s="44" t="s">
        <v>119</v>
      </c>
      <c r="D10" s="44" t="s">
        <v>120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3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3">
      <c r="A12" s="5" t="s">
        <v>0</v>
      </c>
      <c r="B12" s="72" t="s">
        <v>1</v>
      </c>
      <c r="C12" s="85"/>
      <c r="D12" s="76"/>
      <c r="E12" s="94" t="s">
        <v>115</v>
      </c>
      <c r="F12" s="40"/>
      <c r="G12" s="20"/>
      <c r="H12" s="20"/>
      <c r="I12" s="20"/>
      <c r="J12" s="20"/>
      <c r="K12" s="20"/>
      <c r="L12" s="20"/>
      <c r="M12" s="20"/>
      <c r="N12" s="20"/>
      <c r="O12" s="20"/>
      <c r="P12" s="33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</row>
    <row r="13" spans="1:216" ht="15.75" customHeight="1" x14ac:dyDescent="0.3">
      <c r="A13" s="6" t="s">
        <v>2</v>
      </c>
      <c r="B13" s="93" t="s">
        <v>3</v>
      </c>
      <c r="C13" s="85"/>
      <c r="D13" s="76"/>
      <c r="E13" s="95"/>
      <c r="F13" s="40"/>
      <c r="G13" s="20"/>
      <c r="H13" s="20"/>
      <c r="I13" s="20"/>
      <c r="J13" s="20"/>
      <c r="K13" s="20"/>
      <c r="L13" s="20"/>
      <c r="M13" s="20"/>
      <c r="N13" s="20"/>
      <c r="O13" s="20"/>
      <c r="P13" s="33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</row>
    <row r="14" spans="1:216" ht="15.75" customHeight="1" x14ac:dyDescent="0.3">
      <c r="A14" s="7"/>
      <c r="B14" s="96" t="s">
        <v>22</v>
      </c>
      <c r="C14" s="84"/>
      <c r="D14" s="6" t="s">
        <v>23</v>
      </c>
      <c r="E14" s="9">
        <f>GAMBIRAN!AY14+JAJAG!BA14+PURWODADI!AC14+WRINGINAGUNG!AB14+WRINGINREJO!X14+YOSOMULYO!AP14</f>
        <v>25710</v>
      </c>
      <c r="F14" s="41"/>
      <c r="G14" s="1"/>
      <c r="H14" s="1"/>
      <c r="I14" s="1"/>
      <c r="J14" s="1"/>
      <c r="K14" s="1"/>
      <c r="L14" s="1"/>
      <c r="M14" s="1"/>
      <c r="N14" s="1"/>
      <c r="O14" s="1"/>
      <c r="P14" s="35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</row>
    <row r="15" spans="1:216" ht="15.75" customHeight="1" x14ac:dyDescent="0.3">
      <c r="A15" s="7"/>
      <c r="B15" s="97"/>
      <c r="C15" s="90"/>
      <c r="D15" s="6" t="s">
        <v>24</v>
      </c>
      <c r="E15" s="9">
        <f>GAMBIRAN!AY15+JAJAG!BA15+PURWODADI!AC15+WRINGINAGUNG!AB15+WRINGINREJO!X15+YOSOMULYO!AP15</f>
        <v>26323</v>
      </c>
      <c r="F15" s="40"/>
      <c r="G15" s="20"/>
      <c r="H15" s="20"/>
      <c r="I15" s="20"/>
      <c r="J15" s="20"/>
      <c r="K15" s="20"/>
      <c r="L15" s="20"/>
      <c r="M15" s="20"/>
      <c r="N15" s="20"/>
      <c r="O15" s="20"/>
      <c r="P15" s="33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</row>
    <row r="16" spans="1:216" ht="15.75" customHeight="1" x14ac:dyDescent="0.3">
      <c r="A16" s="8"/>
      <c r="B16" s="95"/>
      <c r="C16" s="91"/>
      <c r="D16" s="5" t="s">
        <v>25</v>
      </c>
      <c r="E16" s="25">
        <f t="shared" ref="E16" si="0">SUM(E14:E15)</f>
        <v>52033</v>
      </c>
      <c r="F16" s="40"/>
      <c r="G16" s="20"/>
      <c r="H16" s="20"/>
      <c r="I16" s="20"/>
      <c r="J16" s="20"/>
      <c r="K16" s="20"/>
      <c r="L16" s="20"/>
      <c r="M16" s="20"/>
      <c r="N16" s="20"/>
      <c r="O16" s="20"/>
      <c r="P16" s="33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</row>
    <row r="17" spans="1:216" ht="15.75" customHeight="1" x14ac:dyDescent="0.3">
      <c r="A17" s="77"/>
      <c r="B17" s="85"/>
      <c r="C17" s="85"/>
      <c r="D17" s="76"/>
      <c r="E17" s="9"/>
      <c r="F17" s="41"/>
      <c r="G17" s="1"/>
      <c r="H17" s="1"/>
      <c r="I17" s="1"/>
      <c r="J17" s="1"/>
      <c r="K17" s="1"/>
      <c r="L17" s="1"/>
      <c r="M17" s="1"/>
      <c r="N17" s="1"/>
      <c r="O17" s="1"/>
      <c r="P17" s="35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</row>
    <row r="18" spans="1:216" ht="15.75" customHeight="1" x14ac:dyDescent="0.3">
      <c r="A18" s="11" t="s">
        <v>26</v>
      </c>
      <c r="B18" s="93" t="s">
        <v>27</v>
      </c>
      <c r="C18" s="85"/>
      <c r="D18" s="76"/>
      <c r="E18" s="9"/>
      <c r="F18" s="40"/>
      <c r="G18" s="20"/>
      <c r="H18" s="20"/>
      <c r="I18" s="20"/>
      <c r="J18" s="20"/>
      <c r="K18" s="20"/>
      <c r="L18" s="20"/>
      <c r="M18" s="20"/>
      <c r="N18" s="20"/>
      <c r="O18" s="20"/>
      <c r="P18" s="33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</row>
    <row r="19" spans="1:216" ht="15.75" customHeight="1" x14ac:dyDescent="0.3">
      <c r="A19" s="11"/>
      <c r="B19" s="98" t="s">
        <v>28</v>
      </c>
      <c r="C19" s="99" t="s">
        <v>29</v>
      </c>
      <c r="D19" s="6" t="s">
        <v>23</v>
      </c>
      <c r="E19" s="9">
        <f>GAMBIRAN!AY19+JAJAG!BA19+PURWODADI!AC19+WRINGINAGUNG!AB19+WRINGINREJO!X19+YOSOMULYO!AP19</f>
        <v>18990</v>
      </c>
      <c r="F19" s="40"/>
      <c r="G19" s="20"/>
      <c r="H19" s="20"/>
      <c r="I19" s="20"/>
      <c r="J19" s="20"/>
      <c r="K19" s="20"/>
      <c r="L19" s="20"/>
      <c r="M19" s="20"/>
      <c r="N19" s="20"/>
      <c r="O19" s="20"/>
      <c r="P19" s="33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</row>
    <row r="20" spans="1:216" ht="15.75" customHeight="1" x14ac:dyDescent="0.3">
      <c r="A20" s="12"/>
      <c r="B20" s="90"/>
      <c r="C20" s="100"/>
      <c r="D20" s="6" t="s">
        <v>24</v>
      </c>
      <c r="E20" s="9">
        <f>GAMBIRAN!AY20+JAJAG!BA20+PURWODADI!AC20+WRINGINAGUNG!AB20+WRINGINREJO!X20+YOSOMULYO!AP20</f>
        <v>20768</v>
      </c>
      <c r="F20" s="41"/>
      <c r="G20" s="1"/>
      <c r="H20" s="1"/>
      <c r="I20" s="1"/>
      <c r="J20" s="1"/>
      <c r="K20" s="1"/>
      <c r="L20" s="1"/>
      <c r="M20" s="1"/>
      <c r="N20" s="1"/>
      <c r="O20" s="1"/>
      <c r="P20" s="35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</row>
    <row r="21" spans="1:216" ht="15.75" customHeight="1" x14ac:dyDescent="0.3">
      <c r="A21" s="13"/>
      <c r="B21" s="91"/>
      <c r="C21" s="101"/>
      <c r="D21" s="5" t="s">
        <v>25</v>
      </c>
      <c r="E21" s="25">
        <f t="shared" ref="E21" si="1">SUM(E19:E20)</f>
        <v>39758</v>
      </c>
      <c r="F21" s="41"/>
      <c r="G21" s="1"/>
      <c r="H21" s="1"/>
      <c r="I21" s="1"/>
      <c r="J21" s="1"/>
      <c r="K21" s="1"/>
      <c r="L21" s="1"/>
      <c r="M21" s="1"/>
      <c r="N21" s="1"/>
      <c r="O21" s="1"/>
      <c r="P21" s="35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</row>
    <row r="22" spans="1:216" ht="15.75" customHeight="1" x14ac:dyDescent="0.3">
      <c r="A22" s="12"/>
      <c r="B22" s="98" t="s">
        <v>30</v>
      </c>
      <c r="C22" s="99" t="s">
        <v>31</v>
      </c>
      <c r="D22" s="6" t="s">
        <v>23</v>
      </c>
      <c r="E22" s="9">
        <f>GAMBIRAN!AY22+JAJAG!BA22+PURWODADI!AC22+WRINGINAGUNG!AB22+WRINGINREJO!X22+YOSOMULYO!AP22</f>
        <v>28</v>
      </c>
      <c r="F22" s="41"/>
      <c r="G22" s="1"/>
      <c r="H22" s="1"/>
      <c r="I22" s="1"/>
      <c r="J22" s="1"/>
      <c r="K22" s="1"/>
      <c r="L22" s="1"/>
      <c r="M22" s="1"/>
      <c r="N22" s="1"/>
      <c r="O22" s="1"/>
      <c r="P22" s="35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</row>
    <row r="23" spans="1:216" ht="15.75" customHeight="1" x14ac:dyDescent="0.3">
      <c r="A23" s="12"/>
      <c r="B23" s="90"/>
      <c r="C23" s="100"/>
      <c r="D23" s="6" t="s">
        <v>24</v>
      </c>
      <c r="E23" s="9">
        <f>GAMBIRAN!AY23+JAJAG!BA23+PURWODADI!AC23+WRINGINAGUNG!AB23+WRINGINREJO!X23+YOSOMULYO!AP23</f>
        <v>24</v>
      </c>
      <c r="F23" s="41"/>
      <c r="G23" s="1"/>
      <c r="H23" s="1"/>
      <c r="I23" s="1"/>
      <c r="J23" s="1"/>
      <c r="K23" s="1"/>
      <c r="L23" s="1"/>
      <c r="M23" s="1"/>
      <c r="N23" s="1"/>
      <c r="O23" s="1"/>
      <c r="P23" s="35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</row>
    <row r="24" spans="1:216" ht="15.75" customHeight="1" x14ac:dyDescent="0.3">
      <c r="A24" s="13"/>
      <c r="B24" s="91"/>
      <c r="C24" s="101"/>
      <c r="D24" s="5" t="s">
        <v>25</v>
      </c>
      <c r="E24" s="25">
        <f t="shared" ref="E24" si="2">SUM(E22:E23)</f>
        <v>52</v>
      </c>
      <c r="F24" s="40"/>
      <c r="G24" s="20"/>
      <c r="H24" s="20"/>
      <c r="I24" s="20"/>
      <c r="J24" s="20"/>
      <c r="K24" s="20"/>
      <c r="L24" s="20"/>
      <c r="M24" s="20"/>
      <c r="N24" s="20"/>
      <c r="O24" s="23"/>
      <c r="P24" s="36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3">
      <c r="A25" s="12"/>
      <c r="B25" s="98" t="s">
        <v>32</v>
      </c>
      <c r="C25" s="99" t="s">
        <v>33</v>
      </c>
      <c r="D25" s="6" t="s">
        <v>23</v>
      </c>
      <c r="E25" s="9">
        <f>GAMBIRAN!AY25+JAJAG!BA25+PURWODADI!AC25+WRINGINAGUNG!AB25+WRINGINREJO!X25+YOSOMULYO!AP25</f>
        <v>200</v>
      </c>
      <c r="F25" s="41"/>
      <c r="G25" s="1"/>
      <c r="H25" s="1"/>
      <c r="I25" s="1"/>
      <c r="J25" s="1"/>
      <c r="K25" s="1"/>
      <c r="L25" s="1"/>
      <c r="M25" s="1"/>
      <c r="N25" s="1"/>
      <c r="O25" s="3"/>
      <c r="P25" s="36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3">
      <c r="A26" s="12"/>
      <c r="B26" s="90"/>
      <c r="C26" s="100"/>
      <c r="D26" s="6" t="s">
        <v>24</v>
      </c>
      <c r="E26" s="9">
        <f>GAMBIRAN!AY26+JAJAG!BA26+PURWODADI!AC26+WRINGINAGUNG!AB26+WRINGINREJO!X26+YOSOMULYO!AP26</f>
        <v>230</v>
      </c>
      <c r="F26" s="40"/>
      <c r="G26" s="20"/>
      <c r="H26" s="20"/>
      <c r="I26" s="20"/>
      <c r="J26" s="20"/>
      <c r="K26" s="20"/>
      <c r="L26" s="20"/>
      <c r="M26" s="20"/>
      <c r="N26" s="20"/>
      <c r="O26" s="20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4"/>
      <c r="HH26" s="34"/>
    </row>
    <row r="27" spans="1:216" ht="15.75" customHeight="1" x14ac:dyDescent="0.3">
      <c r="A27" s="13"/>
      <c r="B27" s="91"/>
      <c r="C27" s="101"/>
      <c r="D27" s="5" t="s">
        <v>25</v>
      </c>
      <c r="E27" s="25">
        <f t="shared" ref="E27" si="3">SUM(E25:E26)</f>
        <v>430</v>
      </c>
      <c r="F27" s="41"/>
      <c r="G27" s="1"/>
      <c r="H27" s="1"/>
      <c r="I27" s="1"/>
      <c r="J27" s="1"/>
      <c r="K27" s="1"/>
      <c r="L27" s="1"/>
      <c r="M27" s="1"/>
      <c r="N27" s="1"/>
      <c r="O27" s="1"/>
      <c r="P27" s="35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</row>
    <row r="28" spans="1:216" ht="15.75" customHeight="1" x14ac:dyDescent="0.3">
      <c r="A28" s="13"/>
      <c r="B28" s="102" t="s">
        <v>34</v>
      </c>
      <c r="C28" s="103" t="s">
        <v>35</v>
      </c>
      <c r="D28" s="5" t="s">
        <v>23</v>
      </c>
      <c r="E28" s="25">
        <f t="shared" ref="E28:E29" si="4">E19+E22+E25</f>
        <v>19218</v>
      </c>
      <c r="F28" s="40"/>
      <c r="G28" s="20"/>
      <c r="H28" s="20"/>
      <c r="I28" s="20"/>
      <c r="J28" s="20"/>
      <c r="K28" s="20"/>
      <c r="L28" s="20"/>
      <c r="M28" s="20"/>
      <c r="N28" s="20"/>
      <c r="O28" s="20"/>
      <c r="P28" s="33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4"/>
      <c r="GN28" s="34"/>
      <c r="GO28" s="34"/>
      <c r="GP28" s="34"/>
      <c r="GQ28" s="34"/>
      <c r="GR28" s="34"/>
      <c r="GS28" s="34"/>
      <c r="GT28" s="34"/>
      <c r="GU28" s="34"/>
      <c r="GV28" s="34"/>
      <c r="GW28" s="34"/>
      <c r="GX28" s="34"/>
      <c r="GY28" s="34"/>
      <c r="GZ28" s="34"/>
      <c r="HA28" s="34"/>
      <c r="HB28" s="34"/>
      <c r="HC28" s="34"/>
      <c r="HD28" s="34"/>
      <c r="HE28" s="34"/>
      <c r="HF28" s="34"/>
      <c r="HG28" s="34"/>
      <c r="HH28" s="34"/>
    </row>
    <row r="29" spans="1:216" ht="15.75" customHeight="1" x14ac:dyDescent="0.3">
      <c r="A29" s="13"/>
      <c r="B29" s="90"/>
      <c r="C29" s="100"/>
      <c r="D29" s="5" t="s">
        <v>24</v>
      </c>
      <c r="E29" s="25">
        <f t="shared" si="4"/>
        <v>21022</v>
      </c>
      <c r="F29" s="41"/>
      <c r="G29" s="1"/>
      <c r="H29" s="1"/>
      <c r="I29" s="1"/>
      <c r="J29" s="1"/>
      <c r="K29" s="1"/>
      <c r="L29" s="1"/>
      <c r="M29" s="1"/>
      <c r="N29" s="1"/>
      <c r="O29" s="1"/>
      <c r="P29" s="35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</row>
    <row r="30" spans="1:216" ht="15.75" customHeight="1" x14ac:dyDescent="0.3">
      <c r="A30" s="13"/>
      <c r="B30" s="91"/>
      <c r="C30" s="101"/>
      <c r="D30" s="5" t="s">
        <v>25</v>
      </c>
      <c r="E30" s="25">
        <f t="shared" ref="E30" si="5">SUM(E28:E29)</f>
        <v>40240</v>
      </c>
      <c r="F30" s="42"/>
      <c r="G30" s="31"/>
      <c r="H30" s="31"/>
      <c r="I30" s="31"/>
      <c r="J30" s="31"/>
      <c r="K30" s="20"/>
      <c r="L30" s="20"/>
      <c r="M30" s="20"/>
      <c r="N30" s="20"/>
      <c r="O30" s="23"/>
      <c r="P30" s="36"/>
      <c r="Q30" s="31"/>
      <c r="R30" s="31"/>
      <c r="S30" s="31"/>
      <c r="T30" s="31"/>
      <c r="U30" s="4"/>
      <c r="V30" s="4"/>
      <c r="W30" s="4"/>
      <c r="X30" s="31"/>
      <c r="Y30" s="31"/>
      <c r="Z30" s="31"/>
      <c r="AA30" s="31"/>
      <c r="AB30" s="4"/>
      <c r="AC30" s="4"/>
      <c r="AD30" s="4"/>
      <c r="AE30" s="4"/>
      <c r="AF30" s="4"/>
      <c r="AG30" s="4"/>
      <c r="AH30" s="4"/>
      <c r="AI30" s="31"/>
      <c r="AJ30" s="31"/>
      <c r="AK30" s="31"/>
      <c r="AL30" s="31"/>
      <c r="AM30" s="4"/>
      <c r="AN30" s="4"/>
      <c r="AO30" s="4"/>
      <c r="AP30" s="4"/>
      <c r="AQ30" s="4"/>
      <c r="AR30" s="4"/>
      <c r="AS30" s="4"/>
      <c r="AT30" s="31"/>
      <c r="AU30" s="31"/>
      <c r="AV30" s="31"/>
      <c r="AW30" s="31"/>
      <c r="AX30" s="4"/>
      <c r="AY30" s="4"/>
      <c r="AZ30" s="4"/>
      <c r="BA30" s="4"/>
      <c r="BB30" s="4"/>
      <c r="BC30" s="4"/>
      <c r="BD30" s="4"/>
      <c r="BE30" s="4"/>
      <c r="BF30" s="31"/>
      <c r="BG30" s="31"/>
      <c r="BH30" s="31"/>
      <c r="BI30" s="31"/>
      <c r="BJ30" s="4"/>
      <c r="BK30" s="4"/>
      <c r="BL30" s="31"/>
      <c r="BM30" s="31"/>
      <c r="BN30" s="31"/>
      <c r="BO30" s="31"/>
      <c r="BP30" s="4"/>
      <c r="BQ30" s="4"/>
      <c r="BR30" s="4"/>
      <c r="BS30" s="31"/>
      <c r="BT30" s="31"/>
      <c r="BU30" s="31"/>
      <c r="BV30" s="31"/>
      <c r="BW30" s="4"/>
      <c r="BX30" s="4"/>
      <c r="BY30" s="4"/>
      <c r="BZ30" s="4"/>
      <c r="CA30" s="4"/>
      <c r="CB30" s="31"/>
      <c r="CC30" s="31"/>
      <c r="CD30" s="31"/>
      <c r="CE30" s="31"/>
      <c r="CF30" s="4"/>
      <c r="CG30" s="4"/>
      <c r="CH30" s="31"/>
      <c r="CI30" s="31"/>
      <c r="CJ30" s="31"/>
      <c r="CK30" s="31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1"/>
      <c r="DA30" s="31"/>
      <c r="DB30" s="31"/>
      <c r="DC30" s="31"/>
      <c r="DD30" s="4"/>
      <c r="DE30" s="4"/>
      <c r="DF30" s="4"/>
      <c r="DG30" s="4"/>
      <c r="DH30" s="4"/>
      <c r="DI30" s="4"/>
      <c r="DJ30" s="4"/>
      <c r="DK30" s="4"/>
      <c r="DL30" s="31"/>
      <c r="DM30" s="31"/>
      <c r="DN30" s="31"/>
      <c r="DO30" s="31"/>
      <c r="DP30" s="4"/>
      <c r="DQ30" s="4"/>
      <c r="DR30" s="4"/>
      <c r="DS30" s="4"/>
      <c r="DT30" s="31"/>
      <c r="DU30" s="31"/>
      <c r="DV30" s="31"/>
      <c r="DW30" s="31"/>
      <c r="DX30" s="4"/>
      <c r="DY30" s="4"/>
      <c r="DZ30" s="31"/>
      <c r="EA30" s="31"/>
      <c r="EB30" s="31"/>
      <c r="EC30" s="31"/>
      <c r="ED30" s="4"/>
      <c r="EE30" s="4"/>
      <c r="EF30" s="4"/>
      <c r="EG30" s="4"/>
      <c r="EH30" s="4"/>
      <c r="EI30" s="4"/>
      <c r="EJ30" s="4"/>
      <c r="EK30" s="4"/>
      <c r="EL30" s="4"/>
      <c r="EM30" s="31"/>
      <c r="EN30" s="31"/>
      <c r="EO30" s="31"/>
      <c r="EP30" s="31"/>
      <c r="EQ30" s="4"/>
      <c r="ER30" s="4"/>
      <c r="ES30" s="4"/>
      <c r="ET30" s="4"/>
      <c r="EU30" s="4"/>
      <c r="EV30" s="4"/>
      <c r="EW30" s="4"/>
      <c r="EX30" s="4"/>
      <c r="EY30" s="4"/>
      <c r="EZ30" s="31"/>
      <c r="FA30" s="31"/>
      <c r="FB30" s="31"/>
      <c r="FC30" s="31"/>
      <c r="FD30" s="4"/>
      <c r="FE30" s="4"/>
      <c r="FF30" s="31"/>
      <c r="FG30" s="31"/>
      <c r="FH30" s="31"/>
      <c r="FI30" s="31"/>
      <c r="FJ30" s="4"/>
      <c r="FK30" s="31"/>
      <c r="FL30" s="31"/>
      <c r="FM30" s="31"/>
      <c r="FN30" s="31"/>
      <c r="FO30" s="4"/>
      <c r="FP30" s="4"/>
      <c r="FQ30" s="4"/>
      <c r="FR30" s="31"/>
      <c r="FS30" s="31"/>
      <c r="FT30" s="31"/>
      <c r="FU30" s="31"/>
      <c r="FV30" s="4"/>
      <c r="FW30" s="4"/>
      <c r="FX30" s="4"/>
      <c r="FY30" s="31"/>
      <c r="FZ30" s="31"/>
      <c r="GA30" s="4"/>
      <c r="GB30" s="31"/>
      <c r="GC30" s="31"/>
      <c r="GD30" s="31"/>
      <c r="GE30" s="31"/>
      <c r="GF30" s="4"/>
      <c r="GG30" s="4"/>
      <c r="GH30" s="4"/>
      <c r="GI30" s="4"/>
      <c r="GJ30" s="4"/>
      <c r="GK30" s="4"/>
      <c r="GL30" s="4"/>
      <c r="GM30" s="4"/>
      <c r="GN30" s="31"/>
      <c r="GO30" s="31"/>
      <c r="GP30" s="31"/>
      <c r="GQ30" s="31"/>
      <c r="GR30" s="4"/>
      <c r="GS30" s="4"/>
      <c r="GT30" s="4"/>
      <c r="GU30" s="4"/>
      <c r="GV30" s="4"/>
      <c r="GW30" s="4"/>
      <c r="GX30" s="4"/>
      <c r="GY30" s="31"/>
      <c r="GZ30" s="31"/>
      <c r="HA30" s="31"/>
      <c r="HB30" s="31"/>
      <c r="HC30" s="4"/>
      <c r="HD30" s="4"/>
      <c r="HE30" s="4"/>
      <c r="HF30" s="4"/>
      <c r="HG30" s="4"/>
      <c r="HH30" s="4"/>
    </row>
    <row r="31" spans="1:216" ht="15.75" customHeight="1" x14ac:dyDescent="0.3">
      <c r="A31" s="77"/>
      <c r="B31" s="85"/>
      <c r="C31" s="85"/>
      <c r="D31" s="76"/>
      <c r="E31" s="30"/>
      <c r="F31" s="41"/>
      <c r="G31" s="1"/>
      <c r="H31" s="1"/>
      <c r="I31" s="1"/>
      <c r="J31" s="1"/>
      <c r="K31" s="1"/>
      <c r="L31" s="1"/>
      <c r="M31" s="1"/>
      <c r="N31" s="1"/>
      <c r="O31" s="3"/>
      <c r="P31" s="36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3">
      <c r="A32" s="14" t="s">
        <v>36</v>
      </c>
      <c r="B32" s="72" t="s">
        <v>37</v>
      </c>
      <c r="C32" s="85"/>
      <c r="D32" s="76"/>
      <c r="E32" s="25"/>
      <c r="F32" s="40"/>
      <c r="G32" s="20"/>
      <c r="H32" s="20"/>
      <c r="I32" s="20"/>
      <c r="J32" s="20"/>
      <c r="K32" s="20"/>
      <c r="L32" s="20"/>
      <c r="M32" s="20"/>
      <c r="N32" s="20"/>
      <c r="O32" s="20"/>
      <c r="P32" s="33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  <c r="FS32" s="34"/>
      <c r="FT32" s="34"/>
      <c r="FU32" s="34"/>
      <c r="FV32" s="34"/>
      <c r="FW32" s="34"/>
      <c r="FX32" s="34"/>
      <c r="FY32" s="34"/>
      <c r="FZ32" s="34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4"/>
      <c r="GN32" s="34"/>
      <c r="GO32" s="34"/>
      <c r="GP32" s="34"/>
      <c r="GQ32" s="34"/>
      <c r="GR32" s="34"/>
      <c r="GS32" s="34"/>
      <c r="GT32" s="34"/>
      <c r="GU32" s="34"/>
      <c r="GV32" s="34"/>
      <c r="GW32" s="34"/>
      <c r="GX32" s="34"/>
      <c r="GY32" s="34"/>
      <c r="GZ32" s="34"/>
      <c r="HA32" s="34"/>
      <c r="HB32" s="34"/>
      <c r="HC32" s="34"/>
      <c r="HD32" s="34"/>
      <c r="HE32" s="34"/>
      <c r="HF32" s="34"/>
      <c r="HG32" s="34"/>
      <c r="HH32" s="34"/>
    </row>
    <row r="33" spans="1:216" ht="15.75" customHeight="1" x14ac:dyDescent="0.3">
      <c r="A33" s="6">
        <v>1</v>
      </c>
      <c r="B33" s="93" t="s">
        <v>38</v>
      </c>
      <c r="C33" s="85"/>
      <c r="D33" s="76"/>
      <c r="E33" s="9">
        <f>GAMBIRAN!AY33+JAJAG!BA33+PURWODADI!AC33+WRINGINAGUNG!AB33+WRINGINREJO!X33+YOSOMULYO!AP33</f>
        <v>53135</v>
      </c>
      <c r="F33" s="40"/>
      <c r="G33" s="20"/>
      <c r="H33" s="20"/>
      <c r="I33" s="20"/>
      <c r="J33" s="20"/>
      <c r="K33" s="20"/>
      <c r="L33" s="20"/>
      <c r="M33" s="20"/>
      <c r="N33" s="20"/>
      <c r="O33" s="20"/>
      <c r="P33" s="33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4"/>
      <c r="HF33" s="34"/>
      <c r="HG33" s="34"/>
      <c r="HH33" s="34"/>
    </row>
    <row r="34" spans="1:216" ht="15.75" customHeight="1" x14ac:dyDescent="0.3">
      <c r="A34" s="6">
        <v>2</v>
      </c>
      <c r="B34" s="93" t="s">
        <v>39</v>
      </c>
      <c r="C34" s="85"/>
      <c r="D34" s="76"/>
      <c r="E34" s="9">
        <f>GAMBIRAN!AY34+JAJAG!BA34+PURWODADI!AC34+WRINGINAGUNG!AB34+WRINGINREJO!X34+YOSOMULYO!AP34</f>
        <v>40240</v>
      </c>
      <c r="F34" s="41"/>
      <c r="G34" s="1"/>
      <c r="H34" s="1"/>
      <c r="I34" s="1"/>
      <c r="J34" s="1"/>
      <c r="K34" s="1"/>
      <c r="L34" s="1"/>
      <c r="M34" s="1"/>
      <c r="N34" s="1"/>
      <c r="O34" s="1"/>
      <c r="P34" s="35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</row>
    <row r="35" spans="1:216" ht="15.75" customHeight="1" x14ac:dyDescent="0.3">
      <c r="A35" s="6">
        <v>3</v>
      </c>
      <c r="B35" s="93" t="s">
        <v>40</v>
      </c>
      <c r="C35" s="85"/>
      <c r="D35" s="76"/>
      <c r="E35" s="9">
        <f>GAMBIRAN!AY35+JAJAG!BA35+PURWODADI!AC35+WRINGINAGUNG!AB35+WRINGINREJO!X35+YOSOMULYO!AP35</f>
        <v>65</v>
      </c>
      <c r="F35" s="42"/>
      <c r="G35" s="31"/>
      <c r="H35" s="31"/>
      <c r="I35" s="31"/>
      <c r="J35" s="31"/>
      <c r="K35" s="20"/>
      <c r="L35" s="20"/>
      <c r="M35" s="20"/>
      <c r="N35" s="20"/>
      <c r="O35" s="23"/>
      <c r="P35" s="36"/>
      <c r="Q35" s="31"/>
      <c r="R35" s="31"/>
      <c r="S35" s="31"/>
      <c r="T35" s="31"/>
      <c r="U35" s="4"/>
      <c r="V35" s="4"/>
      <c r="W35" s="4"/>
      <c r="X35" s="31"/>
      <c r="Y35" s="31"/>
      <c r="Z35" s="31"/>
      <c r="AA35" s="31"/>
      <c r="AB35" s="4"/>
      <c r="AC35" s="4"/>
      <c r="AD35" s="4"/>
      <c r="AE35" s="4"/>
      <c r="AF35" s="4"/>
      <c r="AG35" s="4"/>
      <c r="AH35" s="4"/>
      <c r="AI35" s="31"/>
      <c r="AJ35" s="31"/>
      <c r="AK35" s="31"/>
      <c r="AL35" s="31"/>
      <c r="AM35" s="4"/>
      <c r="AN35" s="4"/>
      <c r="AO35" s="4"/>
      <c r="AP35" s="4"/>
      <c r="AQ35" s="4"/>
      <c r="AR35" s="4"/>
      <c r="AS35" s="4"/>
      <c r="AT35" s="31"/>
      <c r="AU35" s="31"/>
      <c r="AV35" s="31"/>
      <c r="AW35" s="31"/>
      <c r="AX35" s="4"/>
      <c r="AY35" s="4"/>
      <c r="AZ35" s="4"/>
      <c r="BA35" s="4"/>
      <c r="BB35" s="4"/>
      <c r="BC35" s="4"/>
      <c r="BD35" s="4"/>
      <c r="BE35" s="4"/>
      <c r="BF35" s="31"/>
      <c r="BG35" s="31"/>
      <c r="BH35" s="31"/>
      <c r="BI35" s="31"/>
      <c r="BJ35" s="4"/>
      <c r="BK35" s="4"/>
      <c r="BL35" s="31"/>
      <c r="BM35" s="31"/>
      <c r="BN35" s="31"/>
      <c r="BO35" s="31"/>
      <c r="BP35" s="4"/>
      <c r="BQ35" s="4"/>
      <c r="BR35" s="4"/>
      <c r="BS35" s="31"/>
      <c r="BT35" s="31"/>
      <c r="BU35" s="31"/>
      <c r="BV35" s="31"/>
      <c r="BW35" s="4"/>
      <c r="BX35" s="4"/>
      <c r="BY35" s="4"/>
      <c r="BZ35" s="4"/>
      <c r="CA35" s="4"/>
      <c r="CB35" s="31"/>
      <c r="CC35" s="31"/>
      <c r="CD35" s="31"/>
      <c r="CE35" s="31"/>
      <c r="CF35" s="4"/>
      <c r="CG35" s="4"/>
      <c r="CH35" s="31"/>
      <c r="CI35" s="31"/>
      <c r="CJ35" s="31"/>
      <c r="CK35" s="31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1"/>
      <c r="DA35" s="31"/>
      <c r="DB35" s="31"/>
      <c r="DC35" s="31"/>
      <c r="DD35" s="4"/>
      <c r="DE35" s="4"/>
      <c r="DF35" s="4"/>
      <c r="DG35" s="4"/>
      <c r="DH35" s="4"/>
      <c r="DI35" s="4"/>
      <c r="DJ35" s="4"/>
      <c r="DK35" s="4"/>
      <c r="DL35" s="31"/>
      <c r="DM35" s="31"/>
      <c r="DN35" s="31"/>
      <c r="DO35" s="31"/>
      <c r="DP35" s="4"/>
      <c r="DQ35" s="4"/>
      <c r="DR35" s="4"/>
      <c r="DS35" s="4"/>
      <c r="DT35" s="31"/>
      <c r="DU35" s="31"/>
      <c r="DV35" s="31"/>
      <c r="DW35" s="31"/>
      <c r="DX35" s="4"/>
      <c r="DY35" s="4"/>
      <c r="DZ35" s="31"/>
      <c r="EA35" s="31"/>
      <c r="EB35" s="31"/>
      <c r="EC35" s="31"/>
      <c r="ED35" s="4"/>
      <c r="EE35" s="4"/>
      <c r="EF35" s="4"/>
      <c r="EG35" s="4"/>
      <c r="EH35" s="4"/>
      <c r="EI35" s="4"/>
      <c r="EJ35" s="4"/>
      <c r="EK35" s="4"/>
      <c r="EL35" s="4"/>
      <c r="EM35" s="31"/>
      <c r="EN35" s="31"/>
      <c r="EO35" s="31"/>
      <c r="EP35" s="31"/>
      <c r="EQ35" s="4"/>
      <c r="ER35" s="4"/>
      <c r="ES35" s="4"/>
      <c r="ET35" s="4"/>
      <c r="EU35" s="4"/>
      <c r="EV35" s="4"/>
      <c r="EW35" s="4"/>
      <c r="EX35" s="4"/>
      <c r="EY35" s="4"/>
      <c r="EZ35" s="31"/>
      <c r="FA35" s="31"/>
      <c r="FB35" s="31"/>
      <c r="FC35" s="31"/>
      <c r="FD35" s="4"/>
      <c r="FE35" s="4"/>
      <c r="FF35" s="31"/>
      <c r="FG35" s="31"/>
      <c r="FH35" s="31"/>
      <c r="FI35" s="31"/>
      <c r="FJ35" s="4"/>
      <c r="FK35" s="31"/>
      <c r="FL35" s="31"/>
      <c r="FM35" s="31"/>
      <c r="FN35" s="31"/>
      <c r="FO35" s="4"/>
      <c r="FP35" s="4"/>
      <c r="FQ35" s="4"/>
      <c r="FR35" s="31"/>
      <c r="FS35" s="31"/>
      <c r="FT35" s="31"/>
      <c r="FU35" s="31"/>
      <c r="FV35" s="4"/>
      <c r="FW35" s="4"/>
      <c r="FX35" s="4"/>
      <c r="FY35" s="31"/>
      <c r="FZ35" s="31"/>
      <c r="GA35" s="4"/>
      <c r="GB35" s="31"/>
      <c r="GC35" s="31"/>
      <c r="GD35" s="31"/>
      <c r="GE35" s="31"/>
      <c r="GF35" s="4"/>
      <c r="GG35" s="4"/>
      <c r="GH35" s="4"/>
      <c r="GI35" s="4"/>
      <c r="GJ35" s="4"/>
      <c r="GK35" s="4"/>
      <c r="GL35" s="4"/>
      <c r="GM35" s="4"/>
      <c r="GN35" s="31"/>
      <c r="GO35" s="31"/>
      <c r="GP35" s="31"/>
      <c r="GQ35" s="31"/>
      <c r="GR35" s="4"/>
      <c r="GS35" s="4"/>
      <c r="GT35" s="4"/>
      <c r="GU35" s="4"/>
      <c r="GV35" s="4"/>
      <c r="GW35" s="4"/>
      <c r="GX35" s="4"/>
      <c r="GY35" s="31"/>
      <c r="GZ35" s="31"/>
      <c r="HA35" s="31"/>
      <c r="HB35" s="31"/>
      <c r="HC35" s="4"/>
      <c r="HD35" s="4"/>
      <c r="HE35" s="4"/>
      <c r="HF35" s="4"/>
      <c r="HG35" s="4"/>
      <c r="HH35" s="4"/>
    </row>
    <row r="36" spans="1:216" ht="15.75" customHeight="1" x14ac:dyDescent="0.3">
      <c r="A36" s="6">
        <v>4</v>
      </c>
      <c r="B36" s="93" t="s">
        <v>41</v>
      </c>
      <c r="C36" s="85"/>
      <c r="D36" s="76"/>
      <c r="E36" s="25">
        <f t="shared" ref="E36" si="6">E33-(E34+E35)</f>
        <v>12830</v>
      </c>
      <c r="F36" s="41"/>
      <c r="G36" s="1"/>
      <c r="H36" s="1"/>
      <c r="I36" s="1"/>
      <c r="J36" s="1"/>
      <c r="K36" s="1"/>
      <c r="L36" s="1"/>
      <c r="M36" s="1"/>
      <c r="N36" s="1"/>
      <c r="O36" s="3"/>
      <c r="P36" s="36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3">
      <c r="A37" s="77"/>
      <c r="B37" s="85"/>
      <c r="C37" s="85"/>
      <c r="D37" s="85"/>
      <c r="E37" s="85"/>
      <c r="F37" s="40"/>
      <c r="G37" s="20"/>
      <c r="H37" s="20"/>
      <c r="I37" s="20"/>
      <c r="J37" s="20"/>
      <c r="K37" s="20"/>
      <c r="L37" s="20"/>
      <c r="M37" s="20"/>
      <c r="N37" s="20"/>
      <c r="O37" s="23"/>
      <c r="P37" s="36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3">
      <c r="A38" s="16" t="s">
        <v>42</v>
      </c>
      <c r="B38" s="72" t="s">
        <v>43</v>
      </c>
      <c r="C38" s="85"/>
      <c r="D38" s="76"/>
      <c r="E38" s="25"/>
      <c r="F38" s="40"/>
      <c r="G38" s="20"/>
      <c r="H38" s="20"/>
      <c r="I38" s="20"/>
      <c r="J38" s="20"/>
      <c r="K38" s="20"/>
      <c r="L38" s="20"/>
      <c r="M38" s="20"/>
      <c r="N38" s="20"/>
      <c r="O38" s="20"/>
      <c r="P38" s="33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</row>
    <row r="39" spans="1:216" ht="15.75" customHeight="1" x14ac:dyDescent="0.3">
      <c r="A39" s="11"/>
      <c r="B39" s="88" t="s">
        <v>44</v>
      </c>
      <c r="C39" s="84"/>
      <c r="D39" s="6" t="s">
        <v>23</v>
      </c>
      <c r="E39" s="9">
        <f>GAMBIRAN!AY39+JAJAG!BA39+PURWODADI!AC39+WRINGINAGUNG!AB39+WRINGINREJO!X39+YOSOMULYO!AP39</f>
        <v>36</v>
      </c>
      <c r="F39" s="40"/>
      <c r="G39" s="20"/>
      <c r="H39" s="20"/>
      <c r="I39" s="20"/>
      <c r="J39" s="20"/>
      <c r="K39" s="20"/>
      <c r="L39" s="20"/>
      <c r="M39" s="20"/>
      <c r="N39" s="20"/>
      <c r="O39" s="20"/>
      <c r="P39" s="33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4"/>
      <c r="GA39" s="34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4"/>
      <c r="GM39" s="34"/>
      <c r="GN39" s="34"/>
      <c r="GO39" s="34"/>
      <c r="GP39" s="34"/>
      <c r="GQ39" s="34"/>
      <c r="GR39" s="34"/>
      <c r="GS39" s="34"/>
      <c r="GT39" s="34"/>
      <c r="GU39" s="34"/>
      <c r="GV39" s="34"/>
      <c r="GW39" s="34"/>
      <c r="GX39" s="34"/>
      <c r="GY39" s="34"/>
      <c r="GZ39" s="34"/>
      <c r="HA39" s="34"/>
      <c r="HB39" s="34"/>
      <c r="HC39" s="34"/>
      <c r="HD39" s="34"/>
      <c r="HE39" s="34"/>
      <c r="HF39" s="34"/>
      <c r="HG39" s="34"/>
      <c r="HH39" s="34"/>
    </row>
    <row r="40" spans="1:216" ht="15.75" customHeight="1" x14ac:dyDescent="0.3">
      <c r="A40" s="12"/>
      <c r="B40" s="89"/>
      <c r="C40" s="90"/>
      <c r="D40" s="6" t="s">
        <v>24</v>
      </c>
      <c r="E40" s="9">
        <f>GAMBIRAN!AY40+JAJAG!BA40+PURWODADI!AC40+WRINGINAGUNG!AB40+WRINGINREJO!X40+YOSOMULYO!AP40</f>
        <v>43</v>
      </c>
      <c r="F40" s="40"/>
      <c r="G40" s="20"/>
      <c r="H40" s="20"/>
      <c r="I40" s="20"/>
      <c r="J40" s="20"/>
      <c r="K40" s="20"/>
      <c r="L40" s="20"/>
      <c r="M40" s="20"/>
      <c r="N40" s="20"/>
      <c r="O40" s="20"/>
      <c r="P40" s="33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  <c r="HB40" s="34"/>
      <c r="HC40" s="34"/>
      <c r="HD40" s="34"/>
      <c r="HE40" s="34"/>
      <c r="HF40" s="34"/>
      <c r="HG40" s="34"/>
      <c r="HH40" s="34"/>
    </row>
    <row r="41" spans="1:216" ht="15.75" customHeight="1" x14ac:dyDescent="0.3">
      <c r="A41" s="14"/>
      <c r="B41" s="87"/>
      <c r="C41" s="91"/>
      <c r="D41" s="5" t="s">
        <v>25</v>
      </c>
      <c r="E41" s="25">
        <f t="shared" ref="E41" si="7">SUM(E39:E40)</f>
        <v>79</v>
      </c>
      <c r="F41" s="40"/>
      <c r="G41" s="20"/>
      <c r="H41" s="20"/>
      <c r="I41" s="20"/>
      <c r="J41" s="20"/>
      <c r="K41" s="20"/>
      <c r="L41" s="20"/>
      <c r="M41" s="20"/>
      <c r="N41" s="20"/>
      <c r="O41" s="20"/>
      <c r="P41" s="33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  <c r="HB41" s="34"/>
      <c r="HC41" s="34"/>
      <c r="HD41" s="34"/>
      <c r="HE41" s="34"/>
      <c r="HF41" s="34"/>
      <c r="HG41" s="34"/>
      <c r="HH41" s="34"/>
    </row>
    <row r="42" spans="1:216" ht="15.75" customHeight="1" x14ac:dyDescent="0.3">
      <c r="A42" s="86"/>
      <c r="B42" s="87"/>
      <c r="C42" s="87"/>
      <c r="D42" s="91"/>
      <c r="E42" s="9"/>
      <c r="F42" s="40"/>
      <c r="G42" s="20"/>
      <c r="H42" s="20"/>
      <c r="I42" s="20"/>
      <c r="J42" s="20"/>
      <c r="K42" s="20"/>
      <c r="L42" s="20"/>
      <c r="M42" s="20"/>
      <c r="N42" s="20"/>
      <c r="O42" s="20"/>
      <c r="P42" s="33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  <c r="HB42" s="34"/>
      <c r="HC42" s="34"/>
      <c r="HD42" s="34"/>
      <c r="HE42" s="34"/>
      <c r="HF42" s="34"/>
      <c r="HG42" s="34"/>
      <c r="HH42" s="34"/>
    </row>
    <row r="43" spans="1:216" ht="15.75" customHeight="1" x14ac:dyDescent="0.3">
      <c r="A43" s="16" t="s">
        <v>45</v>
      </c>
      <c r="B43" s="72" t="s">
        <v>46</v>
      </c>
      <c r="C43" s="85"/>
      <c r="D43" s="76"/>
      <c r="E43" s="25"/>
      <c r="F43" s="40"/>
      <c r="G43" s="20"/>
      <c r="H43" s="20"/>
      <c r="I43" s="20"/>
      <c r="J43" s="20"/>
      <c r="K43" s="20"/>
      <c r="L43" s="20"/>
      <c r="M43" s="20"/>
      <c r="N43" s="20"/>
      <c r="O43" s="20"/>
      <c r="P43" s="33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  <c r="HB43" s="34"/>
      <c r="HC43" s="34"/>
      <c r="HD43" s="34"/>
      <c r="HE43" s="34"/>
      <c r="HF43" s="34"/>
      <c r="HG43" s="34"/>
      <c r="HH43" s="34"/>
    </row>
    <row r="44" spans="1:216" ht="15.75" customHeight="1" x14ac:dyDescent="0.3">
      <c r="A44" s="88" t="s">
        <v>47</v>
      </c>
      <c r="B44" s="92"/>
      <c r="C44" s="92"/>
      <c r="D44" s="84"/>
      <c r="E44" s="9"/>
      <c r="F44" s="40"/>
      <c r="G44" s="20"/>
      <c r="H44" s="20"/>
      <c r="I44" s="20"/>
      <c r="J44" s="20"/>
      <c r="K44" s="20"/>
      <c r="L44" s="20"/>
      <c r="M44" s="20"/>
      <c r="N44" s="20"/>
      <c r="O44" s="20"/>
      <c r="P44" s="33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34"/>
      <c r="GW44" s="34"/>
      <c r="GX44" s="34"/>
      <c r="GY44" s="34"/>
      <c r="GZ44" s="34"/>
      <c r="HA44" s="34"/>
      <c r="HB44" s="34"/>
      <c r="HC44" s="34"/>
      <c r="HD44" s="34"/>
      <c r="HE44" s="34"/>
      <c r="HF44" s="34"/>
      <c r="HG44" s="34"/>
      <c r="HH44" s="34"/>
    </row>
    <row r="45" spans="1:216" ht="15.75" customHeight="1" x14ac:dyDescent="0.3">
      <c r="A45" s="11" t="s">
        <v>48</v>
      </c>
      <c r="B45" s="17" t="s">
        <v>28</v>
      </c>
      <c r="C45" s="75" t="s">
        <v>49</v>
      </c>
      <c r="D45" s="76"/>
      <c r="E45" s="9">
        <f>GAMBIRAN!AY45+JAJAG!BA45+PURWODADI!AC45+WRINGINAGUNG!AB45+WRINGINREJO!X45+YOSOMULYO!AP45</f>
        <v>1183</v>
      </c>
      <c r="F45" s="41"/>
      <c r="G45" s="1"/>
      <c r="H45" s="1"/>
      <c r="I45" s="1"/>
      <c r="J45" s="1"/>
      <c r="K45" s="1"/>
      <c r="L45" s="1"/>
      <c r="M45" s="1"/>
      <c r="N45" s="1"/>
      <c r="O45" s="1"/>
      <c r="P45" s="35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</row>
    <row r="46" spans="1:216" ht="15.75" customHeight="1" x14ac:dyDescent="0.3">
      <c r="A46" s="11" t="s">
        <v>50</v>
      </c>
      <c r="B46" s="53"/>
      <c r="C46" s="24" t="s">
        <v>122</v>
      </c>
      <c r="D46" s="24"/>
      <c r="E46" s="9">
        <f>GAMBIRAN!AY46+JAJAG!BA46+PURWODADI!AC46+WRINGINAGUNG!AB46+WRINGINREJO!X46+YOSOMULYO!AP46</f>
        <v>2123</v>
      </c>
      <c r="F46" s="43"/>
      <c r="G46" s="28"/>
      <c r="H46" s="28"/>
      <c r="I46" s="28"/>
      <c r="J46" s="28"/>
      <c r="K46" s="28"/>
      <c r="L46" s="28"/>
      <c r="M46" s="28"/>
      <c r="N46" s="28"/>
      <c r="O46" s="28"/>
      <c r="P46" s="38"/>
      <c r="Q46" s="31"/>
      <c r="R46" s="31"/>
      <c r="S46" s="31"/>
      <c r="T46" s="31"/>
      <c r="U46" s="31"/>
      <c r="V46" s="31"/>
      <c r="W46" s="39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1"/>
      <c r="BM46" s="31"/>
      <c r="BN46" s="31"/>
      <c r="BO46" s="31"/>
      <c r="BP46" s="31"/>
      <c r="BQ46" s="31"/>
      <c r="BR46" s="39"/>
      <c r="BS46" s="31"/>
      <c r="BT46" s="31"/>
      <c r="BU46" s="31"/>
      <c r="BV46" s="31"/>
      <c r="BW46" s="31"/>
      <c r="BX46" s="31"/>
      <c r="BY46" s="31"/>
      <c r="BZ46" s="31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9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9"/>
      <c r="EZ46" s="39"/>
      <c r="FA46" s="39"/>
      <c r="FB46" s="39"/>
      <c r="FC46" s="39"/>
      <c r="FD46" s="39"/>
      <c r="FE46" s="39"/>
      <c r="FF46" s="31"/>
      <c r="FG46" s="31"/>
      <c r="FH46" s="31"/>
      <c r="FI46" s="31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</row>
    <row r="47" spans="1:216" ht="15.75" customHeight="1" x14ac:dyDescent="0.3">
      <c r="A47" s="7"/>
      <c r="B47" s="54"/>
      <c r="C47" s="24" t="s">
        <v>123</v>
      </c>
      <c r="D47" s="24"/>
      <c r="E47" s="9">
        <f>GAMBIRAN!AY47+JAJAG!BA47+PURWODADI!AC47+WRINGINAGUNG!AB47+WRINGINREJO!X47+YOSOMULYO!AP47</f>
        <v>475</v>
      </c>
      <c r="F47" s="40"/>
      <c r="G47" s="20"/>
      <c r="H47" s="20"/>
      <c r="I47" s="20"/>
      <c r="J47" s="20"/>
      <c r="K47" s="20"/>
      <c r="L47" s="20"/>
      <c r="M47" s="20"/>
      <c r="N47" s="20"/>
      <c r="O47" s="20"/>
      <c r="P47" s="33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  <c r="HB47" s="34"/>
      <c r="HC47" s="34"/>
      <c r="HD47" s="34"/>
      <c r="HE47" s="34"/>
      <c r="HF47" s="34"/>
      <c r="HG47" s="34"/>
      <c r="HH47" s="34"/>
    </row>
    <row r="48" spans="1:216" ht="15.75" customHeight="1" x14ac:dyDescent="0.3">
      <c r="A48" s="7"/>
      <c r="B48" s="54"/>
      <c r="C48" s="24" t="s">
        <v>124</v>
      </c>
      <c r="D48" s="24"/>
      <c r="E48" s="9">
        <f>GAMBIRAN!AY48+JAJAG!BA48+PURWODADI!AC48+WRINGINAGUNG!AB48+WRINGINREJO!X48+YOSOMULYO!AP48</f>
        <v>149</v>
      </c>
      <c r="F48" s="40"/>
      <c r="G48" s="20"/>
      <c r="H48" s="20"/>
      <c r="I48" s="20"/>
      <c r="J48" s="20"/>
      <c r="K48" s="20"/>
      <c r="L48" s="20"/>
      <c r="M48" s="20"/>
      <c r="N48" s="20"/>
      <c r="O48" s="20"/>
      <c r="P48" s="33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  <c r="GX48" s="34"/>
      <c r="GY48" s="34"/>
      <c r="GZ48" s="34"/>
      <c r="HA48" s="34"/>
      <c r="HB48" s="34"/>
      <c r="HC48" s="34"/>
      <c r="HD48" s="34"/>
      <c r="HE48" s="34"/>
      <c r="HF48" s="34"/>
      <c r="HG48" s="34"/>
      <c r="HH48" s="34"/>
    </row>
    <row r="49" spans="1:216" ht="15.75" customHeight="1" x14ac:dyDescent="0.3">
      <c r="A49" s="7"/>
      <c r="B49" s="54"/>
      <c r="C49" s="24" t="s">
        <v>125</v>
      </c>
      <c r="D49" s="24"/>
      <c r="E49" s="9">
        <f>GAMBIRAN!AY49+JAJAG!BA49+PURWODADI!AC49+WRINGINAGUNG!AB49+WRINGINREJO!X49+YOSOMULYO!AP49</f>
        <v>216</v>
      </c>
      <c r="F49" s="40"/>
      <c r="G49" s="20"/>
      <c r="H49" s="20"/>
      <c r="I49" s="20"/>
      <c r="J49" s="20"/>
      <c r="K49" s="20"/>
      <c r="L49" s="20"/>
      <c r="M49" s="20"/>
      <c r="N49" s="20"/>
      <c r="O49" s="20"/>
      <c r="P49" s="33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  <c r="GV49" s="34"/>
      <c r="GW49" s="34"/>
      <c r="GX49" s="34"/>
      <c r="GY49" s="34"/>
      <c r="GZ49" s="34"/>
      <c r="HA49" s="34"/>
      <c r="HB49" s="34"/>
      <c r="HC49" s="34"/>
      <c r="HD49" s="34"/>
      <c r="HE49" s="34"/>
      <c r="HF49" s="34"/>
      <c r="HG49" s="34"/>
      <c r="HH49" s="34"/>
    </row>
    <row r="50" spans="1:216" ht="15.75" customHeight="1" x14ac:dyDescent="0.3">
      <c r="A50" s="7"/>
      <c r="B50" s="54"/>
      <c r="C50" s="24" t="s">
        <v>126</v>
      </c>
      <c r="D50" s="24"/>
      <c r="E50" s="9">
        <f>GAMBIRAN!AY50+JAJAG!BA50+PURWODADI!AC50+WRINGINAGUNG!AB50+WRINGINREJO!X50+YOSOMULYO!AP50</f>
        <v>259</v>
      </c>
      <c r="F50" s="40"/>
      <c r="G50" s="20"/>
      <c r="H50" s="20"/>
      <c r="I50" s="20"/>
      <c r="J50" s="20"/>
      <c r="K50" s="20"/>
      <c r="L50" s="20"/>
      <c r="M50" s="20"/>
      <c r="N50" s="20"/>
      <c r="O50" s="20"/>
      <c r="P50" s="33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  <c r="HB50" s="34"/>
      <c r="HC50" s="34"/>
      <c r="HD50" s="34"/>
      <c r="HE50" s="34"/>
      <c r="HF50" s="34"/>
      <c r="HG50" s="34"/>
      <c r="HH50" s="34"/>
    </row>
    <row r="51" spans="1:216" ht="15.75" customHeight="1" x14ac:dyDescent="0.3">
      <c r="A51" s="7"/>
      <c r="B51" s="54"/>
      <c r="C51" s="24" t="s">
        <v>127</v>
      </c>
      <c r="D51" s="24"/>
      <c r="E51" s="9">
        <f>GAMBIRAN!AY51+JAJAG!BA51+PURWODADI!AC51+WRINGINAGUNG!AB51+WRINGINREJO!X51+YOSOMULYO!AP51</f>
        <v>145</v>
      </c>
      <c r="F51" s="40"/>
      <c r="G51" s="20"/>
      <c r="H51" s="20"/>
      <c r="I51" s="20"/>
      <c r="J51" s="20"/>
      <c r="K51" s="20"/>
      <c r="L51" s="20"/>
      <c r="M51" s="20"/>
      <c r="N51" s="20"/>
      <c r="O51" s="20"/>
      <c r="P51" s="33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  <c r="HB51" s="34"/>
      <c r="HC51" s="34"/>
      <c r="HD51" s="34"/>
      <c r="HE51" s="34"/>
      <c r="HF51" s="34"/>
      <c r="HG51" s="34"/>
      <c r="HH51" s="34"/>
    </row>
    <row r="52" spans="1:216" ht="15.75" customHeight="1" x14ac:dyDescent="0.3">
      <c r="A52" s="7"/>
      <c r="B52" s="54"/>
      <c r="C52" s="24" t="s">
        <v>128</v>
      </c>
      <c r="D52" s="24"/>
      <c r="E52" s="9">
        <f>GAMBIRAN!AY52+JAJAG!BA52+PURWODADI!AC52+WRINGINAGUNG!AB52+WRINGINREJO!X52+YOSOMULYO!AP52</f>
        <v>85</v>
      </c>
      <c r="F52" s="40"/>
      <c r="G52" s="20"/>
      <c r="H52" s="20"/>
      <c r="I52" s="20"/>
      <c r="J52" s="20"/>
      <c r="K52" s="20"/>
      <c r="L52" s="20"/>
      <c r="M52" s="20"/>
      <c r="N52" s="20"/>
      <c r="O52" s="20"/>
      <c r="P52" s="33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</row>
    <row r="53" spans="1:216" ht="15.75" customHeight="1" x14ac:dyDescent="0.3">
      <c r="A53" s="7"/>
      <c r="B53" s="54"/>
      <c r="C53" s="24" t="s">
        <v>129</v>
      </c>
      <c r="D53" s="24"/>
      <c r="E53" s="9">
        <f>GAMBIRAN!AY53+JAJAG!BA53+PURWODADI!AC53+WRINGINAGUNG!AB53+WRINGINREJO!X53+YOSOMULYO!AP53</f>
        <v>40</v>
      </c>
      <c r="F53" s="40"/>
      <c r="G53" s="20"/>
      <c r="H53" s="20"/>
      <c r="I53" s="20"/>
      <c r="J53" s="20"/>
      <c r="K53" s="20"/>
      <c r="L53" s="20"/>
      <c r="M53" s="20"/>
      <c r="N53" s="20"/>
      <c r="O53" s="20"/>
      <c r="P53" s="33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  <c r="GX53" s="34"/>
      <c r="GY53" s="34"/>
      <c r="GZ53" s="34"/>
      <c r="HA53" s="34"/>
      <c r="HB53" s="34"/>
      <c r="HC53" s="34"/>
      <c r="HD53" s="34"/>
      <c r="HE53" s="34"/>
      <c r="HF53" s="34"/>
      <c r="HG53" s="34"/>
      <c r="HH53" s="34"/>
    </row>
    <row r="54" spans="1:216" ht="15.75" customHeight="1" x14ac:dyDescent="0.3">
      <c r="A54" s="7"/>
      <c r="B54" s="54"/>
      <c r="C54" s="24" t="s">
        <v>130</v>
      </c>
      <c r="D54" s="24"/>
      <c r="E54" s="9">
        <f>GAMBIRAN!AY54+JAJAG!BA54+PURWODADI!AC54+WRINGINAGUNG!AB54+WRINGINREJO!X54+YOSOMULYO!AP54</f>
        <v>73</v>
      </c>
      <c r="F54" s="40"/>
      <c r="G54" s="20"/>
      <c r="H54" s="20"/>
      <c r="I54" s="20"/>
      <c r="J54" s="20"/>
      <c r="K54" s="20"/>
      <c r="L54" s="20"/>
      <c r="M54" s="20"/>
      <c r="N54" s="20"/>
      <c r="O54" s="20"/>
      <c r="P54" s="33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4"/>
      <c r="GX54" s="34"/>
      <c r="GY54" s="34"/>
      <c r="GZ54" s="34"/>
      <c r="HA54" s="34"/>
      <c r="HB54" s="34"/>
      <c r="HC54" s="34"/>
      <c r="HD54" s="34"/>
      <c r="HE54" s="34"/>
      <c r="HF54" s="34"/>
      <c r="HG54" s="34"/>
      <c r="HH54" s="34"/>
    </row>
    <row r="55" spans="1:216" ht="15.75" customHeight="1" x14ac:dyDescent="0.3">
      <c r="A55" s="6" t="s">
        <v>26</v>
      </c>
      <c r="B55" s="69" t="s">
        <v>51</v>
      </c>
      <c r="C55" s="85"/>
      <c r="D55" s="76"/>
      <c r="E55" s="5">
        <f>SUM(E45:E52)</f>
        <v>4635</v>
      </c>
      <c r="F55" s="40"/>
      <c r="G55" s="20"/>
      <c r="H55" s="20"/>
      <c r="I55" s="20"/>
      <c r="J55" s="20"/>
      <c r="K55" s="20"/>
      <c r="L55" s="20"/>
      <c r="M55" s="20"/>
      <c r="N55" s="20"/>
      <c r="O55" s="20"/>
      <c r="P55" s="33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  <c r="GX55" s="34"/>
      <c r="GY55" s="34"/>
      <c r="GZ55" s="34"/>
      <c r="HA55" s="34"/>
      <c r="HB55" s="34"/>
      <c r="HC55" s="34"/>
      <c r="HD55" s="34"/>
      <c r="HE55" s="34"/>
      <c r="HF55" s="34"/>
      <c r="HG55" s="34"/>
      <c r="HH55" s="34"/>
    </row>
    <row r="56" spans="1:216" ht="15.75" customHeight="1" x14ac:dyDescent="0.3">
      <c r="A56" s="86"/>
      <c r="B56" s="87"/>
      <c r="C56" s="87"/>
      <c r="D56" s="87"/>
      <c r="E56" s="87"/>
      <c r="F56" s="40"/>
      <c r="G56" s="20"/>
      <c r="H56" s="20"/>
      <c r="I56" s="20"/>
      <c r="J56" s="20"/>
      <c r="K56" s="20"/>
      <c r="L56" s="20"/>
      <c r="M56" s="20"/>
      <c r="N56" s="20"/>
      <c r="O56" s="20"/>
      <c r="P56" s="33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  <c r="HB56" s="34"/>
      <c r="HC56" s="34"/>
      <c r="HD56" s="34"/>
      <c r="HE56" s="34"/>
      <c r="HF56" s="34"/>
      <c r="HG56" s="34"/>
      <c r="HH56" s="34"/>
    </row>
    <row r="57" spans="1:216" ht="15.75" customHeight="1" x14ac:dyDescent="0.3">
      <c r="A57" s="11" t="s">
        <v>48</v>
      </c>
      <c r="B57" s="17" t="s">
        <v>30</v>
      </c>
      <c r="C57" s="75" t="s">
        <v>52</v>
      </c>
      <c r="D57" s="76"/>
      <c r="E57" s="9">
        <f>GAMBIRAN!AY57+JAJAG!BA57+PURWODADI!AC57+WRINGINAGUNG!AB57+WRINGINREJO!X57+YOSOMULYO!AP57</f>
        <v>1902</v>
      </c>
      <c r="F57" s="41"/>
      <c r="G57" s="1"/>
      <c r="H57" s="1"/>
      <c r="I57" s="1"/>
      <c r="J57" s="1"/>
      <c r="K57" s="1"/>
      <c r="L57" s="1"/>
      <c r="M57" s="1"/>
      <c r="N57" s="1"/>
      <c r="O57" s="1"/>
      <c r="P57" s="35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</row>
    <row r="58" spans="1:216" ht="15.75" customHeight="1" x14ac:dyDescent="0.3">
      <c r="A58" s="11" t="s">
        <v>50</v>
      </c>
      <c r="B58" s="54"/>
      <c r="C58" s="24" t="s">
        <v>131</v>
      </c>
      <c r="D58" s="55"/>
      <c r="E58" s="9">
        <f>GAMBIRAN!AY58+JAJAG!BA58+PURWODADI!AC58+WRINGINAGUNG!AB58+WRINGINREJO!X58+YOSOMULYO!AP58</f>
        <v>2533</v>
      </c>
      <c r="F58" s="43"/>
      <c r="G58" s="28"/>
      <c r="H58" s="28"/>
      <c r="I58" s="28"/>
      <c r="J58" s="28"/>
      <c r="K58" s="28"/>
      <c r="L58" s="28"/>
      <c r="M58" s="28"/>
      <c r="N58" s="28"/>
      <c r="O58" s="28"/>
      <c r="P58" s="38"/>
      <c r="Q58" s="31"/>
      <c r="R58" s="31"/>
      <c r="S58" s="31"/>
      <c r="T58" s="31"/>
      <c r="U58" s="31"/>
      <c r="V58" s="31"/>
      <c r="W58" s="39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1"/>
      <c r="BM58" s="31"/>
      <c r="BN58" s="31"/>
      <c r="BO58" s="31"/>
      <c r="BP58" s="31"/>
      <c r="BQ58" s="31"/>
      <c r="BR58" s="39"/>
      <c r="BS58" s="31"/>
      <c r="BT58" s="31"/>
      <c r="BU58" s="31"/>
      <c r="BV58" s="31"/>
      <c r="BW58" s="31"/>
      <c r="BX58" s="31"/>
      <c r="BY58" s="31"/>
      <c r="BZ58" s="31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9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9"/>
      <c r="EZ58" s="39"/>
      <c r="FA58" s="39"/>
      <c r="FB58" s="39"/>
      <c r="FC58" s="39"/>
      <c r="FD58" s="39"/>
      <c r="FE58" s="39"/>
      <c r="FF58" s="31"/>
      <c r="FG58" s="31"/>
      <c r="FH58" s="31"/>
      <c r="FI58" s="31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</row>
    <row r="59" spans="1:216" ht="15.75" customHeight="1" x14ac:dyDescent="0.3">
      <c r="A59" s="7"/>
      <c r="B59" s="54"/>
      <c r="C59" s="24" t="s">
        <v>132</v>
      </c>
      <c r="D59" s="55"/>
      <c r="E59" s="9">
        <f>GAMBIRAN!AY59+JAJAG!BA59+PURWODADI!AC59+WRINGINAGUNG!AB59+WRINGINREJO!X59+YOSOMULYO!AP59</f>
        <v>1451</v>
      </c>
      <c r="F59" s="40"/>
      <c r="G59" s="20"/>
      <c r="H59" s="20"/>
      <c r="I59" s="20"/>
      <c r="J59" s="20"/>
      <c r="K59" s="20"/>
      <c r="L59" s="20"/>
      <c r="M59" s="20"/>
      <c r="N59" s="20"/>
      <c r="O59" s="20"/>
      <c r="P59" s="33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</row>
    <row r="60" spans="1:216" ht="15.75" customHeight="1" x14ac:dyDescent="0.3">
      <c r="A60" s="7"/>
      <c r="B60" s="54"/>
      <c r="C60" s="24" t="s">
        <v>133</v>
      </c>
      <c r="D60" s="55"/>
      <c r="E60" s="9">
        <f>GAMBIRAN!AY60+JAJAG!BA60+PURWODADI!AC60+WRINGINAGUNG!AB60+WRINGINREJO!X60+YOSOMULYO!AP60</f>
        <v>358</v>
      </c>
      <c r="F60" s="40"/>
      <c r="G60" s="20"/>
      <c r="H60" s="20"/>
      <c r="I60" s="20"/>
      <c r="J60" s="20"/>
      <c r="K60" s="20"/>
      <c r="L60" s="20"/>
      <c r="M60" s="20"/>
      <c r="N60" s="20"/>
      <c r="O60" s="20"/>
      <c r="P60" s="33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  <c r="GX60" s="34"/>
      <c r="GY60" s="34"/>
      <c r="GZ60" s="34"/>
      <c r="HA60" s="34"/>
      <c r="HB60" s="34"/>
      <c r="HC60" s="34"/>
      <c r="HD60" s="34"/>
      <c r="HE60" s="34"/>
      <c r="HF60" s="34"/>
      <c r="HG60" s="34"/>
      <c r="HH60" s="34"/>
    </row>
    <row r="61" spans="1:216" ht="15.75" customHeight="1" x14ac:dyDescent="0.3">
      <c r="A61" s="7"/>
      <c r="B61" s="54"/>
      <c r="C61" s="24" t="s">
        <v>134</v>
      </c>
      <c r="D61" s="55"/>
      <c r="E61" s="9">
        <f>GAMBIRAN!AY61+JAJAG!BA61+PURWODADI!AC61+WRINGINAGUNG!AB61+WRINGINREJO!X61+YOSOMULYO!AP61</f>
        <v>736</v>
      </c>
      <c r="F61" s="40"/>
      <c r="G61" s="20"/>
      <c r="H61" s="20"/>
      <c r="I61" s="20"/>
      <c r="J61" s="20"/>
      <c r="K61" s="20"/>
      <c r="L61" s="20"/>
      <c r="M61" s="20"/>
      <c r="N61" s="20"/>
      <c r="O61" s="20"/>
      <c r="P61" s="33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  <c r="GX61" s="34"/>
      <c r="GY61" s="34"/>
      <c r="GZ61" s="34"/>
      <c r="HA61" s="34"/>
      <c r="HB61" s="34"/>
      <c r="HC61" s="34"/>
      <c r="HD61" s="34"/>
      <c r="HE61" s="34"/>
      <c r="HF61" s="34"/>
      <c r="HG61" s="34"/>
      <c r="HH61" s="34"/>
    </row>
    <row r="62" spans="1:216" ht="15.75" customHeight="1" x14ac:dyDescent="0.3">
      <c r="A62" s="7"/>
      <c r="B62" s="54"/>
      <c r="C62" s="24" t="s">
        <v>135</v>
      </c>
      <c r="D62" s="55"/>
      <c r="E62" s="9">
        <f>GAMBIRAN!AY62+JAJAG!BA62+PURWODADI!AC62+WRINGINAGUNG!AB62+WRINGINREJO!X62+YOSOMULYO!AP62</f>
        <v>208</v>
      </c>
      <c r="F62" s="40"/>
      <c r="G62" s="20"/>
      <c r="H62" s="20"/>
      <c r="I62" s="20"/>
      <c r="J62" s="20"/>
      <c r="K62" s="20"/>
      <c r="L62" s="20"/>
      <c r="M62" s="20"/>
      <c r="N62" s="20"/>
      <c r="O62" s="20"/>
      <c r="P62" s="33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  <c r="HB62" s="34"/>
      <c r="HC62" s="34"/>
      <c r="HD62" s="34"/>
      <c r="HE62" s="34"/>
      <c r="HF62" s="34"/>
      <c r="HG62" s="34"/>
      <c r="HH62" s="34"/>
    </row>
    <row r="63" spans="1:216" ht="15.75" customHeight="1" x14ac:dyDescent="0.3">
      <c r="A63" s="7"/>
      <c r="B63" s="54"/>
      <c r="C63" s="24" t="s">
        <v>136</v>
      </c>
      <c r="D63" s="51"/>
      <c r="E63" s="9">
        <f>GAMBIRAN!AY63+JAJAG!BA63+PURWODADI!AC63+WRINGINAGUNG!AB63+WRINGINREJO!X63+YOSOMULYO!AP63</f>
        <v>90</v>
      </c>
      <c r="F63" s="40"/>
      <c r="G63" s="20"/>
      <c r="H63" s="20"/>
      <c r="I63" s="20"/>
      <c r="J63" s="20"/>
      <c r="K63" s="20"/>
      <c r="L63" s="20"/>
      <c r="M63" s="20"/>
      <c r="N63" s="20"/>
      <c r="O63" s="20"/>
      <c r="P63" s="33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  <c r="HB63" s="34"/>
      <c r="HC63" s="34"/>
      <c r="HD63" s="34"/>
      <c r="HE63" s="34"/>
      <c r="HF63" s="34"/>
      <c r="HG63" s="34"/>
      <c r="HH63" s="34"/>
    </row>
    <row r="64" spans="1:216" ht="15.75" customHeight="1" x14ac:dyDescent="0.3">
      <c r="A64" s="7"/>
      <c r="B64" s="54"/>
      <c r="C64" s="24" t="s">
        <v>137</v>
      </c>
      <c r="D64" s="55"/>
      <c r="E64" s="9">
        <f>GAMBIRAN!AY64+JAJAG!BA64+PURWODADI!AC64+WRINGINAGUNG!AB64+WRINGINREJO!X64+YOSOMULYO!AP64</f>
        <v>52</v>
      </c>
      <c r="F64" s="40"/>
      <c r="G64" s="20"/>
      <c r="H64" s="20"/>
      <c r="I64" s="20"/>
      <c r="J64" s="20"/>
      <c r="K64" s="20"/>
      <c r="L64" s="20"/>
      <c r="M64" s="20"/>
      <c r="N64" s="20"/>
      <c r="O64" s="20"/>
      <c r="P64" s="33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</row>
    <row r="65" spans="1:216" ht="15.75" customHeight="1" x14ac:dyDescent="0.3">
      <c r="A65" s="7"/>
      <c r="B65" s="54"/>
      <c r="C65" s="24" t="s">
        <v>138</v>
      </c>
      <c r="D65" s="55"/>
      <c r="E65" s="9">
        <f>GAMBIRAN!AY65+JAJAG!BA65+PURWODADI!AC65+WRINGINAGUNG!AB65+WRINGINREJO!X65+YOSOMULYO!AP65</f>
        <v>41</v>
      </c>
      <c r="F65" s="40"/>
      <c r="G65" s="20"/>
      <c r="H65" s="20"/>
      <c r="I65" s="20"/>
      <c r="J65" s="20"/>
      <c r="K65" s="20"/>
      <c r="L65" s="20"/>
      <c r="M65" s="20"/>
      <c r="N65" s="20"/>
      <c r="O65" s="20"/>
      <c r="P65" s="33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  <c r="GX65" s="34"/>
      <c r="GY65" s="34"/>
      <c r="GZ65" s="34"/>
      <c r="HA65" s="34"/>
      <c r="HB65" s="34"/>
      <c r="HC65" s="34"/>
      <c r="HD65" s="34"/>
      <c r="HE65" s="34"/>
      <c r="HF65" s="34"/>
      <c r="HG65" s="34"/>
      <c r="HH65" s="34"/>
    </row>
    <row r="66" spans="1:216" ht="15.75" customHeight="1" x14ac:dyDescent="0.3">
      <c r="A66" s="7"/>
      <c r="B66" s="54"/>
      <c r="C66" s="24" t="s">
        <v>139</v>
      </c>
      <c r="D66" s="55"/>
      <c r="E66" s="9">
        <f>GAMBIRAN!AY66+JAJAG!BA66+PURWODADI!AC66+WRINGINAGUNG!AB66+WRINGINREJO!X66+YOSOMULYO!AP66</f>
        <v>93</v>
      </c>
      <c r="F66" s="40"/>
      <c r="G66" s="20"/>
      <c r="H66" s="20"/>
      <c r="I66" s="20"/>
      <c r="J66" s="20"/>
      <c r="K66" s="20"/>
      <c r="L66" s="20"/>
      <c r="M66" s="20"/>
      <c r="N66" s="20"/>
      <c r="O66" s="20"/>
      <c r="P66" s="33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  <c r="HB66" s="34"/>
      <c r="HC66" s="34"/>
      <c r="HD66" s="34"/>
      <c r="HE66" s="34"/>
      <c r="HF66" s="34"/>
      <c r="HG66" s="34"/>
      <c r="HH66" s="34"/>
    </row>
    <row r="67" spans="1:216" ht="15.75" customHeight="1" x14ac:dyDescent="0.3">
      <c r="A67" s="6" t="s">
        <v>26</v>
      </c>
      <c r="B67" s="69" t="s">
        <v>51</v>
      </c>
      <c r="C67" s="85"/>
      <c r="D67" s="76"/>
      <c r="E67" s="5">
        <f>SUM(E57:E64)</f>
        <v>7330</v>
      </c>
      <c r="F67" s="40"/>
      <c r="G67" s="20"/>
      <c r="H67" s="20"/>
      <c r="I67" s="20"/>
      <c r="J67" s="20"/>
      <c r="K67" s="20"/>
      <c r="L67" s="20"/>
      <c r="M67" s="20"/>
      <c r="N67" s="20"/>
      <c r="O67" s="20"/>
      <c r="P67" s="33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  <c r="GV67" s="34"/>
      <c r="GW67" s="34"/>
      <c r="GX67" s="34"/>
      <c r="GY67" s="34"/>
      <c r="GZ67" s="34"/>
      <c r="HA67" s="34"/>
      <c r="HB67" s="34"/>
      <c r="HC67" s="34"/>
      <c r="HD67" s="34"/>
      <c r="HE67" s="34"/>
      <c r="HF67" s="34"/>
      <c r="HG67" s="34"/>
      <c r="HH67" s="34"/>
    </row>
    <row r="68" spans="1:216" ht="15.75" customHeight="1" x14ac:dyDescent="0.3">
      <c r="A68" s="86"/>
      <c r="B68" s="87"/>
      <c r="C68" s="87"/>
      <c r="D68" s="87"/>
      <c r="E68" s="87"/>
      <c r="F68" s="40"/>
      <c r="G68" s="20"/>
      <c r="H68" s="20"/>
      <c r="I68" s="20"/>
      <c r="J68" s="20"/>
      <c r="K68" s="20"/>
      <c r="L68" s="20"/>
      <c r="M68" s="20"/>
      <c r="N68" s="20"/>
      <c r="O68" s="20"/>
      <c r="P68" s="33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  <c r="HB68" s="34"/>
      <c r="HC68" s="34"/>
      <c r="HD68" s="34"/>
      <c r="HE68" s="34"/>
      <c r="HF68" s="34"/>
      <c r="HG68" s="34"/>
      <c r="HH68" s="34"/>
    </row>
    <row r="69" spans="1:216" ht="15.75" customHeight="1" x14ac:dyDescent="0.3">
      <c r="A69" s="11" t="s">
        <v>48</v>
      </c>
      <c r="B69" s="17" t="s">
        <v>32</v>
      </c>
      <c r="C69" s="75" t="s">
        <v>53</v>
      </c>
      <c r="D69" s="76"/>
      <c r="E69" s="9">
        <f>GAMBIRAN!AY69+JAJAG!BA69+PURWODADI!AC69+WRINGINAGUNG!AB69+WRINGINREJO!X69+YOSOMULYO!AP69</f>
        <v>2752</v>
      </c>
      <c r="F69" s="41"/>
      <c r="G69" s="1"/>
      <c r="H69" s="1"/>
      <c r="I69" s="1"/>
      <c r="J69" s="1"/>
      <c r="K69" s="1"/>
      <c r="L69" s="1"/>
      <c r="M69" s="1"/>
      <c r="N69" s="1"/>
      <c r="O69" s="1"/>
      <c r="P69" s="35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</row>
    <row r="70" spans="1:216" ht="15.75" customHeight="1" x14ac:dyDescent="0.3">
      <c r="A70" s="11" t="s">
        <v>50</v>
      </c>
      <c r="B70" s="54"/>
      <c r="C70" s="24" t="s">
        <v>140</v>
      </c>
      <c r="D70" s="51"/>
      <c r="E70" s="9">
        <f>GAMBIRAN!AY70+JAJAG!BA70+PURWODADI!AC70+WRINGINAGUNG!AB70+WRINGINREJO!X70+YOSOMULYO!AP70</f>
        <v>2007</v>
      </c>
      <c r="F70" s="43"/>
      <c r="G70" s="28"/>
      <c r="H70" s="28"/>
      <c r="I70" s="28"/>
      <c r="J70" s="28"/>
      <c r="K70" s="28"/>
      <c r="L70" s="28"/>
      <c r="M70" s="28"/>
      <c r="N70" s="28"/>
      <c r="O70" s="28"/>
      <c r="P70" s="38"/>
      <c r="Q70" s="31"/>
      <c r="R70" s="31"/>
      <c r="S70" s="31"/>
      <c r="T70" s="31"/>
      <c r="U70" s="31"/>
      <c r="V70" s="31"/>
      <c r="W70" s="39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1"/>
      <c r="BM70" s="31"/>
      <c r="BN70" s="31"/>
      <c r="BO70" s="31"/>
      <c r="BP70" s="31"/>
      <c r="BQ70" s="31"/>
      <c r="BR70" s="39"/>
      <c r="BS70" s="31"/>
      <c r="BT70" s="31"/>
      <c r="BU70" s="31"/>
      <c r="BV70" s="31"/>
      <c r="BW70" s="31"/>
      <c r="BX70" s="31"/>
      <c r="BY70" s="31"/>
      <c r="BZ70" s="31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9"/>
      <c r="EZ70" s="39"/>
      <c r="FA70" s="39"/>
      <c r="FB70" s="39"/>
      <c r="FC70" s="39"/>
      <c r="FD70" s="39"/>
      <c r="FE70" s="39"/>
      <c r="FF70" s="31"/>
      <c r="FG70" s="31"/>
      <c r="FH70" s="31"/>
      <c r="FI70" s="31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</row>
    <row r="71" spans="1:216" ht="15.75" customHeight="1" x14ac:dyDescent="0.3">
      <c r="A71" s="7"/>
      <c r="B71" s="54"/>
      <c r="C71" s="24" t="s">
        <v>141</v>
      </c>
      <c r="D71" s="51"/>
      <c r="E71" s="9">
        <f>GAMBIRAN!AY71+JAJAG!BA71+PURWODADI!AC71+WRINGINAGUNG!AB71+WRINGINREJO!X71+YOSOMULYO!AP71</f>
        <v>964</v>
      </c>
      <c r="F71" s="40"/>
      <c r="G71" s="20"/>
      <c r="H71" s="20"/>
      <c r="I71" s="20"/>
      <c r="J71" s="20"/>
      <c r="K71" s="20"/>
      <c r="L71" s="20"/>
      <c r="M71" s="20"/>
      <c r="N71" s="20"/>
      <c r="O71" s="20"/>
      <c r="P71" s="33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  <c r="GX71" s="34"/>
      <c r="GY71" s="34"/>
      <c r="GZ71" s="34"/>
      <c r="HA71" s="34"/>
      <c r="HB71" s="34"/>
      <c r="HC71" s="34"/>
      <c r="HD71" s="34"/>
      <c r="HE71" s="34"/>
      <c r="HF71" s="34"/>
      <c r="HG71" s="34"/>
      <c r="HH71" s="34"/>
    </row>
    <row r="72" spans="1:216" ht="15.75" customHeight="1" x14ac:dyDescent="0.3">
      <c r="A72" s="7"/>
      <c r="B72" s="54"/>
      <c r="C72" s="24" t="s">
        <v>142</v>
      </c>
      <c r="D72" s="51"/>
      <c r="E72" s="9">
        <f>GAMBIRAN!AY72+JAJAG!BA72+PURWODADI!AC72+WRINGINAGUNG!AB72+WRINGINREJO!X72+YOSOMULYO!AP72</f>
        <v>907</v>
      </c>
      <c r="F72" s="40"/>
      <c r="G72" s="20"/>
      <c r="H72" s="20"/>
      <c r="I72" s="20"/>
      <c r="J72" s="20"/>
      <c r="K72" s="20"/>
      <c r="L72" s="20"/>
      <c r="M72" s="20"/>
      <c r="N72" s="20"/>
      <c r="O72" s="20"/>
      <c r="P72" s="33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  <c r="HB72" s="34"/>
      <c r="HC72" s="34"/>
      <c r="HD72" s="34"/>
      <c r="HE72" s="34"/>
      <c r="HF72" s="34"/>
      <c r="HG72" s="34"/>
      <c r="HH72" s="34"/>
    </row>
    <row r="73" spans="1:216" ht="15.75" customHeight="1" x14ac:dyDescent="0.3">
      <c r="A73" s="7"/>
      <c r="B73" s="54"/>
      <c r="C73" s="24" t="s">
        <v>143</v>
      </c>
      <c r="D73" s="51"/>
      <c r="E73" s="9">
        <f>GAMBIRAN!AY73+JAJAG!BA73+PURWODADI!AC73+WRINGINAGUNG!AB73+WRINGINREJO!X73+YOSOMULYO!AP73</f>
        <v>615</v>
      </c>
      <c r="F73" s="40"/>
      <c r="G73" s="20"/>
      <c r="H73" s="20"/>
      <c r="I73" s="20"/>
      <c r="J73" s="20"/>
      <c r="K73" s="20"/>
      <c r="L73" s="20"/>
      <c r="M73" s="20"/>
      <c r="N73" s="20"/>
      <c r="O73" s="20"/>
      <c r="P73" s="33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  <c r="HB73" s="34"/>
      <c r="HC73" s="34"/>
      <c r="HD73" s="34"/>
      <c r="HE73" s="34"/>
      <c r="HF73" s="34"/>
      <c r="HG73" s="34"/>
      <c r="HH73" s="34"/>
    </row>
    <row r="74" spans="1:216" ht="15.75" customHeight="1" x14ac:dyDescent="0.3">
      <c r="A74" s="7"/>
      <c r="B74" s="54"/>
      <c r="C74" s="24" t="s">
        <v>144</v>
      </c>
      <c r="D74" s="51"/>
      <c r="E74" s="9">
        <f>GAMBIRAN!AY74+JAJAG!BA74+PURWODADI!AC74+WRINGINAGUNG!AB74+WRINGINREJO!X74+YOSOMULYO!AP74</f>
        <v>265</v>
      </c>
      <c r="F74" s="40"/>
      <c r="G74" s="20"/>
      <c r="H74" s="20"/>
      <c r="I74" s="20"/>
      <c r="J74" s="20"/>
      <c r="K74" s="20"/>
      <c r="L74" s="20"/>
      <c r="M74" s="20"/>
      <c r="N74" s="20"/>
      <c r="O74" s="20"/>
      <c r="P74" s="33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  <c r="GX74" s="34"/>
      <c r="GY74" s="34"/>
      <c r="GZ74" s="34"/>
      <c r="HA74" s="34"/>
      <c r="HB74" s="34"/>
      <c r="HC74" s="34"/>
      <c r="HD74" s="34"/>
      <c r="HE74" s="34"/>
      <c r="HF74" s="34"/>
      <c r="HG74" s="34"/>
      <c r="HH74" s="34"/>
    </row>
    <row r="75" spans="1:216" ht="15.75" customHeight="1" x14ac:dyDescent="0.3">
      <c r="A75" s="7"/>
      <c r="B75" s="54"/>
      <c r="C75" s="24" t="s">
        <v>145</v>
      </c>
      <c r="D75" s="51"/>
      <c r="E75" s="9">
        <f>GAMBIRAN!AY75+JAJAG!BA75+PURWODADI!AC75+WRINGINAGUNG!AB75+WRINGINREJO!X75+YOSOMULYO!AP75</f>
        <v>268</v>
      </c>
      <c r="F75" s="40"/>
      <c r="G75" s="20"/>
      <c r="H75" s="20"/>
      <c r="I75" s="20"/>
      <c r="J75" s="20"/>
      <c r="K75" s="20"/>
      <c r="L75" s="20"/>
      <c r="M75" s="20"/>
      <c r="N75" s="20"/>
      <c r="O75" s="20"/>
      <c r="P75" s="33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  <c r="GX75" s="34"/>
      <c r="GY75" s="34"/>
      <c r="GZ75" s="34"/>
      <c r="HA75" s="34"/>
      <c r="HB75" s="34"/>
      <c r="HC75" s="34"/>
      <c r="HD75" s="34"/>
      <c r="HE75" s="34"/>
      <c r="HF75" s="34"/>
      <c r="HG75" s="34"/>
      <c r="HH75" s="34"/>
    </row>
    <row r="76" spans="1:216" ht="15.75" customHeight="1" x14ac:dyDescent="0.3">
      <c r="A76" s="7"/>
      <c r="B76" s="54"/>
      <c r="C76" s="24" t="s">
        <v>146</v>
      </c>
      <c r="D76" s="51"/>
      <c r="E76" s="9">
        <f>GAMBIRAN!AY76+JAJAG!BA76+PURWODADI!AC76+WRINGINAGUNG!AB76+WRINGINREJO!X76+YOSOMULYO!AP76</f>
        <v>122</v>
      </c>
      <c r="F76" s="40"/>
      <c r="G76" s="20"/>
      <c r="H76" s="20"/>
      <c r="I76" s="20"/>
      <c r="J76" s="20"/>
      <c r="K76" s="20"/>
      <c r="L76" s="20"/>
      <c r="M76" s="20"/>
      <c r="N76" s="20"/>
      <c r="O76" s="20"/>
      <c r="P76" s="33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</row>
    <row r="77" spans="1:216" ht="15.75" customHeight="1" x14ac:dyDescent="0.3">
      <c r="A77" s="7"/>
      <c r="B77" s="54"/>
      <c r="C77" s="24" t="s">
        <v>147</v>
      </c>
      <c r="D77" s="51"/>
      <c r="E77" s="9">
        <f>GAMBIRAN!AY77+JAJAG!BA77+PURWODADI!AC77+WRINGINAGUNG!AB77+WRINGINREJO!X77+YOSOMULYO!AP77</f>
        <v>149</v>
      </c>
      <c r="F77" s="40"/>
      <c r="G77" s="20"/>
      <c r="H77" s="20"/>
      <c r="I77" s="20"/>
      <c r="J77" s="20"/>
      <c r="K77" s="20"/>
      <c r="L77" s="20"/>
      <c r="M77" s="20"/>
      <c r="N77" s="20"/>
      <c r="O77" s="20"/>
      <c r="P77" s="33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  <c r="GV77" s="34"/>
      <c r="GW77" s="34"/>
      <c r="GX77" s="34"/>
      <c r="GY77" s="34"/>
      <c r="GZ77" s="34"/>
      <c r="HA77" s="34"/>
      <c r="HB77" s="34"/>
      <c r="HC77" s="34"/>
      <c r="HD77" s="34"/>
      <c r="HE77" s="34"/>
      <c r="HF77" s="34"/>
      <c r="HG77" s="34"/>
      <c r="HH77" s="34"/>
    </row>
    <row r="78" spans="1:216" ht="15.75" customHeight="1" x14ac:dyDescent="0.3">
      <c r="A78" s="7"/>
      <c r="B78" s="54"/>
      <c r="C78" s="24" t="s">
        <v>148</v>
      </c>
      <c r="D78" s="51"/>
      <c r="E78" s="9">
        <f>GAMBIRAN!AY78+JAJAG!BA78+PURWODADI!AC78+WRINGINAGUNG!AB78+WRINGINREJO!X78+YOSOMULYO!AP78</f>
        <v>191</v>
      </c>
      <c r="F78" s="40"/>
      <c r="G78" s="20"/>
      <c r="H78" s="20"/>
      <c r="I78" s="20"/>
      <c r="J78" s="20"/>
      <c r="K78" s="20"/>
      <c r="L78" s="20"/>
      <c r="M78" s="20"/>
      <c r="N78" s="20"/>
      <c r="O78" s="20"/>
      <c r="P78" s="33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  <c r="GX78" s="34"/>
      <c r="GY78" s="34"/>
      <c r="GZ78" s="34"/>
      <c r="HA78" s="34"/>
      <c r="HB78" s="34"/>
      <c r="HC78" s="34"/>
      <c r="HD78" s="34"/>
      <c r="HE78" s="34"/>
      <c r="HF78" s="34"/>
      <c r="HG78" s="34"/>
      <c r="HH78" s="34"/>
    </row>
    <row r="79" spans="1:216" ht="15.75" customHeight="1" x14ac:dyDescent="0.3">
      <c r="A79" s="6" t="s">
        <v>26</v>
      </c>
      <c r="B79" s="69" t="s">
        <v>51</v>
      </c>
      <c r="C79" s="85"/>
      <c r="D79" s="76"/>
      <c r="E79" s="5">
        <f>SUM(E69:E76)</f>
        <v>7900</v>
      </c>
      <c r="F79" s="40"/>
      <c r="G79" s="20"/>
      <c r="H79" s="20"/>
      <c r="I79" s="20"/>
      <c r="J79" s="20"/>
      <c r="K79" s="20"/>
      <c r="L79" s="20"/>
      <c r="M79" s="20"/>
      <c r="N79" s="20"/>
      <c r="O79" s="20"/>
      <c r="P79" s="33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  <c r="GV79" s="34"/>
      <c r="GW79" s="34"/>
      <c r="GX79" s="34"/>
      <c r="GY79" s="34"/>
      <c r="GZ79" s="34"/>
      <c r="HA79" s="34"/>
      <c r="HB79" s="34"/>
      <c r="HC79" s="34"/>
      <c r="HD79" s="34"/>
      <c r="HE79" s="34"/>
      <c r="HF79" s="34"/>
      <c r="HG79" s="34"/>
      <c r="HH79" s="34"/>
    </row>
    <row r="80" spans="1:216" ht="15.75" customHeight="1" x14ac:dyDescent="0.3">
      <c r="A80" s="86"/>
      <c r="B80" s="87"/>
      <c r="C80" s="87"/>
      <c r="D80" s="87"/>
      <c r="E80" s="87"/>
      <c r="F80" s="40"/>
      <c r="G80" s="20"/>
      <c r="H80" s="20"/>
      <c r="I80" s="20"/>
      <c r="J80" s="20"/>
      <c r="K80" s="20"/>
      <c r="L80" s="20"/>
      <c r="M80" s="20"/>
      <c r="N80" s="20"/>
      <c r="O80" s="20"/>
      <c r="P80" s="33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  <c r="GX80" s="34"/>
      <c r="GY80" s="34"/>
      <c r="GZ80" s="34"/>
      <c r="HA80" s="34"/>
      <c r="HB80" s="34"/>
      <c r="HC80" s="34"/>
      <c r="HD80" s="34"/>
      <c r="HE80" s="34"/>
      <c r="HF80" s="34"/>
      <c r="HG80" s="34"/>
      <c r="HH80" s="34"/>
    </row>
    <row r="81" spans="1:216" ht="15.75" customHeight="1" x14ac:dyDescent="0.3">
      <c r="A81" s="11" t="s">
        <v>48</v>
      </c>
      <c r="B81" s="17" t="s">
        <v>34</v>
      </c>
      <c r="C81" s="75" t="s">
        <v>54</v>
      </c>
      <c r="D81" s="76"/>
      <c r="E81" s="9">
        <f>GAMBIRAN!AY81+JAJAG!BA81+PURWODADI!AC81+WRINGINAGUNG!AB81+WRINGINREJO!X81+YOSOMULYO!AP81</f>
        <v>669</v>
      </c>
      <c r="F81" s="41"/>
      <c r="G81" s="1"/>
      <c r="H81" s="1"/>
      <c r="I81" s="1"/>
      <c r="J81" s="1"/>
      <c r="K81" s="1"/>
      <c r="L81" s="1"/>
      <c r="M81" s="1"/>
      <c r="N81" s="1"/>
      <c r="O81" s="1"/>
      <c r="P81" s="35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</row>
    <row r="82" spans="1:216" ht="15.75" customHeight="1" x14ac:dyDescent="0.3">
      <c r="A82" s="11" t="s">
        <v>50</v>
      </c>
      <c r="B82" s="54"/>
      <c r="C82" s="24" t="s">
        <v>149</v>
      </c>
      <c r="D82" s="51"/>
      <c r="E82" s="9">
        <f>GAMBIRAN!AY82+JAJAG!BA82+PURWODADI!AC82+WRINGINAGUNG!AB82+WRINGINREJO!X82+YOSOMULYO!AP82</f>
        <v>1597</v>
      </c>
      <c r="F82" s="43"/>
      <c r="G82" s="28"/>
      <c r="H82" s="28"/>
      <c r="I82" s="28"/>
      <c r="J82" s="28"/>
      <c r="K82" s="28"/>
      <c r="L82" s="28"/>
      <c r="M82" s="28"/>
      <c r="N82" s="28"/>
      <c r="O82" s="28"/>
      <c r="P82" s="38"/>
      <c r="Q82" s="31"/>
      <c r="R82" s="31"/>
      <c r="S82" s="31"/>
      <c r="T82" s="31"/>
      <c r="U82" s="31"/>
      <c r="V82" s="31"/>
      <c r="W82" s="39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1"/>
      <c r="BM82" s="31"/>
      <c r="BN82" s="31"/>
      <c r="BO82" s="31"/>
      <c r="BP82" s="31"/>
      <c r="BQ82" s="31"/>
      <c r="BR82" s="39"/>
      <c r="BS82" s="31"/>
      <c r="BT82" s="31"/>
      <c r="BU82" s="31"/>
      <c r="BV82" s="31"/>
      <c r="BW82" s="31"/>
      <c r="BX82" s="31"/>
      <c r="BY82" s="31"/>
      <c r="BZ82" s="31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9"/>
      <c r="EZ82" s="39"/>
      <c r="FA82" s="39"/>
      <c r="FB82" s="39"/>
      <c r="FC82" s="39"/>
      <c r="FD82" s="39"/>
      <c r="FE82" s="39"/>
      <c r="FF82" s="31"/>
      <c r="FG82" s="31"/>
      <c r="FH82" s="31"/>
      <c r="FI82" s="31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</row>
    <row r="83" spans="1:216" ht="15.75" customHeight="1" x14ac:dyDescent="0.3">
      <c r="A83" s="7"/>
      <c r="B83" s="54"/>
      <c r="C83" s="24" t="s">
        <v>150</v>
      </c>
      <c r="D83" s="51"/>
      <c r="E83" s="9">
        <f>GAMBIRAN!AY83+JAJAG!BA83+PURWODADI!AC83+WRINGINAGUNG!AB83+WRINGINREJO!X83+YOSOMULYO!AP83</f>
        <v>185</v>
      </c>
      <c r="F83" s="40"/>
      <c r="G83" s="20"/>
      <c r="H83" s="20"/>
      <c r="I83" s="20"/>
      <c r="J83" s="20"/>
      <c r="K83" s="20"/>
      <c r="L83" s="20"/>
      <c r="M83" s="20"/>
      <c r="N83" s="20"/>
      <c r="O83" s="20"/>
      <c r="P83" s="33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  <c r="GC83" s="34"/>
      <c r="GD83" s="34"/>
      <c r="GE83" s="34"/>
      <c r="GF83" s="34"/>
      <c r="GG83" s="34"/>
      <c r="GH83" s="34"/>
      <c r="GI83" s="34"/>
      <c r="GJ83" s="34"/>
      <c r="GK83" s="34"/>
      <c r="GL83" s="34"/>
      <c r="GM83" s="34"/>
      <c r="GN83" s="34"/>
      <c r="GO83" s="34"/>
      <c r="GP83" s="34"/>
      <c r="GQ83" s="34"/>
      <c r="GR83" s="34"/>
      <c r="GS83" s="34"/>
      <c r="GT83" s="34"/>
      <c r="GU83" s="34"/>
      <c r="GV83" s="34"/>
      <c r="GW83" s="34"/>
      <c r="GX83" s="34"/>
      <c r="GY83" s="34"/>
      <c r="GZ83" s="34"/>
      <c r="HA83" s="34"/>
      <c r="HB83" s="34"/>
      <c r="HC83" s="34"/>
      <c r="HD83" s="34"/>
      <c r="HE83" s="34"/>
      <c r="HF83" s="34"/>
      <c r="HG83" s="34"/>
      <c r="HH83" s="34"/>
    </row>
    <row r="84" spans="1:216" ht="15.75" customHeight="1" x14ac:dyDescent="0.3">
      <c r="A84" s="7"/>
      <c r="B84" s="54"/>
      <c r="C84" s="24" t="s">
        <v>151</v>
      </c>
      <c r="D84" s="51"/>
      <c r="E84" s="9">
        <f>GAMBIRAN!AY84+JAJAG!BA84+PURWODADI!AC84+WRINGINAGUNG!AB84+WRINGINREJO!X84+YOSOMULYO!AP84</f>
        <v>117</v>
      </c>
      <c r="F84" s="40"/>
      <c r="G84" s="20"/>
      <c r="H84" s="20"/>
      <c r="I84" s="20"/>
      <c r="J84" s="20"/>
      <c r="K84" s="20"/>
      <c r="L84" s="20"/>
      <c r="M84" s="20"/>
      <c r="N84" s="20"/>
      <c r="O84" s="20"/>
      <c r="P84" s="33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  <c r="GV84" s="34"/>
      <c r="GW84" s="34"/>
      <c r="GX84" s="34"/>
      <c r="GY84" s="34"/>
      <c r="GZ84" s="34"/>
      <c r="HA84" s="34"/>
      <c r="HB84" s="34"/>
      <c r="HC84" s="34"/>
      <c r="HD84" s="34"/>
      <c r="HE84" s="34"/>
      <c r="HF84" s="34"/>
      <c r="HG84" s="34"/>
      <c r="HH84" s="34"/>
    </row>
    <row r="85" spans="1:216" ht="15.75" customHeight="1" x14ac:dyDescent="0.3">
      <c r="A85" s="7"/>
      <c r="B85" s="54"/>
      <c r="C85" s="24" t="s">
        <v>152</v>
      </c>
      <c r="D85" s="51"/>
      <c r="E85" s="9">
        <f>GAMBIRAN!AY85+JAJAG!BA85+PURWODADI!AC85+WRINGINAGUNG!AB85+WRINGINREJO!X85+YOSOMULYO!AP85</f>
        <v>170</v>
      </c>
      <c r="F85" s="40"/>
      <c r="G85" s="20"/>
      <c r="H85" s="20"/>
      <c r="I85" s="20"/>
      <c r="J85" s="20"/>
      <c r="K85" s="20"/>
      <c r="L85" s="20"/>
      <c r="M85" s="20"/>
      <c r="N85" s="20"/>
      <c r="O85" s="20"/>
      <c r="P85" s="33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  <c r="HB85" s="34"/>
      <c r="HC85" s="34"/>
      <c r="HD85" s="34"/>
      <c r="HE85" s="34"/>
      <c r="HF85" s="34"/>
      <c r="HG85" s="34"/>
      <c r="HH85" s="34"/>
    </row>
    <row r="86" spans="1:216" ht="15.75" customHeight="1" x14ac:dyDescent="0.3">
      <c r="A86" s="7"/>
      <c r="B86" s="54"/>
      <c r="C86" s="24" t="s">
        <v>153</v>
      </c>
      <c r="D86" s="51"/>
      <c r="E86" s="9">
        <f>GAMBIRAN!AY86+JAJAG!BA86+PURWODADI!AC86+WRINGINAGUNG!AB86+WRINGINREJO!X86+YOSOMULYO!AP86</f>
        <v>436</v>
      </c>
      <c r="F86" s="40"/>
      <c r="G86" s="20"/>
      <c r="H86" s="20"/>
      <c r="I86" s="20"/>
      <c r="J86" s="20"/>
      <c r="K86" s="20"/>
      <c r="L86" s="20"/>
      <c r="M86" s="20"/>
      <c r="N86" s="20"/>
      <c r="O86" s="20"/>
      <c r="P86" s="33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  <c r="HB86" s="34"/>
      <c r="HC86" s="34"/>
      <c r="HD86" s="34"/>
      <c r="HE86" s="34"/>
      <c r="HF86" s="34"/>
      <c r="HG86" s="34"/>
      <c r="HH86" s="34"/>
    </row>
    <row r="87" spans="1:216" ht="15.75" customHeight="1" x14ac:dyDescent="0.3">
      <c r="A87" s="7"/>
      <c r="B87" s="54"/>
      <c r="C87" s="24" t="s">
        <v>154</v>
      </c>
      <c r="D87" s="51"/>
      <c r="E87" s="9">
        <f>GAMBIRAN!AY87+JAJAG!BA87+PURWODADI!AC87+WRINGINAGUNG!AB87+WRINGINREJO!X87+YOSOMULYO!AP87</f>
        <v>42</v>
      </c>
      <c r="F87" s="40"/>
      <c r="G87" s="20"/>
      <c r="H87" s="20"/>
      <c r="I87" s="20"/>
      <c r="J87" s="20"/>
      <c r="K87" s="20"/>
      <c r="L87" s="20"/>
      <c r="M87" s="20"/>
      <c r="N87" s="20"/>
      <c r="O87" s="20"/>
      <c r="P87" s="33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  <c r="GX87" s="34"/>
      <c r="GY87" s="34"/>
      <c r="GZ87" s="34"/>
      <c r="HA87" s="34"/>
      <c r="HB87" s="34"/>
      <c r="HC87" s="34"/>
      <c r="HD87" s="34"/>
      <c r="HE87" s="34"/>
      <c r="HF87" s="34"/>
      <c r="HG87" s="34"/>
      <c r="HH87" s="34"/>
    </row>
    <row r="88" spans="1:216" ht="15.75" customHeight="1" x14ac:dyDescent="0.3">
      <c r="A88" s="7"/>
      <c r="B88" s="54"/>
      <c r="C88" s="24" t="s">
        <v>155</v>
      </c>
      <c r="D88" s="51"/>
      <c r="E88" s="9">
        <f>GAMBIRAN!AY88+JAJAG!BA88+PURWODADI!AC88+WRINGINAGUNG!AB88+WRINGINREJO!X88+YOSOMULYO!AP88</f>
        <v>21</v>
      </c>
      <c r="F88" s="40"/>
      <c r="G88" s="20"/>
      <c r="H88" s="20"/>
      <c r="I88" s="20"/>
      <c r="J88" s="20"/>
      <c r="K88" s="20"/>
      <c r="L88" s="20"/>
      <c r="M88" s="20"/>
      <c r="N88" s="20"/>
      <c r="O88" s="20"/>
      <c r="P88" s="33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  <c r="HB88" s="34"/>
      <c r="HC88" s="34"/>
      <c r="HD88" s="34"/>
      <c r="HE88" s="34"/>
      <c r="HF88" s="34"/>
      <c r="HG88" s="34"/>
      <c r="HH88" s="34"/>
    </row>
    <row r="89" spans="1:216" ht="15.75" customHeight="1" x14ac:dyDescent="0.3">
      <c r="A89" s="7"/>
      <c r="B89" s="54"/>
      <c r="C89" s="24" t="s">
        <v>156</v>
      </c>
      <c r="D89" s="51"/>
      <c r="E89" s="9">
        <f>GAMBIRAN!AY89+JAJAG!BA89+PURWODADI!AC89+WRINGINAGUNG!AB89+WRINGINREJO!X89+YOSOMULYO!AP89</f>
        <v>11</v>
      </c>
      <c r="F89" s="40"/>
      <c r="G89" s="20"/>
      <c r="H89" s="20"/>
      <c r="I89" s="20"/>
      <c r="J89" s="20"/>
      <c r="K89" s="20"/>
      <c r="L89" s="20"/>
      <c r="M89" s="20"/>
      <c r="N89" s="20"/>
      <c r="O89" s="20"/>
      <c r="P89" s="33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  <c r="HB89" s="34"/>
      <c r="HC89" s="34"/>
      <c r="HD89" s="34"/>
      <c r="HE89" s="34"/>
      <c r="HF89" s="34"/>
      <c r="HG89" s="34"/>
      <c r="HH89" s="34"/>
    </row>
    <row r="90" spans="1:216" ht="15.75" customHeight="1" x14ac:dyDescent="0.3">
      <c r="A90" s="7"/>
      <c r="B90" s="54"/>
      <c r="C90" s="24" t="s">
        <v>157</v>
      </c>
      <c r="D90" s="51"/>
      <c r="E90" s="9">
        <f>GAMBIRAN!AY90+JAJAG!BA90+PURWODADI!AC90+WRINGINAGUNG!AB90+WRINGINREJO!X90+YOSOMULYO!AP90</f>
        <v>42</v>
      </c>
      <c r="F90" s="40"/>
      <c r="G90" s="20"/>
      <c r="H90" s="20"/>
      <c r="I90" s="20"/>
      <c r="J90" s="20"/>
      <c r="K90" s="20"/>
      <c r="L90" s="20"/>
      <c r="M90" s="20"/>
      <c r="N90" s="20"/>
      <c r="O90" s="20"/>
      <c r="P90" s="33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  <c r="HC90" s="34"/>
      <c r="HD90" s="34"/>
      <c r="HE90" s="34"/>
      <c r="HF90" s="34"/>
      <c r="HG90" s="34"/>
      <c r="HH90" s="34"/>
    </row>
    <row r="91" spans="1:216" ht="15.75" customHeight="1" x14ac:dyDescent="0.3">
      <c r="A91" s="6" t="s">
        <v>26</v>
      </c>
      <c r="B91" s="69" t="s">
        <v>51</v>
      </c>
      <c r="C91" s="85"/>
      <c r="D91" s="76"/>
      <c r="E91" s="5">
        <f>SUM(E81:E88)</f>
        <v>3237</v>
      </c>
      <c r="F91" s="40"/>
      <c r="G91" s="20"/>
      <c r="H91" s="20"/>
      <c r="I91" s="20"/>
      <c r="J91" s="20"/>
      <c r="K91" s="20"/>
      <c r="L91" s="20"/>
      <c r="M91" s="20"/>
      <c r="N91" s="20"/>
      <c r="O91" s="20"/>
      <c r="P91" s="33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  <c r="HB91" s="34"/>
      <c r="HC91" s="34"/>
      <c r="HD91" s="34"/>
      <c r="HE91" s="34"/>
      <c r="HF91" s="34"/>
      <c r="HG91" s="34"/>
      <c r="HH91" s="34"/>
    </row>
    <row r="92" spans="1:216" ht="15.75" customHeight="1" x14ac:dyDescent="0.3">
      <c r="A92" s="86"/>
      <c r="B92" s="87"/>
      <c r="C92" s="87"/>
      <c r="D92" s="87"/>
      <c r="E92" s="87"/>
      <c r="F92" s="40"/>
      <c r="G92" s="20"/>
      <c r="H92" s="20"/>
      <c r="I92" s="20"/>
      <c r="J92" s="20"/>
      <c r="K92" s="20"/>
      <c r="L92" s="20"/>
      <c r="M92" s="20"/>
      <c r="N92" s="20"/>
      <c r="O92" s="20"/>
      <c r="P92" s="33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  <c r="HC92" s="34"/>
      <c r="HD92" s="34"/>
      <c r="HE92" s="34"/>
      <c r="HF92" s="34"/>
      <c r="HG92" s="34"/>
      <c r="HH92" s="34"/>
    </row>
    <row r="93" spans="1:216" ht="15.75" customHeight="1" x14ac:dyDescent="0.3">
      <c r="A93" s="11" t="s">
        <v>48</v>
      </c>
      <c r="B93" s="17" t="s">
        <v>55</v>
      </c>
      <c r="C93" s="75" t="s">
        <v>56</v>
      </c>
      <c r="D93" s="76"/>
      <c r="E93" s="9">
        <f>GAMBIRAN!AY93+JAJAG!BA93+PURWODADI!AC93+WRINGINAGUNG!AB93+WRINGINREJO!X93+YOSOMULYO!AP93</f>
        <v>262</v>
      </c>
      <c r="F93" s="41"/>
      <c r="G93" s="1"/>
      <c r="H93" s="1"/>
      <c r="I93" s="1"/>
      <c r="J93" s="1"/>
      <c r="K93" s="1"/>
      <c r="L93" s="1"/>
      <c r="M93" s="1"/>
      <c r="N93" s="1"/>
      <c r="O93" s="1"/>
      <c r="P93" s="35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</row>
    <row r="94" spans="1:216" ht="15.75" customHeight="1" x14ac:dyDescent="0.3">
      <c r="A94" s="11" t="s">
        <v>50</v>
      </c>
      <c r="B94" s="54"/>
      <c r="C94" s="24" t="s">
        <v>158</v>
      </c>
      <c r="D94" s="51"/>
      <c r="E94" s="9">
        <f>GAMBIRAN!AY94+JAJAG!BA94+PURWODADI!AC94+WRINGINAGUNG!AB94+WRINGINREJO!X94+YOSOMULYO!AP94</f>
        <v>704</v>
      </c>
      <c r="F94" s="43"/>
      <c r="G94" s="28"/>
      <c r="H94" s="28"/>
      <c r="I94" s="28"/>
      <c r="J94" s="28"/>
      <c r="K94" s="28"/>
      <c r="L94" s="28"/>
      <c r="M94" s="28"/>
      <c r="N94" s="28"/>
      <c r="O94" s="28"/>
      <c r="P94" s="38"/>
      <c r="Q94" s="31"/>
      <c r="R94" s="31"/>
      <c r="S94" s="31"/>
      <c r="T94" s="31"/>
      <c r="U94" s="31"/>
      <c r="V94" s="31"/>
      <c r="W94" s="39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1"/>
      <c r="BM94" s="31"/>
      <c r="BN94" s="31"/>
      <c r="BO94" s="31"/>
      <c r="BP94" s="31"/>
      <c r="BQ94" s="31"/>
      <c r="BR94" s="39"/>
      <c r="BS94" s="31"/>
      <c r="BT94" s="31"/>
      <c r="BU94" s="31"/>
      <c r="BV94" s="31"/>
      <c r="BW94" s="31"/>
      <c r="BX94" s="31"/>
      <c r="BY94" s="31"/>
      <c r="BZ94" s="31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9"/>
      <c r="EZ94" s="39"/>
      <c r="FA94" s="39"/>
      <c r="FB94" s="39"/>
      <c r="FC94" s="39"/>
      <c r="FD94" s="39"/>
      <c r="FE94" s="39"/>
      <c r="FF94" s="31"/>
      <c r="FG94" s="31"/>
      <c r="FH94" s="31"/>
      <c r="FI94" s="31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  <c r="FX94" s="39"/>
      <c r="FY94" s="39"/>
      <c r="FZ94" s="39"/>
      <c r="GA94" s="39"/>
      <c r="GB94" s="39"/>
      <c r="GC94" s="39"/>
      <c r="GD94" s="39"/>
      <c r="GE94" s="39"/>
      <c r="GF94" s="39"/>
      <c r="GG94" s="39"/>
      <c r="GH94" s="39"/>
      <c r="GI94" s="39"/>
      <c r="GJ94" s="39"/>
      <c r="GK94" s="39"/>
      <c r="GL94" s="39"/>
      <c r="GM94" s="39"/>
      <c r="GN94" s="39"/>
      <c r="GO94" s="39"/>
      <c r="GP94" s="39"/>
      <c r="GQ94" s="39"/>
      <c r="GR94" s="39"/>
      <c r="GS94" s="39"/>
      <c r="GT94" s="39"/>
      <c r="GU94" s="39"/>
      <c r="GV94" s="39"/>
      <c r="GW94" s="39"/>
      <c r="GX94" s="39"/>
      <c r="GY94" s="39"/>
      <c r="GZ94" s="39"/>
      <c r="HA94" s="39"/>
      <c r="HB94" s="39"/>
      <c r="HC94" s="39"/>
      <c r="HD94" s="39"/>
      <c r="HE94" s="39"/>
      <c r="HF94" s="39"/>
      <c r="HG94" s="39"/>
      <c r="HH94" s="39"/>
    </row>
    <row r="95" spans="1:216" ht="15.75" customHeight="1" x14ac:dyDescent="0.3">
      <c r="A95" s="7"/>
      <c r="B95" s="54"/>
      <c r="C95" s="24" t="s">
        <v>159</v>
      </c>
      <c r="D95" s="51"/>
      <c r="E95" s="9">
        <f>GAMBIRAN!AY95+JAJAG!BA95+PURWODADI!AC95+WRINGINAGUNG!AB95+WRINGINREJO!X95+YOSOMULYO!AP95</f>
        <v>39</v>
      </c>
      <c r="F95" s="40"/>
      <c r="G95" s="20"/>
      <c r="H95" s="20"/>
      <c r="I95" s="20"/>
      <c r="J95" s="20"/>
      <c r="K95" s="20"/>
      <c r="L95" s="20"/>
      <c r="M95" s="20"/>
      <c r="N95" s="20"/>
      <c r="O95" s="20"/>
      <c r="P95" s="33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  <c r="GX95" s="34"/>
      <c r="GY95" s="34"/>
      <c r="GZ95" s="34"/>
      <c r="HA95" s="34"/>
      <c r="HB95" s="34"/>
      <c r="HC95" s="34"/>
      <c r="HD95" s="34"/>
      <c r="HE95" s="34"/>
      <c r="HF95" s="34"/>
      <c r="HG95" s="34"/>
      <c r="HH95" s="34"/>
    </row>
    <row r="96" spans="1:216" ht="15.75" customHeight="1" x14ac:dyDescent="0.3">
      <c r="A96" s="7"/>
      <c r="B96" s="54"/>
      <c r="C96" s="24" t="s">
        <v>160</v>
      </c>
      <c r="D96" s="51"/>
      <c r="E96" s="9">
        <f>GAMBIRAN!AY96+JAJAG!BA96+PURWODADI!AC96+WRINGINAGUNG!AB96+WRINGINREJO!X96+YOSOMULYO!AP96</f>
        <v>22</v>
      </c>
      <c r="F96" s="40"/>
      <c r="G96" s="20"/>
      <c r="H96" s="20"/>
      <c r="I96" s="20"/>
      <c r="J96" s="20"/>
      <c r="K96" s="20"/>
      <c r="L96" s="20"/>
      <c r="M96" s="20"/>
      <c r="N96" s="20"/>
      <c r="O96" s="20"/>
      <c r="P96" s="33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  <c r="GX96" s="34"/>
      <c r="GY96" s="34"/>
      <c r="GZ96" s="34"/>
      <c r="HA96" s="34"/>
      <c r="HB96" s="34"/>
      <c r="HC96" s="34"/>
      <c r="HD96" s="34"/>
      <c r="HE96" s="34"/>
      <c r="HF96" s="34"/>
      <c r="HG96" s="34"/>
      <c r="HH96" s="34"/>
    </row>
    <row r="97" spans="1:216" ht="15.75" customHeight="1" x14ac:dyDescent="0.3">
      <c r="A97" s="7"/>
      <c r="B97" s="54"/>
      <c r="C97" s="24" t="s">
        <v>161</v>
      </c>
      <c r="D97" s="51"/>
      <c r="E97" s="9">
        <f>GAMBIRAN!AY97+JAJAG!BA97+PURWODADI!AC97+WRINGINAGUNG!AB97+WRINGINREJO!X97+YOSOMULYO!AP97</f>
        <v>40</v>
      </c>
      <c r="F97" s="40"/>
      <c r="G97" s="20"/>
      <c r="H97" s="20"/>
      <c r="I97" s="20"/>
      <c r="J97" s="20"/>
      <c r="K97" s="20"/>
      <c r="L97" s="20"/>
      <c r="M97" s="20"/>
      <c r="N97" s="20"/>
      <c r="O97" s="20"/>
      <c r="P97" s="33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4"/>
      <c r="GN97" s="34"/>
      <c r="GO97" s="34"/>
      <c r="GP97" s="34"/>
      <c r="GQ97" s="34"/>
      <c r="GR97" s="34"/>
      <c r="GS97" s="34"/>
      <c r="GT97" s="34"/>
      <c r="GU97" s="34"/>
      <c r="GV97" s="34"/>
      <c r="GW97" s="34"/>
      <c r="GX97" s="34"/>
      <c r="GY97" s="34"/>
      <c r="GZ97" s="34"/>
      <c r="HA97" s="34"/>
      <c r="HB97" s="34"/>
      <c r="HC97" s="34"/>
      <c r="HD97" s="34"/>
      <c r="HE97" s="34"/>
      <c r="HF97" s="34"/>
      <c r="HG97" s="34"/>
      <c r="HH97" s="34"/>
    </row>
    <row r="98" spans="1:216" ht="15.75" customHeight="1" x14ac:dyDescent="0.3">
      <c r="A98" s="7"/>
      <c r="B98" s="54"/>
      <c r="C98" s="24" t="s">
        <v>162</v>
      </c>
      <c r="D98" s="51"/>
      <c r="E98" s="9">
        <f>GAMBIRAN!AY98+JAJAG!BA98+PURWODADI!AC98+WRINGINAGUNG!AB98+WRINGINREJO!X98+YOSOMULYO!AP98</f>
        <v>28</v>
      </c>
      <c r="F98" s="40"/>
      <c r="G98" s="20"/>
      <c r="H98" s="20"/>
      <c r="I98" s="20"/>
      <c r="J98" s="20"/>
      <c r="K98" s="20"/>
      <c r="L98" s="20"/>
      <c r="M98" s="20"/>
      <c r="N98" s="20"/>
      <c r="O98" s="20"/>
      <c r="P98" s="33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  <c r="GX98" s="34"/>
      <c r="GY98" s="34"/>
      <c r="GZ98" s="34"/>
      <c r="HA98" s="34"/>
      <c r="HB98" s="34"/>
      <c r="HC98" s="34"/>
      <c r="HD98" s="34"/>
      <c r="HE98" s="34"/>
      <c r="HF98" s="34"/>
      <c r="HG98" s="34"/>
      <c r="HH98" s="34"/>
    </row>
    <row r="99" spans="1:216" ht="15.75" customHeight="1" x14ac:dyDescent="0.3">
      <c r="A99" s="7"/>
      <c r="B99" s="54"/>
      <c r="C99" s="24" t="s">
        <v>163</v>
      </c>
      <c r="D99" s="51"/>
      <c r="E99" s="9">
        <f>GAMBIRAN!AY99+JAJAG!BA99+PURWODADI!AC99+WRINGINAGUNG!AB99+WRINGINREJO!X99+YOSOMULYO!AP99</f>
        <v>10</v>
      </c>
      <c r="F99" s="40"/>
      <c r="G99" s="20"/>
      <c r="H99" s="20"/>
      <c r="I99" s="20"/>
      <c r="J99" s="20"/>
      <c r="K99" s="20"/>
      <c r="L99" s="20"/>
      <c r="M99" s="20"/>
      <c r="N99" s="20"/>
      <c r="O99" s="20"/>
      <c r="P99" s="33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  <c r="GX99" s="34"/>
      <c r="GY99" s="34"/>
      <c r="GZ99" s="34"/>
      <c r="HA99" s="34"/>
      <c r="HB99" s="34"/>
      <c r="HC99" s="34"/>
      <c r="HD99" s="34"/>
      <c r="HE99" s="34"/>
      <c r="HF99" s="34"/>
      <c r="HG99" s="34"/>
      <c r="HH99" s="34"/>
    </row>
    <row r="100" spans="1:216" ht="15.75" customHeight="1" x14ac:dyDescent="0.3">
      <c r="A100" s="7"/>
      <c r="B100" s="54"/>
      <c r="C100" s="24" t="s">
        <v>164</v>
      </c>
      <c r="D100" s="51"/>
      <c r="E100" s="9">
        <f>GAMBIRAN!AY100+JAJAG!BA100+PURWODADI!AC100+WRINGINAGUNG!AB100+WRINGINREJO!X100+YOSOMULYO!AP100</f>
        <v>4</v>
      </c>
      <c r="F100" s="40"/>
      <c r="G100" s="20"/>
      <c r="H100" s="20"/>
      <c r="I100" s="20"/>
      <c r="J100" s="20"/>
      <c r="K100" s="20"/>
      <c r="L100" s="20"/>
      <c r="M100" s="20"/>
      <c r="N100" s="20"/>
      <c r="O100" s="20"/>
      <c r="P100" s="33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  <c r="GX100" s="34"/>
      <c r="GY100" s="34"/>
      <c r="GZ100" s="34"/>
      <c r="HA100" s="34"/>
      <c r="HB100" s="34"/>
      <c r="HC100" s="34"/>
      <c r="HD100" s="34"/>
      <c r="HE100" s="34"/>
      <c r="HF100" s="34"/>
      <c r="HG100" s="34"/>
      <c r="HH100" s="34"/>
    </row>
    <row r="101" spans="1:216" ht="15.75" customHeight="1" x14ac:dyDescent="0.3">
      <c r="A101" s="7"/>
      <c r="B101" s="54"/>
      <c r="C101" s="24" t="s">
        <v>165</v>
      </c>
      <c r="D101" s="51"/>
      <c r="E101" s="9">
        <f>GAMBIRAN!AY101+JAJAG!BA101+PURWODADI!AC101+WRINGINAGUNG!AB101+WRINGINREJO!X101+YOSOMULYO!AP101</f>
        <v>10</v>
      </c>
      <c r="F101" s="40"/>
      <c r="G101" s="20"/>
      <c r="H101" s="20"/>
      <c r="I101" s="20"/>
      <c r="J101" s="20"/>
      <c r="K101" s="20"/>
      <c r="L101" s="20"/>
      <c r="M101" s="20"/>
      <c r="N101" s="20"/>
      <c r="O101" s="20"/>
      <c r="P101" s="33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  <c r="FS101" s="34"/>
      <c r="FT101" s="34"/>
      <c r="FU101" s="34"/>
      <c r="FV101" s="34"/>
      <c r="FW101" s="34"/>
      <c r="FX101" s="34"/>
      <c r="FY101" s="34"/>
      <c r="FZ101" s="34"/>
      <c r="GA101" s="34"/>
      <c r="GB101" s="34"/>
      <c r="GC101" s="34"/>
      <c r="GD101" s="34"/>
      <c r="GE101" s="34"/>
      <c r="GF101" s="34"/>
      <c r="GG101" s="34"/>
      <c r="GH101" s="34"/>
      <c r="GI101" s="34"/>
      <c r="GJ101" s="34"/>
      <c r="GK101" s="34"/>
      <c r="GL101" s="34"/>
      <c r="GM101" s="34"/>
      <c r="GN101" s="34"/>
      <c r="GO101" s="34"/>
      <c r="GP101" s="34"/>
      <c r="GQ101" s="34"/>
      <c r="GR101" s="34"/>
      <c r="GS101" s="34"/>
      <c r="GT101" s="34"/>
      <c r="GU101" s="34"/>
      <c r="GV101" s="34"/>
      <c r="GW101" s="34"/>
      <c r="GX101" s="34"/>
      <c r="GY101" s="34"/>
      <c r="GZ101" s="34"/>
      <c r="HA101" s="34"/>
      <c r="HB101" s="34"/>
      <c r="HC101" s="34"/>
      <c r="HD101" s="34"/>
      <c r="HE101" s="34"/>
      <c r="HF101" s="34"/>
      <c r="HG101" s="34"/>
      <c r="HH101" s="34"/>
    </row>
    <row r="102" spans="1:216" ht="15.75" customHeight="1" x14ac:dyDescent="0.3">
      <c r="A102" s="7"/>
      <c r="B102" s="54"/>
      <c r="C102" s="24" t="s">
        <v>166</v>
      </c>
      <c r="D102" s="51"/>
      <c r="E102" s="9">
        <f>GAMBIRAN!AY102+JAJAG!BA102+PURWODADI!AC102+WRINGINAGUNG!AB102+WRINGINREJO!X102+YOSOMULYO!AP102</f>
        <v>4</v>
      </c>
      <c r="F102" s="40"/>
      <c r="G102" s="20"/>
      <c r="H102" s="20"/>
      <c r="I102" s="20"/>
      <c r="J102" s="20"/>
      <c r="K102" s="20"/>
      <c r="L102" s="20"/>
      <c r="M102" s="20"/>
      <c r="N102" s="20"/>
      <c r="O102" s="20"/>
      <c r="P102" s="33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34"/>
      <c r="FX102" s="34"/>
      <c r="FY102" s="34"/>
      <c r="FZ102" s="34"/>
      <c r="GA102" s="34"/>
      <c r="GB102" s="34"/>
      <c r="GC102" s="34"/>
      <c r="GD102" s="34"/>
      <c r="GE102" s="34"/>
      <c r="GF102" s="34"/>
      <c r="GG102" s="34"/>
      <c r="GH102" s="34"/>
      <c r="GI102" s="34"/>
      <c r="GJ102" s="34"/>
      <c r="GK102" s="34"/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  <c r="HB102" s="34"/>
      <c r="HC102" s="34"/>
      <c r="HD102" s="34"/>
      <c r="HE102" s="34"/>
      <c r="HF102" s="34"/>
      <c r="HG102" s="34"/>
      <c r="HH102" s="34"/>
    </row>
    <row r="103" spans="1:216" ht="15.75" customHeight="1" x14ac:dyDescent="0.3">
      <c r="A103" s="6" t="s">
        <v>26</v>
      </c>
      <c r="B103" s="69" t="s">
        <v>51</v>
      </c>
      <c r="C103" s="85"/>
      <c r="D103" s="76"/>
      <c r="E103" s="5">
        <f>SUM(E93:E100)</f>
        <v>1109</v>
      </c>
      <c r="F103" s="40"/>
      <c r="G103" s="20"/>
      <c r="H103" s="20"/>
      <c r="I103" s="20"/>
      <c r="J103" s="20"/>
      <c r="K103" s="20"/>
      <c r="L103" s="20"/>
      <c r="M103" s="20"/>
      <c r="N103" s="20"/>
      <c r="O103" s="20"/>
      <c r="P103" s="33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  <c r="FS103" s="34"/>
      <c r="FT103" s="34"/>
      <c r="FU103" s="34"/>
      <c r="FV103" s="34"/>
      <c r="FW103" s="34"/>
      <c r="FX103" s="34"/>
      <c r="FY103" s="34"/>
      <c r="FZ103" s="34"/>
      <c r="GA103" s="34"/>
      <c r="GB103" s="34"/>
      <c r="GC103" s="34"/>
      <c r="GD103" s="34"/>
      <c r="GE103" s="34"/>
      <c r="GF103" s="34"/>
      <c r="GG103" s="34"/>
      <c r="GH103" s="34"/>
      <c r="GI103" s="34"/>
      <c r="GJ103" s="34"/>
      <c r="GK103" s="34"/>
      <c r="GL103" s="34"/>
      <c r="GM103" s="34"/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  <c r="HB103" s="34"/>
      <c r="HC103" s="34"/>
      <c r="HD103" s="34"/>
      <c r="HE103" s="34"/>
      <c r="HF103" s="34"/>
      <c r="HG103" s="34"/>
      <c r="HH103" s="34"/>
    </row>
    <row r="104" spans="1:216" ht="15.75" customHeight="1" x14ac:dyDescent="0.3">
      <c r="A104" s="86"/>
      <c r="B104" s="87"/>
      <c r="C104" s="87"/>
      <c r="D104" s="87"/>
      <c r="E104" s="87"/>
      <c r="F104" s="40"/>
      <c r="G104" s="20"/>
      <c r="H104" s="20"/>
      <c r="I104" s="20"/>
      <c r="J104" s="20"/>
      <c r="K104" s="20"/>
      <c r="L104" s="20"/>
      <c r="M104" s="20"/>
      <c r="N104" s="20"/>
      <c r="O104" s="20"/>
      <c r="P104" s="33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  <c r="FS104" s="34"/>
      <c r="FT104" s="34"/>
      <c r="FU104" s="34"/>
      <c r="FV104" s="34"/>
      <c r="FW104" s="34"/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  <c r="HB104" s="34"/>
      <c r="HC104" s="34"/>
      <c r="HD104" s="34"/>
      <c r="HE104" s="34"/>
      <c r="HF104" s="34"/>
      <c r="HG104" s="34"/>
      <c r="HH104" s="34"/>
    </row>
    <row r="105" spans="1:216" ht="15.75" customHeight="1" x14ac:dyDescent="0.3">
      <c r="A105" s="11" t="s">
        <v>48</v>
      </c>
      <c r="B105" s="17" t="s">
        <v>57</v>
      </c>
      <c r="C105" s="75" t="s">
        <v>58</v>
      </c>
      <c r="D105" s="76"/>
      <c r="E105" s="9">
        <f>GAMBIRAN!AY105+JAJAG!BA105+PURWODADI!AC105+WRINGINAGUNG!AB105+WRINGINREJO!X105+YOSOMULYO!AP105</f>
        <v>185</v>
      </c>
      <c r="F105" s="41"/>
      <c r="G105" s="1"/>
      <c r="H105" s="1"/>
      <c r="I105" s="1"/>
      <c r="J105" s="1"/>
      <c r="K105" s="1"/>
      <c r="L105" s="1"/>
      <c r="M105" s="1"/>
      <c r="N105" s="1"/>
      <c r="O105" s="1"/>
      <c r="P105" s="35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</row>
    <row r="106" spans="1:216" ht="15.75" customHeight="1" x14ac:dyDescent="0.3">
      <c r="A106" s="11" t="s">
        <v>50</v>
      </c>
      <c r="B106" s="54"/>
      <c r="C106" s="24" t="s">
        <v>167</v>
      </c>
      <c r="D106" s="51"/>
      <c r="E106" s="9">
        <f>GAMBIRAN!AY106+JAJAG!BA106+PURWODADI!AC106+WRINGINAGUNG!AB106+WRINGINREJO!X106+YOSOMULYO!AP106</f>
        <v>61</v>
      </c>
      <c r="F106" s="43"/>
      <c r="G106" s="28"/>
      <c r="H106" s="28"/>
      <c r="I106" s="28"/>
      <c r="J106" s="28"/>
      <c r="K106" s="28"/>
      <c r="L106" s="28"/>
      <c r="M106" s="28"/>
      <c r="N106" s="28"/>
      <c r="O106" s="28"/>
      <c r="P106" s="38"/>
      <c r="Q106" s="31"/>
      <c r="R106" s="31"/>
      <c r="S106" s="31"/>
      <c r="T106" s="31"/>
      <c r="U106" s="31"/>
      <c r="V106" s="31"/>
      <c r="W106" s="39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1"/>
      <c r="BM106" s="31"/>
      <c r="BN106" s="31"/>
      <c r="BO106" s="31"/>
      <c r="BP106" s="31"/>
      <c r="BQ106" s="31"/>
      <c r="BR106" s="39"/>
      <c r="BS106" s="31"/>
      <c r="BT106" s="31"/>
      <c r="BU106" s="31"/>
      <c r="BV106" s="31"/>
      <c r="BW106" s="31"/>
      <c r="BX106" s="31"/>
      <c r="BY106" s="31"/>
      <c r="BZ106" s="31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9"/>
      <c r="EZ106" s="39"/>
      <c r="FA106" s="39"/>
      <c r="FB106" s="39"/>
      <c r="FC106" s="39"/>
      <c r="FD106" s="39"/>
      <c r="FE106" s="39"/>
      <c r="FF106" s="31"/>
      <c r="FG106" s="31"/>
      <c r="FH106" s="31"/>
      <c r="FI106" s="31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 s="39"/>
      <c r="GL106" s="39"/>
      <c r="GM106" s="39"/>
      <c r="GN106" s="39"/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</row>
    <row r="107" spans="1:216" ht="15.75" customHeight="1" x14ac:dyDescent="0.3">
      <c r="A107" s="7"/>
      <c r="B107" s="54"/>
      <c r="C107" s="24" t="s">
        <v>168</v>
      </c>
      <c r="D107" s="51"/>
      <c r="E107" s="9">
        <f>GAMBIRAN!AY107+JAJAG!BA107+PURWODADI!AC107+WRINGINAGUNG!AB107+WRINGINREJO!X107+YOSOMULYO!AP107</f>
        <v>33</v>
      </c>
      <c r="F107" s="40"/>
      <c r="G107" s="20"/>
      <c r="H107" s="20"/>
      <c r="I107" s="20"/>
      <c r="J107" s="20"/>
      <c r="K107" s="20"/>
      <c r="L107" s="20"/>
      <c r="M107" s="20"/>
      <c r="N107" s="20"/>
      <c r="O107" s="20"/>
      <c r="P107" s="33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  <c r="FS107" s="34"/>
      <c r="FT107" s="34"/>
      <c r="FU107" s="34"/>
      <c r="FV107" s="34"/>
      <c r="FW107" s="34"/>
      <c r="FX107" s="34"/>
      <c r="FY107" s="34"/>
      <c r="FZ107" s="34"/>
      <c r="GA107" s="34"/>
      <c r="GB107" s="34"/>
      <c r="GC107" s="34"/>
      <c r="GD107" s="34"/>
      <c r="GE107" s="34"/>
      <c r="GF107" s="34"/>
      <c r="GG107" s="34"/>
      <c r="GH107" s="34"/>
      <c r="GI107" s="34"/>
      <c r="GJ107" s="34"/>
      <c r="GK107" s="34"/>
      <c r="GL107" s="34"/>
      <c r="GM107" s="34"/>
      <c r="GN107" s="34"/>
      <c r="GO107" s="34"/>
      <c r="GP107" s="34"/>
      <c r="GQ107" s="34"/>
      <c r="GR107" s="34"/>
      <c r="GS107" s="34"/>
      <c r="GT107" s="34"/>
      <c r="GU107" s="34"/>
      <c r="GV107" s="34"/>
      <c r="GW107" s="34"/>
      <c r="GX107" s="34"/>
      <c r="GY107" s="34"/>
      <c r="GZ107" s="34"/>
      <c r="HA107" s="34"/>
      <c r="HB107" s="34"/>
      <c r="HC107" s="34"/>
      <c r="HD107" s="34"/>
      <c r="HE107" s="34"/>
      <c r="HF107" s="34"/>
      <c r="HG107" s="34"/>
      <c r="HH107" s="34"/>
    </row>
    <row r="108" spans="1:216" ht="15.75" customHeight="1" x14ac:dyDescent="0.3">
      <c r="A108" s="7"/>
      <c r="B108" s="46"/>
      <c r="C108" s="47"/>
      <c r="D108" s="49"/>
      <c r="E108" s="60"/>
      <c r="F108" s="40"/>
      <c r="G108" s="20"/>
      <c r="H108" s="20"/>
      <c r="I108" s="20"/>
      <c r="J108" s="20"/>
      <c r="K108" s="20"/>
      <c r="L108" s="20"/>
      <c r="M108" s="20"/>
      <c r="N108" s="20"/>
      <c r="O108" s="20"/>
      <c r="P108" s="33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  <c r="FS108" s="34"/>
      <c r="FT108" s="34"/>
      <c r="FU108" s="34"/>
      <c r="FV108" s="34"/>
      <c r="FW108" s="34"/>
      <c r="FX108" s="34"/>
      <c r="FY108" s="34"/>
      <c r="FZ108" s="34"/>
      <c r="GA108" s="34"/>
      <c r="GB108" s="34"/>
      <c r="GC108" s="34"/>
      <c r="GD108" s="34"/>
      <c r="GE108" s="34"/>
      <c r="GF108" s="34"/>
      <c r="GG108" s="34"/>
      <c r="GH108" s="34"/>
      <c r="GI108" s="34"/>
      <c r="GJ108" s="34"/>
      <c r="GK108" s="34"/>
      <c r="GL108" s="34"/>
      <c r="GM108" s="34"/>
      <c r="GN108" s="34"/>
      <c r="GO108" s="34"/>
      <c r="GP108" s="34"/>
      <c r="GQ108" s="34"/>
      <c r="GR108" s="34"/>
      <c r="GS108" s="34"/>
      <c r="GT108" s="34"/>
      <c r="GU108" s="34"/>
      <c r="GV108" s="34"/>
      <c r="GW108" s="34"/>
      <c r="GX108" s="34"/>
      <c r="GY108" s="34"/>
      <c r="GZ108" s="34"/>
      <c r="HA108" s="34"/>
      <c r="HB108" s="34"/>
      <c r="HC108" s="34"/>
      <c r="HD108" s="34"/>
      <c r="HE108" s="34"/>
      <c r="HF108" s="34"/>
      <c r="HG108" s="34"/>
      <c r="HH108" s="34"/>
    </row>
    <row r="109" spans="1:216" ht="15.75" customHeight="1" x14ac:dyDescent="0.3">
      <c r="A109" s="7"/>
      <c r="B109" s="46"/>
      <c r="C109" s="47"/>
      <c r="D109" s="49"/>
      <c r="E109" s="60"/>
      <c r="F109" s="40"/>
      <c r="G109" s="20"/>
      <c r="H109" s="20"/>
      <c r="I109" s="20"/>
      <c r="J109" s="20"/>
      <c r="K109" s="20"/>
      <c r="L109" s="20"/>
      <c r="M109" s="20"/>
      <c r="N109" s="20"/>
      <c r="O109" s="20"/>
      <c r="P109" s="33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  <c r="FS109" s="34"/>
      <c r="FT109" s="34"/>
      <c r="FU109" s="34"/>
      <c r="FV109" s="34"/>
      <c r="FW109" s="34"/>
      <c r="FX109" s="34"/>
      <c r="FY109" s="34"/>
      <c r="FZ109" s="34"/>
      <c r="GA109" s="34"/>
      <c r="GB109" s="34"/>
      <c r="GC109" s="34"/>
      <c r="GD109" s="34"/>
      <c r="GE109" s="34"/>
      <c r="GF109" s="34"/>
      <c r="GG109" s="34"/>
      <c r="GH109" s="34"/>
      <c r="GI109" s="34"/>
      <c r="GJ109" s="34"/>
      <c r="GK109" s="34"/>
      <c r="GL109" s="34"/>
      <c r="GM109" s="34"/>
      <c r="GN109" s="34"/>
      <c r="GO109" s="34"/>
      <c r="GP109" s="34"/>
      <c r="GQ109" s="34"/>
      <c r="GR109" s="34"/>
      <c r="GS109" s="34"/>
      <c r="GT109" s="34"/>
      <c r="GU109" s="34"/>
      <c r="GV109" s="34"/>
      <c r="GW109" s="34"/>
      <c r="GX109" s="34"/>
      <c r="GY109" s="34"/>
      <c r="GZ109" s="34"/>
      <c r="HA109" s="34"/>
      <c r="HB109" s="34"/>
      <c r="HC109" s="34"/>
      <c r="HD109" s="34"/>
      <c r="HE109" s="34"/>
      <c r="HF109" s="34"/>
      <c r="HG109" s="34"/>
      <c r="HH109" s="34"/>
    </row>
    <row r="110" spans="1:216" ht="15.75" customHeight="1" x14ac:dyDescent="0.3">
      <c r="A110" s="7"/>
      <c r="B110" s="46"/>
      <c r="C110" s="47"/>
      <c r="D110" s="49"/>
      <c r="E110" s="60"/>
      <c r="F110" s="40"/>
      <c r="G110" s="20"/>
      <c r="H110" s="20"/>
      <c r="I110" s="20"/>
      <c r="J110" s="20"/>
      <c r="K110" s="20"/>
      <c r="L110" s="20"/>
      <c r="M110" s="20"/>
      <c r="N110" s="20"/>
      <c r="O110" s="20"/>
      <c r="P110" s="33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  <c r="GO110" s="34"/>
      <c r="GP110" s="34"/>
      <c r="GQ110" s="34"/>
      <c r="GR110" s="34"/>
      <c r="GS110" s="34"/>
      <c r="GT110" s="34"/>
      <c r="GU110" s="34"/>
      <c r="GV110" s="34"/>
      <c r="GW110" s="34"/>
      <c r="GX110" s="34"/>
      <c r="GY110" s="34"/>
      <c r="GZ110" s="34"/>
      <c r="HA110" s="34"/>
      <c r="HB110" s="34"/>
      <c r="HC110" s="34"/>
      <c r="HD110" s="34"/>
      <c r="HE110" s="34"/>
      <c r="HF110" s="34"/>
      <c r="HG110" s="34"/>
      <c r="HH110" s="34"/>
    </row>
    <row r="111" spans="1:216" ht="15.75" customHeight="1" x14ac:dyDescent="0.3">
      <c r="A111" s="7"/>
      <c r="B111" s="46"/>
      <c r="C111" s="47"/>
      <c r="D111" s="49"/>
      <c r="E111" s="60"/>
      <c r="F111" s="40"/>
      <c r="G111" s="20"/>
      <c r="H111" s="20"/>
      <c r="I111" s="20"/>
      <c r="J111" s="20"/>
      <c r="K111" s="20"/>
      <c r="L111" s="20"/>
      <c r="M111" s="20"/>
      <c r="N111" s="20"/>
      <c r="O111" s="20"/>
      <c r="P111" s="33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  <c r="GN111" s="34"/>
      <c r="GO111" s="34"/>
      <c r="GP111" s="34"/>
      <c r="GQ111" s="34"/>
      <c r="GR111" s="34"/>
      <c r="GS111" s="34"/>
      <c r="GT111" s="34"/>
      <c r="GU111" s="34"/>
      <c r="GV111" s="34"/>
      <c r="GW111" s="34"/>
      <c r="GX111" s="34"/>
      <c r="GY111" s="34"/>
      <c r="GZ111" s="34"/>
      <c r="HA111" s="34"/>
      <c r="HB111" s="34"/>
      <c r="HC111" s="34"/>
      <c r="HD111" s="34"/>
      <c r="HE111" s="34"/>
      <c r="HF111" s="34"/>
      <c r="HG111" s="34"/>
      <c r="HH111" s="34"/>
    </row>
    <row r="112" spans="1:216" ht="15.75" customHeight="1" x14ac:dyDescent="0.3">
      <c r="A112" s="7"/>
      <c r="B112" s="46"/>
      <c r="C112" s="47"/>
      <c r="D112" s="49"/>
      <c r="E112" s="60"/>
      <c r="F112" s="41"/>
      <c r="G112" s="1"/>
      <c r="H112" s="1"/>
      <c r="I112" s="1"/>
      <c r="J112" s="1"/>
      <c r="K112" s="1"/>
      <c r="L112" s="1"/>
      <c r="M112" s="1"/>
      <c r="N112" s="1"/>
      <c r="O112" s="1"/>
      <c r="P112" s="35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  <c r="GY112" s="32"/>
      <c r="GZ112" s="32"/>
      <c r="HA112" s="32"/>
      <c r="HB112" s="32"/>
      <c r="HC112" s="32"/>
      <c r="HD112" s="32"/>
      <c r="HE112" s="32"/>
      <c r="HF112" s="32"/>
      <c r="HG112" s="32"/>
      <c r="HH112" s="32"/>
    </row>
    <row r="113" spans="1:216" ht="15.75" customHeight="1" x14ac:dyDescent="0.3">
      <c r="A113" s="7"/>
      <c r="B113" s="46"/>
      <c r="C113" s="47"/>
      <c r="D113" s="49"/>
      <c r="E113" s="60"/>
      <c r="F113" s="41"/>
      <c r="G113" s="1"/>
      <c r="H113" s="1"/>
      <c r="I113" s="1"/>
      <c r="J113" s="1"/>
      <c r="K113" s="1"/>
      <c r="L113" s="1"/>
      <c r="M113" s="1"/>
      <c r="N113" s="1"/>
      <c r="O113" s="1"/>
      <c r="P113" s="35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</row>
    <row r="114" spans="1:216" ht="15.75" customHeight="1" x14ac:dyDescent="0.3">
      <c r="A114" s="7"/>
      <c r="B114" s="46"/>
      <c r="C114" s="47"/>
      <c r="D114" s="49"/>
      <c r="E114" s="60"/>
      <c r="F114" s="41"/>
      <c r="G114" s="1"/>
      <c r="H114" s="1"/>
      <c r="I114" s="1"/>
      <c r="J114" s="1"/>
      <c r="K114" s="1"/>
      <c r="L114" s="1"/>
      <c r="M114" s="1"/>
      <c r="N114" s="1"/>
      <c r="O114" s="1"/>
      <c r="P114" s="35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32"/>
      <c r="GR114" s="32"/>
      <c r="GS114" s="32"/>
      <c r="GT114" s="32"/>
      <c r="GU114" s="32"/>
      <c r="GV114" s="32"/>
      <c r="GW114" s="32"/>
      <c r="GX114" s="32"/>
      <c r="GY114" s="32"/>
      <c r="GZ114" s="32"/>
      <c r="HA114" s="32"/>
      <c r="HB114" s="32"/>
      <c r="HC114" s="32"/>
      <c r="HD114" s="32"/>
      <c r="HE114" s="32"/>
      <c r="HF114" s="32"/>
      <c r="HG114" s="32"/>
      <c r="HH114" s="32"/>
    </row>
    <row r="115" spans="1:216" ht="15.75" customHeight="1" x14ac:dyDescent="0.3">
      <c r="A115" s="6" t="s">
        <v>26</v>
      </c>
      <c r="B115" s="69" t="s">
        <v>51</v>
      </c>
      <c r="C115" s="70"/>
      <c r="D115" s="71"/>
      <c r="E115" s="5">
        <f>SUM(E105:E112)</f>
        <v>279</v>
      </c>
      <c r="F115" s="43"/>
      <c r="G115" s="28"/>
      <c r="H115" s="28"/>
      <c r="I115" s="28"/>
      <c r="J115" s="28"/>
      <c r="K115" s="28"/>
      <c r="L115" s="28"/>
      <c r="M115" s="28"/>
      <c r="N115" s="28"/>
      <c r="O115" s="28"/>
      <c r="P115" s="38"/>
      <c r="Q115" s="31"/>
      <c r="R115" s="31"/>
      <c r="S115" s="31"/>
      <c r="T115" s="31"/>
      <c r="U115" s="31"/>
      <c r="V115" s="31"/>
      <c r="W115" s="39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1"/>
      <c r="BM115" s="31"/>
      <c r="BN115" s="31"/>
      <c r="BO115" s="31"/>
      <c r="BP115" s="31"/>
      <c r="BQ115" s="31"/>
      <c r="BR115" s="39"/>
      <c r="BS115" s="31"/>
      <c r="BT115" s="31"/>
      <c r="BU115" s="31"/>
      <c r="BV115" s="31"/>
      <c r="BW115" s="31"/>
      <c r="BX115" s="31"/>
      <c r="BY115" s="31"/>
      <c r="BZ115" s="31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9"/>
      <c r="EZ115" s="39"/>
      <c r="FA115" s="39"/>
      <c r="FB115" s="39"/>
      <c r="FC115" s="39"/>
      <c r="FD115" s="39"/>
      <c r="FE115" s="39"/>
      <c r="FF115" s="31"/>
      <c r="FG115" s="31"/>
      <c r="FH115" s="31"/>
      <c r="FI115" s="31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  <c r="FU115" s="39"/>
      <c r="FV115" s="39"/>
      <c r="FW115" s="39"/>
      <c r="FX115" s="39"/>
      <c r="FY115" s="39"/>
      <c r="FZ115" s="39"/>
      <c r="GA115" s="39"/>
      <c r="GB115" s="39"/>
      <c r="GC115" s="39"/>
      <c r="GD115" s="39"/>
      <c r="GE115" s="39"/>
      <c r="GF115" s="39"/>
      <c r="GG115" s="39"/>
      <c r="GH115" s="39"/>
      <c r="GI115" s="39"/>
      <c r="GJ115" s="39"/>
      <c r="GK115" s="39"/>
      <c r="GL115" s="39"/>
      <c r="GM115" s="39"/>
      <c r="GN115" s="39"/>
      <c r="GO115" s="39"/>
      <c r="GP115" s="39"/>
      <c r="GQ115" s="39"/>
      <c r="GR115" s="39"/>
      <c r="GS115" s="39"/>
      <c r="GT115" s="39"/>
      <c r="GU115" s="39"/>
      <c r="GV115" s="39"/>
      <c r="GW115" s="39"/>
      <c r="GX115" s="39"/>
      <c r="GY115" s="39"/>
      <c r="GZ115" s="39"/>
      <c r="HA115" s="39"/>
      <c r="HB115" s="39"/>
      <c r="HC115" s="39"/>
      <c r="HD115" s="39"/>
      <c r="HE115" s="39"/>
      <c r="HF115" s="39"/>
      <c r="HG115" s="39"/>
      <c r="HH115" s="39"/>
    </row>
    <row r="116" spans="1:216" ht="15.75" customHeight="1" x14ac:dyDescent="0.3">
      <c r="A116" s="77"/>
      <c r="B116" s="78"/>
      <c r="C116" s="78"/>
      <c r="D116" s="78"/>
      <c r="E116" s="79"/>
      <c r="F116" s="40"/>
      <c r="G116" s="20"/>
      <c r="H116" s="20"/>
      <c r="I116" s="20"/>
      <c r="J116" s="20"/>
      <c r="K116" s="20"/>
      <c r="L116" s="20"/>
      <c r="M116" s="20"/>
      <c r="N116" s="20"/>
      <c r="O116" s="20"/>
      <c r="P116" s="33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  <c r="FS116" s="34"/>
      <c r="FT116" s="34"/>
      <c r="FU116" s="34"/>
      <c r="FV116" s="34"/>
      <c r="FW116" s="34"/>
      <c r="FX116" s="34"/>
      <c r="FY116" s="34"/>
      <c r="FZ116" s="34"/>
      <c r="GA116" s="34"/>
      <c r="GB116" s="34"/>
      <c r="GC116" s="34"/>
      <c r="GD116" s="34"/>
      <c r="GE116" s="34"/>
      <c r="GF116" s="34"/>
      <c r="GG116" s="34"/>
      <c r="GH116" s="34"/>
      <c r="GI116" s="34"/>
      <c r="GJ116" s="34"/>
      <c r="GK116" s="34"/>
      <c r="GL116" s="34"/>
      <c r="GM116" s="34"/>
      <c r="GN116" s="34"/>
      <c r="GO116" s="34"/>
      <c r="GP116" s="34"/>
      <c r="GQ116" s="34"/>
      <c r="GR116" s="34"/>
      <c r="GS116" s="34"/>
      <c r="GT116" s="34"/>
      <c r="GU116" s="34"/>
      <c r="GV116" s="34"/>
      <c r="GW116" s="34"/>
      <c r="GX116" s="34"/>
      <c r="GY116" s="34"/>
      <c r="GZ116" s="34"/>
      <c r="HA116" s="34"/>
      <c r="HB116" s="34"/>
      <c r="HC116" s="34"/>
      <c r="HD116" s="34"/>
      <c r="HE116" s="34"/>
      <c r="HF116" s="34"/>
      <c r="HG116" s="34"/>
      <c r="HH116" s="34"/>
    </row>
    <row r="117" spans="1:216" ht="15.75" customHeight="1" x14ac:dyDescent="0.3">
      <c r="A117" s="11" t="s">
        <v>48</v>
      </c>
      <c r="B117" s="17" t="s">
        <v>59</v>
      </c>
      <c r="C117" s="75" t="s">
        <v>60</v>
      </c>
      <c r="D117" s="76"/>
      <c r="E117" s="9">
        <f>GAMBIRAN!AY117+JAJAG!BA117+PURWODADI!AC117+WRINGINAGUNG!AB117+WRINGINREJO!X117+YOSOMULYO!AP117</f>
        <v>113</v>
      </c>
      <c r="F117" s="40"/>
      <c r="G117" s="20"/>
      <c r="H117" s="20"/>
      <c r="I117" s="20"/>
      <c r="J117" s="20"/>
      <c r="K117" s="20"/>
      <c r="L117" s="20"/>
      <c r="M117" s="20"/>
      <c r="N117" s="20"/>
      <c r="O117" s="20"/>
      <c r="P117" s="33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  <c r="FS117" s="34"/>
      <c r="FT117" s="34"/>
      <c r="FU117" s="34"/>
      <c r="FV117" s="34"/>
      <c r="FW117" s="34"/>
      <c r="FX117" s="34"/>
      <c r="FY117" s="34"/>
      <c r="FZ117" s="34"/>
      <c r="GA117" s="34"/>
      <c r="GB117" s="34"/>
      <c r="GC117" s="34"/>
      <c r="GD117" s="34"/>
      <c r="GE117" s="34"/>
      <c r="GF117" s="34"/>
      <c r="GG117" s="34"/>
      <c r="GH117" s="34"/>
      <c r="GI117" s="34"/>
      <c r="GJ117" s="34"/>
      <c r="GK117" s="34"/>
      <c r="GL117" s="34"/>
      <c r="GM117" s="34"/>
      <c r="GN117" s="34"/>
      <c r="GO117" s="34"/>
      <c r="GP117" s="34"/>
      <c r="GQ117" s="34"/>
      <c r="GR117" s="34"/>
      <c r="GS117" s="34"/>
      <c r="GT117" s="34"/>
      <c r="GU117" s="34"/>
      <c r="GV117" s="34"/>
      <c r="GW117" s="34"/>
      <c r="GX117" s="34"/>
      <c r="GY117" s="34"/>
      <c r="GZ117" s="34"/>
      <c r="HA117" s="34"/>
      <c r="HB117" s="34"/>
      <c r="HC117" s="34"/>
      <c r="HD117" s="34"/>
      <c r="HE117" s="34"/>
      <c r="HF117" s="34"/>
      <c r="HG117" s="34"/>
      <c r="HH117" s="34"/>
    </row>
    <row r="118" spans="1:216" ht="15.75" customHeight="1" x14ac:dyDescent="0.3">
      <c r="A118" s="11" t="s">
        <v>50</v>
      </c>
      <c r="B118" s="54"/>
      <c r="C118" s="24" t="s">
        <v>169</v>
      </c>
      <c r="D118" s="51"/>
      <c r="E118" s="9">
        <f>GAMBIRAN!AY118+JAJAG!BA118+PURWODADI!AC118+WRINGINAGUNG!AB118+WRINGINREJO!X118+YOSOMULYO!AP118</f>
        <v>41</v>
      </c>
      <c r="F118" s="40"/>
      <c r="G118" s="20"/>
      <c r="H118" s="20"/>
      <c r="I118" s="20"/>
      <c r="J118" s="20"/>
      <c r="K118" s="20"/>
      <c r="L118" s="20"/>
      <c r="M118" s="20"/>
      <c r="N118" s="20"/>
      <c r="O118" s="20"/>
      <c r="P118" s="33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  <c r="HB118" s="34"/>
      <c r="HC118" s="34"/>
      <c r="HD118" s="34"/>
      <c r="HE118" s="34"/>
      <c r="HF118" s="34"/>
      <c r="HG118" s="34"/>
      <c r="HH118" s="34"/>
    </row>
    <row r="119" spans="1:216" ht="15.75" customHeight="1" x14ac:dyDescent="0.3">
      <c r="A119" s="7"/>
      <c r="B119" s="54"/>
      <c r="C119" s="24" t="s">
        <v>170</v>
      </c>
      <c r="D119" s="51"/>
      <c r="E119" s="9">
        <f>GAMBIRAN!AY119+JAJAG!BA119+PURWODADI!AC119+WRINGINAGUNG!AB119+WRINGINREJO!X119+YOSOMULYO!AP119</f>
        <v>36</v>
      </c>
      <c r="F119" s="40"/>
      <c r="G119" s="20"/>
      <c r="H119" s="20"/>
      <c r="I119" s="20"/>
      <c r="J119" s="20"/>
      <c r="K119" s="20"/>
      <c r="L119" s="20"/>
      <c r="M119" s="20"/>
      <c r="N119" s="20"/>
      <c r="O119" s="20"/>
      <c r="P119" s="33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34"/>
      <c r="GX119" s="34"/>
      <c r="GY119" s="34"/>
      <c r="GZ119" s="34"/>
      <c r="HA119" s="34"/>
      <c r="HB119" s="34"/>
      <c r="HC119" s="34"/>
      <c r="HD119" s="34"/>
      <c r="HE119" s="34"/>
      <c r="HF119" s="34"/>
      <c r="HG119" s="34"/>
      <c r="HH119" s="34"/>
    </row>
    <row r="120" spans="1:216" ht="15.75" customHeight="1" x14ac:dyDescent="0.3">
      <c r="A120" s="7"/>
      <c r="B120" s="54"/>
      <c r="C120" s="24" t="s">
        <v>171</v>
      </c>
      <c r="D120" s="51"/>
      <c r="E120" s="9">
        <f>GAMBIRAN!AY120+JAJAG!BA120+PURWODADI!AC120+WRINGINAGUNG!AB120+WRINGINREJO!X120+YOSOMULYO!AP120</f>
        <v>20</v>
      </c>
      <c r="F120" s="40"/>
      <c r="G120" s="20"/>
      <c r="H120" s="20"/>
      <c r="I120" s="20"/>
      <c r="J120" s="20"/>
      <c r="K120" s="20"/>
      <c r="L120" s="20"/>
      <c r="M120" s="20"/>
      <c r="N120" s="20"/>
      <c r="O120" s="20"/>
      <c r="P120" s="33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  <c r="HB120" s="34"/>
      <c r="HC120" s="34"/>
      <c r="HD120" s="34"/>
      <c r="HE120" s="34"/>
      <c r="HF120" s="34"/>
      <c r="HG120" s="34"/>
      <c r="HH120" s="34"/>
    </row>
    <row r="121" spans="1:216" ht="15.75" customHeight="1" x14ac:dyDescent="0.3">
      <c r="A121" s="7"/>
      <c r="B121" s="54"/>
      <c r="C121" s="24" t="s">
        <v>172</v>
      </c>
      <c r="D121" s="51"/>
      <c r="E121" s="9">
        <f>GAMBIRAN!AY121+JAJAG!BA121+PURWODADI!AC121+WRINGINAGUNG!AB121+WRINGINREJO!X121+YOSOMULYO!AP121</f>
        <v>12</v>
      </c>
      <c r="F121" s="40"/>
      <c r="G121" s="20"/>
      <c r="H121" s="20"/>
      <c r="I121" s="20"/>
      <c r="J121" s="20"/>
      <c r="K121" s="20"/>
      <c r="L121" s="20"/>
      <c r="M121" s="20"/>
      <c r="N121" s="20"/>
      <c r="O121" s="20"/>
      <c r="P121" s="33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  <c r="GO121" s="34"/>
      <c r="GP121" s="34"/>
      <c r="GQ121" s="34"/>
      <c r="GR121" s="34"/>
      <c r="GS121" s="34"/>
      <c r="GT121" s="34"/>
      <c r="GU121" s="34"/>
      <c r="GV121" s="34"/>
      <c r="GW121" s="34"/>
      <c r="GX121" s="34"/>
      <c r="GY121" s="34"/>
      <c r="GZ121" s="34"/>
      <c r="HA121" s="34"/>
      <c r="HB121" s="34"/>
      <c r="HC121" s="34"/>
      <c r="HD121" s="34"/>
      <c r="HE121" s="34"/>
      <c r="HF121" s="34"/>
      <c r="HG121" s="34"/>
      <c r="HH121" s="34"/>
    </row>
    <row r="122" spans="1:216" ht="15.75" customHeight="1" x14ac:dyDescent="0.3">
      <c r="A122" s="7"/>
      <c r="B122" s="54"/>
      <c r="C122" s="24" t="s">
        <v>173</v>
      </c>
      <c r="D122" s="51"/>
      <c r="E122" s="9">
        <f>GAMBIRAN!AY122+JAJAG!BA122+PURWODADI!AC122+WRINGINAGUNG!AB122+WRINGINREJO!X122+YOSOMULYO!AP122</f>
        <v>8</v>
      </c>
      <c r="F122" s="40"/>
      <c r="G122" s="20"/>
      <c r="H122" s="20"/>
      <c r="I122" s="20"/>
      <c r="J122" s="20"/>
      <c r="K122" s="20"/>
      <c r="L122" s="20"/>
      <c r="M122" s="20"/>
      <c r="N122" s="20"/>
      <c r="O122" s="20"/>
      <c r="P122" s="33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  <c r="FS122" s="34"/>
      <c r="FT122" s="34"/>
      <c r="FU122" s="34"/>
      <c r="FV122" s="34"/>
      <c r="FW122" s="34"/>
      <c r="FX122" s="34"/>
      <c r="FY122" s="34"/>
      <c r="FZ122" s="34"/>
      <c r="GA122" s="34"/>
      <c r="GB122" s="34"/>
      <c r="GC122" s="34"/>
      <c r="GD122" s="34"/>
      <c r="GE122" s="34"/>
      <c r="GF122" s="34"/>
      <c r="GG122" s="34"/>
      <c r="GH122" s="34"/>
      <c r="GI122" s="34"/>
      <c r="GJ122" s="34"/>
      <c r="GK122" s="34"/>
      <c r="GL122" s="34"/>
      <c r="GM122" s="34"/>
      <c r="GN122" s="34"/>
      <c r="GO122" s="34"/>
      <c r="GP122" s="34"/>
      <c r="GQ122" s="34"/>
      <c r="GR122" s="34"/>
      <c r="GS122" s="34"/>
      <c r="GT122" s="34"/>
      <c r="GU122" s="34"/>
      <c r="GV122" s="34"/>
      <c r="GW122" s="34"/>
      <c r="GX122" s="34"/>
      <c r="GY122" s="34"/>
      <c r="GZ122" s="34"/>
      <c r="HA122" s="34"/>
      <c r="HB122" s="34"/>
      <c r="HC122" s="34"/>
      <c r="HD122" s="34"/>
      <c r="HE122" s="34"/>
      <c r="HF122" s="34"/>
      <c r="HG122" s="34"/>
      <c r="HH122" s="34"/>
    </row>
    <row r="123" spans="1:216" ht="15.75" customHeight="1" x14ac:dyDescent="0.3">
      <c r="A123" s="7"/>
      <c r="B123" s="46"/>
      <c r="C123" s="47"/>
      <c r="D123" s="49"/>
      <c r="E123" s="62"/>
      <c r="F123" s="40"/>
      <c r="G123" s="20"/>
      <c r="H123" s="20"/>
      <c r="I123" s="20"/>
      <c r="J123" s="20"/>
      <c r="K123" s="20"/>
      <c r="L123" s="20"/>
      <c r="M123" s="20"/>
      <c r="N123" s="20"/>
      <c r="O123" s="20"/>
      <c r="P123" s="33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34"/>
      <c r="GA123" s="34"/>
      <c r="GB123" s="34"/>
      <c r="GC123" s="34"/>
      <c r="GD123" s="34"/>
      <c r="GE123" s="34"/>
      <c r="GF123" s="34"/>
      <c r="GG123" s="34"/>
      <c r="GH123" s="34"/>
      <c r="GI123" s="34"/>
      <c r="GJ123" s="34"/>
      <c r="GK123" s="34"/>
      <c r="GL123" s="34"/>
      <c r="GM123" s="34"/>
      <c r="GN123" s="34"/>
      <c r="GO123" s="34"/>
      <c r="GP123" s="34"/>
      <c r="GQ123" s="34"/>
      <c r="GR123" s="34"/>
      <c r="GS123" s="34"/>
      <c r="GT123" s="34"/>
      <c r="GU123" s="34"/>
      <c r="GV123" s="34"/>
      <c r="GW123" s="34"/>
      <c r="GX123" s="34"/>
      <c r="GY123" s="34"/>
      <c r="GZ123" s="34"/>
      <c r="HA123" s="34"/>
      <c r="HB123" s="34"/>
      <c r="HC123" s="34"/>
      <c r="HD123" s="34"/>
      <c r="HE123" s="34"/>
      <c r="HF123" s="34"/>
      <c r="HG123" s="34"/>
      <c r="HH123" s="34"/>
    </row>
    <row r="124" spans="1:216" ht="15.75" customHeight="1" x14ac:dyDescent="0.3">
      <c r="A124" s="7"/>
      <c r="B124" s="46"/>
      <c r="C124" s="47"/>
      <c r="D124" s="49"/>
      <c r="E124" s="62"/>
      <c r="F124" s="40"/>
      <c r="G124" s="20"/>
      <c r="H124" s="20"/>
      <c r="I124" s="20"/>
      <c r="J124" s="20"/>
      <c r="K124" s="20"/>
      <c r="L124" s="20"/>
      <c r="M124" s="20"/>
      <c r="N124" s="20"/>
      <c r="O124" s="20"/>
      <c r="P124" s="33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  <c r="HB124" s="34"/>
      <c r="HC124" s="34"/>
      <c r="HD124" s="34"/>
      <c r="HE124" s="34"/>
      <c r="HF124" s="34"/>
      <c r="HG124" s="34"/>
      <c r="HH124" s="34"/>
    </row>
    <row r="125" spans="1:216" ht="15.75" customHeight="1" x14ac:dyDescent="0.3">
      <c r="A125" s="7"/>
      <c r="B125" s="46"/>
      <c r="C125" s="47"/>
      <c r="D125" s="49"/>
      <c r="E125" s="62"/>
      <c r="F125" s="40"/>
      <c r="G125" s="20"/>
      <c r="H125" s="20"/>
      <c r="I125" s="20"/>
      <c r="J125" s="20"/>
      <c r="K125" s="20"/>
      <c r="L125" s="20"/>
      <c r="M125" s="20"/>
      <c r="N125" s="20"/>
      <c r="O125" s="20"/>
      <c r="P125" s="33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34"/>
      <c r="GA125" s="34"/>
      <c r="GB125" s="34"/>
      <c r="GC125" s="34"/>
      <c r="GD125" s="34"/>
      <c r="GE125" s="34"/>
      <c r="GF125" s="34"/>
      <c r="GG125" s="34"/>
      <c r="GH125" s="34"/>
      <c r="GI125" s="34"/>
      <c r="GJ125" s="34"/>
      <c r="GK125" s="34"/>
      <c r="GL125" s="34"/>
      <c r="GM125" s="34"/>
      <c r="GN125" s="34"/>
      <c r="GO125" s="34"/>
      <c r="GP125" s="34"/>
      <c r="GQ125" s="34"/>
      <c r="GR125" s="34"/>
      <c r="GS125" s="34"/>
      <c r="GT125" s="34"/>
      <c r="GU125" s="34"/>
      <c r="GV125" s="34"/>
      <c r="GW125" s="34"/>
      <c r="GX125" s="34"/>
      <c r="GY125" s="34"/>
      <c r="GZ125" s="34"/>
      <c r="HA125" s="34"/>
      <c r="HB125" s="34"/>
      <c r="HC125" s="34"/>
      <c r="HD125" s="34"/>
      <c r="HE125" s="34"/>
      <c r="HF125" s="34"/>
      <c r="HG125" s="34"/>
      <c r="HH125" s="34"/>
    </row>
    <row r="126" spans="1:216" ht="15.75" customHeight="1" x14ac:dyDescent="0.3">
      <c r="A126" s="7"/>
      <c r="B126" s="46"/>
      <c r="C126" s="47"/>
      <c r="D126" s="49"/>
      <c r="E126" s="62"/>
      <c r="F126" s="40"/>
      <c r="G126" s="20"/>
      <c r="H126" s="20"/>
      <c r="I126" s="20"/>
      <c r="J126" s="20"/>
      <c r="K126" s="20"/>
      <c r="L126" s="20"/>
      <c r="M126" s="20"/>
      <c r="N126" s="20"/>
      <c r="O126" s="20"/>
      <c r="P126" s="33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  <c r="HB126" s="34"/>
      <c r="HC126" s="34"/>
      <c r="HD126" s="34"/>
      <c r="HE126" s="34"/>
      <c r="HF126" s="34"/>
      <c r="HG126" s="34"/>
      <c r="HH126" s="34"/>
    </row>
    <row r="127" spans="1:216" ht="15.75" customHeight="1" x14ac:dyDescent="0.3">
      <c r="A127" s="6" t="s">
        <v>26</v>
      </c>
      <c r="B127" s="69" t="s">
        <v>51</v>
      </c>
      <c r="C127" s="70"/>
      <c r="D127" s="71"/>
      <c r="E127" s="26">
        <f>SUM(E117:E120)</f>
        <v>210</v>
      </c>
      <c r="F127" s="40"/>
      <c r="G127" s="20"/>
      <c r="H127" s="20"/>
      <c r="I127" s="20"/>
      <c r="J127" s="20"/>
      <c r="K127" s="20"/>
      <c r="L127" s="20"/>
      <c r="M127" s="20"/>
      <c r="N127" s="20"/>
      <c r="O127" s="20"/>
      <c r="P127" s="33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  <c r="HB127" s="34"/>
      <c r="HC127" s="34"/>
      <c r="HD127" s="34"/>
      <c r="HE127" s="34"/>
      <c r="HF127" s="34"/>
      <c r="HG127" s="34"/>
      <c r="HH127" s="34"/>
    </row>
    <row r="128" spans="1:216" ht="15.75" customHeight="1" x14ac:dyDescent="0.3">
      <c r="A128" s="77"/>
      <c r="B128" s="78"/>
      <c r="C128" s="78"/>
      <c r="D128" s="78"/>
      <c r="E128" s="79"/>
      <c r="F128" s="40"/>
      <c r="G128" s="20"/>
      <c r="H128" s="20"/>
      <c r="I128" s="20"/>
      <c r="J128" s="20"/>
      <c r="K128" s="20"/>
      <c r="L128" s="20"/>
      <c r="M128" s="20"/>
      <c r="N128" s="20"/>
      <c r="O128" s="20"/>
      <c r="P128" s="33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  <c r="HB128" s="34"/>
      <c r="HC128" s="34"/>
      <c r="HD128" s="34"/>
      <c r="HE128" s="34"/>
      <c r="HF128" s="34"/>
      <c r="HG128" s="34"/>
      <c r="HH128" s="34"/>
    </row>
    <row r="129" spans="1:216" ht="15.75" customHeight="1" x14ac:dyDescent="0.3">
      <c r="A129" s="11" t="s">
        <v>48</v>
      </c>
      <c r="B129" s="17" t="s">
        <v>61</v>
      </c>
      <c r="C129" s="75" t="s">
        <v>62</v>
      </c>
      <c r="D129" s="76"/>
      <c r="E129" s="9">
        <f>GAMBIRAN!AY129+JAJAG!BA129+PURWODADI!AC129+WRINGINAGUNG!AB129+WRINGINREJO!X129+YOSOMULYO!AP129</f>
        <v>156</v>
      </c>
      <c r="F129" s="41"/>
      <c r="G129" s="1"/>
      <c r="H129" s="1"/>
      <c r="I129" s="1"/>
      <c r="J129" s="1"/>
      <c r="K129" s="1"/>
      <c r="L129" s="1"/>
      <c r="M129" s="1"/>
      <c r="N129" s="1"/>
      <c r="O129" s="1"/>
      <c r="P129" s="35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2"/>
      <c r="HH129" s="32"/>
    </row>
    <row r="130" spans="1:216" ht="15.75" customHeight="1" x14ac:dyDescent="0.3">
      <c r="A130" s="11" t="s">
        <v>50</v>
      </c>
      <c r="B130" s="54"/>
      <c r="C130" s="24" t="s">
        <v>174</v>
      </c>
      <c r="D130" s="55"/>
      <c r="E130" s="9">
        <f>GAMBIRAN!AY130+JAJAG!BA130+PURWODADI!AC130+WRINGINAGUNG!AB130+WRINGINREJO!X130+YOSOMULYO!AP130</f>
        <v>219</v>
      </c>
      <c r="F130" s="43"/>
      <c r="G130" s="28"/>
      <c r="H130" s="28"/>
      <c r="I130" s="28"/>
      <c r="J130" s="28"/>
      <c r="K130" s="28"/>
      <c r="L130" s="28"/>
      <c r="M130" s="28"/>
      <c r="N130" s="28"/>
      <c r="O130" s="28"/>
      <c r="P130" s="38"/>
      <c r="Q130" s="31"/>
      <c r="R130" s="31"/>
      <c r="S130" s="31"/>
      <c r="T130" s="31"/>
      <c r="U130" s="31"/>
      <c r="V130" s="31"/>
      <c r="W130" s="39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1"/>
      <c r="BM130" s="31"/>
      <c r="BN130" s="31"/>
      <c r="BO130" s="31"/>
      <c r="BP130" s="31"/>
      <c r="BQ130" s="31"/>
      <c r="BR130" s="39"/>
      <c r="BS130" s="31"/>
      <c r="BT130" s="31"/>
      <c r="BU130" s="31"/>
      <c r="BV130" s="31"/>
      <c r="BW130" s="31"/>
      <c r="BX130" s="31"/>
      <c r="BY130" s="31"/>
      <c r="BZ130" s="31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9"/>
      <c r="EZ130" s="39"/>
      <c r="FA130" s="39"/>
      <c r="FB130" s="39"/>
      <c r="FC130" s="39"/>
      <c r="FD130" s="39"/>
      <c r="FE130" s="39"/>
      <c r="FF130" s="31"/>
      <c r="FG130" s="31"/>
      <c r="FH130" s="31"/>
      <c r="FI130" s="31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  <c r="FU130" s="39"/>
      <c r="FV130" s="39"/>
      <c r="FW130" s="39"/>
      <c r="FX130" s="39"/>
      <c r="FY130" s="39"/>
      <c r="FZ130" s="39"/>
      <c r="GA130" s="39"/>
      <c r="GB130" s="39"/>
      <c r="GC130" s="39"/>
      <c r="GD130" s="39"/>
      <c r="GE130" s="39"/>
      <c r="GF130" s="39"/>
      <c r="GG130" s="39"/>
      <c r="GH130" s="39"/>
      <c r="GI130" s="39"/>
      <c r="GJ130" s="39"/>
      <c r="GK130" s="39"/>
      <c r="GL130" s="39"/>
      <c r="GM130" s="39"/>
      <c r="GN130" s="39"/>
      <c r="GO130" s="39"/>
      <c r="GP130" s="39"/>
      <c r="GQ130" s="39"/>
      <c r="GR130" s="39"/>
      <c r="GS130" s="39"/>
      <c r="GT130" s="39"/>
      <c r="GU130" s="39"/>
      <c r="GV130" s="39"/>
      <c r="GW130" s="39"/>
      <c r="GX130" s="39"/>
      <c r="GY130" s="39"/>
      <c r="GZ130" s="39"/>
      <c r="HA130" s="39"/>
      <c r="HB130" s="39"/>
      <c r="HC130" s="39"/>
      <c r="HD130" s="39"/>
      <c r="HE130" s="39"/>
      <c r="HF130" s="39"/>
      <c r="HG130" s="39"/>
      <c r="HH130" s="39"/>
    </row>
    <row r="131" spans="1:216" ht="15.75" customHeight="1" x14ac:dyDescent="0.3">
      <c r="A131" s="7"/>
      <c r="B131" s="54"/>
      <c r="C131" s="24" t="s">
        <v>175</v>
      </c>
      <c r="D131" s="55"/>
      <c r="E131" s="9">
        <f>GAMBIRAN!AY131+JAJAG!BA131+PURWODADI!AC131+WRINGINAGUNG!AB131+WRINGINREJO!X131+YOSOMULYO!AP131</f>
        <v>30</v>
      </c>
      <c r="F131" s="40"/>
      <c r="G131" s="20"/>
      <c r="H131" s="20"/>
      <c r="I131" s="20"/>
      <c r="J131" s="20"/>
      <c r="K131" s="20"/>
      <c r="L131" s="20"/>
      <c r="M131" s="20"/>
      <c r="N131" s="20"/>
      <c r="O131" s="20"/>
      <c r="P131" s="33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34"/>
      <c r="GA131" s="34"/>
      <c r="GB131" s="34"/>
      <c r="GC131" s="34"/>
      <c r="GD131" s="34"/>
      <c r="GE131" s="34"/>
      <c r="GF131" s="34"/>
      <c r="GG131" s="34"/>
      <c r="GH131" s="34"/>
      <c r="GI131" s="34"/>
      <c r="GJ131" s="34"/>
      <c r="GK131" s="34"/>
      <c r="GL131" s="34"/>
      <c r="GM131" s="34"/>
      <c r="GN131" s="34"/>
      <c r="GO131" s="34"/>
      <c r="GP131" s="34"/>
      <c r="GQ131" s="34"/>
      <c r="GR131" s="34"/>
      <c r="GS131" s="34"/>
      <c r="GT131" s="34"/>
      <c r="GU131" s="34"/>
      <c r="GV131" s="34"/>
      <c r="GW131" s="34"/>
      <c r="GX131" s="34"/>
      <c r="GY131" s="34"/>
      <c r="GZ131" s="34"/>
      <c r="HA131" s="34"/>
      <c r="HB131" s="34"/>
      <c r="HC131" s="34"/>
      <c r="HD131" s="34"/>
      <c r="HE131" s="34"/>
      <c r="HF131" s="34"/>
      <c r="HG131" s="34"/>
      <c r="HH131" s="34"/>
    </row>
    <row r="132" spans="1:216" ht="15.75" customHeight="1" x14ac:dyDescent="0.3">
      <c r="A132" s="7"/>
      <c r="B132" s="54"/>
      <c r="C132" s="24" t="s">
        <v>176</v>
      </c>
      <c r="D132" s="55"/>
      <c r="E132" s="9">
        <f>GAMBIRAN!AY132+JAJAG!BA132+PURWODADI!AC132+WRINGINAGUNG!AB132+WRINGINREJO!X132+YOSOMULYO!AP132</f>
        <v>17</v>
      </c>
      <c r="F132" s="40"/>
      <c r="G132" s="20"/>
      <c r="H132" s="20"/>
      <c r="I132" s="20"/>
      <c r="J132" s="20"/>
      <c r="K132" s="20"/>
      <c r="L132" s="20"/>
      <c r="M132" s="20"/>
      <c r="N132" s="20"/>
      <c r="O132" s="20"/>
      <c r="P132" s="33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4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  <c r="HB132" s="34"/>
      <c r="HC132" s="34"/>
      <c r="HD132" s="34"/>
      <c r="HE132" s="34"/>
      <c r="HF132" s="34"/>
      <c r="HG132" s="34"/>
      <c r="HH132" s="34"/>
    </row>
    <row r="133" spans="1:216" ht="15.75" customHeight="1" x14ac:dyDescent="0.3">
      <c r="A133" s="7"/>
      <c r="B133" s="54"/>
      <c r="C133" s="24" t="s">
        <v>177</v>
      </c>
      <c r="D133" s="55"/>
      <c r="E133" s="9">
        <f>GAMBIRAN!AY133+JAJAG!BA133+PURWODADI!AC133+WRINGINAGUNG!AB133+WRINGINREJO!X133+YOSOMULYO!AP133</f>
        <v>16</v>
      </c>
      <c r="F133" s="40"/>
      <c r="G133" s="20"/>
      <c r="H133" s="20"/>
      <c r="I133" s="20"/>
      <c r="J133" s="20"/>
      <c r="K133" s="20"/>
      <c r="L133" s="20"/>
      <c r="M133" s="20"/>
      <c r="N133" s="20"/>
      <c r="O133" s="20"/>
      <c r="P133" s="33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  <c r="GN133" s="34"/>
      <c r="GO133" s="34"/>
      <c r="GP133" s="34"/>
      <c r="GQ133" s="34"/>
      <c r="GR133" s="34"/>
      <c r="GS133" s="34"/>
      <c r="GT133" s="34"/>
      <c r="GU133" s="34"/>
      <c r="GV133" s="34"/>
      <c r="GW133" s="34"/>
      <c r="GX133" s="34"/>
      <c r="GY133" s="34"/>
      <c r="GZ133" s="34"/>
      <c r="HA133" s="34"/>
      <c r="HB133" s="34"/>
      <c r="HC133" s="34"/>
      <c r="HD133" s="34"/>
      <c r="HE133" s="34"/>
      <c r="HF133" s="34"/>
      <c r="HG133" s="34"/>
      <c r="HH133" s="34"/>
    </row>
    <row r="134" spans="1:216" ht="15.75" customHeight="1" x14ac:dyDescent="0.3">
      <c r="A134" s="7"/>
      <c r="B134" s="54"/>
      <c r="C134" s="24" t="s">
        <v>178</v>
      </c>
      <c r="D134" s="55"/>
      <c r="E134" s="9">
        <f>GAMBIRAN!AY134+JAJAG!BA134+PURWODADI!AC134+WRINGINAGUNG!AB134+WRINGINREJO!X134+YOSOMULYO!AP134</f>
        <v>25</v>
      </c>
      <c r="F134" s="40"/>
      <c r="G134" s="20"/>
      <c r="H134" s="20"/>
      <c r="I134" s="20"/>
      <c r="J134" s="20"/>
      <c r="K134" s="20"/>
      <c r="L134" s="20"/>
      <c r="M134" s="20"/>
      <c r="N134" s="20"/>
      <c r="O134" s="20"/>
      <c r="P134" s="33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  <c r="FS134" s="34"/>
      <c r="FT134" s="34"/>
      <c r="FU134" s="34"/>
      <c r="FV134" s="34"/>
      <c r="FW134" s="34"/>
      <c r="FX134" s="34"/>
      <c r="FY134" s="34"/>
      <c r="FZ134" s="34"/>
      <c r="GA134" s="34"/>
      <c r="GB134" s="34"/>
      <c r="GC134" s="34"/>
      <c r="GD134" s="34"/>
      <c r="GE134" s="34"/>
      <c r="GF134" s="34"/>
      <c r="GG134" s="34"/>
      <c r="GH134" s="34"/>
      <c r="GI134" s="34"/>
      <c r="GJ134" s="34"/>
      <c r="GK134" s="34"/>
      <c r="GL134" s="34"/>
      <c r="GM134" s="34"/>
      <c r="GN134" s="34"/>
      <c r="GO134" s="34"/>
      <c r="GP134" s="34"/>
      <c r="GQ134" s="34"/>
      <c r="GR134" s="34"/>
      <c r="GS134" s="34"/>
      <c r="GT134" s="34"/>
      <c r="GU134" s="34"/>
      <c r="GV134" s="34"/>
      <c r="GW134" s="34"/>
      <c r="GX134" s="34"/>
      <c r="GY134" s="34"/>
      <c r="GZ134" s="34"/>
      <c r="HA134" s="34"/>
      <c r="HB134" s="34"/>
      <c r="HC134" s="34"/>
      <c r="HD134" s="34"/>
      <c r="HE134" s="34"/>
      <c r="HF134" s="34"/>
      <c r="HG134" s="34"/>
      <c r="HH134" s="34"/>
    </row>
    <row r="135" spans="1:216" ht="15.75" customHeight="1" x14ac:dyDescent="0.3">
      <c r="A135" s="7"/>
      <c r="B135" s="54"/>
      <c r="C135" s="24" t="s">
        <v>179</v>
      </c>
      <c r="D135" s="51"/>
      <c r="E135" s="9">
        <f>GAMBIRAN!AY135+JAJAG!BA135+PURWODADI!AC135+WRINGINAGUNG!AB135+WRINGINREJO!X135+YOSOMULYO!AP135</f>
        <v>16</v>
      </c>
      <c r="F135" s="40"/>
      <c r="G135" s="20"/>
      <c r="H135" s="20"/>
      <c r="I135" s="20"/>
      <c r="J135" s="20"/>
      <c r="K135" s="20"/>
      <c r="L135" s="20"/>
      <c r="M135" s="20"/>
      <c r="N135" s="20"/>
      <c r="O135" s="20"/>
      <c r="P135" s="33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  <c r="FS135" s="34"/>
      <c r="FT135" s="34"/>
      <c r="FU135" s="34"/>
      <c r="FV135" s="34"/>
      <c r="FW135" s="34"/>
      <c r="FX135" s="34"/>
      <c r="FY135" s="34"/>
      <c r="FZ135" s="34"/>
      <c r="GA135" s="34"/>
      <c r="GB135" s="34"/>
      <c r="GC135" s="34"/>
      <c r="GD135" s="34"/>
      <c r="GE135" s="34"/>
      <c r="GF135" s="34"/>
      <c r="GG135" s="34"/>
      <c r="GH135" s="34"/>
      <c r="GI135" s="34"/>
      <c r="GJ135" s="34"/>
      <c r="GK135" s="34"/>
      <c r="GL135" s="34"/>
      <c r="GM135" s="34"/>
      <c r="GN135" s="34"/>
      <c r="GO135" s="34"/>
      <c r="GP135" s="34"/>
      <c r="GQ135" s="34"/>
      <c r="GR135" s="34"/>
      <c r="GS135" s="34"/>
      <c r="GT135" s="34"/>
      <c r="GU135" s="34"/>
      <c r="GV135" s="34"/>
      <c r="GW135" s="34"/>
      <c r="GX135" s="34"/>
      <c r="GY135" s="34"/>
      <c r="GZ135" s="34"/>
      <c r="HA135" s="34"/>
      <c r="HB135" s="34"/>
      <c r="HC135" s="34"/>
      <c r="HD135" s="34"/>
      <c r="HE135" s="34"/>
      <c r="HF135" s="34"/>
      <c r="HG135" s="34"/>
      <c r="HH135" s="34"/>
    </row>
    <row r="136" spans="1:216" ht="15.75" customHeight="1" x14ac:dyDescent="0.3">
      <c r="A136" s="7"/>
      <c r="B136" s="54"/>
      <c r="C136" s="24" t="s">
        <v>180</v>
      </c>
      <c r="D136" s="55"/>
      <c r="E136" s="9">
        <f>GAMBIRAN!AY136+JAJAG!BA136+PURWODADI!AC136+WRINGINAGUNG!AB136+WRINGINREJO!X136+YOSOMULYO!AP136</f>
        <v>15</v>
      </c>
      <c r="F136" s="40"/>
      <c r="G136" s="20"/>
      <c r="H136" s="20"/>
      <c r="I136" s="20"/>
      <c r="J136" s="20"/>
      <c r="K136" s="20"/>
      <c r="L136" s="20"/>
      <c r="M136" s="20"/>
      <c r="N136" s="20"/>
      <c r="O136" s="20"/>
      <c r="P136" s="33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  <c r="FS136" s="34"/>
      <c r="FT136" s="34"/>
      <c r="FU136" s="34"/>
      <c r="FV136" s="34"/>
      <c r="FW136" s="34"/>
      <c r="FX136" s="34"/>
      <c r="FY136" s="34"/>
      <c r="FZ136" s="34"/>
      <c r="GA136" s="34"/>
      <c r="GB136" s="34"/>
      <c r="GC136" s="34"/>
      <c r="GD136" s="34"/>
      <c r="GE136" s="34"/>
      <c r="GF136" s="34"/>
      <c r="GG136" s="34"/>
      <c r="GH136" s="34"/>
      <c r="GI136" s="34"/>
      <c r="GJ136" s="34"/>
      <c r="GK136" s="34"/>
      <c r="GL136" s="34"/>
      <c r="GM136" s="34"/>
      <c r="GN136" s="34"/>
      <c r="GO136" s="34"/>
      <c r="GP136" s="34"/>
      <c r="GQ136" s="34"/>
      <c r="GR136" s="34"/>
      <c r="GS136" s="34"/>
      <c r="GT136" s="34"/>
      <c r="GU136" s="34"/>
      <c r="GV136" s="34"/>
      <c r="GW136" s="34"/>
      <c r="GX136" s="34"/>
      <c r="GY136" s="34"/>
      <c r="GZ136" s="34"/>
      <c r="HA136" s="34"/>
      <c r="HB136" s="34"/>
      <c r="HC136" s="34"/>
      <c r="HD136" s="34"/>
      <c r="HE136" s="34"/>
      <c r="HF136" s="34"/>
      <c r="HG136" s="34"/>
      <c r="HH136" s="34"/>
    </row>
    <row r="137" spans="1:216" ht="15.75" customHeight="1" x14ac:dyDescent="0.3">
      <c r="A137" s="7"/>
      <c r="B137" s="54"/>
      <c r="C137" s="24" t="s">
        <v>181</v>
      </c>
      <c r="D137" s="55"/>
      <c r="E137" s="9">
        <f>GAMBIRAN!AY137+JAJAG!BA137+PURWODADI!AC137+WRINGINAGUNG!AB137+WRINGINREJO!X137+YOSOMULYO!AP137</f>
        <v>7</v>
      </c>
      <c r="F137" s="40"/>
      <c r="G137" s="20"/>
      <c r="H137" s="20"/>
      <c r="I137" s="20"/>
      <c r="J137" s="20"/>
      <c r="K137" s="20"/>
      <c r="L137" s="20"/>
      <c r="M137" s="20"/>
      <c r="N137" s="20"/>
      <c r="O137" s="20"/>
      <c r="P137" s="33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  <c r="FS137" s="34"/>
      <c r="FT137" s="34"/>
      <c r="FU137" s="34"/>
      <c r="FV137" s="34"/>
      <c r="FW137" s="34"/>
      <c r="FX137" s="34"/>
      <c r="FY137" s="34"/>
      <c r="FZ137" s="34"/>
      <c r="GA137" s="34"/>
      <c r="GB137" s="34"/>
      <c r="GC137" s="34"/>
      <c r="GD137" s="34"/>
      <c r="GE137" s="34"/>
      <c r="GF137" s="34"/>
      <c r="GG137" s="34"/>
      <c r="GH137" s="34"/>
      <c r="GI137" s="34"/>
      <c r="GJ137" s="34"/>
      <c r="GK137" s="34"/>
      <c r="GL137" s="34"/>
      <c r="GM137" s="34"/>
      <c r="GN137" s="34"/>
      <c r="GO137" s="34"/>
      <c r="GP137" s="34"/>
      <c r="GQ137" s="34"/>
      <c r="GR137" s="34"/>
      <c r="GS137" s="34"/>
      <c r="GT137" s="34"/>
      <c r="GU137" s="34"/>
      <c r="GV137" s="34"/>
      <c r="GW137" s="34"/>
      <c r="GX137" s="34"/>
      <c r="GY137" s="34"/>
      <c r="GZ137" s="34"/>
      <c r="HA137" s="34"/>
      <c r="HB137" s="34"/>
      <c r="HC137" s="34"/>
      <c r="HD137" s="34"/>
      <c r="HE137" s="34"/>
      <c r="HF137" s="34"/>
      <c r="HG137" s="34"/>
      <c r="HH137" s="34"/>
    </row>
    <row r="138" spans="1:216" ht="15.75" customHeight="1" x14ac:dyDescent="0.3">
      <c r="A138" s="7"/>
      <c r="B138" s="54"/>
      <c r="C138" s="24" t="s">
        <v>182</v>
      </c>
      <c r="D138" s="55"/>
      <c r="E138" s="9">
        <f>GAMBIRAN!AY138+JAJAG!BA138+PURWODADI!AC138+WRINGINAGUNG!AB138+WRINGINREJO!X138+YOSOMULYO!AP138</f>
        <v>12</v>
      </c>
      <c r="F138" s="40"/>
      <c r="G138" s="20"/>
      <c r="H138" s="20"/>
      <c r="I138" s="20"/>
      <c r="J138" s="20"/>
      <c r="K138" s="20"/>
      <c r="L138" s="20"/>
      <c r="M138" s="20"/>
      <c r="N138" s="20"/>
      <c r="O138" s="20"/>
      <c r="P138" s="33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  <c r="HB138" s="34"/>
      <c r="HC138" s="34"/>
      <c r="HD138" s="34"/>
      <c r="HE138" s="34"/>
      <c r="HF138" s="34"/>
      <c r="HG138" s="34"/>
      <c r="HH138" s="34"/>
    </row>
    <row r="139" spans="1:216" ht="15.75" customHeight="1" x14ac:dyDescent="0.3">
      <c r="A139" s="6" t="s">
        <v>26</v>
      </c>
      <c r="B139" s="69" t="s">
        <v>51</v>
      </c>
      <c r="C139" s="70"/>
      <c r="D139" s="71"/>
      <c r="E139" s="5">
        <f>SUM(E129:E136)</f>
        <v>494</v>
      </c>
      <c r="F139" s="40"/>
      <c r="G139" s="20"/>
      <c r="H139" s="20"/>
      <c r="I139" s="20"/>
      <c r="J139" s="20"/>
      <c r="K139" s="20"/>
      <c r="L139" s="20"/>
      <c r="M139" s="20"/>
      <c r="N139" s="20"/>
      <c r="O139" s="20"/>
      <c r="P139" s="33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  <c r="FS139" s="34"/>
      <c r="FT139" s="34"/>
      <c r="FU139" s="34"/>
      <c r="FV139" s="34"/>
      <c r="FW139" s="34"/>
      <c r="FX139" s="34"/>
      <c r="FY139" s="34"/>
      <c r="FZ139" s="34"/>
      <c r="GA139" s="34"/>
      <c r="GB139" s="34"/>
      <c r="GC139" s="34"/>
      <c r="GD139" s="34"/>
      <c r="GE139" s="34"/>
      <c r="GF139" s="34"/>
      <c r="GG139" s="34"/>
      <c r="GH139" s="34"/>
      <c r="GI139" s="34"/>
      <c r="GJ139" s="34"/>
      <c r="GK139" s="34"/>
      <c r="GL139" s="34"/>
      <c r="GM139" s="34"/>
      <c r="GN139" s="34"/>
      <c r="GO139" s="34"/>
      <c r="GP139" s="34"/>
      <c r="GQ139" s="34"/>
      <c r="GR139" s="34"/>
      <c r="GS139" s="34"/>
      <c r="GT139" s="34"/>
      <c r="GU139" s="34"/>
      <c r="GV139" s="34"/>
      <c r="GW139" s="34"/>
      <c r="GX139" s="34"/>
      <c r="GY139" s="34"/>
      <c r="GZ139" s="34"/>
      <c r="HA139" s="34"/>
      <c r="HB139" s="34"/>
      <c r="HC139" s="34"/>
      <c r="HD139" s="34"/>
      <c r="HE139" s="34"/>
      <c r="HF139" s="34"/>
      <c r="HG139" s="34"/>
      <c r="HH139" s="34"/>
    </row>
    <row r="140" spans="1:216" ht="15.75" customHeight="1" x14ac:dyDescent="0.3">
      <c r="A140" s="77"/>
      <c r="B140" s="78"/>
      <c r="C140" s="78"/>
      <c r="D140" s="78"/>
      <c r="E140" s="79"/>
      <c r="F140" s="40"/>
      <c r="G140" s="20"/>
      <c r="H140" s="20"/>
      <c r="I140" s="20"/>
      <c r="J140" s="20"/>
      <c r="K140" s="20"/>
      <c r="L140" s="20"/>
      <c r="M140" s="20"/>
      <c r="N140" s="20"/>
      <c r="O140" s="20"/>
      <c r="P140" s="33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  <c r="HB140" s="34"/>
      <c r="HC140" s="34"/>
      <c r="HD140" s="34"/>
      <c r="HE140" s="34"/>
      <c r="HF140" s="34"/>
      <c r="HG140" s="34"/>
      <c r="HH140" s="34"/>
    </row>
    <row r="141" spans="1:216" ht="15.75" customHeight="1" x14ac:dyDescent="0.3">
      <c r="A141" s="11" t="s">
        <v>48</v>
      </c>
      <c r="B141" s="17" t="s">
        <v>63</v>
      </c>
      <c r="C141" s="75" t="s">
        <v>64</v>
      </c>
      <c r="D141" s="76"/>
      <c r="E141" s="9">
        <f>GAMBIRAN!AY141+JAJAG!BA141+PURWODADI!AC141+WRINGINAGUNG!AB141+WRINGINREJO!X141+YOSOMULYO!AP141</f>
        <v>10</v>
      </c>
      <c r="F141" s="41"/>
      <c r="G141" s="1"/>
      <c r="H141" s="1"/>
      <c r="I141" s="1"/>
      <c r="J141" s="1"/>
      <c r="K141" s="1"/>
      <c r="L141" s="1"/>
      <c r="M141" s="1"/>
      <c r="N141" s="1"/>
      <c r="O141" s="1"/>
      <c r="P141" s="35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2"/>
      <c r="GX141" s="32"/>
      <c r="GY141" s="32"/>
      <c r="GZ141" s="32"/>
      <c r="HA141" s="32"/>
      <c r="HB141" s="32"/>
      <c r="HC141" s="32"/>
      <c r="HD141" s="32"/>
      <c r="HE141" s="32"/>
      <c r="HF141" s="32"/>
      <c r="HG141" s="32"/>
      <c r="HH141" s="32"/>
    </row>
    <row r="142" spans="1:216" ht="15.75" customHeight="1" x14ac:dyDescent="0.3">
      <c r="A142" s="11" t="s">
        <v>50</v>
      </c>
      <c r="B142" s="54"/>
      <c r="C142" s="24" t="s">
        <v>183</v>
      </c>
      <c r="D142" s="51"/>
      <c r="E142" s="9">
        <f>GAMBIRAN!AY142+JAJAG!BA142+PURWODADI!AC142+WRINGINAGUNG!AB142+WRINGINREJO!X142+YOSOMULYO!AP142</f>
        <v>9</v>
      </c>
      <c r="F142" s="43"/>
      <c r="G142" s="28"/>
      <c r="H142" s="28"/>
      <c r="I142" s="28"/>
      <c r="J142" s="28"/>
      <c r="K142" s="28"/>
      <c r="L142" s="28"/>
      <c r="M142" s="28"/>
      <c r="N142" s="28"/>
      <c r="O142" s="28"/>
      <c r="P142" s="38"/>
      <c r="Q142" s="31"/>
      <c r="R142" s="31"/>
      <c r="S142" s="31"/>
      <c r="T142" s="31"/>
      <c r="U142" s="31"/>
      <c r="V142" s="31"/>
      <c r="W142" s="39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1"/>
      <c r="BM142" s="31"/>
      <c r="BN142" s="31"/>
      <c r="BO142" s="31"/>
      <c r="BP142" s="31"/>
      <c r="BQ142" s="31"/>
      <c r="BR142" s="39"/>
      <c r="BS142" s="31"/>
      <c r="BT142" s="31"/>
      <c r="BU142" s="31"/>
      <c r="BV142" s="31"/>
      <c r="BW142" s="31"/>
      <c r="BX142" s="31"/>
      <c r="BY142" s="31"/>
      <c r="BZ142" s="31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9"/>
      <c r="EZ142" s="39"/>
      <c r="FA142" s="39"/>
      <c r="FB142" s="39"/>
      <c r="FC142" s="39"/>
      <c r="FD142" s="39"/>
      <c r="FE142" s="39"/>
      <c r="FF142" s="31"/>
      <c r="FG142" s="31"/>
      <c r="FH142" s="31"/>
      <c r="FI142" s="31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  <c r="FU142" s="39"/>
      <c r="FV142" s="39"/>
      <c r="FW142" s="39"/>
      <c r="FX142" s="39"/>
      <c r="FY142" s="39"/>
      <c r="FZ142" s="39"/>
      <c r="GA142" s="39"/>
      <c r="GB142" s="39"/>
      <c r="GC142" s="39"/>
      <c r="GD142" s="39"/>
      <c r="GE142" s="39"/>
      <c r="GF142" s="39"/>
      <c r="GG142" s="39"/>
      <c r="GH142" s="39"/>
      <c r="GI142" s="39"/>
      <c r="GJ142" s="39"/>
      <c r="GK142" s="39"/>
      <c r="GL142" s="39"/>
      <c r="GM142" s="39"/>
      <c r="GN142" s="39"/>
      <c r="GO142" s="39"/>
      <c r="GP142" s="39"/>
      <c r="GQ142" s="39"/>
      <c r="GR142" s="39"/>
      <c r="GS142" s="39"/>
      <c r="GT142" s="39"/>
      <c r="GU142" s="39"/>
      <c r="GV142" s="39"/>
      <c r="GW142" s="39"/>
      <c r="GX142" s="39"/>
      <c r="GY142" s="39"/>
      <c r="GZ142" s="39"/>
      <c r="HA142" s="39"/>
      <c r="HB142" s="39"/>
      <c r="HC142" s="39"/>
      <c r="HD142" s="39"/>
      <c r="HE142" s="39"/>
      <c r="HF142" s="39"/>
      <c r="HG142" s="39"/>
      <c r="HH142" s="39"/>
    </row>
    <row r="143" spans="1:216" ht="15.75" customHeight="1" x14ac:dyDescent="0.3">
      <c r="A143" s="7"/>
      <c r="B143" s="54"/>
      <c r="C143" s="24" t="s">
        <v>184</v>
      </c>
      <c r="D143" s="51"/>
      <c r="E143" s="9">
        <f>GAMBIRAN!AY143+JAJAG!BA143+PURWODADI!AC143+WRINGINAGUNG!AB143+WRINGINREJO!X143+YOSOMULYO!AP143</f>
        <v>3</v>
      </c>
      <c r="F143" s="40"/>
      <c r="G143" s="20"/>
      <c r="H143" s="20"/>
      <c r="I143" s="20"/>
      <c r="J143" s="20"/>
      <c r="K143" s="20"/>
      <c r="L143" s="20"/>
      <c r="M143" s="20"/>
      <c r="N143" s="20"/>
      <c r="O143" s="20"/>
      <c r="P143" s="33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  <c r="FS143" s="34"/>
      <c r="FT143" s="34"/>
      <c r="FU143" s="34"/>
      <c r="FV143" s="34"/>
      <c r="FW143" s="34"/>
      <c r="FX143" s="34"/>
      <c r="FY143" s="34"/>
      <c r="FZ143" s="34"/>
      <c r="GA143" s="34"/>
      <c r="GB143" s="34"/>
      <c r="GC143" s="34"/>
      <c r="GD143" s="34"/>
      <c r="GE143" s="34"/>
      <c r="GF143" s="34"/>
      <c r="GG143" s="34"/>
      <c r="GH143" s="34"/>
      <c r="GI143" s="34"/>
      <c r="GJ143" s="34"/>
      <c r="GK143" s="34"/>
      <c r="GL143" s="34"/>
      <c r="GM143" s="34"/>
      <c r="GN143" s="34"/>
      <c r="GO143" s="34"/>
      <c r="GP143" s="34"/>
      <c r="GQ143" s="34"/>
      <c r="GR143" s="34"/>
      <c r="GS143" s="34"/>
      <c r="GT143" s="34"/>
      <c r="GU143" s="34"/>
      <c r="GV143" s="34"/>
      <c r="GW143" s="34"/>
      <c r="GX143" s="34"/>
      <c r="GY143" s="34"/>
      <c r="GZ143" s="34"/>
      <c r="HA143" s="34"/>
      <c r="HB143" s="34"/>
      <c r="HC143" s="34"/>
      <c r="HD143" s="34"/>
      <c r="HE143" s="34"/>
      <c r="HF143" s="34"/>
      <c r="HG143" s="34"/>
      <c r="HH143" s="34"/>
    </row>
    <row r="144" spans="1:216" ht="15.75" customHeight="1" x14ac:dyDescent="0.3">
      <c r="A144" s="7"/>
      <c r="B144" s="54"/>
      <c r="C144" s="24" t="s">
        <v>185</v>
      </c>
      <c r="D144" s="51"/>
      <c r="E144" s="9">
        <f>GAMBIRAN!AY144+JAJAG!BA144+PURWODADI!AC144+WRINGINAGUNG!AB144+WRINGINREJO!X144+YOSOMULYO!AP144</f>
        <v>2</v>
      </c>
      <c r="F144" s="40"/>
      <c r="G144" s="20"/>
      <c r="H144" s="20"/>
      <c r="I144" s="20"/>
      <c r="J144" s="20"/>
      <c r="K144" s="20"/>
      <c r="L144" s="20"/>
      <c r="M144" s="20"/>
      <c r="N144" s="20"/>
      <c r="O144" s="20"/>
      <c r="P144" s="33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  <c r="HB144" s="34"/>
      <c r="HC144" s="34"/>
      <c r="HD144" s="34"/>
      <c r="HE144" s="34"/>
      <c r="HF144" s="34"/>
      <c r="HG144" s="34"/>
      <c r="HH144" s="34"/>
    </row>
    <row r="145" spans="1:216" ht="15.75" customHeight="1" x14ac:dyDescent="0.3">
      <c r="A145" s="7"/>
      <c r="B145" s="46"/>
      <c r="C145" s="47"/>
      <c r="D145" s="49"/>
      <c r="E145" s="60"/>
      <c r="F145" s="40"/>
      <c r="G145" s="20"/>
      <c r="H145" s="20"/>
      <c r="I145" s="20"/>
      <c r="J145" s="20"/>
      <c r="K145" s="20"/>
      <c r="L145" s="20"/>
      <c r="M145" s="20"/>
      <c r="N145" s="20"/>
      <c r="O145" s="20"/>
      <c r="P145" s="33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4"/>
      <c r="GV145" s="34"/>
      <c r="GW145" s="34"/>
      <c r="GX145" s="34"/>
      <c r="GY145" s="34"/>
      <c r="GZ145" s="34"/>
      <c r="HA145" s="34"/>
      <c r="HB145" s="34"/>
      <c r="HC145" s="34"/>
      <c r="HD145" s="34"/>
      <c r="HE145" s="34"/>
      <c r="HF145" s="34"/>
      <c r="HG145" s="34"/>
      <c r="HH145" s="34"/>
    </row>
    <row r="146" spans="1:216" ht="15.75" customHeight="1" x14ac:dyDescent="0.3">
      <c r="A146" s="7"/>
      <c r="B146" s="46"/>
      <c r="C146" s="47"/>
      <c r="D146" s="49"/>
      <c r="E146" s="60"/>
      <c r="F146" s="40"/>
      <c r="G146" s="20"/>
      <c r="H146" s="20"/>
      <c r="I146" s="20"/>
      <c r="J146" s="20"/>
      <c r="K146" s="20"/>
      <c r="L146" s="20"/>
      <c r="M146" s="20"/>
      <c r="N146" s="20"/>
      <c r="O146" s="20"/>
      <c r="P146" s="33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4"/>
      <c r="GX146" s="34"/>
      <c r="GY146" s="34"/>
      <c r="GZ146" s="34"/>
      <c r="HA146" s="34"/>
      <c r="HB146" s="34"/>
      <c r="HC146" s="34"/>
      <c r="HD146" s="34"/>
      <c r="HE146" s="34"/>
      <c r="HF146" s="34"/>
      <c r="HG146" s="34"/>
      <c r="HH146" s="34"/>
    </row>
    <row r="147" spans="1:216" ht="15.75" customHeight="1" x14ac:dyDescent="0.3">
      <c r="A147" s="7"/>
      <c r="B147" s="46"/>
      <c r="C147" s="47"/>
      <c r="D147" s="49"/>
      <c r="E147" s="60"/>
      <c r="F147" s="40"/>
      <c r="G147" s="20"/>
      <c r="H147" s="20"/>
      <c r="I147" s="20"/>
      <c r="J147" s="20"/>
      <c r="K147" s="20"/>
      <c r="L147" s="20"/>
      <c r="M147" s="20"/>
      <c r="N147" s="20"/>
      <c r="O147" s="20"/>
      <c r="P147" s="33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  <c r="FS147" s="34"/>
      <c r="FT147" s="34"/>
      <c r="FU147" s="34"/>
      <c r="FV147" s="34"/>
      <c r="FW147" s="34"/>
      <c r="FX147" s="34"/>
      <c r="FY147" s="34"/>
      <c r="FZ147" s="34"/>
      <c r="GA147" s="34"/>
      <c r="GB147" s="34"/>
      <c r="GC147" s="34"/>
      <c r="GD147" s="34"/>
      <c r="GE147" s="34"/>
      <c r="GF147" s="34"/>
      <c r="GG147" s="34"/>
      <c r="GH147" s="34"/>
      <c r="GI147" s="34"/>
      <c r="GJ147" s="34"/>
      <c r="GK147" s="34"/>
      <c r="GL147" s="34"/>
      <c r="GM147" s="34"/>
      <c r="GN147" s="34"/>
      <c r="GO147" s="34"/>
      <c r="GP147" s="34"/>
      <c r="GQ147" s="34"/>
      <c r="GR147" s="34"/>
      <c r="GS147" s="34"/>
      <c r="GT147" s="34"/>
      <c r="GU147" s="34"/>
      <c r="GV147" s="34"/>
      <c r="GW147" s="34"/>
      <c r="GX147" s="34"/>
      <c r="GY147" s="34"/>
      <c r="GZ147" s="34"/>
      <c r="HA147" s="34"/>
      <c r="HB147" s="34"/>
      <c r="HC147" s="34"/>
      <c r="HD147" s="34"/>
      <c r="HE147" s="34"/>
      <c r="HF147" s="34"/>
      <c r="HG147" s="34"/>
      <c r="HH147" s="34"/>
    </row>
    <row r="148" spans="1:216" ht="15.75" customHeight="1" x14ac:dyDescent="0.3">
      <c r="A148" s="7"/>
      <c r="B148" s="46"/>
      <c r="C148" s="47"/>
      <c r="D148" s="49"/>
      <c r="E148" s="60"/>
      <c r="F148" s="40"/>
      <c r="G148" s="20"/>
      <c r="H148" s="20"/>
      <c r="I148" s="20"/>
      <c r="J148" s="20"/>
      <c r="K148" s="20"/>
      <c r="L148" s="20"/>
      <c r="M148" s="20"/>
      <c r="N148" s="20"/>
      <c r="O148" s="20"/>
      <c r="P148" s="33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4"/>
      <c r="GX148" s="34"/>
      <c r="GY148" s="34"/>
      <c r="GZ148" s="34"/>
      <c r="HA148" s="34"/>
      <c r="HB148" s="34"/>
      <c r="HC148" s="34"/>
      <c r="HD148" s="34"/>
      <c r="HE148" s="34"/>
      <c r="HF148" s="34"/>
      <c r="HG148" s="34"/>
      <c r="HH148" s="34"/>
    </row>
    <row r="149" spans="1:216" ht="15.75" customHeight="1" x14ac:dyDescent="0.3">
      <c r="A149" s="7"/>
      <c r="B149" s="46"/>
      <c r="C149" s="47"/>
      <c r="D149" s="49"/>
      <c r="E149" s="60"/>
      <c r="F149" s="40"/>
      <c r="G149" s="20"/>
      <c r="H149" s="20"/>
      <c r="I149" s="20"/>
      <c r="J149" s="20"/>
      <c r="K149" s="20"/>
      <c r="L149" s="20"/>
      <c r="M149" s="20"/>
      <c r="N149" s="20"/>
      <c r="O149" s="20"/>
      <c r="P149" s="33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  <c r="FS149" s="34"/>
      <c r="FT149" s="34"/>
      <c r="FU149" s="34"/>
      <c r="FV149" s="34"/>
      <c r="FW149" s="34"/>
      <c r="FX149" s="34"/>
      <c r="FY149" s="34"/>
      <c r="FZ149" s="34"/>
      <c r="GA149" s="34"/>
      <c r="GB149" s="34"/>
      <c r="GC149" s="34"/>
      <c r="GD149" s="34"/>
      <c r="GE149" s="34"/>
      <c r="GF149" s="34"/>
      <c r="GG149" s="34"/>
      <c r="GH149" s="34"/>
      <c r="GI149" s="34"/>
      <c r="GJ149" s="34"/>
      <c r="GK149" s="34"/>
      <c r="GL149" s="34"/>
      <c r="GM149" s="34"/>
      <c r="GN149" s="34"/>
      <c r="GO149" s="34"/>
      <c r="GP149" s="34"/>
      <c r="GQ149" s="34"/>
      <c r="GR149" s="34"/>
      <c r="GS149" s="34"/>
      <c r="GT149" s="34"/>
      <c r="GU149" s="34"/>
      <c r="GV149" s="34"/>
      <c r="GW149" s="34"/>
      <c r="GX149" s="34"/>
      <c r="GY149" s="34"/>
      <c r="GZ149" s="34"/>
      <c r="HA149" s="34"/>
      <c r="HB149" s="34"/>
      <c r="HC149" s="34"/>
      <c r="HD149" s="34"/>
      <c r="HE149" s="34"/>
      <c r="HF149" s="34"/>
      <c r="HG149" s="34"/>
      <c r="HH149" s="34"/>
    </row>
    <row r="150" spans="1:216" ht="15.75" customHeight="1" x14ac:dyDescent="0.3">
      <c r="A150" s="7"/>
      <c r="B150" s="46"/>
      <c r="C150" s="47"/>
      <c r="D150" s="49"/>
      <c r="E150" s="60"/>
      <c r="F150" s="40"/>
      <c r="G150" s="20"/>
      <c r="H150" s="20"/>
      <c r="I150" s="20"/>
      <c r="J150" s="20"/>
      <c r="K150" s="20"/>
      <c r="L150" s="20"/>
      <c r="M150" s="20"/>
      <c r="N150" s="20"/>
      <c r="O150" s="20"/>
      <c r="P150" s="33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  <c r="FS150" s="34"/>
      <c r="FT150" s="34"/>
      <c r="FU150" s="34"/>
      <c r="FV150" s="34"/>
      <c r="FW150" s="34"/>
      <c r="FX150" s="34"/>
      <c r="FY150" s="34"/>
      <c r="FZ150" s="34"/>
      <c r="GA150" s="34"/>
      <c r="GB150" s="34"/>
      <c r="GC150" s="34"/>
      <c r="GD150" s="34"/>
      <c r="GE150" s="34"/>
      <c r="GF150" s="34"/>
      <c r="GG150" s="34"/>
      <c r="GH150" s="34"/>
      <c r="GI150" s="34"/>
      <c r="GJ150" s="34"/>
      <c r="GK150" s="34"/>
      <c r="GL150" s="34"/>
      <c r="GM150" s="34"/>
      <c r="GN150" s="34"/>
      <c r="GO150" s="34"/>
      <c r="GP150" s="34"/>
      <c r="GQ150" s="34"/>
      <c r="GR150" s="34"/>
      <c r="GS150" s="34"/>
      <c r="GT150" s="34"/>
      <c r="GU150" s="34"/>
      <c r="GV150" s="34"/>
      <c r="GW150" s="34"/>
      <c r="GX150" s="34"/>
      <c r="GY150" s="34"/>
      <c r="GZ150" s="34"/>
      <c r="HA150" s="34"/>
      <c r="HB150" s="34"/>
      <c r="HC150" s="34"/>
      <c r="HD150" s="34"/>
      <c r="HE150" s="34"/>
      <c r="HF150" s="34"/>
      <c r="HG150" s="34"/>
      <c r="HH150" s="34"/>
    </row>
    <row r="151" spans="1:216" ht="15.75" customHeight="1" x14ac:dyDescent="0.3">
      <c r="A151" s="6" t="s">
        <v>26</v>
      </c>
      <c r="B151" s="69" t="s">
        <v>51</v>
      </c>
      <c r="C151" s="70"/>
      <c r="D151" s="71"/>
      <c r="E151" s="5">
        <f>SUM(E141:E148)</f>
        <v>24</v>
      </c>
      <c r="F151" s="40"/>
      <c r="G151" s="20"/>
      <c r="H151" s="20"/>
      <c r="I151" s="20"/>
      <c r="J151" s="20"/>
      <c r="K151" s="20"/>
      <c r="L151" s="20"/>
      <c r="M151" s="20"/>
      <c r="N151" s="20"/>
      <c r="O151" s="20"/>
      <c r="P151" s="33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  <c r="FS151" s="34"/>
      <c r="FT151" s="34"/>
      <c r="FU151" s="34"/>
      <c r="FV151" s="34"/>
      <c r="FW151" s="34"/>
      <c r="FX151" s="34"/>
      <c r="FY151" s="34"/>
      <c r="FZ151" s="34"/>
      <c r="GA151" s="34"/>
      <c r="GB151" s="34"/>
      <c r="GC151" s="34"/>
      <c r="GD151" s="34"/>
      <c r="GE151" s="34"/>
      <c r="GF151" s="34"/>
      <c r="GG151" s="34"/>
      <c r="GH151" s="34"/>
      <c r="GI151" s="34"/>
      <c r="GJ151" s="34"/>
      <c r="GK151" s="34"/>
      <c r="GL151" s="34"/>
      <c r="GM151" s="34"/>
      <c r="GN151" s="34"/>
      <c r="GO151" s="34"/>
      <c r="GP151" s="34"/>
      <c r="GQ151" s="34"/>
      <c r="GR151" s="34"/>
      <c r="GS151" s="34"/>
      <c r="GT151" s="34"/>
      <c r="GU151" s="34"/>
      <c r="GV151" s="34"/>
      <c r="GW151" s="34"/>
      <c r="GX151" s="34"/>
      <c r="GY151" s="34"/>
      <c r="GZ151" s="34"/>
      <c r="HA151" s="34"/>
      <c r="HB151" s="34"/>
      <c r="HC151" s="34"/>
      <c r="HD151" s="34"/>
      <c r="HE151" s="34"/>
      <c r="HF151" s="34"/>
      <c r="HG151" s="34"/>
      <c r="HH151" s="34"/>
    </row>
    <row r="152" spans="1:216" ht="15.75" customHeight="1" x14ac:dyDescent="0.3">
      <c r="A152" s="77"/>
      <c r="B152" s="78"/>
      <c r="C152" s="78"/>
      <c r="D152" s="78"/>
      <c r="E152" s="79"/>
      <c r="F152" s="41"/>
      <c r="G152" s="1"/>
      <c r="H152" s="1"/>
      <c r="I152" s="1"/>
      <c r="J152" s="1"/>
      <c r="K152" s="1"/>
      <c r="L152" s="1"/>
      <c r="M152" s="1"/>
      <c r="N152" s="1"/>
      <c r="O152" s="1"/>
      <c r="P152" s="35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2"/>
      <c r="GU152" s="32"/>
      <c r="GV152" s="32"/>
      <c r="GW152" s="32"/>
      <c r="GX152" s="32"/>
      <c r="GY152" s="32"/>
      <c r="GZ152" s="32"/>
      <c r="HA152" s="32"/>
      <c r="HB152" s="32"/>
      <c r="HC152" s="32"/>
      <c r="HD152" s="32"/>
      <c r="HE152" s="32"/>
      <c r="HF152" s="32"/>
      <c r="HG152" s="32"/>
      <c r="HH152" s="32"/>
    </row>
    <row r="153" spans="1:216" ht="15.75" customHeight="1" x14ac:dyDescent="0.3">
      <c r="A153" s="11" t="s">
        <v>48</v>
      </c>
      <c r="B153" s="45" t="s">
        <v>65</v>
      </c>
      <c r="C153" s="83" t="s">
        <v>66</v>
      </c>
      <c r="D153" s="84"/>
      <c r="E153" s="9">
        <f>GAMBIRAN!AY153+JAJAG!BA153+PURWODADI!AC153+WRINGINAGUNG!AB153+WRINGINREJO!X153+YOSOMULYO!AP153</f>
        <v>34</v>
      </c>
      <c r="F153" s="43"/>
      <c r="G153" s="28"/>
      <c r="H153" s="28"/>
      <c r="I153" s="28"/>
      <c r="J153" s="28"/>
      <c r="K153" s="28"/>
      <c r="L153" s="28"/>
      <c r="M153" s="28"/>
      <c r="N153" s="28"/>
      <c r="O153" s="28"/>
      <c r="P153" s="38"/>
      <c r="Q153" s="31"/>
      <c r="R153" s="31"/>
      <c r="S153" s="31"/>
      <c r="T153" s="31"/>
      <c r="U153" s="31"/>
      <c r="V153" s="31"/>
      <c r="W153" s="39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1"/>
      <c r="BM153" s="31"/>
      <c r="BN153" s="31"/>
      <c r="BO153" s="31"/>
      <c r="BP153" s="31"/>
      <c r="BQ153" s="31"/>
      <c r="BR153" s="39"/>
      <c r="BS153" s="31"/>
      <c r="BT153" s="31"/>
      <c r="BU153" s="31"/>
      <c r="BV153" s="31"/>
      <c r="BW153" s="31"/>
      <c r="BX153" s="31"/>
      <c r="BY153" s="31"/>
      <c r="BZ153" s="31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9"/>
      <c r="EZ153" s="39"/>
      <c r="FA153" s="39"/>
      <c r="FB153" s="39"/>
      <c r="FC153" s="39"/>
      <c r="FD153" s="39"/>
      <c r="FE153" s="39"/>
      <c r="FF153" s="31"/>
      <c r="FG153" s="31"/>
      <c r="FH153" s="31"/>
      <c r="FI153" s="31"/>
      <c r="FJ153" s="39"/>
      <c r="FK153" s="39"/>
      <c r="FL153" s="39"/>
      <c r="FM153" s="39"/>
      <c r="FN153" s="39"/>
      <c r="FO153" s="39"/>
      <c r="FP153" s="39"/>
      <c r="FQ153" s="39"/>
      <c r="FR153" s="39"/>
      <c r="FS153" s="39"/>
      <c r="FT153" s="39"/>
      <c r="FU153" s="39"/>
      <c r="FV153" s="39"/>
      <c r="FW153" s="39"/>
      <c r="FX153" s="39"/>
      <c r="FY153" s="39"/>
      <c r="FZ153" s="39"/>
      <c r="GA153" s="39"/>
      <c r="GB153" s="39"/>
      <c r="GC153" s="39"/>
      <c r="GD153" s="39"/>
      <c r="GE153" s="39"/>
      <c r="GF153" s="39"/>
      <c r="GG153" s="39"/>
      <c r="GH153" s="39"/>
      <c r="GI153" s="39"/>
      <c r="GJ153" s="39"/>
      <c r="GK153" s="39"/>
      <c r="GL153" s="39"/>
      <c r="GM153" s="39"/>
      <c r="GN153" s="39"/>
      <c r="GO153" s="39"/>
      <c r="GP153" s="39"/>
      <c r="GQ153" s="39"/>
      <c r="GR153" s="39"/>
      <c r="GS153" s="39"/>
      <c r="GT153" s="39"/>
      <c r="GU153" s="39"/>
      <c r="GV153" s="39"/>
      <c r="GW153" s="39"/>
      <c r="GX153" s="39"/>
      <c r="GY153" s="39"/>
      <c r="GZ153" s="39"/>
      <c r="HA153" s="39"/>
      <c r="HB153" s="39"/>
      <c r="HC153" s="39"/>
      <c r="HD153" s="39"/>
      <c r="HE153" s="39"/>
      <c r="HF153" s="39"/>
      <c r="HG153" s="39"/>
      <c r="HH153" s="39"/>
    </row>
    <row r="154" spans="1:216" ht="15.75" customHeight="1" x14ac:dyDescent="0.3">
      <c r="A154" s="56" t="s">
        <v>50</v>
      </c>
      <c r="B154" s="58"/>
      <c r="C154" s="24" t="s">
        <v>186</v>
      </c>
      <c r="D154" s="59"/>
      <c r="E154" s="9">
        <f>GAMBIRAN!AY154+JAJAG!BA154+PURWODADI!AC154+WRINGINAGUNG!AB154+WRINGINREJO!X154+YOSOMULYO!AP154</f>
        <v>32</v>
      </c>
      <c r="F154" s="40"/>
      <c r="G154" s="20"/>
      <c r="H154" s="20"/>
      <c r="I154" s="20"/>
      <c r="J154" s="20"/>
      <c r="K154" s="20"/>
      <c r="L154" s="20"/>
      <c r="M154" s="20"/>
      <c r="N154" s="20"/>
      <c r="O154" s="20"/>
      <c r="P154" s="33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4"/>
      <c r="GX154" s="34"/>
      <c r="GY154" s="34"/>
      <c r="GZ154" s="34"/>
      <c r="HA154" s="34"/>
      <c r="HB154" s="34"/>
      <c r="HC154" s="34"/>
      <c r="HD154" s="34"/>
      <c r="HE154" s="34"/>
      <c r="HF154" s="34"/>
      <c r="HG154" s="34"/>
      <c r="HH154" s="34"/>
    </row>
    <row r="155" spans="1:216" ht="15.75" customHeight="1" x14ac:dyDescent="0.3">
      <c r="A155" s="7"/>
      <c r="B155" s="58"/>
      <c r="C155" s="24" t="s">
        <v>187</v>
      </c>
      <c r="D155" s="59"/>
      <c r="E155" s="9">
        <f>GAMBIRAN!AY155+JAJAG!BA155+PURWODADI!AC155+WRINGINAGUNG!AB155+WRINGINREJO!X155+YOSOMULYO!AP155</f>
        <v>10</v>
      </c>
      <c r="F155" s="40"/>
      <c r="G155" s="20"/>
      <c r="H155" s="20"/>
      <c r="I155" s="20"/>
      <c r="J155" s="20"/>
      <c r="K155" s="20"/>
      <c r="L155" s="20"/>
      <c r="M155" s="20"/>
      <c r="N155" s="20"/>
      <c r="O155" s="20"/>
      <c r="P155" s="33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  <c r="FS155" s="34"/>
      <c r="FT155" s="34"/>
      <c r="FU155" s="34"/>
      <c r="FV155" s="34"/>
      <c r="FW155" s="34"/>
      <c r="FX155" s="34"/>
      <c r="FY155" s="34"/>
      <c r="FZ155" s="34"/>
      <c r="GA155" s="34"/>
      <c r="GB155" s="34"/>
      <c r="GC155" s="34"/>
      <c r="GD155" s="34"/>
      <c r="GE155" s="34"/>
      <c r="GF155" s="34"/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4"/>
      <c r="GX155" s="34"/>
      <c r="GY155" s="34"/>
      <c r="GZ155" s="34"/>
      <c r="HA155" s="34"/>
      <c r="HB155" s="34"/>
      <c r="HC155" s="34"/>
      <c r="HD155" s="34"/>
      <c r="HE155" s="34"/>
      <c r="HF155" s="34"/>
      <c r="HG155" s="34"/>
      <c r="HH155" s="34"/>
    </row>
    <row r="156" spans="1:216" ht="15.75" customHeight="1" x14ac:dyDescent="0.3">
      <c r="A156" s="7"/>
      <c r="B156" s="58"/>
      <c r="C156" s="24" t="s">
        <v>188</v>
      </c>
      <c r="D156" s="59"/>
      <c r="E156" s="9">
        <f>GAMBIRAN!AY156+JAJAG!BA156+PURWODADI!AC156+WRINGINAGUNG!AB156+WRINGINREJO!X156+YOSOMULYO!AP156</f>
        <v>13</v>
      </c>
      <c r="F156" s="40"/>
      <c r="G156" s="20"/>
      <c r="H156" s="20"/>
      <c r="I156" s="20"/>
      <c r="J156" s="20"/>
      <c r="K156" s="20"/>
      <c r="L156" s="20"/>
      <c r="M156" s="20"/>
      <c r="N156" s="20"/>
      <c r="O156" s="20"/>
      <c r="P156" s="33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  <c r="FS156" s="34"/>
      <c r="FT156" s="34"/>
      <c r="FU156" s="34"/>
      <c r="FV156" s="34"/>
      <c r="FW156" s="34"/>
      <c r="FX156" s="34"/>
      <c r="FY156" s="34"/>
      <c r="FZ156" s="34"/>
      <c r="GA156" s="34"/>
      <c r="GB156" s="34"/>
      <c r="GC156" s="34"/>
      <c r="GD156" s="34"/>
      <c r="GE156" s="34"/>
      <c r="GF156" s="34"/>
      <c r="GG156" s="34"/>
      <c r="GH156" s="34"/>
      <c r="GI156" s="34"/>
      <c r="GJ156" s="34"/>
      <c r="GK156" s="34"/>
      <c r="GL156" s="34"/>
      <c r="GM156" s="34"/>
      <c r="GN156" s="34"/>
      <c r="GO156" s="34"/>
      <c r="GP156" s="34"/>
      <c r="GQ156" s="34"/>
      <c r="GR156" s="34"/>
      <c r="GS156" s="34"/>
      <c r="GT156" s="34"/>
      <c r="GU156" s="34"/>
      <c r="GV156" s="34"/>
      <c r="GW156" s="34"/>
      <c r="GX156" s="34"/>
      <c r="GY156" s="34"/>
      <c r="GZ156" s="34"/>
      <c r="HA156" s="34"/>
      <c r="HB156" s="34"/>
      <c r="HC156" s="34"/>
      <c r="HD156" s="34"/>
      <c r="HE156" s="34"/>
      <c r="HF156" s="34"/>
      <c r="HG156" s="34"/>
      <c r="HH156" s="34"/>
    </row>
    <row r="157" spans="1:216" ht="15.75" customHeight="1" x14ac:dyDescent="0.3">
      <c r="A157" s="7"/>
      <c r="B157" s="58"/>
      <c r="C157" s="24" t="s">
        <v>189</v>
      </c>
      <c r="D157" s="59"/>
      <c r="E157" s="9">
        <f>GAMBIRAN!AY157+JAJAG!BA157+PURWODADI!AC157+WRINGINAGUNG!AB157+WRINGINREJO!X157+YOSOMULYO!AP157</f>
        <v>6</v>
      </c>
      <c r="F157" s="40"/>
      <c r="G157" s="20"/>
      <c r="H157" s="20"/>
      <c r="I157" s="20"/>
      <c r="J157" s="20"/>
      <c r="K157" s="20"/>
      <c r="L157" s="20"/>
      <c r="M157" s="20"/>
      <c r="N157" s="20"/>
      <c r="O157" s="20"/>
      <c r="P157" s="33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  <c r="FS157" s="34"/>
      <c r="FT157" s="34"/>
      <c r="FU157" s="34"/>
      <c r="FV157" s="34"/>
      <c r="FW157" s="34"/>
      <c r="FX157" s="34"/>
      <c r="FY157" s="34"/>
      <c r="FZ157" s="34"/>
      <c r="GA157" s="34"/>
      <c r="GB157" s="34"/>
      <c r="GC157" s="34"/>
      <c r="GD157" s="34"/>
      <c r="GE157" s="34"/>
      <c r="GF157" s="34"/>
      <c r="GG157" s="34"/>
      <c r="GH157" s="34"/>
      <c r="GI157" s="34"/>
      <c r="GJ157" s="34"/>
      <c r="GK157" s="34"/>
      <c r="GL157" s="34"/>
      <c r="GM157" s="34"/>
      <c r="GN157" s="34"/>
      <c r="GO157" s="34"/>
      <c r="GP157" s="34"/>
      <c r="GQ157" s="34"/>
      <c r="GR157" s="34"/>
      <c r="GS157" s="34"/>
      <c r="GT157" s="34"/>
      <c r="GU157" s="34"/>
      <c r="GV157" s="34"/>
      <c r="GW157" s="34"/>
      <c r="GX157" s="34"/>
      <c r="GY157" s="34"/>
      <c r="GZ157" s="34"/>
      <c r="HA157" s="34"/>
      <c r="HB157" s="34"/>
      <c r="HC157" s="34"/>
      <c r="HD157" s="34"/>
      <c r="HE157" s="34"/>
      <c r="HF157" s="34"/>
      <c r="HG157" s="34"/>
      <c r="HH157" s="34"/>
    </row>
    <row r="158" spans="1:216" ht="15.75" customHeight="1" x14ac:dyDescent="0.3">
      <c r="A158" s="7"/>
      <c r="B158" s="58"/>
      <c r="C158" s="24" t="s">
        <v>190</v>
      </c>
      <c r="D158" s="59"/>
      <c r="E158" s="9">
        <f>GAMBIRAN!AY158+JAJAG!BA158+PURWODADI!AC158+WRINGINAGUNG!AB158+WRINGINREJO!X158+YOSOMULYO!AP158</f>
        <v>2</v>
      </c>
      <c r="F158" s="40"/>
      <c r="G158" s="20"/>
      <c r="H158" s="20"/>
      <c r="I158" s="20"/>
      <c r="J158" s="20"/>
      <c r="K158" s="20"/>
      <c r="L158" s="20"/>
      <c r="M158" s="20"/>
      <c r="N158" s="20"/>
      <c r="O158" s="20"/>
      <c r="P158" s="33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34"/>
      <c r="FO158" s="34"/>
      <c r="FP158" s="34"/>
      <c r="FQ158" s="34"/>
      <c r="FR158" s="34"/>
      <c r="FS158" s="34"/>
      <c r="FT158" s="34"/>
      <c r="FU158" s="34"/>
      <c r="FV158" s="34"/>
      <c r="FW158" s="34"/>
      <c r="FX158" s="34"/>
      <c r="FY158" s="34"/>
      <c r="FZ158" s="34"/>
      <c r="GA158" s="34"/>
      <c r="GB158" s="34"/>
      <c r="GC158" s="34"/>
      <c r="GD158" s="34"/>
      <c r="GE158" s="34"/>
      <c r="GF158" s="34"/>
      <c r="GG158" s="34"/>
      <c r="GH158" s="34"/>
      <c r="GI158" s="34"/>
      <c r="GJ158" s="34"/>
      <c r="GK158" s="34"/>
      <c r="GL158" s="34"/>
      <c r="GM158" s="34"/>
      <c r="GN158" s="34"/>
      <c r="GO158" s="34"/>
      <c r="GP158" s="34"/>
      <c r="GQ158" s="34"/>
      <c r="GR158" s="34"/>
      <c r="GS158" s="34"/>
      <c r="GT158" s="34"/>
      <c r="GU158" s="34"/>
      <c r="GV158" s="34"/>
      <c r="GW158" s="34"/>
      <c r="GX158" s="34"/>
      <c r="GY158" s="34"/>
      <c r="GZ158" s="34"/>
      <c r="HA158" s="34"/>
      <c r="HB158" s="34"/>
      <c r="HC158" s="34"/>
      <c r="HD158" s="34"/>
      <c r="HE158" s="34"/>
      <c r="HF158" s="34"/>
      <c r="HG158" s="34"/>
      <c r="HH158" s="34"/>
    </row>
    <row r="159" spans="1:216" ht="15.75" customHeight="1" x14ac:dyDescent="0.3">
      <c r="A159" s="7"/>
      <c r="B159" s="58"/>
      <c r="C159" s="24" t="s">
        <v>191</v>
      </c>
      <c r="D159" s="59"/>
      <c r="E159" s="9">
        <f>GAMBIRAN!AY159+JAJAG!BA159+PURWODADI!AC159+WRINGINAGUNG!AB159+WRINGINREJO!X159+YOSOMULYO!AP159</f>
        <v>10</v>
      </c>
      <c r="F159" s="40"/>
      <c r="G159" s="20"/>
      <c r="H159" s="20"/>
      <c r="I159" s="20"/>
      <c r="J159" s="20"/>
      <c r="K159" s="20"/>
      <c r="L159" s="20"/>
      <c r="M159" s="20"/>
      <c r="N159" s="20"/>
      <c r="O159" s="20"/>
      <c r="P159" s="33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34"/>
      <c r="FO159" s="34"/>
      <c r="FP159" s="34"/>
      <c r="FQ159" s="34"/>
      <c r="FR159" s="34"/>
      <c r="FS159" s="34"/>
      <c r="FT159" s="34"/>
      <c r="FU159" s="34"/>
      <c r="FV159" s="34"/>
      <c r="FW159" s="34"/>
      <c r="FX159" s="34"/>
      <c r="FY159" s="34"/>
      <c r="FZ159" s="34"/>
      <c r="GA159" s="34"/>
      <c r="GB159" s="34"/>
      <c r="GC159" s="34"/>
      <c r="GD159" s="34"/>
      <c r="GE159" s="34"/>
      <c r="GF159" s="34"/>
      <c r="GG159" s="34"/>
      <c r="GH159" s="34"/>
      <c r="GI159" s="34"/>
      <c r="GJ159" s="34"/>
      <c r="GK159" s="34"/>
      <c r="GL159" s="34"/>
      <c r="GM159" s="34"/>
      <c r="GN159" s="34"/>
      <c r="GO159" s="34"/>
      <c r="GP159" s="34"/>
      <c r="GQ159" s="34"/>
      <c r="GR159" s="34"/>
      <c r="GS159" s="34"/>
      <c r="GT159" s="34"/>
      <c r="GU159" s="34"/>
      <c r="GV159" s="34"/>
      <c r="GW159" s="34"/>
      <c r="GX159" s="34"/>
      <c r="GY159" s="34"/>
      <c r="GZ159" s="34"/>
      <c r="HA159" s="34"/>
      <c r="HB159" s="34"/>
      <c r="HC159" s="34"/>
      <c r="HD159" s="34"/>
      <c r="HE159" s="34"/>
      <c r="HF159" s="34"/>
      <c r="HG159" s="34"/>
      <c r="HH159" s="34"/>
    </row>
    <row r="160" spans="1:216" ht="15.75" customHeight="1" x14ac:dyDescent="0.3">
      <c r="A160" s="7"/>
      <c r="B160" s="58"/>
      <c r="C160" s="24" t="s">
        <v>192</v>
      </c>
      <c r="D160" s="59"/>
      <c r="E160" s="9">
        <f>GAMBIRAN!AY160+JAJAG!BA160+PURWODADI!AC160+WRINGINAGUNG!AB160+WRINGINREJO!X160+YOSOMULYO!AP160</f>
        <v>10</v>
      </c>
      <c r="F160" s="40"/>
      <c r="G160" s="20"/>
      <c r="H160" s="20"/>
      <c r="I160" s="20"/>
      <c r="J160" s="20"/>
      <c r="K160" s="20"/>
      <c r="L160" s="20"/>
      <c r="M160" s="20"/>
      <c r="N160" s="20"/>
      <c r="O160" s="20"/>
      <c r="P160" s="33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  <c r="FS160" s="34"/>
      <c r="FT160" s="34"/>
      <c r="FU160" s="34"/>
      <c r="FV160" s="34"/>
      <c r="FW160" s="34"/>
      <c r="FX160" s="34"/>
      <c r="FY160" s="34"/>
      <c r="FZ160" s="34"/>
      <c r="GA160" s="34"/>
      <c r="GB160" s="34"/>
      <c r="GC160" s="34"/>
      <c r="GD160" s="34"/>
      <c r="GE160" s="34"/>
      <c r="GF160" s="34"/>
      <c r="GG160" s="34"/>
      <c r="GH160" s="34"/>
      <c r="GI160" s="34"/>
      <c r="GJ160" s="34"/>
      <c r="GK160" s="34"/>
      <c r="GL160" s="34"/>
      <c r="GM160" s="34"/>
      <c r="GN160" s="34"/>
      <c r="GO160" s="34"/>
      <c r="GP160" s="34"/>
      <c r="GQ160" s="34"/>
      <c r="GR160" s="34"/>
      <c r="GS160" s="34"/>
      <c r="GT160" s="34"/>
      <c r="GU160" s="34"/>
      <c r="GV160" s="34"/>
      <c r="GW160" s="34"/>
      <c r="GX160" s="34"/>
      <c r="GY160" s="34"/>
      <c r="GZ160" s="34"/>
      <c r="HA160" s="34"/>
      <c r="HB160" s="34"/>
      <c r="HC160" s="34"/>
      <c r="HD160" s="34"/>
      <c r="HE160" s="34"/>
      <c r="HF160" s="34"/>
      <c r="HG160" s="34"/>
      <c r="HH160" s="34"/>
    </row>
    <row r="161" spans="1:216" ht="15.75" customHeight="1" x14ac:dyDescent="0.3">
      <c r="A161" s="7"/>
      <c r="B161" s="63"/>
      <c r="C161" s="64"/>
      <c r="D161" s="65"/>
      <c r="E161" s="62"/>
      <c r="F161" s="40"/>
      <c r="G161" s="20"/>
      <c r="H161" s="20"/>
      <c r="I161" s="20"/>
      <c r="J161" s="20"/>
      <c r="K161" s="20"/>
      <c r="L161" s="20"/>
      <c r="M161" s="20"/>
      <c r="N161" s="20"/>
      <c r="O161" s="20"/>
      <c r="P161" s="33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34"/>
      <c r="FO161" s="34"/>
      <c r="FP161" s="34"/>
      <c r="FQ161" s="34"/>
      <c r="FR161" s="34"/>
      <c r="FS161" s="34"/>
      <c r="FT161" s="34"/>
      <c r="FU161" s="34"/>
      <c r="FV161" s="34"/>
      <c r="FW161" s="34"/>
      <c r="FX161" s="34"/>
      <c r="FY161" s="34"/>
      <c r="FZ161" s="34"/>
      <c r="GA161" s="34"/>
      <c r="GB161" s="34"/>
      <c r="GC161" s="34"/>
      <c r="GD161" s="34"/>
      <c r="GE161" s="34"/>
      <c r="GF161" s="34"/>
      <c r="GG161" s="34"/>
      <c r="GH161" s="34"/>
      <c r="GI161" s="34"/>
      <c r="GJ161" s="34"/>
      <c r="GK161" s="34"/>
      <c r="GL161" s="34"/>
      <c r="GM161" s="34"/>
      <c r="GN161" s="34"/>
      <c r="GO161" s="34"/>
      <c r="GP161" s="34"/>
      <c r="GQ161" s="34"/>
      <c r="GR161" s="34"/>
      <c r="GS161" s="34"/>
      <c r="GT161" s="34"/>
      <c r="GU161" s="34"/>
      <c r="GV161" s="34"/>
      <c r="GW161" s="34"/>
      <c r="GX161" s="34"/>
      <c r="GY161" s="34"/>
      <c r="GZ161" s="34"/>
      <c r="HA161" s="34"/>
      <c r="HB161" s="34"/>
      <c r="HC161" s="34"/>
      <c r="HD161" s="34"/>
      <c r="HE161" s="34"/>
      <c r="HF161" s="34"/>
      <c r="HG161" s="34"/>
      <c r="HH161" s="34"/>
    </row>
    <row r="162" spans="1:216" ht="15.75" customHeight="1" x14ac:dyDescent="0.3">
      <c r="A162" s="7"/>
      <c r="B162" s="63"/>
      <c r="C162" s="64"/>
      <c r="D162" s="65"/>
      <c r="E162" s="62"/>
      <c r="F162" s="40"/>
      <c r="G162" s="20"/>
      <c r="H162" s="20"/>
      <c r="I162" s="20"/>
      <c r="J162" s="20"/>
      <c r="K162" s="20"/>
      <c r="L162" s="20"/>
      <c r="M162" s="20"/>
      <c r="N162" s="20"/>
      <c r="O162" s="20"/>
      <c r="P162" s="33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  <c r="FS162" s="34"/>
      <c r="FT162" s="34"/>
      <c r="FU162" s="34"/>
      <c r="FV162" s="34"/>
      <c r="FW162" s="34"/>
      <c r="FX162" s="34"/>
      <c r="FY162" s="34"/>
      <c r="FZ162" s="34"/>
      <c r="GA162" s="34"/>
      <c r="GB162" s="34"/>
      <c r="GC162" s="34"/>
      <c r="GD162" s="34"/>
      <c r="GE162" s="34"/>
      <c r="GF162" s="34"/>
      <c r="GG162" s="34"/>
      <c r="GH162" s="34"/>
      <c r="GI162" s="34"/>
      <c r="GJ162" s="34"/>
      <c r="GK162" s="34"/>
      <c r="GL162" s="34"/>
      <c r="GM162" s="34"/>
      <c r="GN162" s="34"/>
      <c r="GO162" s="34"/>
      <c r="GP162" s="34"/>
      <c r="GQ162" s="34"/>
      <c r="GR162" s="34"/>
      <c r="GS162" s="34"/>
      <c r="GT162" s="34"/>
      <c r="GU162" s="34"/>
      <c r="GV162" s="34"/>
      <c r="GW162" s="34"/>
      <c r="GX162" s="34"/>
      <c r="GY162" s="34"/>
      <c r="GZ162" s="34"/>
      <c r="HA162" s="34"/>
      <c r="HB162" s="34"/>
      <c r="HC162" s="34"/>
      <c r="HD162" s="34"/>
      <c r="HE162" s="34"/>
      <c r="HF162" s="34"/>
      <c r="HG162" s="34"/>
      <c r="HH162" s="34"/>
    </row>
    <row r="163" spans="1:216" ht="15.75" customHeight="1" x14ac:dyDescent="0.3">
      <c r="A163" s="6" t="s">
        <v>26</v>
      </c>
      <c r="B163" s="80" t="s">
        <v>51</v>
      </c>
      <c r="C163" s="81"/>
      <c r="D163" s="82"/>
      <c r="E163" s="5">
        <f>SUM(E153:E157)</f>
        <v>95</v>
      </c>
      <c r="F163" s="40"/>
      <c r="G163" s="20"/>
      <c r="H163" s="20"/>
      <c r="I163" s="20"/>
      <c r="J163" s="20"/>
      <c r="K163" s="20"/>
      <c r="L163" s="20"/>
      <c r="M163" s="20"/>
      <c r="N163" s="20"/>
      <c r="O163" s="20"/>
      <c r="P163" s="33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34"/>
      <c r="FO163" s="34"/>
      <c r="FP163" s="34"/>
      <c r="FQ163" s="34"/>
      <c r="FR163" s="34"/>
      <c r="FS163" s="34"/>
      <c r="FT163" s="34"/>
      <c r="FU163" s="34"/>
      <c r="FV163" s="34"/>
      <c r="FW163" s="34"/>
      <c r="FX163" s="34"/>
      <c r="FY163" s="34"/>
      <c r="FZ163" s="34"/>
      <c r="GA163" s="34"/>
      <c r="GB163" s="34"/>
      <c r="GC163" s="34"/>
      <c r="GD163" s="34"/>
      <c r="GE163" s="34"/>
      <c r="GF163" s="34"/>
      <c r="GG163" s="34"/>
      <c r="GH163" s="34"/>
      <c r="GI163" s="34"/>
      <c r="GJ163" s="34"/>
      <c r="GK163" s="34"/>
      <c r="GL163" s="34"/>
      <c r="GM163" s="34"/>
      <c r="GN163" s="34"/>
      <c r="GO163" s="34"/>
      <c r="GP163" s="34"/>
      <c r="GQ163" s="34"/>
      <c r="GR163" s="34"/>
      <c r="GS163" s="34"/>
      <c r="GT163" s="34"/>
      <c r="GU163" s="34"/>
      <c r="GV163" s="34"/>
      <c r="GW163" s="34"/>
      <c r="GX163" s="34"/>
      <c r="GY163" s="34"/>
      <c r="GZ163" s="34"/>
      <c r="HA163" s="34"/>
      <c r="HB163" s="34"/>
      <c r="HC163" s="34"/>
      <c r="HD163" s="34"/>
      <c r="HE163" s="34"/>
      <c r="HF163" s="34"/>
      <c r="HG163" s="34"/>
      <c r="HH163" s="34"/>
    </row>
    <row r="164" spans="1:216" ht="15.75" customHeight="1" x14ac:dyDescent="0.3">
      <c r="A164" s="77"/>
      <c r="B164" s="78"/>
      <c r="C164" s="78"/>
      <c r="D164" s="78"/>
      <c r="E164" s="79"/>
      <c r="F164" s="40"/>
      <c r="G164" s="20"/>
      <c r="H164" s="20"/>
      <c r="I164" s="20"/>
      <c r="J164" s="20"/>
      <c r="K164" s="20"/>
      <c r="L164" s="20"/>
      <c r="M164" s="20"/>
      <c r="N164" s="20"/>
      <c r="O164" s="20"/>
      <c r="P164" s="33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  <c r="FS164" s="34"/>
      <c r="FT164" s="34"/>
      <c r="FU164" s="34"/>
      <c r="FV164" s="34"/>
      <c r="FW164" s="34"/>
      <c r="FX164" s="34"/>
      <c r="FY164" s="34"/>
      <c r="FZ164" s="34"/>
      <c r="GA164" s="34"/>
      <c r="GB164" s="34"/>
      <c r="GC164" s="34"/>
      <c r="GD164" s="34"/>
      <c r="GE164" s="34"/>
      <c r="GF164" s="34"/>
      <c r="GG164" s="34"/>
      <c r="GH164" s="34"/>
      <c r="GI164" s="34"/>
      <c r="GJ164" s="34"/>
      <c r="GK164" s="34"/>
      <c r="GL164" s="34"/>
      <c r="GM164" s="34"/>
      <c r="GN164" s="34"/>
      <c r="GO164" s="34"/>
      <c r="GP164" s="34"/>
      <c r="GQ164" s="34"/>
      <c r="GR164" s="34"/>
      <c r="GS164" s="34"/>
      <c r="GT164" s="34"/>
      <c r="GU164" s="34"/>
      <c r="GV164" s="34"/>
      <c r="GW164" s="34"/>
      <c r="GX164" s="34"/>
      <c r="GY164" s="34"/>
      <c r="GZ164" s="34"/>
      <c r="HA164" s="34"/>
      <c r="HB164" s="34"/>
      <c r="HC164" s="34"/>
      <c r="HD164" s="34"/>
      <c r="HE164" s="34"/>
      <c r="HF164" s="34"/>
      <c r="HG164" s="34"/>
      <c r="HH164" s="34"/>
    </row>
    <row r="165" spans="1:216" ht="15.75" customHeight="1" x14ac:dyDescent="0.3">
      <c r="A165" s="11" t="s">
        <v>48</v>
      </c>
      <c r="B165" s="17" t="s">
        <v>67</v>
      </c>
      <c r="C165" s="75" t="s">
        <v>68</v>
      </c>
      <c r="D165" s="76"/>
      <c r="E165" s="9">
        <f>GAMBIRAN!AY165+JAJAG!BA165+PURWODADI!AC165+WRINGINAGUNG!AB165+WRINGINREJO!X165+YOSOMULYO!AP165</f>
        <v>61</v>
      </c>
      <c r="F165" s="41"/>
      <c r="G165" s="1"/>
      <c r="H165" s="1"/>
      <c r="I165" s="1"/>
      <c r="J165" s="1"/>
      <c r="K165" s="1"/>
      <c r="L165" s="1"/>
      <c r="M165" s="1"/>
      <c r="N165" s="1"/>
      <c r="O165" s="1"/>
      <c r="P165" s="35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</row>
    <row r="166" spans="1:216" ht="15.75" customHeight="1" x14ac:dyDescent="0.3">
      <c r="A166" s="11" t="s">
        <v>50</v>
      </c>
      <c r="B166" s="54"/>
      <c r="C166" s="24" t="s">
        <v>193</v>
      </c>
      <c r="D166" s="51"/>
      <c r="E166" s="9">
        <f>GAMBIRAN!AY166+JAJAG!BA166+PURWODADI!AC166+WRINGINAGUNG!AB166+WRINGINREJO!X166+YOSOMULYO!AP166</f>
        <v>73</v>
      </c>
      <c r="F166" s="43"/>
      <c r="G166" s="28"/>
      <c r="H166" s="28"/>
      <c r="I166" s="28"/>
      <c r="J166" s="28"/>
      <c r="K166" s="28"/>
      <c r="L166" s="28"/>
      <c r="M166" s="28"/>
      <c r="N166" s="28"/>
      <c r="O166" s="28"/>
      <c r="P166" s="38"/>
      <c r="Q166" s="31"/>
      <c r="R166" s="31"/>
      <c r="S166" s="31"/>
      <c r="T166" s="31"/>
      <c r="U166" s="31"/>
      <c r="V166" s="31"/>
      <c r="W166" s="39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1"/>
      <c r="BM166" s="31"/>
      <c r="BN166" s="31"/>
      <c r="BO166" s="31"/>
      <c r="BP166" s="31"/>
      <c r="BQ166" s="31"/>
      <c r="BR166" s="39"/>
      <c r="BS166" s="31"/>
      <c r="BT166" s="31"/>
      <c r="BU166" s="31"/>
      <c r="BV166" s="31"/>
      <c r="BW166" s="31"/>
      <c r="BX166" s="31"/>
      <c r="BY166" s="31"/>
      <c r="BZ166" s="31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9"/>
      <c r="EZ166" s="39"/>
      <c r="FA166" s="39"/>
      <c r="FB166" s="39"/>
      <c r="FC166" s="39"/>
      <c r="FD166" s="39"/>
      <c r="FE166" s="39"/>
      <c r="FF166" s="31"/>
      <c r="FG166" s="31"/>
      <c r="FH166" s="31"/>
      <c r="FI166" s="31"/>
      <c r="FJ166" s="39"/>
      <c r="FK166" s="39"/>
      <c r="FL166" s="39"/>
      <c r="FM166" s="39"/>
      <c r="FN166" s="39"/>
      <c r="FO166" s="39"/>
      <c r="FP166" s="39"/>
      <c r="FQ166" s="39"/>
      <c r="FR166" s="39"/>
      <c r="FS166" s="39"/>
      <c r="FT166" s="39"/>
      <c r="FU166" s="39"/>
      <c r="FV166" s="39"/>
      <c r="FW166" s="39"/>
      <c r="FX166" s="39"/>
      <c r="FY166" s="39"/>
      <c r="FZ166" s="39"/>
      <c r="GA166" s="39"/>
      <c r="GB166" s="39"/>
      <c r="GC166" s="39"/>
      <c r="GD166" s="39"/>
      <c r="GE166" s="39"/>
      <c r="GF166" s="39"/>
      <c r="GG166" s="39"/>
      <c r="GH166" s="39"/>
      <c r="GI166" s="39"/>
      <c r="GJ166" s="39"/>
      <c r="GK166" s="39"/>
      <c r="GL166" s="39"/>
      <c r="GM166" s="39"/>
      <c r="GN166" s="39"/>
      <c r="GO166" s="39"/>
      <c r="GP166" s="39"/>
      <c r="GQ166" s="39"/>
      <c r="GR166" s="39"/>
      <c r="GS166" s="39"/>
      <c r="GT166" s="39"/>
      <c r="GU166" s="39"/>
      <c r="GV166" s="39"/>
      <c r="GW166" s="39"/>
      <c r="GX166" s="39"/>
      <c r="GY166" s="39"/>
      <c r="GZ166" s="39"/>
      <c r="HA166" s="39"/>
      <c r="HB166" s="39"/>
      <c r="HC166" s="39"/>
      <c r="HD166" s="39"/>
      <c r="HE166" s="39"/>
      <c r="HF166" s="39"/>
      <c r="HG166" s="39"/>
      <c r="HH166" s="39"/>
    </row>
    <row r="167" spans="1:216" ht="15.75" customHeight="1" x14ac:dyDescent="0.3">
      <c r="A167" s="7"/>
      <c r="B167" s="46"/>
      <c r="C167" s="47"/>
      <c r="D167" s="49"/>
      <c r="E167" s="60"/>
      <c r="F167" s="40"/>
      <c r="G167" s="20"/>
      <c r="H167" s="20"/>
      <c r="I167" s="20"/>
      <c r="J167" s="20"/>
      <c r="K167" s="20"/>
      <c r="L167" s="20"/>
      <c r="M167" s="20"/>
      <c r="N167" s="20"/>
      <c r="O167" s="20"/>
      <c r="P167" s="33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34"/>
      <c r="FO167" s="34"/>
      <c r="FP167" s="34"/>
      <c r="FQ167" s="34"/>
      <c r="FR167" s="34"/>
      <c r="FS167" s="34"/>
      <c r="FT167" s="34"/>
      <c r="FU167" s="34"/>
      <c r="FV167" s="34"/>
      <c r="FW167" s="34"/>
      <c r="FX167" s="34"/>
      <c r="FY167" s="34"/>
      <c r="FZ167" s="34"/>
      <c r="GA167" s="34"/>
      <c r="GB167" s="34"/>
      <c r="GC167" s="34"/>
      <c r="GD167" s="34"/>
      <c r="GE167" s="34"/>
      <c r="GF167" s="34"/>
      <c r="GG167" s="34"/>
      <c r="GH167" s="34"/>
      <c r="GI167" s="34"/>
      <c r="GJ167" s="34"/>
      <c r="GK167" s="34"/>
      <c r="GL167" s="34"/>
      <c r="GM167" s="34"/>
      <c r="GN167" s="34"/>
      <c r="GO167" s="34"/>
      <c r="GP167" s="34"/>
      <c r="GQ167" s="34"/>
      <c r="GR167" s="34"/>
      <c r="GS167" s="34"/>
      <c r="GT167" s="34"/>
      <c r="GU167" s="34"/>
      <c r="GV167" s="34"/>
      <c r="GW167" s="34"/>
      <c r="GX167" s="34"/>
      <c r="GY167" s="34"/>
      <c r="GZ167" s="34"/>
      <c r="HA167" s="34"/>
      <c r="HB167" s="34"/>
      <c r="HC167" s="34"/>
      <c r="HD167" s="34"/>
      <c r="HE167" s="34"/>
      <c r="HF167" s="34"/>
      <c r="HG167" s="34"/>
      <c r="HH167" s="34"/>
    </row>
    <row r="168" spans="1:216" ht="15.75" customHeight="1" x14ac:dyDescent="0.3">
      <c r="A168" s="7"/>
      <c r="B168" s="46"/>
      <c r="C168" s="47"/>
      <c r="D168" s="49"/>
      <c r="E168" s="60"/>
      <c r="F168" s="40"/>
      <c r="G168" s="20"/>
      <c r="H168" s="20"/>
      <c r="I168" s="20"/>
      <c r="J168" s="20"/>
      <c r="K168" s="20"/>
      <c r="L168" s="20"/>
      <c r="M168" s="20"/>
      <c r="N168" s="20"/>
      <c r="O168" s="20"/>
      <c r="P168" s="33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34"/>
      <c r="FO168" s="34"/>
      <c r="FP168" s="34"/>
      <c r="FQ168" s="34"/>
      <c r="FR168" s="34"/>
      <c r="FS168" s="34"/>
      <c r="FT168" s="34"/>
      <c r="FU168" s="34"/>
      <c r="FV168" s="34"/>
      <c r="FW168" s="34"/>
      <c r="FX168" s="34"/>
      <c r="FY168" s="34"/>
      <c r="FZ168" s="34"/>
      <c r="GA168" s="34"/>
      <c r="GB168" s="34"/>
      <c r="GC168" s="34"/>
      <c r="GD168" s="34"/>
      <c r="GE168" s="34"/>
      <c r="GF168" s="34"/>
      <c r="GG168" s="34"/>
      <c r="GH168" s="34"/>
      <c r="GI168" s="34"/>
      <c r="GJ168" s="34"/>
      <c r="GK168" s="34"/>
      <c r="GL168" s="34"/>
      <c r="GM168" s="34"/>
      <c r="GN168" s="34"/>
      <c r="GO168" s="34"/>
      <c r="GP168" s="34"/>
      <c r="GQ168" s="34"/>
      <c r="GR168" s="34"/>
      <c r="GS168" s="34"/>
      <c r="GT168" s="34"/>
      <c r="GU168" s="34"/>
      <c r="GV168" s="34"/>
      <c r="GW168" s="34"/>
      <c r="GX168" s="34"/>
      <c r="GY168" s="34"/>
      <c r="GZ168" s="34"/>
      <c r="HA168" s="34"/>
      <c r="HB168" s="34"/>
      <c r="HC168" s="34"/>
      <c r="HD168" s="34"/>
      <c r="HE168" s="34"/>
      <c r="HF168" s="34"/>
      <c r="HG168" s="34"/>
      <c r="HH168" s="34"/>
    </row>
    <row r="169" spans="1:216" ht="15.75" customHeight="1" x14ac:dyDescent="0.3">
      <c r="A169" s="7"/>
      <c r="B169" s="46"/>
      <c r="C169" s="47"/>
      <c r="D169" s="49"/>
      <c r="E169" s="60"/>
      <c r="F169" s="40"/>
      <c r="G169" s="20"/>
      <c r="H169" s="20"/>
      <c r="I169" s="20"/>
      <c r="J169" s="20"/>
      <c r="K169" s="20"/>
      <c r="L169" s="20"/>
      <c r="M169" s="20"/>
      <c r="N169" s="20"/>
      <c r="O169" s="20"/>
      <c r="P169" s="33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34"/>
      <c r="FO169" s="34"/>
      <c r="FP169" s="34"/>
      <c r="FQ169" s="34"/>
      <c r="FR169" s="34"/>
      <c r="FS169" s="34"/>
      <c r="FT169" s="34"/>
      <c r="FU169" s="34"/>
      <c r="FV169" s="34"/>
      <c r="FW169" s="34"/>
      <c r="FX169" s="34"/>
      <c r="FY169" s="34"/>
      <c r="FZ169" s="34"/>
      <c r="GA169" s="34"/>
      <c r="GB169" s="34"/>
      <c r="GC169" s="34"/>
      <c r="GD169" s="34"/>
      <c r="GE169" s="34"/>
      <c r="GF169" s="34"/>
      <c r="GG169" s="34"/>
      <c r="GH169" s="34"/>
      <c r="GI169" s="34"/>
      <c r="GJ169" s="34"/>
      <c r="GK169" s="34"/>
      <c r="GL169" s="34"/>
      <c r="GM169" s="34"/>
      <c r="GN169" s="34"/>
      <c r="GO169" s="34"/>
      <c r="GP169" s="34"/>
      <c r="GQ169" s="34"/>
      <c r="GR169" s="34"/>
      <c r="GS169" s="34"/>
      <c r="GT169" s="34"/>
      <c r="GU169" s="34"/>
      <c r="GV169" s="34"/>
      <c r="GW169" s="34"/>
      <c r="GX169" s="34"/>
      <c r="GY169" s="34"/>
      <c r="GZ169" s="34"/>
      <c r="HA169" s="34"/>
      <c r="HB169" s="34"/>
      <c r="HC169" s="34"/>
      <c r="HD169" s="34"/>
      <c r="HE169" s="34"/>
      <c r="HF169" s="34"/>
      <c r="HG169" s="34"/>
      <c r="HH169" s="34"/>
    </row>
    <row r="170" spans="1:216" ht="15.75" customHeight="1" x14ac:dyDescent="0.3">
      <c r="A170" s="7"/>
      <c r="B170" s="46"/>
      <c r="C170" s="47"/>
      <c r="D170" s="49"/>
      <c r="E170" s="60"/>
      <c r="F170" s="40"/>
      <c r="G170" s="20"/>
      <c r="H170" s="20"/>
      <c r="I170" s="20"/>
      <c r="J170" s="20"/>
      <c r="K170" s="20"/>
      <c r="L170" s="20"/>
      <c r="M170" s="20"/>
      <c r="N170" s="20"/>
      <c r="O170" s="20"/>
      <c r="P170" s="33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  <c r="FS170" s="34"/>
      <c r="FT170" s="34"/>
      <c r="FU170" s="34"/>
      <c r="FV170" s="34"/>
      <c r="FW170" s="34"/>
      <c r="FX170" s="34"/>
      <c r="FY170" s="34"/>
      <c r="FZ170" s="34"/>
      <c r="GA170" s="34"/>
      <c r="GB170" s="34"/>
      <c r="GC170" s="34"/>
      <c r="GD170" s="34"/>
      <c r="GE170" s="34"/>
      <c r="GF170" s="34"/>
      <c r="GG170" s="34"/>
      <c r="GH170" s="34"/>
      <c r="GI170" s="34"/>
      <c r="GJ170" s="34"/>
      <c r="GK170" s="34"/>
      <c r="GL170" s="34"/>
      <c r="GM170" s="34"/>
      <c r="GN170" s="34"/>
      <c r="GO170" s="34"/>
      <c r="GP170" s="34"/>
      <c r="GQ170" s="34"/>
      <c r="GR170" s="34"/>
      <c r="GS170" s="34"/>
      <c r="GT170" s="34"/>
      <c r="GU170" s="34"/>
      <c r="GV170" s="34"/>
      <c r="GW170" s="34"/>
      <c r="GX170" s="34"/>
      <c r="GY170" s="34"/>
      <c r="GZ170" s="34"/>
      <c r="HA170" s="34"/>
      <c r="HB170" s="34"/>
      <c r="HC170" s="34"/>
      <c r="HD170" s="34"/>
      <c r="HE170" s="34"/>
      <c r="HF170" s="34"/>
      <c r="HG170" s="34"/>
      <c r="HH170" s="34"/>
    </row>
    <row r="171" spans="1:216" ht="15.75" customHeight="1" x14ac:dyDescent="0.3">
      <c r="A171" s="7"/>
      <c r="B171" s="46"/>
      <c r="C171" s="47"/>
      <c r="D171" s="49"/>
      <c r="E171" s="60"/>
      <c r="F171" s="40"/>
      <c r="G171" s="20"/>
      <c r="H171" s="20"/>
      <c r="I171" s="20"/>
      <c r="J171" s="20"/>
      <c r="K171" s="20"/>
      <c r="L171" s="20"/>
      <c r="M171" s="20"/>
      <c r="N171" s="20"/>
      <c r="O171" s="20"/>
      <c r="P171" s="33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34"/>
      <c r="FO171" s="34"/>
      <c r="FP171" s="34"/>
      <c r="FQ171" s="34"/>
      <c r="FR171" s="34"/>
      <c r="FS171" s="34"/>
      <c r="FT171" s="34"/>
      <c r="FU171" s="34"/>
      <c r="FV171" s="34"/>
      <c r="FW171" s="34"/>
      <c r="FX171" s="34"/>
      <c r="FY171" s="34"/>
      <c r="FZ171" s="34"/>
      <c r="GA171" s="34"/>
      <c r="GB171" s="34"/>
      <c r="GC171" s="34"/>
      <c r="GD171" s="34"/>
      <c r="GE171" s="34"/>
      <c r="GF171" s="34"/>
      <c r="GG171" s="34"/>
      <c r="GH171" s="34"/>
      <c r="GI171" s="34"/>
      <c r="GJ171" s="34"/>
      <c r="GK171" s="34"/>
      <c r="GL171" s="34"/>
      <c r="GM171" s="34"/>
      <c r="GN171" s="34"/>
      <c r="GO171" s="34"/>
      <c r="GP171" s="34"/>
      <c r="GQ171" s="34"/>
      <c r="GR171" s="34"/>
      <c r="GS171" s="34"/>
      <c r="GT171" s="34"/>
      <c r="GU171" s="34"/>
      <c r="GV171" s="34"/>
      <c r="GW171" s="34"/>
      <c r="GX171" s="34"/>
      <c r="GY171" s="34"/>
      <c r="GZ171" s="34"/>
      <c r="HA171" s="34"/>
      <c r="HB171" s="34"/>
      <c r="HC171" s="34"/>
      <c r="HD171" s="34"/>
      <c r="HE171" s="34"/>
      <c r="HF171" s="34"/>
      <c r="HG171" s="34"/>
      <c r="HH171" s="34"/>
    </row>
    <row r="172" spans="1:216" ht="15.75" customHeight="1" x14ac:dyDescent="0.3">
      <c r="A172" s="7"/>
      <c r="B172" s="46"/>
      <c r="C172" s="47"/>
      <c r="D172" s="49"/>
      <c r="E172" s="60"/>
      <c r="F172" s="40"/>
      <c r="G172" s="20"/>
      <c r="H172" s="20"/>
      <c r="I172" s="20"/>
      <c r="J172" s="20"/>
      <c r="K172" s="20"/>
      <c r="L172" s="20"/>
      <c r="M172" s="20"/>
      <c r="N172" s="20"/>
      <c r="O172" s="20"/>
      <c r="P172" s="33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  <c r="FS172" s="34"/>
      <c r="FT172" s="34"/>
      <c r="FU172" s="34"/>
      <c r="FV172" s="34"/>
      <c r="FW172" s="34"/>
      <c r="FX172" s="34"/>
      <c r="FY172" s="34"/>
      <c r="FZ172" s="34"/>
      <c r="GA172" s="34"/>
      <c r="GB172" s="34"/>
      <c r="GC172" s="34"/>
      <c r="GD172" s="34"/>
      <c r="GE172" s="34"/>
      <c r="GF172" s="34"/>
      <c r="GG172" s="34"/>
      <c r="GH172" s="34"/>
      <c r="GI172" s="34"/>
      <c r="GJ172" s="34"/>
      <c r="GK172" s="34"/>
      <c r="GL172" s="34"/>
      <c r="GM172" s="34"/>
      <c r="GN172" s="34"/>
      <c r="GO172" s="34"/>
      <c r="GP172" s="34"/>
      <c r="GQ172" s="34"/>
      <c r="GR172" s="34"/>
      <c r="GS172" s="34"/>
      <c r="GT172" s="34"/>
      <c r="GU172" s="34"/>
      <c r="GV172" s="34"/>
      <c r="GW172" s="34"/>
      <c r="GX172" s="34"/>
      <c r="GY172" s="34"/>
      <c r="GZ172" s="34"/>
      <c r="HA172" s="34"/>
      <c r="HB172" s="34"/>
      <c r="HC172" s="34"/>
      <c r="HD172" s="34"/>
      <c r="HE172" s="34"/>
      <c r="HF172" s="34"/>
      <c r="HG172" s="34"/>
      <c r="HH172" s="34"/>
    </row>
    <row r="173" spans="1:216" ht="15.75" customHeight="1" x14ac:dyDescent="0.3">
      <c r="A173" s="7"/>
      <c r="B173" s="46"/>
      <c r="C173" s="47"/>
      <c r="D173" s="49"/>
      <c r="E173" s="60"/>
      <c r="F173" s="40"/>
      <c r="G173" s="20"/>
      <c r="H173" s="20"/>
      <c r="I173" s="20"/>
      <c r="J173" s="20"/>
      <c r="K173" s="20"/>
      <c r="L173" s="20"/>
      <c r="M173" s="20"/>
      <c r="N173" s="20"/>
      <c r="O173" s="20"/>
      <c r="P173" s="33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34"/>
      <c r="FO173" s="34"/>
      <c r="FP173" s="34"/>
      <c r="FQ173" s="34"/>
      <c r="FR173" s="34"/>
      <c r="FS173" s="34"/>
      <c r="FT173" s="34"/>
      <c r="FU173" s="34"/>
      <c r="FV173" s="34"/>
      <c r="FW173" s="34"/>
      <c r="FX173" s="34"/>
      <c r="FY173" s="34"/>
      <c r="FZ173" s="34"/>
      <c r="GA173" s="34"/>
      <c r="GB173" s="34"/>
      <c r="GC173" s="34"/>
      <c r="GD173" s="34"/>
      <c r="GE173" s="34"/>
      <c r="GF173" s="34"/>
      <c r="GG173" s="34"/>
      <c r="GH173" s="34"/>
      <c r="GI173" s="34"/>
      <c r="GJ173" s="34"/>
      <c r="GK173" s="34"/>
      <c r="GL173" s="34"/>
      <c r="GM173" s="34"/>
      <c r="GN173" s="34"/>
      <c r="GO173" s="34"/>
      <c r="GP173" s="34"/>
      <c r="GQ173" s="34"/>
      <c r="GR173" s="34"/>
      <c r="GS173" s="34"/>
      <c r="GT173" s="34"/>
      <c r="GU173" s="34"/>
      <c r="GV173" s="34"/>
      <c r="GW173" s="34"/>
      <c r="GX173" s="34"/>
      <c r="GY173" s="34"/>
      <c r="GZ173" s="34"/>
      <c r="HA173" s="34"/>
      <c r="HB173" s="34"/>
      <c r="HC173" s="34"/>
      <c r="HD173" s="34"/>
      <c r="HE173" s="34"/>
      <c r="HF173" s="34"/>
      <c r="HG173" s="34"/>
      <c r="HH173" s="34"/>
    </row>
    <row r="174" spans="1:216" ht="15.75" customHeight="1" x14ac:dyDescent="0.3">
      <c r="A174" s="7"/>
      <c r="B174" s="46"/>
      <c r="C174" s="47"/>
      <c r="D174" s="49"/>
      <c r="E174" s="60"/>
      <c r="F174" s="40"/>
      <c r="G174" s="20"/>
      <c r="H174" s="20"/>
      <c r="I174" s="20"/>
      <c r="J174" s="20"/>
      <c r="K174" s="20"/>
      <c r="L174" s="20"/>
      <c r="M174" s="20"/>
      <c r="N174" s="20"/>
      <c r="O174" s="20"/>
      <c r="P174" s="33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34"/>
      <c r="FO174" s="34"/>
      <c r="FP174" s="34"/>
      <c r="FQ174" s="34"/>
      <c r="FR174" s="34"/>
      <c r="FS174" s="34"/>
      <c r="FT174" s="34"/>
      <c r="FU174" s="34"/>
      <c r="FV174" s="34"/>
      <c r="FW174" s="34"/>
      <c r="FX174" s="34"/>
      <c r="FY174" s="34"/>
      <c r="FZ174" s="34"/>
      <c r="GA174" s="34"/>
      <c r="GB174" s="34"/>
      <c r="GC174" s="34"/>
      <c r="GD174" s="34"/>
      <c r="GE174" s="34"/>
      <c r="GF174" s="34"/>
      <c r="GG174" s="34"/>
      <c r="GH174" s="34"/>
      <c r="GI174" s="34"/>
      <c r="GJ174" s="34"/>
      <c r="GK174" s="34"/>
      <c r="GL174" s="34"/>
      <c r="GM174" s="34"/>
      <c r="GN174" s="34"/>
      <c r="GO174" s="34"/>
      <c r="GP174" s="34"/>
      <c r="GQ174" s="34"/>
      <c r="GR174" s="34"/>
      <c r="GS174" s="34"/>
      <c r="GT174" s="34"/>
      <c r="GU174" s="34"/>
      <c r="GV174" s="34"/>
      <c r="GW174" s="34"/>
      <c r="GX174" s="34"/>
      <c r="GY174" s="34"/>
      <c r="GZ174" s="34"/>
      <c r="HA174" s="34"/>
      <c r="HB174" s="34"/>
      <c r="HC174" s="34"/>
      <c r="HD174" s="34"/>
      <c r="HE174" s="34"/>
      <c r="HF174" s="34"/>
      <c r="HG174" s="34"/>
      <c r="HH174" s="34"/>
    </row>
    <row r="175" spans="1:216" ht="15.75" customHeight="1" x14ac:dyDescent="0.3">
      <c r="A175" s="6" t="s">
        <v>26</v>
      </c>
      <c r="B175" s="69" t="s">
        <v>51</v>
      </c>
      <c r="C175" s="70"/>
      <c r="D175" s="71"/>
      <c r="E175" s="5">
        <f>SUM(E165:E172)</f>
        <v>134</v>
      </c>
      <c r="F175" s="40"/>
      <c r="G175" s="20"/>
      <c r="H175" s="20"/>
      <c r="I175" s="20"/>
      <c r="J175" s="20"/>
      <c r="K175" s="20"/>
      <c r="L175" s="20"/>
      <c r="M175" s="20"/>
      <c r="N175" s="20"/>
      <c r="O175" s="20"/>
      <c r="P175" s="33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34"/>
      <c r="FO175" s="34"/>
      <c r="FP175" s="34"/>
      <c r="FQ175" s="34"/>
      <c r="FR175" s="34"/>
      <c r="FS175" s="34"/>
      <c r="FT175" s="34"/>
      <c r="FU175" s="34"/>
      <c r="FV175" s="34"/>
      <c r="FW175" s="34"/>
      <c r="FX175" s="34"/>
      <c r="FY175" s="34"/>
      <c r="FZ175" s="34"/>
      <c r="GA175" s="34"/>
      <c r="GB175" s="34"/>
      <c r="GC175" s="34"/>
      <c r="GD175" s="34"/>
      <c r="GE175" s="34"/>
      <c r="GF175" s="34"/>
      <c r="GG175" s="34"/>
      <c r="GH175" s="34"/>
      <c r="GI175" s="34"/>
      <c r="GJ175" s="34"/>
      <c r="GK175" s="34"/>
      <c r="GL175" s="34"/>
      <c r="GM175" s="34"/>
      <c r="GN175" s="34"/>
      <c r="GO175" s="34"/>
      <c r="GP175" s="34"/>
      <c r="GQ175" s="34"/>
      <c r="GR175" s="34"/>
      <c r="GS175" s="34"/>
      <c r="GT175" s="34"/>
      <c r="GU175" s="34"/>
      <c r="GV175" s="34"/>
      <c r="GW175" s="34"/>
      <c r="GX175" s="34"/>
      <c r="GY175" s="34"/>
      <c r="GZ175" s="34"/>
      <c r="HA175" s="34"/>
      <c r="HB175" s="34"/>
      <c r="HC175" s="34"/>
      <c r="HD175" s="34"/>
      <c r="HE175" s="34"/>
      <c r="HF175" s="34"/>
      <c r="HG175" s="34"/>
      <c r="HH175" s="34"/>
    </row>
    <row r="176" spans="1:216" ht="15.75" customHeight="1" x14ac:dyDescent="0.3">
      <c r="A176" s="77"/>
      <c r="B176" s="78"/>
      <c r="C176" s="78"/>
      <c r="D176" s="78"/>
      <c r="E176" s="79"/>
      <c r="F176" s="40"/>
      <c r="G176" s="20"/>
      <c r="H176" s="20"/>
      <c r="I176" s="20"/>
      <c r="J176" s="20"/>
      <c r="K176" s="20"/>
      <c r="L176" s="20"/>
      <c r="M176" s="20"/>
      <c r="N176" s="20"/>
      <c r="O176" s="20"/>
      <c r="P176" s="33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34"/>
      <c r="GG176" s="34"/>
      <c r="GH176" s="34"/>
      <c r="GI176" s="34"/>
      <c r="GJ176" s="34"/>
      <c r="GK176" s="34"/>
      <c r="GL176" s="34"/>
      <c r="GM176" s="34"/>
      <c r="GN176" s="34"/>
      <c r="GO176" s="34"/>
      <c r="GP176" s="34"/>
      <c r="GQ176" s="34"/>
      <c r="GR176" s="34"/>
      <c r="GS176" s="34"/>
      <c r="GT176" s="34"/>
      <c r="GU176" s="34"/>
      <c r="GV176" s="34"/>
      <c r="GW176" s="34"/>
      <c r="GX176" s="34"/>
      <c r="GY176" s="34"/>
      <c r="GZ176" s="34"/>
      <c r="HA176" s="34"/>
      <c r="HB176" s="34"/>
      <c r="HC176" s="34"/>
      <c r="HD176" s="34"/>
      <c r="HE176" s="34"/>
      <c r="HF176" s="34"/>
      <c r="HG176" s="34"/>
      <c r="HH176" s="34"/>
    </row>
    <row r="177" spans="1:216" ht="15.75" customHeight="1" x14ac:dyDescent="0.3">
      <c r="A177" s="11" t="s">
        <v>48</v>
      </c>
      <c r="B177" s="17" t="s">
        <v>69</v>
      </c>
      <c r="C177" s="75" t="s">
        <v>70</v>
      </c>
      <c r="D177" s="76"/>
      <c r="E177" s="9">
        <f>GAMBIRAN!AY177+JAJAG!BA177+PURWODADI!AC177+WRINGINAGUNG!AB177+WRINGINREJO!X177+YOSOMULYO!AP177</f>
        <v>190</v>
      </c>
      <c r="F177" s="41"/>
      <c r="G177" s="1"/>
      <c r="H177" s="1"/>
      <c r="I177" s="1"/>
      <c r="J177" s="1"/>
      <c r="K177" s="1"/>
      <c r="L177" s="1"/>
      <c r="M177" s="1"/>
      <c r="N177" s="1"/>
      <c r="O177" s="1"/>
      <c r="P177" s="35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32"/>
      <c r="EX177" s="32"/>
      <c r="EY177" s="32"/>
      <c r="EZ177" s="32"/>
      <c r="FA177" s="32"/>
      <c r="FB177" s="32"/>
      <c r="FC177" s="32"/>
      <c r="FD177" s="32"/>
      <c r="FE177" s="32"/>
      <c r="FF177" s="32"/>
      <c r="FG177" s="32"/>
      <c r="FH177" s="32"/>
      <c r="FI177" s="32"/>
      <c r="FJ177" s="32"/>
      <c r="FK177" s="32"/>
      <c r="FL177" s="32"/>
      <c r="FM177" s="32"/>
      <c r="FN177" s="32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2"/>
      <c r="GS177" s="32"/>
      <c r="GT177" s="32"/>
      <c r="GU177" s="32"/>
      <c r="GV177" s="32"/>
      <c r="GW177" s="32"/>
      <c r="GX177" s="32"/>
      <c r="GY177" s="32"/>
      <c r="GZ177" s="32"/>
      <c r="HA177" s="32"/>
      <c r="HB177" s="32"/>
      <c r="HC177" s="32"/>
      <c r="HD177" s="32"/>
      <c r="HE177" s="32"/>
      <c r="HF177" s="32"/>
      <c r="HG177" s="32"/>
      <c r="HH177" s="32"/>
    </row>
    <row r="178" spans="1:216" ht="15.75" customHeight="1" x14ac:dyDescent="0.3">
      <c r="A178" s="11" t="s">
        <v>50</v>
      </c>
      <c r="B178" s="54"/>
      <c r="C178" s="24" t="s">
        <v>194</v>
      </c>
      <c r="D178" s="51"/>
      <c r="E178" s="9">
        <f>GAMBIRAN!AY178+JAJAG!BA178+PURWODADI!AC178+WRINGINAGUNG!AB178+WRINGINREJO!X178+YOSOMULYO!AP178</f>
        <v>204</v>
      </c>
      <c r="F178" s="43"/>
      <c r="G178" s="28"/>
      <c r="H178" s="28"/>
      <c r="I178" s="28"/>
      <c r="J178" s="28"/>
      <c r="K178" s="28"/>
      <c r="L178" s="28"/>
      <c r="M178" s="28"/>
      <c r="N178" s="28"/>
      <c r="O178" s="28"/>
      <c r="P178" s="38"/>
      <c r="Q178" s="31"/>
      <c r="R178" s="31"/>
      <c r="S178" s="31"/>
      <c r="T178" s="31"/>
      <c r="U178" s="31"/>
      <c r="V178" s="31"/>
      <c r="W178" s="39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1"/>
      <c r="BM178" s="31"/>
      <c r="BN178" s="31"/>
      <c r="BO178" s="31"/>
      <c r="BP178" s="31"/>
      <c r="BQ178" s="31"/>
      <c r="BR178" s="39"/>
      <c r="BS178" s="31"/>
      <c r="BT178" s="31"/>
      <c r="BU178" s="31"/>
      <c r="BV178" s="31"/>
      <c r="BW178" s="31"/>
      <c r="BX178" s="31"/>
      <c r="BY178" s="31"/>
      <c r="BZ178" s="31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9"/>
      <c r="EZ178" s="39"/>
      <c r="FA178" s="39"/>
      <c r="FB178" s="39"/>
      <c r="FC178" s="39"/>
      <c r="FD178" s="39"/>
      <c r="FE178" s="39"/>
      <c r="FF178" s="31"/>
      <c r="FG178" s="31"/>
      <c r="FH178" s="31"/>
      <c r="FI178" s="31"/>
      <c r="FJ178" s="39"/>
      <c r="FK178" s="39"/>
      <c r="FL178" s="39"/>
      <c r="FM178" s="39"/>
      <c r="FN178" s="39"/>
      <c r="FO178" s="39"/>
      <c r="FP178" s="39"/>
      <c r="FQ178" s="39"/>
      <c r="FR178" s="39"/>
      <c r="FS178" s="39"/>
      <c r="FT178" s="39"/>
      <c r="FU178" s="39"/>
      <c r="FV178" s="39"/>
      <c r="FW178" s="39"/>
      <c r="FX178" s="39"/>
      <c r="FY178" s="39"/>
      <c r="FZ178" s="39"/>
      <c r="GA178" s="39"/>
      <c r="GB178" s="39"/>
      <c r="GC178" s="39"/>
      <c r="GD178" s="39"/>
      <c r="GE178" s="39"/>
      <c r="GF178" s="39"/>
      <c r="GG178" s="39"/>
      <c r="GH178" s="39"/>
      <c r="GI178" s="39"/>
      <c r="GJ178" s="39"/>
      <c r="GK178" s="39"/>
      <c r="GL178" s="39"/>
      <c r="GM178" s="39"/>
      <c r="GN178" s="39"/>
      <c r="GO178" s="39"/>
      <c r="GP178" s="39"/>
      <c r="GQ178" s="39"/>
      <c r="GR178" s="39"/>
      <c r="GS178" s="39"/>
      <c r="GT178" s="39"/>
      <c r="GU178" s="39"/>
      <c r="GV178" s="39"/>
      <c r="GW178" s="39"/>
      <c r="GX178" s="39"/>
      <c r="GY178" s="39"/>
      <c r="GZ178" s="39"/>
      <c r="HA178" s="39"/>
      <c r="HB178" s="39"/>
      <c r="HC178" s="39"/>
      <c r="HD178" s="39"/>
      <c r="HE178" s="39"/>
      <c r="HF178" s="39"/>
      <c r="HG178" s="39"/>
      <c r="HH178" s="39"/>
    </row>
    <row r="179" spans="1:216" ht="15.75" customHeight="1" x14ac:dyDescent="0.3">
      <c r="A179" s="7"/>
      <c r="B179" s="54"/>
      <c r="C179" s="24" t="s">
        <v>195</v>
      </c>
      <c r="D179" s="51"/>
      <c r="E179" s="9">
        <f>GAMBIRAN!AY179+JAJAG!BA179+PURWODADI!AC179+WRINGINAGUNG!AB179+WRINGINREJO!X179+YOSOMULYO!AP179</f>
        <v>43</v>
      </c>
      <c r="F179" s="40"/>
      <c r="G179" s="20"/>
      <c r="H179" s="20"/>
      <c r="I179" s="20"/>
      <c r="J179" s="20"/>
      <c r="K179" s="20"/>
      <c r="L179" s="20"/>
      <c r="M179" s="20"/>
      <c r="N179" s="20"/>
      <c r="O179" s="20"/>
      <c r="P179" s="33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34"/>
      <c r="FO179" s="34"/>
      <c r="FP179" s="34"/>
      <c r="FQ179" s="34"/>
      <c r="FR179" s="34"/>
      <c r="FS179" s="34"/>
      <c r="FT179" s="34"/>
      <c r="FU179" s="34"/>
      <c r="FV179" s="34"/>
      <c r="FW179" s="34"/>
      <c r="FX179" s="34"/>
      <c r="FY179" s="34"/>
      <c r="FZ179" s="34"/>
      <c r="GA179" s="34"/>
      <c r="GB179" s="34"/>
      <c r="GC179" s="34"/>
      <c r="GD179" s="34"/>
      <c r="GE179" s="34"/>
      <c r="GF179" s="34"/>
      <c r="GG179" s="34"/>
      <c r="GH179" s="34"/>
      <c r="GI179" s="34"/>
      <c r="GJ179" s="34"/>
      <c r="GK179" s="34"/>
      <c r="GL179" s="34"/>
      <c r="GM179" s="34"/>
      <c r="GN179" s="34"/>
      <c r="GO179" s="34"/>
      <c r="GP179" s="34"/>
      <c r="GQ179" s="34"/>
      <c r="GR179" s="34"/>
      <c r="GS179" s="34"/>
      <c r="GT179" s="34"/>
      <c r="GU179" s="34"/>
      <c r="GV179" s="34"/>
      <c r="GW179" s="34"/>
      <c r="GX179" s="34"/>
      <c r="GY179" s="34"/>
      <c r="GZ179" s="34"/>
      <c r="HA179" s="34"/>
      <c r="HB179" s="34"/>
      <c r="HC179" s="34"/>
      <c r="HD179" s="34"/>
      <c r="HE179" s="34"/>
      <c r="HF179" s="34"/>
      <c r="HG179" s="34"/>
      <c r="HH179" s="34"/>
    </row>
    <row r="180" spans="1:216" ht="15.75" customHeight="1" x14ac:dyDescent="0.3">
      <c r="A180" s="7"/>
      <c r="B180" s="54"/>
      <c r="C180" s="24" t="s">
        <v>196</v>
      </c>
      <c r="D180" s="51"/>
      <c r="E180" s="9">
        <f>GAMBIRAN!AY180+JAJAG!BA180+PURWODADI!AC180+WRINGINAGUNG!AB180+WRINGINREJO!X180+YOSOMULYO!AP180</f>
        <v>78</v>
      </c>
      <c r="F180" s="40"/>
      <c r="G180" s="20"/>
      <c r="H180" s="20"/>
      <c r="I180" s="20"/>
      <c r="J180" s="20"/>
      <c r="K180" s="20"/>
      <c r="L180" s="20"/>
      <c r="M180" s="20"/>
      <c r="N180" s="20"/>
      <c r="O180" s="20"/>
      <c r="P180" s="33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  <c r="FS180" s="34"/>
      <c r="FT180" s="34"/>
      <c r="FU180" s="34"/>
      <c r="FV180" s="34"/>
      <c r="FW180" s="34"/>
      <c r="FX180" s="34"/>
      <c r="FY180" s="34"/>
      <c r="FZ180" s="34"/>
      <c r="GA180" s="34"/>
      <c r="GB180" s="34"/>
      <c r="GC180" s="34"/>
      <c r="GD180" s="34"/>
      <c r="GE180" s="34"/>
      <c r="GF180" s="34"/>
      <c r="GG180" s="34"/>
      <c r="GH180" s="34"/>
      <c r="GI180" s="34"/>
      <c r="GJ180" s="34"/>
      <c r="GK180" s="34"/>
      <c r="GL180" s="34"/>
      <c r="GM180" s="34"/>
      <c r="GN180" s="34"/>
      <c r="GO180" s="34"/>
      <c r="GP180" s="34"/>
      <c r="GQ180" s="34"/>
      <c r="GR180" s="34"/>
      <c r="GS180" s="34"/>
      <c r="GT180" s="34"/>
      <c r="GU180" s="34"/>
      <c r="GV180" s="34"/>
      <c r="GW180" s="34"/>
      <c r="GX180" s="34"/>
      <c r="GY180" s="34"/>
      <c r="GZ180" s="34"/>
      <c r="HA180" s="34"/>
      <c r="HB180" s="34"/>
      <c r="HC180" s="34"/>
      <c r="HD180" s="34"/>
      <c r="HE180" s="34"/>
      <c r="HF180" s="34"/>
      <c r="HG180" s="34"/>
      <c r="HH180" s="34"/>
    </row>
    <row r="181" spans="1:216" ht="15.75" customHeight="1" x14ac:dyDescent="0.3">
      <c r="A181" s="7"/>
      <c r="B181" s="54"/>
      <c r="C181" s="24" t="s">
        <v>197</v>
      </c>
      <c r="D181" s="51"/>
      <c r="E181" s="9">
        <f>GAMBIRAN!AY181+JAJAG!BA181+PURWODADI!AC181+WRINGINAGUNG!AB181+WRINGINREJO!X181+YOSOMULYO!AP181</f>
        <v>39</v>
      </c>
      <c r="F181" s="40"/>
      <c r="G181" s="20"/>
      <c r="H181" s="20"/>
      <c r="I181" s="20"/>
      <c r="J181" s="20"/>
      <c r="K181" s="20"/>
      <c r="L181" s="20"/>
      <c r="M181" s="20"/>
      <c r="N181" s="20"/>
      <c r="O181" s="20"/>
      <c r="P181" s="33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34"/>
      <c r="FO181" s="34"/>
      <c r="FP181" s="34"/>
      <c r="FQ181" s="34"/>
      <c r="FR181" s="34"/>
      <c r="FS181" s="34"/>
      <c r="FT181" s="34"/>
      <c r="FU181" s="34"/>
      <c r="FV181" s="34"/>
      <c r="FW181" s="34"/>
      <c r="FX181" s="34"/>
      <c r="FY181" s="34"/>
      <c r="FZ181" s="34"/>
      <c r="GA181" s="34"/>
      <c r="GB181" s="34"/>
      <c r="GC181" s="34"/>
      <c r="GD181" s="34"/>
      <c r="GE181" s="34"/>
      <c r="GF181" s="34"/>
      <c r="GG181" s="34"/>
      <c r="GH181" s="34"/>
      <c r="GI181" s="34"/>
      <c r="GJ181" s="34"/>
      <c r="GK181" s="34"/>
      <c r="GL181" s="34"/>
      <c r="GM181" s="34"/>
      <c r="GN181" s="34"/>
      <c r="GO181" s="34"/>
      <c r="GP181" s="34"/>
      <c r="GQ181" s="34"/>
      <c r="GR181" s="34"/>
      <c r="GS181" s="34"/>
      <c r="GT181" s="34"/>
      <c r="GU181" s="34"/>
      <c r="GV181" s="34"/>
      <c r="GW181" s="34"/>
      <c r="GX181" s="34"/>
      <c r="GY181" s="34"/>
      <c r="GZ181" s="34"/>
      <c r="HA181" s="34"/>
      <c r="HB181" s="34"/>
      <c r="HC181" s="34"/>
      <c r="HD181" s="34"/>
      <c r="HE181" s="34"/>
      <c r="HF181" s="34"/>
      <c r="HG181" s="34"/>
      <c r="HH181" s="34"/>
    </row>
    <row r="182" spans="1:216" ht="15.75" customHeight="1" x14ac:dyDescent="0.3">
      <c r="A182" s="7"/>
      <c r="B182" s="54"/>
      <c r="C182" s="24" t="s">
        <v>198</v>
      </c>
      <c r="D182" s="51"/>
      <c r="E182" s="9">
        <f>GAMBIRAN!AY182+JAJAG!BA182+PURWODADI!AC182+WRINGINAGUNG!AB182+WRINGINREJO!X182+YOSOMULYO!AP182</f>
        <v>33</v>
      </c>
      <c r="F182" s="40"/>
      <c r="G182" s="20"/>
      <c r="H182" s="20"/>
      <c r="I182" s="20"/>
      <c r="J182" s="20"/>
      <c r="K182" s="20"/>
      <c r="L182" s="20"/>
      <c r="M182" s="20"/>
      <c r="N182" s="20"/>
      <c r="O182" s="20"/>
      <c r="P182" s="33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  <c r="FS182" s="34"/>
      <c r="FT182" s="34"/>
      <c r="FU182" s="34"/>
      <c r="FV182" s="34"/>
      <c r="FW182" s="34"/>
      <c r="FX182" s="34"/>
      <c r="FY182" s="34"/>
      <c r="FZ182" s="34"/>
      <c r="GA182" s="34"/>
      <c r="GB182" s="34"/>
      <c r="GC182" s="34"/>
      <c r="GD182" s="34"/>
      <c r="GE182" s="34"/>
      <c r="GF182" s="34"/>
      <c r="GG182" s="34"/>
      <c r="GH182" s="34"/>
      <c r="GI182" s="34"/>
      <c r="GJ182" s="34"/>
      <c r="GK182" s="34"/>
      <c r="GL182" s="34"/>
      <c r="GM182" s="34"/>
      <c r="GN182" s="34"/>
      <c r="GO182" s="34"/>
      <c r="GP182" s="34"/>
      <c r="GQ182" s="34"/>
      <c r="GR182" s="34"/>
      <c r="GS182" s="34"/>
      <c r="GT182" s="34"/>
      <c r="GU182" s="34"/>
      <c r="GV182" s="34"/>
      <c r="GW182" s="34"/>
      <c r="GX182" s="34"/>
      <c r="GY182" s="34"/>
      <c r="GZ182" s="34"/>
      <c r="HA182" s="34"/>
      <c r="HB182" s="34"/>
      <c r="HC182" s="34"/>
      <c r="HD182" s="34"/>
      <c r="HE182" s="34"/>
      <c r="HF182" s="34"/>
      <c r="HG182" s="34"/>
      <c r="HH182" s="34"/>
    </row>
    <row r="183" spans="1:216" ht="15.75" customHeight="1" x14ac:dyDescent="0.3">
      <c r="A183" s="7"/>
      <c r="B183" s="54"/>
      <c r="C183" s="24" t="s">
        <v>199</v>
      </c>
      <c r="D183" s="51"/>
      <c r="E183" s="9">
        <f>GAMBIRAN!AY183+JAJAG!BA183+PURWODADI!AC183+WRINGINAGUNG!AB183+WRINGINREJO!X183+YOSOMULYO!AP183</f>
        <v>26</v>
      </c>
      <c r="F183" s="40"/>
      <c r="G183" s="20"/>
      <c r="H183" s="20"/>
      <c r="I183" s="20"/>
      <c r="J183" s="20"/>
      <c r="K183" s="20"/>
      <c r="L183" s="20"/>
      <c r="M183" s="20"/>
      <c r="N183" s="20"/>
      <c r="O183" s="20"/>
      <c r="P183" s="33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34"/>
      <c r="FO183" s="34"/>
      <c r="FP183" s="34"/>
      <c r="FQ183" s="34"/>
      <c r="FR183" s="34"/>
      <c r="FS183" s="34"/>
      <c r="FT183" s="34"/>
      <c r="FU183" s="34"/>
      <c r="FV183" s="34"/>
      <c r="FW183" s="34"/>
      <c r="FX183" s="34"/>
      <c r="FY183" s="34"/>
      <c r="FZ183" s="34"/>
      <c r="GA183" s="34"/>
      <c r="GB183" s="34"/>
      <c r="GC183" s="34"/>
      <c r="GD183" s="34"/>
      <c r="GE183" s="34"/>
      <c r="GF183" s="34"/>
      <c r="GG183" s="34"/>
      <c r="GH183" s="34"/>
      <c r="GI183" s="34"/>
      <c r="GJ183" s="34"/>
      <c r="GK183" s="34"/>
      <c r="GL183" s="34"/>
      <c r="GM183" s="34"/>
      <c r="GN183" s="34"/>
      <c r="GO183" s="34"/>
      <c r="GP183" s="34"/>
      <c r="GQ183" s="34"/>
      <c r="GR183" s="34"/>
      <c r="GS183" s="34"/>
      <c r="GT183" s="34"/>
      <c r="GU183" s="34"/>
      <c r="GV183" s="34"/>
      <c r="GW183" s="34"/>
      <c r="GX183" s="34"/>
      <c r="GY183" s="34"/>
      <c r="GZ183" s="34"/>
      <c r="HA183" s="34"/>
      <c r="HB183" s="34"/>
      <c r="HC183" s="34"/>
      <c r="HD183" s="34"/>
      <c r="HE183" s="34"/>
      <c r="HF183" s="34"/>
      <c r="HG183" s="34"/>
      <c r="HH183" s="34"/>
    </row>
    <row r="184" spans="1:216" ht="15.75" customHeight="1" x14ac:dyDescent="0.3">
      <c r="A184" s="7"/>
      <c r="B184" s="54"/>
      <c r="C184" s="24" t="s">
        <v>200</v>
      </c>
      <c r="D184" s="51"/>
      <c r="E184" s="9">
        <f>GAMBIRAN!AY184+JAJAG!BA184+PURWODADI!AC184+WRINGINAGUNG!AB184+WRINGINREJO!X184+YOSOMULYO!AP184</f>
        <v>7</v>
      </c>
      <c r="F184" s="40"/>
      <c r="G184" s="20"/>
      <c r="H184" s="20"/>
      <c r="I184" s="20"/>
      <c r="J184" s="20"/>
      <c r="K184" s="20"/>
      <c r="L184" s="20"/>
      <c r="M184" s="20"/>
      <c r="N184" s="20"/>
      <c r="O184" s="20"/>
      <c r="P184" s="33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  <c r="FS184" s="34"/>
      <c r="FT184" s="34"/>
      <c r="FU184" s="34"/>
      <c r="FV184" s="34"/>
      <c r="FW184" s="34"/>
      <c r="FX184" s="34"/>
      <c r="FY184" s="34"/>
      <c r="FZ184" s="34"/>
      <c r="GA184" s="34"/>
      <c r="GB184" s="34"/>
      <c r="GC184" s="34"/>
      <c r="GD184" s="34"/>
      <c r="GE184" s="34"/>
      <c r="GF184" s="34"/>
      <c r="GG184" s="34"/>
      <c r="GH184" s="34"/>
      <c r="GI184" s="34"/>
      <c r="GJ184" s="34"/>
      <c r="GK184" s="34"/>
      <c r="GL184" s="34"/>
      <c r="GM184" s="34"/>
      <c r="GN184" s="34"/>
      <c r="GO184" s="34"/>
      <c r="GP184" s="34"/>
      <c r="GQ184" s="34"/>
      <c r="GR184" s="34"/>
      <c r="GS184" s="34"/>
      <c r="GT184" s="34"/>
      <c r="GU184" s="34"/>
      <c r="GV184" s="34"/>
      <c r="GW184" s="34"/>
      <c r="GX184" s="34"/>
      <c r="GY184" s="34"/>
      <c r="GZ184" s="34"/>
      <c r="HA184" s="34"/>
      <c r="HB184" s="34"/>
      <c r="HC184" s="34"/>
      <c r="HD184" s="34"/>
      <c r="HE184" s="34"/>
      <c r="HF184" s="34"/>
      <c r="HG184" s="34"/>
      <c r="HH184" s="34"/>
    </row>
    <row r="185" spans="1:216" ht="15.75" customHeight="1" x14ac:dyDescent="0.3">
      <c r="A185" s="7"/>
      <c r="B185" s="54"/>
      <c r="C185" s="24" t="s">
        <v>201</v>
      </c>
      <c r="D185" s="51"/>
      <c r="E185" s="9">
        <f>GAMBIRAN!AY185+JAJAG!BA185+PURWODADI!AC185+WRINGINAGUNG!AB185+WRINGINREJO!X185+YOSOMULYO!AP185</f>
        <v>23</v>
      </c>
      <c r="F185" s="40"/>
      <c r="G185" s="20"/>
      <c r="H185" s="20"/>
      <c r="I185" s="20"/>
      <c r="J185" s="20"/>
      <c r="K185" s="20"/>
      <c r="L185" s="20"/>
      <c r="M185" s="20"/>
      <c r="N185" s="20"/>
      <c r="O185" s="20"/>
      <c r="P185" s="33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34"/>
      <c r="FO185" s="34"/>
      <c r="FP185" s="34"/>
      <c r="FQ185" s="34"/>
      <c r="FR185" s="34"/>
      <c r="FS185" s="34"/>
      <c r="FT185" s="34"/>
      <c r="FU185" s="34"/>
      <c r="FV185" s="34"/>
      <c r="FW185" s="34"/>
      <c r="FX185" s="34"/>
      <c r="FY185" s="34"/>
      <c r="FZ185" s="34"/>
      <c r="GA185" s="34"/>
      <c r="GB185" s="34"/>
      <c r="GC185" s="34"/>
      <c r="GD185" s="34"/>
      <c r="GE185" s="34"/>
      <c r="GF185" s="34"/>
      <c r="GG185" s="34"/>
      <c r="GH185" s="34"/>
      <c r="GI185" s="34"/>
      <c r="GJ185" s="34"/>
      <c r="GK185" s="34"/>
      <c r="GL185" s="34"/>
      <c r="GM185" s="34"/>
      <c r="GN185" s="34"/>
      <c r="GO185" s="34"/>
      <c r="GP185" s="34"/>
      <c r="GQ185" s="34"/>
      <c r="GR185" s="34"/>
      <c r="GS185" s="34"/>
      <c r="GT185" s="34"/>
      <c r="GU185" s="34"/>
      <c r="GV185" s="34"/>
      <c r="GW185" s="34"/>
      <c r="GX185" s="34"/>
      <c r="GY185" s="34"/>
      <c r="GZ185" s="34"/>
      <c r="HA185" s="34"/>
      <c r="HB185" s="34"/>
      <c r="HC185" s="34"/>
      <c r="HD185" s="34"/>
      <c r="HE185" s="34"/>
      <c r="HF185" s="34"/>
      <c r="HG185" s="34"/>
      <c r="HH185" s="34"/>
    </row>
    <row r="186" spans="1:216" ht="15.75" customHeight="1" x14ac:dyDescent="0.3">
      <c r="A186" s="7"/>
      <c r="B186" s="54"/>
      <c r="C186" s="24" t="s">
        <v>202</v>
      </c>
      <c r="D186" s="51"/>
      <c r="E186" s="9">
        <f>GAMBIRAN!AY186+JAJAG!BA186+PURWODADI!AC186+WRINGINAGUNG!AB186+WRINGINREJO!X186+YOSOMULYO!AP186</f>
        <v>8</v>
      </c>
      <c r="F186" s="40"/>
      <c r="G186" s="20"/>
      <c r="H186" s="20"/>
      <c r="I186" s="20"/>
      <c r="J186" s="20"/>
      <c r="K186" s="20"/>
      <c r="L186" s="20"/>
      <c r="M186" s="20"/>
      <c r="N186" s="20"/>
      <c r="O186" s="20"/>
      <c r="P186" s="33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  <c r="FS186" s="34"/>
      <c r="FT186" s="34"/>
      <c r="FU186" s="34"/>
      <c r="FV186" s="34"/>
      <c r="FW186" s="34"/>
      <c r="FX186" s="34"/>
      <c r="FY186" s="34"/>
      <c r="FZ186" s="34"/>
      <c r="GA186" s="34"/>
      <c r="GB186" s="34"/>
      <c r="GC186" s="34"/>
      <c r="GD186" s="34"/>
      <c r="GE186" s="34"/>
      <c r="GF186" s="34"/>
      <c r="GG186" s="34"/>
      <c r="GH186" s="34"/>
      <c r="GI186" s="34"/>
      <c r="GJ186" s="34"/>
      <c r="GK186" s="34"/>
      <c r="GL186" s="34"/>
      <c r="GM186" s="34"/>
      <c r="GN186" s="34"/>
      <c r="GO186" s="34"/>
      <c r="GP186" s="34"/>
      <c r="GQ186" s="34"/>
      <c r="GR186" s="34"/>
      <c r="GS186" s="34"/>
      <c r="GT186" s="34"/>
      <c r="GU186" s="34"/>
      <c r="GV186" s="34"/>
      <c r="GW186" s="34"/>
      <c r="GX186" s="34"/>
      <c r="GY186" s="34"/>
      <c r="GZ186" s="34"/>
      <c r="HA186" s="34"/>
      <c r="HB186" s="34"/>
      <c r="HC186" s="34"/>
      <c r="HD186" s="34"/>
      <c r="HE186" s="34"/>
      <c r="HF186" s="34"/>
      <c r="HG186" s="34"/>
      <c r="HH186" s="34"/>
    </row>
    <row r="187" spans="1:216" ht="15.75" customHeight="1" x14ac:dyDescent="0.3">
      <c r="A187" s="6" t="s">
        <v>26</v>
      </c>
      <c r="B187" s="69" t="s">
        <v>51</v>
      </c>
      <c r="C187" s="70"/>
      <c r="D187" s="71"/>
      <c r="E187" s="5">
        <f>SUM(E177:E184)</f>
        <v>620</v>
      </c>
      <c r="F187" s="40"/>
      <c r="G187" s="20"/>
      <c r="H187" s="20"/>
      <c r="I187" s="20"/>
      <c r="J187" s="20"/>
      <c r="K187" s="20"/>
      <c r="L187" s="20"/>
      <c r="M187" s="20"/>
      <c r="N187" s="20"/>
      <c r="O187" s="20"/>
      <c r="P187" s="33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  <c r="FS187" s="34"/>
      <c r="FT187" s="34"/>
      <c r="FU187" s="34"/>
      <c r="FV187" s="34"/>
      <c r="FW187" s="34"/>
      <c r="FX187" s="34"/>
      <c r="FY187" s="34"/>
      <c r="FZ187" s="34"/>
      <c r="GA187" s="34"/>
      <c r="GB187" s="34"/>
      <c r="GC187" s="34"/>
      <c r="GD187" s="34"/>
      <c r="GE187" s="34"/>
      <c r="GF187" s="34"/>
      <c r="GG187" s="34"/>
      <c r="GH187" s="34"/>
      <c r="GI187" s="34"/>
      <c r="GJ187" s="34"/>
      <c r="GK187" s="34"/>
      <c r="GL187" s="34"/>
      <c r="GM187" s="34"/>
      <c r="GN187" s="34"/>
      <c r="GO187" s="34"/>
      <c r="GP187" s="34"/>
      <c r="GQ187" s="34"/>
      <c r="GR187" s="34"/>
      <c r="GS187" s="34"/>
      <c r="GT187" s="34"/>
      <c r="GU187" s="34"/>
      <c r="GV187" s="34"/>
      <c r="GW187" s="34"/>
      <c r="GX187" s="34"/>
      <c r="GY187" s="34"/>
      <c r="GZ187" s="34"/>
      <c r="HA187" s="34"/>
      <c r="HB187" s="34"/>
      <c r="HC187" s="34"/>
      <c r="HD187" s="34"/>
      <c r="HE187" s="34"/>
      <c r="HF187" s="34"/>
      <c r="HG187" s="34"/>
      <c r="HH187" s="34"/>
    </row>
    <row r="188" spans="1:216" ht="15.75" customHeight="1" x14ac:dyDescent="0.3">
      <c r="A188" s="77"/>
      <c r="B188" s="78"/>
      <c r="C188" s="78"/>
      <c r="D188" s="78"/>
      <c r="E188" s="79"/>
      <c r="F188" s="40"/>
      <c r="G188" s="20"/>
      <c r="H188" s="20"/>
      <c r="I188" s="20"/>
      <c r="J188" s="20"/>
      <c r="K188" s="20"/>
      <c r="L188" s="20"/>
      <c r="M188" s="20"/>
      <c r="N188" s="20"/>
      <c r="O188" s="20"/>
      <c r="P188" s="33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  <c r="FS188" s="34"/>
      <c r="FT188" s="34"/>
      <c r="FU188" s="34"/>
      <c r="FV188" s="34"/>
      <c r="FW188" s="34"/>
      <c r="FX188" s="34"/>
      <c r="FY188" s="34"/>
      <c r="FZ188" s="34"/>
      <c r="GA188" s="34"/>
      <c r="GB188" s="34"/>
      <c r="GC188" s="34"/>
      <c r="GD188" s="34"/>
      <c r="GE188" s="34"/>
      <c r="GF188" s="34"/>
      <c r="GG188" s="34"/>
      <c r="GH188" s="34"/>
      <c r="GI188" s="34"/>
      <c r="GJ188" s="34"/>
      <c r="GK188" s="34"/>
      <c r="GL188" s="34"/>
      <c r="GM188" s="34"/>
      <c r="GN188" s="34"/>
      <c r="GO188" s="34"/>
      <c r="GP188" s="34"/>
      <c r="GQ188" s="34"/>
      <c r="GR188" s="34"/>
      <c r="GS188" s="34"/>
      <c r="GT188" s="34"/>
      <c r="GU188" s="34"/>
      <c r="GV188" s="34"/>
      <c r="GW188" s="34"/>
      <c r="GX188" s="34"/>
      <c r="GY188" s="34"/>
      <c r="GZ188" s="34"/>
      <c r="HA188" s="34"/>
      <c r="HB188" s="34"/>
      <c r="HC188" s="34"/>
      <c r="HD188" s="34"/>
      <c r="HE188" s="34"/>
      <c r="HF188" s="34"/>
      <c r="HG188" s="34"/>
      <c r="HH188" s="34"/>
    </row>
    <row r="189" spans="1:216" ht="15.75" customHeight="1" x14ac:dyDescent="0.3">
      <c r="A189" s="11" t="s">
        <v>48</v>
      </c>
      <c r="B189" s="17" t="s">
        <v>71</v>
      </c>
      <c r="C189" s="75" t="s">
        <v>72</v>
      </c>
      <c r="D189" s="76"/>
      <c r="E189" s="9">
        <f>GAMBIRAN!AY189+JAJAG!BA189+PURWODADI!AC189+WRINGINAGUNG!AB189+WRINGINREJO!X189+YOSOMULYO!AP189</f>
        <v>24</v>
      </c>
      <c r="F189" s="41"/>
      <c r="G189" s="1"/>
      <c r="H189" s="1"/>
      <c r="I189" s="1"/>
      <c r="J189" s="1"/>
      <c r="K189" s="1"/>
      <c r="L189" s="1"/>
      <c r="M189" s="1"/>
      <c r="N189" s="1"/>
      <c r="O189" s="1"/>
      <c r="P189" s="35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2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</row>
    <row r="190" spans="1:216" ht="15.75" customHeight="1" x14ac:dyDescent="0.3">
      <c r="A190" s="11" t="s">
        <v>50</v>
      </c>
      <c r="B190" s="54"/>
      <c r="C190" s="24" t="s">
        <v>203</v>
      </c>
      <c r="D190" s="51"/>
      <c r="E190" s="9">
        <f>GAMBIRAN!AY190+JAJAG!BA190+PURWODADI!AC190+WRINGINAGUNG!AB190+WRINGINREJO!X190+YOSOMULYO!AP190</f>
        <v>6</v>
      </c>
      <c r="F190" s="43"/>
      <c r="G190" s="28"/>
      <c r="H190" s="28"/>
      <c r="I190" s="28"/>
      <c r="J190" s="28"/>
      <c r="K190" s="28"/>
      <c r="L190" s="28"/>
      <c r="M190" s="28"/>
      <c r="N190" s="28"/>
      <c r="O190" s="28"/>
      <c r="P190" s="38"/>
      <c r="Q190" s="31"/>
      <c r="R190" s="31"/>
      <c r="S190" s="31"/>
      <c r="T190" s="31"/>
      <c r="U190" s="31"/>
      <c r="V190" s="31"/>
      <c r="W190" s="39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1"/>
      <c r="BM190" s="31"/>
      <c r="BN190" s="31"/>
      <c r="BO190" s="31"/>
      <c r="BP190" s="31"/>
      <c r="BQ190" s="31"/>
      <c r="BR190" s="39"/>
      <c r="BS190" s="31"/>
      <c r="BT190" s="31"/>
      <c r="BU190" s="31"/>
      <c r="BV190" s="31"/>
      <c r="BW190" s="31"/>
      <c r="BX190" s="31"/>
      <c r="BY190" s="31"/>
      <c r="BZ190" s="31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  <c r="DY190" s="39"/>
      <c r="DZ190" s="39"/>
      <c r="EA190" s="39"/>
      <c r="EB190" s="39"/>
      <c r="EC190" s="39"/>
      <c r="ED190" s="39"/>
      <c r="EE190" s="39"/>
      <c r="EF190" s="39"/>
      <c r="EG190" s="39"/>
      <c r="EH190" s="39"/>
      <c r="EI190" s="39"/>
      <c r="EJ190" s="39"/>
      <c r="EK190" s="39"/>
      <c r="EL190" s="39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9"/>
      <c r="EZ190" s="39"/>
      <c r="FA190" s="39"/>
      <c r="FB190" s="39"/>
      <c r="FC190" s="39"/>
      <c r="FD190" s="39"/>
      <c r="FE190" s="39"/>
      <c r="FF190" s="31"/>
      <c r="FG190" s="31"/>
      <c r="FH190" s="31"/>
      <c r="FI190" s="31"/>
      <c r="FJ190" s="39"/>
      <c r="FK190" s="39"/>
      <c r="FL190" s="39"/>
      <c r="FM190" s="39"/>
      <c r="FN190" s="39"/>
      <c r="FO190" s="39"/>
      <c r="FP190" s="39"/>
      <c r="FQ190" s="39"/>
      <c r="FR190" s="39"/>
      <c r="FS190" s="39"/>
      <c r="FT190" s="39"/>
      <c r="FU190" s="39"/>
      <c r="FV190" s="39"/>
      <c r="FW190" s="39"/>
      <c r="FX190" s="39"/>
      <c r="FY190" s="39"/>
      <c r="FZ190" s="39"/>
      <c r="GA190" s="39"/>
      <c r="GB190" s="39"/>
      <c r="GC190" s="39"/>
      <c r="GD190" s="39"/>
      <c r="GE190" s="39"/>
      <c r="GF190" s="39"/>
      <c r="GG190" s="39"/>
      <c r="GH190" s="39"/>
      <c r="GI190" s="39"/>
      <c r="GJ190" s="39"/>
      <c r="GK190" s="39"/>
      <c r="GL190" s="39"/>
      <c r="GM190" s="39"/>
      <c r="GN190" s="39"/>
      <c r="GO190" s="39"/>
      <c r="GP190" s="39"/>
      <c r="GQ190" s="39"/>
      <c r="GR190" s="39"/>
      <c r="GS190" s="39"/>
      <c r="GT190" s="39"/>
      <c r="GU190" s="39"/>
      <c r="GV190" s="39"/>
      <c r="GW190" s="39"/>
      <c r="GX190" s="39"/>
      <c r="GY190" s="39"/>
      <c r="GZ190" s="39"/>
      <c r="HA190" s="39"/>
      <c r="HB190" s="39"/>
      <c r="HC190" s="39"/>
      <c r="HD190" s="39"/>
      <c r="HE190" s="39"/>
      <c r="HF190" s="39"/>
      <c r="HG190" s="39"/>
      <c r="HH190" s="39"/>
    </row>
    <row r="191" spans="1:216" ht="15.75" customHeight="1" x14ac:dyDescent="0.3">
      <c r="A191" s="7"/>
      <c r="B191" s="54"/>
      <c r="C191" s="24" t="s">
        <v>204</v>
      </c>
      <c r="D191" s="51"/>
      <c r="E191" s="9">
        <f>GAMBIRAN!AY191+JAJAG!BA191+PURWODADI!AC191+WRINGINAGUNG!AB191+WRINGINREJO!X191+YOSOMULYO!AP191</f>
        <v>9</v>
      </c>
      <c r="F191" s="40"/>
      <c r="G191" s="20"/>
      <c r="H191" s="20"/>
      <c r="I191" s="20"/>
      <c r="J191" s="20"/>
      <c r="K191" s="20"/>
      <c r="L191" s="20"/>
      <c r="M191" s="20"/>
      <c r="N191" s="20"/>
      <c r="O191" s="20"/>
      <c r="P191" s="33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34"/>
      <c r="FO191" s="34"/>
      <c r="FP191" s="34"/>
      <c r="FQ191" s="34"/>
      <c r="FR191" s="34"/>
      <c r="FS191" s="34"/>
      <c r="FT191" s="34"/>
      <c r="FU191" s="34"/>
      <c r="FV191" s="34"/>
      <c r="FW191" s="34"/>
      <c r="FX191" s="34"/>
      <c r="FY191" s="34"/>
      <c r="FZ191" s="34"/>
      <c r="GA191" s="34"/>
      <c r="GB191" s="34"/>
      <c r="GC191" s="34"/>
      <c r="GD191" s="34"/>
      <c r="GE191" s="34"/>
      <c r="GF191" s="34"/>
      <c r="GG191" s="34"/>
      <c r="GH191" s="34"/>
      <c r="GI191" s="34"/>
      <c r="GJ191" s="34"/>
      <c r="GK191" s="34"/>
      <c r="GL191" s="34"/>
      <c r="GM191" s="34"/>
      <c r="GN191" s="34"/>
      <c r="GO191" s="34"/>
      <c r="GP191" s="34"/>
      <c r="GQ191" s="34"/>
      <c r="GR191" s="34"/>
      <c r="GS191" s="34"/>
      <c r="GT191" s="34"/>
      <c r="GU191" s="34"/>
      <c r="GV191" s="34"/>
      <c r="GW191" s="34"/>
      <c r="GX191" s="34"/>
      <c r="GY191" s="34"/>
      <c r="GZ191" s="34"/>
      <c r="HA191" s="34"/>
      <c r="HB191" s="34"/>
      <c r="HC191" s="34"/>
      <c r="HD191" s="34"/>
      <c r="HE191" s="34"/>
      <c r="HF191" s="34"/>
      <c r="HG191" s="34"/>
      <c r="HH191" s="34"/>
    </row>
    <row r="192" spans="1:216" ht="15.75" customHeight="1" x14ac:dyDescent="0.3">
      <c r="A192" s="7"/>
      <c r="B192" s="54"/>
      <c r="C192" s="24" t="s">
        <v>205</v>
      </c>
      <c r="D192" s="51"/>
      <c r="E192" s="9">
        <f>GAMBIRAN!AY192+JAJAG!BA192+PURWODADI!AC192+WRINGINAGUNG!AB192+WRINGINREJO!X192+YOSOMULYO!AP192</f>
        <v>6</v>
      </c>
      <c r="F192" s="40"/>
      <c r="G192" s="20"/>
      <c r="H192" s="20"/>
      <c r="I192" s="20"/>
      <c r="J192" s="20"/>
      <c r="K192" s="20"/>
      <c r="L192" s="20"/>
      <c r="M192" s="20"/>
      <c r="N192" s="20"/>
      <c r="O192" s="20"/>
      <c r="P192" s="33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  <c r="FS192" s="34"/>
      <c r="FT192" s="34"/>
      <c r="FU192" s="34"/>
      <c r="FV192" s="34"/>
      <c r="FW192" s="34"/>
      <c r="FX192" s="34"/>
      <c r="FY192" s="34"/>
      <c r="FZ192" s="34"/>
      <c r="GA192" s="34"/>
      <c r="GB192" s="34"/>
      <c r="GC192" s="34"/>
      <c r="GD192" s="34"/>
      <c r="GE192" s="34"/>
      <c r="GF192" s="34"/>
      <c r="GG192" s="34"/>
      <c r="GH192" s="34"/>
      <c r="GI192" s="34"/>
      <c r="GJ192" s="34"/>
      <c r="GK192" s="34"/>
      <c r="GL192" s="34"/>
      <c r="GM192" s="34"/>
      <c r="GN192" s="34"/>
      <c r="GO192" s="34"/>
      <c r="GP192" s="34"/>
      <c r="GQ192" s="34"/>
      <c r="GR192" s="34"/>
      <c r="GS192" s="34"/>
      <c r="GT192" s="34"/>
      <c r="GU192" s="34"/>
      <c r="GV192" s="34"/>
      <c r="GW192" s="34"/>
      <c r="GX192" s="34"/>
      <c r="GY192" s="34"/>
      <c r="GZ192" s="34"/>
      <c r="HA192" s="34"/>
      <c r="HB192" s="34"/>
      <c r="HC192" s="34"/>
      <c r="HD192" s="34"/>
      <c r="HE192" s="34"/>
      <c r="HF192" s="34"/>
      <c r="HG192" s="34"/>
      <c r="HH192" s="34"/>
    </row>
    <row r="193" spans="1:216" ht="15.75" customHeight="1" x14ac:dyDescent="0.3">
      <c r="A193" s="7"/>
      <c r="B193" s="54"/>
      <c r="C193" s="24" t="s">
        <v>206</v>
      </c>
      <c r="D193" s="51"/>
      <c r="E193" s="9">
        <f>GAMBIRAN!AY193+JAJAG!BA193+PURWODADI!AC193+WRINGINAGUNG!AB193+WRINGINREJO!X193+YOSOMULYO!AP193</f>
        <v>5</v>
      </c>
      <c r="F193" s="40"/>
      <c r="G193" s="20"/>
      <c r="H193" s="20"/>
      <c r="I193" s="20"/>
      <c r="J193" s="20"/>
      <c r="K193" s="20"/>
      <c r="L193" s="20"/>
      <c r="M193" s="20"/>
      <c r="N193" s="20"/>
      <c r="O193" s="20"/>
      <c r="P193" s="33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34"/>
      <c r="FO193" s="34"/>
      <c r="FP193" s="34"/>
      <c r="FQ193" s="34"/>
      <c r="FR193" s="34"/>
      <c r="FS193" s="34"/>
      <c r="FT193" s="34"/>
      <c r="FU193" s="34"/>
      <c r="FV193" s="34"/>
      <c r="FW193" s="34"/>
      <c r="FX193" s="34"/>
      <c r="FY193" s="34"/>
      <c r="FZ193" s="34"/>
      <c r="GA193" s="34"/>
      <c r="GB193" s="34"/>
      <c r="GC193" s="34"/>
      <c r="GD193" s="34"/>
      <c r="GE193" s="34"/>
      <c r="GF193" s="34"/>
      <c r="GG193" s="34"/>
      <c r="GH193" s="34"/>
      <c r="GI193" s="34"/>
      <c r="GJ193" s="34"/>
      <c r="GK193" s="34"/>
      <c r="GL193" s="34"/>
      <c r="GM193" s="34"/>
      <c r="GN193" s="34"/>
      <c r="GO193" s="34"/>
      <c r="GP193" s="34"/>
      <c r="GQ193" s="34"/>
      <c r="GR193" s="34"/>
      <c r="GS193" s="34"/>
      <c r="GT193" s="34"/>
      <c r="GU193" s="34"/>
      <c r="GV193" s="34"/>
      <c r="GW193" s="34"/>
      <c r="GX193" s="34"/>
      <c r="GY193" s="34"/>
      <c r="GZ193" s="34"/>
      <c r="HA193" s="34"/>
      <c r="HB193" s="34"/>
      <c r="HC193" s="34"/>
      <c r="HD193" s="34"/>
      <c r="HE193" s="34"/>
      <c r="HF193" s="34"/>
      <c r="HG193" s="34"/>
      <c r="HH193" s="34"/>
    </row>
    <row r="194" spans="1:216" ht="15.75" customHeight="1" x14ac:dyDescent="0.3">
      <c r="A194" s="7"/>
      <c r="B194" s="54"/>
      <c r="C194" s="24" t="s">
        <v>207</v>
      </c>
      <c r="D194" s="51"/>
      <c r="E194" s="9">
        <f>GAMBIRAN!AY194+JAJAG!BA194+PURWODADI!AC194+WRINGINAGUNG!AB194+WRINGINREJO!X194+YOSOMULYO!AP194</f>
        <v>3</v>
      </c>
      <c r="F194" s="40"/>
      <c r="G194" s="20"/>
      <c r="H194" s="20"/>
      <c r="I194" s="20"/>
      <c r="J194" s="20"/>
      <c r="K194" s="20"/>
      <c r="L194" s="20"/>
      <c r="M194" s="20"/>
      <c r="N194" s="20"/>
      <c r="O194" s="20"/>
      <c r="P194" s="33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  <c r="FS194" s="34"/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4"/>
      <c r="GX194" s="34"/>
      <c r="GY194" s="34"/>
      <c r="GZ194" s="34"/>
      <c r="HA194" s="34"/>
      <c r="HB194" s="34"/>
      <c r="HC194" s="34"/>
      <c r="HD194" s="34"/>
      <c r="HE194" s="34"/>
      <c r="HF194" s="34"/>
      <c r="HG194" s="34"/>
      <c r="HH194" s="34"/>
    </row>
    <row r="195" spans="1:216" ht="15.75" customHeight="1" x14ac:dyDescent="0.3">
      <c r="A195" s="7"/>
      <c r="B195" s="54"/>
      <c r="C195" s="24" t="s">
        <v>208</v>
      </c>
      <c r="D195" s="51"/>
      <c r="E195" s="9">
        <f>GAMBIRAN!AY195+JAJAG!BA195+PURWODADI!AC195+WRINGINAGUNG!AB195+WRINGINREJO!X195+YOSOMULYO!AP195</f>
        <v>4</v>
      </c>
      <c r="F195" s="40"/>
      <c r="G195" s="20"/>
      <c r="H195" s="20"/>
      <c r="I195" s="20"/>
      <c r="J195" s="20"/>
      <c r="K195" s="20"/>
      <c r="L195" s="20"/>
      <c r="M195" s="20"/>
      <c r="N195" s="20"/>
      <c r="O195" s="20"/>
      <c r="P195" s="33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34"/>
      <c r="EX195" s="34"/>
      <c r="EY195" s="34"/>
      <c r="EZ195" s="34"/>
      <c r="FA195" s="3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34"/>
      <c r="FO195" s="34"/>
      <c r="FP195" s="34"/>
      <c r="FQ195" s="34"/>
      <c r="FR195" s="34"/>
      <c r="FS195" s="34"/>
      <c r="FT195" s="34"/>
      <c r="FU195" s="34"/>
      <c r="FV195" s="34"/>
      <c r="FW195" s="34"/>
      <c r="FX195" s="34"/>
      <c r="FY195" s="34"/>
      <c r="FZ195" s="34"/>
      <c r="GA195" s="34"/>
      <c r="GB195" s="34"/>
      <c r="GC195" s="34"/>
      <c r="GD195" s="34"/>
      <c r="GE195" s="34"/>
      <c r="GF195" s="34"/>
      <c r="GG195" s="34"/>
      <c r="GH195" s="34"/>
      <c r="GI195" s="34"/>
      <c r="GJ195" s="34"/>
      <c r="GK195" s="34"/>
      <c r="GL195" s="34"/>
      <c r="GM195" s="34"/>
      <c r="GN195" s="34"/>
      <c r="GO195" s="34"/>
      <c r="GP195" s="34"/>
      <c r="GQ195" s="34"/>
      <c r="GR195" s="34"/>
      <c r="GS195" s="34"/>
      <c r="GT195" s="34"/>
      <c r="GU195" s="34"/>
      <c r="GV195" s="34"/>
      <c r="GW195" s="34"/>
      <c r="GX195" s="34"/>
      <c r="GY195" s="34"/>
      <c r="GZ195" s="34"/>
      <c r="HA195" s="34"/>
      <c r="HB195" s="34"/>
      <c r="HC195" s="34"/>
      <c r="HD195" s="34"/>
      <c r="HE195" s="34"/>
      <c r="HF195" s="34"/>
      <c r="HG195" s="34"/>
      <c r="HH195" s="34"/>
    </row>
    <row r="196" spans="1:216" ht="15.75" customHeight="1" x14ac:dyDescent="0.3">
      <c r="A196" s="7"/>
      <c r="B196" s="54"/>
      <c r="C196" s="24" t="s">
        <v>209</v>
      </c>
      <c r="D196" s="51"/>
      <c r="E196" s="9">
        <f>GAMBIRAN!AY196+JAJAG!BA196+PURWODADI!AC196+WRINGINAGUNG!AB196+WRINGINREJO!X196+YOSOMULYO!AP196</f>
        <v>5</v>
      </c>
      <c r="F196" s="40"/>
      <c r="G196" s="20"/>
      <c r="H196" s="20"/>
      <c r="I196" s="20"/>
      <c r="J196" s="20"/>
      <c r="K196" s="20"/>
      <c r="L196" s="20"/>
      <c r="M196" s="20"/>
      <c r="N196" s="20"/>
      <c r="O196" s="20"/>
      <c r="P196" s="33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  <c r="FS196" s="34"/>
      <c r="FT196" s="34"/>
      <c r="FU196" s="34"/>
      <c r="FV196" s="34"/>
      <c r="FW196" s="34"/>
      <c r="FX196" s="34"/>
      <c r="FY196" s="34"/>
      <c r="FZ196" s="34"/>
      <c r="GA196" s="34"/>
      <c r="GB196" s="34"/>
      <c r="GC196" s="34"/>
      <c r="GD196" s="34"/>
      <c r="GE196" s="34"/>
      <c r="GF196" s="34"/>
      <c r="GG196" s="34"/>
      <c r="GH196" s="34"/>
      <c r="GI196" s="34"/>
      <c r="GJ196" s="34"/>
      <c r="GK196" s="34"/>
      <c r="GL196" s="34"/>
      <c r="GM196" s="34"/>
      <c r="GN196" s="34"/>
      <c r="GO196" s="34"/>
      <c r="GP196" s="34"/>
      <c r="GQ196" s="34"/>
      <c r="GR196" s="34"/>
      <c r="GS196" s="34"/>
      <c r="GT196" s="34"/>
      <c r="GU196" s="34"/>
      <c r="GV196" s="34"/>
      <c r="GW196" s="34"/>
      <c r="GX196" s="34"/>
      <c r="GY196" s="34"/>
      <c r="GZ196" s="34"/>
      <c r="HA196" s="34"/>
      <c r="HB196" s="34"/>
      <c r="HC196" s="34"/>
      <c r="HD196" s="34"/>
      <c r="HE196" s="34"/>
      <c r="HF196" s="34"/>
      <c r="HG196" s="34"/>
      <c r="HH196" s="34"/>
    </row>
    <row r="197" spans="1:216" ht="15.75" customHeight="1" x14ac:dyDescent="0.3">
      <c r="A197" s="7"/>
      <c r="B197" s="54"/>
      <c r="C197" s="24" t="s">
        <v>210</v>
      </c>
      <c r="D197" s="51"/>
      <c r="E197" s="9">
        <f>GAMBIRAN!AY197+JAJAG!BA197+PURWODADI!AC197+WRINGINAGUNG!AB197+WRINGINREJO!X197+YOSOMULYO!AP197</f>
        <v>1</v>
      </c>
      <c r="F197" s="40"/>
      <c r="G197" s="20"/>
      <c r="H197" s="20"/>
      <c r="I197" s="20"/>
      <c r="J197" s="20"/>
      <c r="K197" s="20"/>
      <c r="L197" s="20"/>
      <c r="M197" s="20"/>
      <c r="N197" s="20"/>
      <c r="O197" s="20"/>
      <c r="P197" s="33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34"/>
      <c r="EX197" s="34"/>
      <c r="EY197" s="34"/>
      <c r="EZ197" s="34"/>
      <c r="FA197" s="3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34"/>
      <c r="FO197" s="34"/>
      <c r="FP197" s="34"/>
      <c r="FQ197" s="34"/>
      <c r="FR197" s="34"/>
      <c r="FS197" s="34"/>
      <c r="FT197" s="34"/>
      <c r="FU197" s="34"/>
      <c r="FV197" s="34"/>
      <c r="FW197" s="34"/>
      <c r="FX197" s="34"/>
      <c r="FY197" s="34"/>
      <c r="FZ197" s="34"/>
      <c r="GA197" s="34"/>
      <c r="GB197" s="34"/>
      <c r="GC197" s="34"/>
      <c r="GD197" s="34"/>
      <c r="GE197" s="34"/>
      <c r="GF197" s="34"/>
      <c r="GG197" s="34"/>
      <c r="GH197" s="34"/>
      <c r="GI197" s="34"/>
      <c r="GJ197" s="34"/>
      <c r="GK197" s="34"/>
      <c r="GL197" s="34"/>
      <c r="GM197" s="34"/>
      <c r="GN197" s="34"/>
      <c r="GO197" s="34"/>
      <c r="GP197" s="34"/>
      <c r="GQ197" s="34"/>
      <c r="GR197" s="34"/>
      <c r="GS197" s="34"/>
      <c r="GT197" s="34"/>
      <c r="GU197" s="34"/>
      <c r="GV197" s="34"/>
      <c r="GW197" s="34"/>
      <c r="GX197" s="34"/>
      <c r="GY197" s="34"/>
      <c r="GZ197" s="34"/>
      <c r="HA197" s="34"/>
      <c r="HB197" s="34"/>
      <c r="HC197" s="34"/>
      <c r="HD197" s="34"/>
      <c r="HE197" s="34"/>
      <c r="HF197" s="34"/>
      <c r="HG197" s="34"/>
      <c r="HH197" s="34"/>
    </row>
    <row r="198" spans="1:216" ht="15.75" customHeight="1" x14ac:dyDescent="0.3">
      <c r="A198" s="7"/>
      <c r="B198" s="54"/>
      <c r="C198" s="24" t="s">
        <v>211</v>
      </c>
      <c r="D198" s="51"/>
      <c r="E198" s="9">
        <f>GAMBIRAN!AY198+JAJAG!BA198+PURWODADI!AC198+WRINGINAGUNG!AB198+WRINGINREJO!X198+YOSOMULYO!AP198</f>
        <v>5</v>
      </c>
      <c r="F198" s="40"/>
      <c r="G198" s="20"/>
      <c r="H198" s="20"/>
      <c r="I198" s="20"/>
      <c r="J198" s="20"/>
      <c r="K198" s="20"/>
      <c r="L198" s="20"/>
      <c r="M198" s="20"/>
      <c r="N198" s="20"/>
      <c r="O198" s="20"/>
      <c r="P198" s="33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  <c r="FS198" s="34"/>
      <c r="FT198" s="34"/>
      <c r="FU198" s="34"/>
      <c r="FV198" s="34"/>
      <c r="FW198" s="34"/>
      <c r="FX198" s="34"/>
      <c r="FY198" s="34"/>
      <c r="FZ198" s="34"/>
      <c r="GA198" s="34"/>
      <c r="GB198" s="34"/>
      <c r="GC198" s="34"/>
      <c r="GD198" s="34"/>
      <c r="GE198" s="34"/>
      <c r="GF198" s="34"/>
      <c r="GG198" s="34"/>
      <c r="GH198" s="34"/>
      <c r="GI198" s="34"/>
      <c r="GJ198" s="34"/>
      <c r="GK198" s="34"/>
      <c r="GL198" s="34"/>
      <c r="GM198" s="34"/>
      <c r="GN198" s="34"/>
      <c r="GO198" s="34"/>
      <c r="GP198" s="34"/>
      <c r="GQ198" s="34"/>
      <c r="GR198" s="34"/>
      <c r="GS198" s="34"/>
      <c r="GT198" s="34"/>
      <c r="GU198" s="34"/>
      <c r="GV198" s="34"/>
      <c r="GW198" s="34"/>
      <c r="GX198" s="34"/>
      <c r="GY198" s="34"/>
      <c r="GZ198" s="34"/>
      <c r="HA198" s="34"/>
      <c r="HB198" s="34"/>
      <c r="HC198" s="34"/>
      <c r="HD198" s="34"/>
      <c r="HE198" s="34"/>
      <c r="HF198" s="34"/>
      <c r="HG198" s="34"/>
      <c r="HH198" s="34"/>
    </row>
    <row r="199" spans="1:216" ht="15.75" customHeight="1" x14ac:dyDescent="0.3">
      <c r="A199" s="6" t="s">
        <v>26</v>
      </c>
      <c r="B199" s="69" t="s">
        <v>51</v>
      </c>
      <c r="C199" s="70"/>
      <c r="D199" s="71"/>
      <c r="E199" s="5">
        <f>SUM(E189:E196)</f>
        <v>62</v>
      </c>
      <c r="F199" s="40"/>
      <c r="G199" s="20"/>
      <c r="H199" s="20"/>
      <c r="I199" s="20"/>
      <c r="J199" s="20"/>
      <c r="K199" s="20"/>
      <c r="L199" s="20"/>
      <c r="M199" s="20"/>
      <c r="N199" s="20"/>
      <c r="O199" s="20"/>
      <c r="P199" s="33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34"/>
      <c r="EX199" s="34"/>
      <c r="EY199" s="34"/>
      <c r="EZ199" s="34"/>
      <c r="FA199" s="3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34"/>
      <c r="FO199" s="34"/>
      <c r="FP199" s="34"/>
      <c r="FQ199" s="34"/>
      <c r="FR199" s="34"/>
      <c r="FS199" s="34"/>
      <c r="FT199" s="34"/>
      <c r="FU199" s="34"/>
      <c r="FV199" s="34"/>
      <c r="FW199" s="34"/>
      <c r="FX199" s="34"/>
      <c r="FY199" s="34"/>
      <c r="FZ199" s="34"/>
      <c r="GA199" s="34"/>
      <c r="GB199" s="34"/>
      <c r="GC199" s="34"/>
      <c r="GD199" s="34"/>
      <c r="GE199" s="34"/>
      <c r="GF199" s="34"/>
      <c r="GG199" s="34"/>
      <c r="GH199" s="34"/>
      <c r="GI199" s="34"/>
      <c r="GJ199" s="34"/>
      <c r="GK199" s="34"/>
      <c r="GL199" s="34"/>
      <c r="GM199" s="34"/>
      <c r="GN199" s="34"/>
      <c r="GO199" s="34"/>
      <c r="GP199" s="34"/>
      <c r="GQ199" s="34"/>
      <c r="GR199" s="34"/>
      <c r="GS199" s="34"/>
      <c r="GT199" s="34"/>
      <c r="GU199" s="34"/>
      <c r="GV199" s="34"/>
      <c r="GW199" s="34"/>
      <c r="GX199" s="34"/>
      <c r="GY199" s="34"/>
      <c r="GZ199" s="34"/>
      <c r="HA199" s="34"/>
      <c r="HB199" s="34"/>
      <c r="HC199" s="34"/>
      <c r="HD199" s="34"/>
      <c r="HE199" s="34"/>
      <c r="HF199" s="34"/>
      <c r="HG199" s="34"/>
      <c r="HH199" s="34"/>
    </row>
    <row r="200" spans="1:216" ht="15.75" customHeight="1" x14ac:dyDescent="0.3">
      <c r="A200" s="77"/>
      <c r="B200" s="78"/>
      <c r="C200" s="78"/>
      <c r="D200" s="78"/>
      <c r="E200" s="79"/>
      <c r="F200" s="40"/>
      <c r="G200" s="20"/>
      <c r="H200" s="20"/>
      <c r="I200" s="20"/>
      <c r="J200" s="20"/>
      <c r="K200" s="20"/>
      <c r="L200" s="20"/>
      <c r="M200" s="20"/>
      <c r="N200" s="20"/>
      <c r="O200" s="20"/>
      <c r="P200" s="33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  <c r="FS200" s="34"/>
      <c r="FT200" s="34"/>
      <c r="FU200" s="34"/>
      <c r="FV200" s="34"/>
      <c r="FW200" s="34"/>
      <c r="FX200" s="34"/>
      <c r="FY200" s="34"/>
      <c r="FZ200" s="34"/>
      <c r="GA200" s="34"/>
      <c r="GB200" s="34"/>
      <c r="GC200" s="34"/>
      <c r="GD200" s="34"/>
      <c r="GE200" s="34"/>
      <c r="GF200" s="34"/>
      <c r="GG200" s="34"/>
      <c r="GH200" s="34"/>
      <c r="GI200" s="34"/>
      <c r="GJ200" s="34"/>
      <c r="GK200" s="34"/>
      <c r="GL200" s="34"/>
      <c r="GM200" s="34"/>
      <c r="GN200" s="34"/>
      <c r="GO200" s="34"/>
      <c r="GP200" s="34"/>
      <c r="GQ200" s="34"/>
      <c r="GR200" s="34"/>
      <c r="GS200" s="34"/>
      <c r="GT200" s="34"/>
      <c r="GU200" s="34"/>
      <c r="GV200" s="34"/>
      <c r="GW200" s="34"/>
      <c r="GX200" s="34"/>
      <c r="GY200" s="34"/>
      <c r="GZ200" s="34"/>
      <c r="HA200" s="34"/>
      <c r="HB200" s="34"/>
      <c r="HC200" s="34"/>
      <c r="HD200" s="34"/>
      <c r="HE200" s="34"/>
      <c r="HF200" s="34"/>
      <c r="HG200" s="34"/>
      <c r="HH200" s="34"/>
    </row>
    <row r="201" spans="1:216" ht="15.75" customHeight="1" x14ac:dyDescent="0.3">
      <c r="A201" s="11" t="s">
        <v>48</v>
      </c>
      <c r="B201" s="17" t="s">
        <v>73</v>
      </c>
      <c r="C201" s="75" t="s">
        <v>74</v>
      </c>
      <c r="D201" s="76"/>
      <c r="E201" s="9">
        <f>GAMBIRAN!AY201+JAJAG!BA201+PURWODADI!AC201+WRINGINAGUNG!AB201+WRINGINREJO!X201+YOSOMULYO!AP201</f>
        <v>1395</v>
      </c>
      <c r="F201" s="41"/>
      <c r="G201" s="1"/>
      <c r="H201" s="1"/>
      <c r="I201" s="1"/>
      <c r="J201" s="1"/>
      <c r="K201" s="1"/>
      <c r="L201" s="1"/>
      <c r="M201" s="1"/>
      <c r="N201" s="1"/>
      <c r="O201" s="1"/>
      <c r="P201" s="35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</row>
    <row r="202" spans="1:216" ht="15.75" customHeight="1" x14ac:dyDescent="0.3">
      <c r="A202" s="11" t="s">
        <v>50</v>
      </c>
      <c r="B202" s="54"/>
      <c r="C202" s="24" t="s">
        <v>212</v>
      </c>
      <c r="D202" s="51"/>
      <c r="E202" s="9">
        <f>GAMBIRAN!AY202+JAJAG!BA202+PURWODADI!AC202+WRINGINAGUNG!AB202+WRINGINREJO!X202+YOSOMULYO!AP202</f>
        <v>3079</v>
      </c>
      <c r="F202" s="43"/>
      <c r="G202" s="28"/>
      <c r="H202" s="28"/>
      <c r="I202" s="28"/>
      <c r="J202" s="28"/>
      <c r="K202" s="28"/>
      <c r="L202" s="28"/>
      <c r="M202" s="28"/>
      <c r="N202" s="28"/>
      <c r="O202" s="28"/>
      <c r="P202" s="38"/>
      <c r="Q202" s="31"/>
      <c r="R202" s="31"/>
      <c r="S202" s="31"/>
      <c r="T202" s="31"/>
      <c r="U202" s="31"/>
      <c r="V202" s="31"/>
      <c r="W202" s="39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1"/>
      <c r="BM202" s="31"/>
      <c r="BN202" s="31"/>
      <c r="BO202" s="31"/>
      <c r="BP202" s="31"/>
      <c r="BQ202" s="31"/>
      <c r="BR202" s="39"/>
      <c r="BS202" s="31"/>
      <c r="BT202" s="31"/>
      <c r="BU202" s="31"/>
      <c r="BV202" s="31"/>
      <c r="BW202" s="31"/>
      <c r="BX202" s="31"/>
      <c r="BY202" s="31"/>
      <c r="BZ202" s="31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9"/>
      <c r="EZ202" s="39"/>
      <c r="FA202" s="39"/>
      <c r="FB202" s="39"/>
      <c r="FC202" s="39"/>
      <c r="FD202" s="39"/>
      <c r="FE202" s="39"/>
      <c r="FF202" s="31"/>
      <c r="FG202" s="31"/>
      <c r="FH202" s="31"/>
      <c r="FI202" s="31"/>
      <c r="FJ202" s="39"/>
      <c r="FK202" s="39"/>
      <c r="FL202" s="39"/>
      <c r="FM202" s="39"/>
      <c r="FN202" s="39"/>
      <c r="FO202" s="39"/>
      <c r="FP202" s="39"/>
      <c r="FQ202" s="39"/>
      <c r="FR202" s="39"/>
      <c r="FS202" s="39"/>
      <c r="FT202" s="39"/>
      <c r="FU202" s="39"/>
      <c r="FV202" s="39"/>
      <c r="FW202" s="39"/>
      <c r="FX202" s="39"/>
      <c r="FY202" s="39"/>
      <c r="FZ202" s="39"/>
      <c r="GA202" s="39"/>
      <c r="GB202" s="39"/>
      <c r="GC202" s="39"/>
      <c r="GD202" s="39"/>
      <c r="GE202" s="39"/>
      <c r="GF202" s="39"/>
      <c r="GG202" s="39"/>
      <c r="GH202" s="39"/>
      <c r="GI202" s="39"/>
      <c r="GJ202" s="39"/>
      <c r="GK202" s="39"/>
      <c r="GL202" s="39"/>
      <c r="GM202" s="39"/>
      <c r="GN202" s="39"/>
      <c r="GO202" s="39"/>
      <c r="GP202" s="39"/>
      <c r="GQ202" s="39"/>
      <c r="GR202" s="39"/>
      <c r="GS202" s="39"/>
      <c r="GT202" s="39"/>
      <c r="GU202" s="39"/>
      <c r="GV202" s="39"/>
      <c r="GW202" s="39"/>
      <c r="GX202" s="39"/>
      <c r="GY202" s="39"/>
      <c r="GZ202" s="39"/>
      <c r="HA202" s="39"/>
      <c r="HB202" s="39"/>
      <c r="HC202" s="39"/>
      <c r="HD202" s="39"/>
      <c r="HE202" s="39"/>
      <c r="HF202" s="39"/>
      <c r="HG202" s="39"/>
      <c r="HH202" s="39"/>
    </row>
    <row r="203" spans="1:216" ht="15.75" customHeight="1" x14ac:dyDescent="0.3">
      <c r="A203" s="7"/>
      <c r="B203" s="54"/>
      <c r="C203" s="24" t="s">
        <v>213</v>
      </c>
      <c r="D203" s="51"/>
      <c r="E203" s="9">
        <f>GAMBIRAN!AY203+JAJAG!BA203+PURWODADI!AC203+WRINGINAGUNG!AB203+WRINGINREJO!X203+YOSOMULYO!AP203</f>
        <v>313</v>
      </c>
      <c r="F203" s="40"/>
      <c r="G203" s="20"/>
      <c r="H203" s="20"/>
      <c r="I203" s="20"/>
      <c r="J203" s="20"/>
      <c r="K203" s="20"/>
      <c r="L203" s="20"/>
      <c r="M203" s="20"/>
      <c r="N203" s="20"/>
      <c r="O203" s="20"/>
      <c r="P203" s="33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34"/>
      <c r="EX203" s="34"/>
      <c r="EY203" s="34"/>
      <c r="EZ203" s="34"/>
      <c r="FA203" s="3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34"/>
      <c r="FO203" s="34"/>
      <c r="FP203" s="34"/>
      <c r="FQ203" s="34"/>
      <c r="FR203" s="34"/>
      <c r="FS203" s="34"/>
      <c r="FT203" s="34"/>
      <c r="FU203" s="34"/>
      <c r="FV203" s="34"/>
      <c r="FW203" s="34"/>
      <c r="FX203" s="34"/>
      <c r="FY203" s="34"/>
      <c r="FZ203" s="34"/>
      <c r="GA203" s="34"/>
      <c r="GB203" s="34"/>
      <c r="GC203" s="34"/>
      <c r="GD203" s="34"/>
      <c r="GE203" s="34"/>
      <c r="GF203" s="34"/>
      <c r="GG203" s="34"/>
      <c r="GH203" s="34"/>
      <c r="GI203" s="34"/>
      <c r="GJ203" s="34"/>
      <c r="GK203" s="34"/>
      <c r="GL203" s="34"/>
      <c r="GM203" s="34"/>
      <c r="GN203" s="34"/>
      <c r="GO203" s="34"/>
      <c r="GP203" s="34"/>
      <c r="GQ203" s="34"/>
      <c r="GR203" s="34"/>
      <c r="GS203" s="34"/>
      <c r="GT203" s="34"/>
      <c r="GU203" s="34"/>
      <c r="GV203" s="34"/>
      <c r="GW203" s="34"/>
      <c r="GX203" s="34"/>
      <c r="GY203" s="34"/>
      <c r="GZ203" s="34"/>
      <c r="HA203" s="34"/>
      <c r="HB203" s="34"/>
      <c r="HC203" s="34"/>
      <c r="HD203" s="34"/>
      <c r="HE203" s="34"/>
      <c r="HF203" s="34"/>
      <c r="HG203" s="34"/>
      <c r="HH203" s="34"/>
    </row>
    <row r="204" spans="1:216" ht="15.75" customHeight="1" x14ac:dyDescent="0.3">
      <c r="A204" s="7"/>
      <c r="B204" s="54"/>
      <c r="C204" s="24" t="s">
        <v>214</v>
      </c>
      <c r="D204" s="51"/>
      <c r="E204" s="9">
        <f>GAMBIRAN!AY204+JAJAG!BA204+PURWODADI!AC204+WRINGINAGUNG!AB204+WRINGINREJO!X204+YOSOMULYO!AP204</f>
        <v>126</v>
      </c>
      <c r="F204" s="40"/>
      <c r="G204" s="20"/>
      <c r="H204" s="20"/>
      <c r="I204" s="20"/>
      <c r="J204" s="20"/>
      <c r="K204" s="20"/>
      <c r="L204" s="20"/>
      <c r="M204" s="20"/>
      <c r="N204" s="20"/>
      <c r="O204" s="20"/>
      <c r="P204" s="33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34"/>
      <c r="EX204" s="34"/>
      <c r="EY204" s="34"/>
      <c r="EZ204" s="34"/>
      <c r="FA204" s="3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34"/>
      <c r="FO204" s="34"/>
      <c r="FP204" s="34"/>
      <c r="FQ204" s="34"/>
      <c r="FR204" s="34"/>
      <c r="FS204" s="34"/>
      <c r="FT204" s="34"/>
      <c r="FU204" s="34"/>
      <c r="FV204" s="34"/>
      <c r="FW204" s="34"/>
      <c r="FX204" s="34"/>
      <c r="FY204" s="34"/>
      <c r="FZ204" s="34"/>
      <c r="GA204" s="34"/>
      <c r="GB204" s="34"/>
      <c r="GC204" s="34"/>
      <c r="GD204" s="34"/>
      <c r="GE204" s="34"/>
      <c r="GF204" s="34"/>
      <c r="GG204" s="34"/>
      <c r="GH204" s="34"/>
      <c r="GI204" s="34"/>
      <c r="GJ204" s="34"/>
      <c r="GK204" s="34"/>
      <c r="GL204" s="34"/>
      <c r="GM204" s="34"/>
      <c r="GN204" s="34"/>
      <c r="GO204" s="34"/>
      <c r="GP204" s="34"/>
      <c r="GQ204" s="34"/>
      <c r="GR204" s="34"/>
      <c r="GS204" s="34"/>
      <c r="GT204" s="34"/>
      <c r="GU204" s="34"/>
      <c r="GV204" s="34"/>
      <c r="GW204" s="34"/>
      <c r="GX204" s="34"/>
      <c r="GY204" s="34"/>
      <c r="GZ204" s="34"/>
      <c r="HA204" s="34"/>
      <c r="HB204" s="34"/>
      <c r="HC204" s="34"/>
      <c r="HD204" s="34"/>
      <c r="HE204" s="34"/>
      <c r="HF204" s="34"/>
      <c r="HG204" s="34"/>
      <c r="HH204" s="34"/>
    </row>
    <row r="205" spans="1:216" ht="15.75" customHeight="1" x14ac:dyDescent="0.3">
      <c r="A205" s="7"/>
      <c r="B205" s="54"/>
      <c r="C205" s="24" t="s">
        <v>215</v>
      </c>
      <c r="D205" s="51"/>
      <c r="E205" s="9">
        <f>GAMBIRAN!AY205+JAJAG!BA205+PURWODADI!AC205+WRINGINAGUNG!AB205+WRINGINREJO!X205+YOSOMULYO!AP205</f>
        <v>69</v>
      </c>
      <c r="F205" s="40"/>
      <c r="G205" s="20"/>
      <c r="H205" s="20"/>
      <c r="I205" s="20"/>
      <c r="J205" s="20"/>
      <c r="K205" s="20"/>
      <c r="L205" s="20"/>
      <c r="M205" s="20"/>
      <c r="N205" s="20"/>
      <c r="O205" s="20"/>
      <c r="P205" s="33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34"/>
      <c r="EX205" s="34"/>
      <c r="EY205" s="34"/>
      <c r="EZ205" s="34"/>
      <c r="FA205" s="3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34"/>
      <c r="FO205" s="34"/>
      <c r="FP205" s="34"/>
      <c r="FQ205" s="34"/>
      <c r="FR205" s="34"/>
      <c r="FS205" s="34"/>
      <c r="FT205" s="34"/>
      <c r="FU205" s="34"/>
      <c r="FV205" s="34"/>
      <c r="FW205" s="34"/>
      <c r="FX205" s="34"/>
      <c r="FY205" s="34"/>
      <c r="FZ205" s="34"/>
      <c r="GA205" s="34"/>
      <c r="GB205" s="34"/>
      <c r="GC205" s="34"/>
      <c r="GD205" s="34"/>
      <c r="GE205" s="34"/>
      <c r="GF205" s="34"/>
      <c r="GG205" s="34"/>
      <c r="GH205" s="34"/>
      <c r="GI205" s="34"/>
      <c r="GJ205" s="34"/>
      <c r="GK205" s="34"/>
      <c r="GL205" s="34"/>
      <c r="GM205" s="34"/>
      <c r="GN205" s="34"/>
      <c r="GO205" s="34"/>
      <c r="GP205" s="34"/>
      <c r="GQ205" s="34"/>
      <c r="GR205" s="34"/>
      <c r="GS205" s="34"/>
      <c r="GT205" s="34"/>
      <c r="GU205" s="34"/>
      <c r="GV205" s="34"/>
      <c r="GW205" s="34"/>
      <c r="GX205" s="34"/>
      <c r="GY205" s="34"/>
      <c r="GZ205" s="34"/>
      <c r="HA205" s="34"/>
      <c r="HB205" s="34"/>
      <c r="HC205" s="34"/>
      <c r="HD205" s="34"/>
      <c r="HE205" s="34"/>
      <c r="HF205" s="34"/>
      <c r="HG205" s="34"/>
      <c r="HH205" s="34"/>
    </row>
    <row r="206" spans="1:216" ht="15.75" customHeight="1" x14ac:dyDescent="0.3">
      <c r="A206" s="7"/>
      <c r="B206" s="54"/>
      <c r="C206" s="24" t="s">
        <v>216</v>
      </c>
      <c r="D206" s="51"/>
      <c r="E206" s="9">
        <f>GAMBIRAN!AY206+JAJAG!BA206+PURWODADI!AC206+WRINGINAGUNG!AB206+WRINGINREJO!X206+YOSOMULYO!AP206</f>
        <v>57</v>
      </c>
      <c r="F206" s="40"/>
      <c r="G206" s="20"/>
      <c r="H206" s="20"/>
      <c r="I206" s="20"/>
      <c r="J206" s="20"/>
      <c r="K206" s="20"/>
      <c r="L206" s="20"/>
      <c r="M206" s="20"/>
      <c r="N206" s="20"/>
      <c r="O206" s="20"/>
      <c r="P206" s="33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  <c r="FS206" s="34"/>
      <c r="FT206" s="34"/>
      <c r="FU206" s="34"/>
      <c r="FV206" s="34"/>
      <c r="FW206" s="34"/>
      <c r="FX206" s="34"/>
      <c r="FY206" s="34"/>
      <c r="FZ206" s="34"/>
      <c r="GA206" s="34"/>
      <c r="GB206" s="34"/>
      <c r="GC206" s="34"/>
      <c r="GD206" s="34"/>
      <c r="GE206" s="34"/>
      <c r="GF206" s="34"/>
      <c r="GG206" s="34"/>
      <c r="GH206" s="34"/>
      <c r="GI206" s="34"/>
      <c r="GJ206" s="34"/>
      <c r="GK206" s="34"/>
      <c r="GL206" s="34"/>
      <c r="GM206" s="34"/>
      <c r="GN206" s="34"/>
      <c r="GO206" s="34"/>
      <c r="GP206" s="34"/>
      <c r="GQ206" s="34"/>
      <c r="GR206" s="34"/>
      <c r="GS206" s="34"/>
      <c r="GT206" s="34"/>
      <c r="GU206" s="34"/>
      <c r="GV206" s="34"/>
      <c r="GW206" s="34"/>
      <c r="GX206" s="34"/>
      <c r="GY206" s="34"/>
      <c r="GZ206" s="34"/>
      <c r="HA206" s="34"/>
      <c r="HB206" s="34"/>
      <c r="HC206" s="34"/>
      <c r="HD206" s="34"/>
      <c r="HE206" s="34"/>
      <c r="HF206" s="34"/>
      <c r="HG206" s="34"/>
      <c r="HH206" s="34"/>
    </row>
    <row r="207" spans="1:216" ht="15.75" customHeight="1" x14ac:dyDescent="0.3">
      <c r="A207" s="7"/>
      <c r="B207" s="54"/>
      <c r="C207" s="24" t="s">
        <v>217</v>
      </c>
      <c r="D207" s="51"/>
      <c r="E207" s="9">
        <f>GAMBIRAN!AY207+JAJAG!BA207+PURWODADI!AC207+WRINGINAGUNG!AB207+WRINGINREJO!X207+YOSOMULYO!AP207</f>
        <v>209</v>
      </c>
      <c r="F207" s="40"/>
      <c r="G207" s="20"/>
      <c r="H207" s="20"/>
      <c r="I207" s="20"/>
      <c r="J207" s="20"/>
      <c r="K207" s="20"/>
      <c r="L207" s="20"/>
      <c r="M207" s="20"/>
      <c r="N207" s="20"/>
      <c r="O207" s="20"/>
      <c r="P207" s="33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34"/>
      <c r="EX207" s="34"/>
      <c r="EY207" s="34"/>
      <c r="EZ207" s="34"/>
      <c r="FA207" s="3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34"/>
      <c r="FO207" s="34"/>
      <c r="FP207" s="34"/>
      <c r="FQ207" s="34"/>
      <c r="FR207" s="34"/>
      <c r="FS207" s="34"/>
      <c r="FT207" s="34"/>
      <c r="FU207" s="34"/>
      <c r="FV207" s="34"/>
      <c r="FW207" s="34"/>
      <c r="FX207" s="34"/>
      <c r="FY207" s="34"/>
      <c r="FZ207" s="34"/>
      <c r="GA207" s="34"/>
      <c r="GB207" s="34"/>
      <c r="GC207" s="34"/>
      <c r="GD207" s="34"/>
      <c r="GE207" s="34"/>
      <c r="GF207" s="34"/>
      <c r="GG207" s="34"/>
      <c r="GH207" s="34"/>
      <c r="GI207" s="34"/>
      <c r="GJ207" s="34"/>
      <c r="GK207" s="34"/>
      <c r="GL207" s="34"/>
      <c r="GM207" s="34"/>
      <c r="GN207" s="34"/>
      <c r="GO207" s="34"/>
      <c r="GP207" s="34"/>
      <c r="GQ207" s="34"/>
      <c r="GR207" s="34"/>
      <c r="GS207" s="34"/>
      <c r="GT207" s="34"/>
      <c r="GU207" s="34"/>
      <c r="GV207" s="34"/>
      <c r="GW207" s="34"/>
      <c r="GX207" s="34"/>
      <c r="GY207" s="34"/>
      <c r="GZ207" s="34"/>
      <c r="HA207" s="34"/>
      <c r="HB207" s="34"/>
      <c r="HC207" s="34"/>
      <c r="HD207" s="34"/>
      <c r="HE207" s="34"/>
      <c r="HF207" s="34"/>
      <c r="HG207" s="34"/>
      <c r="HH207" s="34"/>
    </row>
    <row r="208" spans="1:216" ht="15.75" customHeight="1" x14ac:dyDescent="0.3">
      <c r="A208" s="7"/>
      <c r="B208" s="54"/>
      <c r="C208" s="24" t="s">
        <v>218</v>
      </c>
      <c r="D208" s="51"/>
      <c r="E208" s="9">
        <f>GAMBIRAN!AY208+JAJAG!BA208+PURWODADI!AC208+WRINGINAGUNG!AB208+WRINGINREJO!X208+YOSOMULYO!AP208</f>
        <v>153</v>
      </c>
      <c r="F208" s="40"/>
      <c r="G208" s="20"/>
      <c r="H208" s="20"/>
      <c r="I208" s="20"/>
      <c r="J208" s="20"/>
      <c r="K208" s="20"/>
      <c r="L208" s="20"/>
      <c r="M208" s="20"/>
      <c r="N208" s="20"/>
      <c r="O208" s="20"/>
      <c r="P208" s="33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4"/>
      <c r="GX208" s="34"/>
      <c r="GY208" s="34"/>
      <c r="GZ208" s="34"/>
      <c r="HA208" s="34"/>
      <c r="HB208" s="34"/>
      <c r="HC208" s="34"/>
      <c r="HD208" s="34"/>
      <c r="HE208" s="34"/>
      <c r="HF208" s="34"/>
      <c r="HG208" s="34"/>
      <c r="HH208" s="34"/>
    </row>
    <row r="209" spans="1:216" ht="15.75" customHeight="1" x14ac:dyDescent="0.3">
      <c r="A209" s="7"/>
      <c r="B209" s="54"/>
      <c r="C209" s="24" t="s">
        <v>219</v>
      </c>
      <c r="D209" s="51"/>
      <c r="E209" s="9">
        <f>GAMBIRAN!AY209+JAJAG!BA209+PURWODADI!AC209+WRINGINAGUNG!AB209+WRINGINREJO!X209+YOSOMULYO!AP209</f>
        <v>17</v>
      </c>
      <c r="F209" s="40"/>
      <c r="G209" s="20"/>
      <c r="H209" s="20"/>
      <c r="I209" s="20"/>
      <c r="J209" s="20"/>
      <c r="K209" s="20"/>
      <c r="L209" s="20"/>
      <c r="M209" s="20"/>
      <c r="N209" s="20"/>
      <c r="O209" s="20"/>
      <c r="P209" s="33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4"/>
      <c r="GX209" s="34"/>
      <c r="GY209" s="34"/>
      <c r="GZ209" s="34"/>
      <c r="HA209" s="34"/>
      <c r="HB209" s="34"/>
      <c r="HC209" s="34"/>
      <c r="HD209" s="34"/>
      <c r="HE209" s="34"/>
      <c r="HF209" s="34"/>
      <c r="HG209" s="34"/>
      <c r="HH209" s="34"/>
    </row>
    <row r="210" spans="1:216" ht="15.75" customHeight="1" x14ac:dyDescent="0.3">
      <c r="A210" s="7"/>
      <c r="B210" s="54"/>
      <c r="C210" s="24" t="s">
        <v>220</v>
      </c>
      <c r="D210" s="51"/>
      <c r="E210" s="9">
        <f>GAMBIRAN!AY210+JAJAG!BA210+PURWODADI!AC210+WRINGINAGUNG!AB210+WRINGINREJO!X210+YOSOMULYO!AP210</f>
        <v>85</v>
      </c>
      <c r="F210" s="40"/>
      <c r="G210" s="20"/>
      <c r="H210" s="20"/>
      <c r="I210" s="20"/>
      <c r="J210" s="20"/>
      <c r="K210" s="20"/>
      <c r="L210" s="20"/>
      <c r="M210" s="20"/>
      <c r="N210" s="20"/>
      <c r="O210" s="20"/>
      <c r="P210" s="33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4"/>
      <c r="FQ210" s="34"/>
      <c r="FR210" s="34"/>
      <c r="FS210" s="34"/>
      <c r="FT210" s="34"/>
      <c r="FU210" s="34"/>
      <c r="FV210" s="34"/>
      <c r="FW210" s="34"/>
      <c r="FX210" s="34"/>
      <c r="FY210" s="34"/>
      <c r="FZ210" s="34"/>
      <c r="GA210" s="34"/>
      <c r="GB210" s="34"/>
      <c r="GC210" s="34"/>
      <c r="GD210" s="34"/>
      <c r="GE210" s="34"/>
      <c r="GF210" s="34"/>
      <c r="GG210" s="34"/>
      <c r="GH210" s="34"/>
      <c r="GI210" s="34"/>
      <c r="GJ210" s="34"/>
      <c r="GK210" s="34"/>
      <c r="GL210" s="34"/>
      <c r="GM210" s="34"/>
      <c r="GN210" s="34"/>
      <c r="GO210" s="34"/>
      <c r="GP210" s="34"/>
      <c r="GQ210" s="34"/>
      <c r="GR210" s="34"/>
      <c r="GS210" s="34"/>
      <c r="GT210" s="34"/>
      <c r="GU210" s="34"/>
      <c r="GV210" s="34"/>
      <c r="GW210" s="34"/>
      <c r="GX210" s="34"/>
      <c r="GY210" s="34"/>
      <c r="GZ210" s="34"/>
      <c r="HA210" s="34"/>
      <c r="HB210" s="34"/>
      <c r="HC210" s="34"/>
      <c r="HD210" s="34"/>
      <c r="HE210" s="34"/>
      <c r="HF210" s="34"/>
      <c r="HG210" s="34"/>
      <c r="HH210" s="34"/>
    </row>
    <row r="211" spans="1:216" ht="15.75" customHeight="1" x14ac:dyDescent="0.3">
      <c r="A211" s="6" t="s">
        <v>26</v>
      </c>
      <c r="B211" s="69" t="s">
        <v>51</v>
      </c>
      <c r="C211" s="70"/>
      <c r="D211" s="71"/>
      <c r="E211" s="5">
        <f>SUM(E201:E208)</f>
        <v>5401</v>
      </c>
      <c r="F211" s="40"/>
      <c r="G211" s="20"/>
      <c r="H211" s="20"/>
      <c r="I211" s="20"/>
      <c r="J211" s="20"/>
      <c r="K211" s="20"/>
      <c r="L211" s="20"/>
      <c r="M211" s="20"/>
      <c r="N211" s="20"/>
      <c r="O211" s="20"/>
      <c r="P211" s="33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4"/>
      <c r="FQ211" s="34"/>
      <c r="FR211" s="34"/>
      <c r="FS211" s="34"/>
      <c r="FT211" s="34"/>
      <c r="FU211" s="34"/>
      <c r="FV211" s="34"/>
      <c r="FW211" s="34"/>
      <c r="FX211" s="34"/>
      <c r="FY211" s="34"/>
      <c r="FZ211" s="34"/>
      <c r="GA211" s="34"/>
      <c r="GB211" s="34"/>
      <c r="GC211" s="34"/>
      <c r="GD211" s="34"/>
      <c r="GE211" s="34"/>
      <c r="GF211" s="34"/>
      <c r="GG211" s="34"/>
      <c r="GH211" s="34"/>
      <c r="GI211" s="34"/>
      <c r="GJ211" s="34"/>
      <c r="GK211" s="34"/>
      <c r="GL211" s="34"/>
      <c r="GM211" s="34"/>
      <c r="GN211" s="34"/>
      <c r="GO211" s="34"/>
      <c r="GP211" s="34"/>
      <c r="GQ211" s="34"/>
      <c r="GR211" s="34"/>
      <c r="GS211" s="34"/>
      <c r="GT211" s="34"/>
      <c r="GU211" s="34"/>
      <c r="GV211" s="34"/>
      <c r="GW211" s="34"/>
      <c r="GX211" s="34"/>
      <c r="GY211" s="34"/>
      <c r="GZ211" s="34"/>
      <c r="HA211" s="34"/>
      <c r="HB211" s="34"/>
      <c r="HC211" s="34"/>
      <c r="HD211" s="34"/>
      <c r="HE211" s="34"/>
      <c r="HF211" s="34"/>
      <c r="HG211" s="34"/>
      <c r="HH211" s="34"/>
    </row>
    <row r="212" spans="1:216" ht="15.75" customHeight="1" x14ac:dyDescent="0.3">
      <c r="A212" s="77"/>
      <c r="B212" s="78"/>
      <c r="C212" s="78"/>
      <c r="D212" s="78"/>
      <c r="E212" s="79"/>
      <c r="F212" s="40"/>
      <c r="G212" s="20"/>
      <c r="H212" s="20"/>
      <c r="I212" s="20"/>
      <c r="J212" s="20"/>
      <c r="K212" s="20"/>
      <c r="L212" s="20"/>
      <c r="M212" s="20"/>
      <c r="N212" s="20"/>
      <c r="O212" s="20"/>
      <c r="P212" s="33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4"/>
      <c r="FQ212" s="34"/>
      <c r="FR212" s="34"/>
      <c r="FS212" s="34"/>
      <c r="FT212" s="34"/>
      <c r="FU212" s="34"/>
      <c r="FV212" s="34"/>
      <c r="FW212" s="34"/>
      <c r="FX212" s="34"/>
      <c r="FY212" s="34"/>
      <c r="FZ212" s="34"/>
      <c r="GA212" s="34"/>
      <c r="GB212" s="34"/>
      <c r="GC212" s="34"/>
      <c r="GD212" s="34"/>
      <c r="GE212" s="34"/>
      <c r="GF212" s="34"/>
      <c r="GG212" s="34"/>
      <c r="GH212" s="34"/>
      <c r="GI212" s="34"/>
      <c r="GJ212" s="34"/>
      <c r="GK212" s="34"/>
      <c r="GL212" s="34"/>
      <c r="GM212" s="34"/>
      <c r="GN212" s="34"/>
      <c r="GO212" s="34"/>
      <c r="GP212" s="34"/>
      <c r="GQ212" s="34"/>
      <c r="GR212" s="34"/>
      <c r="GS212" s="34"/>
      <c r="GT212" s="34"/>
      <c r="GU212" s="34"/>
      <c r="GV212" s="34"/>
      <c r="GW212" s="34"/>
      <c r="GX212" s="34"/>
      <c r="GY212" s="34"/>
      <c r="GZ212" s="34"/>
      <c r="HA212" s="34"/>
      <c r="HB212" s="34"/>
      <c r="HC212" s="34"/>
      <c r="HD212" s="34"/>
      <c r="HE212" s="34"/>
      <c r="HF212" s="34"/>
      <c r="HG212" s="34"/>
      <c r="HH212" s="34"/>
    </row>
    <row r="213" spans="1:216" ht="15.75" customHeight="1" x14ac:dyDescent="0.3">
      <c r="A213" s="11" t="s">
        <v>48</v>
      </c>
      <c r="B213" s="17" t="s">
        <v>75</v>
      </c>
      <c r="C213" s="75" t="s">
        <v>76</v>
      </c>
      <c r="D213" s="76"/>
      <c r="E213" s="9">
        <f>GAMBIRAN!AY213+JAJAG!BA213+PURWODADI!AC213+WRINGINAGUNG!AB213+WRINGINREJO!X213+YOSOMULYO!AP213</f>
        <v>495</v>
      </c>
      <c r="F213" s="41"/>
      <c r="G213" s="1"/>
      <c r="H213" s="1"/>
      <c r="I213" s="1"/>
      <c r="J213" s="1"/>
      <c r="K213" s="1"/>
      <c r="L213" s="1"/>
      <c r="M213" s="1"/>
      <c r="N213" s="1"/>
      <c r="O213" s="1"/>
      <c r="P213" s="35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  <c r="EW213" s="32"/>
      <c r="EX213" s="32"/>
      <c r="EY213" s="32"/>
      <c r="EZ213" s="32"/>
      <c r="FA213" s="32"/>
      <c r="FB213" s="32"/>
      <c r="FC213" s="32"/>
      <c r="FD213" s="32"/>
      <c r="FE213" s="32"/>
      <c r="FF213" s="32"/>
      <c r="FG213" s="32"/>
      <c r="FH213" s="32"/>
      <c r="FI213" s="32"/>
      <c r="FJ213" s="32"/>
      <c r="FK213" s="32"/>
      <c r="FL213" s="32"/>
      <c r="FM213" s="32"/>
      <c r="FN213" s="32"/>
      <c r="FO213" s="32"/>
      <c r="FP213" s="32"/>
      <c r="FQ213" s="32"/>
      <c r="FR213" s="32"/>
      <c r="FS213" s="32"/>
      <c r="FT213" s="32"/>
      <c r="FU213" s="32"/>
      <c r="FV213" s="32"/>
      <c r="FW213" s="32"/>
      <c r="FX213" s="32"/>
      <c r="FY213" s="32"/>
      <c r="FZ213" s="32"/>
      <c r="GA213" s="32"/>
      <c r="GB213" s="32"/>
      <c r="GC213" s="32"/>
      <c r="GD213" s="32"/>
      <c r="GE213" s="32"/>
      <c r="GF213" s="32"/>
      <c r="GG213" s="32"/>
      <c r="GH213" s="32"/>
      <c r="GI213" s="32"/>
      <c r="GJ213" s="32"/>
      <c r="GK213" s="32"/>
      <c r="GL213" s="32"/>
      <c r="GM213" s="32"/>
      <c r="GN213" s="32"/>
      <c r="GO213" s="32"/>
      <c r="GP213" s="32"/>
      <c r="GQ213" s="32"/>
      <c r="GR213" s="32"/>
      <c r="GS213" s="32"/>
      <c r="GT213" s="32"/>
      <c r="GU213" s="32"/>
      <c r="GV213" s="32"/>
      <c r="GW213" s="32"/>
      <c r="GX213" s="32"/>
      <c r="GY213" s="32"/>
      <c r="GZ213" s="32"/>
      <c r="HA213" s="32"/>
      <c r="HB213" s="32"/>
      <c r="HC213" s="32"/>
      <c r="HD213" s="32"/>
      <c r="HE213" s="32"/>
      <c r="HF213" s="32"/>
      <c r="HG213" s="32"/>
      <c r="HH213" s="32"/>
    </row>
    <row r="214" spans="1:216" ht="15.75" customHeight="1" x14ac:dyDescent="0.3">
      <c r="A214" s="11" t="s">
        <v>50</v>
      </c>
      <c r="B214" s="54"/>
      <c r="C214" s="24" t="s">
        <v>221</v>
      </c>
      <c r="D214" s="55"/>
      <c r="E214" s="9">
        <f>GAMBIRAN!AY214+JAJAG!BA214+PURWODADI!AC214+WRINGINAGUNG!AB214+WRINGINREJO!X214+YOSOMULYO!AP214</f>
        <v>314</v>
      </c>
      <c r="F214" s="43"/>
      <c r="G214" s="28"/>
      <c r="H214" s="28"/>
      <c r="I214" s="28"/>
      <c r="J214" s="28"/>
      <c r="K214" s="28"/>
      <c r="L214" s="28"/>
      <c r="M214" s="28"/>
      <c r="N214" s="28"/>
      <c r="O214" s="28"/>
      <c r="P214" s="38"/>
      <c r="Q214" s="31"/>
      <c r="R214" s="31"/>
      <c r="S214" s="31"/>
      <c r="T214" s="31"/>
      <c r="U214" s="31"/>
      <c r="V214" s="31"/>
      <c r="W214" s="39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1"/>
      <c r="BM214" s="31"/>
      <c r="BN214" s="31"/>
      <c r="BO214" s="31"/>
      <c r="BP214" s="31"/>
      <c r="BQ214" s="31"/>
      <c r="BR214" s="39"/>
      <c r="BS214" s="31"/>
      <c r="BT214" s="31"/>
      <c r="BU214" s="31"/>
      <c r="BV214" s="31"/>
      <c r="BW214" s="31"/>
      <c r="BX214" s="31"/>
      <c r="BY214" s="31"/>
      <c r="BZ214" s="31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9"/>
      <c r="EZ214" s="39"/>
      <c r="FA214" s="39"/>
      <c r="FB214" s="39"/>
      <c r="FC214" s="39"/>
      <c r="FD214" s="39"/>
      <c r="FE214" s="39"/>
      <c r="FF214" s="31"/>
      <c r="FG214" s="31"/>
      <c r="FH214" s="31"/>
      <c r="FI214" s="31"/>
      <c r="FJ214" s="39"/>
      <c r="FK214" s="39"/>
      <c r="FL214" s="39"/>
      <c r="FM214" s="39"/>
      <c r="FN214" s="39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39"/>
      <c r="FZ214" s="39"/>
      <c r="GA214" s="39"/>
      <c r="GB214" s="39"/>
      <c r="GC214" s="39"/>
      <c r="GD214" s="39"/>
      <c r="GE214" s="39"/>
      <c r="GF214" s="39"/>
      <c r="GG214" s="39"/>
      <c r="GH214" s="39"/>
      <c r="GI214" s="39"/>
      <c r="GJ214" s="39"/>
      <c r="GK214" s="39"/>
      <c r="GL214" s="39"/>
      <c r="GM214" s="39"/>
      <c r="GN214" s="39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</row>
    <row r="215" spans="1:216" ht="15.75" customHeight="1" x14ac:dyDescent="0.3">
      <c r="A215" s="7"/>
      <c r="B215" s="54"/>
      <c r="C215" s="24" t="s">
        <v>222</v>
      </c>
      <c r="D215" s="55"/>
      <c r="E215" s="9">
        <f>GAMBIRAN!AY215+JAJAG!BA215+PURWODADI!AC215+WRINGINAGUNG!AB215+WRINGINREJO!X215+YOSOMULYO!AP215</f>
        <v>261</v>
      </c>
      <c r="F215" s="40"/>
      <c r="G215" s="20"/>
      <c r="H215" s="20"/>
      <c r="I215" s="20"/>
      <c r="J215" s="20"/>
      <c r="K215" s="20"/>
      <c r="L215" s="20"/>
      <c r="M215" s="20"/>
      <c r="N215" s="20"/>
      <c r="O215" s="20"/>
      <c r="P215" s="33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  <c r="FS215" s="34"/>
      <c r="FT215" s="34"/>
      <c r="FU215" s="34"/>
      <c r="FV215" s="34"/>
      <c r="FW215" s="34"/>
      <c r="FX215" s="34"/>
      <c r="FY215" s="34"/>
      <c r="FZ215" s="34"/>
      <c r="GA215" s="34"/>
      <c r="GB215" s="34"/>
      <c r="GC215" s="34"/>
      <c r="GD215" s="34"/>
      <c r="GE215" s="34"/>
      <c r="GF215" s="34"/>
      <c r="GG215" s="34"/>
      <c r="GH215" s="34"/>
      <c r="GI215" s="34"/>
      <c r="GJ215" s="34"/>
      <c r="GK215" s="34"/>
      <c r="GL215" s="34"/>
      <c r="GM215" s="34"/>
      <c r="GN215" s="34"/>
      <c r="GO215" s="34"/>
      <c r="GP215" s="34"/>
      <c r="GQ215" s="34"/>
      <c r="GR215" s="34"/>
      <c r="GS215" s="34"/>
      <c r="GT215" s="34"/>
      <c r="GU215" s="34"/>
      <c r="GV215" s="34"/>
      <c r="GW215" s="34"/>
      <c r="GX215" s="34"/>
      <c r="GY215" s="34"/>
      <c r="GZ215" s="34"/>
      <c r="HA215" s="34"/>
      <c r="HB215" s="34"/>
      <c r="HC215" s="34"/>
      <c r="HD215" s="34"/>
      <c r="HE215" s="34"/>
      <c r="HF215" s="34"/>
      <c r="HG215" s="34"/>
      <c r="HH215" s="34"/>
    </row>
    <row r="216" spans="1:216" ht="15.75" customHeight="1" x14ac:dyDescent="0.3">
      <c r="A216" s="7"/>
      <c r="B216" s="54"/>
      <c r="C216" s="24" t="s">
        <v>223</v>
      </c>
      <c r="E216" s="9">
        <f>GAMBIRAN!AY216+JAJAG!BA216+PURWODADI!AC216+WRINGINAGUNG!AB216+WRINGINREJO!X216+YOSOMULYO!AP216</f>
        <v>77</v>
      </c>
      <c r="F216" s="40"/>
      <c r="G216" s="20"/>
      <c r="H216" s="20"/>
      <c r="I216" s="20"/>
      <c r="J216" s="20"/>
      <c r="K216" s="20"/>
      <c r="L216" s="20"/>
      <c r="M216" s="20"/>
      <c r="N216" s="20"/>
      <c r="O216" s="20"/>
      <c r="P216" s="33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4"/>
      <c r="FQ216" s="34"/>
      <c r="FR216" s="34"/>
      <c r="FS216" s="34"/>
      <c r="FT216" s="34"/>
      <c r="FU216" s="34"/>
      <c r="FV216" s="34"/>
      <c r="FW216" s="34"/>
      <c r="FX216" s="34"/>
      <c r="FY216" s="34"/>
      <c r="FZ216" s="34"/>
      <c r="GA216" s="34"/>
      <c r="GB216" s="34"/>
      <c r="GC216" s="34"/>
      <c r="GD216" s="34"/>
      <c r="GE216" s="34"/>
      <c r="GF216" s="34"/>
      <c r="GG216" s="34"/>
      <c r="GH216" s="34"/>
      <c r="GI216" s="34"/>
      <c r="GJ216" s="34"/>
      <c r="GK216" s="34"/>
      <c r="GL216" s="34"/>
      <c r="GM216" s="34"/>
      <c r="GN216" s="34"/>
      <c r="GO216" s="34"/>
      <c r="GP216" s="34"/>
      <c r="GQ216" s="34"/>
      <c r="GR216" s="34"/>
      <c r="GS216" s="34"/>
      <c r="GT216" s="34"/>
      <c r="GU216" s="34"/>
      <c r="GV216" s="34"/>
      <c r="GW216" s="34"/>
      <c r="GX216" s="34"/>
      <c r="GY216" s="34"/>
      <c r="GZ216" s="34"/>
      <c r="HA216" s="34"/>
      <c r="HB216" s="34"/>
      <c r="HC216" s="34"/>
      <c r="HD216" s="34"/>
      <c r="HE216" s="34"/>
      <c r="HF216" s="34"/>
      <c r="HG216" s="34"/>
      <c r="HH216" s="34"/>
    </row>
    <row r="217" spans="1:216" ht="15.75" customHeight="1" x14ac:dyDescent="0.3">
      <c r="A217" s="7"/>
      <c r="B217" s="46"/>
      <c r="C217" s="47"/>
      <c r="D217" s="48"/>
      <c r="E217" s="60"/>
      <c r="F217" s="40"/>
      <c r="G217" s="20"/>
      <c r="H217" s="20"/>
      <c r="I217" s="20"/>
      <c r="J217" s="20"/>
      <c r="K217" s="20"/>
      <c r="L217" s="20"/>
      <c r="M217" s="20"/>
      <c r="N217" s="20"/>
      <c r="O217" s="20"/>
      <c r="P217" s="33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4"/>
      <c r="FQ217" s="34"/>
      <c r="FR217" s="34"/>
      <c r="FS217" s="34"/>
      <c r="FT217" s="34"/>
      <c r="FU217" s="34"/>
      <c r="FV217" s="34"/>
      <c r="FW217" s="34"/>
      <c r="FX217" s="34"/>
      <c r="FY217" s="34"/>
      <c r="FZ217" s="34"/>
      <c r="GA217" s="34"/>
      <c r="GB217" s="34"/>
      <c r="GC217" s="34"/>
      <c r="GD217" s="34"/>
      <c r="GE217" s="34"/>
      <c r="GF217" s="34"/>
      <c r="GG217" s="34"/>
      <c r="GH217" s="34"/>
      <c r="GI217" s="34"/>
      <c r="GJ217" s="34"/>
      <c r="GK217" s="34"/>
      <c r="GL217" s="34"/>
      <c r="GM217" s="34"/>
      <c r="GN217" s="34"/>
      <c r="GO217" s="34"/>
      <c r="GP217" s="34"/>
      <c r="GQ217" s="34"/>
      <c r="GR217" s="34"/>
      <c r="GS217" s="34"/>
      <c r="GT217" s="34"/>
      <c r="GU217" s="34"/>
      <c r="GV217" s="34"/>
      <c r="GW217" s="34"/>
      <c r="GX217" s="34"/>
      <c r="GY217" s="34"/>
      <c r="GZ217" s="34"/>
      <c r="HA217" s="34"/>
      <c r="HB217" s="34"/>
      <c r="HC217" s="34"/>
      <c r="HD217" s="34"/>
      <c r="HE217" s="34"/>
      <c r="HF217" s="34"/>
      <c r="HG217" s="34"/>
      <c r="HH217" s="34"/>
    </row>
    <row r="218" spans="1:216" ht="15.75" customHeight="1" x14ac:dyDescent="0.3">
      <c r="A218" s="7"/>
      <c r="B218" s="46"/>
      <c r="C218" s="47"/>
      <c r="D218" s="48"/>
      <c r="E218" s="60"/>
      <c r="F218" s="40"/>
      <c r="G218" s="20"/>
      <c r="H218" s="20"/>
      <c r="I218" s="20"/>
      <c r="J218" s="20"/>
      <c r="K218" s="20"/>
      <c r="L218" s="20"/>
      <c r="M218" s="20"/>
      <c r="N218" s="20"/>
      <c r="O218" s="20"/>
      <c r="P218" s="33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4"/>
      <c r="FQ218" s="34"/>
      <c r="FR218" s="34"/>
      <c r="FS218" s="34"/>
      <c r="FT218" s="34"/>
      <c r="FU218" s="34"/>
      <c r="FV218" s="34"/>
      <c r="FW218" s="34"/>
      <c r="FX218" s="34"/>
      <c r="FY218" s="34"/>
      <c r="FZ218" s="34"/>
      <c r="GA218" s="34"/>
      <c r="GB218" s="34"/>
      <c r="GC218" s="34"/>
      <c r="GD218" s="34"/>
      <c r="GE218" s="34"/>
      <c r="GF218" s="34"/>
      <c r="GG218" s="34"/>
      <c r="GH218" s="34"/>
      <c r="GI218" s="34"/>
      <c r="GJ218" s="34"/>
      <c r="GK218" s="34"/>
      <c r="GL218" s="34"/>
      <c r="GM218" s="34"/>
      <c r="GN218" s="34"/>
      <c r="GO218" s="34"/>
      <c r="GP218" s="34"/>
      <c r="GQ218" s="34"/>
      <c r="GR218" s="34"/>
      <c r="GS218" s="34"/>
      <c r="GT218" s="34"/>
      <c r="GU218" s="34"/>
      <c r="GV218" s="34"/>
      <c r="GW218" s="34"/>
      <c r="GX218" s="34"/>
      <c r="GY218" s="34"/>
      <c r="GZ218" s="34"/>
      <c r="HA218" s="34"/>
      <c r="HB218" s="34"/>
      <c r="HC218" s="34"/>
      <c r="HD218" s="34"/>
      <c r="HE218" s="34"/>
      <c r="HF218" s="34"/>
      <c r="HG218" s="34"/>
      <c r="HH218" s="34"/>
    </row>
    <row r="219" spans="1:216" ht="15.75" customHeight="1" x14ac:dyDescent="0.3">
      <c r="A219" s="7"/>
      <c r="B219" s="46"/>
      <c r="C219" s="47"/>
      <c r="D219" s="48"/>
      <c r="E219" s="60"/>
      <c r="F219" s="40"/>
      <c r="G219" s="20"/>
      <c r="H219" s="20"/>
      <c r="I219" s="20"/>
      <c r="J219" s="20"/>
      <c r="K219" s="20"/>
      <c r="L219" s="20"/>
      <c r="M219" s="20"/>
      <c r="N219" s="20"/>
      <c r="O219" s="20"/>
      <c r="P219" s="33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4"/>
      <c r="FQ219" s="34"/>
      <c r="FR219" s="34"/>
      <c r="FS219" s="34"/>
      <c r="FT219" s="34"/>
      <c r="FU219" s="34"/>
      <c r="FV219" s="34"/>
      <c r="FW219" s="34"/>
      <c r="FX219" s="34"/>
      <c r="FY219" s="34"/>
      <c r="FZ219" s="34"/>
      <c r="GA219" s="34"/>
      <c r="GB219" s="34"/>
      <c r="GC219" s="34"/>
      <c r="GD219" s="34"/>
      <c r="GE219" s="34"/>
      <c r="GF219" s="34"/>
      <c r="GG219" s="34"/>
      <c r="GH219" s="34"/>
      <c r="GI219" s="34"/>
      <c r="GJ219" s="34"/>
      <c r="GK219" s="34"/>
      <c r="GL219" s="34"/>
      <c r="GM219" s="34"/>
      <c r="GN219" s="34"/>
      <c r="GO219" s="34"/>
      <c r="GP219" s="34"/>
      <c r="GQ219" s="34"/>
      <c r="GR219" s="34"/>
      <c r="GS219" s="34"/>
      <c r="GT219" s="34"/>
      <c r="GU219" s="34"/>
      <c r="GV219" s="34"/>
      <c r="GW219" s="34"/>
      <c r="GX219" s="34"/>
      <c r="GY219" s="34"/>
      <c r="GZ219" s="34"/>
      <c r="HA219" s="34"/>
      <c r="HB219" s="34"/>
      <c r="HC219" s="34"/>
      <c r="HD219" s="34"/>
      <c r="HE219" s="34"/>
      <c r="HF219" s="34"/>
      <c r="HG219" s="34"/>
      <c r="HH219" s="34"/>
    </row>
    <row r="220" spans="1:216" ht="15.75" customHeight="1" x14ac:dyDescent="0.3">
      <c r="A220" s="7"/>
      <c r="B220" s="46"/>
      <c r="C220" s="47"/>
      <c r="D220" s="48"/>
      <c r="E220" s="60"/>
      <c r="F220" s="40"/>
      <c r="G220" s="20"/>
      <c r="H220" s="20"/>
      <c r="I220" s="20"/>
      <c r="J220" s="20"/>
      <c r="K220" s="20"/>
      <c r="L220" s="20"/>
      <c r="M220" s="20"/>
      <c r="N220" s="20"/>
      <c r="O220" s="20"/>
      <c r="P220" s="33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4"/>
      <c r="FQ220" s="34"/>
      <c r="FR220" s="34"/>
      <c r="FS220" s="34"/>
      <c r="FT220" s="34"/>
      <c r="FU220" s="34"/>
      <c r="FV220" s="34"/>
      <c r="FW220" s="34"/>
      <c r="FX220" s="34"/>
      <c r="FY220" s="34"/>
      <c r="FZ220" s="34"/>
      <c r="GA220" s="34"/>
      <c r="GB220" s="34"/>
      <c r="GC220" s="34"/>
      <c r="GD220" s="34"/>
      <c r="GE220" s="34"/>
      <c r="GF220" s="34"/>
      <c r="GG220" s="34"/>
      <c r="GH220" s="34"/>
      <c r="GI220" s="34"/>
      <c r="GJ220" s="34"/>
      <c r="GK220" s="34"/>
      <c r="GL220" s="34"/>
      <c r="GM220" s="34"/>
      <c r="GN220" s="34"/>
      <c r="GO220" s="34"/>
      <c r="GP220" s="34"/>
      <c r="GQ220" s="34"/>
      <c r="GR220" s="34"/>
      <c r="GS220" s="34"/>
      <c r="GT220" s="34"/>
      <c r="GU220" s="34"/>
      <c r="GV220" s="34"/>
      <c r="GW220" s="34"/>
      <c r="GX220" s="34"/>
      <c r="GY220" s="34"/>
      <c r="GZ220" s="34"/>
      <c r="HA220" s="34"/>
      <c r="HB220" s="34"/>
      <c r="HC220" s="34"/>
      <c r="HD220" s="34"/>
      <c r="HE220" s="34"/>
      <c r="HF220" s="34"/>
      <c r="HG220" s="34"/>
      <c r="HH220" s="34"/>
    </row>
    <row r="221" spans="1:216" ht="15.75" customHeight="1" x14ac:dyDescent="0.3">
      <c r="A221" s="7"/>
      <c r="B221" s="46"/>
      <c r="C221" s="47"/>
      <c r="D221" s="48"/>
      <c r="E221" s="60"/>
      <c r="F221" s="40"/>
      <c r="G221" s="20"/>
      <c r="H221" s="20"/>
      <c r="I221" s="20"/>
      <c r="J221" s="20"/>
      <c r="K221" s="20"/>
      <c r="L221" s="20"/>
      <c r="M221" s="20"/>
      <c r="N221" s="20"/>
      <c r="O221" s="20"/>
      <c r="P221" s="33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34"/>
      <c r="EX221" s="34"/>
      <c r="EY221" s="34"/>
      <c r="EZ221" s="34"/>
      <c r="FA221" s="3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34"/>
      <c r="FO221" s="34"/>
      <c r="FP221" s="34"/>
      <c r="FQ221" s="34"/>
      <c r="FR221" s="34"/>
      <c r="FS221" s="34"/>
      <c r="FT221" s="34"/>
      <c r="FU221" s="34"/>
      <c r="FV221" s="34"/>
      <c r="FW221" s="34"/>
      <c r="FX221" s="34"/>
      <c r="FY221" s="34"/>
      <c r="FZ221" s="34"/>
      <c r="GA221" s="34"/>
      <c r="GB221" s="34"/>
      <c r="GC221" s="34"/>
      <c r="GD221" s="34"/>
      <c r="GE221" s="34"/>
      <c r="GF221" s="34"/>
      <c r="GG221" s="34"/>
      <c r="GH221" s="34"/>
      <c r="GI221" s="34"/>
      <c r="GJ221" s="34"/>
      <c r="GK221" s="34"/>
      <c r="GL221" s="34"/>
      <c r="GM221" s="34"/>
      <c r="GN221" s="34"/>
      <c r="GO221" s="34"/>
      <c r="GP221" s="34"/>
      <c r="GQ221" s="34"/>
      <c r="GR221" s="34"/>
      <c r="GS221" s="34"/>
      <c r="GT221" s="34"/>
      <c r="GU221" s="34"/>
      <c r="GV221" s="34"/>
      <c r="GW221" s="34"/>
      <c r="GX221" s="34"/>
      <c r="GY221" s="34"/>
      <c r="GZ221" s="34"/>
      <c r="HA221" s="34"/>
      <c r="HB221" s="34"/>
      <c r="HC221" s="34"/>
      <c r="HD221" s="34"/>
      <c r="HE221" s="34"/>
      <c r="HF221" s="34"/>
      <c r="HG221" s="34"/>
      <c r="HH221" s="34"/>
    </row>
    <row r="222" spans="1:216" ht="15.75" customHeight="1" x14ac:dyDescent="0.3">
      <c r="A222" s="7"/>
      <c r="B222" s="46"/>
      <c r="C222" s="47"/>
      <c r="D222" s="48"/>
      <c r="E222" s="60"/>
      <c r="F222" s="40"/>
      <c r="G222" s="20"/>
      <c r="H222" s="20"/>
      <c r="I222" s="20"/>
      <c r="J222" s="20"/>
      <c r="K222" s="20"/>
      <c r="L222" s="20"/>
      <c r="M222" s="20"/>
      <c r="N222" s="20"/>
      <c r="O222" s="20"/>
      <c r="P222" s="33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34"/>
      <c r="EX222" s="34"/>
      <c r="EY222" s="34"/>
      <c r="EZ222" s="34"/>
      <c r="FA222" s="3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34"/>
      <c r="FO222" s="34"/>
      <c r="FP222" s="34"/>
      <c r="FQ222" s="34"/>
      <c r="FR222" s="34"/>
      <c r="FS222" s="34"/>
      <c r="FT222" s="34"/>
      <c r="FU222" s="34"/>
      <c r="FV222" s="34"/>
      <c r="FW222" s="34"/>
      <c r="FX222" s="34"/>
      <c r="FY222" s="34"/>
      <c r="FZ222" s="34"/>
      <c r="GA222" s="34"/>
      <c r="GB222" s="34"/>
      <c r="GC222" s="34"/>
      <c r="GD222" s="34"/>
      <c r="GE222" s="34"/>
      <c r="GF222" s="34"/>
      <c r="GG222" s="34"/>
      <c r="GH222" s="34"/>
      <c r="GI222" s="34"/>
      <c r="GJ222" s="34"/>
      <c r="GK222" s="34"/>
      <c r="GL222" s="34"/>
      <c r="GM222" s="34"/>
      <c r="GN222" s="34"/>
      <c r="GO222" s="34"/>
      <c r="GP222" s="34"/>
      <c r="GQ222" s="34"/>
      <c r="GR222" s="34"/>
      <c r="GS222" s="34"/>
      <c r="GT222" s="34"/>
      <c r="GU222" s="34"/>
      <c r="GV222" s="34"/>
      <c r="GW222" s="34"/>
      <c r="GX222" s="34"/>
      <c r="GY222" s="34"/>
      <c r="GZ222" s="34"/>
      <c r="HA222" s="34"/>
      <c r="HB222" s="34"/>
      <c r="HC222" s="34"/>
      <c r="HD222" s="34"/>
      <c r="HE222" s="34"/>
      <c r="HF222" s="34"/>
      <c r="HG222" s="34"/>
      <c r="HH222" s="34"/>
    </row>
    <row r="223" spans="1:216" ht="15.75" customHeight="1" x14ac:dyDescent="0.3">
      <c r="A223" s="6" t="s">
        <v>26</v>
      </c>
      <c r="B223" s="69" t="s">
        <v>51</v>
      </c>
      <c r="C223" s="70"/>
      <c r="D223" s="71"/>
      <c r="E223" s="5">
        <f>SUM(E213:E220)</f>
        <v>1147</v>
      </c>
      <c r="F223" s="40"/>
      <c r="G223" s="20"/>
      <c r="H223" s="20"/>
      <c r="I223" s="20"/>
      <c r="J223" s="20"/>
      <c r="K223" s="20"/>
      <c r="L223" s="20"/>
      <c r="M223" s="20"/>
      <c r="N223" s="20"/>
      <c r="O223" s="20"/>
      <c r="P223" s="33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34"/>
      <c r="EX223" s="34"/>
      <c r="EY223" s="34"/>
      <c r="EZ223" s="34"/>
      <c r="FA223" s="3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34"/>
      <c r="FO223" s="34"/>
      <c r="FP223" s="34"/>
      <c r="FQ223" s="34"/>
      <c r="FR223" s="34"/>
      <c r="FS223" s="34"/>
      <c r="FT223" s="34"/>
      <c r="FU223" s="34"/>
      <c r="FV223" s="34"/>
      <c r="FW223" s="34"/>
      <c r="FX223" s="34"/>
      <c r="FY223" s="34"/>
      <c r="FZ223" s="34"/>
      <c r="GA223" s="34"/>
      <c r="GB223" s="34"/>
      <c r="GC223" s="34"/>
      <c r="GD223" s="34"/>
      <c r="GE223" s="34"/>
      <c r="GF223" s="34"/>
      <c r="GG223" s="34"/>
      <c r="GH223" s="34"/>
      <c r="GI223" s="34"/>
      <c r="GJ223" s="34"/>
      <c r="GK223" s="34"/>
      <c r="GL223" s="34"/>
      <c r="GM223" s="34"/>
      <c r="GN223" s="34"/>
      <c r="GO223" s="34"/>
      <c r="GP223" s="34"/>
      <c r="GQ223" s="34"/>
      <c r="GR223" s="34"/>
      <c r="GS223" s="34"/>
      <c r="GT223" s="34"/>
      <c r="GU223" s="34"/>
      <c r="GV223" s="34"/>
      <c r="GW223" s="34"/>
      <c r="GX223" s="34"/>
      <c r="GY223" s="34"/>
      <c r="GZ223" s="34"/>
      <c r="HA223" s="34"/>
      <c r="HB223" s="34"/>
      <c r="HC223" s="34"/>
      <c r="HD223" s="34"/>
      <c r="HE223" s="34"/>
      <c r="HF223" s="34"/>
      <c r="HG223" s="34"/>
      <c r="HH223" s="34"/>
    </row>
    <row r="224" spans="1:216" ht="15.75" customHeight="1" x14ac:dyDescent="0.3">
      <c r="A224" s="77"/>
      <c r="B224" s="78"/>
      <c r="C224" s="78"/>
      <c r="D224" s="78"/>
      <c r="E224" s="79"/>
      <c r="F224" s="40"/>
      <c r="G224" s="20"/>
      <c r="H224" s="20"/>
      <c r="I224" s="20"/>
      <c r="J224" s="20"/>
      <c r="K224" s="20"/>
      <c r="L224" s="20"/>
      <c r="M224" s="20"/>
      <c r="N224" s="20"/>
      <c r="O224" s="20"/>
      <c r="P224" s="33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34"/>
      <c r="EX224" s="34"/>
      <c r="EY224" s="34"/>
      <c r="EZ224" s="34"/>
      <c r="FA224" s="3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34"/>
      <c r="FO224" s="34"/>
      <c r="FP224" s="34"/>
      <c r="FQ224" s="34"/>
      <c r="FR224" s="34"/>
      <c r="FS224" s="34"/>
      <c r="FT224" s="34"/>
      <c r="FU224" s="34"/>
      <c r="FV224" s="34"/>
      <c r="FW224" s="34"/>
      <c r="FX224" s="34"/>
      <c r="FY224" s="34"/>
      <c r="FZ224" s="34"/>
      <c r="GA224" s="34"/>
      <c r="GB224" s="34"/>
      <c r="GC224" s="34"/>
      <c r="GD224" s="34"/>
      <c r="GE224" s="34"/>
      <c r="GF224" s="34"/>
      <c r="GG224" s="34"/>
      <c r="GH224" s="34"/>
      <c r="GI224" s="34"/>
      <c r="GJ224" s="34"/>
      <c r="GK224" s="34"/>
      <c r="GL224" s="34"/>
      <c r="GM224" s="34"/>
      <c r="GN224" s="34"/>
      <c r="GO224" s="34"/>
      <c r="GP224" s="34"/>
      <c r="GQ224" s="34"/>
      <c r="GR224" s="34"/>
      <c r="GS224" s="34"/>
      <c r="GT224" s="34"/>
      <c r="GU224" s="34"/>
      <c r="GV224" s="34"/>
      <c r="GW224" s="34"/>
      <c r="GX224" s="34"/>
      <c r="GY224" s="34"/>
      <c r="GZ224" s="34"/>
      <c r="HA224" s="34"/>
      <c r="HB224" s="34"/>
      <c r="HC224" s="34"/>
      <c r="HD224" s="34"/>
      <c r="HE224" s="34"/>
      <c r="HF224" s="34"/>
      <c r="HG224" s="34"/>
      <c r="HH224" s="34"/>
    </row>
    <row r="225" spans="1:216" ht="15.75" customHeight="1" x14ac:dyDescent="0.3">
      <c r="A225" s="11" t="s">
        <v>48</v>
      </c>
      <c r="B225" s="17" t="s">
        <v>77</v>
      </c>
      <c r="C225" s="75" t="s">
        <v>78</v>
      </c>
      <c r="D225" s="76"/>
      <c r="E225" s="9">
        <f>GAMBIRAN!AY225+JAJAG!BA225+PURWODADI!AC225+WRINGINAGUNG!AB225+WRINGINREJO!X225+YOSOMULYO!AP225</f>
        <v>85</v>
      </c>
      <c r="F225" s="41"/>
      <c r="G225" s="1"/>
      <c r="H225" s="1"/>
      <c r="I225" s="1"/>
      <c r="J225" s="1"/>
      <c r="K225" s="1"/>
      <c r="L225" s="1"/>
      <c r="M225" s="1"/>
      <c r="N225" s="1"/>
      <c r="O225" s="1"/>
      <c r="P225" s="35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  <c r="EW225" s="32"/>
      <c r="EX225" s="32"/>
      <c r="EY225" s="32"/>
      <c r="EZ225" s="32"/>
      <c r="FA225" s="32"/>
      <c r="FB225" s="32"/>
      <c r="FC225" s="32"/>
      <c r="FD225" s="32"/>
      <c r="FE225" s="32"/>
      <c r="FF225" s="32"/>
      <c r="FG225" s="32"/>
      <c r="FH225" s="32"/>
      <c r="FI225" s="32"/>
      <c r="FJ225" s="32"/>
      <c r="FK225" s="32"/>
      <c r="FL225" s="32"/>
      <c r="FM225" s="32"/>
      <c r="FN225" s="32"/>
      <c r="FO225" s="32"/>
      <c r="FP225" s="32"/>
      <c r="FQ225" s="32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32"/>
      <c r="GD225" s="32"/>
      <c r="GE225" s="32"/>
      <c r="GF225" s="32"/>
      <c r="GG225" s="32"/>
      <c r="GH225" s="32"/>
      <c r="GI225" s="32"/>
      <c r="GJ225" s="32"/>
      <c r="GK225" s="32"/>
      <c r="GL225" s="32"/>
      <c r="GM225" s="32"/>
      <c r="GN225" s="32"/>
      <c r="GO225" s="32"/>
      <c r="GP225" s="32"/>
      <c r="GQ225" s="32"/>
      <c r="GR225" s="32"/>
      <c r="GS225" s="32"/>
      <c r="GT225" s="32"/>
      <c r="GU225" s="32"/>
      <c r="GV225" s="32"/>
      <c r="GW225" s="32"/>
      <c r="GX225" s="32"/>
      <c r="GY225" s="32"/>
      <c r="GZ225" s="32"/>
      <c r="HA225" s="32"/>
      <c r="HB225" s="32"/>
      <c r="HC225" s="32"/>
      <c r="HD225" s="32"/>
      <c r="HE225" s="32"/>
      <c r="HF225" s="32"/>
      <c r="HG225" s="32"/>
      <c r="HH225" s="32"/>
    </row>
    <row r="226" spans="1:216" ht="15.75" customHeight="1" x14ac:dyDescent="0.3">
      <c r="A226" s="11" t="s">
        <v>50</v>
      </c>
      <c r="B226" s="54"/>
      <c r="C226" s="24" t="s">
        <v>224</v>
      </c>
      <c r="D226" s="51"/>
      <c r="E226" s="9">
        <f>GAMBIRAN!AY226+JAJAG!BA226+PURWODADI!AC226+WRINGINAGUNG!AB226+WRINGINREJO!X226+YOSOMULYO!AP226</f>
        <v>307</v>
      </c>
      <c r="F226" s="43"/>
      <c r="G226" s="28"/>
      <c r="H226" s="28"/>
      <c r="I226" s="28"/>
      <c r="J226" s="28"/>
      <c r="K226" s="28"/>
      <c r="L226" s="28"/>
      <c r="M226" s="28"/>
      <c r="N226" s="28"/>
      <c r="O226" s="28"/>
      <c r="P226" s="38"/>
      <c r="Q226" s="31"/>
      <c r="R226" s="31"/>
      <c r="S226" s="31"/>
      <c r="T226" s="31"/>
      <c r="U226" s="31"/>
      <c r="V226" s="31"/>
      <c r="W226" s="39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1"/>
      <c r="BM226" s="31"/>
      <c r="BN226" s="31"/>
      <c r="BO226" s="31"/>
      <c r="BP226" s="31"/>
      <c r="BQ226" s="31"/>
      <c r="BR226" s="39"/>
      <c r="BS226" s="31"/>
      <c r="BT226" s="31"/>
      <c r="BU226" s="31"/>
      <c r="BV226" s="31"/>
      <c r="BW226" s="31"/>
      <c r="BX226" s="31"/>
      <c r="BY226" s="31"/>
      <c r="BZ226" s="31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9"/>
      <c r="EZ226" s="39"/>
      <c r="FA226" s="39"/>
      <c r="FB226" s="39"/>
      <c r="FC226" s="39"/>
      <c r="FD226" s="39"/>
      <c r="FE226" s="39"/>
      <c r="FF226" s="31"/>
      <c r="FG226" s="31"/>
      <c r="FH226" s="31"/>
      <c r="FI226" s="31"/>
      <c r="FJ226" s="39"/>
      <c r="FK226" s="39"/>
      <c r="FL226" s="39"/>
      <c r="FM226" s="39"/>
      <c r="FN226" s="39"/>
      <c r="FO226" s="39"/>
      <c r="FP226" s="39"/>
      <c r="FQ226" s="39"/>
      <c r="FR226" s="39"/>
      <c r="FS226" s="39"/>
      <c r="FT226" s="39"/>
      <c r="FU226" s="39"/>
      <c r="FV226" s="39"/>
      <c r="FW226" s="39"/>
      <c r="FX226" s="39"/>
      <c r="FY226" s="39"/>
      <c r="FZ226" s="39"/>
      <c r="GA226" s="39"/>
      <c r="GB226" s="39"/>
      <c r="GC226" s="39"/>
      <c r="GD226" s="39"/>
      <c r="GE226" s="39"/>
      <c r="GF226" s="39"/>
      <c r="GG226" s="39"/>
      <c r="GH226" s="39"/>
      <c r="GI226" s="39"/>
      <c r="GJ226" s="39"/>
      <c r="GK226" s="39"/>
      <c r="GL226" s="39"/>
      <c r="GM226" s="39"/>
      <c r="GN226" s="39"/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</row>
    <row r="227" spans="1:216" ht="15.75" customHeight="1" x14ac:dyDescent="0.3">
      <c r="A227" s="7"/>
      <c r="B227" s="54"/>
      <c r="C227" s="24" t="s">
        <v>225</v>
      </c>
      <c r="D227" s="51"/>
      <c r="E227" s="9">
        <f>GAMBIRAN!AY227+JAJAG!BA227+PURWODADI!AC227+WRINGINAGUNG!AB227+WRINGINREJO!X227+YOSOMULYO!AP227</f>
        <v>24</v>
      </c>
      <c r="F227" s="40"/>
      <c r="G227" s="20"/>
      <c r="H227" s="20"/>
      <c r="I227" s="20"/>
      <c r="J227" s="20"/>
      <c r="K227" s="20"/>
      <c r="L227" s="20"/>
      <c r="M227" s="20"/>
      <c r="N227" s="20"/>
      <c r="O227" s="20"/>
      <c r="P227" s="33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34"/>
      <c r="EX227" s="34"/>
      <c r="EY227" s="34"/>
      <c r="EZ227" s="34"/>
      <c r="FA227" s="3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34"/>
      <c r="FO227" s="34"/>
      <c r="FP227" s="34"/>
      <c r="FQ227" s="34"/>
      <c r="FR227" s="34"/>
      <c r="FS227" s="34"/>
      <c r="FT227" s="34"/>
      <c r="FU227" s="34"/>
      <c r="FV227" s="34"/>
      <c r="FW227" s="34"/>
      <c r="FX227" s="34"/>
      <c r="FY227" s="34"/>
      <c r="FZ227" s="34"/>
      <c r="GA227" s="34"/>
      <c r="GB227" s="34"/>
      <c r="GC227" s="34"/>
      <c r="GD227" s="34"/>
      <c r="GE227" s="34"/>
      <c r="GF227" s="34"/>
      <c r="GG227" s="34"/>
      <c r="GH227" s="34"/>
      <c r="GI227" s="34"/>
      <c r="GJ227" s="34"/>
      <c r="GK227" s="34"/>
      <c r="GL227" s="34"/>
      <c r="GM227" s="34"/>
      <c r="GN227" s="34"/>
      <c r="GO227" s="34"/>
      <c r="GP227" s="34"/>
      <c r="GQ227" s="34"/>
      <c r="GR227" s="34"/>
      <c r="GS227" s="34"/>
      <c r="GT227" s="34"/>
      <c r="GU227" s="34"/>
      <c r="GV227" s="34"/>
      <c r="GW227" s="34"/>
      <c r="GX227" s="34"/>
      <c r="GY227" s="34"/>
      <c r="GZ227" s="34"/>
      <c r="HA227" s="34"/>
      <c r="HB227" s="34"/>
      <c r="HC227" s="34"/>
      <c r="HD227" s="34"/>
      <c r="HE227" s="34"/>
      <c r="HF227" s="34"/>
      <c r="HG227" s="34"/>
      <c r="HH227" s="34"/>
    </row>
    <row r="228" spans="1:216" ht="15.75" customHeight="1" x14ac:dyDescent="0.3">
      <c r="A228" s="7"/>
      <c r="B228" s="54"/>
      <c r="C228" s="24" t="s">
        <v>226</v>
      </c>
      <c r="D228" s="51"/>
      <c r="E228" s="9">
        <f>GAMBIRAN!AY228+JAJAG!BA228+PURWODADI!AC228+WRINGINAGUNG!AB228+WRINGINREJO!X228+YOSOMULYO!AP228</f>
        <v>9</v>
      </c>
      <c r="F228" s="40"/>
      <c r="G228" s="20"/>
      <c r="H228" s="20"/>
      <c r="I228" s="20"/>
      <c r="J228" s="20"/>
      <c r="K228" s="20"/>
      <c r="L228" s="20"/>
      <c r="M228" s="20"/>
      <c r="N228" s="20"/>
      <c r="O228" s="20"/>
      <c r="P228" s="33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34"/>
      <c r="EX228" s="34"/>
      <c r="EY228" s="34"/>
      <c r="EZ228" s="34"/>
      <c r="FA228" s="3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34"/>
      <c r="FO228" s="34"/>
      <c r="FP228" s="34"/>
      <c r="FQ228" s="34"/>
      <c r="FR228" s="34"/>
      <c r="FS228" s="34"/>
      <c r="FT228" s="34"/>
      <c r="FU228" s="34"/>
      <c r="FV228" s="34"/>
      <c r="FW228" s="34"/>
      <c r="FX228" s="34"/>
      <c r="FY228" s="34"/>
      <c r="FZ228" s="34"/>
      <c r="GA228" s="34"/>
      <c r="GB228" s="34"/>
      <c r="GC228" s="34"/>
      <c r="GD228" s="34"/>
      <c r="GE228" s="34"/>
      <c r="GF228" s="34"/>
      <c r="GG228" s="34"/>
      <c r="GH228" s="34"/>
      <c r="GI228" s="34"/>
      <c r="GJ228" s="34"/>
      <c r="GK228" s="34"/>
      <c r="GL228" s="34"/>
      <c r="GM228" s="34"/>
      <c r="GN228" s="34"/>
      <c r="GO228" s="34"/>
      <c r="GP228" s="34"/>
      <c r="GQ228" s="34"/>
      <c r="GR228" s="34"/>
      <c r="GS228" s="34"/>
      <c r="GT228" s="34"/>
      <c r="GU228" s="34"/>
      <c r="GV228" s="34"/>
      <c r="GW228" s="34"/>
      <c r="GX228" s="34"/>
      <c r="GY228" s="34"/>
      <c r="GZ228" s="34"/>
      <c r="HA228" s="34"/>
      <c r="HB228" s="34"/>
      <c r="HC228" s="34"/>
      <c r="HD228" s="34"/>
      <c r="HE228" s="34"/>
      <c r="HF228" s="34"/>
      <c r="HG228" s="34"/>
      <c r="HH228" s="34"/>
    </row>
    <row r="229" spans="1:216" ht="15.75" customHeight="1" x14ac:dyDescent="0.3">
      <c r="A229" s="7"/>
      <c r="B229" s="54"/>
      <c r="C229" s="24" t="s">
        <v>227</v>
      </c>
      <c r="D229" s="51"/>
      <c r="E229" s="9">
        <f>GAMBIRAN!AY229+JAJAG!BA229+PURWODADI!AC229+WRINGINAGUNG!AB229+WRINGINREJO!X229+YOSOMULYO!AP229</f>
        <v>17</v>
      </c>
      <c r="F229" s="40"/>
      <c r="G229" s="20"/>
      <c r="H229" s="20"/>
      <c r="I229" s="20"/>
      <c r="J229" s="20"/>
      <c r="K229" s="20"/>
      <c r="L229" s="20"/>
      <c r="M229" s="20"/>
      <c r="N229" s="20"/>
      <c r="O229" s="20"/>
      <c r="P229" s="33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34"/>
      <c r="EX229" s="34"/>
      <c r="EY229" s="34"/>
      <c r="EZ229" s="34"/>
      <c r="FA229" s="3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34"/>
      <c r="FO229" s="34"/>
      <c r="FP229" s="34"/>
      <c r="FQ229" s="34"/>
      <c r="FR229" s="34"/>
      <c r="FS229" s="34"/>
      <c r="FT229" s="34"/>
      <c r="FU229" s="34"/>
      <c r="FV229" s="34"/>
      <c r="FW229" s="34"/>
      <c r="FX229" s="34"/>
      <c r="FY229" s="34"/>
      <c r="FZ229" s="34"/>
      <c r="GA229" s="34"/>
      <c r="GB229" s="34"/>
      <c r="GC229" s="34"/>
      <c r="GD229" s="34"/>
      <c r="GE229" s="34"/>
      <c r="GF229" s="34"/>
      <c r="GG229" s="34"/>
      <c r="GH229" s="34"/>
      <c r="GI229" s="34"/>
      <c r="GJ229" s="34"/>
      <c r="GK229" s="34"/>
      <c r="GL229" s="34"/>
      <c r="GM229" s="34"/>
      <c r="GN229" s="34"/>
      <c r="GO229" s="34"/>
      <c r="GP229" s="34"/>
      <c r="GQ229" s="34"/>
      <c r="GR229" s="34"/>
      <c r="GS229" s="34"/>
      <c r="GT229" s="34"/>
      <c r="GU229" s="34"/>
      <c r="GV229" s="34"/>
      <c r="GW229" s="34"/>
      <c r="GX229" s="34"/>
      <c r="GY229" s="34"/>
      <c r="GZ229" s="34"/>
      <c r="HA229" s="34"/>
      <c r="HB229" s="34"/>
      <c r="HC229" s="34"/>
      <c r="HD229" s="34"/>
      <c r="HE229" s="34"/>
      <c r="HF229" s="34"/>
      <c r="HG229" s="34"/>
      <c r="HH229" s="34"/>
    </row>
    <row r="230" spans="1:216" ht="15.75" customHeight="1" x14ac:dyDescent="0.3">
      <c r="A230" s="7"/>
      <c r="B230" s="46"/>
      <c r="C230" s="47"/>
      <c r="D230" s="49"/>
      <c r="E230" s="60"/>
      <c r="F230" s="40"/>
      <c r="G230" s="20"/>
      <c r="H230" s="20"/>
      <c r="I230" s="20"/>
      <c r="J230" s="20"/>
      <c r="K230" s="20"/>
      <c r="L230" s="20"/>
      <c r="M230" s="20"/>
      <c r="N230" s="20"/>
      <c r="O230" s="20"/>
      <c r="P230" s="33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34"/>
      <c r="EX230" s="34"/>
      <c r="EY230" s="34"/>
      <c r="EZ230" s="34"/>
      <c r="FA230" s="3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34"/>
      <c r="FO230" s="34"/>
      <c r="FP230" s="34"/>
      <c r="FQ230" s="34"/>
      <c r="FR230" s="34"/>
      <c r="FS230" s="34"/>
      <c r="FT230" s="34"/>
      <c r="FU230" s="34"/>
      <c r="FV230" s="34"/>
      <c r="FW230" s="34"/>
      <c r="FX230" s="34"/>
      <c r="FY230" s="34"/>
      <c r="FZ230" s="34"/>
      <c r="GA230" s="34"/>
      <c r="GB230" s="34"/>
      <c r="GC230" s="34"/>
      <c r="GD230" s="34"/>
      <c r="GE230" s="34"/>
      <c r="GF230" s="34"/>
      <c r="GG230" s="34"/>
      <c r="GH230" s="34"/>
      <c r="GI230" s="34"/>
      <c r="GJ230" s="34"/>
      <c r="GK230" s="34"/>
      <c r="GL230" s="34"/>
      <c r="GM230" s="34"/>
      <c r="GN230" s="34"/>
      <c r="GO230" s="34"/>
      <c r="GP230" s="34"/>
      <c r="GQ230" s="34"/>
      <c r="GR230" s="34"/>
      <c r="GS230" s="34"/>
      <c r="GT230" s="34"/>
      <c r="GU230" s="34"/>
      <c r="GV230" s="34"/>
      <c r="GW230" s="34"/>
      <c r="GX230" s="34"/>
      <c r="GY230" s="34"/>
      <c r="GZ230" s="34"/>
      <c r="HA230" s="34"/>
      <c r="HB230" s="34"/>
      <c r="HC230" s="34"/>
      <c r="HD230" s="34"/>
      <c r="HE230" s="34"/>
      <c r="HF230" s="34"/>
      <c r="HG230" s="34"/>
      <c r="HH230" s="34"/>
    </row>
    <row r="231" spans="1:216" ht="15.75" customHeight="1" x14ac:dyDescent="0.3">
      <c r="A231" s="7"/>
      <c r="B231" s="46"/>
      <c r="C231" s="47"/>
      <c r="D231" s="49"/>
      <c r="E231" s="60"/>
      <c r="F231" s="40"/>
      <c r="G231" s="20"/>
      <c r="H231" s="20"/>
      <c r="I231" s="20"/>
      <c r="J231" s="20"/>
      <c r="K231" s="20"/>
      <c r="L231" s="20"/>
      <c r="M231" s="20"/>
      <c r="N231" s="20"/>
      <c r="O231" s="20"/>
      <c r="P231" s="33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34"/>
      <c r="EX231" s="34"/>
      <c r="EY231" s="34"/>
      <c r="EZ231" s="34"/>
      <c r="FA231" s="3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34"/>
      <c r="FO231" s="34"/>
      <c r="FP231" s="34"/>
      <c r="FQ231" s="34"/>
      <c r="FR231" s="34"/>
      <c r="FS231" s="34"/>
      <c r="FT231" s="34"/>
      <c r="FU231" s="34"/>
      <c r="FV231" s="34"/>
      <c r="FW231" s="34"/>
      <c r="FX231" s="34"/>
      <c r="FY231" s="34"/>
      <c r="FZ231" s="34"/>
      <c r="GA231" s="34"/>
      <c r="GB231" s="34"/>
      <c r="GC231" s="34"/>
      <c r="GD231" s="34"/>
      <c r="GE231" s="34"/>
      <c r="GF231" s="34"/>
      <c r="GG231" s="34"/>
      <c r="GH231" s="34"/>
      <c r="GI231" s="34"/>
      <c r="GJ231" s="34"/>
      <c r="GK231" s="34"/>
      <c r="GL231" s="34"/>
      <c r="GM231" s="34"/>
      <c r="GN231" s="34"/>
      <c r="GO231" s="34"/>
      <c r="GP231" s="34"/>
      <c r="GQ231" s="34"/>
      <c r="GR231" s="34"/>
      <c r="GS231" s="34"/>
      <c r="GT231" s="34"/>
      <c r="GU231" s="34"/>
      <c r="GV231" s="34"/>
      <c r="GW231" s="34"/>
      <c r="GX231" s="34"/>
      <c r="GY231" s="34"/>
      <c r="GZ231" s="34"/>
      <c r="HA231" s="34"/>
      <c r="HB231" s="34"/>
      <c r="HC231" s="34"/>
      <c r="HD231" s="34"/>
      <c r="HE231" s="34"/>
      <c r="HF231" s="34"/>
      <c r="HG231" s="34"/>
      <c r="HH231" s="34"/>
    </row>
    <row r="232" spans="1:216" ht="15.75" customHeight="1" x14ac:dyDescent="0.3">
      <c r="A232" s="7"/>
      <c r="B232" s="46"/>
      <c r="C232" s="47"/>
      <c r="D232" s="49"/>
      <c r="E232" s="60"/>
      <c r="F232" s="40"/>
      <c r="G232" s="20"/>
      <c r="H232" s="20"/>
      <c r="I232" s="20"/>
      <c r="J232" s="20"/>
      <c r="K232" s="20"/>
      <c r="L232" s="20"/>
      <c r="M232" s="20"/>
      <c r="N232" s="20"/>
      <c r="O232" s="20"/>
      <c r="P232" s="33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34"/>
      <c r="EX232" s="34"/>
      <c r="EY232" s="34"/>
      <c r="EZ232" s="34"/>
      <c r="FA232" s="3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34"/>
      <c r="FO232" s="34"/>
      <c r="FP232" s="34"/>
      <c r="FQ232" s="34"/>
      <c r="FR232" s="34"/>
      <c r="FS232" s="34"/>
      <c r="FT232" s="34"/>
      <c r="FU232" s="34"/>
      <c r="FV232" s="34"/>
      <c r="FW232" s="34"/>
      <c r="FX232" s="34"/>
      <c r="FY232" s="34"/>
      <c r="FZ232" s="34"/>
      <c r="GA232" s="34"/>
      <c r="GB232" s="34"/>
      <c r="GC232" s="34"/>
      <c r="GD232" s="34"/>
      <c r="GE232" s="34"/>
      <c r="GF232" s="34"/>
      <c r="GG232" s="34"/>
      <c r="GH232" s="34"/>
      <c r="GI232" s="34"/>
      <c r="GJ232" s="34"/>
      <c r="GK232" s="34"/>
      <c r="GL232" s="34"/>
      <c r="GM232" s="34"/>
      <c r="GN232" s="34"/>
      <c r="GO232" s="34"/>
      <c r="GP232" s="34"/>
      <c r="GQ232" s="34"/>
      <c r="GR232" s="34"/>
      <c r="GS232" s="34"/>
      <c r="GT232" s="34"/>
      <c r="GU232" s="34"/>
      <c r="GV232" s="34"/>
      <c r="GW232" s="34"/>
      <c r="GX232" s="34"/>
      <c r="GY232" s="34"/>
      <c r="GZ232" s="34"/>
      <c r="HA232" s="34"/>
      <c r="HB232" s="34"/>
      <c r="HC232" s="34"/>
      <c r="HD232" s="34"/>
      <c r="HE232" s="34"/>
      <c r="HF232" s="34"/>
      <c r="HG232" s="34"/>
      <c r="HH232" s="34"/>
    </row>
    <row r="233" spans="1:216" ht="15.75" customHeight="1" x14ac:dyDescent="0.3">
      <c r="A233" s="7"/>
      <c r="B233" s="46"/>
      <c r="C233" s="47"/>
      <c r="D233" s="49"/>
      <c r="E233" s="60"/>
      <c r="F233" s="40"/>
      <c r="G233" s="20"/>
      <c r="H233" s="20"/>
      <c r="I233" s="20"/>
      <c r="J233" s="20"/>
      <c r="K233" s="20"/>
      <c r="L233" s="20"/>
      <c r="M233" s="20"/>
      <c r="N233" s="20"/>
      <c r="O233" s="20"/>
      <c r="P233" s="33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34"/>
      <c r="EX233" s="34"/>
      <c r="EY233" s="34"/>
      <c r="EZ233" s="34"/>
      <c r="FA233" s="3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34"/>
      <c r="FO233" s="34"/>
      <c r="FP233" s="34"/>
      <c r="FQ233" s="34"/>
      <c r="FR233" s="34"/>
      <c r="FS233" s="34"/>
      <c r="FT233" s="34"/>
      <c r="FU233" s="34"/>
      <c r="FV233" s="34"/>
      <c r="FW233" s="34"/>
      <c r="FX233" s="34"/>
      <c r="FY233" s="34"/>
      <c r="FZ233" s="34"/>
      <c r="GA233" s="34"/>
      <c r="GB233" s="34"/>
      <c r="GC233" s="34"/>
      <c r="GD233" s="34"/>
      <c r="GE233" s="34"/>
      <c r="GF233" s="34"/>
      <c r="GG233" s="34"/>
      <c r="GH233" s="34"/>
      <c r="GI233" s="34"/>
      <c r="GJ233" s="34"/>
      <c r="GK233" s="34"/>
      <c r="GL233" s="34"/>
      <c r="GM233" s="34"/>
      <c r="GN233" s="34"/>
      <c r="GO233" s="34"/>
      <c r="GP233" s="34"/>
      <c r="GQ233" s="34"/>
      <c r="GR233" s="34"/>
      <c r="GS233" s="34"/>
      <c r="GT233" s="34"/>
      <c r="GU233" s="34"/>
      <c r="GV233" s="34"/>
      <c r="GW233" s="34"/>
      <c r="GX233" s="34"/>
      <c r="GY233" s="34"/>
      <c r="GZ233" s="34"/>
      <c r="HA233" s="34"/>
      <c r="HB233" s="34"/>
      <c r="HC233" s="34"/>
      <c r="HD233" s="34"/>
      <c r="HE233" s="34"/>
      <c r="HF233" s="34"/>
      <c r="HG233" s="34"/>
      <c r="HH233" s="34"/>
    </row>
    <row r="234" spans="1:216" ht="15.75" customHeight="1" x14ac:dyDescent="0.3">
      <c r="A234" s="7"/>
      <c r="B234" s="46"/>
      <c r="C234" s="47"/>
      <c r="D234" s="49"/>
      <c r="E234" s="60"/>
      <c r="F234" s="40"/>
      <c r="G234" s="20"/>
      <c r="H234" s="20"/>
      <c r="I234" s="20"/>
      <c r="J234" s="20"/>
      <c r="K234" s="20"/>
      <c r="L234" s="20"/>
      <c r="M234" s="20"/>
      <c r="N234" s="20"/>
      <c r="O234" s="20"/>
      <c r="P234" s="33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34"/>
      <c r="EX234" s="34"/>
      <c r="EY234" s="34"/>
      <c r="EZ234" s="34"/>
      <c r="FA234" s="3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34"/>
      <c r="FO234" s="34"/>
      <c r="FP234" s="34"/>
      <c r="FQ234" s="34"/>
      <c r="FR234" s="34"/>
      <c r="FS234" s="34"/>
      <c r="FT234" s="34"/>
      <c r="FU234" s="34"/>
      <c r="FV234" s="34"/>
      <c r="FW234" s="34"/>
      <c r="FX234" s="34"/>
      <c r="FY234" s="34"/>
      <c r="FZ234" s="34"/>
      <c r="GA234" s="34"/>
      <c r="GB234" s="34"/>
      <c r="GC234" s="34"/>
      <c r="GD234" s="34"/>
      <c r="GE234" s="34"/>
      <c r="GF234" s="34"/>
      <c r="GG234" s="34"/>
      <c r="GH234" s="34"/>
      <c r="GI234" s="34"/>
      <c r="GJ234" s="34"/>
      <c r="GK234" s="34"/>
      <c r="GL234" s="34"/>
      <c r="GM234" s="34"/>
      <c r="GN234" s="34"/>
      <c r="GO234" s="34"/>
      <c r="GP234" s="34"/>
      <c r="GQ234" s="34"/>
      <c r="GR234" s="34"/>
      <c r="GS234" s="34"/>
      <c r="GT234" s="34"/>
      <c r="GU234" s="34"/>
      <c r="GV234" s="34"/>
      <c r="GW234" s="34"/>
      <c r="GX234" s="34"/>
      <c r="GY234" s="34"/>
      <c r="GZ234" s="34"/>
      <c r="HA234" s="34"/>
      <c r="HB234" s="34"/>
      <c r="HC234" s="34"/>
      <c r="HD234" s="34"/>
      <c r="HE234" s="34"/>
      <c r="HF234" s="34"/>
      <c r="HG234" s="34"/>
      <c r="HH234" s="34"/>
    </row>
    <row r="235" spans="1:216" ht="15.75" customHeight="1" x14ac:dyDescent="0.3">
      <c r="A235" s="6" t="s">
        <v>26</v>
      </c>
      <c r="B235" s="69" t="s">
        <v>51</v>
      </c>
      <c r="C235" s="70"/>
      <c r="D235" s="71"/>
      <c r="E235" s="5">
        <f>SUM(E225:E232)</f>
        <v>442</v>
      </c>
      <c r="F235" s="40"/>
      <c r="G235" s="20"/>
      <c r="H235" s="20"/>
      <c r="I235" s="20"/>
      <c r="J235" s="20"/>
      <c r="K235" s="20"/>
      <c r="L235" s="20"/>
      <c r="M235" s="20"/>
      <c r="N235" s="20"/>
      <c r="O235" s="20"/>
      <c r="P235" s="33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34"/>
      <c r="FO235" s="34"/>
      <c r="FP235" s="34"/>
      <c r="FQ235" s="34"/>
      <c r="FR235" s="34"/>
      <c r="FS235" s="34"/>
      <c r="FT235" s="34"/>
      <c r="FU235" s="34"/>
      <c r="FV235" s="34"/>
      <c r="FW235" s="34"/>
      <c r="FX235" s="34"/>
      <c r="FY235" s="34"/>
      <c r="FZ235" s="34"/>
      <c r="GA235" s="34"/>
      <c r="GB235" s="34"/>
      <c r="GC235" s="34"/>
      <c r="GD235" s="34"/>
      <c r="GE235" s="34"/>
      <c r="GF235" s="34"/>
      <c r="GG235" s="34"/>
      <c r="GH235" s="34"/>
      <c r="GI235" s="34"/>
      <c r="GJ235" s="34"/>
      <c r="GK235" s="34"/>
      <c r="GL235" s="34"/>
      <c r="GM235" s="34"/>
      <c r="GN235" s="34"/>
      <c r="GO235" s="34"/>
      <c r="GP235" s="34"/>
      <c r="GQ235" s="34"/>
      <c r="GR235" s="34"/>
      <c r="GS235" s="34"/>
      <c r="GT235" s="34"/>
      <c r="GU235" s="34"/>
      <c r="GV235" s="34"/>
      <c r="GW235" s="34"/>
      <c r="GX235" s="34"/>
      <c r="GY235" s="34"/>
      <c r="GZ235" s="34"/>
      <c r="HA235" s="34"/>
      <c r="HB235" s="34"/>
      <c r="HC235" s="34"/>
      <c r="HD235" s="34"/>
      <c r="HE235" s="34"/>
      <c r="HF235" s="34"/>
      <c r="HG235" s="34"/>
      <c r="HH235" s="34"/>
    </row>
    <row r="236" spans="1:216" ht="15.75" customHeight="1" x14ac:dyDescent="0.3">
      <c r="A236" s="77"/>
      <c r="B236" s="78"/>
      <c r="C236" s="78"/>
      <c r="D236" s="78"/>
      <c r="E236" s="79"/>
      <c r="F236" s="40"/>
      <c r="G236" s="20"/>
      <c r="H236" s="20"/>
      <c r="I236" s="20"/>
      <c r="J236" s="20"/>
      <c r="K236" s="20"/>
      <c r="L236" s="20"/>
      <c r="M236" s="20"/>
      <c r="N236" s="20"/>
      <c r="O236" s="20"/>
      <c r="P236" s="33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34"/>
      <c r="FO236" s="34"/>
      <c r="FP236" s="34"/>
      <c r="FQ236" s="34"/>
      <c r="FR236" s="34"/>
      <c r="FS236" s="34"/>
      <c r="FT236" s="34"/>
      <c r="FU236" s="34"/>
      <c r="FV236" s="34"/>
      <c r="FW236" s="34"/>
      <c r="FX236" s="34"/>
      <c r="FY236" s="34"/>
      <c r="FZ236" s="34"/>
      <c r="GA236" s="34"/>
      <c r="GB236" s="34"/>
      <c r="GC236" s="34"/>
      <c r="GD236" s="34"/>
      <c r="GE236" s="34"/>
      <c r="GF236" s="34"/>
      <c r="GG236" s="34"/>
      <c r="GH236" s="34"/>
      <c r="GI236" s="34"/>
      <c r="GJ236" s="34"/>
      <c r="GK236" s="34"/>
      <c r="GL236" s="34"/>
      <c r="GM236" s="34"/>
      <c r="GN236" s="34"/>
      <c r="GO236" s="34"/>
      <c r="GP236" s="34"/>
      <c r="GQ236" s="34"/>
      <c r="GR236" s="34"/>
      <c r="GS236" s="34"/>
      <c r="GT236" s="34"/>
      <c r="GU236" s="34"/>
      <c r="GV236" s="34"/>
      <c r="GW236" s="34"/>
      <c r="GX236" s="34"/>
      <c r="GY236" s="34"/>
      <c r="GZ236" s="34"/>
      <c r="HA236" s="34"/>
      <c r="HB236" s="34"/>
      <c r="HC236" s="34"/>
      <c r="HD236" s="34"/>
      <c r="HE236" s="34"/>
      <c r="HF236" s="34"/>
      <c r="HG236" s="34"/>
      <c r="HH236" s="34"/>
    </row>
    <row r="237" spans="1:216" ht="15.75" customHeight="1" x14ac:dyDescent="0.3">
      <c r="A237" s="11" t="s">
        <v>48</v>
      </c>
      <c r="B237" s="17" t="s">
        <v>79</v>
      </c>
      <c r="C237" s="75" t="s">
        <v>80</v>
      </c>
      <c r="D237" s="76"/>
      <c r="E237" s="9">
        <f>GAMBIRAN!AY237+JAJAG!BA237+PURWODADI!AC237+WRINGINAGUNG!AB237+WRINGINREJO!X237+YOSOMULYO!AP237</f>
        <v>209</v>
      </c>
      <c r="F237" s="41"/>
      <c r="G237" s="1"/>
      <c r="H237" s="1"/>
      <c r="I237" s="1"/>
      <c r="J237" s="1"/>
      <c r="K237" s="1"/>
      <c r="L237" s="1"/>
      <c r="M237" s="1"/>
      <c r="N237" s="1"/>
      <c r="O237" s="1"/>
      <c r="P237" s="35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32"/>
      <c r="EX237" s="32"/>
      <c r="EY237" s="32"/>
      <c r="EZ237" s="32"/>
      <c r="FA237" s="32"/>
      <c r="FB237" s="32"/>
      <c r="FC237" s="32"/>
      <c r="FD237" s="32"/>
      <c r="FE237" s="32"/>
      <c r="FF237" s="32"/>
      <c r="FG237" s="32"/>
      <c r="FH237" s="32"/>
      <c r="FI237" s="32"/>
      <c r="FJ237" s="32"/>
      <c r="FK237" s="32"/>
      <c r="FL237" s="32"/>
      <c r="FM237" s="32"/>
      <c r="FN237" s="32"/>
      <c r="FO237" s="32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2"/>
      <c r="GS237" s="32"/>
      <c r="GT237" s="32"/>
      <c r="GU237" s="32"/>
      <c r="GV237" s="32"/>
      <c r="GW237" s="32"/>
      <c r="GX237" s="32"/>
      <c r="GY237" s="32"/>
      <c r="GZ237" s="32"/>
      <c r="HA237" s="32"/>
      <c r="HB237" s="32"/>
      <c r="HC237" s="32"/>
      <c r="HD237" s="32"/>
      <c r="HE237" s="32"/>
      <c r="HF237" s="32"/>
      <c r="HG237" s="32"/>
      <c r="HH237" s="32"/>
    </row>
    <row r="238" spans="1:216" ht="15.75" customHeight="1" x14ac:dyDescent="0.3">
      <c r="A238" s="11" t="s">
        <v>50</v>
      </c>
      <c r="B238" s="54"/>
      <c r="C238" s="24" t="s">
        <v>228</v>
      </c>
      <c r="D238" s="51"/>
      <c r="E238" s="9">
        <f>GAMBIRAN!AY238+JAJAG!BA238+PURWODADI!AC238+WRINGINAGUNG!AB238+WRINGINREJO!X238+YOSOMULYO!AP238</f>
        <v>174</v>
      </c>
      <c r="F238" s="43"/>
      <c r="G238" s="28"/>
      <c r="H238" s="28"/>
      <c r="I238" s="28"/>
      <c r="J238" s="28"/>
      <c r="K238" s="28"/>
      <c r="L238" s="28"/>
      <c r="M238" s="28"/>
      <c r="N238" s="28"/>
      <c r="O238" s="28"/>
      <c r="P238" s="38"/>
      <c r="Q238" s="31"/>
      <c r="R238" s="31"/>
      <c r="S238" s="31"/>
      <c r="T238" s="31"/>
      <c r="U238" s="31"/>
      <c r="V238" s="31"/>
      <c r="W238" s="39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1"/>
      <c r="BM238" s="31"/>
      <c r="BN238" s="31"/>
      <c r="BO238" s="31"/>
      <c r="BP238" s="31"/>
      <c r="BQ238" s="31"/>
      <c r="BR238" s="39"/>
      <c r="BS238" s="31"/>
      <c r="BT238" s="31"/>
      <c r="BU238" s="31"/>
      <c r="BV238" s="31"/>
      <c r="BW238" s="31"/>
      <c r="BX238" s="31"/>
      <c r="BY238" s="31"/>
      <c r="BZ238" s="31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  <c r="DY238" s="39"/>
      <c r="DZ238" s="39"/>
      <c r="EA238" s="39"/>
      <c r="EB238" s="39"/>
      <c r="EC238" s="39"/>
      <c r="ED238" s="39"/>
      <c r="EE238" s="39"/>
      <c r="EF238" s="39"/>
      <c r="EG238" s="39"/>
      <c r="EH238" s="39"/>
      <c r="EI238" s="39"/>
      <c r="EJ238" s="39"/>
      <c r="EK238" s="39"/>
      <c r="EL238" s="39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9"/>
      <c r="EZ238" s="39"/>
      <c r="FA238" s="39"/>
      <c r="FB238" s="39"/>
      <c r="FC238" s="39"/>
      <c r="FD238" s="39"/>
      <c r="FE238" s="39"/>
      <c r="FF238" s="31"/>
      <c r="FG238" s="31"/>
      <c r="FH238" s="31"/>
      <c r="FI238" s="31"/>
      <c r="FJ238" s="39"/>
      <c r="FK238" s="39"/>
      <c r="FL238" s="39"/>
      <c r="FM238" s="39"/>
      <c r="FN238" s="39"/>
      <c r="FO238" s="39"/>
      <c r="FP238" s="39"/>
      <c r="FQ238" s="39"/>
      <c r="FR238" s="39"/>
      <c r="FS238" s="39"/>
      <c r="FT238" s="39"/>
      <c r="FU238" s="39"/>
      <c r="FV238" s="39"/>
      <c r="FW238" s="39"/>
      <c r="FX238" s="39"/>
      <c r="FY238" s="39"/>
      <c r="FZ238" s="39"/>
      <c r="GA238" s="39"/>
      <c r="GB238" s="39"/>
      <c r="GC238" s="39"/>
      <c r="GD238" s="39"/>
      <c r="GE238" s="39"/>
      <c r="GF238" s="39"/>
      <c r="GG238" s="39"/>
      <c r="GH238" s="39"/>
      <c r="GI238" s="39"/>
      <c r="GJ238" s="39"/>
      <c r="GK238" s="39"/>
      <c r="GL238" s="39"/>
      <c r="GM238" s="39"/>
      <c r="GN238" s="39"/>
      <c r="GO238" s="39"/>
      <c r="GP238" s="39"/>
      <c r="GQ238" s="39"/>
      <c r="GR238" s="39"/>
      <c r="GS238" s="39"/>
      <c r="GT238" s="39"/>
      <c r="GU238" s="39"/>
      <c r="GV238" s="39"/>
      <c r="GW238" s="39"/>
      <c r="GX238" s="39"/>
      <c r="GY238" s="39"/>
      <c r="GZ238" s="39"/>
      <c r="HA238" s="39"/>
      <c r="HB238" s="39"/>
      <c r="HC238" s="39"/>
      <c r="HD238" s="39"/>
      <c r="HE238" s="39"/>
      <c r="HF238" s="39"/>
      <c r="HG238" s="39"/>
      <c r="HH238" s="39"/>
    </row>
    <row r="239" spans="1:216" ht="15.75" customHeight="1" x14ac:dyDescent="0.3">
      <c r="A239" s="7"/>
      <c r="B239" s="54"/>
      <c r="C239" s="24" t="s">
        <v>229</v>
      </c>
      <c r="D239" s="51"/>
      <c r="E239" s="9">
        <f>GAMBIRAN!AY239+JAJAG!BA239+PURWODADI!AC239+WRINGINAGUNG!AB239+WRINGINREJO!X239+YOSOMULYO!AP239</f>
        <v>230</v>
      </c>
      <c r="F239" s="40"/>
      <c r="G239" s="20"/>
      <c r="H239" s="20"/>
      <c r="I239" s="20"/>
      <c r="J239" s="20"/>
      <c r="K239" s="20"/>
      <c r="L239" s="20"/>
      <c r="M239" s="20"/>
      <c r="N239" s="20"/>
      <c r="O239" s="20"/>
      <c r="P239" s="33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3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34"/>
      <c r="FO239" s="34"/>
      <c r="FP239" s="34"/>
      <c r="FQ239" s="34"/>
      <c r="FR239" s="34"/>
      <c r="FS239" s="34"/>
      <c r="FT239" s="34"/>
      <c r="FU239" s="34"/>
      <c r="FV239" s="34"/>
      <c r="FW239" s="34"/>
      <c r="FX239" s="34"/>
      <c r="FY239" s="34"/>
      <c r="FZ239" s="34"/>
      <c r="GA239" s="34"/>
      <c r="GB239" s="34"/>
      <c r="GC239" s="34"/>
      <c r="GD239" s="34"/>
      <c r="GE239" s="34"/>
      <c r="GF239" s="34"/>
      <c r="GG239" s="34"/>
      <c r="GH239" s="34"/>
      <c r="GI239" s="34"/>
      <c r="GJ239" s="34"/>
      <c r="GK239" s="34"/>
      <c r="GL239" s="34"/>
      <c r="GM239" s="34"/>
      <c r="GN239" s="34"/>
      <c r="GO239" s="34"/>
      <c r="GP239" s="34"/>
      <c r="GQ239" s="34"/>
      <c r="GR239" s="34"/>
      <c r="GS239" s="34"/>
      <c r="GT239" s="34"/>
      <c r="GU239" s="34"/>
      <c r="GV239" s="34"/>
      <c r="GW239" s="34"/>
      <c r="GX239" s="34"/>
      <c r="GY239" s="34"/>
      <c r="GZ239" s="34"/>
      <c r="HA239" s="34"/>
      <c r="HB239" s="34"/>
      <c r="HC239" s="34"/>
      <c r="HD239" s="34"/>
      <c r="HE239" s="34"/>
      <c r="HF239" s="34"/>
      <c r="HG239" s="34"/>
      <c r="HH239" s="34"/>
    </row>
    <row r="240" spans="1:216" ht="15.75" customHeight="1" x14ac:dyDescent="0.3">
      <c r="A240" s="7"/>
      <c r="B240" s="54"/>
      <c r="C240" s="24" t="s">
        <v>230</v>
      </c>
      <c r="D240" s="51"/>
      <c r="E240" s="9">
        <f>GAMBIRAN!AY240+JAJAG!BA240+PURWODADI!AC240+WRINGINAGUNG!AB240+WRINGINREJO!X240+YOSOMULYO!AP240</f>
        <v>25</v>
      </c>
      <c r="F240" s="40"/>
      <c r="G240" s="20"/>
      <c r="H240" s="20"/>
      <c r="I240" s="20"/>
      <c r="J240" s="20"/>
      <c r="K240" s="20"/>
      <c r="L240" s="20"/>
      <c r="M240" s="20"/>
      <c r="N240" s="20"/>
      <c r="O240" s="20"/>
      <c r="P240" s="33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</row>
    <row r="241" spans="1:216" ht="15.75" customHeight="1" x14ac:dyDescent="0.3">
      <c r="A241" s="7"/>
      <c r="B241" s="54"/>
      <c r="C241" s="24" t="s">
        <v>231</v>
      </c>
      <c r="D241" s="51"/>
      <c r="E241" s="9">
        <f>GAMBIRAN!AY241+JAJAG!BA241+PURWODADI!AC241+WRINGINAGUNG!AB241+WRINGINREJO!X241+YOSOMULYO!AP241</f>
        <v>24</v>
      </c>
      <c r="F241" s="40"/>
      <c r="G241" s="20"/>
      <c r="H241" s="20"/>
      <c r="I241" s="20"/>
      <c r="J241" s="20"/>
      <c r="K241" s="20"/>
      <c r="L241" s="20"/>
      <c r="M241" s="20"/>
      <c r="N241" s="20"/>
      <c r="O241" s="20"/>
      <c r="P241" s="33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</row>
    <row r="242" spans="1:216" ht="15.75" customHeight="1" x14ac:dyDescent="0.3">
      <c r="A242" s="7"/>
      <c r="B242" s="54"/>
      <c r="C242" s="24" t="s">
        <v>232</v>
      </c>
      <c r="D242" s="51"/>
      <c r="E242" s="9">
        <f>GAMBIRAN!AY242+JAJAG!BA242+PURWODADI!AC242+WRINGINAGUNG!AB242+WRINGINREJO!X242+YOSOMULYO!AP242</f>
        <v>136</v>
      </c>
      <c r="F242" s="40"/>
      <c r="G242" s="20"/>
      <c r="H242" s="20"/>
      <c r="I242" s="20"/>
      <c r="J242" s="20"/>
      <c r="K242" s="20"/>
      <c r="L242" s="20"/>
      <c r="M242" s="20"/>
      <c r="N242" s="20"/>
      <c r="O242" s="20"/>
      <c r="P242" s="33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34"/>
      <c r="EX242" s="34"/>
      <c r="EY242" s="34"/>
      <c r="EZ242" s="34"/>
      <c r="FA242" s="3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34"/>
      <c r="FO242" s="34"/>
      <c r="FP242" s="34"/>
      <c r="FQ242" s="34"/>
      <c r="FR242" s="34"/>
      <c r="FS242" s="34"/>
      <c r="FT242" s="34"/>
      <c r="FU242" s="34"/>
      <c r="FV242" s="34"/>
      <c r="FW242" s="34"/>
      <c r="FX242" s="34"/>
      <c r="FY242" s="34"/>
      <c r="FZ242" s="34"/>
      <c r="GA242" s="34"/>
      <c r="GB242" s="34"/>
      <c r="GC242" s="34"/>
      <c r="GD242" s="34"/>
      <c r="GE242" s="34"/>
      <c r="GF242" s="34"/>
      <c r="GG242" s="34"/>
      <c r="GH242" s="34"/>
      <c r="GI242" s="34"/>
      <c r="GJ242" s="34"/>
      <c r="GK242" s="34"/>
      <c r="GL242" s="34"/>
      <c r="GM242" s="34"/>
      <c r="GN242" s="34"/>
      <c r="GO242" s="34"/>
      <c r="GP242" s="34"/>
      <c r="GQ242" s="34"/>
      <c r="GR242" s="34"/>
      <c r="GS242" s="34"/>
      <c r="GT242" s="34"/>
      <c r="GU242" s="34"/>
      <c r="GV242" s="34"/>
      <c r="GW242" s="34"/>
      <c r="GX242" s="34"/>
      <c r="GY242" s="34"/>
      <c r="GZ242" s="34"/>
      <c r="HA242" s="34"/>
      <c r="HB242" s="34"/>
      <c r="HC242" s="34"/>
      <c r="HD242" s="34"/>
      <c r="HE242" s="34"/>
      <c r="HF242" s="34"/>
      <c r="HG242" s="34"/>
      <c r="HH242" s="34"/>
    </row>
    <row r="243" spans="1:216" ht="15.75" customHeight="1" x14ac:dyDescent="0.3">
      <c r="A243" s="7"/>
      <c r="B243" s="54"/>
      <c r="C243" s="24" t="s">
        <v>233</v>
      </c>
      <c r="D243" s="51"/>
      <c r="E243" s="9">
        <f>GAMBIRAN!AY243+JAJAG!BA243+PURWODADI!AC243+WRINGINAGUNG!AB243+WRINGINREJO!X243+YOSOMULYO!AP243</f>
        <v>40</v>
      </c>
      <c r="F243" s="40"/>
      <c r="G243" s="20"/>
      <c r="H243" s="20"/>
      <c r="I243" s="20"/>
      <c r="J243" s="20"/>
      <c r="K243" s="20"/>
      <c r="L243" s="20"/>
      <c r="M243" s="20"/>
      <c r="N243" s="20"/>
      <c r="O243" s="20"/>
      <c r="P243" s="33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34"/>
      <c r="EX243" s="34"/>
      <c r="EY243" s="34"/>
      <c r="EZ243" s="34"/>
      <c r="FA243" s="3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34"/>
      <c r="FO243" s="34"/>
      <c r="FP243" s="34"/>
      <c r="FQ243" s="34"/>
      <c r="FR243" s="34"/>
      <c r="FS243" s="34"/>
      <c r="FT243" s="34"/>
      <c r="FU243" s="34"/>
      <c r="FV243" s="34"/>
      <c r="FW243" s="34"/>
      <c r="FX243" s="34"/>
      <c r="FY243" s="34"/>
      <c r="FZ243" s="34"/>
      <c r="GA243" s="34"/>
      <c r="GB243" s="34"/>
      <c r="GC243" s="34"/>
      <c r="GD243" s="34"/>
      <c r="GE243" s="34"/>
      <c r="GF243" s="34"/>
      <c r="GG243" s="34"/>
      <c r="GH243" s="34"/>
      <c r="GI243" s="34"/>
      <c r="GJ243" s="34"/>
      <c r="GK243" s="34"/>
      <c r="GL243" s="34"/>
      <c r="GM243" s="34"/>
      <c r="GN243" s="34"/>
      <c r="GO243" s="34"/>
      <c r="GP243" s="34"/>
      <c r="GQ243" s="34"/>
      <c r="GR243" s="34"/>
      <c r="GS243" s="34"/>
      <c r="GT243" s="34"/>
      <c r="GU243" s="34"/>
      <c r="GV243" s="34"/>
      <c r="GW243" s="34"/>
      <c r="GX243" s="34"/>
      <c r="GY243" s="34"/>
      <c r="GZ243" s="34"/>
      <c r="HA243" s="34"/>
      <c r="HB243" s="34"/>
      <c r="HC243" s="34"/>
      <c r="HD243" s="34"/>
      <c r="HE243" s="34"/>
      <c r="HF243" s="34"/>
      <c r="HG243" s="34"/>
      <c r="HH243" s="34"/>
    </row>
    <row r="244" spans="1:216" ht="15.75" customHeight="1" x14ac:dyDescent="0.3">
      <c r="A244" s="7"/>
      <c r="B244" s="54"/>
      <c r="C244" s="24" t="s">
        <v>234</v>
      </c>
      <c r="D244" s="51"/>
      <c r="E244" s="9">
        <f>GAMBIRAN!AY244+JAJAG!BA244+PURWODADI!AC244+WRINGINAGUNG!AB244+WRINGINREJO!X244+YOSOMULYO!AP244</f>
        <v>12</v>
      </c>
      <c r="F244" s="40"/>
      <c r="G244" s="20"/>
      <c r="H244" s="20"/>
      <c r="I244" s="20"/>
      <c r="J244" s="20"/>
      <c r="K244" s="20"/>
      <c r="L244" s="20"/>
      <c r="M244" s="20"/>
      <c r="N244" s="20"/>
      <c r="O244" s="20"/>
      <c r="P244" s="33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34"/>
      <c r="EX244" s="34"/>
      <c r="EY244" s="34"/>
      <c r="EZ244" s="34"/>
      <c r="FA244" s="3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34"/>
      <c r="FO244" s="34"/>
      <c r="FP244" s="34"/>
      <c r="FQ244" s="34"/>
      <c r="FR244" s="34"/>
      <c r="FS244" s="34"/>
      <c r="FT244" s="34"/>
      <c r="FU244" s="34"/>
      <c r="FV244" s="34"/>
      <c r="FW244" s="34"/>
      <c r="FX244" s="34"/>
      <c r="FY244" s="34"/>
      <c r="FZ244" s="34"/>
      <c r="GA244" s="34"/>
      <c r="GB244" s="34"/>
      <c r="GC244" s="34"/>
      <c r="GD244" s="34"/>
      <c r="GE244" s="34"/>
      <c r="GF244" s="34"/>
      <c r="GG244" s="34"/>
      <c r="GH244" s="34"/>
      <c r="GI244" s="34"/>
      <c r="GJ244" s="34"/>
      <c r="GK244" s="34"/>
      <c r="GL244" s="34"/>
      <c r="GM244" s="34"/>
      <c r="GN244" s="34"/>
      <c r="GO244" s="34"/>
      <c r="GP244" s="34"/>
      <c r="GQ244" s="34"/>
      <c r="GR244" s="34"/>
      <c r="GS244" s="34"/>
      <c r="GT244" s="34"/>
      <c r="GU244" s="34"/>
      <c r="GV244" s="34"/>
      <c r="GW244" s="34"/>
      <c r="GX244" s="34"/>
      <c r="GY244" s="34"/>
      <c r="GZ244" s="34"/>
      <c r="HA244" s="34"/>
      <c r="HB244" s="34"/>
      <c r="HC244" s="34"/>
      <c r="HD244" s="34"/>
      <c r="HE244" s="34"/>
      <c r="HF244" s="34"/>
      <c r="HG244" s="34"/>
      <c r="HH244" s="34"/>
    </row>
    <row r="245" spans="1:216" ht="15.75" customHeight="1" x14ac:dyDescent="0.3">
      <c r="A245" s="7"/>
      <c r="B245" s="54"/>
      <c r="C245" s="24" t="s">
        <v>235</v>
      </c>
      <c r="D245" s="51"/>
      <c r="E245" s="9">
        <f>GAMBIRAN!AY245+JAJAG!BA245+PURWODADI!AC245+WRINGINAGUNG!AB245+WRINGINREJO!X245+YOSOMULYO!AP245</f>
        <v>12</v>
      </c>
      <c r="F245" s="40"/>
      <c r="G245" s="20"/>
      <c r="H245" s="20"/>
      <c r="I245" s="20"/>
      <c r="J245" s="20"/>
      <c r="K245" s="20"/>
      <c r="L245" s="20"/>
      <c r="M245" s="20"/>
      <c r="N245" s="20"/>
      <c r="O245" s="20"/>
      <c r="P245" s="33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34"/>
      <c r="EX245" s="34"/>
      <c r="EY245" s="34"/>
      <c r="EZ245" s="34"/>
      <c r="FA245" s="3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34"/>
      <c r="FO245" s="34"/>
      <c r="FP245" s="34"/>
      <c r="FQ245" s="34"/>
      <c r="FR245" s="34"/>
      <c r="FS245" s="34"/>
      <c r="FT245" s="34"/>
      <c r="FU245" s="34"/>
      <c r="FV245" s="34"/>
      <c r="FW245" s="34"/>
      <c r="FX245" s="34"/>
      <c r="FY245" s="34"/>
      <c r="FZ245" s="34"/>
      <c r="GA245" s="34"/>
      <c r="GB245" s="34"/>
      <c r="GC245" s="34"/>
      <c r="GD245" s="34"/>
      <c r="GE245" s="34"/>
      <c r="GF245" s="34"/>
      <c r="GG245" s="34"/>
      <c r="GH245" s="34"/>
      <c r="GI245" s="34"/>
      <c r="GJ245" s="34"/>
      <c r="GK245" s="34"/>
      <c r="GL245" s="34"/>
      <c r="GM245" s="34"/>
      <c r="GN245" s="34"/>
      <c r="GO245" s="34"/>
      <c r="GP245" s="34"/>
      <c r="GQ245" s="34"/>
      <c r="GR245" s="34"/>
      <c r="GS245" s="34"/>
      <c r="GT245" s="34"/>
      <c r="GU245" s="34"/>
      <c r="GV245" s="34"/>
      <c r="GW245" s="34"/>
      <c r="GX245" s="34"/>
      <c r="GY245" s="34"/>
      <c r="GZ245" s="34"/>
      <c r="HA245" s="34"/>
      <c r="HB245" s="34"/>
      <c r="HC245" s="34"/>
      <c r="HD245" s="34"/>
      <c r="HE245" s="34"/>
      <c r="HF245" s="34"/>
      <c r="HG245" s="34"/>
      <c r="HH245" s="34"/>
    </row>
    <row r="246" spans="1:216" ht="15.75" customHeight="1" x14ac:dyDescent="0.3">
      <c r="A246" s="7"/>
      <c r="B246" s="54"/>
      <c r="C246" s="24" t="s">
        <v>236</v>
      </c>
      <c r="D246" s="51"/>
      <c r="E246" s="9">
        <f>GAMBIRAN!AY246+JAJAG!BA246+PURWODADI!AC246+WRINGINAGUNG!AB246+WRINGINREJO!X246+YOSOMULYO!AP246</f>
        <v>23</v>
      </c>
      <c r="F246" s="40"/>
      <c r="G246" s="20"/>
      <c r="H246" s="20"/>
      <c r="I246" s="20"/>
      <c r="J246" s="20"/>
      <c r="K246" s="20"/>
      <c r="L246" s="20"/>
      <c r="M246" s="20"/>
      <c r="N246" s="20"/>
      <c r="O246" s="20"/>
      <c r="P246" s="33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34"/>
      <c r="EX246" s="34"/>
      <c r="EY246" s="34"/>
      <c r="EZ246" s="34"/>
      <c r="FA246" s="3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34"/>
      <c r="FO246" s="34"/>
      <c r="FP246" s="34"/>
      <c r="FQ246" s="34"/>
      <c r="FR246" s="34"/>
      <c r="FS246" s="34"/>
      <c r="FT246" s="34"/>
      <c r="FU246" s="34"/>
      <c r="FV246" s="34"/>
      <c r="FW246" s="34"/>
      <c r="FX246" s="34"/>
      <c r="FY246" s="34"/>
      <c r="FZ246" s="34"/>
      <c r="GA246" s="34"/>
      <c r="GB246" s="34"/>
      <c r="GC246" s="34"/>
      <c r="GD246" s="34"/>
      <c r="GE246" s="34"/>
      <c r="GF246" s="34"/>
      <c r="GG246" s="34"/>
      <c r="GH246" s="34"/>
      <c r="GI246" s="34"/>
      <c r="GJ246" s="34"/>
      <c r="GK246" s="34"/>
      <c r="GL246" s="34"/>
      <c r="GM246" s="34"/>
      <c r="GN246" s="34"/>
      <c r="GO246" s="34"/>
      <c r="GP246" s="34"/>
      <c r="GQ246" s="34"/>
      <c r="GR246" s="34"/>
      <c r="GS246" s="34"/>
      <c r="GT246" s="34"/>
      <c r="GU246" s="34"/>
      <c r="GV246" s="34"/>
      <c r="GW246" s="34"/>
      <c r="GX246" s="34"/>
      <c r="GY246" s="34"/>
      <c r="GZ246" s="34"/>
      <c r="HA246" s="34"/>
      <c r="HB246" s="34"/>
      <c r="HC246" s="34"/>
      <c r="HD246" s="34"/>
      <c r="HE246" s="34"/>
      <c r="HF246" s="34"/>
      <c r="HG246" s="34"/>
      <c r="HH246" s="34"/>
    </row>
    <row r="247" spans="1:216" ht="15.75" customHeight="1" x14ac:dyDescent="0.3">
      <c r="A247" s="6" t="s">
        <v>26</v>
      </c>
      <c r="B247" s="69" t="s">
        <v>51</v>
      </c>
      <c r="C247" s="70"/>
      <c r="D247" s="71"/>
      <c r="E247" s="5">
        <f>SUM(E237:E244)</f>
        <v>850</v>
      </c>
      <c r="F247" s="40"/>
      <c r="G247" s="20"/>
      <c r="H247" s="20"/>
      <c r="I247" s="20"/>
      <c r="J247" s="20"/>
      <c r="K247" s="20"/>
      <c r="L247" s="20"/>
      <c r="M247" s="20"/>
      <c r="N247" s="20"/>
      <c r="O247" s="20"/>
      <c r="P247" s="33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34"/>
      <c r="EX247" s="34"/>
      <c r="EY247" s="34"/>
      <c r="EZ247" s="34"/>
      <c r="FA247" s="3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34"/>
      <c r="FO247" s="34"/>
      <c r="FP247" s="34"/>
      <c r="FQ247" s="34"/>
      <c r="FR247" s="34"/>
      <c r="FS247" s="34"/>
      <c r="FT247" s="34"/>
      <c r="FU247" s="34"/>
      <c r="FV247" s="34"/>
      <c r="FW247" s="34"/>
      <c r="FX247" s="34"/>
      <c r="FY247" s="34"/>
      <c r="FZ247" s="34"/>
      <c r="GA247" s="34"/>
      <c r="GB247" s="34"/>
      <c r="GC247" s="34"/>
      <c r="GD247" s="34"/>
      <c r="GE247" s="34"/>
      <c r="GF247" s="34"/>
      <c r="GG247" s="34"/>
      <c r="GH247" s="34"/>
      <c r="GI247" s="34"/>
      <c r="GJ247" s="34"/>
      <c r="GK247" s="34"/>
      <c r="GL247" s="34"/>
      <c r="GM247" s="34"/>
      <c r="GN247" s="34"/>
      <c r="GO247" s="34"/>
      <c r="GP247" s="34"/>
      <c r="GQ247" s="34"/>
      <c r="GR247" s="34"/>
      <c r="GS247" s="34"/>
      <c r="GT247" s="34"/>
      <c r="GU247" s="34"/>
      <c r="GV247" s="34"/>
      <c r="GW247" s="34"/>
      <c r="GX247" s="34"/>
      <c r="GY247" s="34"/>
      <c r="GZ247" s="34"/>
      <c r="HA247" s="34"/>
      <c r="HB247" s="34"/>
      <c r="HC247" s="34"/>
      <c r="HD247" s="34"/>
      <c r="HE247" s="34"/>
      <c r="HF247" s="34"/>
      <c r="HG247" s="34"/>
      <c r="HH247" s="34"/>
    </row>
    <row r="248" spans="1:216" ht="15.75" customHeight="1" x14ac:dyDescent="0.3">
      <c r="A248" s="77"/>
      <c r="B248" s="78"/>
      <c r="C248" s="78"/>
      <c r="D248" s="78"/>
      <c r="E248" s="79"/>
      <c r="F248" s="40"/>
      <c r="G248" s="20"/>
      <c r="H248" s="20"/>
      <c r="I248" s="20"/>
      <c r="J248" s="20"/>
      <c r="K248" s="20"/>
      <c r="L248" s="20"/>
      <c r="M248" s="20"/>
      <c r="N248" s="20"/>
      <c r="O248" s="20"/>
      <c r="P248" s="33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34"/>
      <c r="EX248" s="34"/>
      <c r="EY248" s="34"/>
      <c r="EZ248" s="34"/>
      <c r="FA248" s="3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34"/>
      <c r="FO248" s="34"/>
      <c r="FP248" s="34"/>
      <c r="FQ248" s="34"/>
      <c r="FR248" s="34"/>
      <c r="FS248" s="34"/>
      <c r="FT248" s="34"/>
      <c r="FU248" s="34"/>
      <c r="FV248" s="34"/>
      <c r="FW248" s="34"/>
      <c r="FX248" s="34"/>
      <c r="FY248" s="34"/>
      <c r="FZ248" s="34"/>
      <c r="GA248" s="34"/>
      <c r="GB248" s="34"/>
      <c r="GC248" s="34"/>
      <c r="GD248" s="34"/>
      <c r="GE248" s="34"/>
      <c r="GF248" s="34"/>
      <c r="GG248" s="34"/>
      <c r="GH248" s="34"/>
      <c r="GI248" s="34"/>
      <c r="GJ248" s="34"/>
      <c r="GK248" s="34"/>
      <c r="GL248" s="34"/>
      <c r="GM248" s="34"/>
      <c r="GN248" s="34"/>
      <c r="GO248" s="34"/>
      <c r="GP248" s="34"/>
      <c r="GQ248" s="34"/>
      <c r="GR248" s="34"/>
      <c r="GS248" s="34"/>
      <c r="GT248" s="34"/>
      <c r="GU248" s="34"/>
      <c r="GV248" s="34"/>
      <c r="GW248" s="34"/>
      <c r="GX248" s="34"/>
      <c r="GY248" s="34"/>
      <c r="GZ248" s="34"/>
      <c r="HA248" s="34"/>
      <c r="HB248" s="34"/>
      <c r="HC248" s="34"/>
      <c r="HD248" s="34"/>
      <c r="HE248" s="34"/>
      <c r="HF248" s="34"/>
      <c r="HG248" s="34"/>
      <c r="HH248" s="34"/>
    </row>
    <row r="249" spans="1:216" ht="15.75" customHeight="1" x14ac:dyDescent="0.3">
      <c r="A249" s="11" t="s">
        <v>48</v>
      </c>
      <c r="B249" s="17" t="s">
        <v>81</v>
      </c>
      <c r="C249" s="75" t="s">
        <v>82</v>
      </c>
      <c r="D249" s="76"/>
      <c r="E249" s="9">
        <f>GAMBIRAN!AY249+JAJAG!BA249+PURWODADI!AC249+WRINGINAGUNG!AB249+WRINGINREJO!X249+YOSOMULYO!AP249</f>
        <v>62</v>
      </c>
      <c r="F249" s="41"/>
      <c r="G249" s="1"/>
      <c r="H249" s="1"/>
      <c r="I249" s="1"/>
      <c r="J249" s="1"/>
      <c r="K249" s="1"/>
      <c r="L249" s="1"/>
      <c r="M249" s="1"/>
      <c r="N249" s="1"/>
      <c r="O249" s="1"/>
      <c r="P249" s="35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  <c r="EW249" s="32"/>
      <c r="EX249" s="32"/>
      <c r="EY249" s="32"/>
      <c r="EZ249" s="32"/>
      <c r="FA249" s="32"/>
      <c r="FB249" s="32"/>
      <c r="FC249" s="32"/>
      <c r="FD249" s="32"/>
      <c r="FE249" s="32"/>
      <c r="FF249" s="32"/>
      <c r="FG249" s="32"/>
      <c r="FH249" s="32"/>
      <c r="FI249" s="32"/>
      <c r="FJ249" s="32"/>
      <c r="FK249" s="32"/>
      <c r="FL249" s="32"/>
      <c r="FM249" s="32"/>
      <c r="FN249" s="32"/>
      <c r="FO249" s="32"/>
      <c r="FP249" s="32"/>
      <c r="FQ249" s="32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32"/>
      <c r="GD249" s="32"/>
      <c r="GE249" s="32"/>
      <c r="GF249" s="32"/>
      <c r="GG249" s="32"/>
      <c r="GH249" s="32"/>
      <c r="GI249" s="32"/>
      <c r="GJ249" s="32"/>
      <c r="GK249" s="32"/>
      <c r="GL249" s="32"/>
      <c r="GM249" s="32"/>
      <c r="GN249" s="32"/>
      <c r="GO249" s="32"/>
      <c r="GP249" s="32"/>
      <c r="GQ249" s="32"/>
      <c r="GR249" s="32"/>
      <c r="GS249" s="32"/>
      <c r="GT249" s="32"/>
      <c r="GU249" s="32"/>
      <c r="GV249" s="32"/>
      <c r="GW249" s="32"/>
      <c r="GX249" s="32"/>
      <c r="GY249" s="32"/>
      <c r="GZ249" s="32"/>
      <c r="HA249" s="32"/>
      <c r="HB249" s="32"/>
      <c r="HC249" s="32"/>
      <c r="HD249" s="32"/>
      <c r="HE249" s="32"/>
      <c r="HF249" s="32"/>
      <c r="HG249" s="32"/>
      <c r="HH249" s="32"/>
    </row>
    <row r="250" spans="1:216" ht="15.75" customHeight="1" x14ac:dyDescent="0.3">
      <c r="A250" s="11" t="s">
        <v>50</v>
      </c>
      <c r="B250" s="54"/>
      <c r="C250" s="24" t="s">
        <v>237</v>
      </c>
      <c r="D250" s="51"/>
      <c r="E250" s="9">
        <f>GAMBIRAN!AY250+JAJAG!BA250+PURWODADI!AC250+WRINGINAGUNG!AB250+WRINGINREJO!X250+YOSOMULYO!AP250</f>
        <v>376</v>
      </c>
      <c r="F250" s="40"/>
      <c r="G250" s="20"/>
      <c r="H250" s="20"/>
      <c r="I250" s="20"/>
      <c r="J250" s="20"/>
      <c r="K250" s="20"/>
      <c r="L250" s="20"/>
      <c r="M250" s="20"/>
      <c r="N250" s="20"/>
      <c r="O250" s="23"/>
      <c r="P250" s="36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3">
      <c r="A251" s="7"/>
      <c r="B251" s="54"/>
      <c r="C251" s="24" t="s">
        <v>238</v>
      </c>
      <c r="D251" s="51"/>
      <c r="E251" s="9">
        <f>GAMBIRAN!AY251+JAJAG!BA251+PURWODADI!AC251+WRINGINAGUNG!AB251+WRINGINREJO!X251+YOSOMULYO!AP251</f>
        <v>7</v>
      </c>
      <c r="F251" s="41"/>
      <c r="G251" s="1"/>
      <c r="H251" s="1"/>
      <c r="I251" s="1"/>
      <c r="J251" s="1"/>
      <c r="K251" s="1"/>
      <c r="L251" s="1"/>
      <c r="M251" s="1"/>
      <c r="N251" s="1"/>
      <c r="O251" s="3"/>
      <c r="P251" s="36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3">
      <c r="A252" s="7"/>
      <c r="B252" s="54"/>
      <c r="C252" s="24" t="s">
        <v>239</v>
      </c>
      <c r="D252" s="51"/>
      <c r="E252" s="9">
        <f>GAMBIRAN!AY252+JAJAG!BA252+PURWODADI!AC252+WRINGINAGUNG!AB252+WRINGINREJO!X252+YOSOMULYO!AP252</f>
        <v>87</v>
      </c>
      <c r="F252" s="41"/>
      <c r="G252" s="1"/>
      <c r="H252" s="1"/>
      <c r="I252" s="1"/>
      <c r="J252" s="1"/>
      <c r="K252" s="1"/>
      <c r="L252" s="1"/>
      <c r="M252" s="1"/>
      <c r="N252" s="1"/>
      <c r="O252" s="1"/>
      <c r="P252" s="35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32"/>
      <c r="EX252" s="32"/>
      <c r="EY252" s="32"/>
      <c r="EZ252" s="32"/>
      <c r="FA252" s="32"/>
      <c r="FB252" s="32"/>
      <c r="FC252" s="32"/>
      <c r="FD252" s="32"/>
      <c r="FE252" s="32"/>
      <c r="FF252" s="32"/>
      <c r="FG252" s="32"/>
      <c r="FH252" s="32"/>
      <c r="FI252" s="32"/>
      <c r="FJ252" s="32"/>
      <c r="FK252" s="32"/>
      <c r="FL252" s="32"/>
      <c r="FM252" s="32"/>
      <c r="FN252" s="32"/>
      <c r="FO252" s="32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2"/>
      <c r="GS252" s="32"/>
      <c r="GT252" s="32"/>
      <c r="GU252" s="32"/>
      <c r="GV252" s="32"/>
      <c r="GW252" s="32"/>
      <c r="GX252" s="32"/>
      <c r="GY252" s="32"/>
      <c r="GZ252" s="32"/>
      <c r="HA252" s="32"/>
      <c r="HB252" s="32"/>
      <c r="HC252" s="32"/>
      <c r="HD252" s="32"/>
      <c r="HE252" s="32"/>
      <c r="HF252" s="32"/>
      <c r="HG252" s="32"/>
      <c r="HH252" s="32"/>
    </row>
    <row r="253" spans="1:216" ht="15.75" customHeight="1" x14ac:dyDescent="0.3">
      <c r="A253" s="7"/>
      <c r="B253" s="46"/>
      <c r="C253" s="66"/>
      <c r="D253" s="49"/>
      <c r="E253" s="60"/>
      <c r="F253" s="40"/>
      <c r="G253" s="20"/>
      <c r="H253" s="20"/>
      <c r="I253" s="20"/>
      <c r="J253" s="20"/>
      <c r="K253" s="20"/>
      <c r="L253" s="20"/>
      <c r="M253" s="20"/>
      <c r="N253" s="20"/>
      <c r="O253" s="20"/>
      <c r="P253" s="33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34"/>
      <c r="EX253" s="34"/>
      <c r="EY253" s="34"/>
      <c r="EZ253" s="34"/>
      <c r="FA253" s="3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34"/>
      <c r="FO253" s="34"/>
      <c r="FP253" s="34"/>
      <c r="FQ253" s="34"/>
      <c r="FR253" s="34"/>
      <c r="FS253" s="34"/>
      <c r="FT253" s="34"/>
      <c r="FU253" s="34"/>
      <c r="FV253" s="34"/>
      <c r="FW253" s="34"/>
      <c r="FX253" s="34"/>
      <c r="FY253" s="34"/>
      <c r="FZ253" s="34"/>
      <c r="GA253" s="34"/>
      <c r="GB253" s="34"/>
      <c r="GC253" s="34"/>
      <c r="GD253" s="34"/>
      <c r="GE253" s="34"/>
      <c r="GF253" s="34"/>
      <c r="GG253" s="34"/>
      <c r="GH253" s="34"/>
      <c r="GI253" s="34"/>
      <c r="GJ253" s="34"/>
      <c r="GK253" s="34"/>
      <c r="GL253" s="34"/>
      <c r="GM253" s="34"/>
      <c r="GN253" s="34"/>
      <c r="GO253" s="34"/>
      <c r="GP253" s="34"/>
      <c r="GQ253" s="34"/>
      <c r="GR253" s="34"/>
      <c r="GS253" s="34"/>
      <c r="GT253" s="34"/>
      <c r="GU253" s="34"/>
      <c r="GV253" s="34"/>
      <c r="GW253" s="34"/>
      <c r="GX253" s="34"/>
      <c r="GY253" s="34"/>
      <c r="GZ253" s="34"/>
      <c r="HA253" s="34"/>
      <c r="HB253" s="34"/>
      <c r="HC253" s="34"/>
      <c r="HD253" s="34"/>
      <c r="HE253" s="34"/>
      <c r="HF253" s="34"/>
      <c r="HG253" s="34"/>
      <c r="HH253" s="34"/>
    </row>
    <row r="254" spans="1:216" ht="15.75" customHeight="1" x14ac:dyDescent="0.3">
      <c r="A254" s="7"/>
      <c r="B254" s="46"/>
      <c r="C254" s="66"/>
      <c r="D254" s="49"/>
      <c r="E254" s="60"/>
      <c r="F254" s="41"/>
      <c r="G254" s="1"/>
      <c r="H254" s="1"/>
      <c r="I254" s="1"/>
      <c r="J254" s="1"/>
      <c r="K254" s="1"/>
      <c r="L254" s="1"/>
      <c r="M254" s="1"/>
      <c r="N254" s="1"/>
      <c r="O254" s="1"/>
      <c r="P254" s="35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32"/>
      <c r="DZ254" s="32"/>
      <c r="EA254" s="32"/>
      <c r="EB254" s="32"/>
      <c r="EC254" s="32"/>
      <c r="ED254" s="32"/>
      <c r="EE254" s="32"/>
      <c r="EF254" s="32"/>
      <c r="EG254" s="32"/>
      <c r="EH254" s="32"/>
      <c r="EI254" s="32"/>
      <c r="EJ254" s="32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32"/>
      <c r="EX254" s="32"/>
      <c r="EY254" s="32"/>
      <c r="EZ254" s="32"/>
      <c r="FA254" s="32"/>
      <c r="FB254" s="32"/>
      <c r="FC254" s="32"/>
      <c r="FD254" s="32"/>
      <c r="FE254" s="32"/>
      <c r="FF254" s="32"/>
      <c r="FG254" s="32"/>
      <c r="FH254" s="32"/>
      <c r="FI254" s="32"/>
      <c r="FJ254" s="32"/>
      <c r="FK254" s="32"/>
      <c r="FL254" s="32"/>
      <c r="FM254" s="32"/>
      <c r="FN254" s="32"/>
      <c r="FO254" s="32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2"/>
      <c r="GU254" s="32"/>
      <c r="GV254" s="32"/>
      <c r="GW254" s="32"/>
      <c r="GX254" s="32"/>
      <c r="GY254" s="32"/>
      <c r="GZ254" s="32"/>
      <c r="HA254" s="32"/>
      <c r="HB254" s="32"/>
      <c r="HC254" s="32"/>
      <c r="HD254" s="32"/>
      <c r="HE254" s="32"/>
      <c r="HF254" s="32"/>
      <c r="HG254" s="32"/>
      <c r="HH254" s="32"/>
    </row>
    <row r="255" spans="1:216" ht="15.75" customHeight="1" x14ac:dyDescent="0.3">
      <c r="A255" s="7"/>
      <c r="B255" s="46"/>
      <c r="C255" s="66"/>
      <c r="D255" s="49"/>
      <c r="E255" s="60"/>
      <c r="F255" s="40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3">
      <c r="A256" s="7"/>
      <c r="B256" s="46"/>
      <c r="C256" s="66"/>
      <c r="D256" s="49"/>
      <c r="E256" s="60"/>
      <c r="F256" s="40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3">
      <c r="A257" s="7"/>
      <c r="B257" s="46"/>
      <c r="C257" s="66"/>
      <c r="D257" s="49"/>
      <c r="E257" s="60"/>
      <c r="F257" s="40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3">
      <c r="A258" s="7"/>
      <c r="B258" s="46"/>
      <c r="C258" s="66"/>
      <c r="D258" s="49"/>
      <c r="E258" s="60"/>
      <c r="F258" s="40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3">
      <c r="A259" s="6" t="s">
        <v>26</v>
      </c>
      <c r="B259" s="69" t="s">
        <v>51</v>
      </c>
      <c r="C259" s="70"/>
      <c r="D259" s="71"/>
      <c r="E259" s="5">
        <f>SUM(E249:E255)</f>
        <v>532</v>
      </c>
      <c r="F259" s="40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3">
      <c r="F260" s="40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3">
      <c r="A261" s="16" t="s">
        <v>83</v>
      </c>
      <c r="B261" s="72" t="s">
        <v>84</v>
      </c>
      <c r="C261" s="73"/>
      <c r="D261" s="74"/>
      <c r="E261" s="5"/>
      <c r="F261" s="40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3">
      <c r="A262" s="16"/>
      <c r="B262" s="19" t="s">
        <v>85</v>
      </c>
      <c r="C262" s="67" t="s">
        <v>86</v>
      </c>
      <c r="D262" s="68"/>
      <c r="E262" s="9">
        <f>GAMBIRAN!AY262+JAJAG!BA262+PURWODADI!AC262+WRINGINAGUNG!AB262+WRINGINREJO!X262+YOSOMULYO!AP262</f>
        <v>35390</v>
      </c>
      <c r="F262" s="40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3">
      <c r="A263" s="13"/>
      <c r="B263" s="19" t="s">
        <v>87</v>
      </c>
      <c r="C263" s="67" t="s">
        <v>88</v>
      </c>
      <c r="D263" s="68"/>
      <c r="E263" s="9">
        <f>GAMBIRAN!AY263+JAJAG!BA263+PURWODADI!AC263+WRINGINAGUNG!AB263+WRINGINREJO!X263+YOSOMULYO!AP263</f>
        <v>4850</v>
      </c>
      <c r="F263" s="40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3">
      <c r="A264" s="14"/>
      <c r="B264" s="19" t="s">
        <v>89</v>
      </c>
      <c r="C264" s="67" t="s">
        <v>90</v>
      </c>
      <c r="D264" s="68"/>
      <c r="E264" s="5">
        <f t="shared" ref="E264" si="8">SUM(E262:E263)</f>
        <v>40240</v>
      </c>
      <c r="F264" s="40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3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3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3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3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3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3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3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3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3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3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3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3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3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3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3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3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3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3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3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3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3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3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3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3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3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3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3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3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3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3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3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3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3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3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3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3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3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3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3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3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3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3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3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3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3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3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3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3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3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3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3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3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3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3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3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3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3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3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3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3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3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3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3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3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3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3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3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3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3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3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3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3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3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3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3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3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3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3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3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3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3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3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3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3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3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3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3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3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3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3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3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3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3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3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3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3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3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3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3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3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3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3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3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3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3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3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3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3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3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3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3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3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3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3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3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3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3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3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3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3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3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3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3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3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3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3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3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3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3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3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3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3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3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3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3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3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3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3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3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3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3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3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3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3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3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3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3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3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3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3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3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3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3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3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3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3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3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3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3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3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3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3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3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3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3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3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3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3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3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3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3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3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3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3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3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3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3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3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3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3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3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3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3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3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3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3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3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3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3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3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3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3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3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3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3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3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3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3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3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3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3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3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3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3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3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3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3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3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3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3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3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3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3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3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3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3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3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3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3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3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3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3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3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3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3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3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3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3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3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3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3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3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3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3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3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3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3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3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3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3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3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3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3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3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3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3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3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3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3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3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3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3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3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3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3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3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3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3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3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3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3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3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3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3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3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3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3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3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3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3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3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3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3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3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3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3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3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3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3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3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3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3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3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3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3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3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3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3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3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3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3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3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3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3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3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3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3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3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3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3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3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3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3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3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3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3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3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3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3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3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3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3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3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3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3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3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3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3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3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3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3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3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3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3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3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3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3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3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3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3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3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3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3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3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3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3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3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3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3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3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3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3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3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3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3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3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3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3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3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3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3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3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3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3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3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3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3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3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3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3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3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3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3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3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3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3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3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3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3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3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3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3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3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3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3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3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3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3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3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3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3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3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3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3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3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3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3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3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3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3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3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3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3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3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3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3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3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3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3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3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3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3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3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3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3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3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3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3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3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3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3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3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3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3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3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3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3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3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3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3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3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3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3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3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3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3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3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3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3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3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3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3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3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3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3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3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3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3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3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3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3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3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3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3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3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3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3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3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3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3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3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3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3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3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3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3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3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3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3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3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3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3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3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3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3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3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3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3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3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3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3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3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3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3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3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3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3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3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3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3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3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3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3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3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3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3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3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3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3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3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3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3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3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3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3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3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3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3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3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3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3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3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3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3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3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3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3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3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3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3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3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3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3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3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3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3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3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3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3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3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3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3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3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3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3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3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3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3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3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3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3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3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3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3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3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3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3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3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3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3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3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3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3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3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3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3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3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3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3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3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3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3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3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3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3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3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3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3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3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3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3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3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3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3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3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3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3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3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3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3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3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3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3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3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3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3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3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3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3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3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3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3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3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3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3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3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3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3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3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3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3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3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3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3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3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3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3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3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3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3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3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3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3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3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3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3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3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3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3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3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3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3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3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3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3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3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3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3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3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3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3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3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3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3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3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3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3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3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3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3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3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3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3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3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3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3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3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3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3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3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3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3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3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3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3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3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3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3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3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3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3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3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3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3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3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3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3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3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3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3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3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3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3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3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3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3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3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3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3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3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3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3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3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3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3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3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3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3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3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3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3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3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3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3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3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3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3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3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3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3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3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3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3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3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3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3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3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3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3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3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3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3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3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3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3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3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3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3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3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3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3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3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3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3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3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3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3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3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3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3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3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3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3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3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3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3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3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3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3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3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3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3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3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3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3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3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3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3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3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3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3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3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3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3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3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3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3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3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3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3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3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3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3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3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3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3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3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3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3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3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3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3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3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3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3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3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3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3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3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3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3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3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3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3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3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3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3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3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3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3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3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3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3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3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3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3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3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3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3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3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3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3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3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3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3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3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3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3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3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3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3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3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3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3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3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3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3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3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3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3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3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3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3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3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3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3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3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3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3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3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3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3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3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3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3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3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3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3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3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3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3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3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3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3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3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3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3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3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3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3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3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3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3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3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3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3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3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3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3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3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3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3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3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3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3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3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3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3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3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3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3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3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3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3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3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3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3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3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3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3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3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3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3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3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3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3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3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3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3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3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3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3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3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3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3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3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3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3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3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3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3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3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3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3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3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3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3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3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3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3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3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3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3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3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3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3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3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3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3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3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3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3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3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3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3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3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3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3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3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3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3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3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3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3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3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3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3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3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3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3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3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3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3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3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3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3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3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3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3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3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3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3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3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3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3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3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3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3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3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3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3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5:D55"/>
    <mergeCell ref="B43:D43"/>
    <mergeCell ref="A44:D44"/>
    <mergeCell ref="C45:D45"/>
    <mergeCell ref="B67:D67"/>
    <mergeCell ref="A68:E68"/>
    <mergeCell ref="C57:D57"/>
    <mergeCell ref="A56:E56"/>
    <mergeCell ref="C69:D69"/>
    <mergeCell ref="C93:D93"/>
    <mergeCell ref="B91:D91"/>
    <mergeCell ref="A92:E92"/>
    <mergeCell ref="B79:D79"/>
    <mergeCell ref="A80:E80"/>
    <mergeCell ref="C81:D81"/>
    <mergeCell ref="B115:D115"/>
    <mergeCell ref="A116:E116"/>
    <mergeCell ref="C117:D117"/>
    <mergeCell ref="B103:D103"/>
    <mergeCell ref="C105:D105"/>
    <mergeCell ref="A104:E104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C177:D177"/>
    <mergeCell ref="B175:D175"/>
    <mergeCell ref="A176:E176"/>
    <mergeCell ref="B163:D163"/>
    <mergeCell ref="A164:E164"/>
    <mergeCell ref="C165:D165"/>
    <mergeCell ref="B199:D199"/>
    <mergeCell ref="A200:E200"/>
    <mergeCell ref="C201:D201"/>
    <mergeCell ref="B187:D187"/>
    <mergeCell ref="C189:D189"/>
    <mergeCell ref="A188:E188"/>
    <mergeCell ref="B223:D223"/>
    <mergeCell ref="C225:D225"/>
    <mergeCell ref="A224:E224"/>
    <mergeCell ref="C213:D213"/>
    <mergeCell ref="B211:D211"/>
    <mergeCell ref="A212:E212"/>
    <mergeCell ref="C249:D249"/>
    <mergeCell ref="B247:D247"/>
    <mergeCell ref="A248:E248"/>
    <mergeCell ref="B235:D235"/>
    <mergeCell ref="A236:E236"/>
    <mergeCell ref="C237:D237"/>
    <mergeCell ref="C262:D262"/>
    <mergeCell ref="C263:D263"/>
    <mergeCell ref="C264:D264"/>
    <mergeCell ref="B259:D259"/>
    <mergeCell ref="B261:D261"/>
  </mergeCells>
  <conditionalFormatting sqref="E30">
    <cfRule type="expression" dxfId="181" priority="50">
      <formula>E30&lt;&gt;E264</formula>
    </cfRule>
    <cfRule type="expression" dxfId="180" priority="51">
      <formula>E30&lt;&gt;E34</formula>
    </cfRule>
  </conditionalFormatting>
  <conditionalFormatting sqref="E259">
    <cfRule type="containsBlanks" dxfId="179" priority="8">
      <formula>LEN(TRIM(E259))=0</formula>
    </cfRule>
  </conditionalFormatting>
  <conditionalFormatting sqref="F259:O261">
    <cfRule type="cellIs" dxfId="178" priority="32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FFC000"/>
  </sheetPr>
  <dimension ref="A2:BA264"/>
  <sheetViews>
    <sheetView topLeftCell="A253" zoomScaleNormal="100" workbookViewId="0">
      <selection activeCell="AY263" sqref="AY263"/>
    </sheetView>
  </sheetViews>
  <sheetFormatPr defaultRowHeight="13" x14ac:dyDescent="0.3"/>
  <cols>
    <col min="3" max="3" width="67.09765625" bestFit="1" customWidth="1"/>
    <col min="4" max="4" width="5.8984375" bestFit="1" customWidth="1"/>
    <col min="51" max="51" width="13.296875" customWidth="1"/>
  </cols>
  <sheetData>
    <row r="2" spans="1:51" x14ac:dyDescent="0.3">
      <c r="C2" s="44" t="s">
        <v>116</v>
      </c>
      <c r="D2" s="44" t="s">
        <v>240</v>
      </c>
    </row>
    <row r="3" spans="1:51" x14ac:dyDescent="0.3">
      <c r="C3" s="44" t="s">
        <v>117</v>
      </c>
      <c r="D3" s="44" t="s">
        <v>118</v>
      </c>
    </row>
    <row r="4" spans="1:51" x14ac:dyDescent="0.3">
      <c r="C4" s="44" t="s">
        <v>119</v>
      </c>
      <c r="D4" s="44" t="s">
        <v>120</v>
      </c>
    </row>
    <row r="5" spans="1:51" x14ac:dyDescent="0.3">
      <c r="C5" s="44"/>
      <c r="D5" s="44"/>
    </row>
    <row r="6" spans="1:51" x14ac:dyDescent="0.3">
      <c r="C6" s="44"/>
      <c r="D6" s="44"/>
    </row>
    <row r="7" spans="1:51" x14ac:dyDescent="0.3">
      <c r="C7" s="44"/>
      <c r="D7" s="44"/>
    </row>
    <row r="8" spans="1:51" x14ac:dyDescent="0.3">
      <c r="C8" s="44"/>
      <c r="D8" s="44"/>
    </row>
    <row r="9" spans="1:51" x14ac:dyDescent="0.3">
      <c r="C9" s="44" t="s">
        <v>121</v>
      </c>
      <c r="D9" s="44" t="s">
        <v>240</v>
      </c>
    </row>
    <row r="11" spans="1:51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W11" s="1"/>
      <c r="X11" s="1"/>
      <c r="Y11" s="1"/>
      <c r="Z11" s="1"/>
      <c r="AA11" s="1"/>
      <c r="AB11" s="1"/>
      <c r="AC11" s="1"/>
      <c r="AD11" s="1"/>
      <c r="AE11" s="1"/>
      <c r="AF11" s="3"/>
    </row>
    <row r="12" spans="1:51" x14ac:dyDescent="0.3">
      <c r="A12" s="5" t="s">
        <v>0</v>
      </c>
      <c r="B12" s="72" t="s">
        <v>1</v>
      </c>
      <c r="C12" s="85"/>
      <c r="D12" s="76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106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8" t="s">
        <v>115</v>
      </c>
    </row>
    <row r="13" spans="1:51" x14ac:dyDescent="0.3">
      <c r="A13" s="6" t="s">
        <v>2</v>
      </c>
      <c r="B13" s="93" t="s">
        <v>3</v>
      </c>
      <c r="C13" s="85"/>
      <c r="D13" s="7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241</v>
      </c>
      <c r="AV13" s="5" t="s">
        <v>242</v>
      </c>
      <c r="AW13" s="5" t="s">
        <v>243</v>
      </c>
      <c r="AX13" s="5" t="s">
        <v>244</v>
      </c>
      <c r="AY13" s="109"/>
    </row>
    <row r="14" spans="1:51" x14ac:dyDescent="0.3">
      <c r="A14" s="7"/>
      <c r="B14" s="96" t="s">
        <v>22</v>
      </c>
      <c r="C14" s="84"/>
      <c r="D14" s="6" t="s">
        <v>23</v>
      </c>
      <c r="E14" s="6">
        <v>123</v>
      </c>
      <c r="F14" s="6">
        <v>140</v>
      </c>
      <c r="G14" s="6">
        <v>122</v>
      </c>
      <c r="H14" s="6">
        <v>121</v>
      </c>
      <c r="I14" s="6">
        <v>142</v>
      </c>
      <c r="J14" s="6">
        <v>124</v>
      </c>
      <c r="K14" s="6">
        <v>123</v>
      </c>
      <c r="L14" s="6">
        <v>132</v>
      </c>
      <c r="M14" s="6">
        <v>104</v>
      </c>
      <c r="N14" s="6">
        <v>142</v>
      </c>
      <c r="O14" s="6">
        <v>149</v>
      </c>
      <c r="P14" s="6">
        <v>134</v>
      </c>
      <c r="Q14" s="6">
        <v>113</v>
      </c>
      <c r="R14" s="6">
        <v>101</v>
      </c>
      <c r="S14" s="6">
        <v>103</v>
      </c>
      <c r="T14" s="6">
        <v>128</v>
      </c>
      <c r="U14" s="6">
        <v>135</v>
      </c>
      <c r="V14" s="6">
        <v>137</v>
      </c>
      <c r="W14" s="6">
        <v>145</v>
      </c>
      <c r="X14" s="6">
        <v>137</v>
      </c>
      <c r="Y14" s="6">
        <v>131</v>
      </c>
      <c r="Z14" s="6">
        <v>133</v>
      </c>
      <c r="AA14" s="6">
        <v>122</v>
      </c>
      <c r="AB14" s="6">
        <v>121</v>
      </c>
      <c r="AC14" s="6">
        <v>132</v>
      </c>
      <c r="AD14" s="6">
        <v>131</v>
      </c>
      <c r="AE14" s="6">
        <v>113</v>
      </c>
      <c r="AF14" s="6">
        <v>95</v>
      </c>
      <c r="AG14" s="6">
        <v>141</v>
      </c>
      <c r="AH14" s="6">
        <v>80</v>
      </c>
      <c r="AI14" s="6">
        <v>134</v>
      </c>
      <c r="AJ14" s="6">
        <v>134</v>
      </c>
      <c r="AK14" s="6">
        <v>148</v>
      </c>
      <c r="AL14" s="6">
        <v>149</v>
      </c>
      <c r="AM14" s="6">
        <v>137</v>
      </c>
      <c r="AN14" s="6">
        <v>139</v>
      </c>
      <c r="AO14" s="6">
        <v>144</v>
      </c>
      <c r="AP14" s="6">
        <v>130</v>
      </c>
      <c r="AQ14" s="6">
        <v>148</v>
      </c>
      <c r="AR14" s="6">
        <v>132</v>
      </c>
      <c r="AS14" s="6">
        <v>145</v>
      </c>
      <c r="AT14" s="6">
        <v>134</v>
      </c>
      <c r="AU14" s="6">
        <v>145</v>
      </c>
      <c r="AV14" s="6">
        <v>136</v>
      </c>
      <c r="AW14" s="6">
        <v>131</v>
      </c>
      <c r="AX14" s="6">
        <v>154</v>
      </c>
      <c r="AY14" s="5">
        <f>SUM(E14:AX14)</f>
        <v>5994</v>
      </c>
    </row>
    <row r="15" spans="1:51" x14ac:dyDescent="0.3">
      <c r="A15" s="7"/>
      <c r="B15" s="97"/>
      <c r="C15" s="90"/>
      <c r="D15" s="6" t="s">
        <v>24</v>
      </c>
      <c r="E15" s="6">
        <v>112</v>
      </c>
      <c r="F15" s="6">
        <v>126</v>
      </c>
      <c r="G15" s="6">
        <v>132</v>
      </c>
      <c r="H15" s="6">
        <v>134</v>
      </c>
      <c r="I15" s="6">
        <v>139</v>
      </c>
      <c r="J15" s="6">
        <v>142</v>
      </c>
      <c r="K15" s="6">
        <v>109</v>
      </c>
      <c r="L15" s="6">
        <v>126</v>
      </c>
      <c r="M15" s="6">
        <v>130</v>
      </c>
      <c r="N15" s="6">
        <v>153</v>
      </c>
      <c r="O15" s="6">
        <v>140</v>
      </c>
      <c r="P15" s="6">
        <v>127</v>
      </c>
      <c r="Q15" s="6">
        <v>109</v>
      </c>
      <c r="R15" s="6">
        <v>121</v>
      </c>
      <c r="S15" s="6">
        <v>117</v>
      </c>
      <c r="T15" s="6">
        <v>151</v>
      </c>
      <c r="U15" s="6">
        <v>149</v>
      </c>
      <c r="V15" s="6">
        <v>137</v>
      </c>
      <c r="W15" s="6">
        <v>143</v>
      </c>
      <c r="X15" s="6">
        <v>140</v>
      </c>
      <c r="Y15" s="6">
        <v>145</v>
      </c>
      <c r="Z15" s="6">
        <v>135</v>
      </c>
      <c r="AA15" s="6">
        <v>120</v>
      </c>
      <c r="AB15" s="6">
        <v>102</v>
      </c>
      <c r="AC15" s="6">
        <v>145</v>
      </c>
      <c r="AD15" s="6">
        <v>133</v>
      </c>
      <c r="AE15" s="6">
        <v>116</v>
      </c>
      <c r="AF15" s="6">
        <v>109</v>
      </c>
      <c r="AG15" s="6">
        <v>130</v>
      </c>
      <c r="AH15" s="6">
        <v>71</v>
      </c>
      <c r="AI15" s="6">
        <v>134</v>
      </c>
      <c r="AJ15" s="6">
        <v>143</v>
      </c>
      <c r="AK15" s="6">
        <v>142</v>
      </c>
      <c r="AL15" s="6">
        <v>144</v>
      </c>
      <c r="AM15" s="6">
        <v>148</v>
      </c>
      <c r="AN15" s="6">
        <v>136</v>
      </c>
      <c r="AO15" s="6">
        <v>146</v>
      </c>
      <c r="AP15" s="6">
        <v>143</v>
      </c>
      <c r="AQ15" s="6">
        <v>136</v>
      </c>
      <c r="AR15" s="6">
        <v>127</v>
      </c>
      <c r="AS15" s="6">
        <v>140</v>
      </c>
      <c r="AT15" s="6">
        <v>126</v>
      </c>
      <c r="AU15" s="6">
        <v>135</v>
      </c>
      <c r="AV15" s="6">
        <v>136</v>
      </c>
      <c r="AW15" s="6">
        <v>139</v>
      </c>
      <c r="AX15" s="6">
        <v>124</v>
      </c>
      <c r="AY15" s="5">
        <f t="shared" ref="AY15:AY78" si="0">SUM(E15:AX15)</f>
        <v>6042</v>
      </c>
    </row>
    <row r="16" spans="1:51" x14ac:dyDescent="0.3">
      <c r="A16" s="8"/>
      <c r="B16" s="95"/>
      <c r="C16" s="91"/>
      <c r="D16" s="5" t="s">
        <v>25</v>
      </c>
      <c r="E16" s="5">
        <f t="shared" ref="E16:V16" si="1">SUM(E14:E15)</f>
        <v>235</v>
      </c>
      <c r="F16" s="5">
        <f t="shared" si="1"/>
        <v>266</v>
      </c>
      <c r="G16" s="5">
        <f t="shared" si="1"/>
        <v>254</v>
      </c>
      <c r="H16" s="5">
        <f t="shared" si="1"/>
        <v>255</v>
      </c>
      <c r="I16" s="5">
        <f t="shared" si="1"/>
        <v>281</v>
      </c>
      <c r="J16" s="5">
        <f t="shared" si="1"/>
        <v>266</v>
      </c>
      <c r="K16" s="5">
        <f t="shared" si="1"/>
        <v>232</v>
      </c>
      <c r="L16" s="5">
        <f t="shared" si="1"/>
        <v>258</v>
      </c>
      <c r="M16" s="5">
        <f t="shared" si="1"/>
        <v>234</v>
      </c>
      <c r="N16" s="5">
        <f t="shared" si="1"/>
        <v>295</v>
      </c>
      <c r="O16" s="5">
        <f t="shared" si="1"/>
        <v>289</v>
      </c>
      <c r="P16" s="5">
        <f t="shared" si="1"/>
        <v>261</v>
      </c>
      <c r="Q16" s="5">
        <f t="shared" si="1"/>
        <v>222</v>
      </c>
      <c r="R16" s="5">
        <f t="shared" si="1"/>
        <v>222</v>
      </c>
      <c r="S16" s="5">
        <f t="shared" si="1"/>
        <v>220</v>
      </c>
      <c r="T16" s="5">
        <f t="shared" si="1"/>
        <v>279</v>
      </c>
      <c r="U16" s="5">
        <f t="shared" si="1"/>
        <v>284</v>
      </c>
      <c r="V16" s="5">
        <f t="shared" si="1"/>
        <v>274</v>
      </c>
      <c r="W16" s="5">
        <f t="shared" ref="W16:AX16" si="2">SUM(W14:W15)</f>
        <v>288</v>
      </c>
      <c r="X16" s="5">
        <f t="shared" si="2"/>
        <v>277</v>
      </c>
      <c r="Y16" s="5">
        <f t="shared" si="2"/>
        <v>276</v>
      </c>
      <c r="Z16" s="5">
        <f t="shared" si="2"/>
        <v>268</v>
      </c>
      <c r="AA16" s="5">
        <f t="shared" si="2"/>
        <v>242</v>
      </c>
      <c r="AB16" s="5">
        <f t="shared" si="2"/>
        <v>223</v>
      </c>
      <c r="AC16" s="5">
        <f t="shared" si="2"/>
        <v>277</v>
      </c>
      <c r="AD16" s="5">
        <f t="shared" si="2"/>
        <v>264</v>
      </c>
      <c r="AE16" s="5">
        <f t="shared" si="2"/>
        <v>229</v>
      </c>
      <c r="AF16" s="5">
        <f t="shared" si="2"/>
        <v>204</v>
      </c>
      <c r="AG16" s="5">
        <f t="shared" si="2"/>
        <v>271</v>
      </c>
      <c r="AH16" s="5">
        <f t="shared" si="2"/>
        <v>151</v>
      </c>
      <c r="AI16" s="5">
        <f t="shared" si="2"/>
        <v>268</v>
      </c>
      <c r="AJ16" s="5">
        <f t="shared" si="2"/>
        <v>277</v>
      </c>
      <c r="AK16" s="5">
        <f t="shared" si="2"/>
        <v>290</v>
      </c>
      <c r="AL16" s="5">
        <f t="shared" si="2"/>
        <v>293</v>
      </c>
      <c r="AM16" s="5">
        <f t="shared" si="2"/>
        <v>285</v>
      </c>
      <c r="AN16" s="5">
        <f t="shared" si="2"/>
        <v>275</v>
      </c>
      <c r="AO16" s="5">
        <f t="shared" si="2"/>
        <v>290</v>
      </c>
      <c r="AP16" s="5">
        <f t="shared" si="2"/>
        <v>273</v>
      </c>
      <c r="AQ16" s="5">
        <f t="shared" si="2"/>
        <v>284</v>
      </c>
      <c r="AR16" s="5">
        <f t="shared" si="2"/>
        <v>259</v>
      </c>
      <c r="AS16" s="5">
        <f t="shared" si="2"/>
        <v>285</v>
      </c>
      <c r="AT16" s="5">
        <f t="shared" si="2"/>
        <v>260</v>
      </c>
      <c r="AU16" s="5">
        <f t="shared" si="2"/>
        <v>280</v>
      </c>
      <c r="AV16" s="5">
        <f t="shared" si="2"/>
        <v>272</v>
      </c>
      <c r="AW16" s="5">
        <f t="shared" si="2"/>
        <v>270</v>
      </c>
      <c r="AX16" s="5">
        <f t="shared" si="2"/>
        <v>278</v>
      </c>
      <c r="AY16" s="5">
        <f t="shared" si="0"/>
        <v>12036</v>
      </c>
    </row>
    <row r="17" spans="1:51" x14ac:dyDescent="0.3">
      <c r="A17" s="77"/>
      <c r="B17" s="85"/>
      <c r="C17" s="85"/>
      <c r="D17" s="7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6"/>
      <c r="X17" s="6"/>
      <c r="Y17" s="6"/>
      <c r="Z17" s="6"/>
      <c r="AA17" s="6"/>
      <c r="AB17" s="6"/>
      <c r="AC17" s="6"/>
      <c r="AD17" s="6"/>
      <c r="AE17" s="6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5">
        <f t="shared" si="0"/>
        <v>0</v>
      </c>
    </row>
    <row r="18" spans="1:51" x14ac:dyDescent="0.3">
      <c r="A18" s="11" t="s">
        <v>26</v>
      </c>
      <c r="B18" s="93" t="s">
        <v>27</v>
      </c>
      <c r="C18" s="85"/>
      <c r="D18" s="76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6"/>
      <c r="X18" s="6"/>
      <c r="Y18" s="6"/>
      <c r="Z18" s="6"/>
      <c r="AA18" s="6"/>
      <c r="AB18" s="6"/>
      <c r="AC18" s="6"/>
      <c r="AD18" s="6"/>
      <c r="AE18" s="6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5">
        <f t="shared" si="0"/>
        <v>0</v>
      </c>
    </row>
    <row r="19" spans="1:51" x14ac:dyDescent="0.3">
      <c r="A19" s="11"/>
      <c r="B19" s="98" t="s">
        <v>28</v>
      </c>
      <c r="C19" s="99" t="s">
        <v>29</v>
      </c>
      <c r="D19" s="6" t="s">
        <v>23</v>
      </c>
      <c r="E19" s="6">
        <v>85</v>
      </c>
      <c r="F19" s="6">
        <v>106</v>
      </c>
      <c r="G19" s="6">
        <v>76</v>
      </c>
      <c r="H19" s="6">
        <v>77</v>
      </c>
      <c r="I19" s="6">
        <v>96</v>
      </c>
      <c r="J19" s="6">
        <v>88</v>
      </c>
      <c r="K19" s="6">
        <v>88</v>
      </c>
      <c r="L19" s="6">
        <v>94</v>
      </c>
      <c r="M19" s="6">
        <v>65</v>
      </c>
      <c r="N19" s="6">
        <v>103</v>
      </c>
      <c r="O19" s="6">
        <v>94</v>
      </c>
      <c r="P19" s="6">
        <v>99</v>
      </c>
      <c r="Q19" s="6">
        <v>82</v>
      </c>
      <c r="R19" s="6">
        <v>71</v>
      </c>
      <c r="S19" s="6">
        <v>83</v>
      </c>
      <c r="T19" s="6">
        <v>91</v>
      </c>
      <c r="U19" s="6">
        <v>102</v>
      </c>
      <c r="V19" s="6">
        <v>102</v>
      </c>
      <c r="W19" s="6">
        <v>96</v>
      </c>
      <c r="X19" s="6">
        <v>116</v>
      </c>
      <c r="Y19" s="6">
        <v>95</v>
      </c>
      <c r="Z19" s="6">
        <v>100</v>
      </c>
      <c r="AA19" s="6">
        <v>90</v>
      </c>
      <c r="AB19" s="6">
        <v>90</v>
      </c>
      <c r="AC19" s="6">
        <v>85</v>
      </c>
      <c r="AD19" s="6">
        <v>94</v>
      </c>
      <c r="AE19" s="6">
        <v>89</v>
      </c>
      <c r="AF19" s="6">
        <v>68</v>
      </c>
      <c r="AG19" s="6">
        <v>114</v>
      </c>
      <c r="AH19" s="6">
        <v>63</v>
      </c>
      <c r="AI19" s="6">
        <v>98</v>
      </c>
      <c r="AJ19" s="6">
        <v>101</v>
      </c>
      <c r="AK19" s="6">
        <v>106</v>
      </c>
      <c r="AL19" s="6">
        <v>111</v>
      </c>
      <c r="AM19" s="6">
        <v>117</v>
      </c>
      <c r="AN19" s="6">
        <v>99</v>
      </c>
      <c r="AO19" s="6">
        <v>107</v>
      </c>
      <c r="AP19" s="6">
        <v>94</v>
      </c>
      <c r="AQ19" s="6">
        <v>103</v>
      </c>
      <c r="AR19" s="6">
        <v>91</v>
      </c>
      <c r="AS19" s="6">
        <v>103</v>
      </c>
      <c r="AT19" s="6">
        <v>106</v>
      </c>
      <c r="AU19" s="6">
        <v>118</v>
      </c>
      <c r="AV19" s="6">
        <v>97</v>
      </c>
      <c r="AW19" s="6">
        <v>85</v>
      </c>
      <c r="AX19" s="6">
        <v>98</v>
      </c>
      <c r="AY19" s="5">
        <f t="shared" si="0"/>
        <v>4336</v>
      </c>
    </row>
    <row r="20" spans="1:51" x14ac:dyDescent="0.3">
      <c r="A20" s="12"/>
      <c r="B20" s="90"/>
      <c r="C20" s="100"/>
      <c r="D20" s="6" t="s">
        <v>24</v>
      </c>
      <c r="E20" s="6">
        <v>95</v>
      </c>
      <c r="F20" s="6">
        <v>98</v>
      </c>
      <c r="G20" s="6">
        <v>95</v>
      </c>
      <c r="H20" s="6">
        <v>91</v>
      </c>
      <c r="I20" s="6">
        <v>110</v>
      </c>
      <c r="J20" s="6">
        <v>108</v>
      </c>
      <c r="K20" s="6">
        <v>79</v>
      </c>
      <c r="L20" s="6">
        <v>100</v>
      </c>
      <c r="M20" s="6">
        <v>101</v>
      </c>
      <c r="N20" s="6">
        <v>112</v>
      </c>
      <c r="O20" s="6">
        <v>90</v>
      </c>
      <c r="P20" s="6">
        <v>108</v>
      </c>
      <c r="Q20" s="6">
        <v>93</v>
      </c>
      <c r="R20" s="6">
        <v>82</v>
      </c>
      <c r="S20" s="6">
        <v>96</v>
      </c>
      <c r="T20" s="6">
        <v>107</v>
      </c>
      <c r="U20" s="6">
        <v>122</v>
      </c>
      <c r="V20" s="6">
        <v>118</v>
      </c>
      <c r="W20" s="6">
        <v>104</v>
      </c>
      <c r="X20" s="6">
        <v>115</v>
      </c>
      <c r="Y20" s="6">
        <v>120</v>
      </c>
      <c r="Z20" s="6">
        <v>104</v>
      </c>
      <c r="AA20" s="6">
        <v>103</v>
      </c>
      <c r="AB20" s="6">
        <v>89</v>
      </c>
      <c r="AC20" s="6">
        <v>110</v>
      </c>
      <c r="AD20" s="6">
        <v>109</v>
      </c>
      <c r="AE20" s="6">
        <v>99</v>
      </c>
      <c r="AF20" s="6">
        <v>92</v>
      </c>
      <c r="AG20" s="6">
        <v>109</v>
      </c>
      <c r="AH20" s="6">
        <v>59</v>
      </c>
      <c r="AI20" s="6">
        <v>104</v>
      </c>
      <c r="AJ20" s="6">
        <v>105</v>
      </c>
      <c r="AK20" s="6">
        <v>118</v>
      </c>
      <c r="AL20" s="6">
        <v>126</v>
      </c>
      <c r="AM20" s="6">
        <v>129</v>
      </c>
      <c r="AN20" s="6">
        <v>103</v>
      </c>
      <c r="AO20" s="6">
        <v>122</v>
      </c>
      <c r="AP20" s="6">
        <v>110</v>
      </c>
      <c r="AQ20" s="6">
        <v>93</v>
      </c>
      <c r="AR20" s="6">
        <v>103</v>
      </c>
      <c r="AS20" s="6">
        <v>107</v>
      </c>
      <c r="AT20" s="6">
        <v>103</v>
      </c>
      <c r="AU20" s="6">
        <v>112</v>
      </c>
      <c r="AV20" s="6">
        <v>105</v>
      </c>
      <c r="AW20" s="6">
        <v>98</v>
      </c>
      <c r="AX20" s="6">
        <v>102</v>
      </c>
      <c r="AY20" s="5">
        <f t="shared" si="0"/>
        <v>4758</v>
      </c>
    </row>
    <row r="21" spans="1:51" x14ac:dyDescent="0.3">
      <c r="A21" s="13"/>
      <c r="B21" s="91"/>
      <c r="C21" s="101"/>
      <c r="D21" s="5" t="s">
        <v>25</v>
      </c>
      <c r="E21" s="5">
        <f t="shared" ref="E21:V21" si="3">SUM(E19:E20)</f>
        <v>180</v>
      </c>
      <c r="F21" s="5">
        <f t="shared" si="3"/>
        <v>204</v>
      </c>
      <c r="G21" s="5">
        <f t="shared" si="3"/>
        <v>171</v>
      </c>
      <c r="H21" s="5">
        <f t="shared" si="3"/>
        <v>168</v>
      </c>
      <c r="I21" s="5">
        <f t="shared" si="3"/>
        <v>206</v>
      </c>
      <c r="J21" s="5">
        <f t="shared" si="3"/>
        <v>196</v>
      </c>
      <c r="K21" s="5">
        <f t="shared" si="3"/>
        <v>167</v>
      </c>
      <c r="L21" s="5">
        <f t="shared" si="3"/>
        <v>194</v>
      </c>
      <c r="M21" s="5">
        <f t="shared" si="3"/>
        <v>166</v>
      </c>
      <c r="N21" s="5">
        <f t="shared" si="3"/>
        <v>215</v>
      </c>
      <c r="O21" s="5">
        <f t="shared" si="3"/>
        <v>184</v>
      </c>
      <c r="P21" s="5">
        <f t="shared" si="3"/>
        <v>207</v>
      </c>
      <c r="Q21" s="5">
        <f t="shared" si="3"/>
        <v>175</v>
      </c>
      <c r="R21" s="5">
        <f t="shared" si="3"/>
        <v>153</v>
      </c>
      <c r="S21" s="5">
        <f t="shared" si="3"/>
        <v>179</v>
      </c>
      <c r="T21" s="5">
        <f t="shared" si="3"/>
        <v>198</v>
      </c>
      <c r="U21" s="5">
        <f t="shared" si="3"/>
        <v>224</v>
      </c>
      <c r="V21" s="5">
        <f t="shared" si="3"/>
        <v>220</v>
      </c>
      <c r="W21" s="5">
        <f t="shared" ref="W21:AX21" si="4">SUM(W19:W20)</f>
        <v>200</v>
      </c>
      <c r="X21" s="5">
        <f t="shared" si="4"/>
        <v>231</v>
      </c>
      <c r="Y21" s="5">
        <f t="shared" si="4"/>
        <v>215</v>
      </c>
      <c r="Z21" s="5">
        <f t="shared" si="4"/>
        <v>204</v>
      </c>
      <c r="AA21" s="5">
        <f t="shared" si="4"/>
        <v>193</v>
      </c>
      <c r="AB21" s="5">
        <f t="shared" si="4"/>
        <v>179</v>
      </c>
      <c r="AC21" s="5">
        <f t="shared" si="4"/>
        <v>195</v>
      </c>
      <c r="AD21" s="5">
        <f t="shared" si="4"/>
        <v>203</v>
      </c>
      <c r="AE21" s="5">
        <f t="shared" si="4"/>
        <v>188</v>
      </c>
      <c r="AF21" s="5">
        <f t="shared" si="4"/>
        <v>160</v>
      </c>
      <c r="AG21" s="5">
        <f t="shared" si="4"/>
        <v>223</v>
      </c>
      <c r="AH21" s="5">
        <f t="shared" si="4"/>
        <v>122</v>
      </c>
      <c r="AI21" s="5">
        <f t="shared" si="4"/>
        <v>202</v>
      </c>
      <c r="AJ21" s="5">
        <f t="shared" si="4"/>
        <v>206</v>
      </c>
      <c r="AK21" s="5">
        <f t="shared" si="4"/>
        <v>224</v>
      </c>
      <c r="AL21" s="5">
        <f t="shared" si="4"/>
        <v>237</v>
      </c>
      <c r="AM21" s="5">
        <f t="shared" si="4"/>
        <v>246</v>
      </c>
      <c r="AN21" s="5">
        <f t="shared" si="4"/>
        <v>202</v>
      </c>
      <c r="AO21" s="5">
        <f t="shared" si="4"/>
        <v>229</v>
      </c>
      <c r="AP21" s="5">
        <f t="shared" si="4"/>
        <v>204</v>
      </c>
      <c r="AQ21" s="5">
        <f t="shared" si="4"/>
        <v>196</v>
      </c>
      <c r="AR21" s="5">
        <f t="shared" si="4"/>
        <v>194</v>
      </c>
      <c r="AS21" s="5">
        <f t="shared" si="4"/>
        <v>210</v>
      </c>
      <c r="AT21" s="5">
        <f t="shared" si="4"/>
        <v>209</v>
      </c>
      <c r="AU21" s="5">
        <f t="shared" si="4"/>
        <v>230</v>
      </c>
      <c r="AV21" s="5">
        <f t="shared" si="4"/>
        <v>202</v>
      </c>
      <c r="AW21" s="5">
        <f t="shared" si="4"/>
        <v>183</v>
      </c>
      <c r="AX21" s="5">
        <f t="shared" si="4"/>
        <v>200</v>
      </c>
      <c r="AY21" s="5">
        <f t="shared" si="0"/>
        <v>9094</v>
      </c>
    </row>
    <row r="22" spans="1:51" x14ac:dyDescent="0.3">
      <c r="A22" s="12"/>
      <c r="B22" s="98" t="s">
        <v>30</v>
      </c>
      <c r="C22" s="99" t="s">
        <v>31</v>
      </c>
      <c r="D22" s="6" t="s">
        <v>23</v>
      </c>
      <c r="E22" s="6">
        <v>0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3</v>
      </c>
      <c r="P22" s="6">
        <v>1</v>
      </c>
      <c r="Q22" s="6">
        <v>1</v>
      </c>
      <c r="R22" s="6">
        <v>0</v>
      </c>
      <c r="S22" s="6">
        <v>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0</v>
      </c>
      <c r="AJ22" s="6">
        <v>2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1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/>
      <c r="AY22" s="5">
        <f t="shared" si="0"/>
        <v>9</v>
      </c>
    </row>
    <row r="23" spans="1:51" x14ac:dyDescent="0.3">
      <c r="A23" s="12"/>
      <c r="B23" s="90"/>
      <c r="C23" s="10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5</v>
      </c>
      <c r="P23" s="6">
        <v>2</v>
      </c>
      <c r="Q23" s="6">
        <v>1</v>
      </c>
      <c r="R23" s="6">
        <v>0</v>
      </c>
      <c r="S23" s="6">
        <v>0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0</v>
      </c>
      <c r="AJ23" s="6">
        <v>1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/>
      <c r="AY23" s="5">
        <f t="shared" si="0"/>
        <v>9</v>
      </c>
    </row>
    <row r="24" spans="1:51" x14ac:dyDescent="0.3">
      <c r="A24" s="13"/>
      <c r="B24" s="91"/>
      <c r="C24" s="101"/>
      <c r="D24" s="5" t="s">
        <v>25</v>
      </c>
      <c r="E24" s="5">
        <f t="shared" ref="E24:V24" si="5">SUM(E22:E23)</f>
        <v>0</v>
      </c>
      <c r="F24" s="5">
        <f t="shared" si="5"/>
        <v>1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8</v>
      </c>
      <c r="P24" s="5">
        <f t="shared" si="5"/>
        <v>3</v>
      </c>
      <c r="Q24" s="5">
        <f t="shared" si="5"/>
        <v>2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ref="W24:AX24" si="6">SUM(W22:W23)</f>
        <v>0</v>
      </c>
      <c r="X24" s="5">
        <f t="shared" si="6"/>
        <v>0</v>
      </c>
      <c r="Y24" s="5">
        <f t="shared" si="6"/>
        <v>0</v>
      </c>
      <c r="Z24" s="5">
        <f t="shared" si="6"/>
        <v>0</v>
      </c>
      <c r="AA24" s="5">
        <f t="shared" si="6"/>
        <v>0</v>
      </c>
      <c r="AB24" s="5">
        <f t="shared" si="6"/>
        <v>0</v>
      </c>
      <c r="AC24" s="5">
        <f t="shared" si="6"/>
        <v>0</v>
      </c>
      <c r="AD24" s="5">
        <f t="shared" si="6"/>
        <v>0</v>
      </c>
      <c r="AE24" s="5">
        <f t="shared" si="6"/>
        <v>0</v>
      </c>
      <c r="AF24" s="5">
        <f t="shared" si="6"/>
        <v>0</v>
      </c>
      <c r="AG24" s="5">
        <f t="shared" si="6"/>
        <v>0</v>
      </c>
      <c r="AH24" s="5">
        <f t="shared" si="6"/>
        <v>0</v>
      </c>
      <c r="AI24" s="5">
        <f t="shared" si="6"/>
        <v>0</v>
      </c>
      <c r="AJ24" s="5">
        <f t="shared" si="6"/>
        <v>3</v>
      </c>
      <c r="AK24" s="5">
        <f t="shared" si="6"/>
        <v>0</v>
      </c>
      <c r="AL24" s="5">
        <f t="shared" si="6"/>
        <v>0</v>
      </c>
      <c r="AM24" s="5">
        <f t="shared" si="6"/>
        <v>0</v>
      </c>
      <c r="AN24" s="5">
        <f t="shared" si="6"/>
        <v>0</v>
      </c>
      <c r="AO24" s="5">
        <f t="shared" si="6"/>
        <v>0</v>
      </c>
      <c r="AP24" s="5">
        <f t="shared" si="6"/>
        <v>0</v>
      </c>
      <c r="AQ24" s="5">
        <f t="shared" si="6"/>
        <v>0</v>
      </c>
      <c r="AR24" s="5">
        <f t="shared" si="6"/>
        <v>1</v>
      </c>
      <c r="AS24" s="5">
        <f t="shared" si="6"/>
        <v>0</v>
      </c>
      <c r="AT24" s="5">
        <f t="shared" si="6"/>
        <v>0</v>
      </c>
      <c r="AU24" s="5">
        <f t="shared" si="6"/>
        <v>0</v>
      </c>
      <c r="AV24" s="5">
        <f t="shared" si="6"/>
        <v>0</v>
      </c>
      <c r="AW24" s="5">
        <f t="shared" si="6"/>
        <v>0</v>
      </c>
      <c r="AX24" s="5">
        <f t="shared" si="6"/>
        <v>0</v>
      </c>
      <c r="AY24" s="5">
        <f t="shared" si="0"/>
        <v>18</v>
      </c>
    </row>
    <row r="25" spans="1:51" x14ac:dyDescent="0.3">
      <c r="A25" s="12"/>
      <c r="B25" s="98" t="s">
        <v>32</v>
      </c>
      <c r="C25" s="99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1</v>
      </c>
      <c r="I25" s="6">
        <v>1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>
        <v>0</v>
      </c>
      <c r="Q25" s="6">
        <v>2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2</v>
      </c>
      <c r="X25" s="6">
        <v>0</v>
      </c>
      <c r="Y25" s="6">
        <v>0</v>
      </c>
      <c r="Z25" s="6">
        <v>0</v>
      </c>
      <c r="AA25" s="6">
        <v>0</v>
      </c>
      <c r="AB25" s="6">
        <v>1</v>
      </c>
      <c r="AC25" s="6">
        <v>1</v>
      </c>
      <c r="AD25" s="6">
        <v>0</v>
      </c>
      <c r="AE25" s="6">
        <v>1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4</v>
      </c>
      <c r="AN25" s="6">
        <v>4</v>
      </c>
      <c r="AO25" s="6">
        <v>0</v>
      </c>
      <c r="AP25" s="6">
        <v>0</v>
      </c>
      <c r="AQ25" s="6">
        <v>0</v>
      </c>
      <c r="AR25" s="6">
        <v>1</v>
      </c>
      <c r="AS25" s="6">
        <v>0</v>
      </c>
      <c r="AT25" s="6">
        <v>1</v>
      </c>
      <c r="AU25" s="6">
        <v>0</v>
      </c>
      <c r="AV25" s="6">
        <v>1</v>
      </c>
      <c r="AW25" s="6">
        <v>4</v>
      </c>
      <c r="AX25" s="6"/>
      <c r="AY25" s="5">
        <f t="shared" si="0"/>
        <v>29</v>
      </c>
    </row>
    <row r="26" spans="1:51" x14ac:dyDescent="0.3">
      <c r="A26" s="12"/>
      <c r="B26" s="90"/>
      <c r="C26" s="100"/>
      <c r="D26" s="6" t="s">
        <v>24</v>
      </c>
      <c r="E26" s="6">
        <v>1</v>
      </c>
      <c r="F26" s="6">
        <v>0</v>
      </c>
      <c r="G26" s="6">
        <v>0</v>
      </c>
      <c r="H26" s="6">
        <v>0</v>
      </c>
      <c r="I26" s="6">
        <v>1</v>
      </c>
      <c r="J26" s="6">
        <v>2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2</v>
      </c>
      <c r="U26" s="6">
        <v>0</v>
      </c>
      <c r="V26" s="6">
        <v>0</v>
      </c>
      <c r="W26" s="6">
        <v>5</v>
      </c>
      <c r="X26" s="6">
        <v>0</v>
      </c>
      <c r="Y26" s="6">
        <v>0</v>
      </c>
      <c r="Z26" s="6">
        <v>0</v>
      </c>
      <c r="AA26" s="6">
        <v>0</v>
      </c>
      <c r="AB26" s="6">
        <v>2</v>
      </c>
      <c r="AC26" s="6">
        <v>3</v>
      </c>
      <c r="AD26" s="6">
        <v>0</v>
      </c>
      <c r="AE26" s="6">
        <v>2</v>
      </c>
      <c r="AF26" s="6">
        <v>1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5</v>
      </c>
      <c r="AN26" s="6">
        <v>4</v>
      </c>
      <c r="AO26" s="6">
        <v>0</v>
      </c>
      <c r="AP26" s="6">
        <v>0</v>
      </c>
      <c r="AQ26" s="6">
        <v>0</v>
      </c>
      <c r="AR26" s="6">
        <v>2</v>
      </c>
      <c r="AS26" s="6">
        <v>0</v>
      </c>
      <c r="AT26" s="6">
        <v>0</v>
      </c>
      <c r="AU26" s="6">
        <v>0</v>
      </c>
      <c r="AV26" s="6">
        <v>2</v>
      </c>
      <c r="AW26" s="6">
        <v>4</v>
      </c>
      <c r="AX26" s="6"/>
      <c r="AY26" s="5">
        <f t="shared" si="0"/>
        <v>38</v>
      </c>
    </row>
    <row r="27" spans="1:51" x14ac:dyDescent="0.3">
      <c r="A27" s="13"/>
      <c r="B27" s="91"/>
      <c r="C27" s="101"/>
      <c r="D27" s="5" t="s">
        <v>25</v>
      </c>
      <c r="E27" s="5">
        <f t="shared" ref="E27:V27" si="7">SUM(E25:E26)</f>
        <v>2</v>
      </c>
      <c r="F27" s="5">
        <f t="shared" si="7"/>
        <v>0</v>
      </c>
      <c r="G27" s="5">
        <f t="shared" si="7"/>
        <v>0</v>
      </c>
      <c r="H27" s="5">
        <f t="shared" si="7"/>
        <v>1</v>
      </c>
      <c r="I27" s="5">
        <f t="shared" si="7"/>
        <v>2</v>
      </c>
      <c r="J27" s="5">
        <f t="shared" si="7"/>
        <v>3</v>
      </c>
      <c r="K27" s="5">
        <f t="shared" si="7"/>
        <v>0</v>
      </c>
      <c r="L27" s="5">
        <f t="shared" si="7"/>
        <v>0</v>
      </c>
      <c r="M27" s="5">
        <f t="shared" si="7"/>
        <v>0</v>
      </c>
      <c r="N27" s="5">
        <f t="shared" si="7"/>
        <v>3</v>
      </c>
      <c r="O27" s="5">
        <f t="shared" si="7"/>
        <v>0</v>
      </c>
      <c r="P27" s="5">
        <f t="shared" si="7"/>
        <v>0</v>
      </c>
      <c r="Q27" s="5">
        <f t="shared" si="7"/>
        <v>3</v>
      </c>
      <c r="R27" s="5">
        <f t="shared" si="7"/>
        <v>0</v>
      </c>
      <c r="S27" s="5">
        <f t="shared" si="7"/>
        <v>0</v>
      </c>
      <c r="T27" s="5">
        <f t="shared" si="7"/>
        <v>3</v>
      </c>
      <c r="U27" s="5">
        <f t="shared" si="7"/>
        <v>0</v>
      </c>
      <c r="V27" s="5">
        <f t="shared" si="7"/>
        <v>0</v>
      </c>
      <c r="W27" s="5">
        <f t="shared" ref="W27:AX27" si="8">SUM(W25:W26)</f>
        <v>7</v>
      </c>
      <c r="X27" s="5">
        <f t="shared" si="8"/>
        <v>0</v>
      </c>
      <c r="Y27" s="5">
        <f t="shared" si="8"/>
        <v>0</v>
      </c>
      <c r="Z27" s="5">
        <f t="shared" si="8"/>
        <v>0</v>
      </c>
      <c r="AA27" s="5">
        <f t="shared" si="8"/>
        <v>0</v>
      </c>
      <c r="AB27" s="5">
        <f t="shared" si="8"/>
        <v>3</v>
      </c>
      <c r="AC27" s="5">
        <f t="shared" si="8"/>
        <v>4</v>
      </c>
      <c r="AD27" s="5">
        <f t="shared" si="8"/>
        <v>0</v>
      </c>
      <c r="AE27" s="5">
        <f t="shared" si="8"/>
        <v>3</v>
      </c>
      <c r="AF27" s="5">
        <f t="shared" si="8"/>
        <v>1</v>
      </c>
      <c r="AG27" s="5">
        <f t="shared" si="8"/>
        <v>0</v>
      </c>
      <c r="AH27" s="5">
        <f t="shared" si="8"/>
        <v>0</v>
      </c>
      <c r="AI27" s="5">
        <f t="shared" si="8"/>
        <v>0</v>
      </c>
      <c r="AJ27" s="5">
        <f t="shared" si="8"/>
        <v>0</v>
      </c>
      <c r="AK27" s="5">
        <f t="shared" si="8"/>
        <v>0</v>
      </c>
      <c r="AL27" s="5">
        <f t="shared" si="8"/>
        <v>0</v>
      </c>
      <c r="AM27" s="5">
        <f t="shared" si="8"/>
        <v>9</v>
      </c>
      <c r="AN27" s="5">
        <f t="shared" si="8"/>
        <v>8</v>
      </c>
      <c r="AO27" s="5">
        <f t="shared" si="8"/>
        <v>0</v>
      </c>
      <c r="AP27" s="5">
        <f t="shared" si="8"/>
        <v>0</v>
      </c>
      <c r="AQ27" s="5">
        <f t="shared" si="8"/>
        <v>0</v>
      </c>
      <c r="AR27" s="5">
        <f t="shared" si="8"/>
        <v>3</v>
      </c>
      <c r="AS27" s="5">
        <f t="shared" si="8"/>
        <v>0</v>
      </c>
      <c r="AT27" s="5">
        <f t="shared" si="8"/>
        <v>1</v>
      </c>
      <c r="AU27" s="5">
        <f t="shared" si="8"/>
        <v>0</v>
      </c>
      <c r="AV27" s="5">
        <f t="shared" si="8"/>
        <v>3</v>
      </c>
      <c r="AW27" s="5">
        <f t="shared" si="8"/>
        <v>8</v>
      </c>
      <c r="AX27" s="5">
        <f t="shared" si="8"/>
        <v>0</v>
      </c>
      <c r="AY27" s="5">
        <f t="shared" si="0"/>
        <v>67</v>
      </c>
    </row>
    <row r="28" spans="1:51" x14ac:dyDescent="0.3">
      <c r="A28" s="13"/>
      <c r="B28" s="102" t="s">
        <v>34</v>
      </c>
      <c r="C28" s="103" t="s">
        <v>35</v>
      </c>
      <c r="D28" s="5" t="s">
        <v>23</v>
      </c>
      <c r="E28" s="5">
        <f>SUM(E19,E22,E25)</f>
        <v>86</v>
      </c>
      <c r="F28" s="5">
        <f t="shared" ref="F28:V28" si="9">SUM(F19,F22,F25)</f>
        <v>107</v>
      </c>
      <c r="G28" s="5">
        <f t="shared" si="9"/>
        <v>76</v>
      </c>
      <c r="H28" s="5">
        <f t="shared" si="9"/>
        <v>78</v>
      </c>
      <c r="I28" s="5">
        <f t="shared" si="9"/>
        <v>97</v>
      </c>
      <c r="J28" s="5">
        <f t="shared" si="9"/>
        <v>89</v>
      </c>
      <c r="K28" s="5">
        <f t="shared" si="9"/>
        <v>88</v>
      </c>
      <c r="L28" s="5">
        <f t="shared" si="9"/>
        <v>94</v>
      </c>
      <c r="M28" s="5">
        <f t="shared" si="9"/>
        <v>65</v>
      </c>
      <c r="N28" s="5">
        <f t="shared" si="9"/>
        <v>105</v>
      </c>
      <c r="O28" s="5">
        <f t="shared" si="9"/>
        <v>97</v>
      </c>
      <c r="P28" s="5">
        <f t="shared" si="9"/>
        <v>100</v>
      </c>
      <c r="Q28" s="5">
        <f t="shared" si="9"/>
        <v>85</v>
      </c>
      <c r="R28" s="5">
        <f t="shared" si="9"/>
        <v>71</v>
      </c>
      <c r="S28" s="5">
        <f t="shared" si="9"/>
        <v>83</v>
      </c>
      <c r="T28" s="5">
        <f t="shared" si="9"/>
        <v>92</v>
      </c>
      <c r="U28" s="5">
        <f t="shared" si="9"/>
        <v>102</v>
      </c>
      <c r="V28" s="5">
        <f t="shared" si="9"/>
        <v>102</v>
      </c>
      <c r="W28" s="5">
        <f>SUM(W19,W22,W25)</f>
        <v>98</v>
      </c>
      <c r="X28" s="5">
        <f t="shared" ref="X28:AX29" si="10">SUM(X19,X22,X25)</f>
        <v>116</v>
      </c>
      <c r="Y28" s="5">
        <f t="shared" si="10"/>
        <v>95</v>
      </c>
      <c r="Z28" s="5">
        <f t="shared" si="10"/>
        <v>100</v>
      </c>
      <c r="AA28" s="5">
        <f t="shared" si="10"/>
        <v>90</v>
      </c>
      <c r="AB28" s="5">
        <f t="shared" si="10"/>
        <v>91</v>
      </c>
      <c r="AC28" s="5">
        <f t="shared" si="10"/>
        <v>86</v>
      </c>
      <c r="AD28" s="5">
        <f t="shared" si="10"/>
        <v>94</v>
      </c>
      <c r="AE28" s="5">
        <f t="shared" si="10"/>
        <v>90</v>
      </c>
      <c r="AF28" s="5">
        <f t="shared" si="10"/>
        <v>68</v>
      </c>
      <c r="AG28" s="5">
        <f t="shared" si="10"/>
        <v>114</v>
      </c>
      <c r="AH28" s="5">
        <f t="shared" si="10"/>
        <v>63</v>
      </c>
      <c r="AI28" s="5">
        <f t="shared" si="10"/>
        <v>98</v>
      </c>
      <c r="AJ28" s="5">
        <f t="shared" si="10"/>
        <v>103</v>
      </c>
      <c r="AK28" s="5">
        <f t="shared" si="10"/>
        <v>106</v>
      </c>
      <c r="AL28" s="5">
        <f t="shared" si="10"/>
        <v>111</v>
      </c>
      <c r="AM28" s="5">
        <f t="shared" si="10"/>
        <v>121</v>
      </c>
      <c r="AN28" s="5">
        <f t="shared" si="10"/>
        <v>103</v>
      </c>
      <c r="AO28" s="5">
        <f t="shared" si="10"/>
        <v>107</v>
      </c>
      <c r="AP28" s="5">
        <f t="shared" si="10"/>
        <v>94</v>
      </c>
      <c r="AQ28" s="5">
        <f t="shared" si="10"/>
        <v>103</v>
      </c>
      <c r="AR28" s="5">
        <f t="shared" si="10"/>
        <v>93</v>
      </c>
      <c r="AS28" s="5">
        <f t="shared" si="10"/>
        <v>103</v>
      </c>
      <c r="AT28" s="5">
        <f t="shared" si="10"/>
        <v>107</v>
      </c>
      <c r="AU28" s="5">
        <f t="shared" si="10"/>
        <v>118</v>
      </c>
      <c r="AV28" s="5">
        <f t="shared" si="10"/>
        <v>98</v>
      </c>
      <c r="AW28" s="5">
        <f t="shared" si="10"/>
        <v>89</v>
      </c>
      <c r="AX28" s="5">
        <f t="shared" si="10"/>
        <v>98</v>
      </c>
      <c r="AY28" s="5">
        <f t="shared" si="0"/>
        <v>4374</v>
      </c>
    </row>
    <row r="29" spans="1:51" x14ac:dyDescent="0.3">
      <c r="A29" s="13"/>
      <c r="B29" s="90"/>
      <c r="C29" s="100"/>
      <c r="D29" s="5" t="s">
        <v>24</v>
      </c>
      <c r="E29" s="5">
        <f>SUM(E20,E23,E26)</f>
        <v>96</v>
      </c>
      <c r="F29" s="5">
        <f t="shared" ref="F29:V29" si="11">SUM(F20,F23,F26)</f>
        <v>98</v>
      </c>
      <c r="G29" s="5">
        <f t="shared" si="11"/>
        <v>95</v>
      </c>
      <c r="H29" s="5">
        <f t="shared" si="11"/>
        <v>91</v>
      </c>
      <c r="I29" s="5">
        <f t="shared" si="11"/>
        <v>111</v>
      </c>
      <c r="J29" s="5">
        <f t="shared" si="11"/>
        <v>110</v>
      </c>
      <c r="K29" s="5">
        <f t="shared" si="11"/>
        <v>79</v>
      </c>
      <c r="L29" s="5">
        <f t="shared" si="11"/>
        <v>100</v>
      </c>
      <c r="M29" s="5">
        <f t="shared" si="11"/>
        <v>101</v>
      </c>
      <c r="N29" s="5">
        <f t="shared" si="11"/>
        <v>113</v>
      </c>
      <c r="O29" s="5">
        <f t="shared" si="11"/>
        <v>95</v>
      </c>
      <c r="P29" s="5">
        <f t="shared" si="11"/>
        <v>110</v>
      </c>
      <c r="Q29" s="5">
        <f t="shared" si="11"/>
        <v>95</v>
      </c>
      <c r="R29" s="5">
        <f t="shared" si="11"/>
        <v>82</v>
      </c>
      <c r="S29" s="5">
        <f t="shared" si="11"/>
        <v>96</v>
      </c>
      <c r="T29" s="5">
        <f t="shared" si="11"/>
        <v>109</v>
      </c>
      <c r="U29" s="5">
        <f t="shared" si="11"/>
        <v>122</v>
      </c>
      <c r="V29" s="5">
        <f t="shared" si="11"/>
        <v>118</v>
      </c>
      <c r="W29" s="5">
        <f>SUM(W20,W23,W26)</f>
        <v>109</v>
      </c>
      <c r="X29" s="5">
        <f t="shared" si="10"/>
        <v>115</v>
      </c>
      <c r="Y29" s="5">
        <f t="shared" si="10"/>
        <v>120</v>
      </c>
      <c r="Z29" s="5">
        <f t="shared" si="10"/>
        <v>104</v>
      </c>
      <c r="AA29" s="5">
        <f t="shared" si="10"/>
        <v>103</v>
      </c>
      <c r="AB29" s="5">
        <f t="shared" si="10"/>
        <v>91</v>
      </c>
      <c r="AC29" s="5">
        <f t="shared" si="10"/>
        <v>113</v>
      </c>
      <c r="AD29" s="5">
        <f t="shared" si="10"/>
        <v>109</v>
      </c>
      <c r="AE29" s="5">
        <f t="shared" si="10"/>
        <v>101</v>
      </c>
      <c r="AF29" s="5">
        <f t="shared" si="10"/>
        <v>93</v>
      </c>
      <c r="AG29" s="5">
        <f t="shared" si="10"/>
        <v>109</v>
      </c>
      <c r="AH29" s="5">
        <f t="shared" si="10"/>
        <v>59</v>
      </c>
      <c r="AI29" s="5">
        <f t="shared" si="10"/>
        <v>104</v>
      </c>
      <c r="AJ29" s="5">
        <f t="shared" si="10"/>
        <v>106</v>
      </c>
      <c r="AK29" s="5">
        <f t="shared" si="10"/>
        <v>118</v>
      </c>
      <c r="AL29" s="5">
        <f t="shared" si="10"/>
        <v>126</v>
      </c>
      <c r="AM29" s="5">
        <f t="shared" si="10"/>
        <v>134</v>
      </c>
      <c r="AN29" s="5">
        <f t="shared" si="10"/>
        <v>107</v>
      </c>
      <c r="AO29" s="5">
        <f t="shared" si="10"/>
        <v>122</v>
      </c>
      <c r="AP29" s="5">
        <f t="shared" si="10"/>
        <v>110</v>
      </c>
      <c r="AQ29" s="5">
        <f t="shared" si="10"/>
        <v>93</v>
      </c>
      <c r="AR29" s="5">
        <f t="shared" si="10"/>
        <v>105</v>
      </c>
      <c r="AS29" s="5">
        <f t="shared" si="10"/>
        <v>107</v>
      </c>
      <c r="AT29" s="5">
        <f t="shared" si="10"/>
        <v>103</v>
      </c>
      <c r="AU29" s="5">
        <f t="shared" si="10"/>
        <v>112</v>
      </c>
      <c r="AV29" s="5">
        <f t="shared" si="10"/>
        <v>107</v>
      </c>
      <c r="AW29" s="5">
        <f t="shared" si="10"/>
        <v>102</v>
      </c>
      <c r="AX29" s="5">
        <f t="shared" si="10"/>
        <v>102</v>
      </c>
      <c r="AY29" s="5">
        <f t="shared" si="0"/>
        <v>4805</v>
      </c>
    </row>
    <row r="30" spans="1:51" x14ac:dyDescent="0.3">
      <c r="A30" s="13"/>
      <c r="B30" s="91"/>
      <c r="C30" s="101"/>
      <c r="D30" s="5" t="s">
        <v>25</v>
      </c>
      <c r="E30" s="5">
        <f t="shared" ref="E30:V30" si="12">SUM(E28:E29)</f>
        <v>182</v>
      </c>
      <c r="F30" s="5">
        <f t="shared" si="12"/>
        <v>205</v>
      </c>
      <c r="G30" s="5">
        <f t="shared" si="12"/>
        <v>171</v>
      </c>
      <c r="H30" s="5">
        <f t="shared" si="12"/>
        <v>169</v>
      </c>
      <c r="I30" s="5">
        <f t="shared" si="12"/>
        <v>208</v>
      </c>
      <c r="J30" s="5">
        <f t="shared" si="12"/>
        <v>199</v>
      </c>
      <c r="K30" s="5">
        <f t="shared" si="12"/>
        <v>167</v>
      </c>
      <c r="L30" s="5">
        <f t="shared" si="12"/>
        <v>194</v>
      </c>
      <c r="M30" s="5">
        <f t="shared" si="12"/>
        <v>166</v>
      </c>
      <c r="N30" s="5">
        <f t="shared" si="12"/>
        <v>218</v>
      </c>
      <c r="O30" s="5">
        <f t="shared" si="12"/>
        <v>192</v>
      </c>
      <c r="P30" s="5">
        <f t="shared" si="12"/>
        <v>210</v>
      </c>
      <c r="Q30" s="5">
        <f t="shared" si="12"/>
        <v>180</v>
      </c>
      <c r="R30" s="5">
        <f t="shared" si="12"/>
        <v>153</v>
      </c>
      <c r="S30" s="5">
        <f t="shared" si="12"/>
        <v>179</v>
      </c>
      <c r="T30" s="5">
        <f t="shared" si="12"/>
        <v>201</v>
      </c>
      <c r="U30" s="5">
        <f t="shared" si="12"/>
        <v>224</v>
      </c>
      <c r="V30" s="5">
        <f t="shared" si="12"/>
        <v>220</v>
      </c>
      <c r="W30" s="5">
        <f t="shared" ref="W30:AX30" si="13">SUM(W28:W29)</f>
        <v>207</v>
      </c>
      <c r="X30" s="5">
        <f t="shared" si="13"/>
        <v>231</v>
      </c>
      <c r="Y30" s="5">
        <f t="shared" si="13"/>
        <v>215</v>
      </c>
      <c r="Z30" s="5">
        <f t="shared" si="13"/>
        <v>204</v>
      </c>
      <c r="AA30" s="5">
        <f t="shared" si="13"/>
        <v>193</v>
      </c>
      <c r="AB30" s="5">
        <f t="shared" si="13"/>
        <v>182</v>
      </c>
      <c r="AC30" s="5">
        <f t="shared" si="13"/>
        <v>199</v>
      </c>
      <c r="AD30" s="5">
        <f t="shared" si="13"/>
        <v>203</v>
      </c>
      <c r="AE30" s="5">
        <f t="shared" si="13"/>
        <v>191</v>
      </c>
      <c r="AF30" s="5">
        <f t="shared" si="13"/>
        <v>161</v>
      </c>
      <c r="AG30" s="5">
        <f t="shared" si="13"/>
        <v>223</v>
      </c>
      <c r="AH30" s="5">
        <f t="shared" si="13"/>
        <v>122</v>
      </c>
      <c r="AI30" s="5">
        <f t="shared" si="13"/>
        <v>202</v>
      </c>
      <c r="AJ30" s="5">
        <f t="shared" si="13"/>
        <v>209</v>
      </c>
      <c r="AK30" s="5">
        <f t="shared" si="13"/>
        <v>224</v>
      </c>
      <c r="AL30" s="5">
        <f t="shared" si="13"/>
        <v>237</v>
      </c>
      <c r="AM30" s="5">
        <f t="shared" si="13"/>
        <v>255</v>
      </c>
      <c r="AN30" s="5">
        <f t="shared" si="13"/>
        <v>210</v>
      </c>
      <c r="AO30" s="5">
        <f t="shared" si="13"/>
        <v>229</v>
      </c>
      <c r="AP30" s="5">
        <f t="shared" si="13"/>
        <v>204</v>
      </c>
      <c r="AQ30" s="5">
        <f t="shared" si="13"/>
        <v>196</v>
      </c>
      <c r="AR30" s="5">
        <f t="shared" si="13"/>
        <v>198</v>
      </c>
      <c r="AS30" s="5">
        <f t="shared" si="13"/>
        <v>210</v>
      </c>
      <c r="AT30" s="5">
        <f t="shared" si="13"/>
        <v>210</v>
      </c>
      <c r="AU30" s="5">
        <f t="shared" si="13"/>
        <v>230</v>
      </c>
      <c r="AV30" s="5">
        <f t="shared" si="13"/>
        <v>205</v>
      </c>
      <c r="AW30" s="5">
        <f t="shared" si="13"/>
        <v>191</v>
      </c>
      <c r="AX30" s="5">
        <f t="shared" si="13"/>
        <v>200</v>
      </c>
      <c r="AY30" s="5">
        <f t="shared" si="0"/>
        <v>9179</v>
      </c>
    </row>
    <row r="31" spans="1:51" x14ac:dyDescent="0.3">
      <c r="A31" s="77"/>
      <c r="B31" s="85"/>
      <c r="C31" s="85"/>
      <c r="D31" s="76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6"/>
      <c r="X31" s="6"/>
      <c r="Y31" s="6"/>
      <c r="Z31" s="6"/>
      <c r="AA31" s="6"/>
      <c r="AB31" s="6"/>
      <c r="AC31" s="6"/>
      <c r="AD31" s="6"/>
      <c r="AE31" s="6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5">
        <f t="shared" si="0"/>
        <v>0</v>
      </c>
    </row>
    <row r="32" spans="1:51" x14ac:dyDescent="0.3">
      <c r="A32" s="14" t="s">
        <v>36</v>
      </c>
      <c r="B32" s="72" t="s">
        <v>37</v>
      </c>
      <c r="C32" s="85"/>
      <c r="D32" s="76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5"/>
      <c r="X32" s="5"/>
      <c r="Y32" s="5"/>
      <c r="Z32" s="5"/>
      <c r="AA32" s="5"/>
      <c r="AB32" s="5"/>
      <c r="AC32" s="5"/>
      <c r="AD32" s="5"/>
      <c r="AE32" s="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5">
        <f t="shared" si="0"/>
        <v>0</v>
      </c>
    </row>
    <row r="33" spans="1:51" x14ac:dyDescent="0.3">
      <c r="A33" s="6">
        <v>1</v>
      </c>
      <c r="B33" s="93" t="s">
        <v>38</v>
      </c>
      <c r="C33" s="85"/>
      <c r="D33" s="76"/>
      <c r="E33" s="6">
        <v>240</v>
      </c>
      <c r="F33" s="6">
        <v>272</v>
      </c>
      <c r="G33" s="6">
        <v>260</v>
      </c>
      <c r="H33" s="6">
        <v>260</v>
      </c>
      <c r="I33" s="6">
        <v>287</v>
      </c>
      <c r="J33" s="6">
        <v>271</v>
      </c>
      <c r="K33" s="6">
        <v>237</v>
      </c>
      <c r="L33" s="6">
        <v>264</v>
      </c>
      <c r="M33" s="6">
        <v>239</v>
      </c>
      <c r="N33" s="6">
        <v>301</v>
      </c>
      <c r="O33" s="6">
        <v>294</v>
      </c>
      <c r="P33" s="6">
        <v>266</v>
      </c>
      <c r="Q33" s="6">
        <v>227</v>
      </c>
      <c r="R33" s="6">
        <v>226</v>
      </c>
      <c r="S33" s="6">
        <v>224</v>
      </c>
      <c r="T33" s="6">
        <v>285</v>
      </c>
      <c r="U33" s="6">
        <v>290</v>
      </c>
      <c r="V33" s="6">
        <v>280</v>
      </c>
      <c r="W33" s="6">
        <v>294</v>
      </c>
      <c r="X33" s="6">
        <v>283</v>
      </c>
      <c r="Y33" s="6">
        <v>282</v>
      </c>
      <c r="Z33" s="6">
        <v>274</v>
      </c>
      <c r="AA33" s="6">
        <v>247</v>
      </c>
      <c r="AB33" s="6">
        <v>228</v>
      </c>
      <c r="AC33" s="6">
        <v>283</v>
      </c>
      <c r="AD33" s="6">
        <v>270</v>
      </c>
      <c r="AE33" s="6">
        <v>234</v>
      </c>
      <c r="AF33" s="6">
        <v>213</v>
      </c>
      <c r="AG33" s="6">
        <v>277</v>
      </c>
      <c r="AH33" s="6">
        <v>154</v>
      </c>
      <c r="AI33" s="6">
        <v>274</v>
      </c>
      <c r="AJ33" s="6">
        <v>285</v>
      </c>
      <c r="AK33" s="6">
        <v>296</v>
      </c>
      <c r="AL33" s="6">
        <v>299</v>
      </c>
      <c r="AM33" s="6">
        <v>292</v>
      </c>
      <c r="AN33" s="6">
        <v>281</v>
      </c>
      <c r="AO33" s="6">
        <v>296</v>
      </c>
      <c r="AP33" s="6">
        <v>279</v>
      </c>
      <c r="AQ33" s="6">
        <v>290</v>
      </c>
      <c r="AR33" s="6">
        <v>265</v>
      </c>
      <c r="AS33" s="6">
        <v>290</v>
      </c>
      <c r="AT33" s="6">
        <v>262</v>
      </c>
      <c r="AU33" s="6">
        <v>287</v>
      </c>
      <c r="AV33" s="6">
        <v>278</v>
      </c>
      <c r="AW33" s="6">
        <v>275</v>
      </c>
      <c r="AX33" s="6">
        <v>284</v>
      </c>
      <c r="AY33" s="5">
        <f t="shared" si="0"/>
        <v>12295</v>
      </c>
    </row>
    <row r="34" spans="1:51" x14ac:dyDescent="0.3">
      <c r="A34" s="6">
        <v>2</v>
      </c>
      <c r="B34" s="93" t="s">
        <v>39</v>
      </c>
      <c r="C34" s="85"/>
      <c r="D34" s="76"/>
      <c r="E34" s="5">
        <v>182</v>
      </c>
      <c r="F34" s="5">
        <v>205</v>
      </c>
      <c r="G34" s="5">
        <v>171</v>
      </c>
      <c r="H34" s="5">
        <v>169</v>
      </c>
      <c r="I34" s="5">
        <v>208</v>
      </c>
      <c r="J34" s="5">
        <v>199</v>
      </c>
      <c r="K34" s="5">
        <v>167</v>
      </c>
      <c r="L34" s="5">
        <v>194</v>
      </c>
      <c r="M34" s="5">
        <v>166</v>
      </c>
      <c r="N34" s="5">
        <v>218</v>
      </c>
      <c r="O34" s="5">
        <v>192</v>
      </c>
      <c r="P34" s="5">
        <v>210</v>
      </c>
      <c r="Q34" s="5">
        <v>180</v>
      </c>
      <c r="R34" s="5">
        <v>153</v>
      </c>
      <c r="S34" s="5">
        <v>179</v>
      </c>
      <c r="T34" s="5">
        <v>201</v>
      </c>
      <c r="U34" s="5">
        <v>224</v>
      </c>
      <c r="V34" s="5">
        <v>220</v>
      </c>
      <c r="W34" s="5">
        <v>207</v>
      </c>
      <c r="X34" s="5">
        <v>231</v>
      </c>
      <c r="Y34" s="5">
        <v>215</v>
      </c>
      <c r="Z34" s="5">
        <v>204</v>
      </c>
      <c r="AA34" s="5">
        <v>193</v>
      </c>
      <c r="AB34" s="5">
        <v>182</v>
      </c>
      <c r="AC34" s="5">
        <v>199</v>
      </c>
      <c r="AD34" s="5">
        <v>203</v>
      </c>
      <c r="AE34" s="5">
        <v>191</v>
      </c>
      <c r="AF34" s="5">
        <v>161</v>
      </c>
      <c r="AG34" s="5">
        <v>223</v>
      </c>
      <c r="AH34" s="5">
        <v>122</v>
      </c>
      <c r="AI34" s="5">
        <v>202</v>
      </c>
      <c r="AJ34" s="5">
        <v>209</v>
      </c>
      <c r="AK34" s="5">
        <v>224</v>
      </c>
      <c r="AL34" s="5">
        <v>237</v>
      </c>
      <c r="AM34" s="5">
        <v>255</v>
      </c>
      <c r="AN34" s="5">
        <v>210</v>
      </c>
      <c r="AO34" s="5">
        <v>229</v>
      </c>
      <c r="AP34" s="5">
        <v>204</v>
      </c>
      <c r="AQ34" s="5">
        <v>196</v>
      </c>
      <c r="AR34" s="5">
        <v>198</v>
      </c>
      <c r="AS34" s="5">
        <v>210</v>
      </c>
      <c r="AT34" s="5">
        <v>210</v>
      </c>
      <c r="AU34" s="5">
        <v>230</v>
      </c>
      <c r="AV34" s="5">
        <v>205</v>
      </c>
      <c r="AW34" s="5">
        <v>191</v>
      </c>
      <c r="AX34" s="5">
        <v>200</v>
      </c>
      <c r="AY34" s="5">
        <f t="shared" si="0"/>
        <v>9179</v>
      </c>
    </row>
    <row r="35" spans="1:51" x14ac:dyDescent="0.3">
      <c r="A35" s="6">
        <v>3</v>
      </c>
      <c r="B35" s="93" t="s">
        <v>40</v>
      </c>
      <c r="C35" s="85"/>
      <c r="D35" s="76"/>
      <c r="E35" s="6">
        <v>2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2</v>
      </c>
      <c r="L35" s="6">
        <v>1</v>
      </c>
      <c r="M35" s="6">
        <v>2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1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12</v>
      </c>
      <c r="AG35" s="6">
        <v>0</v>
      </c>
      <c r="AH35" s="6">
        <v>0</v>
      </c>
      <c r="AI35" s="6">
        <v>2</v>
      </c>
      <c r="AJ35" s="6">
        <v>1</v>
      </c>
      <c r="AK35" s="6">
        <v>0</v>
      </c>
      <c r="AL35" s="6">
        <v>2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2</v>
      </c>
      <c r="AV35" s="6">
        <v>0</v>
      </c>
      <c r="AW35" s="6">
        <v>0</v>
      </c>
      <c r="AX35" s="6"/>
      <c r="AY35" s="5">
        <f t="shared" si="0"/>
        <v>30</v>
      </c>
    </row>
    <row r="36" spans="1:51" x14ac:dyDescent="0.3">
      <c r="A36" s="6">
        <v>4</v>
      </c>
      <c r="B36" s="93" t="s">
        <v>41</v>
      </c>
      <c r="C36" s="85"/>
      <c r="D36" s="76"/>
      <c r="E36" s="5">
        <f t="shared" ref="E36:V36" si="14">E33-(E34+E35)</f>
        <v>56</v>
      </c>
      <c r="F36" s="5">
        <f t="shared" si="14"/>
        <v>67</v>
      </c>
      <c r="G36" s="5">
        <f t="shared" si="14"/>
        <v>87</v>
      </c>
      <c r="H36" s="5">
        <f t="shared" si="14"/>
        <v>91</v>
      </c>
      <c r="I36" s="5">
        <f t="shared" si="14"/>
        <v>79</v>
      </c>
      <c r="J36" s="5">
        <f t="shared" si="14"/>
        <v>72</v>
      </c>
      <c r="K36" s="5">
        <f t="shared" si="14"/>
        <v>68</v>
      </c>
      <c r="L36" s="5">
        <f t="shared" si="14"/>
        <v>69</v>
      </c>
      <c r="M36" s="5">
        <f t="shared" si="14"/>
        <v>71</v>
      </c>
      <c r="N36" s="5">
        <f t="shared" si="14"/>
        <v>83</v>
      </c>
      <c r="O36" s="5">
        <f t="shared" si="14"/>
        <v>102</v>
      </c>
      <c r="P36" s="5">
        <f t="shared" si="14"/>
        <v>56</v>
      </c>
      <c r="Q36" s="5">
        <f t="shared" si="14"/>
        <v>47</v>
      </c>
      <c r="R36" s="5">
        <f t="shared" si="14"/>
        <v>73</v>
      </c>
      <c r="S36" s="5">
        <f t="shared" si="14"/>
        <v>45</v>
      </c>
      <c r="T36" s="5">
        <f t="shared" si="14"/>
        <v>83</v>
      </c>
      <c r="U36" s="5">
        <f t="shared" si="14"/>
        <v>66</v>
      </c>
      <c r="V36" s="5">
        <f t="shared" si="14"/>
        <v>60</v>
      </c>
      <c r="W36" s="5">
        <f t="shared" ref="W36:AX36" si="15">W33-(W34+W35)</f>
        <v>86</v>
      </c>
      <c r="X36" s="5">
        <f t="shared" si="15"/>
        <v>52</v>
      </c>
      <c r="Y36" s="5">
        <f t="shared" si="15"/>
        <v>67</v>
      </c>
      <c r="Z36" s="5">
        <f t="shared" si="15"/>
        <v>70</v>
      </c>
      <c r="AA36" s="5">
        <f t="shared" si="15"/>
        <v>54</v>
      </c>
      <c r="AB36" s="5">
        <f t="shared" si="15"/>
        <v>46</v>
      </c>
      <c r="AC36" s="5">
        <f t="shared" si="15"/>
        <v>84</v>
      </c>
      <c r="AD36" s="5">
        <f t="shared" si="15"/>
        <v>67</v>
      </c>
      <c r="AE36" s="5">
        <f t="shared" si="15"/>
        <v>43</v>
      </c>
      <c r="AF36" s="5">
        <f t="shared" si="15"/>
        <v>40</v>
      </c>
      <c r="AG36" s="5">
        <f t="shared" si="15"/>
        <v>54</v>
      </c>
      <c r="AH36" s="5">
        <f t="shared" si="15"/>
        <v>32</v>
      </c>
      <c r="AI36" s="5">
        <f t="shared" si="15"/>
        <v>70</v>
      </c>
      <c r="AJ36" s="5">
        <f t="shared" si="15"/>
        <v>75</v>
      </c>
      <c r="AK36" s="5">
        <f t="shared" si="15"/>
        <v>72</v>
      </c>
      <c r="AL36" s="5">
        <f t="shared" si="15"/>
        <v>60</v>
      </c>
      <c r="AM36" s="5">
        <f t="shared" si="15"/>
        <v>37</v>
      </c>
      <c r="AN36" s="5">
        <f t="shared" si="15"/>
        <v>71</v>
      </c>
      <c r="AO36" s="5">
        <f t="shared" si="15"/>
        <v>67</v>
      </c>
      <c r="AP36" s="5">
        <f t="shared" si="15"/>
        <v>75</v>
      </c>
      <c r="AQ36" s="5">
        <f t="shared" si="15"/>
        <v>94</v>
      </c>
      <c r="AR36" s="5">
        <f t="shared" si="15"/>
        <v>67</v>
      </c>
      <c r="AS36" s="5">
        <f t="shared" si="15"/>
        <v>80</v>
      </c>
      <c r="AT36" s="5">
        <f t="shared" si="15"/>
        <v>52</v>
      </c>
      <c r="AU36" s="5">
        <f t="shared" si="15"/>
        <v>55</v>
      </c>
      <c r="AV36" s="5">
        <f t="shared" si="15"/>
        <v>73</v>
      </c>
      <c r="AW36" s="5">
        <f t="shared" si="15"/>
        <v>84</v>
      </c>
      <c r="AX36" s="5">
        <f t="shared" si="15"/>
        <v>84</v>
      </c>
      <c r="AY36" s="5">
        <f t="shared" si="0"/>
        <v>3086</v>
      </c>
    </row>
    <row r="37" spans="1:51" x14ac:dyDescent="0.3">
      <c r="A37" s="77"/>
      <c r="B37" s="85"/>
      <c r="C37" s="85"/>
      <c r="D37" s="85"/>
      <c r="E37" s="77"/>
      <c r="F37" s="104"/>
      <c r="G37" s="104"/>
      <c r="H37" s="104"/>
      <c r="I37" s="105"/>
      <c r="J37" s="6"/>
      <c r="K37" s="6"/>
      <c r="L37" s="6"/>
      <c r="M37" s="6"/>
      <c r="N37" s="10"/>
      <c r="O37" s="27"/>
      <c r="P37" s="27"/>
      <c r="Q37" s="27"/>
      <c r="R37" s="27"/>
      <c r="S37" s="27"/>
      <c r="T37" s="27"/>
      <c r="U37" s="27"/>
      <c r="V37" s="27"/>
      <c r="W37" s="77"/>
      <c r="X37" s="104"/>
      <c r="Y37" s="104"/>
      <c r="Z37" s="104"/>
      <c r="AA37" s="105"/>
      <c r="AB37" s="6"/>
      <c r="AC37" s="6"/>
      <c r="AD37" s="6"/>
      <c r="AE37" s="6"/>
      <c r="AF37" s="10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5">
        <f t="shared" si="0"/>
        <v>0</v>
      </c>
    </row>
    <row r="38" spans="1:51" x14ac:dyDescent="0.3">
      <c r="A38" s="16" t="s">
        <v>42</v>
      </c>
      <c r="B38" s="72" t="s">
        <v>43</v>
      </c>
      <c r="C38" s="85"/>
      <c r="D38" s="76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5"/>
      <c r="X38" s="5"/>
      <c r="Y38" s="5"/>
      <c r="Z38" s="5"/>
      <c r="AA38" s="5"/>
      <c r="AB38" s="5"/>
      <c r="AC38" s="5"/>
      <c r="AD38" s="5"/>
      <c r="AE38" s="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5">
        <f t="shared" si="0"/>
        <v>0</v>
      </c>
    </row>
    <row r="39" spans="1:51" x14ac:dyDescent="0.3">
      <c r="A39" s="11"/>
      <c r="B39" s="88" t="s">
        <v>44</v>
      </c>
      <c r="C39" s="84"/>
      <c r="D39" s="6" t="s">
        <v>23</v>
      </c>
      <c r="E39" s="6">
        <v>0</v>
      </c>
      <c r="F39" s="6">
        <v>0</v>
      </c>
      <c r="G39" s="6">
        <v>1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6">
        <v>0</v>
      </c>
      <c r="AC39" s="6">
        <v>1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/>
      <c r="AY39" s="5">
        <f t="shared" si="0"/>
        <v>5</v>
      </c>
    </row>
    <row r="40" spans="1:51" x14ac:dyDescent="0.3">
      <c r="A40" s="12"/>
      <c r="B40" s="89"/>
      <c r="C40" s="90"/>
      <c r="D40" s="6" t="s">
        <v>24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1</v>
      </c>
      <c r="AD40" s="6">
        <v>0</v>
      </c>
      <c r="AE40" s="6">
        <v>0</v>
      </c>
      <c r="AF40" s="6">
        <v>1</v>
      </c>
      <c r="AG40" s="6">
        <v>0</v>
      </c>
      <c r="AH40" s="6">
        <v>0</v>
      </c>
      <c r="AI40" s="6">
        <v>0</v>
      </c>
      <c r="AJ40" s="6">
        <v>0</v>
      </c>
      <c r="AK40" s="6">
        <v>1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/>
      <c r="AY40" s="5">
        <f t="shared" si="0"/>
        <v>5</v>
      </c>
    </row>
    <row r="41" spans="1:51" x14ac:dyDescent="0.3">
      <c r="A41" s="14"/>
      <c r="B41" s="87"/>
      <c r="C41" s="91"/>
      <c r="D41" s="5" t="s">
        <v>25</v>
      </c>
      <c r="E41" s="5">
        <f t="shared" ref="E41:V41" si="16">SUM(E39:E40)</f>
        <v>0</v>
      </c>
      <c r="F41" s="5">
        <f t="shared" si="16"/>
        <v>0</v>
      </c>
      <c r="G41" s="5">
        <f t="shared" si="16"/>
        <v>1</v>
      </c>
      <c r="H41" s="5">
        <f t="shared" si="16"/>
        <v>1</v>
      </c>
      <c r="I41" s="5">
        <f t="shared" si="16"/>
        <v>0</v>
      </c>
      <c r="J41" s="5">
        <f t="shared" si="16"/>
        <v>1</v>
      </c>
      <c r="K41" s="5">
        <f t="shared" si="16"/>
        <v>1</v>
      </c>
      <c r="L41" s="5">
        <f t="shared" si="16"/>
        <v>0</v>
      </c>
      <c r="M41" s="5">
        <f t="shared" si="16"/>
        <v>0</v>
      </c>
      <c r="N41" s="5">
        <f t="shared" si="16"/>
        <v>0</v>
      </c>
      <c r="O41" s="5">
        <f t="shared" si="16"/>
        <v>0</v>
      </c>
      <c r="P41" s="5">
        <f t="shared" si="16"/>
        <v>1</v>
      </c>
      <c r="Q41" s="5">
        <f t="shared" si="16"/>
        <v>0</v>
      </c>
      <c r="R41" s="5">
        <f t="shared" si="16"/>
        <v>0</v>
      </c>
      <c r="S41" s="5">
        <f t="shared" si="16"/>
        <v>0</v>
      </c>
      <c r="T41" s="5">
        <f t="shared" si="16"/>
        <v>0</v>
      </c>
      <c r="U41" s="5">
        <f t="shared" si="16"/>
        <v>0</v>
      </c>
      <c r="V41" s="5">
        <f t="shared" si="16"/>
        <v>0</v>
      </c>
      <c r="W41" s="5">
        <f t="shared" ref="W41:AX41" si="17">SUM(W39:W40)</f>
        <v>0</v>
      </c>
      <c r="X41" s="5">
        <f t="shared" si="17"/>
        <v>0</v>
      </c>
      <c r="Y41" s="5">
        <f t="shared" si="17"/>
        <v>0</v>
      </c>
      <c r="Z41" s="5">
        <f t="shared" si="17"/>
        <v>0</v>
      </c>
      <c r="AA41" s="5">
        <f t="shared" si="17"/>
        <v>1</v>
      </c>
      <c r="AB41" s="5">
        <f t="shared" si="17"/>
        <v>0</v>
      </c>
      <c r="AC41" s="5">
        <f t="shared" si="17"/>
        <v>2</v>
      </c>
      <c r="AD41" s="5">
        <f t="shared" si="17"/>
        <v>0</v>
      </c>
      <c r="AE41" s="5">
        <f t="shared" si="17"/>
        <v>0</v>
      </c>
      <c r="AF41" s="5">
        <f t="shared" si="17"/>
        <v>1</v>
      </c>
      <c r="AG41" s="5">
        <f t="shared" si="17"/>
        <v>0</v>
      </c>
      <c r="AH41" s="5">
        <f t="shared" si="17"/>
        <v>0</v>
      </c>
      <c r="AI41" s="5">
        <f t="shared" si="17"/>
        <v>0</v>
      </c>
      <c r="AJ41" s="5">
        <f t="shared" si="17"/>
        <v>0</v>
      </c>
      <c r="AK41" s="5">
        <f t="shared" si="17"/>
        <v>1</v>
      </c>
      <c r="AL41" s="5">
        <f t="shared" si="17"/>
        <v>0</v>
      </c>
      <c r="AM41" s="5">
        <f t="shared" si="17"/>
        <v>0</v>
      </c>
      <c r="AN41" s="5">
        <f t="shared" si="17"/>
        <v>0</v>
      </c>
      <c r="AO41" s="5">
        <f t="shared" si="17"/>
        <v>0</v>
      </c>
      <c r="AP41" s="5">
        <f t="shared" si="17"/>
        <v>0</v>
      </c>
      <c r="AQ41" s="5">
        <f t="shared" si="17"/>
        <v>0</v>
      </c>
      <c r="AR41" s="5">
        <f t="shared" si="17"/>
        <v>0</v>
      </c>
      <c r="AS41" s="5">
        <f t="shared" si="17"/>
        <v>0</v>
      </c>
      <c r="AT41" s="5">
        <f t="shared" si="17"/>
        <v>0</v>
      </c>
      <c r="AU41" s="5">
        <f t="shared" si="17"/>
        <v>0</v>
      </c>
      <c r="AV41" s="5">
        <f t="shared" si="17"/>
        <v>0</v>
      </c>
      <c r="AW41" s="5">
        <f t="shared" si="17"/>
        <v>0</v>
      </c>
      <c r="AX41" s="5">
        <f t="shared" si="17"/>
        <v>0</v>
      </c>
      <c r="AY41" s="5">
        <f t="shared" si="0"/>
        <v>10</v>
      </c>
    </row>
    <row r="42" spans="1:51" x14ac:dyDescent="0.3">
      <c r="A42" s="86"/>
      <c r="B42" s="87"/>
      <c r="C42" s="87"/>
      <c r="D42" s="91"/>
      <c r="E42" s="77"/>
      <c r="F42" s="85"/>
      <c r="G42" s="85"/>
      <c r="H42" s="85"/>
      <c r="I42" s="76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77"/>
      <c r="X42" s="85"/>
      <c r="Y42" s="85"/>
      <c r="Z42" s="85"/>
      <c r="AA42" s="76"/>
      <c r="AB42" s="6"/>
      <c r="AC42" s="6"/>
      <c r="AD42" s="6"/>
      <c r="AE42" s="6"/>
      <c r="AF42" s="10"/>
      <c r="AG42" s="6"/>
      <c r="AH42" s="10"/>
      <c r="AI42" s="6"/>
      <c r="AJ42" s="10"/>
      <c r="AK42" s="6"/>
      <c r="AL42" s="10"/>
      <c r="AM42" s="6"/>
      <c r="AN42" s="10"/>
      <c r="AO42" s="6"/>
      <c r="AP42" s="10"/>
      <c r="AQ42" s="6"/>
      <c r="AR42" s="10"/>
      <c r="AS42" s="6"/>
      <c r="AT42" s="10"/>
      <c r="AU42" s="6"/>
      <c r="AV42" s="10"/>
      <c r="AW42" s="6"/>
      <c r="AX42" s="10"/>
      <c r="AY42" s="5">
        <f t="shared" si="0"/>
        <v>0</v>
      </c>
    </row>
    <row r="43" spans="1:51" ht="13.15" customHeight="1" x14ac:dyDescent="0.3">
      <c r="A43" s="16" t="s">
        <v>45</v>
      </c>
      <c r="B43" s="72" t="s">
        <v>46</v>
      </c>
      <c r="C43" s="85"/>
      <c r="D43" s="7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25"/>
      <c r="X43" s="5"/>
      <c r="Y43" s="5"/>
      <c r="Z43" s="5"/>
      <c r="AA43" s="5"/>
      <c r="AB43" s="5"/>
      <c r="AC43" s="5"/>
      <c r="AD43" s="5"/>
      <c r="AE43" s="5"/>
      <c r="AF43" s="15"/>
      <c r="AG43" s="5"/>
      <c r="AH43" s="15"/>
      <c r="AI43" s="5"/>
      <c r="AJ43" s="15"/>
      <c r="AK43" s="5"/>
      <c r="AL43" s="15"/>
      <c r="AM43" s="5"/>
      <c r="AN43" s="15"/>
      <c r="AO43" s="5"/>
      <c r="AP43" s="15"/>
      <c r="AQ43" s="5"/>
      <c r="AR43" s="15"/>
      <c r="AS43" s="5"/>
      <c r="AT43" s="15"/>
      <c r="AU43" s="5"/>
      <c r="AV43" s="15"/>
      <c r="AW43" s="5"/>
      <c r="AX43" s="15"/>
      <c r="AY43" s="5">
        <f t="shared" si="0"/>
        <v>0</v>
      </c>
    </row>
    <row r="44" spans="1:51" ht="13.15" customHeight="1" x14ac:dyDescent="0.3">
      <c r="A44" s="88" t="s">
        <v>47</v>
      </c>
      <c r="B44" s="92"/>
      <c r="C44" s="92"/>
      <c r="D44" s="8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9"/>
      <c r="X44" s="6"/>
      <c r="Y44" s="6"/>
      <c r="Z44" s="6"/>
      <c r="AA44" s="6"/>
      <c r="AB44" s="6"/>
      <c r="AC44" s="6"/>
      <c r="AD44" s="6"/>
      <c r="AE44" s="6"/>
      <c r="AF44" s="10"/>
      <c r="AG44" s="6"/>
      <c r="AH44" s="10"/>
      <c r="AI44" s="6"/>
      <c r="AJ44" s="10"/>
      <c r="AK44" s="6"/>
      <c r="AL44" s="10"/>
      <c r="AM44" s="6"/>
      <c r="AN44" s="10"/>
      <c r="AO44" s="6"/>
      <c r="AP44" s="10"/>
      <c r="AQ44" s="6"/>
      <c r="AR44" s="10"/>
      <c r="AS44" s="6"/>
      <c r="AT44" s="10"/>
      <c r="AU44" s="6"/>
      <c r="AV44" s="10"/>
      <c r="AW44" s="6"/>
      <c r="AX44" s="10"/>
      <c r="AY44" s="5">
        <f t="shared" si="0"/>
        <v>0</v>
      </c>
    </row>
    <row r="45" spans="1:51" x14ac:dyDescent="0.3">
      <c r="A45" s="11" t="s">
        <v>48</v>
      </c>
      <c r="B45" s="17" t="s">
        <v>28</v>
      </c>
      <c r="C45" s="75" t="s">
        <v>49</v>
      </c>
      <c r="D45" s="76"/>
      <c r="E45" s="6">
        <v>7</v>
      </c>
      <c r="F45" s="6">
        <v>4</v>
      </c>
      <c r="G45" s="6">
        <v>4</v>
      </c>
      <c r="H45" s="6">
        <v>2</v>
      </c>
      <c r="I45" s="6">
        <v>12</v>
      </c>
      <c r="J45" s="6">
        <v>2</v>
      </c>
      <c r="K45" s="6">
        <v>4</v>
      </c>
      <c r="L45" s="6">
        <v>7</v>
      </c>
      <c r="M45" s="6">
        <v>8</v>
      </c>
      <c r="N45" s="6">
        <v>11</v>
      </c>
      <c r="O45" s="6">
        <v>6</v>
      </c>
      <c r="P45" s="6">
        <v>2</v>
      </c>
      <c r="Q45" s="6">
        <v>3</v>
      </c>
      <c r="R45" s="6">
        <v>1</v>
      </c>
      <c r="S45" s="6">
        <v>2</v>
      </c>
      <c r="T45" s="6">
        <v>7</v>
      </c>
      <c r="U45" s="6">
        <v>3</v>
      </c>
      <c r="V45" s="6">
        <v>5</v>
      </c>
      <c r="W45" s="6">
        <v>3</v>
      </c>
      <c r="X45" s="6">
        <v>8</v>
      </c>
      <c r="Y45" s="6">
        <v>10</v>
      </c>
      <c r="Z45" s="6">
        <v>3</v>
      </c>
      <c r="AA45" s="6">
        <v>3</v>
      </c>
      <c r="AB45" s="6">
        <v>4</v>
      </c>
      <c r="AC45" s="6">
        <v>4</v>
      </c>
      <c r="AD45" s="6">
        <v>0</v>
      </c>
      <c r="AE45" s="6">
        <v>8</v>
      </c>
      <c r="AF45" s="6">
        <v>5</v>
      </c>
      <c r="AG45" s="6">
        <v>15</v>
      </c>
      <c r="AH45" s="6">
        <v>1</v>
      </c>
      <c r="AI45" s="6">
        <v>0</v>
      </c>
      <c r="AJ45" s="6">
        <v>15</v>
      </c>
      <c r="AK45" s="6">
        <v>22</v>
      </c>
      <c r="AL45" s="6">
        <v>6</v>
      </c>
      <c r="AM45" s="6">
        <v>16</v>
      </c>
      <c r="AN45" s="6">
        <v>11</v>
      </c>
      <c r="AO45" s="6">
        <v>15</v>
      </c>
      <c r="AP45" s="6">
        <v>12</v>
      </c>
      <c r="AQ45" s="6">
        <v>14</v>
      </c>
      <c r="AR45" s="6">
        <v>13</v>
      </c>
      <c r="AS45" s="6">
        <v>18</v>
      </c>
      <c r="AT45" s="6">
        <v>12</v>
      </c>
      <c r="AU45" s="6">
        <v>15</v>
      </c>
      <c r="AV45" s="6">
        <v>6</v>
      </c>
      <c r="AW45" s="6">
        <v>6</v>
      </c>
      <c r="AX45" s="6">
        <v>5</v>
      </c>
      <c r="AY45" s="5">
        <f>SUM(E45:AX45)</f>
        <v>340</v>
      </c>
    </row>
    <row r="46" spans="1:51" x14ac:dyDescent="0.3">
      <c r="A46" s="11" t="s">
        <v>50</v>
      </c>
      <c r="B46" s="53"/>
      <c r="C46" s="24" t="s">
        <v>122</v>
      </c>
      <c r="D46" s="24"/>
      <c r="E46" s="6">
        <v>12</v>
      </c>
      <c r="F46" s="6">
        <v>8</v>
      </c>
      <c r="G46" s="6">
        <v>3</v>
      </c>
      <c r="H46" s="6">
        <v>2</v>
      </c>
      <c r="I46" s="6">
        <v>6</v>
      </c>
      <c r="J46" s="6">
        <v>14</v>
      </c>
      <c r="K46" s="6">
        <v>2</v>
      </c>
      <c r="L46" s="6">
        <v>7</v>
      </c>
      <c r="M46" s="6">
        <v>4</v>
      </c>
      <c r="N46" s="6">
        <v>7</v>
      </c>
      <c r="O46" s="6">
        <v>7</v>
      </c>
      <c r="P46" s="6">
        <v>5</v>
      </c>
      <c r="Q46" s="6">
        <v>3</v>
      </c>
      <c r="R46" s="6">
        <v>2</v>
      </c>
      <c r="S46" s="6">
        <v>3</v>
      </c>
      <c r="T46" s="6">
        <v>0</v>
      </c>
      <c r="U46" s="6">
        <v>4</v>
      </c>
      <c r="V46" s="6">
        <v>14</v>
      </c>
      <c r="W46" s="6">
        <v>6</v>
      </c>
      <c r="X46" s="6">
        <v>13</v>
      </c>
      <c r="Y46" s="6">
        <v>4</v>
      </c>
      <c r="Z46" s="6">
        <v>27</v>
      </c>
      <c r="AA46" s="6">
        <v>8</v>
      </c>
      <c r="AB46" s="6">
        <v>6</v>
      </c>
      <c r="AC46" s="6">
        <v>9</v>
      </c>
      <c r="AD46" s="6">
        <v>4</v>
      </c>
      <c r="AE46" s="6">
        <v>9</v>
      </c>
      <c r="AF46" s="6">
        <v>18</v>
      </c>
      <c r="AG46" s="6">
        <v>25</v>
      </c>
      <c r="AH46" s="6">
        <v>0</v>
      </c>
      <c r="AI46" s="6">
        <v>1</v>
      </c>
      <c r="AJ46" s="6">
        <v>14</v>
      </c>
      <c r="AK46" s="6">
        <v>30</v>
      </c>
      <c r="AL46" s="6">
        <v>16</v>
      </c>
      <c r="AM46" s="6">
        <v>17</v>
      </c>
      <c r="AN46" s="6">
        <v>6</v>
      </c>
      <c r="AO46" s="6">
        <v>28</v>
      </c>
      <c r="AP46" s="6">
        <v>20</v>
      </c>
      <c r="AQ46" s="6">
        <v>18</v>
      </c>
      <c r="AR46" s="6">
        <v>26</v>
      </c>
      <c r="AS46" s="6">
        <v>27</v>
      </c>
      <c r="AT46" s="6">
        <v>28</v>
      </c>
      <c r="AU46" s="6">
        <v>39</v>
      </c>
      <c r="AV46" s="6">
        <v>9</v>
      </c>
      <c r="AW46" s="6">
        <v>11</v>
      </c>
      <c r="AX46" s="6">
        <v>7</v>
      </c>
      <c r="AY46" s="5">
        <f t="shared" si="0"/>
        <v>529</v>
      </c>
    </row>
    <row r="47" spans="1:51" x14ac:dyDescent="0.3">
      <c r="A47" s="7"/>
      <c r="B47" s="54"/>
      <c r="C47" s="24" t="s">
        <v>123</v>
      </c>
      <c r="D47" s="24"/>
      <c r="E47" s="6">
        <v>2</v>
      </c>
      <c r="F47" s="6">
        <v>6</v>
      </c>
      <c r="G47" s="6">
        <v>3</v>
      </c>
      <c r="H47" s="6">
        <v>2</v>
      </c>
      <c r="I47" s="6">
        <v>1</v>
      </c>
      <c r="J47" s="6">
        <v>1</v>
      </c>
      <c r="K47" s="6">
        <v>1</v>
      </c>
      <c r="L47" s="6">
        <v>0</v>
      </c>
      <c r="M47" s="6">
        <v>1</v>
      </c>
      <c r="N47" s="6">
        <v>1</v>
      </c>
      <c r="O47" s="6">
        <v>1</v>
      </c>
      <c r="P47" s="6">
        <v>2</v>
      </c>
      <c r="Q47" s="6">
        <v>3</v>
      </c>
      <c r="R47" s="6">
        <v>0</v>
      </c>
      <c r="S47" s="6">
        <v>1</v>
      </c>
      <c r="T47" s="6">
        <v>3</v>
      </c>
      <c r="U47" s="6">
        <v>2</v>
      </c>
      <c r="V47" s="6">
        <v>2</v>
      </c>
      <c r="W47" s="6">
        <v>1</v>
      </c>
      <c r="X47" s="6">
        <v>2</v>
      </c>
      <c r="Y47" s="6">
        <v>0</v>
      </c>
      <c r="Z47" s="6">
        <v>3</v>
      </c>
      <c r="AA47" s="6">
        <v>1</v>
      </c>
      <c r="AB47" s="6">
        <v>1</v>
      </c>
      <c r="AC47" s="6">
        <v>4</v>
      </c>
      <c r="AD47" s="6">
        <v>2</v>
      </c>
      <c r="AE47" s="6">
        <v>4</v>
      </c>
      <c r="AF47" s="6">
        <v>2</v>
      </c>
      <c r="AG47" s="6">
        <v>2</v>
      </c>
      <c r="AH47" s="6">
        <v>1</v>
      </c>
      <c r="AI47" s="6">
        <v>0</v>
      </c>
      <c r="AJ47" s="6">
        <v>1</v>
      </c>
      <c r="AK47" s="6">
        <v>1</v>
      </c>
      <c r="AL47" s="6">
        <v>4</v>
      </c>
      <c r="AM47" s="6">
        <v>6</v>
      </c>
      <c r="AN47" s="6">
        <v>2</v>
      </c>
      <c r="AO47" s="6">
        <v>10</v>
      </c>
      <c r="AP47" s="6">
        <v>2</v>
      </c>
      <c r="AQ47" s="6">
        <v>12</v>
      </c>
      <c r="AR47" s="6">
        <v>1</v>
      </c>
      <c r="AS47" s="6">
        <v>7</v>
      </c>
      <c r="AT47" s="6">
        <v>5</v>
      </c>
      <c r="AU47" s="6">
        <v>7</v>
      </c>
      <c r="AV47" s="6">
        <v>3</v>
      </c>
      <c r="AW47" s="6">
        <v>2</v>
      </c>
      <c r="AX47" s="6">
        <v>1</v>
      </c>
      <c r="AY47" s="5">
        <f t="shared" si="0"/>
        <v>119</v>
      </c>
    </row>
    <row r="48" spans="1:51" x14ac:dyDescent="0.3">
      <c r="A48" s="7"/>
      <c r="B48" s="54"/>
      <c r="C48" s="24" t="s">
        <v>124</v>
      </c>
      <c r="D48" s="24"/>
      <c r="E48" s="6">
        <v>2</v>
      </c>
      <c r="F48" s="6">
        <v>5</v>
      </c>
      <c r="G48" s="6">
        <v>0</v>
      </c>
      <c r="H48" s="6">
        <v>1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1</v>
      </c>
      <c r="P48" s="6">
        <v>1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2</v>
      </c>
      <c r="AD48" s="6">
        <v>0</v>
      </c>
      <c r="AE48" s="6">
        <v>0</v>
      </c>
      <c r="AF48" s="6">
        <v>0</v>
      </c>
      <c r="AG48" s="6">
        <v>1</v>
      </c>
      <c r="AH48" s="6">
        <v>0</v>
      </c>
      <c r="AI48" s="6">
        <v>0</v>
      </c>
      <c r="AJ48" s="6">
        <v>2</v>
      </c>
      <c r="AK48" s="6">
        <v>1</v>
      </c>
      <c r="AL48" s="6">
        <v>4</v>
      </c>
      <c r="AM48" s="6">
        <v>2</v>
      </c>
      <c r="AN48" s="6">
        <v>0</v>
      </c>
      <c r="AO48" s="6">
        <v>3</v>
      </c>
      <c r="AP48" s="6">
        <v>0</v>
      </c>
      <c r="AQ48" s="6">
        <v>0</v>
      </c>
      <c r="AR48" s="6">
        <v>0</v>
      </c>
      <c r="AS48" s="6">
        <v>3</v>
      </c>
      <c r="AT48" s="6">
        <v>2</v>
      </c>
      <c r="AU48" s="6">
        <v>5</v>
      </c>
      <c r="AV48" s="6">
        <v>5</v>
      </c>
      <c r="AW48" s="6">
        <v>1</v>
      </c>
      <c r="AX48" s="6">
        <v>1</v>
      </c>
      <c r="AY48" s="5">
        <f t="shared" si="0"/>
        <v>44</v>
      </c>
    </row>
    <row r="49" spans="1:51" x14ac:dyDescent="0.3">
      <c r="A49" s="7"/>
      <c r="B49" s="54"/>
      <c r="C49" s="24" t="s">
        <v>125</v>
      </c>
      <c r="D49" s="24"/>
      <c r="E49" s="6">
        <v>0</v>
      </c>
      <c r="F49" s="6">
        <v>1</v>
      </c>
      <c r="G49" s="6">
        <v>0</v>
      </c>
      <c r="H49" s="6">
        <v>0</v>
      </c>
      <c r="I49" s="6">
        <v>2</v>
      </c>
      <c r="J49" s="6">
        <v>0</v>
      </c>
      <c r="K49" s="6">
        <v>1</v>
      </c>
      <c r="L49" s="6">
        <v>2</v>
      </c>
      <c r="M49" s="6">
        <v>2</v>
      </c>
      <c r="N49" s="6">
        <v>11</v>
      </c>
      <c r="O49" s="6">
        <v>5</v>
      </c>
      <c r="P49" s="6">
        <v>20</v>
      </c>
      <c r="Q49" s="6">
        <v>1</v>
      </c>
      <c r="R49" s="6">
        <v>2</v>
      </c>
      <c r="S49" s="6">
        <v>1</v>
      </c>
      <c r="T49" s="6">
        <v>0</v>
      </c>
      <c r="U49" s="6">
        <v>0</v>
      </c>
      <c r="V49" s="6">
        <v>1</v>
      </c>
      <c r="W49" s="6">
        <v>0</v>
      </c>
      <c r="X49" s="6">
        <v>0</v>
      </c>
      <c r="Y49" s="6">
        <v>0</v>
      </c>
      <c r="Z49" s="6">
        <v>1</v>
      </c>
      <c r="AA49" s="6">
        <v>0</v>
      </c>
      <c r="AB49" s="6">
        <v>1</v>
      </c>
      <c r="AC49" s="6">
        <v>0</v>
      </c>
      <c r="AD49" s="6">
        <v>0</v>
      </c>
      <c r="AE49" s="6">
        <v>0</v>
      </c>
      <c r="AF49" s="6">
        <v>2</v>
      </c>
      <c r="AG49" s="6">
        <v>3</v>
      </c>
      <c r="AH49" s="6">
        <v>0</v>
      </c>
      <c r="AI49" s="6">
        <v>0</v>
      </c>
      <c r="AJ49" s="6">
        <v>0</v>
      </c>
      <c r="AK49" s="6">
        <v>1</v>
      </c>
      <c r="AL49" s="6">
        <v>0</v>
      </c>
      <c r="AM49" s="6">
        <v>0</v>
      </c>
      <c r="AN49" s="6">
        <v>2</v>
      </c>
      <c r="AO49" s="6">
        <v>2</v>
      </c>
      <c r="AP49" s="6">
        <v>1</v>
      </c>
      <c r="AQ49" s="6">
        <v>0</v>
      </c>
      <c r="AR49" s="6">
        <v>3</v>
      </c>
      <c r="AS49" s="6">
        <v>4</v>
      </c>
      <c r="AT49" s="6">
        <v>2</v>
      </c>
      <c r="AU49" s="6">
        <v>1</v>
      </c>
      <c r="AV49" s="6">
        <v>1</v>
      </c>
      <c r="AW49" s="6">
        <v>2</v>
      </c>
      <c r="AX49" s="6">
        <v>0</v>
      </c>
      <c r="AY49" s="5">
        <f t="shared" si="0"/>
        <v>75</v>
      </c>
    </row>
    <row r="50" spans="1:51" x14ac:dyDescent="0.3">
      <c r="A50" s="7"/>
      <c r="B50" s="54"/>
      <c r="C50" s="24" t="s">
        <v>126</v>
      </c>
      <c r="D50" s="24"/>
      <c r="E50" s="6">
        <v>0</v>
      </c>
      <c r="F50" s="6">
        <v>1</v>
      </c>
      <c r="G50" s="6">
        <v>0</v>
      </c>
      <c r="H50" s="6">
        <v>0</v>
      </c>
      <c r="I50" s="6">
        <v>2</v>
      </c>
      <c r="J50" s="6">
        <v>0</v>
      </c>
      <c r="K50" s="6">
        <v>1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 s="6">
        <v>0</v>
      </c>
      <c r="R50" s="6">
        <v>1</v>
      </c>
      <c r="S50" s="6">
        <v>0</v>
      </c>
      <c r="T50" s="6">
        <v>1</v>
      </c>
      <c r="U50" s="6">
        <v>0</v>
      </c>
      <c r="V50" s="6">
        <v>3</v>
      </c>
      <c r="W50" s="6">
        <v>2</v>
      </c>
      <c r="X50" s="6">
        <v>0</v>
      </c>
      <c r="Y50" s="6">
        <v>1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6">
        <v>1</v>
      </c>
      <c r="AF50" s="6">
        <v>2</v>
      </c>
      <c r="AG50" s="6">
        <v>2</v>
      </c>
      <c r="AH50" s="6">
        <v>0</v>
      </c>
      <c r="AI50" s="6">
        <v>0</v>
      </c>
      <c r="AJ50" s="6">
        <v>1</v>
      </c>
      <c r="AK50" s="6">
        <v>0</v>
      </c>
      <c r="AL50" s="6">
        <v>0</v>
      </c>
      <c r="AM50" s="6">
        <v>0</v>
      </c>
      <c r="AN50" s="6">
        <v>1</v>
      </c>
      <c r="AO50" s="6">
        <v>6</v>
      </c>
      <c r="AP50" s="6">
        <v>1</v>
      </c>
      <c r="AQ50" s="6">
        <v>1</v>
      </c>
      <c r="AR50" s="6">
        <v>1</v>
      </c>
      <c r="AS50" s="6">
        <v>5</v>
      </c>
      <c r="AT50" s="6">
        <v>5</v>
      </c>
      <c r="AU50" s="6">
        <v>0</v>
      </c>
      <c r="AV50" s="6">
        <v>0</v>
      </c>
      <c r="AW50" s="6">
        <v>0</v>
      </c>
      <c r="AX50" s="6">
        <v>0</v>
      </c>
      <c r="AY50" s="5">
        <f t="shared" si="0"/>
        <v>40</v>
      </c>
    </row>
    <row r="51" spans="1:51" x14ac:dyDescent="0.3">
      <c r="A51" s="7"/>
      <c r="B51" s="54"/>
      <c r="C51" s="24" t="s">
        <v>127</v>
      </c>
      <c r="D51" s="24"/>
      <c r="E51" s="6">
        <v>2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1</v>
      </c>
      <c r="X51" s="6">
        <v>1</v>
      </c>
      <c r="Y51" s="6">
        <v>0</v>
      </c>
      <c r="Z51" s="6">
        <v>0</v>
      </c>
      <c r="AA51" s="6">
        <v>1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6">
        <v>5</v>
      </c>
      <c r="AH51" s="6">
        <v>1</v>
      </c>
      <c r="AI51" s="6">
        <v>0</v>
      </c>
      <c r="AJ51" s="6">
        <v>1</v>
      </c>
      <c r="AK51" s="6">
        <v>2</v>
      </c>
      <c r="AL51" s="6">
        <v>0</v>
      </c>
      <c r="AM51" s="6">
        <v>2</v>
      </c>
      <c r="AN51" s="6">
        <v>0</v>
      </c>
      <c r="AO51" s="6">
        <v>1</v>
      </c>
      <c r="AP51" s="6">
        <v>0</v>
      </c>
      <c r="AQ51" s="6">
        <v>2</v>
      </c>
      <c r="AR51" s="6">
        <v>2</v>
      </c>
      <c r="AS51" s="6">
        <v>0</v>
      </c>
      <c r="AT51" s="6">
        <v>3</v>
      </c>
      <c r="AU51" s="6">
        <v>0</v>
      </c>
      <c r="AV51" s="6">
        <v>1</v>
      </c>
      <c r="AW51" s="6">
        <v>0</v>
      </c>
      <c r="AX51" s="6">
        <v>1</v>
      </c>
      <c r="AY51" s="5">
        <f t="shared" si="0"/>
        <v>29</v>
      </c>
    </row>
    <row r="52" spans="1:51" ht="13.15" customHeight="1" x14ac:dyDescent="0.3">
      <c r="A52" s="7"/>
      <c r="B52" s="54"/>
      <c r="C52" s="24" t="s">
        <v>128</v>
      </c>
      <c r="D52" s="24"/>
      <c r="E52" s="6">
        <v>1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1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6">
        <v>0</v>
      </c>
      <c r="X52" s="6">
        <v>1</v>
      </c>
      <c r="Y52" s="6">
        <v>2</v>
      </c>
      <c r="Z52" s="6">
        <v>0</v>
      </c>
      <c r="AA52" s="6">
        <v>0</v>
      </c>
      <c r="AB52" s="6">
        <v>1</v>
      </c>
      <c r="AC52" s="6">
        <v>1</v>
      </c>
      <c r="AD52" s="6">
        <v>0</v>
      </c>
      <c r="AE52" s="6">
        <v>1</v>
      </c>
      <c r="AF52" s="6">
        <v>2</v>
      </c>
      <c r="AG52" s="6">
        <v>2</v>
      </c>
      <c r="AH52" s="6">
        <v>0</v>
      </c>
      <c r="AI52" s="6">
        <v>1</v>
      </c>
      <c r="AJ52" s="6">
        <v>0</v>
      </c>
      <c r="AK52" s="6">
        <v>1</v>
      </c>
      <c r="AL52" s="6">
        <v>0</v>
      </c>
      <c r="AM52" s="6">
        <v>1</v>
      </c>
      <c r="AN52" s="6">
        <v>1</v>
      </c>
      <c r="AO52" s="6">
        <v>1</v>
      </c>
      <c r="AP52" s="6">
        <v>0</v>
      </c>
      <c r="AQ52" s="6">
        <v>2</v>
      </c>
      <c r="AR52" s="6">
        <v>0</v>
      </c>
      <c r="AS52" s="6">
        <v>2</v>
      </c>
      <c r="AT52" s="6">
        <v>1</v>
      </c>
      <c r="AU52" s="6">
        <v>0</v>
      </c>
      <c r="AV52" s="6">
        <v>0</v>
      </c>
      <c r="AW52" s="6">
        <v>0</v>
      </c>
      <c r="AX52" s="6">
        <v>0</v>
      </c>
      <c r="AY52" s="5">
        <f t="shared" si="0"/>
        <v>24</v>
      </c>
    </row>
    <row r="53" spans="1:51" ht="13.15" customHeight="1" x14ac:dyDescent="0.3">
      <c r="A53" s="7"/>
      <c r="B53" s="54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1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0</v>
      </c>
      <c r="AE53" s="6">
        <v>0</v>
      </c>
      <c r="AF53" s="6">
        <v>0</v>
      </c>
      <c r="AG53" s="6">
        <v>3</v>
      </c>
      <c r="AH53" s="6">
        <v>0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1</v>
      </c>
      <c r="AT53" s="6">
        <v>1</v>
      </c>
      <c r="AU53" s="6">
        <v>0</v>
      </c>
      <c r="AV53" s="6">
        <v>1</v>
      </c>
      <c r="AW53" s="6">
        <v>1</v>
      </c>
      <c r="AX53" s="6">
        <v>0</v>
      </c>
      <c r="AY53" s="5">
        <f t="shared" si="0"/>
        <v>10</v>
      </c>
    </row>
    <row r="54" spans="1:51" ht="13.15" customHeight="1" x14ac:dyDescent="0.3">
      <c r="A54" s="7"/>
      <c r="B54" s="54"/>
      <c r="C54" s="24" t="s">
        <v>130</v>
      </c>
      <c r="D54" s="24"/>
      <c r="E54" s="6">
        <v>2</v>
      </c>
      <c r="F54" s="6">
        <v>0</v>
      </c>
      <c r="G54" s="6">
        <v>0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1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</v>
      </c>
      <c r="Y54" s="6">
        <v>0</v>
      </c>
      <c r="Z54" s="6">
        <v>1</v>
      </c>
      <c r="AA54" s="6">
        <v>1</v>
      </c>
      <c r="AB54" s="6">
        <v>0</v>
      </c>
      <c r="AC54" s="6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1</v>
      </c>
      <c r="AK54" s="6">
        <v>0</v>
      </c>
      <c r="AL54" s="6">
        <v>2</v>
      </c>
      <c r="AM54" s="6">
        <v>0</v>
      </c>
      <c r="AN54" s="6">
        <v>2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1</v>
      </c>
      <c r="AU54" s="6">
        <v>1</v>
      </c>
      <c r="AV54" s="6">
        <v>0</v>
      </c>
      <c r="AW54" s="6">
        <v>1</v>
      </c>
      <c r="AX54" s="6">
        <v>0</v>
      </c>
      <c r="AY54" s="5">
        <f t="shared" si="0"/>
        <v>18</v>
      </c>
    </row>
    <row r="55" spans="1:51" x14ac:dyDescent="0.3">
      <c r="A55" s="6" t="s">
        <v>26</v>
      </c>
      <c r="B55" s="69" t="s">
        <v>51</v>
      </c>
      <c r="C55" s="85"/>
      <c r="D55" s="76"/>
      <c r="E55" s="5">
        <f>SUM(E45:E54)</f>
        <v>28</v>
      </c>
      <c r="F55" s="5">
        <f t="shared" ref="F55:AY55" si="18">SUM(F45:F54)</f>
        <v>26</v>
      </c>
      <c r="G55" s="5">
        <f t="shared" si="18"/>
        <v>10</v>
      </c>
      <c r="H55" s="5">
        <f t="shared" si="18"/>
        <v>7</v>
      </c>
      <c r="I55" s="5">
        <f t="shared" si="18"/>
        <v>24</v>
      </c>
      <c r="J55" s="5">
        <f t="shared" si="18"/>
        <v>17</v>
      </c>
      <c r="K55" s="5">
        <f t="shared" si="18"/>
        <v>10</v>
      </c>
      <c r="L55" s="5">
        <f t="shared" si="18"/>
        <v>16</v>
      </c>
      <c r="M55" s="5">
        <f t="shared" si="18"/>
        <v>17</v>
      </c>
      <c r="N55" s="5">
        <f t="shared" si="18"/>
        <v>32</v>
      </c>
      <c r="O55" s="5">
        <f t="shared" si="18"/>
        <v>20</v>
      </c>
      <c r="P55" s="5">
        <f t="shared" si="18"/>
        <v>30</v>
      </c>
      <c r="Q55" s="5">
        <f t="shared" si="18"/>
        <v>11</v>
      </c>
      <c r="R55" s="5">
        <f t="shared" si="18"/>
        <v>6</v>
      </c>
      <c r="S55" s="5">
        <f t="shared" si="18"/>
        <v>7</v>
      </c>
      <c r="T55" s="5">
        <f t="shared" si="18"/>
        <v>13</v>
      </c>
      <c r="U55" s="5">
        <f t="shared" si="18"/>
        <v>9</v>
      </c>
      <c r="V55" s="5">
        <f t="shared" si="18"/>
        <v>26</v>
      </c>
      <c r="W55" s="5">
        <f t="shared" si="18"/>
        <v>13</v>
      </c>
      <c r="X55" s="5">
        <f t="shared" si="18"/>
        <v>27</v>
      </c>
      <c r="Y55" s="5">
        <f t="shared" si="18"/>
        <v>17</v>
      </c>
      <c r="Z55" s="5">
        <f t="shared" si="18"/>
        <v>35</v>
      </c>
      <c r="AA55" s="5">
        <f t="shared" si="18"/>
        <v>14</v>
      </c>
      <c r="AB55" s="5">
        <f t="shared" si="18"/>
        <v>13</v>
      </c>
      <c r="AC55" s="5">
        <f t="shared" si="18"/>
        <v>21</v>
      </c>
      <c r="AD55" s="5">
        <f t="shared" si="18"/>
        <v>8</v>
      </c>
      <c r="AE55" s="5">
        <f t="shared" si="18"/>
        <v>24</v>
      </c>
      <c r="AF55" s="5">
        <f t="shared" si="18"/>
        <v>32</v>
      </c>
      <c r="AG55" s="5">
        <f t="shared" si="18"/>
        <v>58</v>
      </c>
      <c r="AH55" s="5">
        <f t="shared" si="18"/>
        <v>3</v>
      </c>
      <c r="AI55" s="5">
        <f t="shared" si="18"/>
        <v>2</v>
      </c>
      <c r="AJ55" s="5">
        <f t="shared" si="18"/>
        <v>35</v>
      </c>
      <c r="AK55" s="5">
        <f t="shared" si="18"/>
        <v>58</v>
      </c>
      <c r="AL55" s="5">
        <f t="shared" si="18"/>
        <v>33</v>
      </c>
      <c r="AM55" s="5">
        <f t="shared" si="18"/>
        <v>44</v>
      </c>
      <c r="AN55" s="5">
        <f t="shared" si="18"/>
        <v>25</v>
      </c>
      <c r="AO55" s="5">
        <f t="shared" si="18"/>
        <v>66</v>
      </c>
      <c r="AP55" s="5">
        <f t="shared" si="18"/>
        <v>36</v>
      </c>
      <c r="AQ55" s="5">
        <f t="shared" si="18"/>
        <v>49</v>
      </c>
      <c r="AR55" s="5">
        <f t="shared" si="18"/>
        <v>46</v>
      </c>
      <c r="AS55" s="5">
        <f t="shared" si="18"/>
        <v>67</v>
      </c>
      <c r="AT55" s="5">
        <f t="shared" si="18"/>
        <v>60</v>
      </c>
      <c r="AU55" s="5">
        <f t="shared" si="18"/>
        <v>68</v>
      </c>
      <c r="AV55" s="5">
        <f t="shared" si="18"/>
        <v>26</v>
      </c>
      <c r="AW55" s="5">
        <f t="shared" si="18"/>
        <v>24</v>
      </c>
      <c r="AX55" s="5">
        <f t="shared" si="18"/>
        <v>15</v>
      </c>
      <c r="AY55" s="5">
        <f t="shared" si="18"/>
        <v>1228</v>
      </c>
    </row>
    <row r="56" spans="1:51" x14ac:dyDescent="0.3">
      <c r="A56" s="86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AY56" s="5">
        <f t="shared" si="0"/>
        <v>0</v>
      </c>
    </row>
    <row r="57" spans="1:51" x14ac:dyDescent="0.3">
      <c r="A57" s="11" t="s">
        <v>48</v>
      </c>
      <c r="B57" s="17" t="s">
        <v>30</v>
      </c>
      <c r="C57" s="75" t="s">
        <v>52</v>
      </c>
      <c r="D57" s="76"/>
      <c r="E57" s="6">
        <v>7</v>
      </c>
      <c r="F57" s="6">
        <v>5</v>
      </c>
      <c r="G57" s="6">
        <v>10</v>
      </c>
      <c r="H57" s="6">
        <v>16</v>
      </c>
      <c r="I57" s="6">
        <v>7</v>
      </c>
      <c r="J57" s="6">
        <v>5</v>
      </c>
      <c r="K57" s="6">
        <v>7</v>
      </c>
      <c r="L57" s="6">
        <v>11</v>
      </c>
      <c r="M57" s="6">
        <v>9</v>
      </c>
      <c r="N57" s="6">
        <v>14</v>
      </c>
      <c r="O57" s="6">
        <v>10</v>
      </c>
      <c r="P57" s="6">
        <v>6</v>
      </c>
      <c r="Q57" s="6">
        <v>8</v>
      </c>
      <c r="R57" s="6">
        <v>12</v>
      </c>
      <c r="S57" s="6">
        <v>3</v>
      </c>
      <c r="T57" s="6">
        <v>13</v>
      </c>
      <c r="U57" s="6">
        <v>17</v>
      </c>
      <c r="V57" s="6">
        <v>20</v>
      </c>
      <c r="W57" s="6">
        <v>7</v>
      </c>
      <c r="X57" s="6">
        <v>10</v>
      </c>
      <c r="Y57" s="6">
        <v>5</v>
      </c>
      <c r="Z57" s="6">
        <v>12</v>
      </c>
      <c r="AA57" s="6">
        <v>7</v>
      </c>
      <c r="AB57" s="6">
        <v>6</v>
      </c>
      <c r="AC57" s="6">
        <v>9</v>
      </c>
      <c r="AD57" s="6">
        <v>6</v>
      </c>
      <c r="AE57" s="6">
        <v>8</v>
      </c>
      <c r="AF57" s="6">
        <v>4</v>
      </c>
      <c r="AG57" s="6">
        <v>9</v>
      </c>
      <c r="AH57" s="6">
        <v>10</v>
      </c>
      <c r="AI57" s="6">
        <v>5</v>
      </c>
      <c r="AJ57" s="6">
        <v>12</v>
      </c>
      <c r="AK57" s="6">
        <v>19</v>
      </c>
      <c r="AL57" s="6">
        <v>18</v>
      </c>
      <c r="AM57" s="6">
        <v>8</v>
      </c>
      <c r="AN57" s="6">
        <v>10</v>
      </c>
      <c r="AO57" s="6">
        <v>14</v>
      </c>
      <c r="AP57" s="6">
        <v>9</v>
      </c>
      <c r="AQ57" s="6">
        <v>8</v>
      </c>
      <c r="AR57" s="6">
        <v>8</v>
      </c>
      <c r="AS57" s="6">
        <v>13</v>
      </c>
      <c r="AT57" s="6">
        <v>9</v>
      </c>
      <c r="AU57" s="6">
        <v>16</v>
      </c>
      <c r="AV57" s="6">
        <v>19</v>
      </c>
      <c r="AW57" s="6">
        <v>10</v>
      </c>
      <c r="AX57" s="6">
        <v>11</v>
      </c>
      <c r="AY57" s="5">
        <f>SUM(E57:AX57)</f>
        <v>462</v>
      </c>
    </row>
    <row r="58" spans="1:51" x14ac:dyDescent="0.3">
      <c r="A58" s="11" t="s">
        <v>50</v>
      </c>
      <c r="B58" s="54"/>
      <c r="C58" s="24" t="s">
        <v>131</v>
      </c>
      <c r="D58" s="55"/>
      <c r="E58" s="6">
        <v>5</v>
      </c>
      <c r="F58" s="6">
        <v>6</v>
      </c>
      <c r="G58" s="6">
        <v>6</v>
      </c>
      <c r="H58" s="6">
        <v>2</v>
      </c>
      <c r="I58" s="6">
        <v>7</v>
      </c>
      <c r="J58" s="6">
        <v>3</v>
      </c>
      <c r="K58" s="6">
        <v>9</v>
      </c>
      <c r="L58" s="6">
        <v>9</v>
      </c>
      <c r="M58" s="6">
        <v>11</v>
      </c>
      <c r="N58" s="6">
        <v>5</v>
      </c>
      <c r="O58" s="6">
        <v>4</v>
      </c>
      <c r="P58" s="6">
        <v>25</v>
      </c>
      <c r="Q58" s="6">
        <v>4</v>
      </c>
      <c r="R58" s="6">
        <v>4</v>
      </c>
      <c r="S58" s="6">
        <v>1</v>
      </c>
      <c r="T58" s="6">
        <v>1</v>
      </c>
      <c r="U58" s="6">
        <v>7</v>
      </c>
      <c r="V58" s="6">
        <v>11</v>
      </c>
      <c r="W58" s="6">
        <v>4</v>
      </c>
      <c r="X58" s="6">
        <v>5</v>
      </c>
      <c r="Y58" s="6">
        <v>8</v>
      </c>
      <c r="Z58" s="6">
        <v>5</v>
      </c>
      <c r="AA58" s="6">
        <v>3</v>
      </c>
      <c r="AB58" s="6">
        <v>2</v>
      </c>
      <c r="AC58" s="6">
        <v>4</v>
      </c>
      <c r="AD58" s="6">
        <v>5</v>
      </c>
      <c r="AE58" s="6">
        <v>7</v>
      </c>
      <c r="AF58" s="6">
        <v>8</v>
      </c>
      <c r="AG58" s="6">
        <v>10</v>
      </c>
      <c r="AH58" s="6">
        <v>35</v>
      </c>
      <c r="AI58" s="6">
        <v>28</v>
      </c>
      <c r="AJ58" s="6">
        <v>10</v>
      </c>
      <c r="AK58" s="6">
        <v>5</v>
      </c>
      <c r="AL58" s="6">
        <v>3</v>
      </c>
      <c r="AM58" s="6">
        <v>9</v>
      </c>
      <c r="AN58" s="6">
        <v>7</v>
      </c>
      <c r="AO58" s="6">
        <v>5</v>
      </c>
      <c r="AP58" s="6">
        <v>2</v>
      </c>
      <c r="AQ58" s="6">
        <v>5</v>
      </c>
      <c r="AR58" s="6">
        <v>18</v>
      </c>
      <c r="AS58" s="6">
        <v>11</v>
      </c>
      <c r="AT58" s="6">
        <v>24</v>
      </c>
      <c r="AU58" s="6">
        <v>12</v>
      </c>
      <c r="AV58" s="6">
        <v>55</v>
      </c>
      <c r="AW58" s="6">
        <v>29</v>
      </c>
      <c r="AX58" s="6">
        <v>7</v>
      </c>
      <c r="AY58" s="5">
        <f t="shared" si="0"/>
        <v>446</v>
      </c>
    </row>
    <row r="59" spans="1:51" x14ac:dyDescent="0.3">
      <c r="A59" s="7"/>
      <c r="B59" s="54"/>
      <c r="C59" s="24" t="s">
        <v>132</v>
      </c>
      <c r="D59" s="55"/>
      <c r="E59" s="6">
        <v>5</v>
      </c>
      <c r="F59" s="6">
        <v>6</v>
      </c>
      <c r="G59" s="6">
        <v>3</v>
      </c>
      <c r="H59" s="6">
        <v>8</v>
      </c>
      <c r="I59" s="6">
        <v>4</v>
      </c>
      <c r="J59" s="6">
        <v>10</v>
      </c>
      <c r="K59" s="6">
        <v>4</v>
      </c>
      <c r="L59" s="6">
        <v>0</v>
      </c>
      <c r="M59" s="6">
        <v>3</v>
      </c>
      <c r="N59" s="6">
        <v>9</v>
      </c>
      <c r="O59" s="6">
        <v>16</v>
      </c>
      <c r="P59" s="6">
        <v>26</v>
      </c>
      <c r="Q59" s="6">
        <v>6</v>
      </c>
      <c r="R59" s="6">
        <v>2</v>
      </c>
      <c r="S59" s="6">
        <v>2</v>
      </c>
      <c r="T59" s="6">
        <v>1</v>
      </c>
      <c r="U59" s="6">
        <v>3</v>
      </c>
      <c r="V59" s="6">
        <v>10</v>
      </c>
      <c r="W59" s="6">
        <v>7</v>
      </c>
      <c r="X59" s="6">
        <v>7</v>
      </c>
      <c r="Y59" s="6">
        <v>4</v>
      </c>
      <c r="Z59" s="6">
        <v>5</v>
      </c>
      <c r="AA59" s="6">
        <v>1</v>
      </c>
      <c r="AB59" s="6">
        <v>3</v>
      </c>
      <c r="AC59" s="6">
        <v>1</v>
      </c>
      <c r="AD59" s="6">
        <v>7</v>
      </c>
      <c r="AE59" s="6">
        <v>4</v>
      </c>
      <c r="AF59" s="6">
        <v>2</v>
      </c>
      <c r="AG59" s="6">
        <v>3</v>
      </c>
      <c r="AH59" s="6">
        <v>0</v>
      </c>
      <c r="AI59" s="6">
        <v>0</v>
      </c>
      <c r="AJ59" s="6">
        <v>12</v>
      </c>
      <c r="AK59" s="6">
        <v>2</v>
      </c>
      <c r="AL59" s="6">
        <v>18</v>
      </c>
      <c r="AM59" s="6">
        <v>4</v>
      </c>
      <c r="AN59" s="6">
        <v>2</v>
      </c>
      <c r="AO59" s="6">
        <v>0</v>
      </c>
      <c r="AP59" s="6">
        <v>1</v>
      </c>
      <c r="AQ59" s="6">
        <v>4</v>
      </c>
      <c r="AR59" s="6">
        <v>3</v>
      </c>
      <c r="AS59" s="6">
        <v>15</v>
      </c>
      <c r="AT59" s="6">
        <v>7</v>
      </c>
      <c r="AU59" s="6">
        <v>5</v>
      </c>
      <c r="AV59" s="6">
        <v>7</v>
      </c>
      <c r="AW59" s="6">
        <v>3</v>
      </c>
      <c r="AX59" s="6">
        <v>6</v>
      </c>
      <c r="AY59" s="5">
        <f t="shared" si="0"/>
        <v>251</v>
      </c>
    </row>
    <row r="60" spans="1:51" x14ac:dyDescent="0.3">
      <c r="A60" s="7"/>
      <c r="B60" s="54"/>
      <c r="C60" s="24" t="s">
        <v>133</v>
      </c>
      <c r="D60" s="55"/>
      <c r="E60" s="6">
        <v>2</v>
      </c>
      <c r="F60" s="6">
        <v>2</v>
      </c>
      <c r="G60" s="6">
        <v>1</v>
      </c>
      <c r="H60" s="6">
        <v>1</v>
      </c>
      <c r="I60" s="6">
        <v>1</v>
      </c>
      <c r="J60" s="6">
        <v>1</v>
      </c>
      <c r="K60" s="6">
        <v>0</v>
      </c>
      <c r="L60" s="6">
        <v>1</v>
      </c>
      <c r="M60" s="6">
        <v>0</v>
      </c>
      <c r="N60" s="6">
        <v>1</v>
      </c>
      <c r="O60" s="6">
        <v>1</v>
      </c>
      <c r="P60" s="6">
        <v>0</v>
      </c>
      <c r="Q60" s="6">
        <v>1</v>
      </c>
      <c r="R60" s="6">
        <v>2</v>
      </c>
      <c r="S60" s="6">
        <v>1</v>
      </c>
      <c r="T60" s="6">
        <v>1</v>
      </c>
      <c r="U60" s="6">
        <v>1</v>
      </c>
      <c r="V60" s="6">
        <v>3</v>
      </c>
      <c r="W60" s="6">
        <v>1</v>
      </c>
      <c r="X60" s="6">
        <v>1</v>
      </c>
      <c r="Y60" s="6">
        <v>2</v>
      </c>
      <c r="Z60" s="6">
        <v>1</v>
      </c>
      <c r="AA60" s="6">
        <v>1</v>
      </c>
      <c r="AB60" s="6">
        <v>4</v>
      </c>
      <c r="AC60" s="6">
        <v>1</v>
      </c>
      <c r="AD60" s="6">
        <v>4</v>
      </c>
      <c r="AE60" s="6">
        <v>2</v>
      </c>
      <c r="AF60" s="6">
        <v>1</v>
      </c>
      <c r="AG60" s="6">
        <v>1</v>
      </c>
      <c r="AH60" s="6">
        <v>1</v>
      </c>
      <c r="AI60" s="6">
        <v>4</v>
      </c>
      <c r="AJ60" s="6">
        <v>4</v>
      </c>
      <c r="AK60" s="6">
        <v>2</v>
      </c>
      <c r="AL60" s="6">
        <v>2</v>
      </c>
      <c r="AM60" s="6">
        <v>4</v>
      </c>
      <c r="AN60" s="6">
        <v>6</v>
      </c>
      <c r="AO60" s="6">
        <v>0</v>
      </c>
      <c r="AP60" s="6">
        <v>5</v>
      </c>
      <c r="AQ60" s="6">
        <v>2</v>
      </c>
      <c r="AR60" s="6">
        <v>1</v>
      </c>
      <c r="AS60" s="6">
        <v>1</v>
      </c>
      <c r="AT60" s="6">
        <v>3</v>
      </c>
      <c r="AU60" s="6">
        <v>0</v>
      </c>
      <c r="AV60" s="6">
        <v>1</v>
      </c>
      <c r="AW60" s="6">
        <v>0</v>
      </c>
      <c r="AX60" s="6">
        <v>2</v>
      </c>
      <c r="AY60" s="5">
        <f t="shared" si="0"/>
        <v>77</v>
      </c>
    </row>
    <row r="61" spans="1:51" x14ac:dyDescent="0.3">
      <c r="A61" s="7"/>
      <c r="B61" s="54"/>
      <c r="C61" s="24" t="s">
        <v>134</v>
      </c>
      <c r="D61" s="55"/>
      <c r="E61" s="6">
        <v>0</v>
      </c>
      <c r="F61" s="6">
        <v>0</v>
      </c>
      <c r="G61" s="6">
        <v>2</v>
      </c>
      <c r="H61" s="6">
        <v>3</v>
      </c>
      <c r="I61" s="6">
        <v>2</v>
      </c>
      <c r="J61" s="6">
        <v>1</v>
      </c>
      <c r="K61" s="6">
        <v>1</v>
      </c>
      <c r="L61" s="6">
        <v>1</v>
      </c>
      <c r="M61" s="6">
        <v>0</v>
      </c>
      <c r="N61" s="6">
        <v>1</v>
      </c>
      <c r="O61" s="6">
        <v>0</v>
      </c>
      <c r="P61" s="6">
        <v>5</v>
      </c>
      <c r="Q61" s="6">
        <v>6</v>
      </c>
      <c r="R61" s="6">
        <v>2</v>
      </c>
      <c r="S61" s="6">
        <v>5</v>
      </c>
      <c r="T61" s="6">
        <v>5</v>
      </c>
      <c r="U61" s="6">
        <v>3</v>
      </c>
      <c r="V61" s="6">
        <v>8</v>
      </c>
      <c r="W61" s="6">
        <v>3</v>
      </c>
      <c r="X61" s="6">
        <v>5</v>
      </c>
      <c r="Y61" s="6">
        <v>9</v>
      </c>
      <c r="Z61" s="6">
        <v>5</v>
      </c>
      <c r="AA61" s="6">
        <v>3</v>
      </c>
      <c r="AB61" s="6">
        <v>7</v>
      </c>
      <c r="AC61" s="6">
        <v>1</v>
      </c>
      <c r="AD61" s="6">
        <v>1</v>
      </c>
      <c r="AE61" s="6">
        <v>0</v>
      </c>
      <c r="AF61" s="6">
        <v>3</v>
      </c>
      <c r="AG61" s="6">
        <v>4</v>
      </c>
      <c r="AH61" s="6">
        <v>0</v>
      </c>
      <c r="AI61" s="6">
        <v>0</v>
      </c>
      <c r="AJ61" s="6">
        <v>1</v>
      </c>
      <c r="AK61" s="6">
        <v>6</v>
      </c>
      <c r="AL61" s="6">
        <v>6</v>
      </c>
      <c r="AM61" s="6">
        <v>6</v>
      </c>
      <c r="AN61" s="6">
        <v>1</v>
      </c>
      <c r="AO61" s="6">
        <v>1</v>
      </c>
      <c r="AP61" s="6">
        <v>4</v>
      </c>
      <c r="AQ61" s="6">
        <v>1</v>
      </c>
      <c r="AR61" s="6">
        <v>3</v>
      </c>
      <c r="AS61" s="6">
        <v>1</v>
      </c>
      <c r="AT61" s="6">
        <v>3</v>
      </c>
      <c r="AU61" s="6">
        <v>6</v>
      </c>
      <c r="AV61" s="6">
        <v>7</v>
      </c>
      <c r="AW61" s="6">
        <v>1</v>
      </c>
      <c r="AX61" s="6">
        <v>4</v>
      </c>
      <c r="AY61" s="5">
        <f t="shared" si="0"/>
        <v>137</v>
      </c>
    </row>
    <row r="62" spans="1:51" x14ac:dyDescent="0.3">
      <c r="A62" s="7"/>
      <c r="B62" s="54"/>
      <c r="C62" s="24" t="s">
        <v>135</v>
      </c>
      <c r="D62" s="55"/>
      <c r="E62" s="6">
        <v>1</v>
      </c>
      <c r="F62" s="6">
        <v>1</v>
      </c>
      <c r="G62" s="6">
        <v>2</v>
      </c>
      <c r="H62" s="6">
        <v>1</v>
      </c>
      <c r="I62" s="6">
        <v>0</v>
      </c>
      <c r="J62" s="6">
        <v>0</v>
      </c>
      <c r="K62" s="6">
        <v>3</v>
      </c>
      <c r="L62" s="6">
        <v>0</v>
      </c>
      <c r="M62" s="6">
        <v>0</v>
      </c>
      <c r="N62" s="6">
        <v>3</v>
      </c>
      <c r="O62" s="6">
        <v>3</v>
      </c>
      <c r="P62" s="6">
        <v>0</v>
      </c>
      <c r="Q62" s="6">
        <v>1</v>
      </c>
      <c r="R62" s="6">
        <v>2</v>
      </c>
      <c r="S62" s="6">
        <v>0</v>
      </c>
      <c r="T62" s="6">
        <v>2</v>
      </c>
      <c r="U62" s="6">
        <v>1</v>
      </c>
      <c r="V62" s="6">
        <v>0</v>
      </c>
      <c r="W62" s="6">
        <v>1</v>
      </c>
      <c r="X62" s="6">
        <v>0</v>
      </c>
      <c r="Y62" s="6">
        <v>1</v>
      </c>
      <c r="Z62" s="6">
        <v>0</v>
      </c>
      <c r="AA62" s="6">
        <v>1</v>
      </c>
      <c r="AB62" s="6">
        <v>2</v>
      </c>
      <c r="AC62" s="6">
        <v>1</v>
      </c>
      <c r="AD62" s="6">
        <v>3</v>
      </c>
      <c r="AE62" s="6">
        <v>0</v>
      </c>
      <c r="AF62" s="6">
        <v>2</v>
      </c>
      <c r="AG62" s="6">
        <v>3</v>
      </c>
      <c r="AH62" s="6">
        <v>0</v>
      </c>
      <c r="AI62" s="6">
        <v>1</v>
      </c>
      <c r="AJ62" s="6">
        <v>1</v>
      </c>
      <c r="AK62" s="6">
        <v>2</v>
      </c>
      <c r="AL62" s="6">
        <v>0</v>
      </c>
      <c r="AM62" s="6">
        <v>1</v>
      </c>
      <c r="AN62" s="6">
        <v>4</v>
      </c>
      <c r="AO62" s="6">
        <v>1</v>
      </c>
      <c r="AP62" s="6">
        <v>1</v>
      </c>
      <c r="AQ62" s="6">
        <v>0</v>
      </c>
      <c r="AR62" s="6">
        <v>1</v>
      </c>
      <c r="AS62" s="6">
        <v>1</v>
      </c>
      <c r="AT62" s="6">
        <v>0</v>
      </c>
      <c r="AU62" s="6">
        <v>0</v>
      </c>
      <c r="AV62" s="6">
        <v>3</v>
      </c>
      <c r="AW62" s="6">
        <v>0</v>
      </c>
      <c r="AX62" s="6">
        <v>0</v>
      </c>
      <c r="AY62" s="5">
        <f t="shared" si="0"/>
        <v>50</v>
      </c>
    </row>
    <row r="63" spans="1:51" ht="13.15" customHeight="1" x14ac:dyDescent="0.3">
      <c r="A63" s="7"/>
      <c r="B63" s="54"/>
      <c r="C63" s="24" t="s">
        <v>136</v>
      </c>
      <c r="D63" s="51"/>
      <c r="E63" s="6">
        <v>0</v>
      </c>
      <c r="F63" s="6">
        <v>1</v>
      </c>
      <c r="G63" s="6">
        <v>0</v>
      </c>
      <c r="H63" s="6">
        <v>0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2</v>
      </c>
      <c r="W63" s="6">
        <v>0</v>
      </c>
      <c r="X63" s="6">
        <v>2</v>
      </c>
      <c r="Y63" s="6">
        <v>0</v>
      </c>
      <c r="Z63" s="6">
        <v>0</v>
      </c>
      <c r="AA63" s="6">
        <v>0</v>
      </c>
      <c r="AB63" s="6">
        <v>1</v>
      </c>
      <c r="AC63" s="6">
        <v>1</v>
      </c>
      <c r="AD63" s="6">
        <v>0</v>
      </c>
      <c r="AE63" s="6">
        <v>0</v>
      </c>
      <c r="AF63" s="6">
        <v>1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1</v>
      </c>
      <c r="AN63" s="6">
        <v>0</v>
      </c>
      <c r="AO63" s="6">
        <v>0</v>
      </c>
      <c r="AP63" s="6">
        <v>0</v>
      </c>
      <c r="AQ63" s="6">
        <v>1</v>
      </c>
      <c r="AR63" s="6">
        <v>1</v>
      </c>
      <c r="AS63" s="6">
        <v>0</v>
      </c>
      <c r="AT63" s="6">
        <v>0</v>
      </c>
      <c r="AU63" s="6">
        <v>1</v>
      </c>
      <c r="AV63" s="6">
        <v>2</v>
      </c>
      <c r="AW63" s="6">
        <v>0</v>
      </c>
      <c r="AX63" s="6">
        <v>0</v>
      </c>
      <c r="AY63" s="5">
        <f t="shared" si="0"/>
        <v>19</v>
      </c>
    </row>
    <row r="64" spans="1:51" x14ac:dyDescent="0.3">
      <c r="A64" s="7"/>
      <c r="B64" s="54"/>
      <c r="C64" s="24" t="s">
        <v>137</v>
      </c>
      <c r="D64" s="55"/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1</v>
      </c>
      <c r="M64" s="6">
        <v>1</v>
      </c>
      <c r="N64" s="6">
        <v>0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6">
        <v>1</v>
      </c>
      <c r="V64" s="6">
        <v>0</v>
      </c>
      <c r="W64" s="6">
        <v>0</v>
      </c>
      <c r="X64" s="6">
        <v>0</v>
      </c>
      <c r="Y64" s="6">
        <v>1</v>
      </c>
      <c r="Z64" s="6">
        <v>0</v>
      </c>
      <c r="AA64" s="6">
        <v>1</v>
      </c>
      <c r="AB64" s="6">
        <v>0</v>
      </c>
      <c r="AC64" s="6">
        <v>2</v>
      </c>
      <c r="AD64" s="6">
        <v>0</v>
      </c>
      <c r="AE64" s="6">
        <v>1</v>
      </c>
      <c r="AF64" s="6">
        <v>1</v>
      </c>
      <c r="AG64" s="6">
        <v>0</v>
      </c>
      <c r="AH64" s="6">
        <v>0</v>
      </c>
      <c r="AI64" s="6">
        <v>0</v>
      </c>
      <c r="AJ64" s="6">
        <v>0</v>
      </c>
      <c r="AK64" s="6">
        <v>1</v>
      </c>
      <c r="AL64" s="6">
        <v>0</v>
      </c>
      <c r="AM64" s="6">
        <v>1</v>
      </c>
      <c r="AN64" s="6">
        <v>0</v>
      </c>
      <c r="AO64" s="6">
        <v>0</v>
      </c>
      <c r="AP64" s="6">
        <v>0</v>
      </c>
      <c r="AQ64" s="6">
        <v>1</v>
      </c>
      <c r="AR64" s="6">
        <v>0</v>
      </c>
      <c r="AS64" s="6">
        <v>0</v>
      </c>
      <c r="AT64" s="6">
        <v>0</v>
      </c>
      <c r="AU64" s="6">
        <v>1</v>
      </c>
      <c r="AV64" s="6">
        <v>1</v>
      </c>
      <c r="AW64" s="6">
        <v>0</v>
      </c>
      <c r="AX64" s="6">
        <v>0</v>
      </c>
      <c r="AY64" s="5">
        <f t="shared" si="0"/>
        <v>16</v>
      </c>
    </row>
    <row r="65" spans="1:51" x14ac:dyDescent="0.3">
      <c r="A65" s="7"/>
      <c r="B65" s="54"/>
      <c r="C65" s="24" t="s">
        <v>138</v>
      </c>
      <c r="D65" s="55"/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</v>
      </c>
      <c r="AB65" s="6">
        <v>1</v>
      </c>
      <c r="AC65" s="6">
        <v>0</v>
      </c>
      <c r="AD65" s="6">
        <v>0</v>
      </c>
      <c r="AE65" s="6">
        <v>0</v>
      </c>
      <c r="AF65" s="6">
        <v>0</v>
      </c>
      <c r="AG65" s="6">
        <v>1</v>
      </c>
      <c r="AH65" s="6">
        <v>0</v>
      </c>
      <c r="AI65" s="6">
        <v>2</v>
      </c>
      <c r="AJ65" s="6">
        <v>1</v>
      </c>
      <c r="AK65" s="6">
        <v>0</v>
      </c>
      <c r="AL65" s="6">
        <v>0</v>
      </c>
      <c r="AM65" s="6">
        <v>1</v>
      </c>
      <c r="AN65" s="6">
        <v>1</v>
      </c>
      <c r="AO65" s="6">
        <v>0</v>
      </c>
      <c r="AP65" s="6">
        <v>1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1</v>
      </c>
      <c r="AX65" s="6">
        <v>0</v>
      </c>
      <c r="AY65" s="5">
        <f t="shared" si="0"/>
        <v>12</v>
      </c>
    </row>
    <row r="66" spans="1:51" x14ac:dyDescent="0.3">
      <c r="A66" s="7"/>
      <c r="B66" s="54"/>
      <c r="C66" s="24" t="s">
        <v>139</v>
      </c>
      <c r="D66" s="55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1</v>
      </c>
      <c r="N66" s="6">
        <v>0</v>
      </c>
      <c r="O66" s="6">
        <v>1</v>
      </c>
      <c r="P66" s="6">
        <v>1</v>
      </c>
      <c r="Q66" s="6">
        <v>0</v>
      </c>
      <c r="R66" s="6">
        <v>1</v>
      </c>
      <c r="S66" s="6">
        <v>1</v>
      </c>
      <c r="T66" s="6">
        <v>0</v>
      </c>
      <c r="U66" s="6">
        <v>1</v>
      </c>
      <c r="V66" s="6">
        <v>1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6">
        <v>0</v>
      </c>
      <c r="AC66" s="6">
        <v>0</v>
      </c>
      <c r="AD66" s="6">
        <v>2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0</v>
      </c>
      <c r="AM66" s="6">
        <v>0</v>
      </c>
      <c r="AN66" s="6">
        <v>0</v>
      </c>
      <c r="AO66" s="6">
        <v>1</v>
      </c>
      <c r="AP66" s="6">
        <v>0</v>
      </c>
      <c r="AQ66" s="6">
        <v>0</v>
      </c>
      <c r="AR66" s="6">
        <v>0</v>
      </c>
      <c r="AS66" s="6">
        <v>0</v>
      </c>
      <c r="AT66" s="6">
        <v>1</v>
      </c>
      <c r="AU66" s="6">
        <v>1</v>
      </c>
      <c r="AV66" s="6">
        <v>0</v>
      </c>
      <c r="AW66" s="6">
        <v>0</v>
      </c>
      <c r="AX66" s="6">
        <v>0</v>
      </c>
      <c r="AY66" s="5">
        <f t="shared" si="0"/>
        <v>16</v>
      </c>
    </row>
    <row r="67" spans="1:51" x14ac:dyDescent="0.3">
      <c r="A67" s="6" t="s">
        <v>26</v>
      </c>
      <c r="B67" s="69" t="s">
        <v>51</v>
      </c>
      <c r="C67" s="85"/>
      <c r="D67" s="76"/>
      <c r="E67" s="5">
        <f>SUM(E57:E66)</f>
        <v>20</v>
      </c>
      <c r="F67" s="5">
        <f t="shared" ref="F67:AY67" si="19">SUM(F57:F66)</f>
        <v>23</v>
      </c>
      <c r="G67" s="5">
        <f t="shared" si="19"/>
        <v>24</v>
      </c>
      <c r="H67" s="5">
        <f t="shared" si="19"/>
        <v>31</v>
      </c>
      <c r="I67" s="5">
        <f t="shared" si="19"/>
        <v>22</v>
      </c>
      <c r="J67" s="5">
        <f t="shared" si="19"/>
        <v>21</v>
      </c>
      <c r="K67" s="5">
        <f t="shared" si="19"/>
        <v>25</v>
      </c>
      <c r="L67" s="5">
        <f t="shared" si="19"/>
        <v>23</v>
      </c>
      <c r="M67" s="5">
        <f t="shared" si="19"/>
        <v>25</v>
      </c>
      <c r="N67" s="5">
        <f t="shared" si="19"/>
        <v>34</v>
      </c>
      <c r="O67" s="5">
        <f t="shared" si="19"/>
        <v>35</v>
      </c>
      <c r="P67" s="5">
        <f t="shared" si="19"/>
        <v>63</v>
      </c>
      <c r="Q67" s="5">
        <f t="shared" si="19"/>
        <v>27</v>
      </c>
      <c r="R67" s="5">
        <f t="shared" si="19"/>
        <v>25</v>
      </c>
      <c r="S67" s="5">
        <f t="shared" si="19"/>
        <v>14</v>
      </c>
      <c r="T67" s="5">
        <f t="shared" si="19"/>
        <v>23</v>
      </c>
      <c r="U67" s="5">
        <f t="shared" si="19"/>
        <v>35</v>
      </c>
      <c r="V67" s="5">
        <f t="shared" si="19"/>
        <v>55</v>
      </c>
      <c r="W67" s="5">
        <f t="shared" si="19"/>
        <v>23</v>
      </c>
      <c r="X67" s="5">
        <f t="shared" si="19"/>
        <v>30</v>
      </c>
      <c r="Y67" s="5">
        <f t="shared" si="19"/>
        <v>30</v>
      </c>
      <c r="Z67" s="5">
        <f t="shared" si="19"/>
        <v>29</v>
      </c>
      <c r="AA67" s="5">
        <f t="shared" si="19"/>
        <v>18</v>
      </c>
      <c r="AB67" s="5">
        <f t="shared" si="19"/>
        <v>26</v>
      </c>
      <c r="AC67" s="5">
        <f t="shared" si="19"/>
        <v>20</v>
      </c>
      <c r="AD67" s="5">
        <f t="shared" si="19"/>
        <v>28</v>
      </c>
      <c r="AE67" s="5">
        <f t="shared" si="19"/>
        <v>23</v>
      </c>
      <c r="AF67" s="5">
        <f t="shared" si="19"/>
        <v>22</v>
      </c>
      <c r="AG67" s="5">
        <f t="shared" si="19"/>
        <v>31</v>
      </c>
      <c r="AH67" s="5">
        <f t="shared" si="19"/>
        <v>47</v>
      </c>
      <c r="AI67" s="5">
        <f t="shared" si="19"/>
        <v>40</v>
      </c>
      <c r="AJ67" s="5">
        <f t="shared" si="19"/>
        <v>41</v>
      </c>
      <c r="AK67" s="5">
        <f t="shared" si="19"/>
        <v>38</v>
      </c>
      <c r="AL67" s="5">
        <f t="shared" si="19"/>
        <v>47</v>
      </c>
      <c r="AM67" s="5">
        <f t="shared" si="19"/>
        <v>35</v>
      </c>
      <c r="AN67" s="5">
        <f t="shared" si="19"/>
        <v>31</v>
      </c>
      <c r="AO67" s="5">
        <f t="shared" si="19"/>
        <v>22</v>
      </c>
      <c r="AP67" s="5">
        <f t="shared" si="19"/>
        <v>23</v>
      </c>
      <c r="AQ67" s="5">
        <f t="shared" si="19"/>
        <v>22</v>
      </c>
      <c r="AR67" s="5">
        <f t="shared" si="19"/>
        <v>35</v>
      </c>
      <c r="AS67" s="5">
        <f t="shared" si="19"/>
        <v>42</v>
      </c>
      <c r="AT67" s="5">
        <f t="shared" si="19"/>
        <v>47</v>
      </c>
      <c r="AU67" s="5">
        <f t="shared" si="19"/>
        <v>42</v>
      </c>
      <c r="AV67" s="5">
        <f t="shared" si="19"/>
        <v>95</v>
      </c>
      <c r="AW67" s="5">
        <f t="shared" si="19"/>
        <v>44</v>
      </c>
      <c r="AX67" s="5">
        <f t="shared" si="19"/>
        <v>30</v>
      </c>
      <c r="AY67" s="5">
        <f t="shared" si="19"/>
        <v>1486</v>
      </c>
    </row>
    <row r="68" spans="1:51" x14ac:dyDescent="0.3">
      <c r="A68" s="86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AY68" s="5">
        <f t="shared" si="0"/>
        <v>0</v>
      </c>
    </row>
    <row r="69" spans="1:51" x14ac:dyDescent="0.3">
      <c r="A69" s="11" t="s">
        <v>48</v>
      </c>
      <c r="B69" s="17" t="s">
        <v>32</v>
      </c>
      <c r="C69" s="75" t="s">
        <v>53</v>
      </c>
      <c r="D69" s="76"/>
      <c r="E69" s="6">
        <v>9</v>
      </c>
      <c r="F69" s="6">
        <v>9</v>
      </c>
      <c r="G69" s="6">
        <v>8</v>
      </c>
      <c r="H69" s="6">
        <v>12</v>
      </c>
      <c r="I69" s="6">
        <v>17</v>
      </c>
      <c r="J69" s="6">
        <v>19</v>
      </c>
      <c r="K69" s="6">
        <v>5</v>
      </c>
      <c r="L69" s="6">
        <v>13</v>
      </c>
      <c r="M69" s="6">
        <v>13</v>
      </c>
      <c r="N69" s="6">
        <v>8</v>
      </c>
      <c r="O69" s="6">
        <v>9</v>
      </c>
      <c r="P69" s="6">
        <v>9</v>
      </c>
      <c r="Q69" s="6">
        <v>4</v>
      </c>
      <c r="R69" s="6">
        <v>9</v>
      </c>
      <c r="S69" s="6">
        <v>7</v>
      </c>
      <c r="T69" s="6">
        <v>5</v>
      </c>
      <c r="U69" s="6">
        <v>16</v>
      </c>
      <c r="V69" s="6">
        <v>17</v>
      </c>
      <c r="W69" s="6">
        <v>14</v>
      </c>
      <c r="X69" s="6">
        <v>15</v>
      </c>
      <c r="Y69" s="6">
        <v>19</v>
      </c>
      <c r="Z69" s="6">
        <v>12</v>
      </c>
      <c r="AA69" s="6">
        <v>7</v>
      </c>
      <c r="AB69" s="6">
        <v>9</v>
      </c>
      <c r="AC69" s="6">
        <v>22</v>
      </c>
      <c r="AD69" s="6">
        <v>14</v>
      </c>
      <c r="AE69" s="6">
        <v>9</v>
      </c>
      <c r="AF69" s="6">
        <v>3</v>
      </c>
      <c r="AG69" s="6">
        <v>2</v>
      </c>
      <c r="AH69" s="6">
        <v>6</v>
      </c>
      <c r="AI69" s="6">
        <v>21</v>
      </c>
      <c r="AJ69" s="6">
        <v>19</v>
      </c>
      <c r="AK69" s="6">
        <v>16</v>
      </c>
      <c r="AL69" s="6">
        <v>19</v>
      </c>
      <c r="AM69" s="6">
        <v>6</v>
      </c>
      <c r="AN69" s="6">
        <v>27</v>
      </c>
      <c r="AO69" s="6">
        <v>9</v>
      </c>
      <c r="AP69" s="6">
        <v>17</v>
      </c>
      <c r="AQ69" s="6">
        <v>9</v>
      </c>
      <c r="AR69" s="6">
        <v>4</v>
      </c>
      <c r="AS69" s="6">
        <v>4</v>
      </c>
      <c r="AT69" s="6">
        <v>3</v>
      </c>
      <c r="AU69" s="6">
        <v>9</v>
      </c>
      <c r="AV69" s="6">
        <v>12</v>
      </c>
      <c r="AW69" s="6">
        <v>13</v>
      </c>
      <c r="AX69" s="6">
        <v>11</v>
      </c>
      <c r="AY69" s="5">
        <f>SUM(E69:AX69)</f>
        <v>520</v>
      </c>
    </row>
    <row r="70" spans="1:51" x14ac:dyDescent="0.3">
      <c r="A70" s="11" t="s">
        <v>50</v>
      </c>
      <c r="B70" s="54"/>
      <c r="C70" s="24" t="s">
        <v>140</v>
      </c>
      <c r="D70" s="51"/>
      <c r="E70" s="6">
        <v>4</v>
      </c>
      <c r="F70" s="6">
        <v>10</v>
      </c>
      <c r="G70" s="6">
        <v>8</v>
      </c>
      <c r="H70" s="6">
        <v>6</v>
      </c>
      <c r="I70" s="6">
        <v>26</v>
      </c>
      <c r="J70" s="6">
        <v>14</v>
      </c>
      <c r="K70" s="6">
        <v>10</v>
      </c>
      <c r="L70" s="6">
        <v>9</v>
      </c>
      <c r="M70" s="6">
        <v>10</v>
      </c>
      <c r="N70" s="6">
        <v>45</v>
      </c>
      <c r="O70" s="6">
        <v>13</v>
      </c>
      <c r="P70" s="6">
        <v>14</v>
      </c>
      <c r="Q70" s="6">
        <v>6</v>
      </c>
      <c r="R70" s="6">
        <v>3</v>
      </c>
      <c r="S70" s="6">
        <v>7</v>
      </c>
      <c r="T70" s="6">
        <v>2</v>
      </c>
      <c r="U70" s="6">
        <v>5</v>
      </c>
      <c r="V70" s="6">
        <v>7</v>
      </c>
      <c r="W70" s="6">
        <v>6</v>
      </c>
      <c r="X70" s="6">
        <v>4</v>
      </c>
      <c r="Y70" s="6">
        <v>12</v>
      </c>
      <c r="Z70" s="6">
        <v>5</v>
      </c>
      <c r="AA70" s="6">
        <v>10</v>
      </c>
      <c r="AB70" s="6">
        <v>5</v>
      </c>
      <c r="AC70" s="6">
        <v>8</v>
      </c>
      <c r="AD70" s="6">
        <v>2</v>
      </c>
      <c r="AE70" s="6">
        <v>9</v>
      </c>
      <c r="AF70" s="6">
        <v>4</v>
      </c>
      <c r="AG70" s="6">
        <v>4</v>
      </c>
      <c r="AH70" s="6">
        <v>2</v>
      </c>
      <c r="AI70" s="6">
        <v>11</v>
      </c>
      <c r="AJ70" s="6">
        <v>8</v>
      </c>
      <c r="AK70" s="6">
        <v>5</v>
      </c>
      <c r="AL70" s="6">
        <v>8</v>
      </c>
      <c r="AM70" s="6">
        <v>4</v>
      </c>
      <c r="AN70" s="6">
        <v>6</v>
      </c>
      <c r="AO70" s="6">
        <v>4</v>
      </c>
      <c r="AP70" s="6">
        <v>10</v>
      </c>
      <c r="AQ70" s="6">
        <v>12</v>
      </c>
      <c r="AR70" s="6">
        <v>2</v>
      </c>
      <c r="AS70" s="6">
        <v>3</v>
      </c>
      <c r="AT70" s="6">
        <v>2</v>
      </c>
      <c r="AU70" s="6">
        <v>14</v>
      </c>
      <c r="AV70" s="6">
        <v>4</v>
      </c>
      <c r="AW70" s="6">
        <v>5</v>
      </c>
      <c r="AX70" s="6">
        <v>8</v>
      </c>
      <c r="AY70" s="5">
        <f t="shared" si="0"/>
        <v>376</v>
      </c>
    </row>
    <row r="71" spans="1:51" x14ac:dyDescent="0.3">
      <c r="A71" s="7"/>
      <c r="B71" s="54"/>
      <c r="C71" s="24" t="s">
        <v>141</v>
      </c>
      <c r="D71" s="51"/>
      <c r="E71" s="6">
        <v>5</v>
      </c>
      <c r="F71" s="6">
        <v>6</v>
      </c>
      <c r="G71" s="6">
        <v>1</v>
      </c>
      <c r="H71" s="6">
        <v>0</v>
      </c>
      <c r="I71" s="6">
        <v>5</v>
      </c>
      <c r="J71" s="6">
        <v>1</v>
      </c>
      <c r="K71" s="6">
        <v>7</v>
      </c>
      <c r="L71" s="6">
        <v>5</v>
      </c>
      <c r="M71" s="6">
        <v>3</v>
      </c>
      <c r="N71" s="6">
        <v>1</v>
      </c>
      <c r="O71" s="6">
        <v>5</v>
      </c>
      <c r="P71" s="6">
        <v>3</v>
      </c>
      <c r="Q71" s="6">
        <v>2</v>
      </c>
      <c r="R71" s="6">
        <v>3</v>
      </c>
      <c r="S71" s="6">
        <v>2</v>
      </c>
      <c r="T71" s="6">
        <v>4</v>
      </c>
      <c r="U71" s="6">
        <v>4</v>
      </c>
      <c r="V71" s="6">
        <v>8</v>
      </c>
      <c r="W71" s="6">
        <v>2</v>
      </c>
      <c r="X71" s="6">
        <v>9</v>
      </c>
      <c r="Y71" s="6">
        <v>9</v>
      </c>
      <c r="Z71" s="6">
        <v>7</v>
      </c>
      <c r="AA71" s="6">
        <v>4</v>
      </c>
      <c r="AB71" s="6">
        <v>5</v>
      </c>
      <c r="AC71" s="6">
        <v>6</v>
      </c>
      <c r="AD71" s="6">
        <v>7</v>
      </c>
      <c r="AE71" s="6">
        <v>2</v>
      </c>
      <c r="AF71" s="6">
        <v>1</v>
      </c>
      <c r="AG71" s="6">
        <v>1</v>
      </c>
      <c r="AH71" s="6">
        <v>3</v>
      </c>
      <c r="AI71" s="6">
        <v>0</v>
      </c>
      <c r="AJ71" s="6">
        <v>5</v>
      </c>
      <c r="AK71" s="6">
        <v>3</v>
      </c>
      <c r="AL71" s="6">
        <v>4</v>
      </c>
      <c r="AM71" s="6">
        <v>5</v>
      </c>
      <c r="AN71" s="6">
        <v>4</v>
      </c>
      <c r="AO71" s="6">
        <v>1</v>
      </c>
      <c r="AP71" s="6">
        <v>3</v>
      </c>
      <c r="AQ71" s="6">
        <v>1</v>
      </c>
      <c r="AR71" s="6">
        <v>1</v>
      </c>
      <c r="AS71" s="6">
        <v>1</v>
      </c>
      <c r="AT71" s="6">
        <v>0</v>
      </c>
      <c r="AU71" s="6">
        <v>2</v>
      </c>
      <c r="AV71" s="6">
        <v>2</v>
      </c>
      <c r="AW71" s="6">
        <v>5</v>
      </c>
      <c r="AX71" s="6">
        <v>6</v>
      </c>
      <c r="AY71" s="5">
        <f t="shared" si="0"/>
        <v>164</v>
      </c>
    </row>
    <row r="72" spans="1:51" x14ac:dyDescent="0.3">
      <c r="A72" s="7"/>
      <c r="B72" s="54"/>
      <c r="C72" s="24" t="s">
        <v>142</v>
      </c>
      <c r="D72" s="51"/>
      <c r="E72" s="6">
        <v>11</v>
      </c>
      <c r="F72" s="6">
        <v>6</v>
      </c>
      <c r="G72" s="6">
        <v>1</v>
      </c>
      <c r="H72" s="6">
        <v>2</v>
      </c>
      <c r="I72" s="6">
        <v>6</v>
      </c>
      <c r="J72" s="6">
        <v>2</v>
      </c>
      <c r="K72" s="6">
        <v>0</v>
      </c>
      <c r="L72" s="6">
        <v>3</v>
      </c>
      <c r="M72" s="6">
        <v>3</v>
      </c>
      <c r="N72" s="6">
        <v>1</v>
      </c>
      <c r="O72" s="6">
        <v>2</v>
      </c>
      <c r="P72" s="6">
        <v>5</v>
      </c>
      <c r="Q72" s="6">
        <v>1</v>
      </c>
      <c r="R72" s="6">
        <v>1</v>
      </c>
      <c r="S72" s="6">
        <v>3</v>
      </c>
      <c r="T72" s="6">
        <v>6</v>
      </c>
      <c r="U72" s="6">
        <v>7</v>
      </c>
      <c r="V72" s="6">
        <v>9</v>
      </c>
      <c r="W72" s="6">
        <v>4</v>
      </c>
      <c r="X72" s="6">
        <v>6</v>
      </c>
      <c r="Y72" s="6">
        <v>7</v>
      </c>
      <c r="Z72" s="6">
        <v>5</v>
      </c>
      <c r="AA72" s="6">
        <v>7</v>
      </c>
      <c r="AB72" s="6">
        <v>10</v>
      </c>
      <c r="AC72" s="6">
        <v>4</v>
      </c>
      <c r="AD72" s="6">
        <v>6</v>
      </c>
      <c r="AE72" s="6">
        <v>2</v>
      </c>
      <c r="AF72" s="6">
        <v>3</v>
      </c>
      <c r="AG72" s="6">
        <v>5</v>
      </c>
      <c r="AH72" s="6">
        <v>3</v>
      </c>
      <c r="AI72" s="6">
        <v>4</v>
      </c>
      <c r="AJ72" s="6">
        <v>5</v>
      </c>
      <c r="AK72" s="6">
        <v>5</v>
      </c>
      <c r="AL72" s="6">
        <v>3</v>
      </c>
      <c r="AM72" s="6">
        <v>11</v>
      </c>
      <c r="AN72" s="6">
        <v>10</v>
      </c>
      <c r="AO72" s="6">
        <v>4</v>
      </c>
      <c r="AP72" s="6">
        <v>5</v>
      </c>
      <c r="AQ72" s="6">
        <v>6</v>
      </c>
      <c r="AR72" s="6">
        <v>6</v>
      </c>
      <c r="AS72" s="6">
        <v>1</v>
      </c>
      <c r="AT72" s="6">
        <v>2</v>
      </c>
      <c r="AU72" s="6">
        <v>3</v>
      </c>
      <c r="AV72" s="6">
        <v>6</v>
      </c>
      <c r="AW72" s="6">
        <v>4</v>
      </c>
      <c r="AX72" s="6">
        <v>10</v>
      </c>
      <c r="AY72" s="5">
        <f t="shared" si="0"/>
        <v>216</v>
      </c>
    </row>
    <row r="73" spans="1:51" x14ac:dyDescent="0.3">
      <c r="A73" s="7"/>
      <c r="B73" s="54"/>
      <c r="C73" s="24" t="s">
        <v>143</v>
      </c>
      <c r="D73" s="51"/>
      <c r="E73" s="6">
        <v>2</v>
      </c>
      <c r="F73" s="6">
        <v>2</v>
      </c>
      <c r="G73" s="6">
        <v>1</v>
      </c>
      <c r="H73" s="6">
        <v>1</v>
      </c>
      <c r="I73" s="6">
        <v>0</v>
      </c>
      <c r="J73" s="6">
        <v>1</v>
      </c>
      <c r="K73" s="6">
        <v>1</v>
      </c>
      <c r="L73" s="6">
        <v>0</v>
      </c>
      <c r="M73" s="6">
        <v>2</v>
      </c>
      <c r="N73" s="6">
        <v>3</v>
      </c>
      <c r="O73" s="6">
        <v>0</v>
      </c>
      <c r="P73" s="6">
        <v>3</v>
      </c>
      <c r="Q73" s="6">
        <v>2</v>
      </c>
      <c r="R73" s="6">
        <v>1</v>
      </c>
      <c r="S73" s="6">
        <v>0</v>
      </c>
      <c r="T73" s="6">
        <v>3</v>
      </c>
      <c r="U73" s="6">
        <v>3</v>
      </c>
      <c r="V73" s="6">
        <v>11</v>
      </c>
      <c r="W73" s="6">
        <v>0</v>
      </c>
      <c r="X73" s="6">
        <v>0</v>
      </c>
      <c r="Y73" s="6">
        <v>4</v>
      </c>
      <c r="Z73" s="6">
        <v>12</v>
      </c>
      <c r="AA73" s="6">
        <v>9</v>
      </c>
      <c r="AB73" s="6">
        <v>31</v>
      </c>
      <c r="AC73" s="6">
        <v>19</v>
      </c>
      <c r="AD73" s="6">
        <v>13</v>
      </c>
      <c r="AE73" s="6">
        <v>2</v>
      </c>
      <c r="AF73" s="6">
        <v>1</v>
      </c>
      <c r="AG73" s="6">
        <v>3</v>
      </c>
      <c r="AH73" s="6">
        <v>1</v>
      </c>
      <c r="AI73" s="6">
        <v>0</v>
      </c>
      <c r="AJ73" s="6">
        <v>6</v>
      </c>
      <c r="AK73" s="6">
        <v>6</v>
      </c>
      <c r="AL73" s="6">
        <v>1</v>
      </c>
      <c r="AM73" s="6">
        <v>16</v>
      </c>
      <c r="AN73" s="6">
        <v>3</v>
      </c>
      <c r="AO73" s="6">
        <v>1</v>
      </c>
      <c r="AP73" s="6">
        <v>4</v>
      </c>
      <c r="AQ73" s="6">
        <v>0</v>
      </c>
      <c r="AR73" s="6">
        <v>2</v>
      </c>
      <c r="AS73" s="6">
        <v>1</v>
      </c>
      <c r="AT73" s="6">
        <v>0</v>
      </c>
      <c r="AU73" s="6">
        <v>3</v>
      </c>
      <c r="AV73" s="6">
        <v>3</v>
      </c>
      <c r="AW73" s="6">
        <v>13</v>
      </c>
      <c r="AX73" s="6">
        <v>46</v>
      </c>
      <c r="AY73" s="5">
        <f t="shared" si="0"/>
        <v>236</v>
      </c>
    </row>
    <row r="74" spans="1:51" ht="13.15" customHeight="1" x14ac:dyDescent="0.3">
      <c r="A74" s="7"/>
      <c r="B74" s="54"/>
      <c r="C74" s="24" t="s">
        <v>144</v>
      </c>
      <c r="D74" s="51"/>
      <c r="E74" s="6">
        <v>4</v>
      </c>
      <c r="F74" s="6">
        <v>1</v>
      </c>
      <c r="G74" s="6">
        <v>0</v>
      </c>
      <c r="H74" s="6">
        <v>1</v>
      </c>
      <c r="I74" s="6">
        <v>1</v>
      </c>
      <c r="J74" s="6">
        <v>0</v>
      </c>
      <c r="K74" s="6">
        <v>0</v>
      </c>
      <c r="L74" s="6">
        <v>2</v>
      </c>
      <c r="M74" s="6">
        <v>0</v>
      </c>
      <c r="N74" s="6">
        <v>0</v>
      </c>
      <c r="O74" s="6">
        <v>2</v>
      </c>
      <c r="P74" s="6">
        <v>0</v>
      </c>
      <c r="Q74" s="6">
        <v>1</v>
      </c>
      <c r="R74" s="6">
        <v>0</v>
      </c>
      <c r="S74" s="6">
        <v>0</v>
      </c>
      <c r="T74" s="6">
        <v>2</v>
      </c>
      <c r="U74" s="6">
        <v>1</v>
      </c>
      <c r="V74" s="6">
        <v>2</v>
      </c>
      <c r="W74" s="6">
        <v>3</v>
      </c>
      <c r="X74" s="6">
        <v>5</v>
      </c>
      <c r="Y74" s="6">
        <v>2</v>
      </c>
      <c r="Z74" s="6">
        <v>3</v>
      </c>
      <c r="AA74" s="6">
        <v>2</v>
      </c>
      <c r="AB74" s="6">
        <v>2</v>
      </c>
      <c r="AC74" s="6">
        <v>3</v>
      </c>
      <c r="AD74" s="6">
        <v>1</v>
      </c>
      <c r="AE74" s="6">
        <v>3</v>
      </c>
      <c r="AF74" s="6">
        <v>0</v>
      </c>
      <c r="AG74" s="6">
        <v>3</v>
      </c>
      <c r="AH74" s="6">
        <v>0</v>
      </c>
      <c r="AI74" s="6">
        <v>4</v>
      </c>
      <c r="AJ74" s="6">
        <v>1</v>
      </c>
      <c r="AK74" s="6">
        <v>2</v>
      </c>
      <c r="AL74" s="6">
        <v>1</v>
      </c>
      <c r="AM74" s="6">
        <v>4</v>
      </c>
      <c r="AN74" s="6">
        <v>0</v>
      </c>
      <c r="AO74" s="6">
        <v>1</v>
      </c>
      <c r="AP74" s="6">
        <v>3</v>
      </c>
      <c r="AQ74" s="6">
        <v>1</v>
      </c>
      <c r="AR74" s="6">
        <v>0</v>
      </c>
      <c r="AS74" s="6">
        <v>1</v>
      </c>
      <c r="AT74" s="6">
        <v>0</v>
      </c>
      <c r="AU74" s="6">
        <v>1</v>
      </c>
      <c r="AV74" s="6">
        <v>0</v>
      </c>
      <c r="AW74" s="6">
        <v>4</v>
      </c>
      <c r="AX74" s="6">
        <v>0</v>
      </c>
      <c r="AY74" s="5">
        <f t="shared" si="0"/>
        <v>67</v>
      </c>
    </row>
    <row r="75" spans="1:51" x14ac:dyDescent="0.3">
      <c r="A75" s="7"/>
      <c r="B75" s="54"/>
      <c r="C75" s="24" t="s">
        <v>145</v>
      </c>
      <c r="D75" s="51"/>
      <c r="E75" s="6">
        <v>1</v>
      </c>
      <c r="F75" s="6">
        <v>3</v>
      </c>
      <c r="G75" s="6">
        <v>2</v>
      </c>
      <c r="H75" s="6">
        <v>0</v>
      </c>
      <c r="I75" s="6">
        <v>0</v>
      </c>
      <c r="J75" s="6">
        <v>2</v>
      </c>
      <c r="K75" s="6">
        <v>0</v>
      </c>
      <c r="L75" s="6">
        <v>1</v>
      </c>
      <c r="M75" s="6">
        <v>1</v>
      </c>
      <c r="N75" s="6">
        <v>0</v>
      </c>
      <c r="O75" s="6">
        <v>2</v>
      </c>
      <c r="P75" s="6">
        <v>2</v>
      </c>
      <c r="Q75" s="6">
        <v>1</v>
      </c>
      <c r="R75" s="6">
        <v>1</v>
      </c>
      <c r="S75" s="6">
        <v>2</v>
      </c>
      <c r="T75" s="6">
        <v>1</v>
      </c>
      <c r="U75" s="6">
        <v>3</v>
      </c>
      <c r="V75" s="6">
        <v>1</v>
      </c>
      <c r="W75" s="6">
        <v>0</v>
      </c>
      <c r="X75" s="6">
        <v>1</v>
      </c>
      <c r="Y75" s="6">
        <v>0</v>
      </c>
      <c r="Z75" s="6">
        <v>2</v>
      </c>
      <c r="AA75" s="6">
        <v>0</v>
      </c>
      <c r="AB75" s="6">
        <v>6</v>
      </c>
      <c r="AC75" s="6">
        <v>3</v>
      </c>
      <c r="AD75" s="6">
        <v>1</v>
      </c>
      <c r="AE75" s="6">
        <v>1</v>
      </c>
      <c r="AF75" s="6">
        <v>2</v>
      </c>
      <c r="AG75" s="6">
        <v>1</v>
      </c>
      <c r="AH75" s="6">
        <v>0</v>
      </c>
      <c r="AI75" s="6">
        <v>3</v>
      </c>
      <c r="AJ75" s="6">
        <v>0</v>
      </c>
      <c r="AK75" s="6">
        <v>0</v>
      </c>
      <c r="AL75" s="6">
        <v>0</v>
      </c>
      <c r="AM75" s="6">
        <v>0</v>
      </c>
      <c r="AN75" s="6">
        <v>4</v>
      </c>
      <c r="AO75" s="6">
        <v>0</v>
      </c>
      <c r="AP75" s="6">
        <v>0</v>
      </c>
      <c r="AQ75" s="6">
        <v>0</v>
      </c>
      <c r="AR75" s="6">
        <v>2</v>
      </c>
      <c r="AS75" s="6">
        <v>1</v>
      </c>
      <c r="AT75" s="6">
        <v>0</v>
      </c>
      <c r="AU75" s="6">
        <v>0</v>
      </c>
      <c r="AV75" s="6">
        <v>2</v>
      </c>
      <c r="AW75" s="6">
        <v>0</v>
      </c>
      <c r="AX75" s="6">
        <v>0</v>
      </c>
      <c r="AY75" s="5">
        <f t="shared" si="0"/>
        <v>52</v>
      </c>
    </row>
    <row r="76" spans="1:51" x14ac:dyDescent="0.3">
      <c r="A76" s="7"/>
      <c r="B76" s="54"/>
      <c r="C76" s="24" t="s">
        <v>146</v>
      </c>
      <c r="D76" s="51"/>
      <c r="E76" s="6">
        <v>2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5</v>
      </c>
      <c r="Y76" s="6">
        <v>2</v>
      </c>
      <c r="Z76" s="6">
        <v>0</v>
      </c>
      <c r="AA76" s="6">
        <v>1</v>
      </c>
      <c r="AB76" s="6">
        <v>1</v>
      </c>
      <c r="AC76" s="6">
        <v>2</v>
      </c>
      <c r="AD76" s="6">
        <v>1</v>
      </c>
      <c r="AE76" s="6">
        <v>0</v>
      </c>
      <c r="AF76" s="6">
        <v>1</v>
      </c>
      <c r="AG76" s="6">
        <v>0</v>
      </c>
      <c r="AH76" s="6">
        <v>1</v>
      </c>
      <c r="AI76" s="6">
        <v>4</v>
      </c>
      <c r="AJ76" s="6">
        <v>0</v>
      </c>
      <c r="AK76" s="6">
        <v>0</v>
      </c>
      <c r="AL76" s="6">
        <v>1</v>
      </c>
      <c r="AM76" s="6">
        <v>2</v>
      </c>
      <c r="AN76" s="6">
        <v>0</v>
      </c>
      <c r="AO76" s="6">
        <v>1</v>
      </c>
      <c r="AP76" s="6">
        <v>1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2</v>
      </c>
      <c r="AW76" s="6">
        <v>1</v>
      </c>
      <c r="AX76" s="6">
        <v>0</v>
      </c>
      <c r="AY76" s="5">
        <f t="shared" si="0"/>
        <v>30</v>
      </c>
    </row>
    <row r="77" spans="1:51" x14ac:dyDescent="0.3">
      <c r="A77" s="7"/>
      <c r="B77" s="54"/>
      <c r="C77" s="24" t="s">
        <v>147</v>
      </c>
      <c r="D77" s="51"/>
      <c r="E77" s="6">
        <v>0</v>
      </c>
      <c r="F77" s="6">
        <v>0</v>
      </c>
      <c r="G77" s="6">
        <v>1</v>
      </c>
      <c r="H77" s="6">
        <v>0</v>
      </c>
      <c r="I77" s="6">
        <v>1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2</v>
      </c>
      <c r="T77" s="6">
        <v>0</v>
      </c>
      <c r="U77" s="6">
        <v>0</v>
      </c>
      <c r="V77" s="6">
        <v>1</v>
      </c>
      <c r="W77" s="6">
        <v>2</v>
      </c>
      <c r="X77" s="6">
        <v>1</v>
      </c>
      <c r="Y77" s="6">
        <v>2</v>
      </c>
      <c r="Z77" s="6">
        <v>0</v>
      </c>
      <c r="AA77" s="6">
        <v>0</v>
      </c>
      <c r="AB77" s="6">
        <v>0</v>
      </c>
      <c r="AC77" s="6">
        <v>1</v>
      </c>
      <c r="AD77" s="6">
        <v>1</v>
      </c>
      <c r="AE77" s="6">
        <v>0</v>
      </c>
      <c r="AF77" s="6">
        <v>0</v>
      </c>
      <c r="AG77" s="6">
        <v>0</v>
      </c>
      <c r="AH77" s="6">
        <v>1</v>
      </c>
      <c r="AI77" s="6">
        <v>3</v>
      </c>
      <c r="AJ77" s="6">
        <v>0</v>
      </c>
      <c r="AK77" s="6">
        <v>2</v>
      </c>
      <c r="AL77" s="6">
        <v>0</v>
      </c>
      <c r="AM77" s="6">
        <v>2</v>
      </c>
      <c r="AN77" s="6">
        <v>0</v>
      </c>
      <c r="AO77" s="6">
        <v>1</v>
      </c>
      <c r="AP77" s="6">
        <v>0</v>
      </c>
      <c r="AQ77" s="6">
        <v>0</v>
      </c>
      <c r="AR77" s="6">
        <v>0</v>
      </c>
      <c r="AS77" s="6">
        <v>1</v>
      </c>
      <c r="AT77" s="6">
        <v>0</v>
      </c>
      <c r="AU77" s="6">
        <v>0</v>
      </c>
      <c r="AV77" s="6">
        <v>3</v>
      </c>
      <c r="AW77" s="6">
        <v>0</v>
      </c>
      <c r="AX77" s="6">
        <v>0</v>
      </c>
      <c r="AY77" s="5">
        <f t="shared" si="0"/>
        <v>26</v>
      </c>
    </row>
    <row r="78" spans="1:51" x14ac:dyDescent="0.3">
      <c r="A78" s="7"/>
      <c r="B78" s="54"/>
      <c r="C78" s="24" t="s">
        <v>148</v>
      </c>
      <c r="D78" s="51"/>
      <c r="E78" s="6">
        <v>2</v>
      </c>
      <c r="F78" s="6">
        <v>0</v>
      </c>
      <c r="G78" s="6">
        <v>2</v>
      </c>
      <c r="H78" s="6">
        <v>0</v>
      </c>
      <c r="I78" s="6">
        <v>1</v>
      </c>
      <c r="J78" s="6">
        <v>0</v>
      </c>
      <c r="K78" s="6">
        <v>1</v>
      </c>
      <c r="L78" s="6">
        <v>2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2</v>
      </c>
      <c r="T78" s="6">
        <v>1</v>
      </c>
      <c r="U78" s="6">
        <v>1</v>
      </c>
      <c r="V78" s="6">
        <v>0</v>
      </c>
      <c r="W78" s="6">
        <v>1</v>
      </c>
      <c r="X78" s="6">
        <v>6</v>
      </c>
      <c r="Y78" s="6">
        <v>0</v>
      </c>
      <c r="Z78" s="6">
        <v>1</v>
      </c>
      <c r="AA78" s="6">
        <v>0</v>
      </c>
      <c r="AB78" s="6">
        <v>2</v>
      </c>
      <c r="AC78" s="6">
        <v>4</v>
      </c>
      <c r="AD78" s="6">
        <v>10</v>
      </c>
      <c r="AE78" s="6">
        <v>0</v>
      </c>
      <c r="AF78" s="6">
        <v>2</v>
      </c>
      <c r="AG78" s="6">
        <v>0</v>
      </c>
      <c r="AH78" s="6">
        <v>1</v>
      </c>
      <c r="AI78" s="6">
        <v>4</v>
      </c>
      <c r="AJ78" s="6">
        <v>3</v>
      </c>
      <c r="AK78" s="6">
        <v>0</v>
      </c>
      <c r="AL78" s="6">
        <v>0</v>
      </c>
      <c r="AM78" s="6">
        <v>1</v>
      </c>
      <c r="AN78" s="6">
        <v>3</v>
      </c>
      <c r="AO78" s="6">
        <v>1</v>
      </c>
      <c r="AP78" s="6">
        <v>1</v>
      </c>
      <c r="AQ78" s="6">
        <v>2</v>
      </c>
      <c r="AR78" s="6">
        <v>2</v>
      </c>
      <c r="AS78" s="6">
        <v>0</v>
      </c>
      <c r="AT78" s="6">
        <v>2</v>
      </c>
      <c r="AU78" s="6">
        <v>0</v>
      </c>
      <c r="AV78" s="6">
        <v>1</v>
      </c>
      <c r="AW78" s="6">
        <v>3</v>
      </c>
      <c r="AX78" s="6">
        <v>1</v>
      </c>
      <c r="AY78" s="5">
        <f t="shared" si="0"/>
        <v>63</v>
      </c>
    </row>
    <row r="79" spans="1:51" x14ac:dyDescent="0.3">
      <c r="A79" s="6" t="s">
        <v>26</v>
      </c>
      <c r="B79" s="69" t="s">
        <v>51</v>
      </c>
      <c r="C79" s="85"/>
      <c r="D79" s="76"/>
      <c r="E79" s="5">
        <f>SUM(E69:E78)</f>
        <v>40</v>
      </c>
      <c r="F79" s="5">
        <f t="shared" ref="F79:AY79" si="20">SUM(F69:F78)</f>
        <v>37</v>
      </c>
      <c r="G79" s="5">
        <f t="shared" si="20"/>
        <v>24</v>
      </c>
      <c r="H79" s="5">
        <f t="shared" si="20"/>
        <v>22</v>
      </c>
      <c r="I79" s="5">
        <f t="shared" si="20"/>
        <v>57</v>
      </c>
      <c r="J79" s="5">
        <f t="shared" si="20"/>
        <v>39</v>
      </c>
      <c r="K79" s="5">
        <f t="shared" si="20"/>
        <v>24</v>
      </c>
      <c r="L79" s="5">
        <f t="shared" si="20"/>
        <v>36</v>
      </c>
      <c r="M79" s="5">
        <f t="shared" si="20"/>
        <v>33</v>
      </c>
      <c r="N79" s="5">
        <f t="shared" si="20"/>
        <v>58</v>
      </c>
      <c r="O79" s="5">
        <f t="shared" si="20"/>
        <v>33</v>
      </c>
      <c r="P79" s="5">
        <f t="shared" si="20"/>
        <v>36</v>
      </c>
      <c r="Q79" s="5">
        <f t="shared" si="20"/>
        <v>17</v>
      </c>
      <c r="R79" s="5">
        <f t="shared" si="20"/>
        <v>19</v>
      </c>
      <c r="S79" s="5">
        <f t="shared" si="20"/>
        <v>25</v>
      </c>
      <c r="T79" s="5">
        <f t="shared" si="20"/>
        <v>24</v>
      </c>
      <c r="U79" s="5">
        <f t="shared" si="20"/>
        <v>40</v>
      </c>
      <c r="V79" s="5">
        <f t="shared" si="20"/>
        <v>56</v>
      </c>
      <c r="W79" s="5">
        <f t="shared" si="20"/>
        <v>32</v>
      </c>
      <c r="X79" s="5">
        <f t="shared" si="20"/>
        <v>52</v>
      </c>
      <c r="Y79" s="5">
        <f t="shared" si="20"/>
        <v>57</v>
      </c>
      <c r="Z79" s="5">
        <f t="shared" si="20"/>
        <v>47</v>
      </c>
      <c r="AA79" s="5">
        <f t="shared" si="20"/>
        <v>40</v>
      </c>
      <c r="AB79" s="5">
        <f t="shared" si="20"/>
        <v>71</v>
      </c>
      <c r="AC79" s="5">
        <f t="shared" si="20"/>
        <v>72</v>
      </c>
      <c r="AD79" s="5">
        <f t="shared" si="20"/>
        <v>56</v>
      </c>
      <c r="AE79" s="5">
        <f t="shared" si="20"/>
        <v>28</v>
      </c>
      <c r="AF79" s="5">
        <f t="shared" si="20"/>
        <v>17</v>
      </c>
      <c r="AG79" s="5">
        <f t="shared" si="20"/>
        <v>19</v>
      </c>
      <c r="AH79" s="5">
        <f t="shared" si="20"/>
        <v>18</v>
      </c>
      <c r="AI79" s="5">
        <f t="shared" si="20"/>
        <v>54</v>
      </c>
      <c r="AJ79" s="5">
        <f t="shared" si="20"/>
        <v>47</v>
      </c>
      <c r="AK79" s="5">
        <f t="shared" si="20"/>
        <v>39</v>
      </c>
      <c r="AL79" s="5">
        <f t="shared" si="20"/>
        <v>37</v>
      </c>
      <c r="AM79" s="5">
        <f t="shared" si="20"/>
        <v>51</v>
      </c>
      <c r="AN79" s="5">
        <f t="shared" si="20"/>
        <v>57</v>
      </c>
      <c r="AO79" s="5">
        <f t="shared" si="20"/>
        <v>23</v>
      </c>
      <c r="AP79" s="5">
        <f t="shared" si="20"/>
        <v>44</v>
      </c>
      <c r="AQ79" s="5">
        <f t="shared" si="20"/>
        <v>31</v>
      </c>
      <c r="AR79" s="5">
        <f t="shared" si="20"/>
        <v>19</v>
      </c>
      <c r="AS79" s="5">
        <f t="shared" si="20"/>
        <v>13</v>
      </c>
      <c r="AT79" s="5">
        <f t="shared" si="20"/>
        <v>9</v>
      </c>
      <c r="AU79" s="5">
        <f t="shared" si="20"/>
        <v>32</v>
      </c>
      <c r="AV79" s="5">
        <f t="shared" si="20"/>
        <v>35</v>
      </c>
      <c r="AW79" s="5">
        <f t="shared" si="20"/>
        <v>48</v>
      </c>
      <c r="AX79" s="5">
        <f t="shared" si="20"/>
        <v>82</v>
      </c>
      <c r="AY79" s="5">
        <f t="shared" si="20"/>
        <v>1750</v>
      </c>
    </row>
    <row r="80" spans="1:51" x14ac:dyDescent="0.3">
      <c r="A80" s="86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AY80" s="5">
        <f t="shared" ref="AY80:AY142" si="21">SUM(E80:AX80)</f>
        <v>0</v>
      </c>
    </row>
    <row r="81" spans="1:51" x14ac:dyDescent="0.3">
      <c r="A81" s="11" t="s">
        <v>48</v>
      </c>
      <c r="B81" s="17" t="s">
        <v>34</v>
      </c>
      <c r="C81" s="75" t="s">
        <v>54</v>
      </c>
      <c r="D81" s="76"/>
      <c r="E81" s="6">
        <v>5</v>
      </c>
      <c r="F81" s="6">
        <v>1</v>
      </c>
      <c r="G81" s="6">
        <v>5</v>
      </c>
      <c r="H81" s="6">
        <v>5</v>
      </c>
      <c r="I81" s="6">
        <v>6</v>
      </c>
      <c r="J81" s="6">
        <v>2</v>
      </c>
      <c r="K81" s="6">
        <v>1</v>
      </c>
      <c r="L81" s="6">
        <v>6</v>
      </c>
      <c r="M81" s="6">
        <v>2</v>
      </c>
      <c r="N81" s="6">
        <v>1</v>
      </c>
      <c r="O81" s="6">
        <v>0</v>
      </c>
      <c r="P81" s="6">
        <v>1</v>
      </c>
      <c r="Q81" s="6">
        <v>0</v>
      </c>
      <c r="R81" s="6">
        <v>1</v>
      </c>
      <c r="S81" s="6">
        <v>0</v>
      </c>
      <c r="T81" s="6">
        <v>1</v>
      </c>
      <c r="U81" s="6">
        <v>0</v>
      </c>
      <c r="V81" s="6">
        <v>3</v>
      </c>
      <c r="W81" s="6">
        <v>6</v>
      </c>
      <c r="X81" s="6">
        <v>4</v>
      </c>
      <c r="Y81" s="6">
        <v>5</v>
      </c>
      <c r="Z81" s="6">
        <v>4</v>
      </c>
      <c r="AA81" s="6">
        <v>0</v>
      </c>
      <c r="AB81" s="6">
        <v>0</v>
      </c>
      <c r="AC81" s="6">
        <v>3</v>
      </c>
      <c r="AD81" s="6">
        <v>1</v>
      </c>
      <c r="AE81" s="6">
        <v>4</v>
      </c>
      <c r="AF81" s="6">
        <v>3</v>
      </c>
      <c r="AG81" s="6">
        <v>5</v>
      </c>
      <c r="AH81" s="6">
        <v>3</v>
      </c>
      <c r="AI81" s="6">
        <v>3</v>
      </c>
      <c r="AJ81" s="6">
        <v>2</v>
      </c>
      <c r="AK81" s="6">
        <v>6</v>
      </c>
      <c r="AL81" s="6">
        <v>6</v>
      </c>
      <c r="AM81" s="6">
        <v>1</v>
      </c>
      <c r="AN81" s="6">
        <v>1</v>
      </c>
      <c r="AO81" s="6">
        <v>0</v>
      </c>
      <c r="AP81" s="6">
        <v>1</v>
      </c>
      <c r="AQ81" s="6">
        <v>1</v>
      </c>
      <c r="AR81" s="6">
        <v>2</v>
      </c>
      <c r="AS81" s="6">
        <v>3</v>
      </c>
      <c r="AT81" s="6">
        <v>5</v>
      </c>
      <c r="AU81" s="6">
        <v>1</v>
      </c>
      <c r="AV81" s="6">
        <v>2</v>
      </c>
      <c r="AW81" s="6">
        <v>4</v>
      </c>
      <c r="AX81" s="6">
        <v>1</v>
      </c>
      <c r="AY81" s="5">
        <f>SUM(E81:AX81)</f>
        <v>117</v>
      </c>
    </row>
    <row r="82" spans="1:51" x14ac:dyDescent="0.3">
      <c r="A82" s="11" t="s">
        <v>50</v>
      </c>
      <c r="B82" s="54"/>
      <c r="C82" s="24" t="s">
        <v>149</v>
      </c>
      <c r="D82" s="51"/>
      <c r="E82" s="6">
        <v>2</v>
      </c>
      <c r="F82" s="6">
        <v>5</v>
      </c>
      <c r="G82" s="6">
        <v>3</v>
      </c>
      <c r="H82" s="6">
        <v>0</v>
      </c>
      <c r="I82" s="6">
        <v>3</v>
      </c>
      <c r="J82" s="6">
        <v>1</v>
      </c>
      <c r="K82" s="6">
        <v>1</v>
      </c>
      <c r="L82" s="6">
        <v>1</v>
      </c>
      <c r="M82" s="6">
        <v>1</v>
      </c>
      <c r="N82" s="6">
        <v>0</v>
      </c>
      <c r="O82" s="6">
        <v>1</v>
      </c>
      <c r="P82" s="6">
        <v>1</v>
      </c>
      <c r="Q82" s="6">
        <v>5</v>
      </c>
      <c r="R82" s="6">
        <v>1</v>
      </c>
      <c r="S82" s="6">
        <v>3</v>
      </c>
      <c r="T82" s="6">
        <v>1</v>
      </c>
      <c r="U82" s="6">
        <v>4</v>
      </c>
      <c r="V82" s="6">
        <v>2</v>
      </c>
      <c r="W82" s="6">
        <v>9</v>
      </c>
      <c r="X82" s="6">
        <v>1</v>
      </c>
      <c r="Y82" s="6">
        <v>7</v>
      </c>
      <c r="Z82" s="6">
        <v>5</v>
      </c>
      <c r="AA82" s="6">
        <v>1</v>
      </c>
      <c r="AB82" s="6">
        <v>3</v>
      </c>
      <c r="AC82" s="6">
        <v>6</v>
      </c>
      <c r="AD82" s="6">
        <v>2</v>
      </c>
      <c r="AE82" s="6">
        <v>1</v>
      </c>
      <c r="AF82" s="6">
        <v>3</v>
      </c>
      <c r="AG82" s="6">
        <v>5</v>
      </c>
      <c r="AH82" s="6">
        <v>0</v>
      </c>
      <c r="AI82" s="6">
        <v>0</v>
      </c>
      <c r="AJ82" s="6">
        <v>9</v>
      </c>
      <c r="AK82" s="6">
        <v>4</v>
      </c>
      <c r="AL82" s="6">
        <v>6</v>
      </c>
      <c r="AM82" s="6">
        <v>5</v>
      </c>
      <c r="AN82" s="6">
        <v>3</v>
      </c>
      <c r="AO82" s="6">
        <v>2</v>
      </c>
      <c r="AP82" s="6">
        <v>1</v>
      </c>
      <c r="AQ82" s="6">
        <v>2</v>
      </c>
      <c r="AR82" s="6">
        <v>2</v>
      </c>
      <c r="AS82" s="6">
        <v>1</v>
      </c>
      <c r="AT82" s="6">
        <v>1</v>
      </c>
      <c r="AU82" s="6">
        <v>1</v>
      </c>
      <c r="AV82" s="6">
        <v>3</v>
      </c>
      <c r="AW82" s="6">
        <v>4</v>
      </c>
      <c r="AX82" s="6">
        <v>6</v>
      </c>
      <c r="AY82" s="5">
        <f t="shared" si="21"/>
        <v>128</v>
      </c>
    </row>
    <row r="83" spans="1:51" x14ac:dyDescent="0.3">
      <c r="A83" s="7"/>
      <c r="B83" s="54"/>
      <c r="C83" s="24" t="s">
        <v>150</v>
      </c>
      <c r="D83" s="51"/>
      <c r="E83" s="6">
        <v>2</v>
      </c>
      <c r="F83" s="6">
        <v>1</v>
      </c>
      <c r="G83" s="6">
        <v>0</v>
      </c>
      <c r="H83" s="6">
        <v>1</v>
      </c>
      <c r="I83" s="6">
        <v>0</v>
      </c>
      <c r="J83" s="6">
        <v>1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1</v>
      </c>
      <c r="S83" s="6">
        <v>1</v>
      </c>
      <c r="T83" s="6">
        <v>0</v>
      </c>
      <c r="U83" s="6">
        <v>1</v>
      </c>
      <c r="V83" s="6">
        <v>0</v>
      </c>
      <c r="W83" s="6">
        <v>0</v>
      </c>
      <c r="X83" s="6">
        <v>1</v>
      </c>
      <c r="Y83" s="6">
        <v>3</v>
      </c>
      <c r="Z83" s="6">
        <v>0</v>
      </c>
      <c r="AA83" s="6">
        <v>0</v>
      </c>
      <c r="AB83" s="6">
        <v>1</v>
      </c>
      <c r="AC83" s="6">
        <v>0</v>
      </c>
      <c r="AD83" s="6">
        <v>0</v>
      </c>
      <c r="AE83" s="6">
        <v>1</v>
      </c>
      <c r="AF83" s="6">
        <v>0</v>
      </c>
      <c r="AG83" s="6">
        <v>1</v>
      </c>
      <c r="AH83" s="6">
        <v>0</v>
      </c>
      <c r="AI83" s="6">
        <v>1</v>
      </c>
      <c r="AJ83" s="6">
        <v>2</v>
      </c>
      <c r="AK83" s="6">
        <v>2</v>
      </c>
      <c r="AL83" s="6">
        <v>0</v>
      </c>
      <c r="AM83" s="6">
        <v>2</v>
      </c>
      <c r="AN83" s="6">
        <v>3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1</v>
      </c>
      <c r="AU83" s="6">
        <v>1</v>
      </c>
      <c r="AV83" s="6">
        <v>0</v>
      </c>
      <c r="AW83" s="6">
        <v>0</v>
      </c>
      <c r="AX83" s="6">
        <v>1</v>
      </c>
      <c r="AY83" s="5">
        <f t="shared" si="21"/>
        <v>29</v>
      </c>
    </row>
    <row r="84" spans="1:51" x14ac:dyDescent="0.3">
      <c r="A84" s="7"/>
      <c r="B84" s="54"/>
      <c r="C84" s="24" t="s">
        <v>151</v>
      </c>
      <c r="D84" s="51"/>
      <c r="E84" s="6">
        <v>0</v>
      </c>
      <c r="F84" s="6">
        <v>0</v>
      </c>
      <c r="G84" s="6">
        <v>5</v>
      </c>
      <c r="H84" s="6">
        <v>1</v>
      </c>
      <c r="I84" s="6">
        <v>0</v>
      </c>
      <c r="J84" s="6">
        <v>0</v>
      </c>
      <c r="K84" s="6">
        <v>0</v>
      </c>
      <c r="L84" s="6">
        <v>1</v>
      </c>
      <c r="M84" s="6">
        <v>2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2</v>
      </c>
      <c r="Y84" s="6">
        <v>0</v>
      </c>
      <c r="Z84" s="6">
        <v>1</v>
      </c>
      <c r="AA84" s="6">
        <v>0</v>
      </c>
      <c r="AB84" s="6">
        <v>0</v>
      </c>
      <c r="AC84" s="6">
        <v>1</v>
      </c>
      <c r="AD84" s="6">
        <v>2</v>
      </c>
      <c r="AE84" s="6">
        <v>0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0</v>
      </c>
      <c r="AL84" s="6">
        <v>1</v>
      </c>
      <c r="AM84" s="6">
        <v>1</v>
      </c>
      <c r="AN84" s="6">
        <v>0</v>
      </c>
      <c r="AO84" s="6">
        <v>0</v>
      </c>
      <c r="AP84" s="6">
        <v>1</v>
      </c>
      <c r="AQ84" s="6">
        <v>0</v>
      </c>
      <c r="AR84" s="6">
        <v>1</v>
      </c>
      <c r="AS84" s="6">
        <v>0</v>
      </c>
      <c r="AT84" s="6">
        <v>1</v>
      </c>
      <c r="AU84" s="6">
        <v>0</v>
      </c>
      <c r="AV84" s="6">
        <v>2</v>
      </c>
      <c r="AW84" s="6">
        <v>1</v>
      </c>
      <c r="AX84" s="6">
        <v>1</v>
      </c>
      <c r="AY84" s="5">
        <f t="shared" si="21"/>
        <v>25</v>
      </c>
    </row>
    <row r="85" spans="1:51" ht="13.15" customHeight="1" x14ac:dyDescent="0.3">
      <c r="A85" s="7"/>
      <c r="B85" s="54"/>
      <c r="C85" s="24" t="s">
        <v>152</v>
      </c>
      <c r="D85" s="51"/>
      <c r="E85" s="6">
        <v>0</v>
      </c>
      <c r="F85" s="6">
        <v>1</v>
      </c>
      <c r="G85" s="6">
        <v>4</v>
      </c>
      <c r="H85" s="6">
        <v>0</v>
      </c>
      <c r="I85" s="6">
        <v>2</v>
      </c>
      <c r="J85" s="6">
        <v>0</v>
      </c>
      <c r="K85" s="6">
        <v>0</v>
      </c>
      <c r="L85" s="6">
        <v>0</v>
      </c>
      <c r="M85" s="6">
        <v>0</v>
      </c>
      <c r="N85" s="6">
        <v>1</v>
      </c>
      <c r="O85" s="6">
        <v>1</v>
      </c>
      <c r="P85" s="6">
        <v>0</v>
      </c>
      <c r="Q85" s="6">
        <v>0</v>
      </c>
      <c r="R85" s="6">
        <v>2</v>
      </c>
      <c r="S85" s="6">
        <v>2</v>
      </c>
      <c r="T85" s="6">
        <v>0</v>
      </c>
      <c r="U85" s="6">
        <v>2</v>
      </c>
      <c r="V85" s="6">
        <v>1</v>
      </c>
      <c r="W85" s="6">
        <v>0</v>
      </c>
      <c r="X85" s="6">
        <v>0</v>
      </c>
      <c r="Y85" s="6">
        <v>0</v>
      </c>
      <c r="Z85" s="6">
        <v>3</v>
      </c>
      <c r="AA85" s="6">
        <v>1</v>
      </c>
      <c r="AB85" s="6">
        <v>0</v>
      </c>
      <c r="AC85" s="6">
        <v>0</v>
      </c>
      <c r="AD85" s="6">
        <v>2</v>
      </c>
      <c r="AE85" s="6">
        <v>0</v>
      </c>
      <c r="AF85" s="6">
        <v>0</v>
      </c>
      <c r="AG85" s="6">
        <v>0</v>
      </c>
      <c r="AH85" s="6">
        <v>1</v>
      </c>
      <c r="AI85" s="6">
        <v>0</v>
      </c>
      <c r="AJ85" s="6">
        <v>1</v>
      </c>
      <c r="AK85" s="6">
        <v>0</v>
      </c>
      <c r="AL85" s="6">
        <v>2</v>
      </c>
      <c r="AM85" s="6">
        <v>1</v>
      </c>
      <c r="AN85" s="6">
        <v>1</v>
      </c>
      <c r="AO85" s="6">
        <v>0</v>
      </c>
      <c r="AP85" s="6">
        <v>1</v>
      </c>
      <c r="AQ85" s="6">
        <v>0</v>
      </c>
      <c r="AR85" s="6">
        <v>0</v>
      </c>
      <c r="AS85" s="6">
        <v>0</v>
      </c>
      <c r="AT85" s="6">
        <v>3</v>
      </c>
      <c r="AU85" s="6">
        <v>0</v>
      </c>
      <c r="AV85" s="6">
        <v>1</v>
      </c>
      <c r="AW85" s="6">
        <v>0</v>
      </c>
      <c r="AX85" s="6">
        <v>1</v>
      </c>
      <c r="AY85" s="5">
        <f t="shared" si="21"/>
        <v>34</v>
      </c>
    </row>
    <row r="86" spans="1:51" x14ac:dyDescent="0.3">
      <c r="A86" s="7"/>
      <c r="B86" s="54"/>
      <c r="C86" s="24" t="s">
        <v>153</v>
      </c>
      <c r="D86" s="51"/>
      <c r="E86" s="6">
        <v>6</v>
      </c>
      <c r="F86" s="6">
        <v>7</v>
      </c>
      <c r="G86" s="6">
        <v>0</v>
      </c>
      <c r="H86" s="6">
        <v>0</v>
      </c>
      <c r="I86" s="6">
        <v>0</v>
      </c>
      <c r="J86" s="6">
        <v>1</v>
      </c>
      <c r="K86" s="6">
        <v>0</v>
      </c>
      <c r="L86" s="6">
        <v>0</v>
      </c>
      <c r="M86" s="6">
        <v>2</v>
      </c>
      <c r="N86" s="6">
        <v>0</v>
      </c>
      <c r="O86" s="6">
        <v>0</v>
      </c>
      <c r="P86" s="6">
        <v>0</v>
      </c>
      <c r="Q86" s="6">
        <v>2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2</v>
      </c>
      <c r="AA86" s="6">
        <v>0</v>
      </c>
      <c r="AB86" s="6">
        <v>0</v>
      </c>
      <c r="AC86" s="6">
        <v>0</v>
      </c>
      <c r="AD86" s="6">
        <v>2</v>
      </c>
      <c r="AE86" s="6">
        <v>2</v>
      </c>
      <c r="AF86" s="6">
        <v>0</v>
      </c>
      <c r="AG86" s="6">
        <v>6</v>
      </c>
      <c r="AH86" s="6">
        <v>0</v>
      </c>
      <c r="AI86" s="6">
        <v>0</v>
      </c>
      <c r="AJ86" s="6">
        <v>1</v>
      </c>
      <c r="AK86" s="6">
        <v>1</v>
      </c>
      <c r="AL86" s="6">
        <v>1</v>
      </c>
      <c r="AM86" s="6">
        <v>2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2</v>
      </c>
      <c r="AT86" s="6">
        <v>1</v>
      </c>
      <c r="AU86" s="6">
        <v>0</v>
      </c>
      <c r="AV86" s="6">
        <v>0</v>
      </c>
      <c r="AW86" s="6">
        <v>0</v>
      </c>
      <c r="AX86" s="6">
        <v>0</v>
      </c>
      <c r="AY86" s="5">
        <f t="shared" si="21"/>
        <v>38</v>
      </c>
    </row>
    <row r="87" spans="1:51" x14ac:dyDescent="0.3">
      <c r="A87" s="7"/>
      <c r="B87" s="54"/>
      <c r="C87" s="24" t="s">
        <v>154</v>
      </c>
      <c r="D87" s="51"/>
      <c r="E87" s="6">
        <v>2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0</v>
      </c>
      <c r="V87" s="6">
        <v>0</v>
      </c>
      <c r="W87" s="6">
        <v>0</v>
      </c>
      <c r="X87" s="6">
        <v>0</v>
      </c>
      <c r="Y87" s="6">
        <v>1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1</v>
      </c>
      <c r="AM87" s="6">
        <v>0</v>
      </c>
      <c r="AN87" s="6">
        <v>0</v>
      </c>
      <c r="AO87" s="6">
        <v>0</v>
      </c>
      <c r="AP87" s="6">
        <v>0</v>
      </c>
      <c r="AQ87" s="6">
        <v>1</v>
      </c>
      <c r="AR87" s="6">
        <v>0</v>
      </c>
      <c r="AS87" s="6">
        <v>0</v>
      </c>
      <c r="AT87" s="6">
        <v>1</v>
      </c>
      <c r="AU87" s="6">
        <v>0</v>
      </c>
      <c r="AV87" s="6">
        <v>0</v>
      </c>
      <c r="AW87" s="6">
        <v>0</v>
      </c>
      <c r="AX87" s="6">
        <v>0</v>
      </c>
      <c r="AY87" s="5">
        <f t="shared" si="21"/>
        <v>8</v>
      </c>
    </row>
    <row r="88" spans="1:51" x14ac:dyDescent="0.3">
      <c r="A88" s="7"/>
      <c r="B88" s="54"/>
      <c r="C88" s="24" t="s">
        <v>155</v>
      </c>
      <c r="D88" s="51"/>
      <c r="E88" s="6">
        <v>0</v>
      </c>
      <c r="F88" s="6">
        <v>0</v>
      </c>
      <c r="G88" s="6">
        <v>2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1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1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1</v>
      </c>
      <c r="AG88" s="6">
        <v>0</v>
      </c>
      <c r="AH88" s="6">
        <v>0</v>
      </c>
      <c r="AI88" s="6">
        <v>1</v>
      </c>
      <c r="AJ88" s="6">
        <v>0</v>
      </c>
      <c r="AK88" s="6">
        <v>0</v>
      </c>
      <c r="AL88" s="6">
        <v>0</v>
      </c>
      <c r="AM88" s="6">
        <v>1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5">
        <f t="shared" si="21"/>
        <v>7</v>
      </c>
    </row>
    <row r="89" spans="1:51" x14ac:dyDescent="0.3">
      <c r="A89" s="7"/>
      <c r="B89" s="54"/>
      <c r="C89" s="24" t="s">
        <v>156</v>
      </c>
      <c r="D89" s="51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1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1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1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5">
        <f t="shared" si="21"/>
        <v>3</v>
      </c>
    </row>
    <row r="90" spans="1:51" x14ac:dyDescent="0.3">
      <c r="A90" s="7"/>
      <c r="B90" s="54"/>
      <c r="C90" s="24" t="s">
        <v>157</v>
      </c>
      <c r="D90" s="51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2</v>
      </c>
      <c r="AE90" s="6">
        <v>3</v>
      </c>
      <c r="AF90" s="6">
        <v>1</v>
      </c>
      <c r="AG90" s="6">
        <v>0</v>
      </c>
      <c r="AH90" s="6">
        <v>1</v>
      </c>
      <c r="AI90" s="6">
        <v>2</v>
      </c>
      <c r="AJ90" s="6">
        <v>0</v>
      </c>
      <c r="AK90" s="6">
        <v>1</v>
      </c>
      <c r="AL90" s="6">
        <v>1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1</v>
      </c>
      <c r="AX90" s="6">
        <v>0</v>
      </c>
      <c r="AY90" s="5">
        <f t="shared" si="21"/>
        <v>14</v>
      </c>
    </row>
    <row r="91" spans="1:51" x14ac:dyDescent="0.3">
      <c r="A91" s="6" t="s">
        <v>26</v>
      </c>
      <c r="B91" s="69" t="s">
        <v>51</v>
      </c>
      <c r="C91" s="85"/>
      <c r="D91" s="76"/>
      <c r="E91" s="5">
        <f>SUM(E81:E90)</f>
        <v>17</v>
      </c>
      <c r="F91" s="5">
        <f t="shared" ref="F91:AY91" si="22">SUM(F81:F90)</f>
        <v>15</v>
      </c>
      <c r="G91" s="5">
        <f t="shared" si="22"/>
        <v>19</v>
      </c>
      <c r="H91" s="5">
        <f t="shared" si="22"/>
        <v>7</v>
      </c>
      <c r="I91" s="5">
        <f t="shared" si="22"/>
        <v>11</v>
      </c>
      <c r="J91" s="5">
        <f t="shared" si="22"/>
        <v>5</v>
      </c>
      <c r="K91" s="5">
        <f t="shared" si="22"/>
        <v>2</v>
      </c>
      <c r="L91" s="5">
        <f t="shared" si="22"/>
        <v>9</v>
      </c>
      <c r="M91" s="5">
        <f t="shared" si="22"/>
        <v>7</v>
      </c>
      <c r="N91" s="5">
        <f t="shared" si="22"/>
        <v>2</v>
      </c>
      <c r="O91" s="5">
        <f t="shared" si="22"/>
        <v>3</v>
      </c>
      <c r="P91" s="5">
        <f t="shared" si="22"/>
        <v>3</v>
      </c>
      <c r="Q91" s="5">
        <f t="shared" si="22"/>
        <v>7</v>
      </c>
      <c r="R91" s="5">
        <f t="shared" si="22"/>
        <v>6</v>
      </c>
      <c r="S91" s="5">
        <f t="shared" si="22"/>
        <v>7</v>
      </c>
      <c r="T91" s="5">
        <f t="shared" si="22"/>
        <v>3</v>
      </c>
      <c r="U91" s="5">
        <f t="shared" si="22"/>
        <v>7</v>
      </c>
      <c r="V91" s="5">
        <f t="shared" si="22"/>
        <v>6</v>
      </c>
      <c r="W91" s="5">
        <f t="shared" si="22"/>
        <v>15</v>
      </c>
      <c r="X91" s="5">
        <f t="shared" si="22"/>
        <v>8</v>
      </c>
      <c r="Y91" s="5">
        <f t="shared" si="22"/>
        <v>17</v>
      </c>
      <c r="Z91" s="5">
        <f t="shared" si="22"/>
        <v>16</v>
      </c>
      <c r="AA91" s="5">
        <f t="shared" si="22"/>
        <v>2</v>
      </c>
      <c r="AB91" s="5">
        <f t="shared" si="22"/>
        <v>4</v>
      </c>
      <c r="AC91" s="5">
        <f t="shared" si="22"/>
        <v>11</v>
      </c>
      <c r="AD91" s="5">
        <f t="shared" si="22"/>
        <v>11</v>
      </c>
      <c r="AE91" s="5">
        <f t="shared" si="22"/>
        <v>11</v>
      </c>
      <c r="AF91" s="5">
        <f t="shared" si="22"/>
        <v>8</v>
      </c>
      <c r="AG91" s="5">
        <f t="shared" si="22"/>
        <v>17</v>
      </c>
      <c r="AH91" s="5">
        <f t="shared" si="22"/>
        <v>6</v>
      </c>
      <c r="AI91" s="5">
        <f t="shared" si="22"/>
        <v>7</v>
      </c>
      <c r="AJ91" s="5">
        <f t="shared" si="22"/>
        <v>15</v>
      </c>
      <c r="AK91" s="5">
        <f t="shared" si="22"/>
        <v>15</v>
      </c>
      <c r="AL91" s="5">
        <f t="shared" si="22"/>
        <v>18</v>
      </c>
      <c r="AM91" s="5">
        <f t="shared" si="22"/>
        <v>13</v>
      </c>
      <c r="AN91" s="5">
        <f t="shared" si="22"/>
        <v>8</v>
      </c>
      <c r="AO91" s="5">
        <f t="shared" si="22"/>
        <v>2</v>
      </c>
      <c r="AP91" s="5">
        <f t="shared" si="22"/>
        <v>4</v>
      </c>
      <c r="AQ91" s="5">
        <f t="shared" si="22"/>
        <v>4</v>
      </c>
      <c r="AR91" s="5">
        <f t="shared" si="22"/>
        <v>5</v>
      </c>
      <c r="AS91" s="5">
        <f t="shared" si="22"/>
        <v>6</v>
      </c>
      <c r="AT91" s="5">
        <f t="shared" si="22"/>
        <v>13</v>
      </c>
      <c r="AU91" s="5">
        <f t="shared" si="22"/>
        <v>3</v>
      </c>
      <c r="AV91" s="5">
        <f t="shared" si="22"/>
        <v>8</v>
      </c>
      <c r="AW91" s="5">
        <f t="shared" si="22"/>
        <v>10</v>
      </c>
      <c r="AX91" s="5">
        <f t="shared" si="22"/>
        <v>10</v>
      </c>
      <c r="AY91" s="5">
        <f t="shared" si="22"/>
        <v>403</v>
      </c>
    </row>
    <row r="92" spans="1:51" x14ac:dyDescent="0.3">
      <c r="A92" s="86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AY92" s="5">
        <f t="shared" si="21"/>
        <v>0</v>
      </c>
    </row>
    <row r="93" spans="1:51" x14ac:dyDescent="0.3">
      <c r="A93" s="11" t="s">
        <v>48</v>
      </c>
      <c r="B93" s="17" t="s">
        <v>55</v>
      </c>
      <c r="C93" s="75" t="s">
        <v>56</v>
      </c>
      <c r="D93" s="76"/>
      <c r="E93" s="6">
        <v>1</v>
      </c>
      <c r="F93" s="6">
        <v>1</v>
      </c>
      <c r="G93" s="6">
        <v>0</v>
      </c>
      <c r="H93" s="6">
        <v>1</v>
      </c>
      <c r="I93" s="6">
        <v>0</v>
      </c>
      <c r="J93" s="6">
        <v>1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2</v>
      </c>
      <c r="R93" s="6">
        <v>0</v>
      </c>
      <c r="S93" s="6">
        <v>0</v>
      </c>
      <c r="T93" s="6">
        <v>2</v>
      </c>
      <c r="U93" s="6">
        <v>0</v>
      </c>
      <c r="V93" s="6">
        <v>1</v>
      </c>
      <c r="W93" s="6">
        <v>1</v>
      </c>
      <c r="X93" s="6">
        <v>0</v>
      </c>
      <c r="Y93" s="6">
        <v>1</v>
      </c>
      <c r="Z93" s="6">
        <v>1</v>
      </c>
      <c r="AA93" s="6">
        <v>0</v>
      </c>
      <c r="AB93" s="6">
        <v>0</v>
      </c>
      <c r="AC93" s="6">
        <v>0</v>
      </c>
      <c r="AD93" s="6">
        <v>0</v>
      </c>
      <c r="AE93" s="6">
        <v>2</v>
      </c>
      <c r="AF93" s="6">
        <v>0</v>
      </c>
      <c r="AG93" s="6">
        <v>1</v>
      </c>
      <c r="AH93" s="6">
        <v>0</v>
      </c>
      <c r="AI93" s="6">
        <v>1</v>
      </c>
      <c r="AJ93" s="6">
        <v>2</v>
      </c>
      <c r="AK93" s="6">
        <v>1</v>
      </c>
      <c r="AL93" s="6">
        <v>1</v>
      </c>
      <c r="AM93" s="6">
        <v>1</v>
      </c>
      <c r="AN93" s="6">
        <v>2</v>
      </c>
      <c r="AO93" s="6">
        <v>12</v>
      </c>
      <c r="AP93" s="6">
        <v>12</v>
      </c>
      <c r="AQ93" s="6">
        <v>9</v>
      </c>
      <c r="AR93" s="6">
        <v>4</v>
      </c>
      <c r="AS93" s="6">
        <v>15</v>
      </c>
      <c r="AT93" s="6">
        <v>13</v>
      </c>
      <c r="AU93" s="6">
        <v>5</v>
      </c>
      <c r="AV93" s="6">
        <v>1</v>
      </c>
      <c r="AW93" s="6">
        <v>0</v>
      </c>
      <c r="AX93" s="6">
        <v>1</v>
      </c>
      <c r="AY93" s="5">
        <f t="shared" si="21"/>
        <v>95</v>
      </c>
    </row>
    <row r="94" spans="1:51" x14ac:dyDescent="0.3">
      <c r="A94" s="11" t="s">
        <v>50</v>
      </c>
      <c r="B94" s="54"/>
      <c r="C94" s="24" t="s">
        <v>158</v>
      </c>
      <c r="D94" s="51"/>
      <c r="E94" s="6">
        <v>4</v>
      </c>
      <c r="F94" s="6">
        <v>3</v>
      </c>
      <c r="G94" s="6">
        <v>0</v>
      </c>
      <c r="H94" s="6">
        <v>0</v>
      </c>
      <c r="I94" s="6">
        <v>0</v>
      </c>
      <c r="J94" s="6">
        <v>3</v>
      </c>
      <c r="K94" s="6">
        <v>1</v>
      </c>
      <c r="L94" s="6">
        <v>0</v>
      </c>
      <c r="M94" s="6">
        <v>1</v>
      </c>
      <c r="N94" s="6">
        <v>0</v>
      </c>
      <c r="O94" s="6">
        <v>0</v>
      </c>
      <c r="P94" s="6">
        <v>0</v>
      </c>
      <c r="Q94" s="6">
        <v>10</v>
      </c>
      <c r="R94" s="6">
        <v>2</v>
      </c>
      <c r="S94" s="6">
        <v>0</v>
      </c>
      <c r="T94" s="6">
        <v>2</v>
      </c>
      <c r="U94" s="6">
        <v>1</v>
      </c>
      <c r="V94" s="6">
        <v>2</v>
      </c>
      <c r="W94" s="6">
        <v>5</v>
      </c>
      <c r="X94" s="6">
        <v>1</v>
      </c>
      <c r="Y94" s="6">
        <v>4</v>
      </c>
      <c r="Z94" s="6">
        <v>3</v>
      </c>
      <c r="AA94" s="6">
        <v>0</v>
      </c>
      <c r="AB94" s="6">
        <v>1</v>
      </c>
      <c r="AC94" s="6">
        <v>0</v>
      </c>
      <c r="AD94" s="6">
        <v>2</v>
      </c>
      <c r="AE94" s="6">
        <v>0</v>
      </c>
      <c r="AF94" s="6">
        <v>6</v>
      </c>
      <c r="AG94" s="6">
        <v>2</v>
      </c>
      <c r="AH94" s="6">
        <v>0</v>
      </c>
      <c r="AI94" s="6">
        <v>0</v>
      </c>
      <c r="AJ94" s="6">
        <v>4</v>
      </c>
      <c r="AK94" s="6">
        <v>2</v>
      </c>
      <c r="AL94" s="6">
        <v>3</v>
      </c>
      <c r="AM94" s="6">
        <v>4</v>
      </c>
      <c r="AN94" s="6">
        <v>0</v>
      </c>
      <c r="AO94" s="6">
        <v>6</v>
      </c>
      <c r="AP94" s="6">
        <v>16</v>
      </c>
      <c r="AQ94" s="6">
        <v>6</v>
      </c>
      <c r="AR94" s="6">
        <v>8</v>
      </c>
      <c r="AS94" s="6">
        <v>11</v>
      </c>
      <c r="AT94" s="6">
        <v>5</v>
      </c>
      <c r="AU94" s="6">
        <v>17</v>
      </c>
      <c r="AV94" s="6">
        <v>1</v>
      </c>
      <c r="AW94" s="6">
        <v>3</v>
      </c>
      <c r="AX94" s="6">
        <v>2</v>
      </c>
      <c r="AY94" s="5">
        <f t="shared" si="21"/>
        <v>141</v>
      </c>
    </row>
    <row r="95" spans="1:51" x14ac:dyDescent="0.3">
      <c r="A95" s="7"/>
      <c r="B95" s="54"/>
      <c r="C95" s="24" t="s">
        <v>159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1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1</v>
      </c>
      <c r="AP95" s="6">
        <v>0</v>
      </c>
      <c r="AQ95" s="6">
        <v>1</v>
      </c>
      <c r="AR95" s="6">
        <v>0</v>
      </c>
      <c r="AS95" s="6">
        <v>1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5">
        <f t="shared" si="21"/>
        <v>7</v>
      </c>
    </row>
    <row r="96" spans="1:51" ht="13.15" customHeight="1" x14ac:dyDescent="0.3">
      <c r="A96" s="7"/>
      <c r="B96" s="54"/>
      <c r="C96" s="24" t="s">
        <v>160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1</v>
      </c>
      <c r="AJ96" s="6">
        <v>0</v>
      </c>
      <c r="AK96" s="6">
        <v>0</v>
      </c>
      <c r="AL96" s="6">
        <v>1</v>
      </c>
      <c r="AM96" s="6">
        <v>0</v>
      </c>
      <c r="AN96" s="6">
        <v>0</v>
      </c>
      <c r="AO96" s="6">
        <v>2</v>
      </c>
      <c r="AP96" s="6">
        <v>0</v>
      </c>
      <c r="AQ96" s="6">
        <v>1</v>
      </c>
      <c r="AR96" s="6">
        <v>1</v>
      </c>
      <c r="AS96" s="6">
        <v>0</v>
      </c>
      <c r="AT96" s="6">
        <v>0</v>
      </c>
      <c r="AU96" s="6">
        <v>1</v>
      </c>
      <c r="AV96" s="6">
        <v>0</v>
      </c>
      <c r="AW96" s="6">
        <v>0</v>
      </c>
      <c r="AX96" s="6">
        <v>0</v>
      </c>
      <c r="AY96" s="5">
        <f t="shared" si="21"/>
        <v>8</v>
      </c>
    </row>
    <row r="97" spans="1:51" x14ac:dyDescent="0.3">
      <c r="A97" s="7"/>
      <c r="B97" s="54"/>
      <c r="C97" s="24" t="s">
        <v>161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1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1</v>
      </c>
      <c r="AK97" s="6">
        <v>0</v>
      </c>
      <c r="AL97" s="6">
        <v>1</v>
      </c>
      <c r="AM97" s="6">
        <v>1</v>
      </c>
      <c r="AN97" s="6">
        <v>0</v>
      </c>
      <c r="AO97" s="6">
        <v>1</v>
      </c>
      <c r="AP97" s="6">
        <v>0</v>
      </c>
      <c r="AQ97" s="6">
        <v>1</v>
      </c>
      <c r="AR97" s="6">
        <v>2</v>
      </c>
      <c r="AS97" s="6">
        <v>1</v>
      </c>
      <c r="AT97" s="6">
        <v>1</v>
      </c>
      <c r="AU97" s="6">
        <v>0</v>
      </c>
      <c r="AV97" s="6">
        <v>0</v>
      </c>
      <c r="AW97" s="6">
        <v>0</v>
      </c>
      <c r="AX97" s="6">
        <v>0</v>
      </c>
      <c r="AY97" s="5">
        <f t="shared" si="21"/>
        <v>12</v>
      </c>
    </row>
    <row r="98" spans="1:51" x14ac:dyDescent="0.3">
      <c r="A98" s="7"/>
      <c r="B98" s="54"/>
      <c r="C98" s="24" t="s">
        <v>162</v>
      </c>
      <c r="D98" s="51"/>
      <c r="E98" s="6">
        <v>1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2</v>
      </c>
      <c r="AQ98" s="6">
        <v>0</v>
      </c>
      <c r="AR98" s="6">
        <v>0</v>
      </c>
      <c r="AS98" s="6">
        <v>0</v>
      </c>
      <c r="AT98" s="6">
        <v>2</v>
      </c>
      <c r="AU98" s="6">
        <v>1</v>
      </c>
      <c r="AV98" s="6">
        <v>0</v>
      </c>
      <c r="AW98" s="6">
        <v>0</v>
      </c>
      <c r="AX98" s="6">
        <v>0</v>
      </c>
      <c r="AY98" s="5">
        <f t="shared" si="21"/>
        <v>9</v>
      </c>
    </row>
    <row r="99" spans="1:51" x14ac:dyDescent="0.3">
      <c r="A99" s="7"/>
      <c r="B99" s="54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0</v>
      </c>
      <c r="AM99" s="6">
        <v>1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5">
        <f t="shared" si="21"/>
        <v>3</v>
      </c>
    </row>
    <row r="100" spans="1:51" x14ac:dyDescent="0.3">
      <c r="A100" s="7"/>
      <c r="B100" s="54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1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5">
        <f t="shared" si="21"/>
        <v>1</v>
      </c>
    </row>
    <row r="101" spans="1:51" x14ac:dyDescent="0.3">
      <c r="A101" s="7"/>
      <c r="B101" s="54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1</v>
      </c>
      <c r="AQ101" s="6">
        <v>2</v>
      </c>
      <c r="AR101" s="6">
        <v>0</v>
      </c>
      <c r="AS101" s="6">
        <v>1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5">
        <f t="shared" si="21"/>
        <v>4</v>
      </c>
    </row>
    <row r="102" spans="1:51" x14ac:dyDescent="0.3">
      <c r="A102" s="7"/>
      <c r="B102" s="54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1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1</v>
      </c>
      <c r="AV102" s="6">
        <v>0</v>
      </c>
      <c r="AW102" s="6">
        <v>0</v>
      </c>
      <c r="AX102" s="6">
        <v>0</v>
      </c>
      <c r="AY102" s="5">
        <f t="shared" si="21"/>
        <v>2</v>
      </c>
    </row>
    <row r="103" spans="1:51" x14ac:dyDescent="0.3">
      <c r="A103" s="6" t="s">
        <v>26</v>
      </c>
      <c r="B103" s="69" t="s">
        <v>51</v>
      </c>
      <c r="C103" s="85"/>
      <c r="D103" s="76"/>
      <c r="E103" s="5">
        <f>SUM(E93:E102)</f>
        <v>6</v>
      </c>
      <c r="F103" s="5">
        <f t="shared" ref="F103:AY103" si="23">SUM(F93:F102)</f>
        <v>4</v>
      </c>
      <c r="G103" s="5">
        <f t="shared" si="23"/>
        <v>0</v>
      </c>
      <c r="H103" s="5">
        <f t="shared" si="23"/>
        <v>1</v>
      </c>
      <c r="I103" s="5">
        <f t="shared" si="23"/>
        <v>2</v>
      </c>
      <c r="J103" s="5">
        <f t="shared" si="23"/>
        <v>4</v>
      </c>
      <c r="K103" s="5">
        <f t="shared" si="23"/>
        <v>2</v>
      </c>
      <c r="L103" s="5">
        <f t="shared" si="23"/>
        <v>2</v>
      </c>
      <c r="M103" s="5">
        <f t="shared" si="23"/>
        <v>1</v>
      </c>
      <c r="N103" s="5">
        <f t="shared" si="23"/>
        <v>0</v>
      </c>
      <c r="O103" s="5">
        <f t="shared" si="23"/>
        <v>0</v>
      </c>
      <c r="P103" s="5">
        <f t="shared" si="23"/>
        <v>0</v>
      </c>
      <c r="Q103" s="5">
        <f t="shared" si="23"/>
        <v>13</v>
      </c>
      <c r="R103" s="5">
        <f t="shared" si="23"/>
        <v>2</v>
      </c>
      <c r="S103" s="5">
        <f t="shared" si="23"/>
        <v>0</v>
      </c>
      <c r="T103" s="5">
        <f t="shared" si="23"/>
        <v>5</v>
      </c>
      <c r="U103" s="5">
        <f t="shared" si="23"/>
        <v>2</v>
      </c>
      <c r="V103" s="5">
        <f t="shared" si="23"/>
        <v>4</v>
      </c>
      <c r="W103" s="5">
        <f t="shared" si="23"/>
        <v>7</v>
      </c>
      <c r="X103" s="5">
        <f t="shared" si="23"/>
        <v>1</v>
      </c>
      <c r="Y103" s="5">
        <f t="shared" si="23"/>
        <v>7</v>
      </c>
      <c r="Z103" s="5">
        <f t="shared" si="23"/>
        <v>4</v>
      </c>
      <c r="AA103" s="5">
        <f t="shared" si="23"/>
        <v>0</v>
      </c>
      <c r="AB103" s="5">
        <f t="shared" si="23"/>
        <v>1</v>
      </c>
      <c r="AC103" s="5">
        <f t="shared" si="23"/>
        <v>0</v>
      </c>
      <c r="AD103" s="5">
        <f t="shared" si="23"/>
        <v>2</v>
      </c>
      <c r="AE103" s="5">
        <f t="shared" si="23"/>
        <v>2</v>
      </c>
      <c r="AF103" s="5">
        <f t="shared" si="23"/>
        <v>6</v>
      </c>
      <c r="AG103" s="5">
        <f t="shared" si="23"/>
        <v>3</v>
      </c>
      <c r="AH103" s="5">
        <f t="shared" si="23"/>
        <v>0</v>
      </c>
      <c r="AI103" s="5">
        <f t="shared" si="23"/>
        <v>2</v>
      </c>
      <c r="AJ103" s="5">
        <f t="shared" si="23"/>
        <v>8</v>
      </c>
      <c r="AK103" s="5">
        <f t="shared" si="23"/>
        <v>4</v>
      </c>
      <c r="AL103" s="5">
        <f t="shared" si="23"/>
        <v>6</v>
      </c>
      <c r="AM103" s="5">
        <f t="shared" si="23"/>
        <v>7</v>
      </c>
      <c r="AN103" s="5">
        <f t="shared" si="23"/>
        <v>2</v>
      </c>
      <c r="AO103" s="5">
        <f t="shared" si="23"/>
        <v>22</v>
      </c>
      <c r="AP103" s="5">
        <f t="shared" si="23"/>
        <v>31</v>
      </c>
      <c r="AQ103" s="5">
        <f t="shared" si="23"/>
        <v>20</v>
      </c>
      <c r="AR103" s="5">
        <f t="shared" si="23"/>
        <v>16</v>
      </c>
      <c r="AS103" s="5">
        <f t="shared" si="23"/>
        <v>29</v>
      </c>
      <c r="AT103" s="5">
        <f t="shared" si="23"/>
        <v>21</v>
      </c>
      <c r="AU103" s="5">
        <f t="shared" si="23"/>
        <v>25</v>
      </c>
      <c r="AV103" s="5">
        <f t="shared" si="23"/>
        <v>2</v>
      </c>
      <c r="AW103" s="5">
        <f t="shared" si="23"/>
        <v>3</v>
      </c>
      <c r="AX103" s="5">
        <f t="shared" si="23"/>
        <v>3</v>
      </c>
      <c r="AY103" s="5">
        <f t="shared" si="23"/>
        <v>282</v>
      </c>
    </row>
    <row r="104" spans="1:51" x14ac:dyDescent="0.3">
      <c r="A104" s="86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5">
        <f t="shared" si="21"/>
        <v>0</v>
      </c>
    </row>
    <row r="105" spans="1:51" x14ac:dyDescent="0.3">
      <c r="A105" s="11" t="s">
        <v>48</v>
      </c>
      <c r="B105" s="17" t="s">
        <v>57</v>
      </c>
      <c r="C105" s="75" t="s">
        <v>58</v>
      </c>
      <c r="D105" s="76"/>
      <c r="E105" s="6">
        <v>0</v>
      </c>
      <c r="F105" s="6">
        <v>1</v>
      </c>
      <c r="G105" s="6">
        <v>0</v>
      </c>
      <c r="H105" s="6">
        <v>0</v>
      </c>
      <c r="I105" s="6">
        <v>0</v>
      </c>
      <c r="J105" s="6">
        <v>2</v>
      </c>
      <c r="K105" s="6">
        <v>4</v>
      </c>
      <c r="L105" s="6">
        <v>1</v>
      </c>
      <c r="M105" s="6">
        <v>0</v>
      </c>
      <c r="N105" s="6">
        <v>1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1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3</v>
      </c>
      <c r="AE105" s="6">
        <v>0</v>
      </c>
      <c r="AF105" s="6">
        <v>0</v>
      </c>
      <c r="AG105" s="6">
        <v>3</v>
      </c>
      <c r="AH105" s="6">
        <v>1</v>
      </c>
      <c r="AI105" s="6">
        <v>1</v>
      </c>
      <c r="AJ105" s="6">
        <v>1</v>
      </c>
      <c r="AK105" s="6">
        <v>0</v>
      </c>
      <c r="AL105" s="6">
        <v>2</v>
      </c>
      <c r="AM105" s="6">
        <v>0</v>
      </c>
      <c r="AN105" s="6">
        <v>3</v>
      </c>
      <c r="AO105" s="6">
        <v>1</v>
      </c>
      <c r="AP105" s="6">
        <v>0</v>
      </c>
      <c r="AQ105" s="6">
        <v>1</v>
      </c>
      <c r="AR105" s="6">
        <v>0</v>
      </c>
      <c r="AS105" s="6">
        <v>0</v>
      </c>
      <c r="AT105" s="6">
        <v>2</v>
      </c>
      <c r="AU105" s="6">
        <v>0</v>
      </c>
      <c r="AV105" s="6">
        <v>3</v>
      </c>
      <c r="AW105" s="6">
        <v>0</v>
      </c>
      <c r="AX105" s="6"/>
      <c r="AY105" s="5">
        <f t="shared" si="21"/>
        <v>33</v>
      </c>
    </row>
    <row r="106" spans="1:51" x14ac:dyDescent="0.3">
      <c r="A106" s="11" t="s">
        <v>50</v>
      </c>
      <c r="B106" s="54"/>
      <c r="C106" s="24" t="s">
        <v>167</v>
      </c>
      <c r="D106" s="51"/>
      <c r="E106" s="6">
        <v>0</v>
      </c>
      <c r="F106" s="6">
        <v>1</v>
      </c>
      <c r="G106" s="6">
        <v>0</v>
      </c>
      <c r="H106" s="6">
        <v>1</v>
      </c>
      <c r="I106" s="6">
        <v>0</v>
      </c>
      <c r="J106" s="6">
        <v>0</v>
      </c>
      <c r="K106" s="6">
        <v>1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1</v>
      </c>
      <c r="AA106" s="6">
        <v>1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1</v>
      </c>
      <c r="AM106" s="6">
        <v>0</v>
      </c>
      <c r="AN106" s="6">
        <v>1</v>
      </c>
      <c r="AO106" s="6">
        <v>0</v>
      </c>
      <c r="AP106" s="6">
        <v>0</v>
      </c>
      <c r="AQ106" s="6">
        <v>0</v>
      </c>
      <c r="AR106" s="6">
        <v>2</v>
      </c>
      <c r="AS106" s="6">
        <v>0</v>
      </c>
      <c r="AT106" s="6">
        <v>0</v>
      </c>
      <c r="AU106" s="6">
        <v>0</v>
      </c>
      <c r="AV106" s="6">
        <v>0</v>
      </c>
      <c r="AW106" s="6">
        <v>1</v>
      </c>
      <c r="AX106" s="6"/>
      <c r="AY106" s="5">
        <f t="shared" si="21"/>
        <v>11</v>
      </c>
    </row>
    <row r="107" spans="1:51" ht="13.15" customHeight="1" x14ac:dyDescent="0.3">
      <c r="A107" s="7"/>
      <c r="B107" s="54"/>
      <c r="C107" s="24" t="s">
        <v>168</v>
      </c>
      <c r="D107" s="51"/>
      <c r="E107" s="6">
        <v>1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1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1</v>
      </c>
      <c r="AN107" s="6">
        <v>2</v>
      </c>
      <c r="AO107" s="6">
        <v>0</v>
      </c>
      <c r="AP107" s="6">
        <v>1</v>
      </c>
      <c r="AQ107" s="6">
        <v>0</v>
      </c>
      <c r="AR107" s="6">
        <v>1</v>
      </c>
      <c r="AS107" s="6">
        <v>0</v>
      </c>
      <c r="AT107" s="6">
        <v>0</v>
      </c>
      <c r="AU107" s="6">
        <v>0</v>
      </c>
      <c r="AV107" s="6">
        <v>0</v>
      </c>
      <c r="AW107" s="6">
        <v>1</v>
      </c>
      <c r="AX107" s="6"/>
      <c r="AY107" s="5">
        <f t="shared" si="21"/>
        <v>11</v>
      </c>
    </row>
    <row r="108" spans="1:51" x14ac:dyDescent="0.3">
      <c r="A108" s="7"/>
      <c r="B108" s="46"/>
      <c r="C108" s="47"/>
      <c r="D108" s="49"/>
      <c r="E108" s="6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1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5">
        <f t="shared" si="21"/>
        <v>0</v>
      </c>
    </row>
    <row r="109" spans="1:51" x14ac:dyDescent="0.3">
      <c r="A109" s="7"/>
      <c r="B109" s="46"/>
      <c r="C109" s="47"/>
      <c r="D109" s="49"/>
      <c r="E109" s="6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1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5">
        <f t="shared" si="21"/>
        <v>0</v>
      </c>
    </row>
    <row r="110" spans="1:51" x14ac:dyDescent="0.3">
      <c r="A110" s="7"/>
      <c r="B110" s="46"/>
      <c r="C110" s="47"/>
      <c r="D110" s="49"/>
      <c r="E110" s="6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1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5">
        <f t="shared" si="21"/>
        <v>0</v>
      </c>
    </row>
    <row r="111" spans="1:51" x14ac:dyDescent="0.3">
      <c r="A111" s="7"/>
      <c r="B111" s="46"/>
      <c r="C111" s="47"/>
      <c r="D111" s="49"/>
      <c r="E111" s="6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1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5">
        <f t="shared" si="21"/>
        <v>0</v>
      </c>
    </row>
    <row r="112" spans="1:51" x14ac:dyDescent="0.3">
      <c r="A112" s="7"/>
      <c r="B112" s="46"/>
      <c r="C112" s="47"/>
      <c r="D112" s="49"/>
      <c r="E112" s="6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1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5">
        <f t="shared" si="21"/>
        <v>0</v>
      </c>
    </row>
    <row r="113" spans="1:53" x14ac:dyDescent="0.3">
      <c r="A113" s="7"/>
      <c r="B113" s="46"/>
      <c r="C113" s="47"/>
      <c r="D113" s="49"/>
      <c r="E113" s="6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1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5">
        <f t="shared" si="21"/>
        <v>0</v>
      </c>
    </row>
    <row r="114" spans="1:53" x14ac:dyDescent="0.3">
      <c r="A114" s="7"/>
      <c r="B114" s="46"/>
      <c r="C114" s="47"/>
      <c r="D114" s="49"/>
      <c r="E114" s="6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1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5">
        <f t="shared" si="21"/>
        <v>0</v>
      </c>
    </row>
    <row r="115" spans="1:53" ht="13.15" customHeight="1" x14ac:dyDescent="0.3">
      <c r="A115" s="6" t="s">
        <v>26</v>
      </c>
      <c r="B115" s="69" t="s">
        <v>51</v>
      </c>
      <c r="C115" s="70"/>
      <c r="D115" s="71"/>
      <c r="E115" s="5">
        <f>SUM(E105:E114)</f>
        <v>1</v>
      </c>
      <c r="F115" s="5">
        <f t="shared" ref="F115:AY115" si="24">SUM(F105:F114)</f>
        <v>3</v>
      </c>
      <c r="G115" s="5">
        <f t="shared" si="24"/>
        <v>0</v>
      </c>
      <c r="H115" s="5">
        <f t="shared" si="24"/>
        <v>1</v>
      </c>
      <c r="I115" s="5">
        <f t="shared" si="24"/>
        <v>0</v>
      </c>
      <c r="J115" s="5">
        <f t="shared" si="24"/>
        <v>2</v>
      </c>
      <c r="K115" s="5">
        <f t="shared" si="24"/>
        <v>5</v>
      </c>
      <c r="L115" s="5">
        <f t="shared" si="24"/>
        <v>1</v>
      </c>
      <c r="M115" s="5">
        <f t="shared" si="24"/>
        <v>1</v>
      </c>
      <c r="N115" s="5">
        <f t="shared" si="24"/>
        <v>1</v>
      </c>
      <c r="O115" s="5">
        <f t="shared" si="24"/>
        <v>0</v>
      </c>
      <c r="P115" s="5">
        <f t="shared" si="24"/>
        <v>1</v>
      </c>
      <c r="Q115" s="5">
        <f t="shared" si="24"/>
        <v>1</v>
      </c>
      <c r="R115" s="5">
        <f t="shared" si="24"/>
        <v>0</v>
      </c>
      <c r="S115" s="5">
        <f t="shared" si="24"/>
        <v>0</v>
      </c>
      <c r="T115" s="5">
        <f t="shared" si="24"/>
        <v>1</v>
      </c>
      <c r="U115" s="5">
        <f t="shared" si="24"/>
        <v>1</v>
      </c>
      <c r="V115" s="5">
        <f t="shared" si="24"/>
        <v>0</v>
      </c>
      <c r="W115" s="5">
        <f t="shared" si="24"/>
        <v>2</v>
      </c>
      <c r="X115" s="5">
        <f t="shared" si="24"/>
        <v>0</v>
      </c>
      <c r="Y115" s="5">
        <f t="shared" si="24"/>
        <v>0</v>
      </c>
      <c r="Z115" s="5">
        <f t="shared" si="24"/>
        <v>1</v>
      </c>
      <c r="AA115" s="5">
        <f t="shared" si="24"/>
        <v>1</v>
      </c>
      <c r="AB115" s="5">
        <f t="shared" si="24"/>
        <v>0</v>
      </c>
      <c r="AC115" s="5">
        <f t="shared" si="24"/>
        <v>0</v>
      </c>
      <c r="AD115" s="5">
        <f t="shared" si="24"/>
        <v>3</v>
      </c>
      <c r="AE115" s="5">
        <f t="shared" si="24"/>
        <v>0</v>
      </c>
      <c r="AF115" s="5">
        <f t="shared" si="24"/>
        <v>0</v>
      </c>
      <c r="AG115" s="5">
        <f t="shared" si="24"/>
        <v>3</v>
      </c>
      <c r="AH115" s="5">
        <f t="shared" si="24"/>
        <v>1</v>
      </c>
      <c r="AI115" s="5">
        <f t="shared" si="24"/>
        <v>1</v>
      </c>
      <c r="AJ115" s="5">
        <f t="shared" si="24"/>
        <v>1</v>
      </c>
      <c r="AK115" s="5">
        <f t="shared" si="24"/>
        <v>0</v>
      </c>
      <c r="AL115" s="5">
        <f t="shared" si="24"/>
        <v>3</v>
      </c>
      <c r="AM115" s="5">
        <f t="shared" si="24"/>
        <v>1</v>
      </c>
      <c r="AN115" s="5">
        <f t="shared" si="24"/>
        <v>6</v>
      </c>
      <c r="AO115" s="5">
        <f t="shared" si="24"/>
        <v>1</v>
      </c>
      <c r="AP115" s="5">
        <f t="shared" si="24"/>
        <v>1</v>
      </c>
      <c r="AQ115" s="5">
        <f t="shared" si="24"/>
        <v>1</v>
      </c>
      <c r="AR115" s="5">
        <f t="shared" si="24"/>
        <v>3</v>
      </c>
      <c r="AS115" s="5">
        <f t="shared" si="24"/>
        <v>0</v>
      </c>
      <c r="AT115" s="5">
        <f t="shared" si="24"/>
        <v>2</v>
      </c>
      <c r="AU115" s="5">
        <f t="shared" si="24"/>
        <v>0</v>
      </c>
      <c r="AV115" s="5">
        <f t="shared" si="24"/>
        <v>3</v>
      </c>
      <c r="AW115" s="5">
        <f t="shared" si="24"/>
        <v>2</v>
      </c>
      <c r="AX115" s="5">
        <f t="shared" si="24"/>
        <v>0</v>
      </c>
      <c r="AY115" s="5">
        <f t="shared" si="24"/>
        <v>55</v>
      </c>
    </row>
    <row r="116" spans="1:53" x14ac:dyDescent="0.3">
      <c r="A116" s="77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9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Y116" s="5">
        <f t="shared" si="21"/>
        <v>0</v>
      </c>
    </row>
    <row r="117" spans="1:53" x14ac:dyDescent="0.3">
      <c r="A117" s="11" t="s">
        <v>48</v>
      </c>
      <c r="B117" s="17" t="s">
        <v>59</v>
      </c>
      <c r="C117" s="75" t="s">
        <v>60</v>
      </c>
      <c r="D117" s="76"/>
      <c r="E117" s="6">
        <v>0</v>
      </c>
      <c r="F117" s="6">
        <v>1</v>
      </c>
      <c r="G117" s="6">
        <v>1</v>
      </c>
      <c r="H117" s="6">
        <v>1</v>
      </c>
      <c r="I117" s="6">
        <v>0</v>
      </c>
      <c r="J117" s="6">
        <v>0</v>
      </c>
      <c r="K117" s="6">
        <v>0</v>
      </c>
      <c r="L117" s="6">
        <v>1</v>
      </c>
      <c r="M117" s="6">
        <v>0</v>
      </c>
      <c r="N117" s="6">
        <v>4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2</v>
      </c>
      <c r="U117" s="6">
        <v>0</v>
      </c>
      <c r="V117" s="6">
        <v>0</v>
      </c>
      <c r="W117" s="6">
        <v>0</v>
      </c>
      <c r="X117" s="6">
        <v>0</v>
      </c>
      <c r="Y117" s="6">
        <v>1</v>
      </c>
      <c r="Z117" s="6">
        <v>0</v>
      </c>
      <c r="AA117" s="6">
        <v>3</v>
      </c>
      <c r="AB117" s="6">
        <v>0</v>
      </c>
      <c r="AC117" s="6">
        <v>1</v>
      </c>
      <c r="AD117" s="6">
        <v>0</v>
      </c>
      <c r="AE117" s="6">
        <v>1</v>
      </c>
      <c r="AF117" s="6">
        <v>2</v>
      </c>
      <c r="AG117" s="6">
        <v>1</v>
      </c>
      <c r="AH117" s="6">
        <v>1</v>
      </c>
      <c r="AI117" s="6">
        <v>1</v>
      </c>
      <c r="AJ117" s="6">
        <v>0</v>
      </c>
      <c r="AK117" s="6">
        <v>0</v>
      </c>
      <c r="AL117" s="6">
        <v>0</v>
      </c>
      <c r="AM117" s="6">
        <v>0</v>
      </c>
      <c r="AN117" s="6">
        <v>1</v>
      </c>
      <c r="AO117" s="6">
        <v>2</v>
      </c>
      <c r="AP117" s="6">
        <v>2</v>
      </c>
      <c r="AQ117" s="6">
        <v>0</v>
      </c>
      <c r="AR117" s="6">
        <v>3</v>
      </c>
      <c r="AS117" s="6">
        <v>3</v>
      </c>
      <c r="AT117" s="6">
        <v>0</v>
      </c>
      <c r="AU117" s="6">
        <v>1</v>
      </c>
      <c r="AV117" s="6">
        <v>1</v>
      </c>
      <c r="AW117" s="6">
        <v>0</v>
      </c>
      <c r="AX117" s="6"/>
      <c r="AY117" s="5">
        <f t="shared" si="21"/>
        <v>34</v>
      </c>
      <c r="AZ117" s="20"/>
      <c r="BA117" s="20"/>
    </row>
    <row r="118" spans="1:53" x14ac:dyDescent="0.3">
      <c r="A118" s="11" t="s">
        <v>50</v>
      </c>
      <c r="B118" s="54"/>
      <c r="C118" s="24" t="s">
        <v>169</v>
      </c>
      <c r="D118" s="51"/>
      <c r="E118" s="6">
        <v>1</v>
      </c>
      <c r="F118" s="6">
        <v>1</v>
      </c>
      <c r="G118" s="6">
        <v>0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</v>
      </c>
      <c r="Q118" s="6">
        <v>0</v>
      </c>
      <c r="R118" s="6">
        <v>0</v>
      </c>
      <c r="S118" s="6">
        <v>0</v>
      </c>
      <c r="T118" s="6">
        <v>0</v>
      </c>
      <c r="U118" s="6">
        <v>3</v>
      </c>
      <c r="V118" s="6">
        <v>0</v>
      </c>
      <c r="W118" s="6">
        <v>0</v>
      </c>
      <c r="X118" s="6">
        <v>0</v>
      </c>
      <c r="Y118" s="6">
        <v>0</v>
      </c>
      <c r="Z118" s="6">
        <v>1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0</v>
      </c>
      <c r="AH118" s="6">
        <v>1</v>
      </c>
      <c r="AI118" s="6">
        <v>1</v>
      </c>
      <c r="AJ118" s="6">
        <v>0</v>
      </c>
      <c r="AK118" s="6">
        <v>1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1</v>
      </c>
      <c r="AT118" s="6">
        <v>0</v>
      </c>
      <c r="AU118" s="6">
        <v>0</v>
      </c>
      <c r="AV118" s="6">
        <v>0</v>
      </c>
      <c r="AW118" s="6">
        <v>0</v>
      </c>
      <c r="AX118" s="6"/>
      <c r="AY118" s="5">
        <f t="shared" si="21"/>
        <v>13</v>
      </c>
      <c r="AZ118" s="20"/>
      <c r="BA118" s="20"/>
    </row>
    <row r="119" spans="1:53" x14ac:dyDescent="0.3">
      <c r="A119" s="7"/>
      <c r="B119" s="54"/>
      <c r="C119" s="24" t="s">
        <v>170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1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1</v>
      </c>
      <c r="AE119" s="6">
        <v>0</v>
      </c>
      <c r="AF119" s="6">
        <v>0</v>
      </c>
      <c r="AG119" s="6">
        <v>1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1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/>
      <c r="AY119" s="5">
        <f t="shared" si="21"/>
        <v>6</v>
      </c>
      <c r="AZ119" s="20"/>
      <c r="BA119" s="20"/>
    </row>
    <row r="120" spans="1:53" x14ac:dyDescent="0.3">
      <c r="A120" s="7"/>
      <c r="B120" s="54"/>
      <c r="C120" s="24" t="s">
        <v>171</v>
      </c>
      <c r="D120" s="51"/>
      <c r="E120" s="6">
        <v>0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1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1</v>
      </c>
      <c r="AI120" s="6">
        <v>1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1</v>
      </c>
      <c r="AP120" s="6">
        <v>0</v>
      </c>
      <c r="AQ120" s="6">
        <v>1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1</v>
      </c>
      <c r="AX120" s="6"/>
      <c r="AY120" s="5">
        <f t="shared" si="21"/>
        <v>7</v>
      </c>
      <c r="AZ120" s="20"/>
      <c r="BA120" s="20"/>
    </row>
    <row r="121" spans="1:53" x14ac:dyDescent="0.3">
      <c r="A121" s="7"/>
      <c r="B121" s="54"/>
      <c r="C121" s="24" t="s">
        <v>172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1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/>
      <c r="AY121" s="5">
        <f t="shared" si="21"/>
        <v>1</v>
      </c>
      <c r="AZ121" s="20"/>
      <c r="BA121" s="20"/>
    </row>
    <row r="122" spans="1:53" x14ac:dyDescent="0.3">
      <c r="A122" s="7"/>
      <c r="B122" s="54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/>
      <c r="AY122" s="5">
        <f t="shared" si="21"/>
        <v>0</v>
      </c>
      <c r="AZ122" s="20"/>
      <c r="BA122" s="20"/>
    </row>
    <row r="123" spans="1:53" x14ac:dyDescent="0.3">
      <c r="A123" s="7"/>
      <c r="B123" s="46"/>
      <c r="C123" s="47"/>
      <c r="D123" s="49"/>
      <c r="E123" s="62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62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5">
        <f t="shared" si="21"/>
        <v>0</v>
      </c>
      <c r="AZ123" s="20"/>
      <c r="BA123" s="20"/>
    </row>
    <row r="124" spans="1:53" x14ac:dyDescent="0.3">
      <c r="A124" s="7"/>
      <c r="B124" s="46"/>
      <c r="C124" s="47"/>
      <c r="D124" s="49"/>
      <c r="E124" s="62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62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5">
        <f t="shared" si="21"/>
        <v>0</v>
      </c>
      <c r="AZ124" s="20"/>
      <c r="BA124" s="20"/>
    </row>
    <row r="125" spans="1:53" x14ac:dyDescent="0.3">
      <c r="A125" s="7"/>
      <c r="B125" s="46"/>
      <c r="C125" s="47"/>
      <c r="D125" s="49"/>
      <c r="E125" s="62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62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5">
        <f t="shared" si="21"/>
        <v>0</v>
      </c>
      <c r="AZ125" s="20"/>
      <c r="BA125" s="20"/>
    </row>
    <row r="126" spans="1:53" x14ac:dyDescent="0.3">
      <c r="A126" s="7"/>
      <c r="B126" s="46"/>
      <c r="C126" s="47"/>
      <c r="D126" s="49"/>
      <c r="E126" s="62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62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5">
        <f t="shared" si="21"/>
        <v>0</v>
      </c>
      <c r="AZ126" s="20"/>
      <c r="BA126" s="20"/>
    </row>
    <row r="127" spans="1:53" x14ac:dyDescent="0.3">
      <c r="A127" s="6" t="s">
        <v>26</v>
      </c>
      <c r="B127" s="69" t="s">
        <v>51</v>
      </c>
      <c r="C127" s="70"/>
      <c r="D127" s="71"/>
      <c r="E127" s="5">
        <f>SUM(E117:E126)</f>
        <v>1</v>
      </c>
      <c r="F127" s="5">
        <f t="shared" ref="F127:AY127" si="25">SUM(F117:F126)</f>
        <v>3</v>
      </c>
      <c r="G127" s="5">
        <f t="shared" si="25"/>
        <v>1</v>
      </c>
      <c r="H127" s="5">
        <f t="shared" si="25"/>
        <v>1</v>
      </c>
      <c r="I127" s="5">
        <f t="shared" si="25"/>
        <v>2</v>
      </c>
      <c r="J127" s="5">
        <f t="shared" si="25"/>
        <v>0</v>
      </c>
      <c r="K127" s="5">
        <f t="shared" si="25"/>
        <v>0</v>
      </c>
      <c r="L127" s="5">
        <f t="shared" si="25"/>
        <v>1</v>
      </c>
      <c r="M127" s="5">
        <f t="shared" si="25"/>
        <v>0</v>
      </c>
      <c r="N127" s="5">
        <f t="shared" si="25"/>
        <v>4</v>
      </c>
      <c r="O127" s="5">
        <f t="shared" si="25"/>
        <v>0</v>
      </c>
      <c r="P127" s="5">
        <f t="shared" si="25"/>
        <v>1</v>
      </c>
      <c r="Q127" s="5">
        <f t="shared" si="25"/>
        <v>1</v>
      </c>
      <c r="R127" s="5">
        <f t="shared" si="25"/>
        <v>0</v>
      </c>
      <c r="S127" s="5">
        <f t="shared" si="25"/>
        <v>0</v>
      </c>
      <c r="T127" s="5">
        <f t="shared" si="25"/>
        <v>2</v>
      </c>
      <c r="U127" s="5">
        <f t="shared" si="25"/>
        <v>3</v>
      </c>
      <c r="V127" s="5">
        <f t="shared" si="25"/>
        <v>1</v>
      </c>
      <c r="W127" s="5">
        <f t="shared" si="25"/>
        <v>0</v>
      </c>
      <c r="X127" s="5">
        <f t="shared" si="25"/>
        <v>0</v>
      </c>
      <c r="Y127" s="5">
        <f t="shared" si="25"/>
        <v>1</v>
      </c>
      <c r="Z127" s="5">
        <f t="shared" si="25"/>
        <v>1</v>
      </c>
      <c r="AA127" s="5">
        <f t="shared" si="25"/>
        <v>3</v>
      </c>
      <c r="AB127" s="5">
        <f t="shared" si="25"/>
        <v>0</v>
      </c>
      <c r="AC127" s="5">
        <f t="shared" si="25"/>
        <v>1</v>
      </c>
      <c r="AD127" s="5">
        <f t="shared" si="25"/>
        <v>1</v>
      </c>
      <c r="AE127" s="5">
        <f t="shared" si="25"/>
        <v>2</v>
      </c>
      <c r="AF127" s="5">
        <f t="shared" si="25"/>
        <v>2</v>
      </c>
      <c r="AG127" s="5">
        <f t="shared" si="25"/>
        <v>2</v>
      </c>
      <c r="AH127" s="5">
        <f t="shared" si="25"/>
        <v>4</v>
      </c>
      <c r="AI127" s="5">
        <f t="shared" si="25"/>
        <v>4</v>
      </c>
      <c r="AJ127" s="5">
        <f t="shared" si="25"/>
        <v>0</v>
      </c>
      <c r="AK127" s="5">
        <f t="shared" si="25"/>
        <v>1</v>
      </c>
      <c r="AL127" s="5">
        <f t="shared" si="25"/>
        <v>0</v>
      </c>
      <c r="AM127" s="5">
        <f t="shared" si="25"/>
        <v>0</v>
      </c>
      <c r="AN127" s="5">
        <f t="shared" si="25"/>
        <v>1</v>
      </c>
      <c r="AO127" s="5">
        <f t="shared" si="25"/>
        <v>4</v>
      </c>
      <c r="AP127" s="5">
        <f t="shared" si="25"/>
        <v>2</v>
      </c>
      <c r="AQ127" s="5">
        <f t="shared" si="25"/>
        <v>1</v>
      </c>
      <c r="AR127" s="5">
        <f t="shared" si="25"/>
        <v>3</v>
      </c>
      <c r="AS127" s="5">
        <f t="shared" si="25"/>
        <v>4</v>
      </c>
      <c r="AT127" s="5">
        <f t="shared" si="25"/>
        <v>0</v>
      </c>
      <c r="AU127" s="5">
        <f t="shared" si="25"/>
        <v>1</v>
      </c>
      <c r="AV127" s="5">
        <f t="shared" si="25"/>
        <v>1</v>
      </c>
      <c r="AW127" s="5">
        <f t="shared" si="25"/>
        <v>1</v>
      </c>
      <c r="AX127" s="5">
        <f t="shared" si="25"/>
        <v>0</v>
      </c>
      <c r="AY127" s="5">
        <f t="shared" si="25"/>
        <v>61</v>
      </c>
      <c r="AZ127" s="20"/>
      <c r="BA127" s="20"/>
    </row>
    <row r="128" spans="1:53" x14ac:dyDescent="0.3">
      <c r="A128" s="77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9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5">
        <f t="shared" si="21"/>
        <v>0</v>
      </c>
      <c r="AZ128" s="20"/>
      <c r="BA128" s="20"/>
    </row>
    <row r="129" spans="1:53" x14ac:dyDescent="0.3">
      <c r="A129" s="11" t="s">
        <v>48</v>
      </c>
      <c r="B129" s="17" t="s">
        <v>61</v>
      </c>
      <c r="C129" s="75" t="s">
        <v>62</v>
      </c>
      <c r="D129" s="76"/>
      <c r="E129" s="6">
        <v>1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3</v>
      </c>
      <c r="N129" s="6">
        <v>0</v>
      </c>
      <c r="O129" s="6">
        <v>0</v>
      </c>
      <c r="P129" s="6">
        <v>0</v>
      </c>
      <c r="Q129" s="6">
        <v>3</v>
      </c>
      <c r="R129" s="6">
        <v>1</v>
      </c>
      <c r="S129" s="6">
        <v>2</v>
      </c>
      <c r="T129" s="6">
        <v>0</v>
      </c>
      <c r="U129" s="6">
        <v>0</v>
      </c>
      <c r="V129" s="6">
        <v>0</v>
      </c>
      <c r="W129" s="6">
        <v>2</v>
      </c>
      <c r="X129" s="6">
        <v>3</v>
      </c>
      <c r="Y129" s="6">
        <v>2</v>
      </c>
      <c r="Z129" s="6">
        <v>4</v>
      </c>
      <c r="AA129" s="6">
        <v>1</v>
      </c>
      <c r="AB129" s="6">
        <v>0</v>
      </c>
      <c r="AC129" s="6">
        <v>0</v>
      </c>
      <c r="AD129" s="6">
        <v>0</v>
      </c>
      <c r="AE129" s="6">
        <v>1</v>
      </c>
      <c r="AF129" s="6">
        <v>0</v>
      </c>
      <c r="AG129" s="6">
        <v>0</v>
      </c>
      <c r="AH129" s="6">
        <v>1</v>
      </c>
      <c r="AI129" s="6">
        <v>0</v>
      </c>
      <c r="AJ129" s="6">
        <v>2</v>
      </c>
      <c r="AK129" s="6">
        <v>4</v>
      </c>
      <c r="AL129" s="6">
        <v>1</v>
      </c>
      <c r="AM129" s="6">
        <v>1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1</v>
      </c>
      <c r="AT129" s="6">
        <v>0</v>
      </c>
      <c r="AU129" s="6">
        <v>1</v>
      </c>
      <c r="AV129" s="6">
        <v>0</v>
      </c>
      <c r="AW129" s="6">
        <v>0</v>
      </c>
      <c r="AX129" s="6">
        <v>0</v>
      </c>
      <c r="AY129" s="5">
        <f t="shared" si="21"/>
        <v>35</v>
      </c>
      <c r="AZ129" s="20"/>
      <c r="BA129" s="20"/>
    </row>
    <row r="130" spans="1:53" ht="13.15" customHeight="1" x14ac:dyDescent="0.3">
      <c r="A130" s="11" t="s">
        <v>50</v>
      </c>
      <c r="B130" s="54"/>
      <c r="C130" s="24" t="s">
        <v>174</v>
      </c>
      <c r="D130" s="55"/>
      <c r="E130" s="6">
        <v>0</v>
      </c>
      <c r="F130" s="6">
        <v>0</v>
      </c>
      <c r="G130" s="6">
        <v>1</v>
      </c>
      <c r="H130" s="6">
        <v>0</v>
      </c>
      <c r="I130" s="6">
        <v>0</v>
      </c>
      <c r="J130" s="6">
        <v>2</v>
      </c>
      <c r="K130" s="6">
        <v>2</v>
      </c>
      <c r="L130" s="6">
        <v>1</v>
      </c>
      <c r="M130" s="6">
        <v>3</v>
      </c>
      <c r="N130" s="6">
        <v>1</v>
      </c>
      <c r="O130" s="6">
        <v>0</v>
      </c>
      <c r="P130" s="6">
        <v>0</v>
      </c>
      <c r="Q130" s="6">
        <v>1</v>
      </c>
      <c r="R130" s="6">
        <v>2</v>
      </c>
      <c r="S130" s="6">
        <v>3</v>
      </c>
      <c r="T130" s="6">
        <v>0</v>
      </c>
      <c r="U130" s="6">
        <v>0</v>
      </c>
      <c r="V130" s="6">
        <v>0</v>
      </c>
      <c r="W130" s="6">
        <v>7</v>
      </c>
      <c r="X130" s="6">
        <v>0</v>
      </c>
      <c r="Y130" s="6">
        <v>4</v>
      </c>
      <c r="Z130" s="6">
        <v>0</v>
      </c>
      <c r="AA130" s="6">
        <v>0</v>
      </c>
      <c r="AB130" s="6">
        <v>0</v>
      </c>
      <c r="AC130" s="6">
        <v>2</v>
      </c>
      <c r="AD130" s="6">
        <v>0</v>
      </c>
      <c r="AE130" s="6">
        <v>1</v>
      </c>
      <c r="AF130" s="6">
        <v>3</v>
      </c>
      <c r="AG130" s="6">
        <v>1</v>
      </c>
      <c r="AH130" s="6">
        <v>0</v>
      </c>
      <c r="AI130" s="6">
        <v>0</v>
      </c>
      <c r="AJ130" s="6">
        <v>0</v>
      </c>
      <c r="AK130" s="6">
        <v>2</v>
      </c>
      <c r="AL130" s="6">
        <v>0</v>
      </c>
      <c r="AM130" s="6">
        <v>1</v>
      </c>
      <c r="AN130" s="6">
        <v>0</v>
      </c>
      <c r="AO130" s="6">
        <v>1</v>
      </c>
      <c r="AP130" s="6">
        <v>0</v>
      </c>
      <c r="AQ130" s="6">
        <v>1</v>
      </c>
      <c r="AR130" s="6">
        <v>3</v>
      </c>
      <c r="AS130" s="6">
        <v>3</v>
      </c>
      <c r="AT130" s="6">
        <v>0</v>
      </c>
      <c r="AU130" s="6">
        <v>6</v>
      </c>
      <c r="AV130" s="6">
        <v>0</v>
      </c>
      <c r="AW130" s="6">
        <v>0</v>
      </c>
      <c r="AX130" s="6">
        <v>1</v>
      </c>
      <c r="AY130" s="5">
        <f t="shared" si="21"/>
        <v>52</v>
      </c>
      <c r="AZ130" s="1"/>
      <c r="BA130" s="1"/>
    </row>
    <row r="131" spans="1:53" x14ac:dyDescent="0.3">
      <c r="A131" s="7"/>
      <c r="B131" s="54"/>
      <c r="C131" s="24" t="s">
        <v>175</v>
      </c>
      <c r="D131" s="5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1</v>
      </c>
      <c r="R131" s="6">
        <v>1</v>
      </c>
      <c r="S131" s="6">
        <v>2</v>
      </c>
      <c r="T131" s="6">
        <v>0</v>
      </c>
      <c r="U131" s="6">
        <v>1</v>
      </c>
      <c r="V131" s="6">
        <v>0</v>
      </c>
      <c r="W131" s="6">
        <v>2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1</v>
      </c>
      <c r="AQ131" s="6">
        <v>0</v>
      </c>
      <c r="AR131" s="6">
        <v>0</v>
      </c>
      <c r="AS131" s="6">
        <v>1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5">
        <f t="shared" si="21"/>
        <v>11</v>
      </c>
      <c r="AZ131" s="28"/>
      <c r="BA131" s="28"/>
    </row>
    <row r="132" spans="1:53" x14ac:dyDescent="0.3">
      <c r="A132" s="7"/>
      <c r="B132" s="54"/>
      <c r="C132" s="24" t="s">
        <v>176</v>
      </c>
      <c r="D132" s="55"/>
      <c r="E132" s="6">
        <v>0</v>
      </c>
      <c r="F132" s="6">
        <v>0</v>
      </c>
      <c r="G132" s="6">
        <v>1</v>
      </c>
      <c r="H132" s="6">
        <v>0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1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5">
        <f t="shared" si="21"/>
        <v>5</v>
      </c>
      <c r="AZ132" s="20"/>
      <c r="BA132" s="20"/>
    </row>
    <row r="133" spans="1:53" x14ac:dyDescent="0.3">
      <c r="A133" s="7"/>
      <c r="B133" s="54"/>
      <c r="C133" s="24" t="s">
        <v>177</v>
      </c>
      <c r="D133" s="5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1</v>
      </c>
      <c r="AA133" s="6">
        <v>0</v>
      </c>
      <c r="AB133" s="6">
        <v>0</v>
      </c>
      <c r="AC133" s="6">
        <v>1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1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5">
        <f t="shared" si="21"/>
        <v>3</v>
      </c>
      <c r="AZ133" s="20"/>
      <c r="BA133" s="20"/>
    </row>
    <row r="134" spans="1:53" x14ac:dyDescent="0.3">
      <c r="A134" s="7"/>
      <c r="B134" s="54"/>
      <c r="C134" s="24" t="s">
        <v>178</v>
      </c>
      <c r="D134" s="55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2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1</v>
      </c>
      <c r="AG134" s="6">
        <v>0</v>
      </c>
      <c r="AH134" s="6">
        <v>0</v>
      </c>
      <c r="AI134" s="6">
        <v>1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1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5">
        <f t="shared" si="21"/>
        <v>6</v>
      </c>
      <c r="AZ134" s="20"/>
      <c r="BA134" s="20"/>
    </row>
    <row r="135" spans="1:53" x14ac:dyDescent="0.3">
      <c r="A135" s="7"/>
      <c r="B135" s="54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1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5">
        <f t="shared" si="21"/>
        <v>3</v>
      </c>
      <c r="AZ135" s="20"/>
      <c r="BA135" s="20"/>
    </row>
    <row r="136" spans="1:53" x14ac:dyDescent="0.3">
      <c r="A136" s="7"/>
      <c r="B136" s="54"/>
      <c r="C136" s="24" t="s">
        <v>180</v>
      </c>
      <c r="D136" s="55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3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5">
        <f t="shared" si="21"/>
        <v>3</v>
      </c>
      <c r="AZ136" s="20"/>
      <c r="BA136" s="20"/>
    </row>
    <row r="137" spans="1:53" x14ac:dyDescent="0.3">
      <c r="A137" s="7"/>
      <c r="B137" s="54"/>
      <c r="C137" s="24" t="s">
        <v>181</v>
      </c>
      <c r="D137" s="55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1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1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5">
        <f t="shared" si="21"/>
        <v>2</v>
      </c>
      <c r="AZ137" s="20"/>
      <c r="BA137" s="20"/>
    </row>
    <row r="138" spans="1:53" x14ac:dyDescent="0.3">
      <c r="A138" s="7"/>
      <c r="B138" s="54"/>
      <c r="C138" s="24" t="s">
        <v>182</v>
      </c>
      <c r="D138" s="55"/>
      <c r="E138" s="6">
        <v>0</v>
      </c>
      <c r="F138" s="6">
        <v>0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1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2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5">
        <f t="shared" si="21"/>
        <v>5</v>
      </c>
      <c r="AZ138" s="20"/>
      <c r="BA138" s="20"/>
    </row>
    <row r="139" spans="1:53" x14ac:dyDescent="0.3">
      <c r="A139" s="6" t="s">
        <v>26</v>
      </c>
      <c r="B139" s="69" t="s">
        <v>51</v>
      </c>
      <c r="C139" s="70"/>
      <c r="D139" s="71"/>
      <c r="E139" s="5">
        <f>SUM(E129:E138)</f>
        <v>1</v>
      </c>
      <c r="F139" s="5">
        <f t="shared" ref="F139:AY139" si="26">SUM(F129:F138)</f>
        <v>1</v>
      </c>
      <c r="G139" s="5">
        <f t="shared" si="26"/>
        <v>2</v>
      </c>
      <c r="H139" s="5">
        <f t="shared" si="26"/>
        <v>1</v>
      </c>
      <c r="I139" s="5">
        <f t="shared" si="26"/>
        <v>1</v>
      </c>
      <c r="J139" s="5">
        <f t="shared" si="26"/>
        <v>3</v>
      </c>
      <c r="K139" s="5">
        <f t="shared" si="26"/>
        <v>3</v>
      </c>
      <c r="L139" s="5">
        <f t="shared" si="26"/>
        <v>1</v>
      </c>
      <c r="M139" s="5">
        <f t="shared" si="26"/>
        <v>7</v>
      </c>
      <c r="N139" s="5">
        <f t="shared" si="26"/>
        <v>2</v>
      </c>
      <c r="O139" s="5">
        <f t="shared" si="26"/>
        <v>0</v>
      </c>
      <c r="P139" s="5">
        <f t="shared" si="26"/>
        <v>0</v>
      </c>
      <c r="Q139" s="5">
        <f t="shared" si="26"/>
        <v>5</v>
      </c>
      <c r="R139" s="5">
        <f t="shared" si="26"/>
        <v>6</v>
      </c>
      <c r="S139" s="5">
        <f t="shared" si="26"/>
        <v>10</v>
      </c>
      <c r="T139" s="5">
        <f t="shared" si="26"/>
        <v>0</v>
      </c>
      <c r="U139" s="5">
        <f t="shared" si="26"/>
        <v>1</v>
      </c>
      <c r="V139" s="5">
        <f t="shared" si="26"/>
        <v>0</v>
      </c>
      <c r="W139" s="5">
        <f t="shared" si="26"/>
        <v>12</v>
      </c>
      <c r="X139" s="5">
        <f t="shared" si="26"/>
        <v>3</v>
      </c>
      <c r="Y139" s="5">
        <f t="shared" si="26"/>
        <v>8</v>
      </c>
      <c r="Z139" s="5">
        <f t="shared" si="26"/>
        <v>5</v>
      </c>
      <c r="AA139" s="5">
        <f t="shared" si="26"/>
        <v>1</v>
      </c>
      <c r="AB139" s="5">
        <f t="shared" si="26"/>
        <v>0</v>
      </c>
      <c r="AC139" s="5">
        <f t="shared" si="26"/>
        <v>3</v>
      </c>
      <c r="AD139" s="5">
        <f t="shared" si="26"/>
        <v>0</v>
      </c>
      <c r="AE139" s="5">
        <f t="shared" si="26"/>
        <v>5</v>
      </c>
      <c r="AF139" s="5">
        <f t="shared" si="26"/>
        <v>5</v>
      </c>
      <c r="AG139" s="5">
        <f t="shared" si="26"/>
        <v>1</v>
      </c>
      <c r="AH139" s="5">
        <f t="shared" si="26"/>
        <v>1</v>
      </c>
      <c r="AI139" s="5">
        <f t="shared" si="26"/>
        <v>1</v>
      </c>
      <c r="AJ139" s="5">
        <f t="shared" si="26"/>
        <v>2</v>
      </c>
      <c r="AK139" s="5">
        <f t="shared" si="26"/>
        <v>6</v>
      </c>
      <c r="AL139" s="5">
        <f t="shared" si="26"/>
        <v>1</v>
      </c>
      <c r="AM139" s="5">
        <f t="shared" si="26"/>
        <v>2</v>
      </c>
      <c r="AN139" s="5">
        <f t="shared" si="26"/>
        <v>0</v>
      </c>
      <c r="AO139" s="5">
        <f t="shared" si="26"/>
        <v>1</v>
      </c>
      <c r="AP139" s="5">
        <f t="shared" si="26"/>
        <v>3</v>
      </c>
      <c r="AQ139" s="5">
        <f t="shared" si="26"/>
        <v>1</v>
      </c>
      <c r="AR139" s="5">
        <f t="shared" si="26"/>
        <v>4</v>
      </c>
      <c r="AS139" s="5">
        <f t="shared" si="26"/>
        <v>8</v>
      </c>
      <c r="AT139" s="5">
        <f t="shared" si="26"/>
        <v>0</v>
      </c>
      <c r="AU139" s="5">
        <f t="shared" si="26"/>
        <v>7</v>
      </c>
      <c r="AV139" s="5">
        <f t="shared" si="26"/>
        <v>0</v>
      </c>
      <c r="AW139" s="5">
        <f t="shared" si="26"/>
        <v>0</v>
      </c>
      <c r="AX139" s="5">
        <f t="shared" si="26"/>
        <v>1</v>
      </c>
      <c r="AY139" s="5">
        <f t="shared" si="26"/>
        <v>125</v>
      </c>
      <c r="AZ139" s="20"/>
      <c r="BA139" s="20"/>
    </row>
    <row r="140" spans="1:53" x14ac:dyDescent="0.3">
      <c r="A140" s="77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9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5">
        <f t="shared" si="21"/>
        <v>0</v>
      </c>
      <c r="AZ140" s="20"/>
      <c r="BA140" s="20"/>
    </row>
    <row r="141" spans="1:53" ht="13.15" customHeight="1" x14ac:dyDescent="0.3">
      <c r="A141" s="11" t="s">
        <v>48</v>
      </c>
      <c r="B141" s="17" t="s">
        <v>63</v>
      </c>
      <c r="C141" s="75" t="s">
        <v>64</v>
      </c>
      <c r="D141" s="76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2</v>
      </c>
      <c r="AH141" s="6">
        <v>0</v>
      </c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5">
        <f>SUM(E141:AX141)</f>
        <v>3</v>
      </c>
      <c r="AZ141" s="1"/>
      <c r="BA141" s="1"/>
    </row>
    <row r="142" spans="1:53" x14ac:dyDescent="0.3">
      <c r="A142" s="11" t="s">
        <v>50</v>
      </c>
      <c r="B142" s="54"/>
      <c r="C142" s="24" t="s">
        <v>183</v>
      </c>
      <c r="D142" s="51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1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5">
        <f t="shared" si="21"/>
        <v>1</v>
      </c>
      <c r="AZ142" s="28"/>
      <c r="BA142" s="28"/>
    </row>
    <row r="143" spans="1:53" x14ac:dyDescent="0.3">
      <c r="A143" s="7"/>
      <c r="B143" s="54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1</v>
      </c>
      <c r="AH143" s="6">
        <v>0</v>
      </c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>
        <v>1</v>
      </c>
      <c r="AY143" s="5">
        <f t="shared" ref="AY143:AY206" si="27">SUM(E143:AX143)</f>
        <v>2</v>
      </c>
      <c r="AZ143" s="20"/>
      <c r="BA143" s="20"/>
    </row>
    <row r="144" spans="1:53" x14ac:dyDescent="0.3">
      <c r="A144" s="7"/>
      <c r="B144" s="54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1</v>
      </c>
      <c r="AH144" s="6">
        <v>0</v>
      </c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5">
        <f t="shared" si="27"/>
        <v>1</v>
      </c>
      <c r="AZ144" s="20"/>
      <c r="BA144" s="20"/>
    </row>
    <row r="145" spans="1:53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5">
        <f t="shared" si="27"/>
        <v>0</v>
      </c>
      <c r="AZ145" s="20"/>
      <c r="BA145" s="20"/>
    </row>
    <row r="146" spans="1:53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5">
        <f t="shared" si="27"/>
        <v>0</v>
      </c>
      <c r="AZ146" s="20"/>
      <c r="BA146" s="20"/>
    </row>
    <row r="147" spans="1:53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5">
        <f t="shared" si="27"/>
        <v>0</v>
      </c>
      <c r="AZ147" s="20"/>
      <c r="BA147" s="20"/>
    </row>
    <row r="148" spans="1:53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5">
        <f t="shared" si="27"/>
        <v>0</v>
      </c>
      <c r="AZ148" s="20"/>
      <c r="BA148" s="20"/>
    </row>
    <row r="149" spans="1:53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5">
        <f t="shared" si="27"/>
        <v>0</v>
      </c>
      <c r="AZ149" s="20"/>
      <c r="BA149" s="20"/>
    </row>
    <row r="150" spans="1:53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5">
        <f t="shared" si="27"/>
        <v>0</v>
      </c>
      <c r="AZ150" s="20"/>
      <c r="BA150" s="20"/>
    </row>
    <row r="151" spans="1:53" ht="13.15" customHeight="1" x14ac:dyDescent="0.3">
      <c r="A151" s="6" t="s">
        <v>26</v>
      </c>
      <c r="B151" s="69" t="s">
        <v>51</v>
      </c>
      <c r="C151" s="70"/>
      <c r="D151" s="71"/>
      <c r="E151" s="5">
        <f>SUM(E141:E150)</f>
        <v>0</v>
      </c>
      <c r="F151" s="5">
        <f t="shared" ref="F151:AX151" si="28">SUM(F141:F150)</f>
        <v>0</v>
      </c>
      <c r="G151" s="5">
        <f t="shared" si="28"/>
        <v>0</v>
      </c>
      <c r="H151" s="5">
        <f t="shared" si="28"/>
        <v>0</v>
      </c>
      <c r="I151" s="5">
        <f t="shared" si="28"/>
        <v>0</v>
      </c>
      <c r="J151" s="5">
        <f t="shared" si="28"/>
        <v>0</v>
      </c>
      <c r="K151" s="5">
        <f t="shared" si="28"/>
        <v>0</v>
      </c>
      <c r="L151" s="5">
        <f t="shared" si="28"/>
        <v>1</v>
      </c>
      <c r="M151" s="5">
        <f t="shared" si="28"/>
        <v>1</v>
      </c>
      <c r="N151" s="5">
        <f t="shared" si="28"/>
        <v>0</v>
      </c>
      <c r="O151" s="5">
        <f t="shared" si="28"/>
        <v>0</v>
      </c>
      <c r="P151" s="5">
        <f t="shared" si="28"/>
        <v>0</v>
      </c>
      <c r="Q151" s="5">
        <f t="shared" si="28"/>
        <v>0</v>
      </c>
      <c r="R151" s="5">
        <f t="shared" si="28"/>
        <v>0</v>
      </c>
      <c r="S151" s="5">
        <f t="shared" si="28"/>
        <v>0</v>
      </c>
      <c r="T151" s="5">
        <f t="shared" si="28"/>
        <v>0</v>
      </c>
      <c r="U151" s="5">
        <f t="shared" si="28"/>
        <v>0</v>
      </c>
      <c r="V151" s="5">
        <f t="shared" si="28"/>
        <v>0</v>
      </c>
      <c r="W151" s="5">
        <f t="shared" si="28"/>
        <v>0</v>
      </c>
      <c r="X151" s="5">
        <f t="shared" si="28"/>
        <v>0</v>
      </c>
      <c r="Y151" s="5">
        <f t="shared" si="28"/>
        <v>0</v>
      </c>
      <c r="Z151" s="5">
        <f t="shared" si="28"/>
        <v>0</v>
      </c>
      <c r="AA151" s="5">
        <f t="shared" si="28"/>
        <v>0</v>
      </c>
      <c r="AB151" s="5">
        <f t="shared" si="28"/>
        <v>0</v>
      </c>
      <c r="AC151" s="5">
        <f t="shared" si="28"/>
        <v>0</v>
      </c>
      <c r="AD151" s="5">
        <f t="shared" si="28"/>
        <v>0</v>
      </c>
      <c r="AE151" s="5">
        <f t="shared" si="28"/>
        <v>0</v>
      </c>
      <c r="AF151" s="5">
        <f t="shared" si="28"/>
        <v>0</v>
      </c>
      <c r="AG151" s="5">
        <f t="shared" si="28"/>
        <v>4</v>
      </c>
      <c r="AH151" s="5">
        <f t="shared" si="28"/>
        <v>0</v>
      </c>
      <c r="AI151" s="5">
        <f t="shared" si="28"/>
        <v>0</v>
      </c>
      <c r="AJ151" s="5">
        <f t="shared" si="28"/>
        <v>0</v>
      </c>
      <c r="AK151" s="5">
        <f t="shared" si="28"/>
        <v>0</v>
      </c>
      <c r="AL151" s="5">
        <f t="shared" si="28"/>
        <v>0</v>
      </c>
      <c r="AM151" s="5">
        <f t="shared" si="28"/>
        <v>0</v>
      </c>
      <c r="AN151" s="5">
        <f t="shared" si="28"/>
        <v>0</v>
      </c>
      <c r="AO151" s="5">
        <f t="shared" si="28"/>
        <v>0</v>
      </c>
      <c r="AP151" s="5">
        <f t="shared" si="28"/>
        <v>0</v>
      </c>
      <c r="AQ151" s="5">
        <f t="shared" si="28"/>
        <v>0</v>
      </c>
      <c r="AR151" s="5">
        <f t="shared" si="28"/>
        <v>0</v>
      </c>
      <c r="AS151" s="5">
        <f t="shared" si="28"/>
        <v>0</v>
      </c>
      <c r="AT151" s="5">
        <f t="shared" si="28"/>
        <v>0</v>
      </c>
      <c r="AU151" s="5">
        <f t="shared" si="28"/>
        <v>0</v>
      </c>
      <c r="AV151" s="5">
        <f t="shared" si="28"/>
        <v>0</v>
      </c>
      <c r="AW151" s="5">
        <f t="shared" si="28"/>
        <v>0</v>
      </c>
      <c r="AX151" s="5">
        <f t="shared" si="28"/>
        <v>1</v>
      </c>
      <c r="AY151" s="5">
        <f>SUM(AY141:AY150)</f>
        <v>7</v>
      </c>
      <c r="AZ151" s="1"/>
      <c r="BA151" s="1"/>
    </row>
    <row r="152" spans="1:53" x14ac:dyDescent="0.3">
      <c r="A152" s="77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9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5">
        <f t="shared" si="27"/>
        <v>0</v>
      </c>
      <c r="AZ152" s="28"/>
      <c r="BA152" s="28"/>
    </row>
    <row r="153" spans="1:53" x14ac:dyDescent="0.3">
      <c r="A153" s="11" t="s">
        <v>48</v>
      </c>
      <c r="B153" s="45" t="s">
        <v>65</v>
      </c>
      <c r="C153" s="83" t="s">
        <v>66</v>
      </c>
      <c r="D153" s="84"/>
      <c r="E153" s="6">
        <v>0</v>
      </c>
      <c r="F153" s="6">
        <v>1</v>
      </c>
      <c r="G153" s="6">
        <v>0</v>
      </c>
      <c r="H153" s="6">
        <v>0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1</v>
      </c>
      <c r="U153" s="6">
        <v>0</v>
      </c>
      <c r="V153" s="6">
        <v>1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5">
        <f>SUM(E153:AX153)</f>
        <v>5</v>
      </c>
      <c r="AZ153" s="20"/>
      <c r="BA153" s="20"/>
    </row>
    <row r="154" spans="1:53" x14ac:dyDescent="0.3">
      <c r="A154" s="56" t="s">
        <v>50</v>
      </c>
      <c r="B154" s="58"/>
      <c r="C154" s="24" t="s">
        <v>186</v>
      </c>
      <c r="D154" s="59"/>
      <c r="E154" s="57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2</v>
      </c>
      <c r="N154" s="6">
        <v>0</v>
      </c>
      <c r="O154" s="6">
        <v>0</v>
      </c>
      <c r="P154" s="6">
        <v>0</v>
      </c>
      <c r="Q154" s="6">
        <v>1</v>
      </c>
      <c r="R154" s="6">
        <v>0</v>
      </c>
      <c r="S154" s="6">
        <v>0</v>
      </c>
      <c r="T154" s="6">
        <v>1</v>
      </c>
      <c r="U154" s="6">
        <v>0</v>
      </c>
      <c r="V154" s="6">
        <v>0</v>
      </c>
      <c r="W154" s="57">
        <v>2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1</v>
      </c>
      <c r="AE154" s="6">
        <v>0</v>
      </c>
      <c r="AF154" s="6">
        <v>0</v>
      </c>
      <c r="AG154" s="6">
        <v>0</v>
      </c>
      <c r="AH154" s="6">
        <v>0</v>
      </c>
      <c r="AI154" s="6">
        <v>2</v>
      </c>
      <c r="AJ154" s="6">
        <v>0</v>
      </c>
      <c r="AK154" s="6">
        <v>1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1</v>
      </c>
      <c r="AT154" s="6">
        <v>1</v>
      </c>
      <c r="AU154" s="6">
        <v>1</v>
      </c>
      <c r="AV154" s="6">
        <v>0</v>
      </c>
      <c r="AW154" s="6">
        <v>0</v>
      </c>
      <c r="AX154" s="6">
        <v>1</v>
      </c>
      <c r="AY154" s="5">
        <f t="shared" si="27"/>
        <v>14</v>
      </c>
      <c r="AZ154" s="20"/>
      <c r="BA154" s="20"/>
    </row>
    <row r="155" spans="1:53" x14ac:dyDescent="0.3">
      <c r="A155" s="7"/>
      <c r="B155" s="58"/>
      <c r="C155" s="24" t="s">
        <v>187</v>
      </c>
      <c r="D155" s="59"/>
      <c r="E155" s="57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57">
        <v>0</v>
      </c>
      <c r="X155" s="6">
        <v>0</v>
      </c>
      <c r="Y155" s="6">
        <v>0</v>
      </c>
      <c r="Z155" s="6">
        <v>1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1</v>
      </c>
      <c r="AJ155" s="6">
        <v>0</v>
      </c>
      <c r="AK155" s="6">
        <v>1</v>
      </c>
      <c r="AL155" s="6">
        <v>1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5">
        <f t="shared" si="27"/>
        <v>4</v>
      </c>
      <c r="AZ155" s="20"/>
      <c r="BA155" s="20"/>
    </row>
    <row r="156" spans="1:53" x14ac:dyDescent="0.3">
      <c r="A156" s="7"/>
      <c r="B156" s="58"/>
      <c r="C156" s="24" t="s">
        <v>188</v>
      </c>
      <c r="D156" s="59"/>
      <c r="E156" s="57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57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1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1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5">
        <f t="shared" si="27"/>
        <v>4</v>
      </c>
      <c r="AZ156" s="20"/>
      <c r="BA156" s="20"/>
    </row>
    <row r="157" spans="1:53" x14ac:dyDescent="0.3">
      <c r="A157" s="7"/>
      <c r="B157" s="58"/>
      <c r="C157" s="24" t="s">
        <v>189</v>
      </c>
      <c r="D157" s="59"/>
      <c r="E157" s="57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57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1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1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5">
        <f t="shared" si="27"/>
        <v>2</v>
      </c>
      <c r="AZ157" s="20"/>
      <c r="BA157" s="20"/>
    </row>
    <row r="158" spans="1:53" x14ac:dyDescent="0.3">
      <c r="A158" s="7"/>
      <c r="B158" s="58"/>
      <c r="C158" s="24" t="s">
        <v>190</v>
      </c>
      <c r="D158" s="59"/>
      <c r="E158" s="57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57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1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1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5">
        <f t="shared" si="27"/>
        <v>2</v>
      </c>
      <c r="AZ158" s="20"/>
      <c r="BA158" s="20"/>
    </row>
    <row r="159" spans="1:53" x14ac:dyDescent="0.3">
      <c r="A159" s="7"/>
      <c r="B159" s="58"/>
      <c r="C159" s="24" t="s">
        <v>191</v>
      </c>
      <c r="D159" s="59"/>
      <c r="E159" s="57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1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57">
        <v>0</v>
      </c>
      <c r="X159" s="6">
        <v>1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1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5">
        <f t="shared" si="27"/>
        <v>3</v>
      </c>
      <c r="AZ159" s="20"/>
      <c r="BA159" s="20"/>
    </row>
    <row r="160" spans="1:53" x14ac:dyDescent="0.3">
      <c r="A160" s="7"/>
      <c r="B160" s="58"/>
      <c r="C160" s="24" t="s">
        <v>192</v>
      </c>
      <c r="D160" s="59"/>
      <c r="E160" s="57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57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1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5">
        <f t="shared" si="27"/>
        <v>2</v>
      </c>
      <c r="AZ160" s="20"/>
      <c r="BA160" s="20"/>
    </row>
    <row r="161" spans="1:53" x14ac:dyDescent="0.3">
      <c r="A161" s="7"/>
      <c r="B161" s="63"/>
      <c r="C161" s="64"/>
      <c r="D161" s="65"/>
      <c r="E161" s="5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57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5">
        <f t="shared" si="27"/>
        <v>0</v>
      </c>
      <c r="AZ161" s="20"/>
      <c r="BA161" s="20"/>
    </row>
    <row r="162" spans="1:53" x14ac:dyDescent="0.3">
      <c r="A162" s="7"/>
      <c r="B162" s="63"/>
      <c r="C162" s="64"/>
      <c r="D162" s="65"/>
      <c r="E162" s="5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57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5">
        <f t="shared" si="27"/>
        <v>0</v>
      </c>
      <c r="AZ162" s="20"/>
      <c r="BA162" s="20"/>
    </row>
    <row r="163" spans="1:53" x14ac:dyDescent="0.3">
      <c r="A163" s="6" t="s">
        <v>26</v>
      </c>
      <c r="B163" s="80" t="s">
        <v>51</v>
      </c>
      <c r="C163" s="81"/>
      <c r="D163" s="82"/>
      <c r="E163" s="5">
        <f>SUM(E153:E162)</f>
        <v>0</v>
      </c>
      <c r="F163" s="5">
        <f t="shared" ref="F163:AY163" si="29">SUM(F153:F162)</f>
        <v>1</v>
      </c>
      <c r="G163" s="5">
        <f t="shared" si="29"/>
        <v>0</v>
      </c>
      <c r="H163" s="5">
        <f t="shared" si="29"/>
        <v>0</v>
      </c>
      <c r="I163" s="5">
        <f t="shared" si="29"/>
        <v>1</v>
      </c>
      <c r="J163" s="5">
        <f t="shared" si="29"/>
        <v>0</v>
      </c>
      <c r="K163" s="5">
        <f t="shared" si="29"/>
        <v>1</v>
      </c>
      <c r="L163" s="5">
        <f t="shared" si="29"/>
        <v>0</v>
      </c>
      <c r="M163" s="5">
        <f t="shared" si="29"/>
        <v>2</v>
      </c>
      <c r="N163" s="5">
        <f t="shared" si="29"/>
        <v>1</v>
      </c>
      <c r="O163" s="5">
        <f t="shared" si="29"/>
        <v>0</v>
      </c>
      <c r="P163" s="5">
        <f t="shared" si="29"/>
        <v>0</v>
      </c>
      <c r="Q163" s="5">
        <f t="shared" si="29"/>
        <v>2</v>
      </c>
      <c r="R163" s="5">
        <f t="shared" si="29"/>
        <v>0</v>
      </c>
      <c r="S163" s="5">
        <f t="shared" si="29"/>
        <v>0</v>
      </c>
      <c r="T163" s="5">
        <f t="shared" si="29"/>
        <v>2</v>
      </c>
      <c r="U163" s="5">
        <f t="shared" si="29"/>
        <v>0</v>
      </c>
      <c r="V163" s="5">
        <f t="shared" si="29"/>
        <v>1</v>
      </c>
      <c r="W163" s="5">
        <f t="shared" si="29"/>
        <v>2</v>
      </c>
      <c r="X163" s="5">
        <f t="shared" si="29"/>
        <v>1</v>
      </c>
      <c r="Y163" s="5">
        <f t="shared" si="29"/>
        <v>0</v>
      </c>
      <c r="Z163" s="5">
        <f t="shared" si="29"/>
        <v>1</v>
      </c>
      <c r="AA163" s="5">
        <f t="shared" si="29"/>
        <v>0</v>
      </c>
      <c r="AB163" s="5">
        <f t="shared" si="29"/>
        <v>0</v>
      </c>
      <c r="AC163" s="5">
        <f t="shared" si="29"/>
        <v>1</v>
      </c>
      <c r="AD163" s="5">
        <f t="shared" si="29"/>
        <v>3</v>
      </c>
      <c r="AE163" s="5">
        <f t="shared" si="29"/>
        <v>0</v>
      </c>
      <c r="AF163" s="5">
        <f t="shared" si="29"/>
        <v>0</v>
      </c>
      <c r="AG163" s="5">
        <f t="shared" si="29"/>
        <v>0</v>
      </c>
      <c r="AH163" s="5">
        <f t="shared" si="29"/>
        <v>0</v>
      </c>
      <c r="AI163" s="5">
        <f t="shared" si="29"/>
        <v>5</v>
      </c>
      <c r="AJ163" s="5">
        <f t="shared" si="29"/>
        <v>0</v>
      </c>
      <c r="AK163" s="5">
        <f t="shared" si="29"/>
        <v>4</v>
      </c>
      <c r="AL163" s="5">
        <f t="shared" si="29"/>
        <v>1</v>
      </c>
      <c r="AM163" s="5">
        <f t="shared" si="29"/>
        <v>0</v>
      </c>
      <c r="AN163" s="5">
        <f t="shared" si="29"/>
        <v>0</v>
      </c>
      <c r="AO163" s="5">
        <f t="shared" si="29"/>
        <v>0</v>
      </c>
      <c r="AP163" s="5">
        <f t="shared" si="29"/>
        <v>2</v>
      </c>
      <c r="AQ163" s="5">
        <f t="shared" si="29"/>
        <v>1</v>
      </c>
      <c r="AR163" s="5">
        <f t="shared" si="29"/>
        <v>0</v>
      </c>
      <c r="AS163" s="5">
        <f t="shared" si="29"/>
        <v>1</v>
      </c>
      <c r="AT163" s="5">
        <f t="shared" si="29"/>
        <v>1</v>
      </c>
      <c r="AU163" s="5">
        <f t="shared" si="29"/>
        <v>1</v>
      </c>
      <c r="AV163" s="5">
        <f t="shared" si="29"/>
        <v>0</v>
      </c>
      <c r="AW163" s="5">
        <f t="shared" si="29"/>
        <v>0</v>
      </c>
      <c r="AX163" s="5">
        <f t="shared" si="29"/>
        <v>1</v>
      </c>
      <c r="AY163" s="5">
        <f t="shared" si="29"/>
        <v>36</v>
      </c>
      <c r="AZ163" s="20"/>
      <c r="BA163" s="20"/>
    </row>
    <row r="164" spans="1:53" x14ac:dyDescent="0.3">
      <c r="A164" s="77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9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5">
        <f t="shared" si="27"/>
        <v>0</v>
      </c>
      <c r="AZ164" s="20"/>
      <c r="BA164" s="20"/>
    </row>
    <row r="165" spans="1:53" ht="13.15" customHeight="1" x14ac:dyDescent="0.3">
      <c r="A165" s="11" t="s">
        <v>48</v>
      </c>
      <c r="B165" s="17" t="s">
        <v>67</v>
      </c>
      <c r="C165" s="75" t="s">
        <v>68</v>
      </c>
      <c r="D165" s="76"/>
      <c r="E165" s="6">
        <v>0</v>
      </c>
      <c r="F165" s="6">
        <v>1</v>
      </c>
      <c r="G165" s="6">
        <v>1</v>
      </c>
      <c r="H165" s="6">
        <v>0</v>
      </c>
      <c r="I165" s="6">
        <v>1</v>
      </c>
      <c r="J165" s="6">
        <v>1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1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1</v>
      </c>
      <c r="AF165" s="6">
        <v>2</v>
      </c>
      <c r="AG165" s="6">
        <v>0</v>
      </c>
      <c r="AH165" s="6">
        <v>0</v>
      </c>
      <c r="AI165" s="6">
        <v>3</v>
      </c>
      <c r="AJ165" s="6">
        <v>0</v>
      </c>
      <c r="AK165" s="6">
        <v>1</v>
      </c>
      <c r="AL165" s="6">
        <v>1</v>
      </c>
      <c r="AM165" s="6">
        <v>0</v>
      </c>
      <c r="AN165" s="6">
        <v>1</v>
      </c>
      <c r="AO165" s="6">
        <v>0</v>
      </c>
      <c r="AP165" s="6">
        <v>1</v>
      </c>
      <c r="AQ165" s="6">
        <v>0</v>
      </c>
      <c r="AR165" s="6">
        <v>1</v>
      </c>
      <c r="AS165" s="6">
        <v>0</v>
      </c>
      <c r="AT165" s="6">
        <v>0</v>
      </c>
      <c r="AU165" s="6">
        <v>0</v>
      </c>
      <c r="AV165" s="6">
        <v>0</v>
      </c>
      <c r="AW165" s="6">
        <v>1</v>
      </c>
      <c r="AX165" s="6">
        <v>2</v>
      </c>
      <c r="AY165" s="5">
        <f>SUM(E165:AX165)</f>
        <v>20</v>
      </c>
      <c r="AZ165" s="1"/>
      <c r="BA165" s="1"/>
    </row>
    <row r="166" spans="1:53" x14ac:dyDescent="0.3">
      <c r="A166" s="11" t="s">
        <v>50</v>
      </c>
      <c r="B166" s="54"/>
      <c r="C166" s="24" t="s">
        <v>193</v>
      </c>
      <c r="D166" s="51"/>
      <c r="E166" s="6">
        <v>0</v>
      </c>
      <c r="F166" s="6">
        <v>2</v>
      </c>
      <c r="G166" s="6">
        <v>3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0</v>
      </c>
      <c r="R166" s="6">
        <v>0</v>
      </c>
      <c r="S166" s="6">
        <v>1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1</v>
      </c>
      <c r="Z166" s="6">
        <v>0</v>
      </c>
      <c r="AA166" s="6">
        <v>1</v>
      </c>
      <c r="AB166" s="6">
        <v>0</v>
      </c>
      <c r="AC166" s="6">
        <v>0</v>
      </c>
      <c r="AD166" s="6">
        <v>0</v>
      </c>
      <c r="AE166" s="6">
        <v>1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6">
        <v>0</v>
      </c>
      <c r="AO166" s="6">
        <v>1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1</v>
      </c>
      <c r="AW166" s="6">
        <v>0</v>
      </c>
      <c r="AX166" s="6">
        <v>1</v>
      </c>
      <c r="AY166" s="5">
        <f t="shared" si="27"/>
        <v>17</v>
      </c>
      <c r="AZ166" s="28"/>
      <c r="BA166" s="28"/>
    </row>
    <row r="167" spans="1:53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5">
        <f t="shared" si="27"/>
        <v>0</v>
      </c>
      <c r="AZ167" s="20"/>
      <c r="BA167" s="20"/>
    </row>
    <row r="168" spans="1:53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5">
        <f t="shared" si="27"/>
        <v>0</v>
      </c>
      <c r="AZ168" s="20"/>
      <c r="BA168" s="20"/>
    </row>
    <row r="169" spans="1:53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5">
        <f t="shared" si="27"/>
        <v>0</v>
      </c>
      <c r="AZ169" s="20"/>
      <c r="BA169" s="20"/>
    </row>
    <row r="170" spans="1:53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5">
        <f t="shared" si="27"/>
        <v>0</v>
      </c>
      <c r="AZ170" s="20"/>
      <c r="BA170" s="20"/>
    </row>
    <row r="171" spans="1:53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5">
        <f t="shared" si="27"/>
        <v>0</v>
      </c>
      <c r="AZ171" s="20"/>
      <c r="BA171" s="20"/>
    </row>
    <row r="172" spans="1:53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5">
        <f t="shared" si="27"/>
        <v>0</v>
      </c>
      <c r="AZ172" s="20"/>
      <c r="BA172" s="20"/>
    </row>
    <row r="173" spans="1:53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5">
        <f t="shared" si="27"/>
        <v>0</v>
      </c>
      <c r="AZ173" s="20"/>
      <c r="BA173" s="20"/>
    </row>
    <row r="174" spans="1:53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5">
        <f t="shared" si="27"/>
        <v>0</v>
      </c>
      <c r="AZ174" s="20"/>
      <c r="BA174" s="20"/>
    </row>
    <row r="175" spans="1:53" x14ac:dyDescent="0.3">
      <c r="A175" s="6" t="s">
        <v>26</v>
      </c>
      <c r="B175" s="69" t="s">
        <v>51</v>
      </c>
      <c r="C175" s="70"/>
      <c r="D175" s="71"/>
      <c r="E175" s="5">
        <f>SUM(E165:E174)</f>
        <v>0</v>
      </c>
      <c r="F175" s="5">
        <f t="shared" ref="F175:AY175" si="30">SUM(F165:F174)</f>
        <v>3</v>
      </c>
      <c r="G175" s="5">
        <f t="shared" si="30"/>
        <v>4</v>
      </c>
      <c r="H175" s="5">
        <f t="shared" si="30"/>
        <v>0</v>
      </c>
      <c r="I175" s="5">
        <f t="shared" si="30"/>
        <v>1</v>
      </c>
      <c r="J175" s="5">
        <f t="shared" si="30"/>
        <v>1</v>
      </c>
      <c r="K175" s="5">
        <f t="shared" si="30"/>
        <v>1</v>
      </c>
      <c r="L175" s="5">
        <f t="shared" si="30"/>
        <v>1</v>
      </c>
      <c r="M175" s="5">
        <f t="shared" si="30"/>
        <v>0</v>
      </c>
      <c r="N175" s="5">
        <f t="shared" si="30"/>
        <v>0</v>
      </c>
      <c r="O175" s="5">
        <f t="shared" si="30"/>
        <v>0</v>
      </c>
      <c r="P175" s="5">
        <f t="shared" si="30"/>
        <v>1</v>
      </c>
      <c r="Q175" s="5">
        <f t="shared" si="30"/>
        <v>0</v>
      </c>
      <c r="R175" s="5">
        <f t="shared" si="30"/>
        <v>0</v>
      </c>
      <c r="S175" s="5">
        <f t="shared" si="30"/>
        <v>1</v>
      </c>
      <c r="T175" s="5">
        <f t="shared" si="30"/>
        <v>1</v>
      </c>
      <c r="U175" s="5">
        <f t="shared" si="30"/>
        <v>0</v>
      </c>
      <c r="V175" s="5">
        <f t="shared" si="30"/>
        <v>0</v>
      </c>
      <c r="W175" s="5">
        <f t="shared" si="30"/>
        <v>0</v>
      </c>
      <c r="X175" s="5">
        <f t="shared" si="30"/>
        <v>0</v>
      </c>
      <c r="Y175" s="5">
        <f t="shared" si="30"/>
        <v>1</v>
      </c>
      <c r="Z175" s="5">
        <f t="shared" si="30"/>
        <v>0</v>
      </c>
      <c r="AA175" s="5">
        <f t="shared" si="30"/>
        <v>1</v>
      </c>
      <c r="AB175" s="5">
        <f t="shared" si="30"/>
        <v>0</v>
      </c>
      <c r="AC175" s="5">
        <f t="shared" si="30"/>
        <v>0</v>
      </c>
      <c r="AD175" s="5">
        <f t="shared" si="30"/>
        <v>0</v>
      </c>
      <c r="AE175" s="5">
        <f t="shared" si="30"/>
        <v>2</v>
      </c>
      <c r="AF175" s="5">
        <f t="shared" si="30"/>
        <v>3</v>
      </c>
      <c r="AG175" s="5">
        <f t="shared" si="30"/>
        <v>0</v>
      </c>
      <c r="AH175" s="5">
        <f t="shared" si="30"/>
        <v>0</v>
      </c>
      <c r="AI175" s="5">
        <f t="shared" si="30"/>
        <v>3</v>
      </c>
      <c r="AJ175" s="5">
        <f t="shared" si="30"/>
        <v>0</v>
      </c>
      <c r="AK175" s="5">
        <f t="shared" si="30"/>
        <v>3</v>
      </c>
      <c r="AL175" s="5">
        <f t="shared" si="30"/>
        <v>1</v>
      </c>
      <c r="AM175" s="5">
        <f t="shared" si="30"/>
        <v>0</v>
      </c>
      <c r="AN175" s="5">
        <f t="shared" si="30"/>
        <v>1</v>
      </c>
      <c r="AO175" s="5">
        <f t="shared" si="30"/>
        <v>1</v>
      </c>
      <c r="AP175" s="5">
        <f t="shared" si="30"/>
        <v>1</v>
      </c>
      <c r="AQ175" s="5">
        <f t="shared" si="30"/>
        <v>0</v>
      </c>
      <c r="AR175" s="5">
        <f t="shared" si="30"/>
        <v>1</v>
      </c>
      <c r="AS175" s="5">
        <f t="shared" si="30"/>
        <v>0</v>
      </c>
      <c r="AT175" s="5">
        <f t="shared" si="30"/>
        <v>0</v>
      </c>
      <c r="AU175" s="5">
        <f t="shared" si="30"/>
        <v>0</v>
      </c>
      <c r="AV175" s="5">
        <f t="shared" si="30"/>
        <v>1</v>
      </c>
      <c r="AW175" s="5">
        <f t="shared" si="30"/>
        <v>1</v>
      </c>
      <c r="AX175" s="5">
        <f t="shared" si="30"/>
        <v>3</v>
      </c>
      <c r="AY175" s="5">
        <f t="shared" si="30"/>
        <v>37</v>
      </c>
      <c r="AZ175" s="20"/>
      <c r="BA175" s="20"/>
    </row>
    <row r="176" spans="1:53" ht="13.15" customHeight="1" x14ac:dyDescent="0.3">
      <c r="A176" s="77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9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5">
        <f t="shared" si="27"/>
        <v>0</v>
      </c>
      <c r="AZ176" s="1"/>
      <c r="BA176" s="1"/>
    </row>
    <row r="177" spans="1:53" x14ac:dyDescent="0.3">
      <c r="A177" s="11" t="s">
        <v>48</v>
      </c>
      <c r="B177" s="17" t="s">
        <v>69</v>
      </c>
      <c r="C177" s="75" t="s">
        <v>70</v>
      </c>
      <c r="D177" s="76"/>
      <c r="E177" s="6">
        <v>0</v>
      </c>
      <c r="F177" s="6">
        <v>0</v>
      </c>
      <c r="G177" s="6">
        <v>7</v>
      </c>
      <c r="H177" s="6">
        <v>8</v>
      </c>
      <c r="I177" s="6">
        <v>3</v>
      </c>
      <c r="J177" s="6">
        <v>2</v>
      </c>
      <c r="K177" s="6">
        <v>2</v>
      </c>
      <c r="L177" s="6">
        <v>1</v>
      </c>
      <c r="M177" s="6">
        <v>3</v>
      </c>
      <c r="N177" s="6">
        <v>6</v>
      </c>
      <c r="O177" s="6">
        <v>3</v>
      </c>
      <c r="P177" s="6">
        <v>5</v>
      </c>
      <c r="Q177" s="6">
        <v>6</v>
      </c>
      <c r="R177" s="6">
        <v>2</v>
      </c>
      <c r="S177" s="6">
        <v>0</v>
      </c>
      <c r="T177" s="6">
        <v>3</v>
      </c>
      <c r="U177" s="6">
        <v>7</v>
      </c>
      <c r="V177" s="6">
        <v>0</v>
      </c>
      <c r="W177" s="6">
        <v>1</v>
      </c>
      <c r="X177" s="6">
        <v>1</v>
      </c>
      <c r="Y177" s="6">
        <v>0</v>
      </c>
      <c r="Z177" s="6">
        <v>1</v>
      </c>
      <c r="AA177" s="6">
        <v>2</v>
      </c>
      <c r="AB177" s="6">
        <v>0</v>
      </c>
      <c r="AC177" s="6">
        <v>0</v>
      </c>
      <c r="AD177" s="6">
        <v>0</v>
      </c>
      <c r="AE177" s="6">
        <v>1</v>
      </c>
      <c r="AF177" s="6">
        <v>0</v>
      </c>
      <c r="AG177" s="6">
        <v>0</v>
      </c>
      <c r="AH177" s="6">
        <v>2</v>
      </c>
      <c r="AI177" s="6">
        <v>0</v>
      </c>
      <c r="AJ177" s="6">
        <v>0</v>
      </c>
      <c r="AK177" s="6">
        <v>0</v>
      </c>
      <c r="AL177" s="6">
        <v>2</v>
      </c>
      <c r="AM177" s="6">
        <v>2</v>
      </c>
      <c r="AN177" s="6">
        <v>1</v>
      </c>
      <c r="AO177" s="6">
        <v>3</v>
      </c>
      <c r="AP177" s="6">
        <v>2</v>
      </c>
      <c r="AQ177" s="6">
        <v>3</v>
      </c>
      <c r="AR177" s="6">
        <v>1</v>
      </c>
      <c r="AS177" s="6">
        <v>1</v>
      </c>
      <c r="AT177" s="6">
        <v>1</v>
      </c>
      <c r="AU177" s="6">
        <v>1</v>
      </c>
      <c r="AV177" s="6">
        <v>0</v>
      </c>
      <c r="AW177" s="6">
        <v>1</v>
      </c>
      <c r="AX177" s="6">
        <v>1</v>
      </c>
      <c r="AY177" s="5">
        <f>SUM(E177:AX177)</f>
        <v>85</v>
      </c>
    </row>
    <row r="178" spans="1:53" x14ac:dyDescent="0.3">
      <c r="A178" s="11" t="s">
        <v>50</v>
      </c>
      <c r="B178" s="54"/>
      <c r="C178" s="24" t="s">
        <v>194</v>
      </c>
      <c r="D178" s="51"/>
      <c r="E178" s="6">
        <v>2</v>
      </c>
      <c r="F178" s="6">
        <v>0</v>
      </c>
      <c r="G178" s="6">
        <v>10</v>
      </c>
      <c r="H178" s="6">
        <v>6</v>
      </c>
      <c r="I178" s="6">
        <v>2</v>
      </c>
      <c r="J178" s="6">
        <v>4</v>
      </c>
      <c r="K178" s="6">
        <v>2</v>
      </c>
      <c r="L178" s="6">
        <v>5</v>
      </c>
      <c r="M178" s="6">
        <v>0</v>
      </c>
      <c r="N178" s="6">
        <v>2</v>
      </c>
      <c r="O178" s="6">
        <v>1</v>
      </c>
      <c r="P178" s="6">
        <v>1</v>
      </c>
      <c r="Q178" s="6">
        <v>6</v>
      </c>
      <c r="R178" s="6">
        <v>5</v>
      </c>
      <c r="S178" s="6">
        <v>1</v>
      </c>
      <c r="T178" s="6">
        <v>4</v>
      </c>
      <c r="U178" s="6">
        <v>3</v>
      </c>
      <c r="V178" s="6">
        <v>2</v>
      </c>
      <c r="W178" s="6">
        <v>4</v>
      </c>
      <c r="X178" s="6">
        <v>1</v>
      </c>
      <c r="Y178" s="6">
        <v>0</v>
      </c>
      <c r="Z178" s="6">
        <v>0</v>
      </c>
      <c r="AA178" s="6">
        <v>1</v>
      </c>
      <c r="AB178" s="6">
        <v>1</v>
      </c>
      <c r="AC178" s="6">
        <v>0</v>
      </c>
      <c r="AD178" s="6">
        <v>0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1</v>
      </c>
      <c r="AK178" s="6">
        <v>0</v>
      </c>
      <c r="AL178" s="6">
        <v>2</v>
      </c>
      <c r="AM178" s="6">
        <v>0</v>
      </c>
      <c r="AN178" s="6">
        <v>0</v>
      </c>
      <c r="AO178" s="6">
        <v>4</v>
      </c>
      <c r="AP178" s="6">
        <v>1</v>
      </c>
      <c r="AQ178" s="6">
        <v>0</v>
      </c>
      <c r="AR178" s="6">
        <v>1</v>
      </c>
      <c r="AS178" s="6">
        <v>1</v>
      </c>
      <c r="AT178" s="6">
        <v>0</v>
      </c>
      <c r="AU178" s="6">
        <v>1</v>
      </c>
      <c r="AV178" s="6">
        <v>0</v>
      </c>
      <c r="AW178" s="6">
        <v>0</v>
      </c>
      <c r="AX178" s="6">
        <v>0</v>
      </c>
      <c r="AY178" s="5">
        <f t="shared" si="27"/>
        <v>76</v>
      </c>
      <c r="AZ178" s="20"/>
      <c r="BA178" s="20"/>
    </row>
    <row r="179" spans="1:53" x14ac:dyDescent="0.3">
      <c r="A179" s="7"/>
      <c r="B179" s="54"/>
      <c r="C179" s="24" t="s">
        <v>195</v>
      </c>
      <c r="D179" s="51"/>
      <c r="E179" s="6">
        <v>0</v>
      </c>
      <c r="F179" s="6">
        <v>0</v>
      </c>
      <c r="G179" s="6">
        <v>1</v>
      </c>
      <c r="H179" s="6">
        <v>2</v>
      </c>
      <c r="I179" s="6">
        <v>1</v>
      </c>
      <c r="J179" s="6">
        <v>1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2</v>
      </c>
      <c r="R179" s="6">
        <v>2</v>
      </c>
      <c r="S179" s="6">
        <v>0</v>
      </c>
      <c r="T179" s="6">
        <v>1</v>
      </c>
      <c r="U179" s="6">
        <v>0</v>
      </c>
      <c r="V179" s="6">
        <v>0</v>
      </c>
      <c r="W179" s="6">
        <v>1</v>
      </c>
      <c r="X179" s="6">
        <v>0</v>
      </c>
      <c r="Y179" s="6">
        <v>0</v>
      </c>
      <c r="Z179" s="6">
        <v>2</v>
      </c>
      <c r="AA179" s="6">
        <v>0</v>
      </c>
      <c r="AB179" s="6">
        <v>0</v>
      </c>
      <c r="AC179" s="6">
        <v>1</v>
      </c>
      <c r="AD179" s="6">
        <v>1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1</v>
      </c>
      <c r="AO179" s="6">
        <v>0</v>
      </c>
      <c r="AP179" s="6">
        <v>1</v>
      </c>
      <c r="AQ179" s="6">
        <v>0</v>
      </c>
      <c r="AR179" s="6">
        <v>1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5">
        <f t="shared" si="27"/>
        <v>19</v>
      </c>
      <c r="AZ179" s="20"/>
      <c r="BA179" s="20"/>
    </row>
    <row r="180" spans="1:53" x14ac:dyDescent="0.3">
      <c r="A180" s="7"/>
      <c r="B180" s="54"/>
      <c r="C180" s="24" t="s">
        <v>196</v>
      </c>
      <c r="D180" s="51"/>
      <c r="E180" s="6">
        <v>1</v>
      </c>
      <c r="F180" s="6">
        <v>0</v>
      </c>
      <c r="G180" s="6">
        <v>2</v>
      </c>
      <c r="H180" s="6">
        <v>2</v>
      </c>
      <c r="I180" s="6">
        <v>1</v>
      </c>
      <c r="J180" s="6">
        <v>0</v>
      </c>
      <c r="K180" s="6">
        <v>0</v>
      </c>
      <c r="L180" s="6">
        <v>1</v>
      </c>
      <c r="M180" s="6">
        <v>1</v>
      </c>
      <c r="N180" s="6">
        <v>0</v>
      </c>
      <c r="O180" s="6">
        <v>0</v>
      </c>
      <c r="P180" s="6">
        <v>0</v>
      </c>
      <c r="Q180" s="6">
        <v>1</v>
      </c>
      <c r="R180" s="6">
        <v>1</v>
      </c>
      <c r="S180" s="6">
        <v>0</v>
      </c>
      <c r="T180" s="6">
        <v>1</v>
      </c>
      <c r="U180" s="6">
        <v>1</v>
      </c>
      <c r="V180" s="6">
        <v>1</v>
      </c>
      <c r="W180" s="6">
        <v>3</v>
      </c>
      <c r="X180" s="6">
        <v>1</v>
      </c>
      <c r="Y180" s="6">
        <v>1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3</v>
      </c>
      <c r="AK180" s="6">
        <v>0</v>
      </c>
      <c r="AL180" s="6">
        <v>1</v>
      </c>
      <c r="AM180" s="6">
        <v>1</v>
      </c>
      <c r="AN180" s="6">
        <v>1</v>
      </c>
      <c r="AO180" s="6">
        <v>1</v>
      </c>
      <c r="AP180" s="6">
        <v>2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3</v>
      </c>
      <c r="AX180" s="6">
        <v>1</v>
      </c>
      <c r="AY180" s="5">
        <f t="shared" si="27"/>
        <v>31</v>
      </c>
      <c r="AZ180" s="20"/>
      <c r="BA180" s="20"/>
    </row>
    <row r="181" spans="1:53" x14ac:dyDescent="0.3">
      <c r="A181" s="7"/>
      <c r="B181" s="54"/>
      <c r="C181" s="24" t="s">
        <v>197</v>
      </c>
      <c r="D181" s="51"/>
      <c r="E181" s="6">
        <v>0</v>
      </c>
      <c r="F181" s="6">
        <v>0</v>
      </c>
      <c r="G181" s="6">
        <v>0</v>
      </c>
      <c r="H181" s="6">
        <v>1</v>
      </c>
      <c r="I181" s="6">
        <v>1</v>
      </c>
      <c r="J181" s="6">
        <v>1</v>
      </c>
      <c r="K181" s="6">
        <v>0</v>
      </c>
      <c r="L181" s="6">
        <v>0</v>
      </c>
      <c r="M181" s="6">
        <v>1</v>
      </c>
      <c r="N181" s="6">
        <v>0</v>
      </c>
      <c r="O181" s="6">
        <v>0</v>
      </c>
      <c r="P181" s="6">
        <v>1</v>
      </c>
      <c r="Q181" s="6">
        <v>0</v>
      </c>
      <c r="R181" s="6">
        <v>1</v>
      </c>
      <c r="S181" s="6">
        <v>0</v>
      </c>
      <c r="T181" s="6">
        <v>0</v>
      </c>
      <c r="U181" s="6">
        <v>1</v>
      </c>
      <c r="V181" s="6">
        <v>1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1</v>
      </c>
      <c r="AH181" s="6">
        <v>1</v>
      </c>
      <c r="AI181" s="6">
        <v>0</v>
      </c>
      <c r="AJ181" s="6">
        <v>1</v>
      </c>
      <c r="AK181" s="6">
        <v>0</v>
      </c>
      <c r="AL181" s="6">
        <v>0</v>
      </c>
      <c r="AM181" s="6">
        <v>0</v>
      </c>
      <c r="AN181" s="6">
        <v>2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5">
        <f t="shared" si="27"/>
        <v>13</v>
      </c>
      <c r="AZ181" s="20"/>
      <c r="BA181" s="20"/>
    </row>
    <row r="182" spans="1:53" x14ac:dyDescent="0.3">
      <c r="A182" s="7"/>
      <c r="B182" s="54"/>
      <c r="C182" s="24" t="s">
        <v>198</v>
      </c>
      <c r="D182" s="51"/>
      <c r="E182" s="6">
        <v>0</v>
      </c>
      <c r="F182" s="6">
        <v>0</v>
      </c>
      <c r="G182" s="6">
        <v>2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1</v>
      </c>
      <c r="R182" s="6">
        <v>0</v>
      </c>
      <c r="S182" s="6">
        <v>0</v>
      </c>
      <c r="T182" s="6">
        <v>0</v>
      </c>
      <c r="U182" s="6">
        <v>1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1</v>
      </c>
      <c r="AN182" s="6">
        <v>0</v>
      </c>
      <c r="AO182" s="6">
        <v>1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2</v>
      </c>
      <c r="AX182" s="6">
        <v>0</v>
      </c>
      <c r="AY182" s="5">
        <f t="shared" si="27"/>
        <v>8</v>
      </c>
      <c r="AZ182" s="20"/>
      <c r="BA182" s="20"/>
    </row>
    <row r="183" spans="1:53" x14ac:dyDescent="0.3">
      <c r="A183" s="7"/>
      <c r="B183" s="54"/>
      <c r="C183" s="24" t="s">
        <v>199</v>
      </c>
      <c r="D183" s="51"/>
      <c r="E183" s="6">
        <v>0</v>
      </c>
      <c r="F183" s="6">
        <v>0</v>
      </c>
      <c r="G183" s="6">
        <v>1</v>
      </c>
      <c r="H183" s="6">
        <v>0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2</v>
      </c>
      <c r="Q183" s="6">
        <v>0</v>
      </c>
      <c r="R183" s="6">
        <v>0</v>
      </c>
      <c r="S183" s="6">
        <v>0</v>
      </c>
      <c r="T183" s="6">
        <v>1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1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1</v>
      </c>
      <c r="AY183" s="5">
        <f t="shared" si="27"/>
        <v>8</v>
      </c>
      <c r="AZ183" s="20"/>
      <c r="BA183" s="20"/>
    </row>
    <row r="184" spans="1:53" x14ac:dyDescent="0.3">
      <c r="A184" s="7"/>
      <c r="B184" s="54"/>
      <c r="C184" s="24" t="s">
        <v>200</v>
      </c>
      <c r="D184" s="51"/>
      <c r="E184" s="6">
        <v>0</v>
      </c>
      <c r="F184" s="6">
        <v>0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1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5">
        <f t="shared" si="27"/>
        <v>2</v>
      </c>
      <c r="AZ184" s="20"/>
      <c r="BA184" s="20"/>
    </row>
    <row r="185" spans="1:53" x14ac:dyDescent="0.3">
      <c r="A185" s="7"/>
      <c r="B185" s="54"/>
      <c r="C185" s="24" t="s">
        <v>201</v>
      </c>
      <c r="D185" s="51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2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1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1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5">
        <f t="shared" si="27"/>
        <v>4</v>
      </c>
      <c r="AZ185" s="20"/>
      <c r="BA185" s="20"/>
    </row>
    <row r="186" spans="1:53" x14ac:dyDescent="0.3">
      <c r="A186" s="7"/>
      <c r="B186" s="54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2</v>
      </c>
      <c r="AU186" s="6">
        <v>0</v>
      </c>
      <c r="AV186" s="6">
        <v>0</v>
      </c>
      <c r="AW186" s="6">
        <v>0</v>
      </c>
      <c r="AX186" s="6">
        <v>0</v>
      </c>
      <c r="AY186" s="5">
        <f t="shared" si="27"/>
        <v>3</v>
      </c>
      <c r="AZ186" s="20"/>
      <c r="BA186" s="20"/>
    </row>
    <row r="187" spans="1:53" ht="13.15" customHeight="1" x14ac:dyDescent="0.3">
      <c r="A187" s="6" t="s">
        <v>26</v>
      </c>
      <c r="B187" s="69" t="s">
        <v>51</v>
      </c>
      <c r="C187" s="70"/>
      <c r="D187" s="71"/>
      <c r="E187" s="5">
        <f>SUM(E177:E186)</f>
        <v>3</v>
      </c>
      <c r="F187" s="5">
        <f t="shared" ref="F187:AY187" si="31">SUM(F177:F186)</f>
        <v>0</v>
      </c>
      <c r="G187" s="5">
        <f t="shared" si="31"/>
        <v>24</v>
      </c>
      <c r="H187" s="5">
        <f t="shared" si="31"/>
        <v>19</v>
      </c>
      <c r="I187" s="5">
        <f t="shared" si="31"/>
        <v>9</v>
      </c>
      <c r="J187" s="5">
        <f t="shared" si="31"/>
        <v>9</v>
      </c>
      <c r="K187" s="5">
        <f t="shared" si="31"/>
        <v>4</v>
      </c>
      <c r="L187" s="5">
        <f t="shared" si="31"/>
        <v>8</v>
      </c>
      <c r="M187" s="5">
        <f t="shared" si="31"/>
        <v>6</v>
      </c>
      <c r="N187" s="5">
        <f t="shared" si="31"/>
        <v>8</v>
      </c>
      <c r="O187" s="5">
        <f t="shared" si="31"/>
        <v>6</v>
      </c>
      <c r="P187" s="5">
        <f t="shared" si="31"/>
        <v>9</v>
      </c>
      <c r="Q187" s="5">
        <f t="shared" si="31"/>
        <v>16</v>
      </c>
      <c r="R187" s="5">
        <f t="shared" si="31"/>
        <v>11</v>
      </c>
      <c r="S187" s="5">
        <f t="shared" si="31"/>
        <v>1</v>
      </c>
      <c r="T187" s="5">
        <f t="shared" si="31"/>
        <v>10</v>
      </c>
      <c r="U187" s="5">
        <f t="shared" si="31"/>
        <v>13</v>
      </c>
      <c r="V187" s="5">
        <f t="shared" si="31"/>
        <v>4</v>
      </c>
      <c r="W187" s="5">
        <f t="shared" si="31"/>
        <v>9</v>
      </c>
      <c r="X187" s="5">
        <f t="shared" si="31"/>
        <v>3</v>
      </c>
      <c r="Y187" s="5">
        <f t="shared" si="31"/>
        <v>1</v>
      </c>
      <c r="Z187" s="5">
        <f t="shared" si="31"/>
        <v>3</v>
      </c>
      <c r="AA187" s="5">
        <f t="shared" si="31"/>
        <v>3</v>
      </c>
      <c r="AB187" s="5">
        <f t="shared" si="31"/>
        <v>1</v>
      </c>
      <c r="AC187" s="5">
        <f t="shared" si="31"/>
        <v>1</v>
      </c>
      <c r="AD187" s="5">
        <f t="shared" si="31"/>
        <v>2</v>
      </c>
      <c r="AE187" s="5">
        <f t="shared" si="31"/>
        <v>3</v>
      </c>
      <c r="AF187" s="5">
        <f t="shared" si="31"/>
        <v>1</v>
      </c>
      <c r="AG187" s="5">
        <f t="shared" si="31"/>
        <v>2</v>
      </c>
      <c r="AH187" s="5">
        <f t="shared" si="31"/>
        <v>3</v>
      </c>
      <c r="AI187" s="5">
        <f t="shared" si="31"/>
        <v>0</v>
      </c>
      <c r="AJ187" s="5">
        <f t="shared" si="31"/>
        <v>5</v>
      </c>
      <c r="AK187" s="5">
        <f t="shared" si="31"/>
        <v>0</v>
      </c>
      <c r="AL187" s="5">
        <f t="shared" si="31"/>
        <v>5</v>
      </c>
      <c r="AM187" s="5">
        <f t="shared" si="31"/>
        <v>4</v>
      </c>
      <c r="AN187" s="5">
        <f t="shared" si="31"/>
        <v>5</v>
      </c>
      <c r="AO187" s="5">
        <f t="shared" si="31"/>
        <v>9</v>
      </c>
      <c r="AP187" s="5">
        <f t="shared" si="31"/>
        <v>7</v>
      </c>
      <c r="AQ187" s="5">
        <f t="shared" si="31"/>
        <v>3</v>
      </c>
      <c r="AR187" s="5">
        <f t="shared" si="31"/>
        <v>3</v>
      </c>
      <c r="AS187" s="5">
        <f t="shared" si="31"/>
        <v>2</v>
      </c>
      <c r="AT187" s="5">
        <f t="shared" si="31"/>
        <v>3</v>
      </c>
      <c r="AU187" s="5">
        <f t="shared" si="31"/>
        <v>2</v>
      </c>
      <c r="AV187" s="5">
        <f t="shared" si="31"/>
        <v>0</v>
      </c>
      <c r="AW187" s="5">
        <f t="shared" si="31"/>
        <v>6</v>
      </c>
      <c r="AX187" s="5">
        <f t="shared" si="31"/>
        <v>3</v>
      </c>
      <c r="AY187" s="5">
        <f t="shared" si="31"/>
        <v>249</v>
      </c>
      <c r="AZ187" s="1"/>
      <c r="BA187" s="1"/>
    </row>
    <row r="188" spans="1:53" x14ac:dyDescent="0.3">
      <c r="A188" s="77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9"/>
      <c r="X188" s="18"/>
      <c r="Y188" s="18"/>
      <c r="Z188" s="18"/>
      <c r="AA188" s="18"/>
      <c r="AB188" s="18"/>
      <c r="AC188" s="18"/>
      <c r="AD188" s="18"/>
      <c r="AE188" s="18"/>
      <c r="AF188" s="18"/>
      <c r="AY188" s="5">
        <f t="shared" si="27"/>
        <v>0</v>
      </c>
    </row>
    <row r="189" spans="1:53" x14ac:dyDescent="0.3">
      <c r="A189" s="11" t="s">
        <v>48</v>
      </c>
      <c r="B189" s="17" t="s">
        <v>71</v>
      </c>
      <c r="C189" s="75" t="s">
        <v>72</v>
      </c>
      <c r="D189" s="76"/>
      <c r="E189" s="6">
        <v>0</v>
      </c>
      <c r="F189" s="6">
        <v>0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1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1</v>
      </c>
      <c r="AR189" s="6">
        <v>0</v>
      </c>
      <c r="AS189" s="6">
        <v>0</v>
      </c>
      <c r="AT189" s="6">
        <v>0</v>
      </c>
      <c r="AU189" s="6">
        <v>1</v>
      </c>
      <c r="AV189" s="6">
        <v>0</v>
      </c>
      <c r="AW189" s="6">
        <v>0</v>
      </c>
      <c r="AX189" s="6"/>
      <c r="AY189" s="5">
        <f t="shared" si="27"/>
        <v>4</v>
      </c>
      <c r="AZ189" s="20"/>
      <c r="BA189" s="20"/>
    </row>
    <row r="190" spans="1:53" x14ac:dyDescent="0.3">
      <c r="A190" s="11" t="s">
        <v>50</v>
      </c>
      <c r="B190" s="54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1</v>
      </c>
      <c r="X190" s="6">
        <v>0</v>
      </c>
      <c r="Y190" s="6">
        <v>0</v>
      </c>
      <c r="Z190" s="6">
        <v>0</v>
      </c>
      <c r="AA190" s="6">
        <v>1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/>
      <c r="AY190" s="5">
        <f t="shared" si="27"/>
        <v>2</v>
      </c>
      <c r="AZ190" s="20"/>
      <c r="BA190" s="20"/>
    </row>
    <row r="191" spans="1:53" x14ac:dyDescent="0.3">
      <c r="A191" s="7"/>
      <c r="B191" s="54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1</v>
      </c>
      <c r="AH191" s="6">
        <v>0</v>
      </c>
      <c r="AI191" s="6">
        <v>1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1</v>
      </c>
      <c r="AU191" s="6">
        <v>0</v>
      </c>
      <c r="AV191" s="6">
        <v>0</v>
      </c>
      <c r="AW191" s="6">
        <v>0</v>
      </c>
      <c r="AX191" s="6"/>
      <c r="AY191" s="5">
        <f t="shared" si="27"/>
        <v>3</v>
      </c>
      <c r="AZ191" s="20"/>
      <c r="BA191" s="20"/>
    </row>
    <row r="192" spans="1:53" x14ac:dyDescent="0.3">
      <c r="A192" s="7"/>
      <c r="B192" s="54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/>
      <c r="AY192" s="5">
        <f t="shared" si="27"/>
        <v>0</v>
      </c>
      <c r="AZ192" s="20"/>
      <c r="BA192" s="20"/>
    </row>
    <row r="193" spans="1:53" x14ac:dyDescent="0.3">
      <c r="A193" s="7"/>
      <c r="B193" s="54"/>
      <c r="C193" s="24" t="s">
        <v>206</v>
      </c>
      <c r="D193" s="51"/>
      <c r="E193" s="6">
        <v>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/>
      <c r="AY193" s="5">
        <f t="shared" si="27"/>
        <v>1</v>
      </c>
      <c r="AZ193" s="20"/>
      <c r="BA193" s="20"/>
    </row>
    <row r="194" spans="1:53" x14ac:dyDescent="0.3">
      <c r="A194" s="7"/>
      <c r="B194" s="54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/>
      <c r="AY194" s="5">
        <f t="shared" si="27"/>
        <v>1</v>
      </c>
      <c r="AZ194" s="20"/>
      <c r="BA194" s="20"/>
    </row>
    <row r="195" spans="1:53" x14ac:dyDescent="0.3">
      <c r="A195" s="7"/>
      <c r="B195" s="54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/>
      <c r="AY195" s="5">
        <f t="shared" si="27"/>
        <v>0</v>
      </c>
      <c r="AZ195" s="20"/>
      <c r="BA195" s="20"/>
    </row>
    <row r="196" spans="1:53" ht="13.15" customHeight="1" x14ac:dyDescent="0.3">
      <c r="A196" s="7"/>
      <c r="B196" s="54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/>
      <c r="AY196" s="5">
        <f t="shared" si="27"/>
        <v>0</v>
      </c>
      <c r="AZ196" s="1"/>
      <c r="BA196" s="1"/>
    </row>
    <row r="197" spans="1:53" ht="13.15" customHeight="1" x14ac:dyDescent="0.3">
      <c r="A197" s="7"/>
      <c r="B197" s="54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1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/>
      <c r="AY197" s="5">
        <f t="shared" si="27"/>
        <v>1</v>
      </c>
      <c r="AZ197" s="1"/>
      <c r="BA197" s="1"/>
    </row>
    <row r="198" spans="1:53" ht="13.15" customHeight="1" x14ac:dyDescent="0.3">
      <c r="A198" s="7"/>
      <c r="B198" s="54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/>
      <c r="AY198" s="5">
        <f t="shared" si="27"/>
        <v>0</v>
      </c>
      <c r="AZ198" s="1"/>
      <c r="BA198" s="1"/>
    </row>
    <row r="199" spans="1:53" x14ac:dyDescent="0.3">
      <c r="A199" s="6" t="s">
        <v>26</v>
      </c>
      <c r="B199" s="69" t="s">
        <v>51</v>
      </c>
      <c r="C199" s="70"/>
      <c r="D199" s="71"/>
      <c r="E199" s="5">
        <f>SUM(E189:E198)</f>
        <v>1</v>
      </c>
      <c r="F199" s="5">
        <f t="shared" ref="F199:AY199" si="32">SUM(F189:F198)</f>
        <v>0</v>
      </c>
      <c r="G199" s="5">
        <f t="shared" si="32"/>
        <v>0</v>
      </c>
      <c r="H199" s="5">
        <f t="shared" si="32"/>
        <v>0</v>
      </c>
      <c r="I199" s="5">
        <f t="shared" si="32"/>
        <v>1</v>
      </c>
      <c r="J199" s="5">
        <f t="shared" si="32"/>
        <v>0</v>
      </c>
      <c r="K199" s="5">
        <f t="shared" si="32"/>
        <v>0</v>
      </c>
      <c r="L199" s="5">
        <f t="shared" si="32"/>
        <v>0</v>
      </c>
      <c r="M199" s="5">
        <f t="shared" si="32"/>
        <v>1</v>
      </c>
      <c r="N199" s="5">
        <f t="shared" si="32"/>
        <v>1</v>
      </c>
      <c r="O199" s="5">
        <f t="shared" si="32"/>
        <v>0</v>
      </c>
      <c r="P199" s="5">
        <f t="shared" si="32"/>
        <v>0</v>
      </c>
      <c r="Q199" s="5">
        <f t="shared" si="32"/>
        <v>0</v>
      </c>
      <c r="R199" s="5">
        <f t="shared" si="32"/>
        <v>0</v>
      </c>
      <c r="S199" s="5">
        <f t="shared" si="32"/>
        <v>0</v>
      </c>
      <c r="T199" s="5">
        <f t="shared" si="32"/>
        <v>0</v>
      </c>
      <c r="U199" s="5">
        <f t="shared" si="32"/>
        <v>0</v>
      </c>
      <c r="V199" s="5">
        <f t="shared" si="32"/>
        <v>0</v>
      </c>
      <c r="W199" s="5">
        <f t="shared" si="32"/>
        <v>1</v>
      </c>
      <c r="X199" s="5">
        <f t="shared" si="32"/>
        <v>1</v>
      </c>
      <c r="Y199" s="5">
        <f t="shared" si="32"/>
        <v>0</v>
      </c>
      <c r="Z199" s="5">
        <f t="shared" si="32"/>
        <v>0</v>
      </c>
      <c r="AA199" s="5">
        <f t="shared" si="32"/>
        <v>1</v>
      </c>
      <c r="AB199" s="5">
        <f t="shared" si="32"/>
        <v>0</v>
      </c>
      <c r="AC199" s="5">
        <f t="shared" si="32"/>
        <v>0</v>
      </c>
      <c r="AD199" s="5">
        <f t="shared" si="32"/>
        <v>0</v>
      </c>
      <c r="AE199" s="5">
        <f t="shared" si="32"/>
        <v>0</v>
      </c>
      <c r="AF199" s="5">
        <f t="shared" si="32"/>
        <v>0</v>
      </c>
      <c r="AG199" s="5">
        <f t="shared" si="32"/>
        <v>1</v>
      </c>
      <c r="AH199" s="5">
        <f t="shared" si="32"/>
        <v>0</v>
      </c>
      <c r="AI199" s="5">
        <f t="shared" si="32"/>
        <v>1</v>
      </c>
      <c r="AJ199" s="5">
        <f t="shared" si="32"/>
        <v>0</v>
      </c>
      <c r="AK199" s="5">
        <f t="shared" si="32"/>
        <v>0</v>
      </c>
      <c r="AL199" s="5">
        <f t="shared" si="32"/>
        <v>0</v>
      </c>
      <c r="AM199" s="5">
        <f t="shared" si="32"/>
        <v>0</v>
      </c>
      <c r="AN199" s="5">
        <f t="shared" si="32"/>
        <v>0</v>
      </c>
      <c r="AO199" s="5">
        <f t="shared" si="32"/>
        <v>0</v>
      </c>
      <c r="AP199" s="5">
        <f t="shared" si="32"/>
        <v>0</v>
      </c>
      <c r="AQ199" s="5">
        <f t="shared" si="32"/>
        <v>1</v>
      </c>
      <c r="AR199" s="5">
        <f t="shared" si="32"/>
        <v>0</v>
      </c>
      <c r="AS199" s="5">
        <f t="shared" si="32"/>
        <v>0</v>
      </c>
      <c r="AT199" s="5">
        <f t="shared" si="32"/>
        <v>1</v>
      </c>
      <c r="AU199" s="5">
        <f t="shared" si="32"/>
        <v>1</v>
      </c>
      <c r="AV199" s="5">
        <f t="shared" si="32"/>
        <v>0</v>
      </c>
      <c r="AW199" s="5">
        <f t="shared" si="32"/>
        <v>0</v>
      </c>
      <c r="AX199" s="5">
        <f t="shared" si="32"/>
        <v>0</v>
      </c>
      <c r="AY199" s="5">
        <f t="shared" si="32"/>
        <v>12</v>
      </c>
      <c r="AZ199" s="28"/>
      <c r="BA199" s="28"/>
    </row>
    <row r="200" spans="1:53" x14ac:dyDescent="0.3">
      <c r="A200" s="77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9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5">
        <f t="shared" si="27"/>
        <v>0</v>
      </c>
      <c r="AZ200" s="20"/>
      <c r="BA200" s="20"/>
    </row>
    <row r="201" spans="1:53" x14ac:dyDescent="0.3">
      <c r="A201" s="11" t="s">
        <v>48</v>
      </c>
      <c r="B201" s="17" t="s">
        <v>73</v>
      </c>
      <c r="C201" s="75" t="s">
        <v>74</v>
      </c>
      <c r="D201" s="76"/>
      <c r="E201" s="6">
        <v>1</v>
      </c>
      <c r="F201" s="6">
        <v>9</v>
      </c>
      <c r="G201" s="6">
        <v>10</v>
      </c>
      <c r="H201" s="6">
        <v>17</v>
      </c>
      <c r="I201" s="6">
        <v>23</v>
      </c>
      <c r="J201" s="6">
        <v>13</v>
      </c>
      <c r="K201" s="6">
        <v>8</v>
      </c>
      <c r="L201" s="6">
        <v>25</v>
      </c>
      <c r="M201" s="6">
        <v>17</v>
      </c>
      <c r="N201" s="6">
        <v>11</v>
      </c>
      <c r="O201" s="6">
        <v>15</v>
      </c>
      <c r="P201" s="6">
        <v>3</v>
      </c>
      <c r="Q201" s="6">
        <v>9</v>
      </c>
      <c r="R201" s="6">
        <v>6</v>
      </c>
      <c r="S201" s="6">
        <v>7</v>
      </c>
      <c r="T201" s="6">
        <v>8</v>
      </c>
      <c r="U201" s="6">
        <v>15</v>
      </c>
      <c r="V201" s="6">
        <v>10</v>
      </c>
      <c r="W201" s="6">
        <v>10</v>
      </c>
      <c r="X201" s="6">
        <v>3</v>
      </c>
      <c r="Y201" s="6">
        <v>16</v>
      </c>
      <c r="Z201" s="6">
        <v>8</v>
      </c>
      <c r="AA201" s="6">
        <v>11</v>
      </c>
      <c r="AB201" s="6">
        <v>1</v>
      </c>
      <c r="AC201" s="6">
        <v>8</v>
      </c>
      <c r="AD201" s="6">
        <v>11</v>
      </c>
      <c r="AE201" s="6">
        <v>13</v>
      </c>
      <c r="AF201" s="6">
        <v>11</v>
      </c>
      <c r="AG201" s="6">
        <v>12</v>
      </c>
      <c r="AH201" s="6">
        <v>18</v>
      </c>
      <c r="AI201" s="6">
        <v>11</v>
      </c>
      <c r="AJ201" s="6">
        <v>7</v>
      </c>
      <c r="AK201" s="6">
        <v>10</v>
      </c>
      <c r="AL201" s="6">
        <v>18</v>
      </c>
      <c r="AM201" s="6">
        <v>10</v>
      </c>
      <c r="AN201" s="6">
        <v>7</v>
      </c>
      <c r="AO201" s="6">
        <v>21</v>
      </c>
      <c r="AP201" s="6">
        <v>5</v>
      </c>
      <c r="AQ201" s="6">
        <v>12</v>
      </c>
      <c r="AR201" s="6">
        <v>10</v>
      </c>
      <c r="AS201" s="6">
        <v>3</v>
      </c>
      <c r="AT201" s="6">
        <v>6</v>
      </c>
      <c r="AU201" s="6">
        <v>11</v>
      </c>
      <c r="AV201" s="6">
        <v>4</v>
      </c>
      <c r="AW201" s="6">
        <v>8</v>
      </c>
      <c r="AX201" s="6">
        <v>5</v>
      </c>
      <c r="AY201" s="5">
        <f t="shared" si="27"/>
        <v>477</v>
      </c>
      <c r="AZ201" s="20"/>
      <c r="BA201" s="20"/>
    </row>
    <row r="202" spans="1:53" x14ac:dyDescent="0.3">
      <c r="A202" s="11" t="s">
        <v>50</v>
      </c>
      <c r="B202" s="54"/>
      <c r="C202" s="24" t="s">
        <v>212</v>
      </c>
      <c r="D202" s="51"/>
      <c r="E202" s="6">
        <v>8</v>
      </c>
      <c r="F202" s="6">
        <v>29</v>
      </c>
      <c r="G202" s="6">
        <v>9</v>
      </c>
      <c r="H202" s="6">
        <v>7</v>
      </c>
      <c r="I202" s="6">
        <v>13</v>
      </c>
      <c r="J202" s="6">
        <v>16</v>
      </c>
      <c r="K202" s="6">
        <v>12</v>
      </c>
      <c r="L202" s="6">
        <v>19</v>
      </c>
      <c r="M202" s="6">
        <v>14</v>
      </c>
      <c r="N202" s="6">
        <v>17</v>
      </c>
      <c r="O202" s="6">
        <v>13</v>
      </c>
      <c r="P202" s="6">
        <v>25</v>
      </c>
      <c r="Q202" s="6">
        <v>21</v>
      </c>
      <c r="R202" s="6">
        <v>24</v>
      </c>
      <c r="S202" s="6">
        <v>10</v>
      </c>
      <c r="T202" s="6">
        <v>15</v>
      </c>
      <c r="U202" s="6">
        <v>17</v>
      </c>
      <c r="V202" s="6">
        <v>10</v>
      </c>
      <c r="W202" s="6">
        <v>23</v>
      </c>
      <c r="X202" s="6">
        <v>22</v>
      </c>
      <c r="Y202" s="6">
        <v>8</v>
      </c>
      <c r="Z202" s="6">
        <v>12</v>
      </c>
      <c r="AA202" s="6">
        <v>7</v>
      </c>
      <c r="AB202" s="6">
        <v>14</v>
      </c>
      <c r="AC202" s="6">
        <v>10</v>
      </c>
      <c r="AD202" s="6">
        <v>35</v>
      </c>
      <c r="AE202" s="6">
        <v>38</v>
      </c>
      <c r="AF202" s="6">
        <v>18</v>
      </c>
      <c r="AG202" s="6">
        <v>16</v>
      </c>
      <c r="AH202" s="6">
        <v>4</v>
      </c>
      <c r="AI202" s="6">
        <v>7</v>
      </c>
      <c r="AJ202" s="6">
        <v>10</v>
      </c>
      <c r="AK202" s="6">
        <v>11</v>
      </c>
      <c r="AL202" s="6">
        <v>14</v>
      </c>
      <c r="AM202" s="6">
        <v>13</v>
      </c>
      <c r="AN202" s="6">
        <v>10</v>
      </c>
      <c r="AO202" s="6">
        <v>10</v>
      </c>
      <c r="AP202" s="6">
        <v>8</v>
      </c>
      <c r="AQ202" s="6">
        <v>11</v>
      </c>
      <c r="AR202" s="6">
        <v>9</v>
      </c>
      <c r="AS202" s="6">
        <v>3</v>
      </c>
      <c r="AT202" s="6">
        <v>4</v>
      </c>
      <c r="AU202" s="6">
        <v>4</v>
      </c>
      <c r="AV202" s="6">
        <v>6</v>
      </c>
      <c r="AW202" s="6">
        <v>5</v>
      </c>
      <c r="AX202" s="6">
        <v>11</v>
      </c>
      <c r="AY202" s="5">
        <f t="shared" si="27"/>
        <v>622</v>
      </c>
      <c r="AZ202" s="20"/>
      <c r="BA202" s="20"/>
    </row>
    <row r="203" spans="1:53" x14ac:dyDescent="0.3">
      <c r="A203" s="7"/>
      <c r="B203" s="54"/>
      <c r="C203" s="24" t="s">
        <v>213</v>
      </c>
      <c r="D203" s="51"/>
      <c r="E203" s="6">
        <v>2</v>
      </c>
      <c r="F203" s="6">
        <v>5</v>
      </c>
      <c r="G203" s="6">
        <v>1</v>
      </c>
      <c r="H203" s="6">
        <v>0</v>
      </c>
      <c r="I203" s="6">
        <v>2</v>
      </c>
      <c r="J203" s="6">
        <v>4</v>
      </c>
      <c r="K203" s="6">
        <v>3</v>
      </c>
      <c r="L203" s="6">
        <v>4</v>
      </c>
      <c r="M203" s="6">
        <v>0</v>
      </c>
      <c r="N203" s="6">
        <v>5</v>
      </c>
      <c r="O203" s="6">
        <v>2</v>
      </c>
      <c r="P203" s="6">
        <v>1</v>
      </c>
      <c r="Q203" s="6">
        <v>2</v>
      </c>
      <c r="R203" s="6">
        <v>1</v>
      </c>
      <c r="S203" s="6">
        <v>1</v>
      </c>
      <c r="T203" s="6">
        <v>4</v>
      </c>
      <c r="U203" s="6">
        <v>4</v>
      </c>
      <c r="V203" s="6">
        <v>3</v>
      </c>
      <c r="W203" s="6">
        <v>1</v>
      </c>
      <c r="X203" s="6">
        <v>2</v>
      </c>
      <c r="Y203" s="6">
        <v>0</v>
      </c>
      <c r="Z203" s="6">
        <v>1</v>
      </c>
      <c r="AA203" s="6">
        <v>4</v>
      </c>
      <c r="AB203" s="6">
        <v>3</v>
      </c>
      <c r="AC203" s="6">
        <v>0</v>
      </c>
      <c r="AD203" s="6">
        <v>0</v>
      </c>
      <c r="AE203" s="6">
        <v>6</v>
      </c>
      <c r="AF203" s="6">
        <v>2</v>
      </c>
      <c r="AG203" s="6">
        <v>0</v>
      </c>
      <c r="AH203" s="6">
        <v>5</v>
      </c>
      <c r="AI203" s="6">
        <v>4</v>
      </c>
      <c r="AJ203" s="6">
        <v>4</v>
      </c>
      <c r="AK203" s="6">
        <v>5</v>
      </c>
      <c r="AL203" s="6">
        <v>5</v>
      </c>
      <c r="AM203" s="6">
        <v>1</v>
      </c>
      <c r="AN203" s="6">
        <v>2</v>
      </c>
      <c r="AO203" s="6">
        <v>5</v>
      </c>
      <c r="AP203" s="6">
        <v>2</v>
      </c>
      <c r="AQ203" s="6">
        <v>5</v>
      </c>
      <c r="AR203" s="6">
        <v>4</v>
      </c>
      <c r="AS203" s="6">
        <v>0</v>
      </c>
      <c r="AT203" s="6">
        <v>1</v>
      </c>
      <c r="AU203" s="6">
        <v>1</v>
      </c>
      <c r="AV203" s="6">
        <v>0</v>
      </c>
      <c r="AW203" s="6">
        <v>2</v>
      </c>
      <c r="AX203" s="6">
        <v>1</v>
      </c>
      <c r="AY203" s="5">
        <f t="shared" si="27"/>
        <v>110</v>
      </c>
      <c r="AZ203" s="20"/>
      <c r="BA203" s="20"/>
    </row>
    <row r="204" spans="1:53" x14ac:dyDescent="0.3">
      <c r="A204" s="7"/>
      <c r="B204" s="54"/>
      <c r="C204" s="24" t="s">
        <v>214</v>
      </c>
      <c r="D204" s="51"/>
      <c r="E204" s="6">
        <v>0</v>
      </c>
      <c r="F204" s="6">
        <v>0</v>
      </c>
      <c r="G204" s="6">
        <v>2</v>
      </c>
      <c r="H204" s="6">
        <v>0</v>
      </c>
      <c r="I204" s="6">
        <v>1</v>
      </c>
      <c r="J204" s="6">
        <v>0</v>
      </c>
      <c r="K204" s="6">
        <v>0</v>
      </c>
      <c r="L204" s="6">
        <v>2</v>
      </c>
      <c r="M204" s="6">
        <v>2</v>
      </c>
      <c r="N204" s="6">
        <v>0</v>
      </c>
      <c r="O204" s="6">
        <v>1</v>
      </c>
      <c r="P204" s="6">
        <v>0</v>
      </c>
      <c r="Q204" s="6">
        <v>1</v>
      </c>
      <c r="R204" s="6">
        <v>0</v>
      </c>
      <c r="S204" s="6">
        <v>1</v>
      </c>
      <c r="T204" s="6">
        <v>0</v>
      </c>
      <c r="U204" s="6">
        <v>3</v>
      </c>
      <c r="V204" s="6">
        <v>0</v>
      </c>
      <c r="W204" s="6">
        <v>3</v>
      </c>
      <c r="X204" s="6">
        <v>0</v>
      </c>
      <c r="Y204" s="6">
        <v>0</v>
      </c>
      <c r="Z204" s="6">
        <v>1</v>
      </c>
      <c r="AA204" s="6">
        <v>0</v>
      </c>
      <c r="AB204" s="6">
        <v>0</v>
      </c>
      <c r="AC204" s="6">
        <v>0</v>
      </c>
      <c r="AD204" s="6">
        <v>2</v>
      </c>
      <c r="AE204" s="6">
        <v>0</v>
      </c>
      <c r="AF204" s="6">
        <v>0</v>
      </c>
      <c r="AG204" s="6">
        <v>1</v>
      </c>
      <c r="AH204" s="6">
        <v>0</v>
      </c>
      <c r="AI204" s="6">
        <v>1</v>
      </c>
      <c r="AJ204" s="6">
        <v>0</v>
      </c>
      <c r="AK204" s="6">
        <v>1</v>
      </c>
      <c r="AL204" s="6">
        <v>1</v>
      </c>
      <c r="AM204" s="6">
        <v>2</v>
      </c>
      <c r="AN204" s="6">
        <v>2</v>
      </c>
      <c r="AO204" s="6">
        <v>1</v>
      </c>
      <c r="AP204" s="6">
        <v>1</v>
      </c>
      <c r="AQ204" s="6">
        <v>0</v>
      </c>
      <c r="AR204" s="6">
        <v>0</v>
      </c>
      <c r="AS204" s="6">
        <v>1</v>
      </c>
      <c r="AT204" s="6">
        <v>0</v>
      </c>
      <c r="AU204" s="6">
        <v>0</v>
      </c>
      <c r="AV204" s="6">
        <v>2</v>
      </c>
      <c r="AW204" s="6">
        <v>2</v>
      </c>
      <c r="AX204" s="6">
        <v>1</v>
      </c>
      <c r="AY204" s="5">
        <f t="shared" si="27"/>
        <v>35</v>
      </c>
      <c r="AZ204" s="20"/>
      <c r="BA204" s="20"/>
    </row>
    <row r="205" spans="1:53" x14ac:dyDescent="0.3">
      <c r="A205" s="7"/>
      <c r="B205" s="54"/>
      <c r="C205" s="24" t="s">
        <v>215</v>
      </c>
      <c r="D205" s="51"/>
      <c r="E205" s="6">
        <v>0</v>
      </c>
      <c r="F205" s="6">
        <v>0</v>
      </c>
      <c r="G205" s="6">
        <v>0</v>
      </c>
      <c r="H205" s="6">
        <v>1</v>
      </c>
      <c r="I205" s="6">
        <v>0</v>
      </c>
      <c r="J205" s="6">
        <v>0</v>
      </c>
      <c r="K205" s="6">
        <v>1</v>
      </c>
      <c r="L205" s="6">
        <v>1</v>
      </c>
      <c r="M205" s="6">
        <v>2</v>
      </c>
      <c r="N205" s="6">
        <v>1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1</v>
      </c>
      <c r="U205" s="6">
        <v>4</v>
      </c>
      <c r="V205" s="6">
        <v>0</v>
      </c>
      <c r="W205" s="6">
        <v>0</v>
      </c>
      <c r="X205" s="6">
        <v>0</v>
      </c>
      <c r="Y205" s="6">
        <v>1</v>
      </c>
      <c r="Z205" s="6">
        <v>0</v>
      </c>
      <c r="AA205" s="6">
        <v>1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4</v>
      </c>
      <c r="AJ205" s="6">
        <v>0</v>
      </c>
      <c r="AK205" s="6">
        <v>1</v>
      </c>
      <c r="AL205" s="6">
        <v>2</v>
      </c>
      <c r="AM205" s="6">
        <v>3</v>
      </c>
      <c r="AN205" s="6">
        <v>0</v>
      </c>
      <c r="AO205" s="6">
        <v>0</v>
      </c>
      <c r="AP205" s="6">
        <v>1</v>
      </c>
      <c r="AQ205" s="6">
        <v>0</v>
      </c>
      <c r="AR205" s="6">
        <v>1</v>
      </c>
      <c r="AS205" s="6">
        <v>0</v>
      </c>
      <c r="AT205" s="6">
        <v>0</v>
      </c>
      <c r="AU205" s="6">
        <v>0</v>
      </c>
      <c r="AV205" s="6">
        <v>1</v>
      </c>
      <c r="AW205" s="6">
        <v>0</v>
      </c>
      <c r="AX205" s="6">
        <v>1</v>
      </c>
      <c r="AY205" s="5">
        <f t="shared" si="27"/>
        <v>27</v>
      </c>
      <c r="AZ205" s="20"/>
      <c r="BA205" s="20"/>
    </row>
    <row r="206" spans="1:53" x14ac:dyDescent="0.3">
      <c r="A206" s="7"/>
      <c r="B206" s="54"/>
      <c r="C206" s="24" t="s">
        <v>216</v>
      </c>
      <c r="D206" s="51"/>
      <c r="E206" s="6">
        <v>0</v>
      </c>
      <c r="F206" s="6">
        <v>0</v>
      </c>
      <c r="G206" s="6">
        <v>0</v>
      </c>
      <c r="H206" s="6">
        <v>1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1</v>
      </c>
      <c r="T206" s="6">
        <v>0</v>
      </c>
      <c r="U206" s="6">
        <v>1</v>
      </c>
      <c r="V206" s="6">
        <v>0</v>
      </c>
      <c r="W206" s="6">
        <v>0</v>
      </c>
      <c r="X206" s="6">
        <v>2</v>
      </c>
      <c r="Y206" s="6">
        <v>1</v>
      </c>
      <c r="Z206" s="6">
        <v>0</v>
      </c>
      <c r="AA206" s="6">
        <v>0</v>
      </c>
      <c r="AB206" s="6">
        <v>0</v>
      </c>
      <c r="AC206" s="6">
        <v>1</v>
      </c>
      <c r="AD206" s="6">
        <v>0</v>
      </c>
      <c r="AE206" s="6">
        <v>2</v>
      </c>
      <c r="AF206" s="6">
        <v>1</v>
      </c>
      <c r="AG206" s="6">
        <v>0</v>
      </c>
      <c r="AH206" s="6">
        <v>0</v>
      </c>
      <c r="AI206" s="6">
        <v>2</v>
      </c>
      <c r="AJ206" s="6">
        <v>0</v>
      </c>
      <c r="AK206" s="6">
        <v>0</v>
      </c>
      <c r="AL206" s="6">
        <v>2</v>
      </c>
      <c r="AM206" s="6">
        <v>1</v>
      </c>
      <c r="AN206" s="6">
        <v>1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1</v>
      </c>
      <c r="AW206" s="6">
        <v>0</v>
      </c>
      <c r="AX206" s="6">
        <v>0</v>
      </c>
      <c r="AY206" s="5">
        <f t="shared" si="27"/>
        <v>19</v>
      </c>
      <c r="AZ206" s="20"/>
      <c r="BA206" s="20"/>
    </row>
    <row r="207" spans="1:53" ht="13.15" customHeight="1" x14ac:dyDescent="0.3">
      <c r="A207" s="7"/>
      <c r="B207" s="54"/>
      <c r="C207" s="24" t="s">
        <v>217</v>
      </c>
      <c r="D207" s="51"/>
      <c r="E207" s="6">
        <v>0</v>
      </c>
      <c r="F207" s="6">
        <v>0</v>
      </c>
      <c r="G207" s="6">
        <v>0</v>
      </c>
      <c r="H207" s="6">
        <v>2</v>
      </c>
      <c r="I207" s="6">
        <v>1</v>
      </c>
      <c r="J207" s="6">
        <v>3</v>
      </c>
      <c r="K207" s="6">
        <v>4</v>
      </c>
      <c r="L207" s="6">
        <v>6</v>
      </c>
      <c r="M207" s="6">
        <v>2</v>
      </c>
      <c r="N207" s="6">
        <v>4</v>
      </c>
      <c r="O207" s="6">
        <v>3</v>
      </c>
      <c r="P207" s="6">
        <v>0</v>
      </c>
      <c r="Q207" s="6">
        <v>2</v>
      </c>
      <c r="R207" s="6">
        <v>1</v>
      </c>
      <c r="S207" s="6">
        <v>0</v>
      </c>
      <c r="T207" s="6">
        <v>3</v>
      </c>
      <c r="U207" s="6">
        <v>1</v>
      </c>
      <c r="V207" s="6">
        <v>0</v>
      </c>
      <c r="W207" s="6">
        <v>2</v>
      </c>
      <c r="X207" s="6">
        <v>1</v>
      </c>
      <c r="Y207" s="6">
        <v>0</v>
      </c>
      <c r="Z207" s="6">
        <v>2</v>
      </c>
      <c r="AA207" s="6">
        <v>5</v>
      </c>
      <c r="AB207" s="6">
        <v>0</v>
      </c>
      <c r="AC207" s="6">
        <v>0</v>
      </c>
      <c r="AD207" s="6">
        <v>0</v>
      </c>
      <c r="AE207" s="6">
        <v>2</v>
      </c>
      <c r="AF207" s="6">
        <v>2</v>
      </c>
      <c r="AG207" s="6">
        <v>0</v>
      </c>
      <c r="AH207" s="6">
        <v>1</v>
      </c>
      <c r="AI207" s="6">
        <v>6</v>
      </c>
      <c r="AJ207" s="6">
        <v>1</v>
      </c>
      <c r="AK207" s="6">
        <v>1</v>
      </c>
      <c r="AL207" s="6">
        <v>0</v>
      </c>
      <c r="AM207" s="6">
        <v>2</v>
      </c>
      <c r="AN207" s="6">
        <v>1</v>
      </c>
      <c r="AO207" s="6">
        <v>0</v>
      </c>
      <c r="AP207" s="6">
        <v>0</v>
      </c>
      <c r="AQ207" s="6">
        <v>2</v>
      </c>
      <c r="AR207" s="6">
        <v>0</v>
      </c>
      <c r="AS207" s="6">
        <v>2</v>
      </c>
      <c r="AT207" s="6">
        <v>2</v>
      </c>
      <c r="AU207" s="6">
        <v>1</v>
      </c>
      <c r="AV207" s="6">
        <v>0</v>
      </c>
      <c r="AW207" s="6">
        <v>0</v>
      </c>
      <c r="AX207" s="6">
        <v>3</v>
      </c>
      <c r="AY207" s="5">
        <f t="shared" ref="AY207:AY264" si="33">SUM(E207:AX207)</f>
        <v>68</v>
      </c>
      <c r="AZ207" s="1"/>
      <c r="BA207" s="1"/>
    </row>
    <row r="208" spans="1:53" x14ac:dyDescent="0.3">
      <c r="A208" s="7"/>
      <c r="B208" s="54"/>
      <c r="C208" s="24" t="s">
        <v>218</v>
      </c>
      <c r="D208" s="51"/>
      <c r="E208" s="6">
        <v>0</v>
      </c>
      <c r="F208" s="6">
        <v>1</v>
      </c>
      <c r="G208" s="6">
        <v>1</v>
      </c>
      <c r="H208" s="6">
        <v>0</v>
      </c>
      <c r="I208" s="6">
        <v>0</v>
      </c>
      <c r="J208" s="6">
        <v>3</v>
      </c>
      <c r="K208" s="6">
        <v>4</v>
      </c>
      <c r="L208" s="6">
        <v>1</v>
      </c>
      <c r="M208" s="6">
        <v>1</v>
      </c>
      <c r="N208" s="6">
        <v>0</v>
      </c>
      <c r="O208" s="6">
        <v>1</v>
      </c>
      <c r="P208" s="6">
        <v>0</v>
      </c>
      <c r="Q208" s="6">
        <v>1</v>
      </c>
      <c r="R208" s="6">
        <v>2</v>
      </c>
      <c r="S208" s="6">
        <v>1</v>
      </c>
      <c r="T208" s="6">
        <v>1</v>
      </c>
      <c r="U208" s="6">
        <v>1</v>
      </c>
      <c r="V208" s="6">
        <v>2</v>
      </c>
      <c r="W208" s="6">
        <v>1</v>
      </c>
      <c r="X208" s="6">
        <v>2</v>
      </c>
      <c r="Y208" s="6">
        <v>0</v>
      </c>
      <c r="Z208" s="6">
        <v>0</v>
      </c>
      <c r="AA208" s="6">
        <v>1</v>
      </c>
      <c r="AB208" s="6">
        <v>1</v>
      </c>
      <c r="AC208" s="6">
        <v>2</v>
      </c>
      <c r="AD208" s="6">
        <v>0</v>
      </c>
      <c r="AE208" s="6">
        <v>0</v>
      </c>
      <c r="AF208" s="6">
        <v>3</v>
      </c>
      <c r="AG208" s="6">
        <v>3</v>
      </c>
      <c r="AH208" s="6">
        <v>1</v>
      </c>
      <c r="AI208" s="6">
        <v>6</v>
      </c>
      <c r="AJ208" s="6">
        <v>3</v>
      </c>
      <c r="AK208" s="6">
        <v>2</v>
      </c>
      <c r="AL208" s="6">
        <v>2</v>
      </c>
      <c r="AM208" s="6">
        <v>2</v>
      </c>
      <c r="AN208" s="6">
        <v>0</v>
      </c>
      <c r="AO208" s="6">
        <v>2</v>
      </c>
      <c r="AP208" s="6">
        <v>1</v>
      </c>
      <c r="AQ208" s="6">
        <v>1</v>
      </c>
      <c r="AR208" s="6">
        <v>3</v>
      </c>
      <c r="AS208" s="6">
        <v>2</v>
      </c>
      <c r="AT208" s="6">
        <v>1</v>
      </c>
      <c r="AU208" s="6">
        <v>1</v>
      </c>
      <c r="AV208" s="6">
        <v>0</v>
      </c>
      <c r="AW208" s="6">
        <v>1</v>
      </c>
      <c r="AX208" s="6">
        <v>1</v>
      </c>
      <c r="AY208" s="5">
        <f t="shared" si="33"/>
        <v>62</v>
      </c>
      <c r="AZ208" s="28"/>
      <c r="BA208" s="28"/>
    </row>
    <row r="209" spans="1:53" x14ac:dyDescent="0.3">
      <c r="A209" s="7"/>
      <c r="B209" s="54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1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2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5">
        <f t="shared" si="33"/>
        <v>3</v>
      </c>
      <c r="AZ209" s="28"/>
      <c r="BA209" s="28"/>
    </row>
    <row r="210" spans="1:53" x14ac:dyDescent="0.3">
      <c r="A210" s="7"/>
      <c r="B210" s="54"/>
      <c r="C210" s="24" t="s">
        <v>220</v>
      </c>
      <c r="D210" s="51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>
        <v>2</v>
      </c>
      <c r="O210" s="6">
        <v>4</v>
      </c>
      <c r="P210" s="6">
        <v>0</v>
      </c>
      <c r="Q210" s="6">
        <v>1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1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2</v>
      </c>
      <c r="AF210" s="6">
        <v>1</v>
      </c>
      <c r="AG210" s="6">
        <v>0</v>
      </c>
      <c r="AH210" s="6">
        <v>0</v>
      </c>
      <c r="AI210" s="6">
        <v>7</v>
      </c>
      <c r="AJ210" s="6">
        <v>0</v>
      </c>
      <c r="AK210" s="6">
        <v>1</v>
      </c>
      <c r="AL210" s="6">
        <v>0</v>
      </c>
      <c r="AM210" s="6">
        <v>1</v>
      </c>
      <c r="AN210" s="6">
        <v>0</v>
      </c>
      <c r="AO210" s="6">
        <v>0</v>
      </c>
      <c r="AP210" s="6">
        <v>0</v>
      </c>
      <c r="AQ210" s="6">
        <v>0</v>
      </c>
      <c r="AR210" s="6">
        <v>2</v>
      </c>
      <c r="AS210" s="6">
        <v>0</v>
      </c>
      <c r="AT210" s="6">
        <v>0</v>
      </c>
      <c r="AU210" s="6">
        <v>0</v>
      </c>
      <c r="AV210" s="6">
        <v>0</v>
      </c>
      <c r="AW210" s="6">
        <v>1</v>
      </c>
      <c r="AX210" s="6">
        <v>0</v>
      </c>
      <c r="AY210" s="5">
        <f t="shared" si="33"/>
        <v>25</v>
      </c>
      <c r="AZ210" s="28"/>
      <c r="BA210" s="28"/>
    </row>
    <row r="211" spans="1:53" x14ac:dyDescent="0.3">
      <c r="A211" s="6" t="s">
        <v>26</v>
      </c>
      <c r="B211" s="69" t="s">
        <v>51</v>
      </c>
      <c r="C211" s="70"/>
      <c r="D211" s="71"/>
      <c r="E211" s="5">
        <f>SUM(E201:E210)</f>
        <v>11</v>
      </c>
      <c r="F211" s="5">
        <f t="shared" ref="F211:AY211" si="34">SUM(F201:F210)</f>
        <v>44</v>
      </c>
      <c r="G211" s="5">
        <f t="shared" si="34"/>
        <v>23</v>
      </c>
      <c r="H211" s="5">
        <f t="shared" si="34"/>
        <v>28</v>
      </c>
      <c r="I211" s="5">
        <f t="shared" si="34"/>
        <v>41</v>
      </c>
      <c r="J211" s="5">
        <f t="shared" si="34"/>
        <v>39</v>
      </c>
      <c r="K211" s="5">
        <f t="shared" si="34"/>
        <v>33</v>
      </c>
      <c r="L211" s="5">
        <f t="shared" si="34"/>
        <v>58</v>
      </c>
      <c r="M211" s="5">
        <f t="shared" si="34"/>
        <v>38</v>
      </c>
      <c r="N211" s="5">
        <f t="shared" si="34"/>
        <v>40</v>
      </c>
      <c r="O211" s="5">
        <f t="shared" si="34"/>
        <v>39</v>
      </c>
      <c r="P211" s="5">
        <f t="shared" si="34"/>
        <v>29</v>
      </c>
      <c r="Q211" s="5">
        <f t="shared" si="34"/>
        <v>38</v>
      </c>
      <c r="R211" s="5">
        <f t="shared" si="34"/>
        <v>34</v>
      </c>
      <c r="S211" s="5">
        <f t="shared" si="34"/>
        <v>22</v>
      </c>
      <c r="T211" s="5">
        <f t="shared" si="34"/>
        <v>32</v>
      </c>
      <c r="U211" s="5">
        <f t="shared" si="34"/>
        <v>46</v>
      </c>
      <c r="V211" s="5">
        <f t="shared" si="34"/>
        <v>25</v>
      </c>
      <c r="W211" s="5">
        <f t="shared" si="34"/>
        <v>40</v>
      </c>
      <c r="X211" s="5">
        <f t="shared" si="34"/>
        <v>33</v>
      </c>
      <c r="Y211" s="5">
        <f t="shared" si="34"/>
        <v>26</v>
      </c>
      <c r="Z211" s="5">
        <f t="shared" si="34"/>
        <v>24</v>
      </c>
      <c r="AA211" s="5">
        <f t="shared" si="34"/>
        <v>30</v>
      </c>
      <c r="AB211" s="5">
        <f t="shared" si="34"/>
        <v>19</v>
      </c>
      <c r="AC211" s="5">
        <f t="shared" si="34"/>
        <v>21</v>
      </c>
      <c r="AD211" s="5">
        <f t="shared" si="34"/>
        <v>48</v>
      </c>
      <c r="AE211" s="5">
        <f t="shared" si="34"/>
        <v>63</v>
      </c>
      <c r="AF211" s="5">
        <f t="shared" si="34"/>
        <v>38</v>
      </c>
      <c r="AG211" s="5">
        <f t="shared" si="34"/>
        <v>32</v>
      </c>
      <c r="AH211" s="5">
        <f t="shared" si="34"/>
        <v>29</v>
      </c>
      <c r="AI211" s="5">
        <f t="shared" si="34"/>
        <v>50</v>
      </c>
      <c r="AJ211" s="5">
        <f t="shared" si="34"/>
        <v>25</v>
      </c>
      <c r="AK211" s="5">
        <f t="shared" si="34"/>
        <v>32</v>
      </c>
      <c r="AL211" s="5">
        <f t="shared" si="34"/>
        <v>44</v>
      </c>
      <c r="AM211" s="5">
        <f t="shared" si="34"/>
        <v>35</v>
      </c>
      <c r="AN211" s="5">
        <f t="shared" si="34"/>
        <v>23</v>
      </c>
      <c r="AO211" s="5">
        <f t="shared" si="34"/>
        <v>39</v>
      </c>
      <c r="AP211" s="5">
        <f t="shared" si="34"/>
        <v>18</v>
      </c>
      <c r="AQ211" s="5">
        <f t="shared" si="34"/>
        <v>31</v>
      </c>
      <c r="AR211" s="5">
        <f t="shared" si="34"/>
        <v>29</v>
      </c>
      <c r="AS211" s="5">
        <f t="shared" si="34"/>
        <v>11</v>
      </c>
      <c r="AT211" s="5">
        <f t="shared" si="34"/>
        <v>14</v>
      </c>
      <c r="AU211" s="5">
        <f t="shared" si="34"/>
        <v>18</v>
      </c>
      <c r="AV211" s="5">
        <f t="shared" si="34"/>
        <v>14</v>
      </c>
      <c r="AW211" s="5">
        <f t="shared" si="34"/>
        <v>19</v>
      </c>
      <c r="AX211" s="5">
        <f t="shared" si="34"/>
        <v>23</v>
      </c>
      <c r="AY211" s="5">
        <f t="shared" si="34"/>
        <v>1448</v>
      </c>
      <c r="AZ211" s="20"/>
      <c r="BA211" s="20"/>
    </row>
    <row r="212" spans="1:53" x14ac:dyDescent="0.3">
      <c r="A212" s="77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9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5">
        <f t="shared" si="33"/>
        <v>0</v>
      </c>
      <c r="AZ212" s="20"/>
      <c r="BA212" s="20"/>
    </row>
    <row r="213" spans="1:53" x14ac:dyDescent="0.3">
      <c r="A213" s="11" t="s">
        <v>48</v>
      </c>
      <c r="B213" s="17" t="s">
        <v>75</v>
      </c>
      <c r="C213" s="75" t="s">
        <v>76</v>
      </c>
      <c r="D213" s="76"/>
      <c r="E213" s="6">
        <v>7</v>
      </c>
      <c r="F213" s="6">
        <v>2</v>
      </c>
      <c r="G213" s="6">
        <v>2</v>
      </c>
      <c r="H213" s="6">
        <v>0</v>
      </c>
      <c r="I213" s="6">
        <v>0</v>
      </c>
      <c r="J213" s="6">
        <v>2</v>
      </c>
      <c r="K213" s="6">
        <v>4</v>
      </c>
      <c r="L213" s="6">
        <v>2</v>
      </c>
      <c r="M213" s="6">
        <v>1</v>
      </c>
      <c r="N213" s="6">
        <v>2</v>
      </c>
      <c r="O213" s="6">
        <v>5</v>
      </c>
      <c r="P213" s="6">
        <v>0</v>
      </c>
      <c r="Q213" s="6">
        <v>3</v>
      </c>
      <c r="R213" s="6">
        <v>10</v>
      </c>
      <c r="S213" s="6">
        <v>3</v>
      </c>
      <c r="T213" s="6">
        <v>6</v>
      </c>
      <c r="U213" s="6">
        <v>3</v>
      </c>
      <c r="V213" s="6">
        <v>5</v>
      </c>
      <c r="W213" s="6">
        <v>2</v>
      </c>
      <c r="X213" s="6">
        <v>1</v>
      </c>
      <c r="Y213" s="6">
        <v>1</v>
      </c>
      <c r="Z213" s="6">
        <v>3</v>
      </c>
      <c r="AA213" s="6">
        <v>4</v>
      </c>
      <c r="AB213" s="6">
        <v>3</v>
      </c>
      <c r="AC213" s="6">
        <v>2</v>
      </c>
      <c r="AD213" s="6">
        <v>2</v>
      </c>
      <c r="AE213" s="6">
        <v>1</v>
      </c>
      <c r="AF213" s="6">
        <v>1</v>
      </c>
      <c r="AG213" s="6">
        <v>2</v>
      </c>
      <c r="AH213" s="6">
        <v>0</v>
      </c>
      <c r="AI213" s="6">
        <v>2</v>
      </c>
      <c r="AJ213" s="6">
        <v>4</v>
      </c>
      <c r="AK213" s="6">
        <v>1</v>
      </c>
      <c r="AL213" s="6">
        <v>1</v>
      </c>
      <c r="AM213" s="6">
        <v>2</v>
      </c>
      <c r="AN213" s="6">
        <v>3</v>
      </c>
      <c r="AO213" s="6">
        <v>3</v>
      </c>
      <c r="AP213" s="6">
        <v>2</v>
      </c>
      <c r="AQ213" s="6">
        <v>1</v>
      </c>
      <c r="AR213" s="6">
        <v>5</v>
      </c>
      <c r="AS213" s="6">
        <v>3</v>
      </c>
      <c r="AT213" s="6">
        <v>2</v>
      </c>
      <c r="AU213" s="6">
        <v>3</v>
      </c>
      <c r="AV213" s="6">
        <v>3</v>
      </c>
      <c r="AW213" s="6">
        <v>0</v>
      </c>
      <c r="AX213" s="6"/>
      <c r="AY213" s="5">
        <f>SUM(E213:AX213)</f>
        <v>114</v>
      </c>
      <c r="AZ213" s="20"/>
      <c r="BA213" s="20"/>
    </row>
    <row r="214" spans="1:53" x14ac:dyDescent="0.3">
      <c r="A214" s="11" t="s">
        <v>50</v>
      </c>
      <c r="B214" s="54"/>
      <c r="C214" s="24" t="s">
        <v>221</v>
      </c>
      <c r="D214" s="55"/>
      <c r="E214" s="6">
        <v>0</v>
      </c>
      <c r="F214" s="6">
        <v>1</v>
      </c>
      <c r="G214" s="6">
        <v>2</v>
      </c>
      <c r="H214" s="6">
        <v>3</v>
      </c>
      <c r="I214" s="6">
        <v>5</v>
      </c>
      <c r="J214" s="6">
        <v>0</v>
      </c>
      <c r="K214" s="6">
        <v>2</v>
      </c>
      <c r="L214" s="6">
        <v>2</v>
      </c>
      <c r="M214" s="6">
        <v>0</v>
      </c>
      <c r="N214" s="6">
        <v>0</v>
      </c>
      <c r="O214" s="6">
        <v>1</v>
      </c>
      <c r="P214" s="6">
        <v>1</v>
      </c>
      <c r="Q214" s="6">
        <v>8</v>
      </c>
      <c r="R214" s="6">
        <v>4</v>
      </c>
      <c r="S214" s="6">
        <v>3</v>
      </c>
      <c r="T214" s="6">
        <v>3</v>
      </c>
      <c r="U214" s="6">
        <v>2</v>
      </c>
      <c r="V214" s="6">
        <v>3</v>
      </c>
      <c r="W214" s="6">
        <v>3</v>
      </c>
      <c r="X214" s="6">
        <v>4</v>
      </c>
      <c r="Y214" s="6">
        <v>2</v>
      </c>
      <c r="Z214" s="6">
        <v>1</v>
      </c>
      <c r="AA214" s="6">
        <v>1</v>
      </c>
      <c r="AB214" s="6">
        <v>0</v>
      </c>
      <c r="AC214" s="6">
        <v>1</v>
      </c>
      <c r="AD214" s="6">
        <v>0</v>
      </c>
      <c r="AE214" s="6">
        <v>1</v>
      </c>
      <c r="AF214" s="6">
        <v>2</v>
      </c>
      <c r="AG214" s="6">
        <v>4</v>
      </c>
      <c r="AH214" s="6">
        <v>0</v>
      </c>
      <c r="AI214" s="6">
        <v>0</v>
      </c>
      <c r="AJ214" s="6">
        <v>3</v>
      </c>
      <c r="AK214" s="6">
        <v>1</v>
      </c>
      <c r="AL214" s="6">
        <v>5</v>
      </c>
      <c r="AM214" s="6">
        <v>2</v>
      </c>
      <c r="AN214" s="6">
        <v>2</v>
      </c>
      <c r="AO214" s="6">
        <v>1</v>
      </c>
      <c r="AP214" s="6">
        <v>4</v>
      </c>
      <c r="AQ214" s="6">
        <v>3</v>
      </c>
      <c r="AR214" s="6">
        <v>1</v>
      </c>
      <c r="AS214" s="6">
        <v>2</v>
      </c>
      <c r="AT214" s="6">
        <v>0</v>
      </c>
      <c r="AU214" s="6">
        <v>2</v>
      </c>
      <c r="AV214" s="6">
        <v>1</v>
      </c>
      <c r="AW214" s="6">
        <v>2</v>
      </c>
      <c r="AX214" s="6"/>
      <c r="AY214" s="5">
        <f t="shared" si="33"/>
        <v>88</v>
      </c>
      <c r="AZ214" s="20"/>
      <c r="BA214" s="20"/>
    </row>
    <row r="215" spans="1:53" x14ac:dyDescent="0.3">
      <c r="A215" s="7"/>
      <c r="B215" s="54"/>
      <c r="C215" s="24" t="s">
        <v>222</v>
      </c>
      <c r="D215" s="55"/>
      <c r="E215" s="6">
        <v>0</v>
      </c>
      <c r="F215" s="6">
        <v>0</v>
      </c>
      <c r="G215" s="6">
        <v>1</v>
      </c>
      <c r="H215" s="6">
        <v>5</v>
      </c>
      <c r="I215" s="6">
        <v>2</v>
      </c>
      <c r="J215" s="6">
        <v>1</v>
      </c>
      <c r="K215" s="6">
        <v>1</v>
      </c>
      <c r="L215" s="6">
        <v>2</v>
      </c>
      <c r="M215" s="6">
        <v>3</v>
      </c>
      <c r="N215" s="6">
        <v>1</v>
      </c>
      <c r="O215" s="6">
        <v>0</v>
      </c>
      <c r="P215" s="6">
        <v>0</v>
      </c>
      <c r="Q215" s="6">
        <v>0</v>
      </c>
      <c r="R215" s="6">
        <v>0</v>
      </c>
      <c r="S215" s="6">
        <v>4</v>
      </c>
      <c r="T215" s="6">
        <v>0</v>
      </c>
      <c r="U215" s="6">
        <v>0</v>
      </c>
      <c r="V215" s="6">
        <v>0</v>
      </c>
      <c r="W215" s="6">
        <v>1</v>
      </c>
      <c r="X215" s="6">
        <v>4</v>
      </c>
      <c r="Y215" s="6">
        <v>0</v>
      </c>
      <c r="Z215" s="6">
        <v>1</v>
      </c>
      <c r="AA215" s="6">
        <v>1</v>
      </c>
      <c r="AB215" s="6">
        <v>4</v>
      </c>
      <c r="AC215" s="6">
        <v>2</v>
      </c>
      <c r="AD215" s="6">
        <v>1</v>
      </c>
      <c r="AE215" s="6">
        <v>0</v>
      </c>
      <c r="AF215" s="6">
        <v>1</v>
      </c>
      <c r="AG215" s="6">
        <v>2</v>
      </c>
      <c r="AH215" s="6">
        <v>0</v>
      </c>
      <c r="AI215" s="6">
        <v>1</v>
      </c>
      <c r="AJ215" s="6">
        <v>1</v>
      </c>
      <c r="AK215" s="6">
        <v>1</v>
      </c>
      <c r="AL215" s="6">
        <v>0</v>
      </c>
      <c r="AM215" s="6">
        <v>0</v>
      </c>
      <c r="AN215" s="6">
        <v>3</v>
      </c>
      <c r="AO215" s="6">
        <v>0</v>
      </c>
      <c r="AP215" s="6">
        <v>0</v>
      </c>
      <c r="AQ215" s="6">
        <v>1</v>
      </c>
      <c r="AR215" s="6">
        <v>0</v>
      </c>
      <c r="AS215" s="6">
        <v>0</v>
      </c>
      <c r="AT215" s="6">
        <v>0</v>
      </c>
      <c r="AU215" s="6">
        <v>3</v>
      </c>
      <c r="AV215" s="6">
        <v>2</v>
      </c>
      <c r="AW215" s="6">
        <v>2</v>
      </c>
      <c r="AX215" s="6"/>
      <c r="AY215" s="5">
        <f t="shared" si="33"/>
        <v>51</v>
      </c>
      <c r="AZ215" s="20"/>
      <c r="BA215" s="20"/>
    </row>
    <row r="216" spans="1:53" x14ac:dyDescent="0.3">
      <c r="A216" s="7"/>
      <c r="B216" s="54"/>
      <c r="C216" s="24" t="s">
        <v>223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1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2</v>
      </c>
      <c r="V216" s="6">
        <v>1</v>
      </c>
      <c r="W216" s="6">
        <v>1</v>
      </c>
      <c r="X216" s="6">
        <v>1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1</v>
      </c>
      <c r="AG216" s="6">
        <v>0</v>
      </c>
      <c r="AH216" s="6">
        <v>0</v>
      </c>
      <c r="AI216" s="6">
        <v>1</v>
      </c>
      <c r="AJ216" s="6">
        <v>0</v>
      </c>
      <c r="AK216" s="6">
        <v>0</v>
      </c>
      <c r="AL216" s="6">
        <v>0</v>
      </c>
      <c r="AM216" s="6">
        <v>0</v>
      </c>
      <c r="AN216" s="6">
        <v>1</v>
      </c>
      <c r="AO216" s="6">
        <v>0</v>
      </c>
      <c r="AP216" s="6">
        <v>0</v>
      </c>
      <c r="AQ216" s="6">
        <v>4</v>
      </c>
      <c r="AR216" s="6">
        <v>0</v>
      </c>
      <c r="AS216" s="6">
        <v>0</v>
      </c>
      <c r="AT216" s="6">
        <v>0</v>
      </c>
      <c r="AU216" s="6">
        <v>1</v>
      </c>
      <c r="AV216" s="6">
        <v>0</v>
      </c>
      <c r="AW216" s="6">
        <v>0</v>
      </c>
      <c r="AX216" s="6"/>
      <c r="AY216" s="5">
        <f t="shared" si="33"/>
        <v>14</v>
      </c>
      <c r="AZ216" s="20"/>
      <c r="BA216" s="20"/>
    </row>
    <row r="217" spans="1:53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5">
        <f t="shared" si="33"/>
        <v>0</v>
      </c>
      <c r="AZ217" s="20"/>
      <c r="BA217" s="20"/>
    </row>
    <row r="218" spans="1:53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5">
        <f t="shared" si="33"/>
        <v>0</v>
      </c>
      <c r="AZ218" s="1"/>
      <c r="BA218" s="1"/>
    </row>
    <row r="219" spans="1:53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5">
        <f t="shared" si="33"/>
        <v>0</v>
      </c>
      <c r="AZ219" s="28"/>
      <c r="BA219" s="28"/>
    </row>
    <row r="220" spans="1:53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5">
        <f t="shared" si="33"/>
        <v>0</v>
      </c>
      <c r="AZ220" s="20"/>
      <c r="BA220" s="20"/>
    </row>
    <row r="221" spans="1:53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5">
        <f t="shared" si="33"/>
        <v>0</v>
      </c>
      <c r="AZ221" s="20"/>
      <c r="BA221" s="20"/>
    </row>
    <row r="222" spans="1:53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5">
        <f t="shared" si="33"/>
        <v>0</v>
      </c>
      <c r="AZ222" s="20"/>
      <c r="BA222" s="20"/>
    </row>
    <row r="223" spans="1:53" x14ac:dyDescent="0.3">
      <c r="A223" s="6" t="s">
        <v>26</v>
      </c>
      <c r="B223" s="69" t="s">
        <v>51</v>
      </c>
      <c r="C223" s="70"/>
      <c r="D223" s="71"/>
      <c r="E223" s="5">
        <f>SUM(E213:E222)</f>
        <v>7</v>
      </c>
      <c r="F223" s="5">
        <f t="shared" ref="F223:AY223" si="35">SUM(F213:F222)</f>
        <v>3</v>
      </c>
      <c r="G223" s="5">
        <f t="shared" si="35"/>
        <v>5</v>
      </c>
      <c r="H223" s="5">
        <f t="shared" si="35"/>
        <v>8</v>
      </c>
      <c r="I223" s="5">
        <f t="shared" si="35"/>
        <v>7</v>
      </c>
      <c r="J223" s="5">
        <f t="shared" si="35"/>
        <v>3</v>
      </c>
      <c r="K223" s="5">
        <f t="shared" si="35"/>
        <v>7</v>
      </c>
      <c r="L223" s="5">
        <f t="shared" si="35"/>
        <v>7</v>
      </c>
      <c r="M223" s="5">
        <f t="shared" si="35"/>
        <v>4</v>
      </c>
      <c r="N223" s="5">
        <f t="shared" si="35"/>
        <v>3</v>
      </c>
      <c r="O223" s="5">
        <f t="shared" si="35"/>
        <v>6</v>
      </c>
      <c r="P223" s="5">
        <f t="shared" si="35"/>
        <v>1</v>
      </c>
      <c r="Q223" s="5">
        <f t="shared" si="35"/>
        <v>11</v>
      </c>
      <c r="R223" s="5">
        <f t="shared" si="35"/>
        <v>14</v>
      </c>
      <c r="S223" s="5">
        <f t="shared" si="35"/>
        <v>10</v>
      </c>
      <c r="T223" s="5">
        <f t="shared" si="35"/>
        <v>9</v>
      </c>
      <c r="U223" s="5">
        <f t="shared" si="35"/>
        <v>7</v>
      </c>
      <c r="V223" s="5">
        <f t="shared" si="35"/>
        <v>9</v>
      </c>
      <c r="W223" s="5">
        <f t="shared" si="35"/>
        <v>7</v>
      </c>
      <c r="X223" s="5">
        <f t="shared" si="35"/>
        <v>10</v>
      </c>
      <c r="Y223" s="5">
        <f t="shared" si="35"/>
        <v>3</v>
      </c>
      <c r="Z223" s="5">
        <f t="shared" si="35"/>
        <v>5</v>
      </c>
      <c r="AA223" s="5">
        <f t="shared" si="35"/>
        <v>6</v>
      </c>
      <c r="AB223" s="5">
        <f t="shared" si="35"/>
        <v>7</v>
      </c>
      <c r="AC223" s="5">
        <f t="shared" si="35"/>
        <v>5</v>
      </c>
      <c r="AD223" s="5">
        <f t="shared" si="35"/>
        <v>3</v>
      </c>
      <c r="AE223" s="5">
        <f t="shared" si="35"/>
        <v>2</v>
      </c>
      <c r="AF223" s="5">
        <f t="shared" si="35"/>
        <v>5</v>
      </c>
      <c r="AG223" s="5">
        <f t="shared" si="35"/>
        <v>8</v>
      </c>
      <c r="AH223" s="5">
        <f t="shared" si="35"/>
        <v>0</v>
      </c>
      <c r="AI223" s="5">
        <f t="shared" si="35"/>
        <v>4</v>
      </c>
      <c r="AJ223" s="5">
        <f t="shared" si="35"/>
        <v>8</v>
      </c>
      <c r="AK223" s="5">
        <f t="shared" si="35"/>
        <v>3</v>
      </c>
      <c r="AL223" s="5">
        <f t="shared" si="35"/>
        <v>6</v>
      </c>
      <c r="AM223" s="5">
        <f t="shared" si="35"/>
        <v>4</v>
      </c>
      <c r="AN223" s="5">
        <f t="shared" si="35"/>
        <v>9</v>
      </c>
      <c r="AO223" s="5">
        <f t="shared" si="35"/>
        <v>4</v>
      </c>
      <c r="AP223" s="5">
        <f t="shared" si="35"/>
        <v>6</v>
      </c>
      <c r="AQ223" s="5">
        <f t="shared" si="35"/>
        <v>9</v>
      </c>
      <c r="AR223" s="5">
        <f t="shared" si="35"/>
        <v>6</v>
      </c>
      <c r="AS223" s="5">
        <f t="shared" si="35"/>
        <v>5</v>
      </c>
      <c r="AT223" s="5">
        <f t="shared" si="35"/>
        <v>2</v>
      </c>
      <c r="AU223" s="5">
        <f t="shared" si="35"/>
        <v>9</v>
      </c>
      <c r="AV223" s="5">
        <f t="shared" si="35"/>
        <v>6</v>
      </c>
      <c r="AW223" s="5">
        <f t="shared" si="35"/>
        <v>4</v>
      </c>
      <c r="AX223" s="5">
        <f t="shared" si="35"/>
        <v>0</v>
      </c>
      <c r="AY223" s="5">
        <f t="shared" si="35"/>
        <v>267</v>
      </c>
      <c r="AZ223" s="20"/>
      <c r="BA223" s="20"/>
    </row>
    <row r="224" spans="1:53" x14ac:dyDescent="0.3">
      <c r="A224" s="77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9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5">
        <f t="shared" si="33"/>
        <v>0</v>
      </c>
      <c r="AZ224" s="20"/>
      <c r="BA224" s="20"/>
    </row>
    <row r="225" spans="1:53" x14ac:dyDescent="0.3">
      <c r="A225" s="11" t="s">
        <v>48</v>
      </c>
      <c r="B225" s="17" t="s">
        <v>77</v>
      </c>
      <c r="C225" s="75" t="s">
        <v>78</v>
      </c>
      <c r="D225" s="76"/>
      <c r="E225" s="6">
        <v>1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0</v>
      </c>
      <c r="L225" s="6">
        <v>1</v>
      </c>
      <c r="M225" s="6">
        <v>0</v>
      </c>
      <c r="N225" s="6">
        <v>1</v>
      </c>
      <c r="O225" s="6">
        <v>1</v>
      </c>
      <c r="P225" s="6">
        <v>1</v>
      </c>
      <c r="Q225" s="6">
        <v>0</v>
      </c>
      <c r="R225" s="6">
        <v>0</v>
      </c>
      <c r="S225" s="6">
        <v>0</v>
      </c>
      <c r="T225" s="6">
        <v>2</v>
      </c>
      <c r="U225" s="6">
        <v>8</v>
      </c>
      <c r="V225" s="6">
        <v>2</v>
      </c>
      <c r="W225" s="6">
        <v>2</v>
      </c>
      <c r="X225" s="6">
        <v>1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1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1</v>
      </c>
      <c r="AM225" s="6">
        <v>0</v>
      </c>
      <c r="AN225" s="6">
        <v>1</v>
      </c>
      <c r="AO225" s="6">
        <v>0</v>
      </c>
      <c r="AP225" s="6">
        <v>2</v>
      </c>
      <c r="AQ225" s="6">
        <v>0</v>
      </c>
      <c r="AR225" s="6">
        <v>2</v>
      </c>
      <c r="AS225" s="6">
        <v>0</v>
      </c>
      <c r="AT225" s="6">
        <v>1</v>
      </c>
      <c r="AU225" s="6">
        <v>0</v>
      </c>
      <c r="AV225" s="6">
        <v>0</v>
      </c>
      <c r="AW225" s="6">
        <v>0</v>
      </c>
      <c r="AX225" s="6"/>
      <c r="AY225" s="5">
        <f>SUM(E225:AX225)</f>
        <v>29</v>
      </c>
      <c r="AZ225" s="20"/>
      <c r="BA225" s="20"/>
    </row>
    <row r="226" spans="1:53" x14ac:dyDescent="0.3">
      <c r="A226" s="11" t="s">
        <v>50</v>
      </c>
      <c r="B226" s="54"/>
      <c r="C226" s="24" t="s">
        <v>224</v>
      </c>
      <c r="D226" s="51"/>
      <c r="E226" s="6">
        <v>0</v>
      </c>
      <c r="F226" s="6">
        <v>0</v>
      </c>
      <c r="G226" s="6">
        <v>2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  <c r="M226" s="6">
        <v>1</v>
      </c>
      <c r="N226" s="6">
        <v>1</v>
      </c>
      <c r="O226" s="6">
        <v>6</v>
      </c>
      <c r="P226" s="6">
        <v>0</v>
      </c>
      <c r="Q226" s="6">
        <v>2</v>
      </c>
      <c r="R226" s="6">
        <v>0</v>
      </c>
      <c r="S226" s="6">
        <v>7</v>
      </c>
      <c r="T226" s="6">
        <v>11</v>
      </c>
      <c r="U226" s="6">
        <v>22</v>
      </c>
      <c r="V226" s="6">
        <v>9</v>
      </c>
      <c r="W226" s="6">
        <v>4</v>
      </c>
      <c r="X226" s="6">
        <v>1</v>
      </c>
      <c r="Y226" s="6">
        <v>0</v>
      </c>
      <c r="Z226" s="6">
        <v>4</v>
      </c>
      <c r="AA226" s="6">
        <v>2</v>
      </c>
      <c r="AB226" s="6">
        <v>3</v>
      </c>
      <c r="AC226" s="6">
        <v>11</v>
      </c>
      <c r="AD226" s="6">
        <v>1</v>
      </c>
      <c r="AE226" s="6">
        <v>1</v>
      </c>
      <c r="AF226" s="6">
        <v>3</v>
      </c>
      <c r="AG226" s="6">
        <v>0</v>
      </c>
      <c r="AH226" s="6">
        <v>0</v>
      </c>
      <c r="AI226" s="6">
        <v>0</v>
      </c>
      <c r="AJ226" s="6">
        <v>2</v>
      </c>
      <c r="AK226" s="6">
        <v>0</v>
      </c>
      <c r="AL226" s="6">
        <v>2</v>
      </c>
      <c r="AM226" s="6">
        <v>0</v>
      </c>
      <c r="AN226" s="6">
        <v>1</v>
      </c>
      <c r="AO226" s="6">
        <v>3</v>
      </c>
      <c r="AP226" s="6">
        <v>3</v>
      </c>
      <c r="AQ226" s="6">
        <v>0</v>
      </c>
      <c r="AR226" s="6">
        <v>10</v>
      </c>
      <c r="AS226" s="6">
        <v>0</v>
      </c>
      <c r="AT226" s="6">
        <v>0</v>
      </c>
      <c r="AU226" s="6">
        <v>0</v>
      </c>
      <c r="AV226" s="6">
        <v>2</v>
      </c>
      <c r="AW226" s="6">
        <v>2</v>
      </c>
      <c r="AX226" s="6"/>
      <c r="AY226" s="5">
        <f t="shared" si="33"/>
        <v>117</v>
      </c>
      <c r="AZ226" s="20"/>
      <c r="BA226" s="20"/>
    </row>
    <row r="227" spans="1:53" x14ac:dyDescent="0.3">
      <c r="A227" s="7"/>
      <c r="B227" s="54"/>
      <c r="C227" s="24" t="s">
        <v>225</v>
      </c>
      <c r="D227" s="51"/>
      <c r="E227" s="6">
        <v>0</v>
      </c>
      <c r="F227" s="6">
        <v>0</v>
      </c>
      <c r="G227" s="6">
        <v>0</v>
      </c>
      <c r="H227" s="6">
        <v>0</v>
      </c>
      <c r="I227" s="6">
        <v>2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1</v>
      </c>
      <c r="V227" s="6">
        <v>1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1</v>
      </c>
      <c r="AD227" s="6">
        <v>0</v>
      </c>
      <c r="AE227" s="6">
        <v>0</v>
      </c>
      <c r="AF227" s="6">
        <v>1</v>
      </c>
      <c r="AG227" s="6">
        <v>1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/>
      <c r="AY227" s="5">
        <f t="shared" si="33"/>
        <v>7</v>
      </c>
      <c r="AZ227" s="20"/>
      <c r="BA227" s="20"/>
    </row>
    <row r="228" spans="1:53" x14ac:dyDescent="0.3">
      <c r="A228" s="7"/>
      <c r="B228" s="54"/>
      <c r="C228" s="24" t="s">
        <v>226</v>
      </c>
      <c r="D228" s="51"/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2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1</v>
      </c>
      <c r="AP228" s="6">
        <v>1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/>
      <c r="AY228" s="5">
        <f t="shared" si="33"/>
        <v>5</v>
      </c>
      <c r="AZ228" s="20"/>
      <c r="BA228" s="20"/>
    </row>
    <row r="229" spans="1:53" ht="13.15" customHeight="1" x14ac:dyDescent="0.3">
      <c r="A229" s="7"/>
      <c r="B229" s="54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1</v>
      </c>
      <c r="AN229" s="6">
        <v>0</v>
      </c>
      <c r="AO229" s="6">
        <v>0</v>
      </c>
      <c r="AP229" s="6">
        <v>1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/>
      <c r="AY229" s="5">
        <f t="shared" si="33"/>
        <v>2</v>
      </c>
      <c r="AZ229" s="1"/>
      <c r="BA229" s="1"/>
    </row>
    <row r="230" spans="1:53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5">
        <f t="shared" si="33"/>
        <v>0</v>
      </c>
      <c r="AZ230" s="28"/>
      <c r="BA230" s="28"/>
    </row>
    <row r="231" spans="1:53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5">
        <f t="shared" si="33"/>
        <v>0</v>
      </c>
      <c r="AZ231" s="20"/>
      <c r="BA231" s="20"/>
    </row>
    <row r="232" spans="1:53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5">
        <f t="shared" si="33"/>
        <v>0</v>
      </c>
      <c r="AZ232" s="20"/>
      <c r="BA232" s="20"/>
    </row>
    <row r="233" spans="1:53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5">
        <f t="shared" si="33"/>
        <v>0</v>
      </c>
      <c r="AZ233" s="20"/>
      <c r="BA233" s="20"/>
    </row>
    <row r="234" spans="1:53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5">
        <f t="shared" si="33"/>
        <v>0</v>
      </c>
      <c r="AZ234" s="20"/>
      <c r="BA234" s="20"/>
    </row>
    <row r="235" spans="1:53" x14ac:dyDescent="0.3">
      <c r="A235" s="6" t="s">
        <v>26</v>
      </c>
      <c r="B235" s="69" t="s">
        <v>51</v>
      </c>
      <c r="C235" s="70"/>
      <c r="D235" s="71"/>
      <c r="E235" s="5">
        <f>SUM(E225:E234)</f>
        <v>2</v>
      </c>
      <c r="F235" s="5">
        <f t="shared" ref="F235:AY235" si="36">SUM(F225:F234)</f>
        <v>0</v>
      </c>
      <c r="G235" s="5">
        <f t="shared" si="36"/>
        <v>2</v>
      </c>
      <c r="H235" s="5">
        <f t="shared" si="36"/>
        <v>0</v>
      </c>
      <c r="I235" s="5">
        <f t="shared" si="36"/>
        <v>4</v>
      </c>
      <c r="J235" s="5">
        <f t="shared" si="36"/>
        <v>0</v>
      </c>
      <c r="K235" s="5">
        <f t="shared" si="36"/>
        <v>0</v>
      </c>
      <c r="L235" s="5">
        <f t="shared" si="36"/>
        <v>1</v>
      </c>
      <c r="M235" s="5">
        <f t="shared" si="36"/>
        <v>1</v>
      </c>
      <c r="N235" s="5">
        <f t="shared" si="36"/>
        <v>2</v>
      </c>
      <c r="O235" s="5">
        <f t="shared" si="36"/>
        <v>9</v>
      </c>
      <c r="P235" s="5">
        <f t="shared" si="36"/>
        <v>1</v>
      </c>
      <c r="Q235" s="5">
        <f t="shared" si="36"/>
        <v>2</v>
      </c>
      <c r="R235" s="5">
        <f t="shared" si="36"/>
        <v>0</v>
      </c>
      <c r="S235" s="5">
        <f t="shared" si="36"/>
        <v>7</v>
      </c>
      <c r="T235" s="5">
        <f t="shared" si="36"/>
        <v>13</v>
      </c>
      <c r="U235" s="5">
        <f t="shared" si="36"/>
        <v>31</v>
      </c>
      <c r="V235" s="5">
        <f t="shared" si="36"/>
        <v>12</v>
      </c>
      <c r="W235" s="5">
        <f t="shared" si="36"/>
        <v>6</v>
      </c>
      <c r="X235" s="5">
        <f t="shared" si="36"/>
        <v>2</v>
      </c>
      <c r="Y235" s="5">
        <f t="shared" si="36"/>
        <v>0</v>
      </c>
      <c r="Z235" s="5">
        <f t="shared" si="36"/>
        <v>4</v>
      </c>
      <c r="AA235" s="5">
        <f t="shared" si="36"/>
        <v>2</v>
      </c>
      <c r="AB235" s="5">
        <f t="shared" si="36"/>
        <v>3</v>
      </c>
      <c r="AC235" s="5">
        <f t="shared" si="36"/>
        <v>12</v>
      </c>
      <c r="AD235" s="5">
        <f t="shared" si="36"/>
        <v>2</v>
      </c>
      <c r="AE235" s="5">
        <f t="shared" si="36"/>
        <v>1</v>
      </c>
      <c r="AF235" s="5">
        <f t="shared" si="36"/>
        <v>4</v>
      </c>
      <c r="AG235" s="5">
        <f t="shared" si="36"/>
        <v>1</v>
      </c>
      <c r="AH235" s="5">
        <f t="shared" si="36"/>
        <v>0</v>
      </c>
      <c r="AI235" s="5">
        <f t="shared" si="36"/>
        <v>0</v>
      </c>
      <c r="AJ235" s="5">
        <f t="shared" si="36"/>
        <v>2</v>
      </c>
      <c r="AK235" s="5">
        <f t="shared" si="36"/>
        <v>0</v>
      </c>
      <c r="AL235" s="5">
        <f t="shared" si="36"/>
        <v>3</v>
      </c>
      <c r="AM235" s="5">
        <f t="shared" si="36"/>
        <v>1</v>
      </c>
      <c r="AN235" s="5">
        <f t="shared" si="36"/>
        <v>2</v>
      </c>
      <c r="AO235" s="5">
        <f t="shared" si="36"/>
        <v>4</v>
      </c>
      <c r="AP235" s="5">
        <f t="shared" si="36"/>
        <v>7</v>
      </c>
      <c r="AQ235" s="5">
        <f t="shared" si="36"/>
        <v>0</v>
      </c>
      <c r="AR235" s="5">
        <f t="shared" si="36"/>
        <v>12</v>
      </c>
      <c r="AS235" s="5">
        <f t="shared" si="36"/>
        <v>0</v>
      </c>
      <c r="AT235" s="5">
        <f t="shared" si="36"/>
        <v>1</v>
      </c>
      <c r="AU235" s="5">
        <f t="shared" si="36"/>
        <v>0</v>
      </c>
      <c r="AV235" s="5">
        <f t="shared" si="36"/>
        <v>2</v>
      </c>
      <c r="AW235" s="5">
        <f t="shared" si="36"/>
        <v>2</v>
      </c>
      <c r="AX235" s="5">
        <f t="shared" si="36"/>
        <v>0</v>
      </c>
      <c r="AY235" s="5">
        <f t="shared" si="36"/>
        <v>160</v>
      </c>
      <c r="AZ235" s="20"/>
      <c r="BA235" s="20"/>
    </row>
    <row r="236" spans="1:53" x14ac:dyDescent="0.3">
      <c r="A236" s="77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9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5">
        <f t="shared" si="33"/>
        <v>0</v>
      </c>
      <c r="AZ236" s="20"/>
      <c r="BA236" s="20"/>
    </row>
    <row r="237" spans="1:53" x14ac:dyDescent="0.3">
      <c r="A237" s="11" t="s">
        <v>48</v>
      </c>
      <c r="B237" s="17" t="s">
        <v>79</v>
      </c>
      <c r="C237" s="75" t="s">
        <v>80</v>
      </c>
      <c r="D237" s="76"/>
      <c r="E237" s="6">
        <v>5</v>
      </c>
      <c r="F237" s="6">
        <v>1</v>
      </c>
      <c r="G237" s="6">
        <v>0</v>
      </c>
      <c r="H237" s="6">
        <v>0</v>
      </c>
      <c r="I237" s="6">
        <v>0</v>
      </c>
      <c r="J237" s="6">
        <v>2</v>
      </c>
      <c r="K237" s="6">
        <v>0</v>
      </c>
      <c r="L237" s="6">
        <v>2</v>
      </c>
      <c r="M237" s="6">
        <v>0</v>
      </c>
      <c r="N237" s="6">
        <v>0</v>
      </c>
      <c r="O237" s="6">
        <v>0</v>
      </c>
      <c r="P237" s="6">
        <v>0</v>
      </c>
      <c r="Q237" s="6">
        <v>1</v>
      </c>
      <c r="R237" s="6">
        <v>0</v>
      </c>
      <c r="S237" s="6">
        <v>2</v>
      </c>
      <c r="T237" s="6">
        <v>0</v>
      </c>
      <c r="U237" s="6">
        <v>0</v>
      </c>
      <c r="V237" s="6">
        <v>0</v>
      </c>
      <c r="W237" s="6">
        <v>0</v>
      </c>
      <c r="X237" s="6">
        <v>1</v>
      </c>
      <c r="Y237" s="6">
        <v>0</v>
      </c>
      <c r="Z237" s="6">
        <v>1</v>
      </c>
      <c r="AA237" s="6">
        <v>6</v>
      </c>
      <c r="AB237" s="6">
        <v>0</v>
      </c>
      <c r="AC237" s="6">
        <v>1</v>
      </c>
      <c r="AD237" s="6">
        <v>3</v>
      </c>
      <c r="AE237" s="6">
        <v>2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1</v>
      </c>
      <c r="AM237" s="6">
        <v>6</v>
      </c>
      <c r="AN237" s="6">
        <v>0</v>
      </c>
      <c r="AO237" s="6">
        <v>1</v>
      </c>
      <c r="AP237" s="6">
        <v>1</v>
      </c>
      <c r="AQ237" s="6">
        <v>1</v>
      </c>
      <c r="AR237" s="6">
        <v>1</v>
      </c>
      <c r="AS237" s="6">
        <v>1</v>
      </c>
      <c r="AT237" s="6">
        <v>1</v>
      </c>
      <c r="AU237" s="6">
        <v>0</v>
      </c>
      <c r="AV237" s="6">
        <v>0</v>
      </c>
      <c r="AW237" s="6">
        <v>1</v>
      </c>
      <c r="AX237" s="6">
        <v>0</v>
      </c>
      <c r="AY237" s="5">
        <f t="shared" si="33"/>
        <v>41</v>
      </c>
      <c r="AZ237" s="20"/>
      <c r="BA237" s="20"/>
    </row>
    <row r="238" spans="1:53" x14ac:dyDescent="0.3">
      <c r="A238" s="11" t="s">
        <v>50</v>
      </c>
      <c r="B238" s="54"/>
      <c r="C238" s="24" t="s">
        <v>228</v>
      </c>
      <c r="D238" s="51"/>
      <c r="E238" s="6">
        <v>12</v>
      </c>
      <c r="F238" s="6">
        <v>16</v>
      </c>
      <c r="G238" s="6">
        <v>0</v>
      </c>
      <c r="H238" s="6">
        <v>0</v>
      </c>
      <c r="I238" s="6">
        <v>2</v>
      </c>
      <c r="J238" s="6">
        <v>0</v>
      </c>
      <c r="K238" s="6">
        <v>0</v>
      </c>
      <c r="L238" s="6">
        <v>2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1</v>
      </c>
      <c r="AA238" s="6">
        <v>1</v>
      </c>
      <c r="AB238" s="6">
        <v>0</v>
      </c>
      <c r="AC238" s="6">
        <v>0</v>
      </c>
      <c r="AD238" s="6">
        <v>1</v>
      </c>
      <c r="AE238" s="6">
        <v>4</v>
      </c>
      <c r="AF238" s="6">
        <v>0</v>
      </c>
      <c r="AG238" s="6">
        <v>0</v>
      </c>
      <c r="AH238" s="6">
        <v>0</v>
      </c>
      <c r="AI238" s="6">
        <v>1</v>
      </c>
      <c r="AJ238" s="6">
        <v>0</v>
      </c>
      <c r="AK238" s="6">
        <v>0</v>
      </c>
      <c r="AL238" s="6">
        <v>1</v>
      </c>
      <c r="AM238" s="6">
        <v>0</v>
      </c>
      <c r="AN238" s="6">
        <v>1</v>
      </c>
      <c r="AO238" s="6">
        <v>0</v>
      </c>
      <c r="AP238" s="6">
        <v>1</v>
      </c>
      <c r="AQ238" s="6">
        <v>0</v>
      </c>
      <c r="AR238" s="6">
        <v>0</v>
      </c>
      <c r="AS238" s="6">
        <v>0</v>
      </c>
      <c r="AT238" s="6">
        <v>0</v>
      </c>
      <c r="AU238" s="6">
        <v>1</v>
      </c>
      <c r="AV238" s="6">
        <v>1</v>
      </c>
      <c r="AW238" s="6">
        <v>3</v>
      </c>
      <c r="AX238" s="6">
        <v>5</v>
      </c>
      <c r="AY238" s="5">
        <f t="shared" si="33"/>
        <v>53</v>
      </c>
      <c r="AZ238" s="20"/>
      <c r="BA238" s="20"/>
    </row>
    <row r="239" spans="1:53" x14ac:dyDescent="0.3">
      <c r="A239" s="7"/>
      <c r="B239" s="54"/>
      <c r="C239" s="24" t="s">
        <v>229</v>
      </c>
      <c r="D239" s="51"/>
      <c r="E239" s="6">
        <v>2</v>
      </c>
      <c r="F239" s="6">
        <v>1</v>
      </c>
      <c r="G239" s="6">
        <v>0</v>
      </c>
      <c r="H239" s="6">
        <v>0</v>
      </c>
      <c r="I239" s="6">
        <v>0</v>
      </c>
      <c r="J239" s="6">
        <v>0</v>
      </c>
      <c r="K239" s="6">
        <v>2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2</v>
      </c>
      <c r="R239" s="6">
        <v>0</v>
      </c>
      <c r="S239" s="6">
        <v>51</v>
      </c>
      <c r="T239" s="6">
        <v>0</v>
      </c>
      <c r="U239" s="6">
        <v>1</v>
      </c>
      <c r="V239" s="6">
        <v>0</v>
      </c>
      <c r="W239" s="6">
        <v>9</v>
      </c>
      <c r="X239" s="6">
        <v>17</v>
      </c>
      <c r="Y239" s="6">
        <v>9</v>
      </c>
      <c r="Z239" s="6">
        <v>3</v>
      </c>
      <c r="AA239" s="6">
        <v>2</v>
      </c>
      <c r="AB239" s="6">
        <v>1</v>
      </c>
      <c r="AC239" s="6">
        <v>3</v>
      </c>
      <c r="AD239" s="6">
        <v>2</v>
      </c>
      <c r="AE239" s="6">
        <v>1</v>
      </c>
      <c r="AF239" s="6">
        <v>0</v>
      </c>
      <c r="AG239" s="6">
        <v>2</v>
      </c>
      <c r="AH239" s="6">
        <v>1</v>
      </c>
      <c r="AI239" s="6">
        <v>3</v>
      </c>
      <c r="AJ239" s="6">
        <v>0</v>
      </c>
      <c r="AK239" s="6">
        <v>0</v>
      </c>
      <c r="AL239" s="6">
        <v>1</v>
      </c>
      <c r="AM239" s="6">
        <v>1</v>
      </c>
      <c r="AN239" s="6">
        <v>2</v>
      </c>
      <c r="AO239" s="6">
        <v>0</v>
      </c>
      <c r="AP239" s="6">
        <v>1</v>
      </c>
      <c r="AQ239" s="6">
        <v>3</v>
      </c>
      <c r="AR239" s="6">
        <v>0</v>
      </c>
      <c r="AS239" s="6">
        <v>2</v>
      </c>
      <c r="AT239" s="6">
        <v>4</v>
      </c>
      <c r="AU239" s="6">
        <v>0</v>
      </c>
      <c r="AV239" s="6">
        <v>1</v>
      </c>
      <c r="AW239" s="6">
        <v>6</v>
      </c>
      <c r="AX239" s="6">
        <v>0</v>
      </c>
      <c r="AY239" s="5">
        <f t="shared" si="33"/>
        <v>133</v>
      </c>
      <c r="AZ239" s="20"/>
      <c r="BA239" s="20"/>
    </row>
    <row r="240" spans="1:53" ht="13.15" customHeight="1" x14ac:dyDescent="0.3">
      <c r="A240" s="7"/>
      <c r="B240" s="54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2</v>
      </c>
      <c r="T240" s="6">
        <v>0</v>
      </c>
      <c r="U240" s="6">
        <v>0</v>
      </c>
      <c r="V240" s="6">
        <v>0</v>
      </c>
      <c r="W240" s="6">
        <v>0</v>
      </c>
      <c r="X240" s="6">
        <v>1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1</v>
      </c>
      <c r="AU240" s="6">
        <v>0</v>
      </c>
      <c r="AV240" s="6">
        <v>0</v>
      </c>
      <c r="AW240" s="6">
        <v>0</v>
      </c>
      <c r="AX240" s="6">
        <v>1</v>
      </c>
      <c r="AY240" s="5">
        <f t="shared" si="33"/>
        <v>5</v>
      </c>
      <c r="AZ240" s="1"/>
      <c r="BA240" s="1"/>
    </row>
    <row r="241" spans="1:51" x14ac:dyDescent="0.3">
      <c r="A241" s="7"/>
      <c r="B241" s="54"/>
      <c r="C241" s="24" t="s">
        <v>231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1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1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1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2</v>
      </c>
      <c r="AU241" s="6">
        <v>0</v>
      </c>
      <c r="AV241" s="6">
        <v>0</v>
      </c>
      <c r="AW241" s="6">
        <v>0</v>
      </c>
      <c r="AX241" s="6">
        <v>0</v>
      </c>
      <c r="AY241" s="5">
        <f t="shared" si="33"/>
        <v>6</v>
      </c>
    </row>
    <row r="242" spans="1:51" ht="12.75" customHeight="1" x14ac:dyDescent="0.3">
      <c r="A242" s="7"/>
      <c r="B242" s="54"/>
      <c r="C242" s="24" t="s">
        <v>232</v>
      </c>
      <c r="D242" s="51"/>
      <c r="E242" s="6">
        <v>1</v>
      </c>
      <c r="F242" s="6">
        <v>1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1</v>
      </c>
      <c r="X242" s="6">
        <v>0</v>
      </c>
      <c r="Y242" s="6">
        <v>2</v>
      </c>
      <c r="Z242" s="6">
        <v>0</v>
      </c>
      <c r="AA242" s="6">
        <v>1</v>
      </c>
      <c r="AB242" s="6">
        <v>3</v>
      </c>
      <c r="AC242" s="6">
        <v>0</v>
      </c>
      <c r="AD242" s="6">
        <v>4</v>
      </c>
      <c r="AE242" s="6">
        <v>0</v>
      </c>
      <c r="AF242" s="6">
        <v>0</v>
      </c>
      <c r="AG242" s="6">
        <v>21</v>
      </c>
      <c r="AH242" s="6">
        <v>0</v>
      </c>
      <c r="AI242" s="6">
        <v>0</v>
      </c>
      <c r="AJ242" s="6">
        <v>0</v>
      </c>
      <c r="AK242" s="6">
        <v>1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1</v>
      </c>
      <c r="AW242" s="6">
        <v>0</v>
      </c>
      <c r="AX242" s="6">
        <v>2</v>
      </c>
      <c r="AY242" s="5">
        <f t="shared" si="33"/>
        <v>39</v>
      </c>
    </row>
    <row r="243" spans="1:51" x14ac:dyDescent="0.3">
      <c r="A243" s="7"/>
      <c r="B243" s="54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1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1</v>
      </c>
      <c r="AA243" s="6">
        <v>0</v>
      </c>
      <c r="AB243" s="6">
        <v>0</v>
      </c>
      <c r="AC243" s="6">
        <v>1</v>
      </c>
      <c r="AD243" s="6">
        <v>0</v>
      </c>
      <c r="AE243" s="6">
        <v>0</v>
      </c>
      <c r="AF243" s="6">
        <v>0</v>
      </c>
      <c r="AG243" s="6">
        <v>2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2</v>
      </c>
      <c r="AN243" s="6">
        <v>2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1</v>
      </c>
      <c r="AY243" s="5">
        <f t="shared" si="33"/>
        <v>10</v>
      </c>
    </row>
    <row r="244" spans="1:51" x14ac:dyDescent="0.3">
      <c r="A244" s="7"/>
      <c r="B244" s="54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1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5">
        <f t="shared" si="33"/>
        <v>1</v>
      </c>
    </row>
    <row r="245" spans="1:51" x14ac:dyDescent="0.3">
      <c r="A245" s="7"/>
      <c r="B245" s="54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2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1</v>
      </c>
      <c r="AX245" s="6">
        <v>0</v>
      </c>
      <c r="AY245" s="5">
        <f t="shared" si="33"/>
        <v>4</v>
      </c>
    </row>
    <row r="246" spans="1:51" x14ac:dyDescent="0.3">
      <c r="A246" s="7"/>
      <c r="B246" s="54"/>
      <c r="C246" s="24" t="s">
        <v>236</v>
      </c>
      <c r="D246" s="51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1</v>
      </c>
      <c r="AE246" s="6">
        <v>1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5">
        <f t="shared" si="33"/>
        <v>2</v>
      </c>
    </row>
    <row r="247" spans="1:51" ht="12.75" customHeight="1" x14ac:dyDescent="0.3">
      <c r="A247" s="6" t="s">
        <v>26</v>
      </c>
      <c r="B247" s="69" t="s">
        <v>51</v>
      </c>
      <c r="C247" s="70"/>
      <c r="D247" s="71"/>
      <c r="E247" s="5">
        <f>SUM(E237:E246)</f>
        <v>20</v>
      </c>
      <c r="F247" s="5">
        <f t="shared" ref="F247:AY247" si="37">SUM(F237:F246)</f>
        <v>19</v>
      </c>
      <c r="G247" s="5">
        <f t="shared" si="37"/>
        <v>0</v>
      </c>
      <c r="H247" s="5">
        <f t="shared" si="37"/>
        <v>3</v>
      </c>
      <c r="I247" s="5">
        <f t="shared" si="37"/>
        <v>2</v>
      </c>
      <c r="J247" s="5">
        <f t="shared" si="37"/>
        <v>3</v>
      </c>
      <c r="K247" s="5">
        <f t="shared" si="37"/>
        <v>3</v>
      </c>
      <c r="L247" s="5">
        <f t="shared" si="37"/>
        <v>4</v>
      </c>
      <c r="M247" s="5">
        <f t="shared" si="37"/>
        <v>0</v>
      </c>
      <c r="N247" s="5">
        <f t="shared" si="37"/>
        <v>0</v>
      </c>
      <c r="O247" s="5">
        <f t="shared" si="37"/>
        <v>0</v>
      </c>
      <c r="P247" s="5">
        <f t="shared" si="37"/>
        <v>0</v>
      </c>
      <c r="Q247" s="5">
        <f t="shared" si="37"/>
        <v>3</v>
      </c>
      <c r="R247" s="5">
        <f t="shared" si="37"/>
        <v>0</v>
      </c>
      <c r="S247" s="5">
        <f t="shared" si="37"/>
        <v>55</v>
      </c>
      <c r="T247" s="5">
        <f t="shared" si="37"/>
        <v>0</v>
      </c>
      <c r="U247" s="5">
        <f t="shared" si="37"/>
        <v>1</v>
      </c>
      <c r="V247" s="5">
        <f t="shared" si="37"/>
        <v>0</v>
      </c>
      <c r="W247" s="5">
        <f t="shared" si="37"/>
        <v>10</v>
      </c>
      <c r="X247" s="5">
        <f t="shared" si="37"/>
        <v>20</v>
      </c>
      <c r="Y247" s="5">
        <f t="shared" si="37"/>
        <v>11</v>
      </c>
      <c r="Z247" s="5">
        <f t="shared" si="37"/>
        <v>6</v>
      </c>
      <c r="AA247" s="5">
        <f t="shared" si="37"/>
        <v>10</v>
      </c>
      <c r="AB247" s="5">
        <f t="shared" si="37"/>
        <v>4</v>
      </c>
      <c r="AC247" s="5">
        <f t="shared" si="37"/>
        <v>5</v>
      </c>
      <c r="AD247" s="5">
        <f t="shared" si="37"/>
        <v>12</v>
      </c>
      <c r="AE247" s="5">
        <f t="shared" si="37"/>
        <v>8</v>
      </c>
      <c r="AF247" s="5">
        <f t="shared" si="37"/>
        <v>0</v>
      </c>
      <c r="AG247" s="5">
        <f t="shared" si="37"/>
        <v>25</v>
      </c>
      <c r="AH247" s="5">
        <f t="shared" si="37"/>
        <v>1</v>
      </c>
      <c r="AI247" s="5">
        <f t="shared" si="37"/>
        <v>4</v>
      </c>
      <c r="AJ247" s="5">
        <f t="shared" si="37"/>
        <v>0</v>
      </c>
      <c r="AK247" s="5">
        <f t="shared" si="37"/>
        <v>1</v>
      </c>
      <c r="AL247" s="5">
        <f t="shared" si="37"/>
        <v>3</v>
      </c>
      <c r="AM247" s="5">
        <f t="shared" si="37"/>
        <v>12</v>
      </c>
      <c r="AN247" s="5">
        <f t="shared" si="37"/>
        <v>5</v>
      </c>
      <c r="AO247" s="5">
        <f t="shared" si="37"/>
        <v>1</v>
      </c>
      <c r="AP247" s="5">
        <f t="shared" si="37"/>
        <v>3</v>
      </c>
      <c r="AQ247" s="5">
        <f t="shared" si="37"/>
        <v>4</v>
      </c>
      <c r="AR247" s="5">
        <f t="shared" si="37"/>
        <v>1</v>
      </c>
      <c r="AS247" s="5">
        <f t="shared" si="37"/>
        <v>3</v>
      </c>
      <c r="AT247" s="5">
        <f t="shared" si="37"/>
        <v>8</v>
      </c>
      <c r="AU247" s="5">
        <f t="shared" si="37"/>
        <v>1</v>
      </c>
      <c r="AV247" s="5">
        <f t="shared" si="37"/>
        <v>3</v>
      </c>
      <c r="AW247" s="5">
        <f t="shared" si="37"/>
        <v>11</v>
      </c>
      <c r="AX247" s="5">
        <f t="shared" si="37"/>
        <v>9</v>
      </c>
      <c r="AY247" s="5">
        <f t="shared" si="37"/>
        <v>294</v>
      </c>
    </row>
    <row r="248" spans="1:51" x14ac:dyDescent="0.3">
      <c r="A248" s="77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9"/>
      <c r="AY248" s="5">
        <f t="shared" si="33"/>
        <v>0</v>
      </c>
    </row>
    <row r="249" spans="1:51" x14ac:dyDescent="0.3">
      <c r="A249" s="11" t="s">
        <v>48</v>
      </c>
      <c r="B249" s="17" t="s">
        <v>81</v>
      </c>
      <c r="C249" s="75" t="s">
        <v>82</v>
      </c>
      <c r="D249" s="76"/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1</v>
      </c>
      <c r="O249" s="6">
        <v>0</v>
      </c>
      <c r="P249" s="6">
        <v>0</v>
      </c>
      <c r="Q249" s="6">
        <v>0</v>
      </c>
      <c r="R249" s="6">
        <v>1</v>
      </c>
      <c r="S249" s="6">
        <v>2</v>
      </c>
      <c r="T249" s="6">
        <v>0</v>
      </c>
      <c r="U249" s="6">
        <v>0</v>
      </c>
      <c r="V249" s="6">
        <v>0</v>
      </c>
      <c r="W249" s="6">
        <v>1</v>
      </c>
      <c r="X249" s="6">
        <v>0</v>
      </c>
      <c r="Y249" s="6">
        <v>0</v>
      </c>
      <c r="Z249" s="6">
        <v>0</v>
      </c>
      <c r="AA249" s="6">
        <v>0</v>
      </c>
      <c r="AB249" s="6">
        <v>2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1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1</v>
      </c>
      <c r="AY249" s="5">
        <f t="shared" si="33"/>
        <v>11</v>
      </c>
    </row>
    <row r="250" spans="1:51" x14ac:dyDescent="0.3">
      <c r="A250" s="11" t="s">
        <v>50</v>
      </c>
      <c r="B250" s="54"/>
      <c r="C250" s="24" t="s">
        <v>237</v>
      </c>
      <c r="D250" s="51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2</v>
      </c>
      <c r="N250" s="6">
        <v>1</v>
      </c>
      <c r="O250" s="6">
        <v>0</v>
      </c>
      <c r="P250" s="6">
        <v>0</v>
      </c>
      <c r="Q250" s="6">
        <v>4</v>
      </c>
      <c r="R250" s="6">
        <v>11</v>
      </c>
      <c r="S250" s="6">
        <v>3</v>
      </c>
      <c r="T250" s="6">
        <v>2</v>
      </c>
      <c r="U250" s="6">
        <v>0</v>
      </c>
      <c r="V250" s="6">
        <v>0</v>
      </c>
      <c r="W250" s="6">
        <v>2</v>
      </c>
      <c r="X250" s="6">
        <v>2</v>
      </c>
      <c r="Y250" s="6">
        <v>0</v>
      </c>
      <c r="Z250" s="6">
        <v>1</v>
      </c>
      <c r="AA250" s="6">
        <v>3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1</v>
      </c>
      <c r="AK250" s="6">
        <v>0</v>
      </c>
      <c r="AL250" s="6">
        <v>1</v>
      </c>
      <c r="AM250" s="6">
        <v>1</v>
      </c>
      <c r="AN250" s="6">
        <v>0</v>
      </c>
      <c r="AO250" s="6">
        <v>0</v>
      </c>
      <c r="AP250" s="6">
        <v>0</v>
      </c>
      <c r="AQ250" s="6">
        <v>0</v>
      </c>
      <c r="AR250" s="6">
        <v>2</v>
      </c>
      <c r="AS250" s="6">
        <v>1</v>
      </c>
      <c r="AT250" s="6">
        <v>0</v>
      </c>
      <c r="AU250" s="6">
        <v>0</v>
      </c>
      <c r="AV250" s="6">
        <v>0</v>
      </c>
      <c r="AW250" s="6">
        <v>0</v>
      </c>
      <c r="AX250" s="6"/>
      <c r="AY250" s="5">
        <f t="shared" si="33"/>
        <v>37</v>
      </c>
    </row>
    <row r="251" spans="1:51" x14ac:dyDescent="0.3">
      <c r="A251" s="7"/>
      <c r="B251" s="54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/>
      <c r="AY251" s="5">
        <f t="shared" si="33"/>
        <v>0</v>
      </c>
    </row>
    <row r="252" spans="1:51" x14ac:dyDescent="0.3">
      <c r="A252" s="7"/>
      <c r="B252" s="54"/>
      <c r="C252" s="24" t="s">
        <v>239</v>
      </c>
      <c r="D252" s="51"/>
      <c r="E252" s="6">
        <v>1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1</v>
      </c>
      <c r="O252" s="6">
        <v>0</v>
      </c>
      <c r="P252" s="6">
        <v>0</v>
      </c>
      <c r="Q252" s="6">
        <v>1</v>
      </c>
      <c r="R252" s="6">
        <v>0</v>
      </c>
      <c r="S252" s="6">
        <v>4</v>
      </c>
      <c r="T252" s="6">
        <v>0</v>
      </c>
      <c r="U252" s="6">
        <v>0</v>
      </c>
      <c r="V252" s="6">
        <v>0</v>
      </c>
      <c r="W252" s="6">
        <v>1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1</v>
      </c>
      <c r="AE252" s="6">
        <v>0</v>
      </c>
      <c r="AF252" s="6">
        <v>6</v>
      </c>
      <c r="AG252" s="6">
        <v>4</v>
      </c>
      <c r="AH252" s="6">
        <v>0</v>
      </c>
      <c r="AI252" s="6">
        <v>0</v>
      </c>
      <c r="AJ252" s="6">
        <v>1</v>
      </c>
      <c r="AK252" s="6">
        <v>0</v>
      </c>
      <c r="AL252" s="6">
        <v>1</v>
      </c>
      <c r="AM252" s="6">
        <v>3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1</v>
      </c>
      <c r="AX252" s="6"/>
      <c r="AY252" s="5">
        <f t="shared" si="33"/>
        <v>25</v>
      </c>
    </row>
    <row r="253" spans="1:51" x14ac:dyDescent="0.3">
      <c r="A253" s="7"/>
      <c r="B253" s="46"/>
      <c r="C253" s="66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5">
        <f t="shared" si="33"/>
        <v>0</v>
      </c>
    </row>
    <row r="254" spans="1:51" x14ac:dyDescent="0.3">
      <c r="A254" s="7"/>
      <c r="B254" s="46"/>
      <c r="C254" s="66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5">
        <f t="shared" si="33"/>
        <v>0</v>
      </c>
    </row>
    <row r="255" spans="1:51" x14ac:dyDescent="0.3">
      <c r="A255" s="7"/>
      <c r="B255" s="46"/>
      <c r="C255" s="66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5">
        <f t="shared" si="33"/>
        <v>0</v>
      </c>
    </row>
    <row r="256" spans="1:51" x14ac:dyDescent="0.3">
      <c r="A256" s="7"/>
      <c r="B256" s="46"/>
      <c r="C256" s="66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5">
        <f t="shared" si="33"/>
        <v>0</v>
      </c>
    </row>
    <row r="257" spans="1:51" x14ac:dyDescent="0.3">
      <c r="A257" s="7"/>
      <c r="B257" s="46"/>
      <c r="C257" s="66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5">
        <f t="shared" si="33"/>
        <v>0</v>
      </c>
    </row>
    <row r="258" spans="1:51" x14ac:dyDescent="0.3">
      <c r="A258" s="7"/>
      <c r="B258" s="46"/>
      <c r="C258" s="66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5">
        <f t="shared" si="33"/>
        <v>0</v>
      </c>
    </row>
    <row r="259" spans="1:51" x14ac:dyDescent="0.3">
      <c r="A259" s="6" t="s">
        <v>26</v>
      </c>
      <c r="B259" s="69" t="s">
        <v>51</v>
      </c>
      <c r="C259" s="70"/>
      <c r="D259" s="71"/>
      <c r="E259" s="5">
        <f>SUM(E249:E258)</f>
        <v>2</v>
      </c>
      <c r="F259" s="5">
        <f t="shared" ref="F259:AY259" si="38">SUM(F249:F258)</f>
        <v>0</v>
      </c>
      <c r="G259" s="5">
        <f t="shared" si="38"/>
        <v>0</v>
      </c>
      <c r="H259" s="5">
        <f t="shared" si="38"/>
        <v>0</v>
      </c>
      <c r="I259" s="5">
        <f t="shared" si="38"/>
        <v>0</v>
      </c>
      <c r="J259" s="5">
        <f t="shared" si="38"/>
        <v>1</v>
      </c>
      <c r="K259" s="5">
        <f t="shared" si="38"/>
        <v>0</v>
      </c>
      <c r="L259" s="5">
        <f t="shared" si="38"/>
        <v>0</v>
      </c>
      <c r="M259" s="5">
        <f t="shared" si="38"/>
        <v>2</v>
      </c>
      <c r="N259" s="5">
        <f t="shared" si="38"/>
        <v>3</v>
      </c>
      <c r="O259" s="5">
        <f t="shared" si="38"/>
        <v>0</v>
      </c>
      <c r="P259" s="5">
        <f t="shared" si="38"/>
        <v>0</v>
      </c>
      <c r="Q259" s="5">
        <f t="shared" si="38"/>
        <v>5</v>
      </c>
      <c r="R259" s="5">
        <f t="shared" si="38"/>
        <v>12</v>
      </c>
      <c r="S259" s="5">
        <f t="shared" si="38"/>
        <v>9</v>
      </c>
      <c r="T259" s="5">
        <f t="shared" si="38"/>
        <v>2</v>
      </c>
      <c r="U259" s="5">
        <f t="shared" si="38"/>
        <v>0</v>
      </c>
      <c r="V259" s="5">
        <f t="shared" si="38"/>
        <v>0</v>
      </c>
      <c r="W259" s="5">
        <f t="shared" si="38"/>
        <v>4</v>
      </c>
      <c r="X259" s="5">
        <f t="shared" si="38"/>
        <v>2</v>
      </c>
      <c r="Y259" s="5">
        <f t="shared" si="38"/>
        <v>0</v>
      </c>
      <c r="Z259" s="5">
        <f t="shared" si="38"/>
        <v>1</v>
      </c>
      <c r="AA259" s="5">
        <f t="shared" si="38"/>
        <v>3</v>
      </c>
      <c r="AB259" s="5">
        <f t="shared" si="38"/>
        <v>2</v>
      </c>
      <c r="AC259" s="5">
        <f t="shared" si="38"/>
        <v>0</v>
      </c>
      <c r="AD259" s="5">
        <f t="shared" si="38"/>
        <v>1</v>
      </c>
      <c r="AE259" s="5">
        <f t="shared" si="38"/>
        <v>0</v>
      </c>
      <c r="AF259" s="5">
        <f t="shared" si="38"/>
        <v>6</v>
      </c>
      <c r="AG259" s="5">
        <f t="shared" si="38"/>
        <v>4</v>
      </c>
      <c r="AH259" s="5">
        <f t="shared" si="38"/>
        <v>0</v>
      </c>
      <c r="AI259" s="5">
        <f t="shared" si="38"/>
        <v>0</v>
      </c>
      <c r="AJ259" s="5">
        <f t="shared" si="38"/>
        <v>2</v>
      </c>
      <c r="AK259" s="5">
        <f t="shared" si="38"/>
        <v>0</v>
      </c>
      <c r="AL259" s="5">
        <f t="shared" si="38"/>
        <v>2</v>
      </c>
      <c r="AM259" s="5">
        <f t="shared" si="38"/>
        <v>4</v>
      </c>
      <c r="AN259" s="5">
        <f t="shared" si="38"/>
        <v>0</v>
      </c>
      <c r="AO259" s="5">
        <f t="shared" si="38"/>
        <v>0</v>
      </c>
      <c r="AP259" s="5">
        <f t="shared" si="38"/>
        <v>0</v>
      </c>
      <c r="AQ259" s="5">
        <f t="shared" si="38"/>
        <v>0</v>
      </c>
      <c r="AR259" s="5">
        <f t="shared" si="38"/>
        <v>3</v>
      </c>
      <c r="AS259" s="5">
        <f t="shared" si="38"/>
        <v>1</v>
      </c>
      <c r="AT259" s="5">
        <f t="shared" si="38"/>
        <v>0</v>
      </c>
      <c r="AU259" s="5">
        <f t="shared" si="38"/>
        <v>0</v>
      </c>
      <c r="AV259" s="5">
        <f t="shared" si="38"/>
        <v>0</v>
      </c>
      <c r="AW259" s="5">
        <f t="shared" si="38"/>
        <v>1</v>
      </c>
      <c r="AX259" s="5">
        <f t="shared" si="38"/>
        <v>1</v>
      </c>
      <c r="AY259" s="5">
        <f t="shared" si="38"/>
        <v>73</v>
      </c>
    </row>
    <row r="260" spans="1:51" x14ac:dyDescent="0.3">
      <c r="AY260" s="5">
        <f t="shared" si="33"/>
        <v>0</v>
      </c>
    </row>
    <row r="261" spans="1:51" x14ac:dyDescent="0.3">
      <c r="A261" s="16" t="s">
        <v>83</v>
      </c>
      <c r="B261" s="72" t="s">
        <v>84</v>
      </c>
      <c r="C261" s="73"/>
      <c r="D261" s="74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5"/>
      <c r="X261" s="5"/>
      <c r="Y261" s="5"/>
      <c r="Z261" s="5"/>
      <c r="AA261" s="5"/>
      <c r="AB261" s="5"/>
      <c r="AC261" s="5"/>
      <c r="AD261" s="5"/>
      <c r="AE261" s="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5">
        <f t="shared" si="33"/>
        <v>0</v>
      </c>
    </row>
    <row r="262" spans="1:51" x14ac:dyDescent="0.3">
      <c r="A262" s="16"/>
      <c r="B262" s="19" t="s">
        <v>85</v>
      </c>
      <c r="C262" s="67" t="s">
        <v>86</v>
      </c>
      <c r="D262" s="68"/>
      <c r="E262" s="6">
        <f>E55+E67+E79+E91+E103+E115+E127+E139+E151+E163+E175+E187+E199+E211+E223+E235+E247+E259</f>
        <v>160</v>
      </c>
      <c r="F262" s="6">
        <f t="shared" ref="F262:V262" si="39">F55+F67+F79+F91+F103+F115+F127+F139+F151+F163+F175+F187+F199+F211+F223+F235+F247+F259</f>
        <v>182</v>
      </c>
      <c r="G262" s="6">
        <f t="shared" si="39"/>
        <v>138</v>
      </c>
      <c r="H262" s="6">
        <f t="shared" si="39"/>
        <v>129</v>
      </c>
      <c r="I262" s="6">
        <f t="shared" si="39"/>
        <v>185</v>
      </c>
      <c r="J262" s="6">
        <f t="shared" si="39"/>
        <v>147</v>
      </c>
      <c r="K262" s="6">
        <f t="shared" si="39"/>
        <v>120</v>
      </c>
      <c r="L262" s="6">
        <f t="shared" si="39"/>
        <v>169</v>
      </c>
      <c r="M262" s="6">
        <f t="shared" si="39"/>
        <v>146</v>
      </c>
      <c r="N262" s="6">
        <f t="shared" si="39"/>
        <v>191</v>
      </c>
      <c r="O262" s="6">
        <f t="shared" si="39"/>
        <v>151</v>
      </c>
      <c r="P262" s="6">
        <f t="shared" si="39"/>
        <v>175</v>
      </c>
      <c r="Q262" s="6">
        <f t="shared" si="39"/>
        <v>159</v>
      </c>
      <c r="R262" s="6">
        <f t="shared" si="39"/>
        <v>135</v>
      </c>
      <c r="S262" s="6">
        <f t="shared" si="39"/>
        <v>168</v>
      </c>
      <c r="T262" s="6">
        <f t="shared" si="39"/>
        <v>140</v>
      </c>
      <c r="U262" s="6">
        <f t="shared" si="39"/>
        <v>196</v>
      </c>
      <c r="V262" s="6">
        <f t="shared" si="39"/>
        <v>199</v>
      </c>
      <c r="W262" s="6">
        <f>W55+W67+W79+W91+W103+W115+W127+W139+W151+W163+W175+W187+W199+W211+W223+W235+W247+W259</f>
        <v>183</v>
      </c>
      <c r="X262" s="6">
        <f t="shared" ref="X262:AX262" si="40">X55+X67+X79+X91+X103+X115+X127+X139+X151+X163+X175+X187+X199+X211+X223+X235+X247+X259</f>
        <v>193</v>
      </c>
      <c r="Y262" s="6">
        <f t="shared" si="40"/>
        <v>179</v>
      </c>
      <c r="Z262" s="6">
        <f t="shared" si="40"/>
        <v>182</v>
      </c>
      <c r="AA262" s="6">
        <f t="shared" si="40"/>
        <v>135</v>
      </c>
      <c r="AB262" s="6">
        <f t="shared" si="40"/>
        <v>151</v>
      </c>
      <c r="AC262" s="6">
        <f t="shared" si="40"/>
        <v>173</v>
      </c>
      <c r="AD262" s="6">
        <f t="shared" si="40"/>
        <v>180</v>
      </c>
      <c r="AE262" s="6">
        <f t="shared" si="40"/>
        <v>174</v>
      </c>
      <c r="AF262" s="6">
        <f t="shared" si="40"/>
        <v>149</v>
      </c>
      <c r="AG262" s="6">
        <f t="shared" si="40"/>
        <v>211</v>
      </c>
      <c r="AH262" s="6">
        <f t="shared" si="40"/>
        <v>113</v>
      </c>
      <c r="AI262" s="6">
        <f t="shared" si="40"/>
        <v>178</v>
      </c>
      <c r="AJ262" s="6">
        <f t="shared" si="40"/>
        <v>191</v>
      </c>
      <c r="AK262" s="6">
        <f t="shared" si="40"/>
        <v>204</v>
      </c>
      <c r="AL262" s="6">
        <f t="shared" si="40"/>
        <v>210</v>
      </c>
      <c r="AM262" s="6">
        <f t="shared" si="40"/>
        <v>213</v>
      </c>
      <c r="AN262" s="6">
        <f t="shared" si="40"/>
        <v>175</v>
      </c>
      <c r="AO262" s="6">
        <f t="shared" si="40"/>
        <v>199</v>
      </c>
      <c r="AP262" s="6">
        <f t="shared" si="40"/>
        <v>188</v>
      </c>
      <c r="AQ262" s="6">
        <f t="shared" si="40"/>
        <v>178</v>
      </c>
      <c r="AR262" s="6">
        <f t="shared" si="40"/>
        <v>186</v>
      </c>
      <c r="AS262" s="6">
        <f t="shared" si="40"/>
        <v>192</v>
      </c>
      <c r="AT262" s="6">
        <f t="shared" si="40"/>
        <v>182</v>
      </c>
      <c r="AU262" s="6">
        <f t="shared" si="40"/>
        <v>210</v>
      </c>
      <c r="AV262" s="6">
        <f t="shared" si="40"/>
        <v>196</v>
      </c>
      <c r="AW262" s="6">
        <f t="shared" si="40"/>
        <v>176</v>
      </c>
      <c r="AX262" s="6">
        <f t="shared" si="40"/>
        <v>182</v>
      </c>
      <c r="AY262" s="5">
        <f t="shared" si="33"/>
        <v>7973</v>
      </c>
    </row>
    <row r="263" spans="1:51" x14ac:dyDescent="0.3">
      <c r="A263" s="13"/>
      <c r="B263" s="19" t="s">
        <v>87</v>
      </c>
      <c r="C263" s="67" t="s">
        <v>88</v>
      </c>
      <c r="D263" s="68"/>
      <c r="E263" s="6">
        <v>22</v>
      </c>
      <c r="F263" s="6">
        <v>23</v>
      </c>
      <c r="G263" s="6">
        <v>33</v>
      </c>
      <c r="H263" s="6">
        <v>40</v>
      </c>
      <c r="I263" s="6">
        <v>23</v>
      </c>
      <c r="J263" s="6">
        <v>52</v>
      </c>
      <c r="K263" s="6">
        <v>47</v>
      </c>
      <c r="L263" s="6">
        <v>25</v>
      </c>
      <c r="M263" s="6">
        <v>20</v>
      </c>
      <c r="N263" s="6">
        <v>27</v>
      </c>
      <c r="O263" s="6">
        <v>41</v>
      </c>
      <c r="P263" s="6">
        <v>35</v>
      </c>
      <c r="Q263" s="6">
        <v>21</v>
      </c>
      <c r="R263" s="6">
        <v>18</v>
      </c>
      <c r="S263" s="6">
        <v>11</v>
      </c>
      <c r="T263" s="6">
        <v>61</v>
      </c>
      <c r="U263" s="6">
        <v>28</v>
      </c>
      <c r="V263" s="6">
        <v>21</v>
      </c>
      <c r="W263" s="6">
        <v>24</v>
      </c>
      <c r="X263" s="6">
        <v>38</v>
      </c>
      <c r="Y263" s="6">
        <v>36</v>
      </c>
      <c r="Z263" s="6">
        <v>22</v>
      </c>
      <c r="AA263" s="6">
        <v>58</v>
      </c>
      <c r="AB263" s="6">
        <v>31</v>
      </c>
      <c r="AC263" s="6">
        <v>26</v>
      </c>
      <c r="AD263" s="6">
        <v>23</v>
      </c>
      <c r="AE263" s="6">
        <v>17</v>
      </c>
      <c r="AF263" s="6">
        <v>12</v>
      </c>
      <c r="AG263" s="6">
        <v>12</v>
      </c>
      <c r="AH263" s="6">
        <v>9</v>
      </c>
      <c r="AI263" s="6">
        <v>24</v>
      </c>
      <c r="AJ263" s="6">
        <v>18</v>
      </c>
      <c r="AK263" s="6">
        <v>20</v>
      </c>
      <c r="AL263" s="6">
        <v>27</v>
      </c>
      <c r="AM263" s="6">
        <v>42</v>
      </c>
      <c r="AN263" s="6">
        <v>35</v>
      </c>
      <c r="AO263" s="6">
        <v>30</v>
      </c>
      <c r="AP263" s="6">
        <v>16</v>
      </c>
      <c r="AQ263" s="6">
        <v>18</v>
      </c>
      <c r="AR263" s="6">
        <v>12</v>
      </c>
      <c r="AS263" s="6">
        <v>18</v>
      </c>
      <c r="AT263" s="6">
        <v>28</v>
      </c>
      <c r="AU263" s="6">
        <v>20</v>
      </c>
      <c r="AV263" s="6">
        <v>9</v>
      </c>
      <c r="AW263" s="6">
        <v>15</v>
      </c>
      <c r="AX263" s="6">
        <v>18</v>
      </c>
      <c r="AY263" s="5">
        <f t="shared" si="33"/>
        <v>1206</v>
      </c>
    </row>
    <row r="264" spans="1:51" x14ac:dyDescent="0.3">
      <c r="A264" s="14"/>
      <c r="B264" s="19" t="s">
        <v>89</v>
      </c>
      <c r="C264" s="67" t="s">
        <v>90</v>
      </c>
      <c r="D264" s="68"/>
      <c r="E264" s="5">
        <f>SUM(E262:E263)</f>
        <v>182</v>
      </c>
      <c r="F264" s="5">
        <f t="shared" ref="F264:V264" si="41">SUM(F262:F263)</f>
        <v>205</v>
      </c>
      <c r="G264" s="5">
        <f t="shared" si="41"/>
        <v>171</v>
      </c>
      <c r="H264" s="5">
        <f t="shared" si="41"/>
        <v>169</v>
      </c>
      <c r="I264" s="5">
        <f t="shared" si="41"/>
        <v>208</v>
      </c>
      <c r="J264" s="5">
        <f t="shared" si="41"/>
        <v>199</v>
      </c>
      <c r="K264" s="5">
        <f t="shared" si="41"/>
        <v>167</v>
      </c>
      <c r="L264" s="5">
        <f t="shared" si="41"/>
        <v>194</v>
      </c>
      <c r="M264" s="5">
        <f t="shared" si="41"/>
        <v>166</v>
      </c>
      <c r="N264" s="5">
        <f t="shared" si="41"/>
        <v>218</v>
      </c>
      <c r="O264" s="5">
        <f t="shared" si="41"/>
        <v>192</v>
      </c>
      <c r="P264" s="5">
        <f t="shared" si="41"/>
        <v>210</v>
      </c>
      <c r="Q264" s="5">
        <f t="shared" si="41"/>
        <v>180</v>
      </c>
      <c r="R264" s="5">
        <f t="shared" si="41"/>
        <v>153</v>
      </c>
      <c r="S264" s="5">
        <f t="shared" si="41"/>
        <v>179</v>
      </c>
      <c r="T264" s="5">
        <f t="shared" si="41"/>
        <v>201</v>
      </c>
      <c r="U264" s="5">
        <f t="shared" si="41"/>
        <v>224</v>
      </c>
      <c r="V264" s="5">
        <f t="shared" si="41"/>
        <v>220</v>
      </c>
      <c r="W264" s="5">
        <f>SUM(W262:W263)</f>
        <v>207</v>
      </c>
      <c r="X264" s="5">
        <f t="shared" ref="X264:AX264" si="42">SUM(X262:X263)</f>
        <v>231</v>
      </c>
      <c r="Y264" s="5">
        <f t="shared" si="42"/>
        <v>215</v>
      </c>
      <c r="Z264" s="5">
        <f t="shared" si="42"/>
        <v>204</v>
      </c>
      <c r="AA264" s="5">
        <f t="shared" si="42"/>
        <v>193</v>
      </c>
      <c r="AB264" s="5">
        <f t="shared" si="42"/>
        <v>182</v>
      </c>
      <c r="AC264" s="5">
        <f t="shared" si="42"/>
        <v>199</v>
      </c>
      <c r="AD264" s="5">
        <f t="shared" si="42"/>
        <v>203</v>
      </c>
      <c r="AE264" s="5">
        <f t="shared" si="42"/>
        <v>191</v>
      </c>
      <c r="AF264" s="5">
        <f t="shared" si="42"/>
        <v>161</v>
      </c>
      <c r="AG264" s="5">
        <f t="shared" si="42"/>
        <v>223</v>
      </c>
      <c r="AH264" s="5">
        <f t="shared" si="42"/>
        <v>122</v>
      </c>
      <c r="AI264" s="5">
        <f t="shared" si="42"/>
        <v>202</v>
      </c>
      <c r="AJ264" s="5">
        <f t="shared" si="42"/>
        <v>209</v>
      </c>
      <c r="AK264" s="5">
        <f t="shared" si="42"/>
        <v>224</v>
      </c>
      <c r="AL264" s="5">
        <f t="shared" si="42"/>
        <v>237</v>
      </c>
      <c r="AM264" s="5">
        <f t="shared" si="42"/>
        <v>255</v>
      </c>
      <c r="AN264" s="5">
        <f t="shared" si="42"/>
        <v>210</v>
      </c>
      <c r="AO264" s="5">
        <f t="shared" si="42"/>
        <v>229</v>
      </c>
      <c r="AP264" s="5">
        <f t="shared" si="42"/>
        <v>204</v>
      </c>
      <c r="AQ264" s="5">
        <f t="shared" si="42"/>
        <v>196</v>
      </c>
      <c r="AR264" s="5">
        <f t="shared" si="42"/>
        <v>198</v>
      </c>
      <c r="AS264" s="5">
        <f t="shared" si="42"/>
        <v>210</v>
      </c>
      <c r="AT264" s="5">
        <f t="shared" si="42"/>
        <v>210</v>
      </c>
      <c r="AU264" s="5">
        <f t="shared" si="42"/>
        <v>230</v>
      </c>
      <c r="AV264" s="5">
        <f t="shared" si="42"/>
        <v>205</v>
      </c>
      <c r="AW264" s="5">
        <f t="shared" si="42"/>
        <v>191</v>
      </c>
      <c r="AX264" s="5">
        <f t="shared" si="42"/>
        <v>200</v>
      </c>
      <c r="AY264" s="5">
        <f t="shared" si="33"/>
        <v>9179</v>
      </c>
    </row>
  </sheetData>
  <mergeCells count="88">
    <mergeCell ref="A17:D17"/>
    <mergeCell ref="B18:D18"/>
    <mergeCell ref="B19:B21"/>
    <mergeCell ref="C19:C21"/>
    <mergeCell ref="B22:B24"/>
    <mergeCell ref="C22:C24"/>
    <mergeCell ref="B12:D12"/>
    <mergeCell ref="W12:AX12"/>
    <mergeCell ref="AY12:AY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W37:AA37"/>
    <mergeCell ref="B38:D38"/>
    <mergeCell ref="A42:D42"/>
    <mergeCell ref="W42:AA42"/>
    <mergeCell ref="B43:D43"/>
    <mergeCell ref="E37:I37"/>
    <mergeCell ref="E42:I42"/>
    <mergeCell ref="B39:C41"/>
    <mergeCell ref="A44:D44"/>
    <mergeCell ref="C45:D45"/>
    <mergeCell ref="C93:D93"/>
    <mergeCell ref="B55:D55"/>
    <mergeCell ref="A56:W56"/>
    <mergeCell ref="C57:D57"/>
    <mergeCell ref="B67:D67"/>
    <mergeCell ref="A68:W68"/>
    <mergeCell ref="C69:D69"/>
    <mergeCell ref="B79:D79"/>
    <mergeCell ref="A80:W80"/>
    <mergeCell ref="C81:D81"/>
    <mergeCell ref="B91:D91"/>
    <mergeCell ref="A92:W92"/>
    <mergeCell ref="C141:D141"/>
    <mergeCell ref="B103:D103"/>
    <mergeCell ref="A104:W104"/>
    <mergeCell ref="C105:D105"/>
    <mergeCell ref="B115:D115"/>
    <mergeCell ref="A116:W116"/>
    <mergeCell ref="C117:D117"/>
    <mergeCell ref="B127:D127"/>
    <mergeCell ref="A128:W128"/>
    <mergeCell ref="C129:D129"/>
    <mergeCell ref="B139:D139"/>
    <mergeCell ref="A140:W140"/>
    <mergeCell ref="C189:D189"/>
    <mergeCell ref="B151:D151"/>
    <mergeCell ref="A152:W152"/>
    <mergeCell ref="C153:D153"/>
    <mergeCell ref="B163:D163"/>
    <mergeCell ref="A164:W164"/>
    <mergeCell ref="C165:D165"/>
    <mergeCell ref="B175:D175"/>
    <mergeCell ref="A176:W176"/>
    <mergeCell ref="C177:D177"/>
    <mergeCell ref="B187:D187"/>
    <mergeCell ref="A188:W188"/>
    <mergeCell ref="C237:D237"/>
    <mergeCell ref="B199:D199"/>
    <mergeCell ref="A200:W200"/>
    <mergeCell ref="C201:D201"/>
    <mergeCell ref="B211:D211"/>
    <mergeCell ref="A212:W212"/>
    <mergeCell ref="C213:D213"/>
    <mergeCell ref="B223:D223"/>
    <mergeCell ref="A224:W224"/>
    <mergeCell ref="C225:D225"/>
    <mergeCell ref="B235:D235"/>
    <mergeCell ref="A236:W236"/>
    <mergeCell ref="C263:D263"/>
    <mergeCell ref="C264:D264"/>
    <mergeCell ref="B247:D247"/>
    <mergeCell ref="A248:W248"/>
    <mergeCell ref="C249:D249"/>
    <mergeCell ref="B259:D259"/>
    <mergeCell ref="B261:D261"/>
    <mergeCell ref="C262:D262"/>
  </mergeCells>
  <phoneticPr fontId="9" type="noConversion"/>
  <conditionalFormatting sqref="E34:T34">
    <cfRule type="expression" dxfId="177" priority="23">
      <formula>E34&lt;&gt;E64</formula>
    </cfRule>
  </conditionalFormatting>
  <conditionalFormatting sqref="E14:AX15">
    <cfRule type="containsBlanks" dxfId="176" priority="20">
      <formula>LEN(TRIM(E14))=0</formula>
    </cfRule>
  </conditionalFormatting>
  <conditionalFormatting sqref="E19:AX20">
    <cfRule type="containsBlanks" dxfId="175" priority="21">
      <formula>LEN(TRIM(E19))=0</formula>
    </cfRule>
  </conditionalFormatting>
  <conditionalFormatting sqref="E22:AX23 E25:AX26 E33:AX33 E35:AX35 E39:AX40">
    <cfRule type="containsBlanks" dxfId="174" priority="48">
      <formula>LEN(TRIM(E22))=0</formula>
    </cfRule>
  </conditionalFormatting>
  <conditionalFormatting sqref="E30:AX30">
    <cfRule type="expression" dxfId="173" priority="49">
      <formula>E30&lt;&gt;E47</formula>
    </cfRule>
    <cfRule type="expression" dxfId="172" priority="50">
      <formula>E30&lt;&gt;E34</formula>
    </cfRule>
  </conditionalFormatting>
  <conditionalFormatting sqref="E34:AX34">
    <cfRule type="expression" dxfId="171" priority="45">
      <formula>E30&lt;&gt;E34</formula>
    </cfRule>
    <cfRule type="expression" dxfId="170" priority="46">
      <formula>E30=E34</formula>
    </cfRule>
    <cfRule type="expression" dxfId="169" priority="51">
      <formula>E34&lt;&gt;E30</formula>
    </cfRule>
  </conditionalFormatting>
  <conditionalFormatting sqref="E45:AX54">
    <cfRule type="containsBlanks" dxfId="168" priority="19">
      <formula>LEN(TRIM(E45))=0</formula>
    </cfRule>
  </conditionalFormatting>
  <conditionalFormatting sqref="E57:AX66">
    <cfRule type="containsBlanks" dxfId="167" priority="18">
      <formula>LEN(TRIM(E57))=0</formula>
    </cfRule>
  </conditionalFormatting>
  <conditionalFormatting sqref="E69:AX78">
    <cfRule type="containsBlanks" dxfId="166" priority="17">
      <formula>LEN(TRIM(E69))=0</formula>
    </cfRule>
  </conditionalFormatting>
  <conditionalFormatting sqref="E81:AX90">
    <cfRule type="containsBlanks" dxfId="165" priority="16">
      <formula>LEN(TRIM(E81))=0</formula>
    </cfRule>
  </conditionalFormatting>
  <conditionalFormatting sqref="E93:AX102">
    <cfRule type="containsBlanks" dxfId="164" priority="15">
      <formula>LEN(TRIM(E93))=0</formula>
    </cfRule>
  </conditionalFormatting>
  <conditionalFormatting sqref="E105:AX114">
    <cfRule type="containsBlanks" dxfId="163" priority="14">
      <formula>LEN(TRIM(E105))=0</formula>
    </cfRule>
  </conditionalFormatting>
  <conditionalFormatting sqref="E117:AX126">
    <cfRule type="containsBlanks" dxfId="162" priority="1">
      <formula>LEN(TRIM(E117))=0</formula>
    </cfRule>
  </conditionalFormatting>
  <conditionalFormatting sqref="E129:AX138">
    <cfRule type="containsBlanks" dxfId="161" priority="13">
      <formula>LEN(TRIM(E129))=0</formula>
    </cfRule>
  </conditionalFormatting>
  <conditionalFormatting sqref="E141:AX150">
    <cfRule type="containsBlanks" dxfId="160" priority="12">
      <formula>LEN(TRIM(E141))=0</formula>
    </cfRule>
  </conditionalFormatting>
  <conditionalFormatting sqref="E153:AX162">
    <cfRule type="containsBlanks" dxfId="159" priority="3">
      <formula>LEN(TRIM(E153))=0</formula>
    </cfRule>
  </conditionalFormatting>
  <conditionalFormatting sqref="E165:AX174">
    <cfRule type="containsBlanks" dxfId="158" priority="11">
      <formula>LEN(TRIM(E165))=0</formula>
    </cfRule>
  </conditionalFormatting>
  <conditionalFormatting sqref="E177:AX186">
    <cfRule type="containsBlanks" dxfId="157" priority="10">
      <formula>LEN(TRIM(E177))=0</formula>
    </cfRule>
  </conditionalFormatting>
  <conditionalFormatting sqref="E189:AX198">
    <cfRule type="containsBlanks" dxfId="156" priority="9">
      <formula>LEN(TRIM(E189))=0</formula>
    </cfRule>
  </conditionalFormatting>
  <conditionalFormatting sqref="E201:AX210">
    <cfRule type="containsBlanks" dxfId="155" priority="8">
      <formula>LEN(TRIM(E201))=0</formula>
    </cfRule>
  </conditionalFormatting>
  <conditionalFormatting sqref="E213:AX222">
    <cfRule type="containsBlanks" dxfId="154" priority="7">
      <formula>LEN(TRIM(E213))=0</formula>
    </cfRule>
  </conditionalFormatting>
  <conditionalFormatting sqref="E225:AX234">
    <cfRule type="containsBlanks" dxfId="153" priority="6">
      <formula>LEN(TRIM(E225))=0</formula>
    </cfRule>
  </conditionalFormatting>
  <conditionalFormatting sqref="E237:AX246">
    <cfRule type="containsBlanks" dxfId="152" priority="5">
      <formula>LEN(TRIM(E237))=0</formula>
    </cfRule>
  </conditionalFormatting>
  <conditionalFormatting sqref="E249:AX258">
    <cfRule type="containsBlanks" dxfId="151" priority="4">
      <formula>LEN(TRIM(E249))=0</formula>
    </cfRule>
  </conditionalFormatting>
  <conditionalFormatting sqref="E262:AX263">
    <cfRule type="containsBlanks" dxfId="150" priority="2">
      <formula>LEN(TRIM(E262))=0</formula>
    </cfRule>
  </conditionalFormatting>
  <conditionalFormatting sqref="U34:V34">
    <cfRule type="expression" dxfId="149" priority="22">
      <formula>U34&lt;&gt;U47</formula>
    </cfRule>
  </conditionalFormatting>
  <conditionalFormatting sqref="W34:AL34">
    <cfRule type="expression" dxfId="148" priority="53">
      <formula>W34&lt;&gt;W64</formula>
    </cfRule>
  </conditionalFormatting>
  <conditionalFormatting sqref="AM34:AX34">
    <cfRule type="expression" dxfId="147" priority="52">
      <formula>AM34&lt;&gt;AM47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FFC000"/>
  </sheetPr>
  <dimension ref="A2:BC264"/>
  <sheetViews>
    <sheetView topLeftCell="AU253" zoomScale="104" zoomScaleNormal="104" workbookViewId="0">
      <selection activeCell="BA263" sqref="BA263"/>
    </sheetView>
  </sheetViews>
  <sheetFormatPr defaultRowHeight="13" x14ac:dyDescent="0.3"/>
  <cols>
    <col min="3" max="3" width="67.09765625" bestFit="1" customWidth="1"/>
    <col min="4" max="4" width="5.8984375" bestFit="1" customWidth="1"/>
    <col min="53" max="53" width="13.296875" customWidth="1"/>
  </cols>
  <sheetData>
    <row r="2" spans="1:53" x14ac:dyDescent="0.3">
      <c r="C2" s="44" t="s">
        <v>116</v>
      </c>
      <c r="D2" s="44" t="s">
        <v>240</v>
      </c>
    </row>
    <row r="3" spans="1:53" x14ac:dyDescent="0.3">
      <c r="C3" s="44" t="s">
        <v>117</v>
      </c>
      <c r="D3" s="44" t="s">
        <v>118</v>
      </c>
    </row>
    <row r="4" spans="1:53" x14ac:dyDescent="0.3">
      <c r="C4" s="44" t="s">
        <v>119</v>
      </c>
      <c r="D4" s="44" t="s">
        <v>120</v>
      </c>
    </row>
    <row r="5" spans="1:53" x14ac:dyDescent="0.3">
      <c r="C5" s="44"/>
      <c r="D5" s="44"/>
    </row>
    <row r="6" spans="1:53" x14ac:dyDescent="0.3">
      <c r="C6" s="44"/>
      <c r="D6" s="44"/>
    </row>
    <row r="7" spans="1:53" x14ac:dyDescent="0.3">
      <c r="C7" s="44"/>
      <c r="D7" s="44"/>
    </row>
    <row r="8" spans="1:53" x14ac:dyDescent="0.3">
      <c r="C8" s="44"/>
      <c r="D8" s="44"/>
    </row>
    <row r="9" spans="1:53" x14ac:dyDescent="0.3">
      <c r="C9" s="44" t="s">
        <v>121</v>
      </c>
      <c r="D9" s="44" t="s">
        <v>245</v>
      </c>
    </row>
    <row r="11" spans="1:53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53" x14ac:dyDescent="0.3">
      <c r="A12" s="5" t="s">
        <v>0</v>
      </c>
      <c r="B12" s="72" t="s">
        <v>1</v>
      </c>
      <c r="C12" s="85"/>
      <c r="D12" s="7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8" t="s">
        <v>115</v>
      </c>
    </row>
    <row r="13" spans="1:53" x14ac:dyDescent="0.3">
      <c r="A13" s="6" t="s">
        <v>2</v>
      </c>
      <c r="B13" s="93" t="s">
        <v>3</v>
      </c>
      <c r="C13" s="85"/>
      <c r="D13" s="7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241</v>
      </c>
      <c r="AV13" s="5" t="s">
        <v>242</v>
      </c>
      <c r="AW13" s="5" t="s">
        <v>243</v>
      </c>
      <c r="AX13" s="5" t="s">
        <v>244</v>
      </c>
      <c r="AY13" s="5" t="s">
        <v>246</v>
      </c>
      <c r="AZ13" s="5" t="s">
        <v>247</v>
      </c>
      <c r="BA13" s="109"/>
    </row>
    <row r="14" spans="1:53" x14ac:dyDescent="0.3">
      <c r="A14" s="7"/>
      <c r="B14" s="96" t="s">
        <v>22</v>
      </c>
      <c r="C14" s="84"/>
      <c r="D14" s="6" t="s">
        <v>23</v>
      </c>
      <c r="E14" s="6">
        <v>136</v>
      </c>
      <c r="F14" s="6">
        <v>136</v>
      </c>
      <c r="G14" s="6">
        <v>104</v>
      </c>
      <c r="H14" s="6">
        <v>123</v>
      </c>
      <c r="I14" s="6">
        <v>142</v>
      </c>
      <c r="J14" s="6">
        <v>128</v>
      </c>
      <c r="K14" s="6">
        <v>118</v>
      </c>
      <c r="L14" s="6">
        <v>116</v>
      </c>
      <c r="M14" s="6">
        <v>106</v>
      </c>
      <c r="N14" s="6">
        <v>127</v>
      </c>
      <c r="O14" s="6">
        <v>131</v>
      </c>
      <c r="P14" s="6">
        <v>111</v>
      </c>
      <c r="Q14" s="6">
        <v>96</v>
      </c>
      <c r="R14" s="6">
        <v>146</v>
      </c>
      <c r="S14" s="6">
        <v>136</v>
      </c>
      <c r="T14" s="6">
        <v>148</v>
      </c>
      <c r="U14" s="6">
        <v>99</v>
      </c>
      <c r="V14" s="6">
        <v>145</v>
      </c>
      <c r="W14" s="6">
        <v>152</v>
      </c>
      <c r="X14" s="6">
        <v>139</v>
      </c>
      <c r="Y14" s="6">
        <v>143</v>
      </c>
      <c r="Z14" s="6">
        <v>77</v>
      </c>
      <c r="AA14" s="6">
        <v>149</v>
      </c>
      <c r="AB14" s="6">
        <v>131</v>
      </c>
      <c r="AC14" s="6">
        <v>128</v>
      </c>
      <c r="AD14" s="6">
        <v>129</v>
      </c>
      <c r="AE14" s="6">
        <v>117</v>
      </c>
      <c r="AF14" s="6">
        <v>141</v>
      </c>
      <c r="AG14" s="6">
        <v>136</v>
      </c>
      <c r="AH14" s="6">
        <v>146</v>
      </c>
      <c r="AI14" s="6">
        <v>70</v>
      </c>
      <c r="AJ14" s="6">
        <v>141</v>
      </c>
      <c r="AK14" s="6">
        <v>134</v>
      </c>
      <c r="AL14" s="6">
        <v>142</v>
      </c>
      <c r="AM14" s="6">
        <v>125</v>
      </c>
      <c r="AN14" s="6">
        <v>132</v>
      </c>
      <c r="AO14" s="6">
        <v>133</v>
      </c>
      <c r="AP14" s="6">
        <v>141</v>
      </c>
      <c r="AQ14" s="6">
        <v>125</v>
      </c>
      <c r="AR14" s="6">
        <v>129</v>
      </c>
      <c r="AS14" s="6">
        <v>114</v>
      </c>
      <c r="AT14" s="6">
        <v>131</v>
      </c>
      <c r="AU14" s="6">
        <v>138</v>
      </c>
      <c r="AV14" s="6">
        <v>134</v>
      </c>
      <c r="AW14" s="6">
        <v>143</v>
      </c>
      <c r="AX14" s="6">
        <v>121</v>
      </c>
      <c r="AY14" s="6">
        <v>111</v>
      </c>
      <c r="AZ14" s="6">
        <v>88</v>
      </c>
      <c r="BA14" s="5">
        <f>SUM(E14:AZ14)</f>
        <v>6088</v>
      </c>
    </row>
    <row r="15" spans="1:53" x14ac:dyDescent="0.3">
      <c r="A15" s="7"/>
      <c r="B15" s="97"/>
      <c r="C15" s="90"/>
      <c r="D15" s="6" t="s">
        <v>24</v>
      </c>
      <c r="E15" s="6">
        <v>155</v>
      </c>
      <c r="F15" s="6">
        <v>158</v>
      </c>
      <c r="G15" s="6">
        <v>104</v>
      </c>
      <c r="H15" s="6">
        <v>155</v>
      </c>
      <c r="I15" s="6">
        <v>146</v>
      </c>
      <c r="J15" s="6">
        <v>149</v>
      </c>
      <c r="K15" s="6">
        <v>126</v>
      </c>
      <c r="L15" s="6">
        <v>128</v>
      </c>
      <c r="M15" s="6">
        <v>119</v>
      </c>
      <c r="N15" s="6">
        <v>134</v>
      </c>
      <c r="O15" s="6">
        <v>131</v>
      </c>
      <c r="P15" s="6">
        <v>123</v>
      </c>
      <c r="Q15" s="6">
        <v>114</v>
      </c>
      <c r="R15" s="6">
        <v>141</v>
      </c>
      <c r="S15" s="6">
        <v>158</v>
      </c>
      <c r="T15" s="6">
        <v>149</v>
      </c>
      <c r="U15" s="6">
        <v>113</v>
      </c>
      <c r="V15" s="6">
        <v>145</v>
      </c>
      <c r="W15" s="6">
        <v>147</v>
      </c>
      <c r="X15" s="6">
        <v>140</v>
      </c>
      <c r="Y15" s="6">
        <v>132</v>
      </c>
      <c r="Z15" s="6">
        <v>79</v>
      </c>
      <c r="AA15" s="6">
        <v>144</v>
      </c>
      <c r="AB15" s="6">
        <v>129</v>
      </c>
      <c r="AC15" s="6">
        <v>142</v>
      </c>
      <c r="AD15" s="6">
        <v>159</v>
      </c>
      <c r="AE15" s="6">
        <v>128</v>
      </c>
      <c r="AF15" s="6">
        <v>137</v>
      </c>
      <c r="AG15" s="6">
        <v>133</v>
      </c>
      <c r="AH15" s="6">
        <v>136</v>
      </c>
      <c r="AI15" s="6">
        <v>76</v>
      </c>
      <c r="AJ15" s="6">
        <v>143</v>
      </c>
      <c r="AK15" s="6">
        <v>135</v>
      </c>
      <c r="AL15" s="6">
        <v>145</v>
      </c>
      <c r="AM15" s="6">
        <v>117</v>
      </c>
      <c r="AN15" s="6">
        <v>141</v>
      </c>
      <c r="AO15" s="6">
        <v>140</v>
      </c>
      <c r="AP15" s="6">
        <v>152</v>
      </c>
      <c r="AQ15" s="6">
        <v>108</v>
      </c>
      <c r="AR15" s="6">
        <v>125</v>
      </c>
      <c r="AS15" s="6">
        <v>116</v>
      </c>
      <c r="AT15" s="6">
        <v>159</v>
      </c>
      <c r="AU15" s="6">
        <v>134</v>
      </c>
      <c r="AV15" s="6">
        <v>149</v>
      </c>
      <c r="AW15" s="6">
        <v>154</v>
      </c>
      <c r="AX15" s="6">
        <v>117</v>
      </c>
      <c r="AY15" s="6">
        <v>123</v>
      </c>
      <c r="AZ15" s="6">
        <v>99</v>
      </c>
      <c r="BA15" s="5">
        <f>SUM(E15:AZ15)</f>
        <v>6387</v>
      </c>
    </row>
    <row r="16" spans="1:53" x14ac:dyDescent="0.3">
      <c r="A16" s="8"/>
      <c r="B16" s="95"/>
      <c r="C16" s="91"/>
      <c r="D16" s="5" t="s">
        <v>25</v>
      </c>
      <c r="E16" s="5">
        <f t="shared" ref="E16:AZ16" si="0">SUM(E14:E15)</f>
        <v>291</v>
      </c>
      <c r="F16" s="5">
        <f t="shared" si="0"/>
        <v>294</v>
      </c>
      <c r="G16" s="5">
        <f t="shared" si="0"/>
        <v>208</v>
      </c>
      <c r="H16" s="5">
        <f t="shared" si="0"/>
        <v>278</v>
      </c>
      <c r="I16" s="5">
        <f t="shared" si="0"/>
        <v>288</v>
      </c>
      <c r="J16" s="5">
        <f t="shared" si="0"/>
        <v>277</v>
      </c>
      <c r="K16" s="5">
        <f t="shared" si="0"/>
        <v>244</v>
      </c>
      <c r="L16" s="5">
        <f t="shared" si="0"/>
        <v>244</v>
      </c>
      <c r="M16" s="5">
        <f t="shared" si="0"/>
        <v>225</v>
      </c>
      <c r="N16" s="5">
        <f t="shared" si="0"/>
        <v>261</v>
      </c>
      <c r="O16" s="5">
        <f t="shared" ref="O16:AG16" si="1">SUM(O14:O15)</f>
        <v>262</v>
      </c>
      <c r="P16" s="5">
        <f t="shared" si="1"/>
        <v>234</v>
      </c>
      <c r="Q16" s="5">
        <f t="shared" si="1"/>
        <v>210</v>
      </c>
      <c r="R16" s="5">
        <f t="shared" si="1"/>
        <v>287</v>
      </c>
      <c r="S16" s="5">
        <f t="shared" si="1"/>
        <v>294</v>
      </c>
      <c r="T16" s="5">
        <f t="shared" si="1"/>
        <v>297</v>
      </c>
      <c r="U16" s="5">
        <f t="shared" si="1"/>
        <v>212</v>
      </c>
      <c r="V16" s="5">
        <f t="shared" si="1"/>
        <v>290</v>
      </c>
      <c r="W16" s="5">
        <f t="shared" si="1"/>
        <v>299</v>
      </c>
      <c r="X16" s="5">
        <f t="shared" si="1"/>
        <v>279</v>
      </c>
      <c r="Y16" s="5">
        <f t="shared" si="1"/>
        <v>275</v>
      </c>
      <c r="Z16" s="5">
        <f t="shared" si="1"/>
        <v>156</v>
      </c>
      <c r="AA16" s="5">
        <f t="shared" si="1"/>
        <v>293</v>
      </c>
      <c r="AB16" s="5">
        <f t="shared" si="1"/>
        <v>260</v>
      </c>
      <c r="AC16" s="5">
        <f t="shared" si="1"/>
        <v>270</v>
      </c>
      <c r="AD16" s="5">
        <f t="shared" si="1"/>
        <v>288</v>
      </c>
      <c r="AE16" s="5">
        <f t="shared" si="1"/>
        <v>245</v>
      </c>
      <c r="AF16" s="5">
        <f t="shared" si="1"/>
        <v>278</v>
      </c>
      <c r="AG16" s="5">
        <f t="shared" si="1"/>
        <v>269</v>
      </c>
      <c r="AH16" s="5">
        <f t="shared" si="0"/>
        <v>282</v>
      </c>
      <c r="AI16" s="5">
        <f t="shared" si="0"/>
        <v>146</v>
      </c>
      <c r="AJ16" s="5">
        <f t="shared" si="0"/>
        <v>284</v>
      </c>
      <c r="AK16" s="5">
        <f t="shared" si="0"/>
        <v>269</v>
      </c>
      <c r="AL16" s="5">
        <f t="shared" si="0"/>
        <v>287</v>
      </c>
      <c r="AM16" s="5">
        <f t="shared" si="0"/>
        <v>242</v>
      </c>
      <c r="AN16" s="5">
        <f t="shared" si="0"/>
        <v>273</v>
      </c>
      <c r="AO16" s="5">
        <f t="shared" si="0"/>
        <v>273</v>
      </c>
      <c r="AP16" s="5">
        <f t="shared" si="0"/>
        <v>293</v>
      </c>
      <c r="AQ16" s="5">
        <f t="shared" si="0"/>
        <v>233</v>
      </c>
      <c r="AR16" s="5">
        <f t="shared" si="0"/>
        <v>254</v>
      </c>
      <c r="AS16" s="5">
        <f t="shared" si="0"/>
        <v>230</v>
      </c>
      <c r="AT16" s="5">
        <f t="shared" si="0"/>
        <v>290</v>
      </c>
      <c r="AU16" s="5">
        <f t="shared" si="0"/>
        <v>272</v>
      </c>
      <c r="AV16" s="5">
        <f t="shared" si="0"/>
        <v>283</v>
      </c>
      <c r="AW16" s="5">
        <f t="shared" si="0"/>
        <v>297</v>
      </c>
      <c r="AX16" s="5">
        <f t="shared" si="0"/>
        <v>238</v>
      </c>
      <c r="AY16" s="5">
        <f t="shared" si="0"/>
        <v>234</v>
      </c>
      <c r="AZ16" s="5">
        <f t="shared" si="0"/>
        <v>187</v>
      </c>
      <c r="BA16" s="5">
        <f>SUM(E16:AZ16)</f>
        <v>12475</v>
      </c>
    </row>
    <row r="17" spans="1:53" x14ac:dyDescent="0.3">
      <c r="A17" s="77"/>
      <c r="B17" s="85"/>
      <c r="C17" s="85"/>
      <c r="D17" s="7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29"/>
    </row>
    <row r="18" spans="1:53" x14ac:dyDescent="0.3">
      <c r="A18" s="11" t="s">
        <v>26</v>
      </c>
      <c r="B18" s="93" t="s">
        <v>27</v>
      </c>
      <c r="C18" s="85"/>
      <c r="D18" s="76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29"/>
    </row>
    <row r="19" spans="1:53" x14ac:dyDescent="0.3">
      <c r="A19" s="11"/>
      <c r="B19" s="98" t="s">
        <v>28</v>
      </c>
      <c r="C19" s="99" t="s">
        <v>29</v>
      </c>
      <c r="D19" s="6" t="s">
        <v>23</v>
      </c>
      <c r="E19" s="6">
        <v>98</v>
      </c>
      <c r="F19" s="6">
        <v>109</v>
      </c>
      <c r="G19" s="6">
        <v>87</v>
      </c>
      <c r="H19" s="6">
        <v>90</v>
      </c>
      <c r="I19" s="6">
        <v>105</v>
      </c>
      <c r="J19" s="6">
        <v>101</v>
      </c>
      <c r="K19" s="6">
        <v>86</v>
      </c>
      <c r="L19" s="6">
        <v>89</v>
      </c>
      <c r="M19" s="6">
        <v>76</v>
      </c>
      <c r="N19" s="6">
        <v>85</v>
      </c>
      <c r="O19" s="6">
        <v>98</v>
      </c>
      <c r="P19" s="6">
        <v>89</v>
      </c>
      <c r="Q19" s="6">
        <v>79</v>
      </c>
      <c r="R19" s="6">
        <v>115</v>
      </c>
      <c r="S19" s="6">
        <v>106</v>
      </c>
      <c r="T19" s="6">
        <v>113</v>
      </c>
      <c r="U19" s="6">
        <v>73</v>
      </c>
      <c r="V19" s="6">
        <v>97</v>
      </c>
      <c r="W19" s="6">
        <v>109</v>
      </c>
      <c r="X19" s="6">
        <v>106</v>
      </c>
      <c r="Y19" s="6">
        <v>103</v>
      </c>
      <c r="Z19" s="6">
        <v>58</v>
      </c>
      <c r="AA19" s="6">
        <v>110</v>
      </c>
      <c r="AB19" s="6">
        <v>98</v>
      </c>
      <c r="AC19" s="6">
        <v>92</v>
      </c>
      <c r="AD19" s="6">
        <v>88</v>
      </c>
      <c r="AE19" s="6">
        <v>97</v>
      </c>
      <c r="AF19" s="6">
        <v>109</v>
      </c>
      <c r="AG19" s="6">
        <v>103</v>
      </c>
      <c r="AH19" s="6">
        <v>100</v>
      </c>
      <c r="AI19" s="6">
        <v>43</v>
      </c>
      <c r="AJ19" s="6">
        <v>104</v>
      </c>
      <c r="AK19" s="6">
        <v>93</v>
      </c>
      <c r="AL19" s="6">
        <v>93</v>
      </c>
      <c r="AM19" s="6">
        <v>88</v>
      </c>
      <c r="AN19" s="6">
        <v>103</v>
      </c>
      <c r="AO19" s="6">
        <v>92</v>
      </c>
      <c r="AP19" s="6">
        <v>99</v>
      </c>
      <c r="AQ19" s="6">
        <v>81</v>
      </c>
      <c r="AR19" s="6">
        <v>93</v>
      </c>
      <c r="AS19" s="6">
        <v>79</v>
      </c>
      <c r="AT19" s="6">
        <v>104</v>
      </c>
      <c r="AU19" s="6">
        <v>104</v>
      </c>
      <c r="AV19" s="6">
        <v>107</v>
      </c>
      <c r="AW19" s="6">
        <v>107</v>
      </c>
      <c r="AX19" s="6">
        <v>99</v>
      </c>
      <c r="AY19" s="6">
        <v>77</v>
      </c>
      <c r="AZ19" s="6">
        <v>67</v>
      </c>
      <c r="BA19" s="5">
        <f t="shared" ref="BA19:BA30" si="2">SUM(E19:AZ19)</f>
        <v>4502</v>
      </c>
    </row>
    <row r="20" spans="1:53" x14ac:dyDescent="0.3">
      <c r="A20" s="12"/>
      <c r="B20" s="90"/>
      <c r="C20" s="100"/>
      <c r="D20" s="6" t="s">
        <v>24</v>
      </c>
      <c r="E20" s="6">
        <v>115</v>
      </c>
      <c r="F20" s="6">
        <v>122</v>
      </c>
      <c r="G20" s="6">
        <v>86</v>
      </c>
      <c r="H20" s="6">
        <v>120</v>
      </c>
      <c r="I20" s="6">
        <v>115</v>
      </c>
      <c r="J20" s="6">
        <v>118</v>
      </c>
      <c r="K20" s="6">
        <v>107</v>
      </c>
      <c r="L20" s="6">
        <v>98</v>
      </c>
      <c r="M20" s="6">
        <v>92</v>
      </c>
      <c r="N20" s="6">
        <v>104</v>
      </c>
      <c r="O20" s="6">
        <v>100</v>
      </c>
      <c r="P20" s="6">
        <v>97</v>
      </c>
      <c r="Q20" s="6">
        <v>94</v>
      </c>
      <c r="R20" s="6">
        <v>108</v>
      </c>
      <c r="S20" s="6">
        <v>113</v>
      </c>
      <c r="T20" s="6">
        <v>119</v>
      </c>
      <c r="U20" s="6">
        <v>87</v>
      </c>
      <c r="V20" s="6">
        <v>108</v>
      </c>
      <c r="W20" s="6">
        <v>119</v>
      </c>
      <c r="X20" s="6">
        <v>127</v>
      </c>
      <c r="Y20" s="6">
        <v>109</v>
      </c>
      <c r="Z20" s="6">
        <v>68</v>
      </c>
      <c r="AA20" s="6">
        <v>113</v>
      </c>
      <c r="AB20" s="6">
        <v>105</v>
      </c>
      <c r="AC20" s="6">
        <v>104</v>
      </c>
      <c r="AD20" s="6">
        <v>119</v>
      </c>
      <c r="AE20" s="6">
        <v>103</v>
      </c>
      <c r="AF20" s="6">
        <v>109</v>
      </c>
      <c r="AG20" s="6">
        <v>95</v>
      </c>
      <c r="AH20" s="6">
        <v>102</v>
      </c>
      <c r="AI20" s="6">
        <v>57</v>
      </c>
      <c r="AJ20" s="6">
        <v>115</v>
      </c>
      <c r="AK20" s="6">
        <v>105</v>
      </c>
      <c r="AL20" s="6">
        <v>103</v>
      </c>
      <c r="AM20" s="6">
        <v>99</v>
      </c>
      <c r="AN20" s="6">
        <v>96</v>
      </c>
      <c r="AO20" s="6">
        <v>98</v>
      </c>
      <c r="AP20" s="6">
        <v>111</v>
      </c>
      <c r="AQ20" s="6">
        <v>82</v>
      </c>
      <c r="AR20" s="6">
        <v>97</v>
      </c>
      <c r="AS20" s="6">
        <v>92</v>
      </c>
      <c r="AT20" s="6">
        <v>139</v>
      </c>
      <c r="AU20" s="6">
        <v>96</v>
      </c>
      <c r="AV20" s="6">
        <v>123</v>
      </c>
      <c r="AW20" s="6">
        <v>105</v>
      </c>
      <c r="AX20" s="6">
        <v>93</v>
      </c>
      <c r="AY20" s="6">
        <v>96</v>
      </c>
      <c r="AZ20" s="6">
        <v>77</v>
      </c>
      <c r="BA20" s="5">
        <f t="shared" si="2"/>
        <v>4960</v>
      </c>
    </row>
    <row r="21" spans="1:53" x14ac:dyDescent="0.3">
      <c r="A21" s="13"/>
      <c r="B21" s="91"/>
      <c r="C21" s="101"/>
      <c r="D21" s="5" t="s">
        <v>25</v>
      </c>
      <c r="E21" s="5">
        <f t="shared" ref="E21:AZ21" si="3">SUM(E19:E20)</f>
        <v>213</v>
      </c>
      <c r="F21" s="5">
        <f t="shared" si="3"/>
        <v>231</v>
      </c>
      <c r="G21" s="5">
        <f t="shared" si="3"/>
        <v>173</v>
      </c>
      <c r="H21" s="5">
        <f t="shared" si="3"/>
        <v>210</v>
      </c>
      <c r="I21" s="5">
        <f t="shared" si="3"/>
        <v>220</v>
      </c>
      <c r="J21" s="5">
        <f t="shared" si="3"/>
        <v>219</v>
      </c>
      <c r="K21" s="5">
        <f t="shared" si="3"/>
        <v>193</v>
      </c>
      <c r="L21" s="5">
        <f t="shared" si="3"/>
        <v>187</v>
      </c>
      <c r="M21" s="5">
        <f t="shared" si="3"/>
        <v>168</v>
      </c>
      <c r="N21" s="5">
        <f t="shared" si="3"/>
        <v>189</v>
      </c>
      <c r="O21" s="5">
        <f t="shared" ref="O21:AG21" si="4">SUM(O19:O20)</f>
        <v>198</v>
      </c>
      <c r="P21" s="5">
        <f t="shared" si="4"/>
        <v>186</v>
      </c>
      <c r="Q21" s="5">
        <f t="shared" si="4"/>
        <v>173</v>
      </c>
      <c r="R21" s="5">
        <f t="shared" si="4"/>
        <v>223</v>
      </c>
      <c r="S21" s="5">
        <f t="shared" si="4"/>
        <v>219</v>
      </c>
      <c r="T21" s="5">
        <f t="shared" si="4"/>
        <v>232</v>
      </c>
      <c r="U21" s="5">
        <f t="shared" si="4"/>
        <v>160</v>
      </c>
      <c r="V21" s="5">
        <f t="shared" si="4"/>
        <v>205</v>
      </c>
      <c r="W21" s="5">
        <f t="shared" si="4"/>
        <v>228</v>
      </c>
      <c r="X21" s="5">
        <f t="shared" si="4"/>
        <v>233</v>
      </c>
      <c r="Y21" s="5">
        <f t="shared" si="4"/>
        <v>212</v>
      </c>
      <c r="Z21" s="5">
        <f t="shared" si="4"/>
        <v>126</v>
      </c>
      <c r="AA21" s="5">
        <f t="shared" si="4"/>
        <v>223</v>
      </c>
      <c r="AB21" s="5">
        <f t="shared" si="4"/>
        <v>203</v>
      </c>
      <c r="AC21" s="5">
        <f t="shared" si="4"/>
        <v>196</v>
      </c>
      <c r="AD21" s="5">
        <f t="shared" si="4"/>
        <v>207</v>
      </c>
      <c r="AE21" s="5">
        <f t="shared" si="4"/>
        <v>200</v>
      </c>
      <c r="AF21" s="5">
        <f t="shared" si="4"/>
        <v>218</v>
      </c>
      <c r="AG21" s="5">
        <f t="shared" si="4"/>
        <v>198</v>
      </c>
      <c r="AH21" s="5">
        <f t="shared" si="3"/>
        <v>202</v>
      </c>
      <c r="AI21" s="5">
        <f t="shared" si="3"/>
        <v>100</v>
      </c>
      <c r="AJ21" s="5">
        <f t="shared" si="3"/>
        <v>219</v>
      </c>
      <c r="AK21" s="5">
        <f t="shared" si="3"/>
        <v>198</v>
      </c>
      <c r="AL21" s="5">
        <f t="shared" si="3"/>
        <v>196</v>
      </c>
      <c r="AM21" s="5">
        <f t="shared" si="3"/>
        <v>187</v>
      </c>
      <c r="AN21" s="5">
        <f t="shared" si="3"/>
        <v>199</v>
      </c>
      <c r="AO21" s="5">
        <f t="shared" si="3"/>
        <v>190</v>
      </c>
      <c r="AP21" s="5">
        <f t="shared" si="3"/>
        <v>210</v>
      </c>
      <c r="AQ21" s="5">
        <f t="shared" si="3"/>
        <v>163</v>
      </c>
      <c r="AR21" s="5">
        <f t="shared" si="3"/>
        <v>190</v>
      </c>
      <c r="AS21" s="5">
        <f t="shared" si="3"/>
        <v>171</v>
      </c>
      <c r="AT21" s="5">
        <f t="shared" si="3"/>
        <v>243</v>
      </c>
      <c r="AU21" s="5">
        <f t="shared" si="3"/>
        <v>200</v>
      </c>
      <c r="AV21" s="5">
        <f t="shared" si="3"/>
        <v>230</v>
      </c>
      <c r="AW21" s="5">
        <f t="shared" si="3"/>
        <v>212</v>
      </c>
      <c r="AX21" s="5">
        <f t="shared" si="3"/>
        <v>192</v>
      </c>
      <c r="AY21" s="5">
        <f t="shared" si="3"/>
        <v>173</v>
      </c>
      <c r="AZ21" s="5">
        <f t="shared" si="3"/>
        <v>144</v>
      </c>
      <c r="BA21" s="5">
        <f t="shared" si="2"/>
        <v>9462</v>
      </c>
    </row>
    <row r="22" spans="1:53" x14ac:dyDescent="0.3">
      <c r="A22" s="12"/>
      <c r="B22" s="98" t="s">
        <v>30</v>
      </c>
      <c r="C22" s="99" t="s">
        <v>31</v>
      </c>
      <c r="D22" s="6" t="s">
        <v>23</v>
      </c>
      <c r="E22" s="6">
        <v>0</v>
      </c>
      <c r="F22" s="6">
        <v>7</v>
      </c>
      <c r="G22" s="6">
        <v>3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0</v>
      </c>
      <c r="AG22" s="6">
        <v>0</v>
      </c>
      <c r="AH22" s="6">
        <v>0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</v>
      </c>
      <c r="BA22" s="5">
        <f t="shared" si="2"/>
        <v>14</v>
      </c>
    </row>
    <row r="23" spans="1:53" x14ac:dyDescent="0.3">
      <c r="A23" s="12"/>
      <c r="B23" s="90"/>
      <c r="C23" s="100"/>
      <c r="D23" s="6" t="s">
        <v>24</v>
      </c>
      <c r="E23" s="6">
        <v>0</v>
      </c>
      <c r="F23" s="6">
        <v>7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0</v>
      </c>
      <c r="AG23" s="6">
        <v>0</v>
      </c>
      <c r="AH23" s="6">
        <v>0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5">
        <f t="shared" si="2"/>
        <v>9</v>
      </c>
    </row>
    <row r="24" spans="1:53" x14ac:dyDescent="0.3">
      <c r="A24" s="13"/>
      <c r="B24" s="91"/>
      <c r="C24" s="101"/>
      <c r="D24" s="5" t="s">
        <v>25</v>
      </c>
      <c r="E24" s="5">
        <f t="shared" ref="E24:AZ24" si="5">SUM(E22:E23)</f>
        <v>0</v>
      </c>
      <c r="F24" s="5">
        <f t="shared" si="5"/>
        <v>14</v>
      </c>
      <c r="G24" s="5">
        <f t="shared" si="5"/>
        <v>4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1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ref="O24:AG24" si="6">SUM(O22:O23)</f>
        <v>0</v>
      </c>
      <c r="P24" s="5">
        <f t="shared" si="6"/>
        <v>0</v>
      </c>
      <c r="Q24" s="5">
        <f t="shared" si="6"/>
        <v>0</v>
      </c>
      <c r="R24" s="5">
        <f t="shared" si="6"/>
        <v>1</v>
      </c>
      <c r="S24" s="5">
        <f t="shared" si="6"/>
        <v>0</v>
      </c>
      <c r="T24" s="5">
        <f t="shared" si="6"/>
        <v>0</v>
      </c>
      <c r="U24" s="5">
        <f t="shared" si="6"/>
        <v>0</v>
      </c>
      <c r="V24" s="5">
        <f t="shared" si="6"/>
        <v>0</v>
      </c>
      <c r="W24" s="5">
        <f t="shared" si="6"/>
        <v>0</v>
      </c>
      <c r="X24" s="5">
        <f t="shared" si="6"/>
        <v>0</v>
      </c>
      <c r="Y24" s="5">
        <f t="shared" si="6"/>
        <v>0</v>
      </c>
      <c r="Z24" s="5">
        <f t="shared" si="6"/>
        <v>0</v>
      </c>
      <c r="AA24" s="5">
        <f t="shared" si="6"/>
        <v>0</v>
      </c>
      <c r="AB24" s="5">
        <f t="shared" si="6"/>
        <v>0</v>
      </c>
      <c r="AC24" s="5">
        <f t="shared" si="6"/>
        <v>0</v>
      </c>
      <c r="AD24" s="5">
        <f t="shared" si="6"/>
        <v>0</v>
      </c>
      <c r="AE24" s="5">
        <f t="shared" si="6"/>
        <v>2</v>
      </c>
      <c r="AF24" s="5">
        <f t="shared" si="6"/>
        <v>0</v>
      </c>
      <c r="AG24" s="5">
        <f t="shared" si="6"/>
        <v>0</v>
      </c>
      <c r="AH24" s="5">
        <f t="shared" si="5"/>
        <v>0</v>
      </c>
      <c r="AI24" s="5">
        <f t="shared" si="5"/>
        <v>0</v>
      </c>
      <c r="AJ24" s="5">
        <f t="shared" si="5"/>
        <v>0</v>
      </c>
      <c r="AK24" s="5">
        <f t="shared" si="5"/>
        <v>0</v>
      </c>
      <c r="AL24" s="5">
        <f t="shared" si="5"/>
        <v>0</v>
      </c>
      <c r="AM24" s="5">
        <f t="shared" si="5"/>
        <v>0</v>
      </c>
      <c r="AN24" s="5">
        <f t="shared" si="5"/>
        <v>0</v>
      </c>
      <c r="AO24" s="5">
        <f t="shared" si="5"/>
        <v>0</v>
      </c>
      <c r="AP24" s="5">
        <f t="shared" si="5"/>
        <v>0</v>
      </c>
      <c r="AQ24" s="5">
        <f t="shared" si="5"/>
        <v>0</v>
      </c>
      <c r="AR24" s="5">
        <f t="shared" si="5"/>
        <v>0</v>
      </c>
      <c r="AS24" s="5">
        <f t="shared" si="5"/>
        <v>0</v>
      </c>
      <c r="AT24" s="5">
        <f t="shared" si="5"/>
        <v>0</v>
      </c>
      <c r="AU24" s="5">
        <f t="shared" si="5"/>
        <v>0</v>
      </c>
      <c r="AV24" s="5">
        <f t="shared" si="5"/>
        <v>0</v>
      </c>
      <c r="AW24" s="5">
        <f t="shared" si="5"/>
        <v>0</v>
      </c>
      <c r="AX24" s="5">
        <f t="shared" si="5"/>
        <v>0</v>
      </c>
      <c r="AY24" s="5">
        <f t="shared" si="5"/>
        <v>0</v>
      </c>
      <c r="AZ24" s="5">
        <f t="shared" si="5"/>
        <v>1</v>
      </c>
      <c r="BA24" s="5">
        <f t="shared" si="2"/>
        <v>23</v>
      </c>
    </row>
    <row r="25" spans="1:53" x14ac:dyDescent="0.3">
      <c r="A25" s="12"/>
      <c r="B25" s="98" t="s">
        <v>32</v>
      </c>
      <c r="C25" s="99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1</v>
      </c>
      <c r="J25" s="6">
        <v>4</v>
      </c>
      <c r="K25" s="6">
        <v>1</v>
      </c>
      <c r="L25" s="6">
        <v>3</v>
      </c>
      <c r="M25" s="6">
        <v>1</v>
      </c>
      <c r="N25" s="6">
        <v>0</v>
      </c>
      <c r="O25" s="6">
        <v>10</v>
      </c>
      <c r="P25" s="6">
        <v>0</v>
      </c>
      <c r="Q25" s="6">
        <v>2</v>
      </c>
      <c r="R25" s="6">
        <v>6</v>
      </c>
      <c r="S25" s="6">
        <v>2</v>
      </c>
      <c r="T25" s="6">
        <v>1</v>
      </c>
      <c r="U25" s="6">
        <v>0</v>
      </c>
      <c r="V25" s="6">
        <v>3</v>
      </c>
      <c r="W25" s="6">
        <v>1</v>
      </c>
      <c r="X25" s="6">
        <v>0</v>
      </c>
      <c r="Y25" s="6">
        <v>0</v>
      </c>
      <c r="Z25" s="6">
        <v>0</v>
      </c>
      <c r="AA25" s="6">
        <v>1</v>
      </c>
      <c r="AB25" s="6">
        <v>0</v>
      </c>
      <c r="AC25" s="6">
        <v>4</v>
      </c>
      <c r="AD25" s="6">
        <v>4</v>
      </c>
      <c r="AE25" s="6">
        <v>0</v>
      </c>
      <c r="AF25" s="6">
        <v>1</v>
      </c>
      <c r="AG25" s="6">
        <v>4</v>
      </c>
      <c r="AH25" s="6">
        <v>0</v>
      </c>
      <c r="AI25" s="6">
        <v>0</v>
      </c>
      <c r="AJ25" s="6">
        <v>0</v>
      </c>
      <c r="AK25" s="6">
        <v>2</v>
      </c>
      <c r="AL25" s="6">
        <v>0</v>
      </c>
      <c r="AM25" s="6">
        <v>0</v>
      </c>
      <c r="AN25" s="6">
        <v>0</v>
      </c>
      <c r="AO25" s="6">
        <v>3</v>
      </c>
      <c r="AP25" s="6">
        <v>1</v>
      </c>
      <c r="AQ25" s="6">
        <v>1</v>
      </c>
      <c r="AR25" s="6">
        <v>2</v>
      </c>
      <c r="AS25" s="6">
        <v>1</v>
      </c>
      <c r="AT25" s="6">
        <v>4</v>
      </c>
      <c r="AU25" s="6">
        <v>0</v>
      </c>
      <c r="AV25" s="6">
        <v>3</v>
      </c>
      <c r="AW25" s="6">
        <v>0</v>
      </c>
      <c r="AX25" s="6">
        <v>0</v>
      </c>
      <c r="AY25" s="6">
        <v>0</v>
      </c>
      <c r="AZ25" s="6">
        <v>0</v>
      </c>
      <c r="BA25" s="5">
        <f t="shared" si="2"/>
        <v>67</v>
      </c>
    </row>
    <row r="26" spans="1:53" x14ac:dyDescent="0.3">
      <c r="A26" s="12"/>
      <c r="B26" s="90"/>
      <c r="C26" s="100"/>
      <c r="D26" s="6" t="s">
        <v>24</v>
      </c>
      <c r="E26" s="6">
        <v>1</v>
      </c>
      <c r="F26" s="6">
        <v>3</v>
      </c>
      <c r="G26" s="6">
        <v>0</v>
      </c>
      <c r="H26" s="6">
        <v>0</v>
      </c>
      <c r="I26" s="6">
        <v>2</v>
      </c>
      <c r="J26" s="6">
        <v>3</v>
      </c>
      <c r="K26" s="6">
        <v>1</v>
      </c>
      <c r="L26" s="6">
        <v>2</v>
      </c>
      <c r="M26" s="6">
        <v>2</v>
      </c>
      <c r="N26" s="6">
        <v>2</v>
      </c>
      <c r="O26" s="6">
        <v>6</v>
      </c>
      <c r="P26" s="6">
        <v>0</v>
      </c>
      <c r="Q26" s="6">
        <v>0</v>
      </c>
      <c r="R26" s="6">
        <v>3</v>
      </c>
      <c r="S26" s="6">
        <v>1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6</v>
      </c>
      <c r="AD26" s="6">
        <v>4</v>
      </c>
      <c r="AE26" s="6">
        <v>0</v>
      </c>
      <c r="AF26" s="6">
        <v>1</v>
      </c>
      <c r="AG26" s="6">
        <v>2</v>
      </c>
      <c r="AH26" s="6">
        <v>1</v>
      </c>
      <c r="AI26" s="6">
        <v>1</v>
      </c>
      <c r="AJ26" s="6">
        <v>0</v>
      </c>
      <c r="AK26" s="6">
        <v>1</v>
      </c>
      <c r="AL26" s="6">
        <v>0</v>
      </c>
      <c r="AM26" s="6">
        <v>1</v>
      </c>
      <c r="AN26" s="6">
        <v>0</v>
      </c>
      <c r="AO26" s="6">
        <v>3</v>
      </c>
      <c r="AP26" s="6">
        <v>3</v>
      </c>
      <c r="AQ26" s="6">
        <v>2</v>
      </c>
      <c r="AR26" s="6">
        <v>2</v>
      </c>
      <c r="AS26" s="6">
        <v>6</v>
      </c>
      <c r="AT26" s="6">
        <v>3</v>
      </c>
      <c r="AU26" s="6">
        <v>0</v>
      </c>
      <c r="AV26" s="6">
        <v>4</v>
      </c>
      <c r="AW26" s="6">
        <v>2</v>
      </c>
      <c r="AX26" s="6">
        <v>2</v>
      </c>
      <c r="AY26" s="6">
        <v>3</v>
      </c>
      <c r="AZ26" s="6">
        <v>0</v>
      </c>
      <c r="BA26" s="5">
        <f t="shared" si="2"/>
        <v>74</v>
      </c>
    </row>
    <row r="27" spans="1:53" x14ac:dyDescent="0.3">
      <c r="A27" s="13"/>
      <c r="B27" s="91"/>
      <c r="C27" s="101"/>
      <c r="D27" s="5" t="s">
        <v>25</v>
      </c>
      <c r="E27" s="5">
        <f t="shared" ref="E27:AZ27" si="7">SUM(E25:E26)</f>
        <v>1</v>
      </c>
      <c r="F27" s="5">
        <f t="shared" si="7"/>
        <v>4</v>
      </c>
      <c r="G27" s="5">
        <f t="shared" si="7"/>
        <v>0</v>
      </c>
      <c r="H27" s="5">
        <f t="shared" si="7"/>
        <v>0</v>
      </c>
      <c r="I27" s="5">
        <f t="shared" si="7"/>
        <v>3</v>
      </c>
      <c r="J27" s="5">
        <f t="shared" si="7"/>
        <v>7</v>
      </c>
      <c r="K27" s="5">
        <f t="shared" si="7"/>
        <v>2</v>
      </c>
      <c r="L27" s="5">
        <f t="shared" si="7"/>
        <v>5</v>
      </c>
      <c r="M27" s="5">
        <f t="shared" si="7"/>
        <v>3</v>
      </c>
      <c r="N27" s="5">
        <f t="shared" si="7"/>
        <v>2</v>
      </c>
      <c r="O27" s="5">
        <f t="shared" ref="O27:AG27" si="8">SUM(O25:O26)</f>
        <v>16</v>
      </c>
      <c r="P27" s="5">
        <f t="shared" si="8"/>
        <v>0</v>
      </c>
      <c r="Q27" s="5">
        <f t="shared" si="8"/>
        <v>2</v>
      </c>
      <c r="R27" s="5">
        <f t="shared" si="8"/>
        <v>9</v>
      </c>
      <c r="S27" s="5">
        <f t="shared" si="8"/>
        <v>3</v>
      </c>
      <c r="T27" s="5">
        <f t="shared" si="8"/>
        <v>1</v>
      </c>
      <c r="U27" s="5">
        <f t="shared" si="8"/>
        <v>0</v>
      </c>
      <c r="V27" s="5">
        <f t="shared" si="8"/>
        <v>4</v>
      </c>
      <c r="W27" s="5">
        <f t="shared" si="8"/>
        <v>1</v>
      </c>
      <c r="X27" s="5">
        <f t="shared" si="8"/>
        <v>0</v>
      </c>
      <c r="Y27" s="5">
        <f t="shared" si="8"/>
        <v>0</v>
      </c>
      <c r="Z27" s="5">
        <f t="shared" si="8"/>
        <v>0</v>
      </c>
      <c r="AA27" s="5">
        <f t="shared" si="8"/>
        <v>1</v>
      </c>
      <c r="AB27" s="5">
        <f t="shared" si="8"/>
        <v>0</v>
      </c>
      <c r="AC27" s="5">
        <f t="shared" si="8"/>
        <v>10</v>
      </c>
      <c r="AD27" s="5">
        <f t="shared" si="8"/>
        <v>8</v>
      </c>
      <c r="AE27" s="5">
        <f t="shared" si="8"/>
        <v>0</v>
      </c>
      <c r="AF27" s="5">
        <f t="shared" si="8"/>
        <v>2</v>
      </c>
      <c r="AG27" s="5">
        <f t="shared" si="8"/>
        <v>6</v>
      </c>
      <c r="AH27" s="5">
        <f t="shared" si="7"/>
        <v>1</v>
      </c>
      <c r="AI27" s="5">
        <f t="shared" si="7"/>
        <v>1</v>
      </c>
      <c r="AJ27" s="5">
        <f t="shared" si="7"/>
        <v>0</v>
      </c>
      <c r="AK27" s="5">
        <f t="shared" si="7"/>
        <v>3</v>
      </c>
      <c r="AL27" s="5">
        <f t="shared" si="7"/>
        <v>0</v>
      </c>
      <c r="AM27" s="5">
        <f t="shared" si="7"/>
        <v>1</v>
      </c>
      <c r="AN27" s="5">
        <f t="shared" si="7"/>
        <v>0</v>
      </c>
      <c r="AO27" s="5">
        <f t="shared" si="7"/>
        <v>6</v>
      </c>
      <c r="AP27" s="5">
        <f t="shared" si="7"/>
        <v>4</v>
      </c>
      <c r="AQ27" s="5">
        <f t="shared" si="7"/>
        <v>3</v>
      </c>
      <c r="AR27" s="5">
        <f t="shared" si="7"/>
        <v>4</v>
      </c>
      <c r="AS27" s="5">
        <f t="shared" si="7"/>
        <v>7</v>
      </c>
      <c r="AT27" s="5">
        <f t="shared" si="7"/>
        <v>7</v>
      </c>
      <c r="AU27" s="5">
        <f t="shared" si="7"/>
        <v>0</v>
      </c>
      <c r="AV27" s="5">
        <f t="shared" si="7"/>
        <v>7</v>
      </c>
      <c r="AW27" s="5">
        <f t="shared" si="7"/>
        <v>2</v>
      </c>
      <c r="AX27" s="5">
        <f t="shared" si="7"/>
        <v>2</v>
      </c>
      <c r="AY27" s="5">
        <f t="shared" si="7"/>
        <v>3</v>
      </c>
      <c r="AZ27" s="5">
        <f t="shared" si="7"/>
        <v>0</v>
      </c>
      <c r="BA27" s="5">
        <f t="shared" si="2"/>
        <v>141</v>
      </c>
    </row>
    <row r="28" spans="1:53" x14ac:dyDescent="0.3">
      <c r="A28" s="13"/>
      <c r="B28" s="102" t="s">
        <v>34</v>
      </c>
      <c r="C28" s="103" t="s">
        <v>35</v>
      </c>
      <c r="D28" s="5" t="s">
        <v>23</v>
      </c>
      <c r="E28" s="5">
        <f>SUM(E19,E22,E25)</f>
        <v>98</v>
      </c>
      <c r="F28" s="5">
        <f t="shared" ref="F28:AZ29" si="9">SUM(F19,F22,F25)</f>
        <v>117</v>
      </c>
      <c r="G28" s="5">
        <f t="shared" si="9"/>
        <v>90</v>
      </c>
      <c r="H28" s="5">
        <f t="shared" si="9"/>
        <v>90</v>
      </c>
      <c r="I28" s="5">
        <f t="shared" si="9"/>
        <v>106</v>
      </c>
      <c r="J28" s="5">
        <f t="shared" si="9"/>
        <v>105</v>
      </c>
      <c r="K28" s="5">
        <f t="shared" si="9"/>
        <v>88</v>
      </c>
      <c r="L28" s="5">
        <f t="shared" si="9"/>
        <v>92</v>
      </c>
      <c r="M28" s="5">
        <f t="shared" si="9"/>
        <v>77</v>
      </c>
      <c r="N28" s="5">
        <f t="shared" si="9"/>
        <v>85</v>
      </c>
      <c r="O28" s="5">
        <f t="shared" ref="O28:AG28" si="10">SUM(O19,O22,O25)</f>
        <v>108</v>
      </c>
      <c r="P28" s="5">
        <f t="shared" si="10"/>
        <v>89</v>
      </c>
      <c r="Q28" s="5">
        <f t="shared" si="10"/>
        <v>81</v>
      </c>
      <c r="R28" s="5">
        <f t="shared" si="10"/>
        <v>122</v>
      </c>
      <c r="S28" s="5">
        <f t="shared" si="10"/>
        <v>108</v>
      </c>
      <c r="T28" s="5">
        <f t="shared" si="10"/>
        <v>114</v>
      </c>
      <c r="U28" s="5">
        <f t="shared" si="10"/>
        <v>73</v>
      </c>
      <c r="V28" s="5">
        <f t="shared" si="10"/>
        <v>100</v>
      </c>
      <c r="W28" s="5">
        <f t="shared" si="10"/>
        <v>110</v>
      </c>
      <c r="X28" s="5">
        <f t="shared" si="10"/>
        <v>106</v>
      </c>
      <c r="Y28" s="5">
        <f t="shared" si="10"/>
        <v>103</v>
      </c>
      <c r="Z28" s="5">
        <f t="shared" si="10"/>
        <v>58</v>
      </c>
      <c r="AA28" s="5">
        <f t="shared" si="10"/>
        <v>111</v>
      </c>
      <c r="AB28" s="5">
        <f t="shared" si="10"/>
        <v>98</v>
      </c>
      <c r="AC28" s="5">
        <f t="shared" si="10"/>
        <v>96</v>
      </c>
      <c r="AD28" s="5">
        <f t="shared" si="10"/>
        <v>92</v>
      </c>
      <c r="AE28" s="5">
        <f t="shared" si="10"/>
        <v>98</v>
      </c>
      <c r="AF28" s="5">
        <f t="shared" si="10"/>
        <v>110</v>
      </c>
      <c r="AG28" s="5">
        <f t="shared" si="10"/>
        <v>107</v>
      </c>
      <c r="AH28" s="5">
        <f t="shared" si="9"/>
        <v>100</v>
      </c>
      <c r="AI28" s="5">
        <f t="shared" si="9"/>
        <v>43</v>
      </c>
      <c r="AJ28" s="5">
        <f t="shared" si="9"/>
        <v>104</v>
      </c>
      <c r="AK28" s="5">
        <f t="shared" si="9"/>
        <v>95</v>
      </c>
      <c r="AL28" s="5">
        <f t="shared" si="9"/>
        <v>93</v>
      </c>
      <c r="AM28" s="5">
        <f t="shared" si="9"/>
        <v>88</v>
      </c>
      <c r="AN28" s="5">
        <f t="shared" si="9"/>
        <v>103</v>
      </c>
      <c r="AO28" s="5">
        <f t="shared" si="9"/>
        <v>95</v>
      </c>
      <c r="AP28" s="5">
        <f t="shared" si="9"/>
        <v>100</v>
      </c>
      <c r="AQ28" s="5">
        <f t="shared" si="9"/>
        <v>82</v>
      </c>
      <c r="AR28" s="5">
        <f t="shared" si="9"/>
        <v>95</v>
      </c>
      <c r="AS28" s="5">
        <f t="shared" si="9"/>
        <v>80</v>
      </c>
      <c r="AT28" s="5">
        <f t="shared" si="9"/>
        <v>108</v>
      </c>
      <c r="AU28" s="5">
        <f t="shared" si="9"/>
        <v>104</v>
      </c>
      <c r="AV28" s="5">
        <f t="shared" si="9"/>
        <v>110</v>
      </c>
      <c r="AW28" s="5">
        <f t="shared" si="9"/>
        <v>107</v>
      </c>
      <c r="AX28" s="5">
        <f t="shared" si="9"/>
        <v>99</v>
      </c>
      <c r="AY28" s="5">
        <f t="shared" si="9"/>
        <v>77</v>
      </c>
      <c r="AZ28" s="5">
        <f t="shared" si="9"/>
        <v>68</v>
      </c>
      <c r="BA28" s="5">
        <f t="shared" si="2"/>
        <v>4583</v>
      </c>
    </row>
    <row r="29" spans="1:53" x14ac:dyDescent="0.3">
      <c r="A29" s="13"/>
      <c r="B29" s="90"/>
      <c r="C29" s="100"/>
      <c r="D29" s="5" t="s">
        <v>24</v>
      </c>
      <c r="E29" s="5">
        <f>SUM(E20,E23,E26)</f>
        <v>116</v>
      </c>
      <c r="F29" s="5">
        <f t="shared" si="9"/>
        <v>132</v>
      </c>
      <c r="G29" s="5">
        <f t="shared" si="9"/>
        <v>87</v>
      </c>
      <c r="H29" s="5">
        <f t="shared" si="9"/>
        <v>120</v>
      </c>
      <c r="I29" s="5">
        <f t="shared" si="9"/>
        <v>117</v>
      </c>
      <c r="J29" s="5">
        <f t="shared" si="9"/>
        <v>121</v>
      </c>
      <c r="K29" s="5">
        <f t="shared" si="9"/>
        <v>108</v>
      </c>
      <c r="L29" s="5">
        <f t="shared" si="9"/>
        <v>100</v>
      </c>
      <c r="M29" s="5">
        <f t="shared" si="9"/>
        <v>94</v>
      </c>
      <c r="N29" s="5">
        <f t="shared" si="9"/>
        <v>106</v>
      </c>
      <c r="O29" s="5">
        <f t="shared" ref="O29:AG29" si="11">SUM(O20,O23,O26)</f>
        <v>106</v>
      </c>
      <c r="P29" s="5">
        <f t="shared" si="11"/>
        <v>97</v>
      </c>
      <c r="Q29" s="5">
        <f t="shared" si="11"/>
        <v>94</v>
      </c>
      <c r="R29" s="5">
        <f t="shared" si="11"/>
        <v>111</v>
      </c>
      <c r="S29" s="5">
        <f t="shared" si="11"/>
        <v>114</v>
      </c>
      <c r="T29" s="5">
        <f t="shared" si="11"/>
        <v>119</v>
      </c>
      <c r="U29" s="5">
        <f t="shared" si="11"/>
        <v>87</v>
      </c>
      <c r="V29" s="5">
        <f t="shared" si="11"/>
        <v>109</v>
      </c>
      <c r="W29" s="5">
        <f t="shared" si="11"/>
        <v>119</v>
      </c>
      <c r="X29" s="5">
        <f t="shared" si="11"/>
        <v>127</v>
      </c>
      <c r="Y29" s="5">
        <f t="shared" si="11"/>
        <v>109</v>
      </c>
      <c r="Z29" s="5">
        <f t="shared" si="11"/>
        <v>68</v>
      </c>
      <c r="AA29" s="5">
        <f t="shared" si="11"/>
        <v>113</v>
      </c>
      <c r="AB29" s="5">
        <f t="shared" si="11"/>
        <v>105</v>
      </c>
      <c r="AC29" s="5">
        <f t="shared" si="11"/>
        <v>110</v>
      </c>
      <c r="AD29" s="5">
        <f t="shared" si="11"/>
        <v>123</v>
      </c>
      <c r="AE29" s="5">
        <f t="shared" si="11"/>
        <v>104</v>
      </c>
      <c r="AF29" s="5">
        <f t="shared" si="11"/>
        <v>110</v>
      </c>
      <c r="AG29" s="5">
        <f t="shared" si="11"/>
        <v>97</v>
      </c>
      <c r="AH29" s="5">
        <f t="shared" si="9"/>
        <v>103</v>
      </c>
      <c r="AI29" s="5">
        <f t="shared" si="9"/>
        <v>58</v>
      </c>
      <c r="AJ29" s="5">
        <f t="shared" si="9"/>
        <v>115</v>
      </c>
      <c r="AK29" s="5">
        <f t="shared" si="9"/>
        <v>106</v>
      </c>
      <c r="AL29" s="5">
        <f t="shared" si="9"/>
        <v>103</v>
      </c>
      <c r="AM29" s="5">
        <f t="shared" si="9"/>
        <v>100</v>
      </c>
      <c r="AN29" s="5">
        <f t="shared" si="9"/>
        <v>96</v>
      </c>
      <c r="AO29" s="5">
        <f t="shared" si="9"/>
        <v>101</v>
      </c>
      <c r="AP29" s="5">
        <f t="shared" si="9"/>
        <v>114</v>
      </c>
      <c r="AQ29" s="5">
        <f t="shared" si="9"/>
        <v>84</v>
      </c>
      <c r="AR29" s="5">
        <f t="shared" si="9"/>
        <v>99</v>
      </c>
      <c r="AS29" s="5">
        <f t="shared" si="9"/>
        <v>98</v>
      </c>
      <c r="AT29" s="5">
        <f t="shared" si="9"/>
        <v>142</v>
      </c>
      <c r="AU29" s="5">
        <f t="shared" si="9"/>
        <v>96</v>
      </c>
      <c r="AV29" s="5">
        <f t="shared" si="9"/>
        <v>127</v>
      </c>
      <c r="AW29" s="5">
        <f t="shared" si="9"/>
        <v>107</v>
      </c>
      <c r="AX29" s="5">
        <f t="shared" si="9"/>
        <v>95</v>
      </c>
      <c r="AY29" s="5">
        <f t="shared" si="9"/>
        <v>99</v>
      </c>
      <c r="AZ29" s="5">
        <f t="shared" si="9"/>
        <v>77</v>
      </c>
      <c r="BA29" s="5">
        <f t="shared" si="2"/>
        <v>5043</v>
      </c>
    </row>
    <row r="30" spans="1:53" x14ac:dyDescent="0.3">
      <c r="A30" s="13"/>
      <c r="B30" s="91"/>
      <c r="C30" s="101"/>
      <c r="D30" s="5" t="s">
        <v>25</v>
      </c>
      <c r="E30" s="5">
        <f t="shared" ref="E30:AZ30" si="12">SUM(E28:E29)</f>
        <v>214</v>
      </c>
      <c r="F30" s="5">
        <f t="shared" si="12"/>
        <v>249</v>
      </c>
      <c r="G30" s="5">
        <f t="shared" si="12"/>
        <v>177</v>
      </c>
      <c r="H30" s="5">
        <f t="shared" si="12"/>
        <v>210</v>
      </c>
      <c r="I30" s="5">
        <f t="shared" si="12"/>
        <v>223</v>
      </c>
      <c r="J30" s="5">
        <f t="shared" si="12"/>
        <v>226</v>
      </c>
      <c r="K30" s="5">
        <f t="shared" si="12"/>
        <v>196</v>
      </c>
      <c r="L30" s="5">
        <f t="shared" si="12"/>
        <v>192</v>
      </c>
      <c r="M30" s="5">
        <f t="shared" si="12"/>
        <v>171</v>
      </c>
      <c r="N30" s="5">
        <f t="shared" si="12"/>
        <v>191</v>
      </c>
      <c r="O30" s="5">
        <f t="shared" ref="O30:AG30" si="13">SUM(O28:O29)</f>
        <v>214</v>
      </c>
      <c r="P30" s="5">
        <f t="shared" si="13"/>
        <v>186</v>
      </c>
      <c r="Q30" s="5">
        <f t="shared" si="13"/>
        <v>175</v>
      </c>
      <c r="R30" s="5">
        <f t="shared" si="13"/>
        <v>233</v>
      </c>
      <c r="S30" s="5">
        <f t="shared" si="13"/>
        <v>222</v>
      </c>
      <c r="T30" s="5">
        <f t="shared" si="13"/>
        <v>233</v>
      </c>
      <c r="U30" s="5">
        <f t="shared" si="13"/>
        <v>160</v>
      </c>
      <c r="V30" s="5">
        <f t="shared" si="13"/>
        <v>209</v>
      </c>
      <c r="W30" s="5">
        <f t="shared" si="13"/>
        <v>229</v>
      </c>
      <c r="X30" s="5">
        <f t="shared" si="13"/>
        <v>233</v>
      </c>
      <c r="Y30" s="5">
        <f t="shared" si="13"/>
        <v>212</v>
      </c>
      <c r="Z30" s="5">
        <f t="shared" si="13"/>
        <v>126</v>
      </c>
      <c r="AA30" s="5">
        <f t="shared" si="13"/>
        <v>224</v>
      </c>
      <c r="AB30" s="5">
        <f t="shared" si="13"/>
        <v>203</v>
      </c>
      <c r="AC30" s="5">
        <f t="shared" si="13"/>
        <v>206</v>
      </c>
      <c r="AD30" s="5">
        <f t="shared" si="13"/>
        <v>215</v>
      </c>
      <c r="AE30" s="5">
        <f t="shared" si="13"/>
        <v>202</v>
      </c>
      <c r="AF30" s="5">
        <f t="shared" si="13"/>
        <v>220</v>
      </c>
      <c r="AG30" s="5">
        <f t="shared" si="13"/>
        <v>204</v>
      </c>
      <c r="AH30" s="5">
        <f t="shared" si="12"/>
        <v>203</v>
      </c>
      <c r="AI30" s="5">
        <f t="shared" si="12"/>
        <v>101</v>
      </c>
      <c r="AJ30" s="5">
        <f t="shared" si="12"/>
        <v>219</v>
      </c>
      <c r="AK30" s="5">
        <f t="shared" si="12"/>
        <v>201</v>
      </c>
      <c r="AL30" s="5">
        <f t="shared" si="12"/>
        <v>196</v>
      </c>
      <c r="AM30" s="5">
        <f t="shared" si="12"/>
        <v>188</v>
      </c>
      <c r="AN30" s="5">
        <f t="shared" si="12"/>
        <v>199</v>
      </c>
      <c r="AO30" s="5">
        <f t="shared" si="12"/>
        <v>196</v>
      </c>
      <c r="AP30" s="5">
        <f t="shared" si="12"/>
        <v>214</v>
      </c>
      <c r="AQ30" s="5">
        <f t="shared" si="12"/>
        <v>166</v>
      </c>
      <c r="AR30" s="5">
        <f t="shared" si="12"/>
        <v>194</v>
      </c>
      <c r="AS30" s="5">
        <f t="shared" si="12"/>
        <v>178</v>
      </c>
      <c r="AT30" s="5">
        <f t="shared" si="12"/>
        <v>250</v>
      </c>
      <c r="AU30" s="5">
        <f t="shared" si="12"/>
        <v>200</v>
      </c>
      <c r="AV30" s="5">
        <f t="shared" si="12"/>
        <v>237</v>
      </c>
      <c r="AW30" s="5">
        <f t="shared" si="12"/>
        <v>214</v>
      </c>
      <c r="AX30" s="5">
        <f t="shared" si="12"/>
        <v>194</v>
      </c>
      <c r="AY30" s="5">
        <f t="shared" si="12"/>
        <v>176</v>
      </c>
      <c r="AZ30" s="5">
        <f t="shared" si="12"/>
        <v>145</v>
      </c>
      <c r="BA30" s="5">
        <f t="shared" si="2"/>
        <v>9626</v>
      </c>
    </row>
    <row r="31" spans="1:53" x14ac:dyDescent="0.3">
      <c r="A31" s="77"/>
      <c r="B31" s="85"/>
      <c r="C31" s="85"/>
      <c r="D31" s="76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29"/>
    </row>
    <row r="32" spans="1:53" x14ac:dyDescent="0.3">
      <c r="A32" s="14" t="s">
        <v>36</v>
      </c>
      <c r="B32" s="72" t="s">
        <v>37</v>
      </c>
      <c r="C32" s="85"/>
      <c r="D32" s="76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29"/>
    </row>
    <row r="33" spans="1:53" x14ac:dyDescent="0.3">
      <c r="A33" s="6">
        <v>1</v>
      </c>
      <c r="B33" s="93" t="s">
        <v>38</v>
      </c>
      <c r="C33" s="85"/>
      <c r="D33" s="76"/>
      <c r="E33" s="6">
        <v>297</v>
      </c>
      <c r="F33" s="6">
        <v>300</v>
      </c>
      <c r="G33" s="6">
        <v>213</v>
      </c>
      <c r="H33" s="6">
        <v>284</v>
      </c>
      <c r="I33" s="6">
        <v>294</v>
      </c>
      <c r="J33" s="6">
        <v>279</v>
      </c>
      <c r="K33" s="6">
        <v>249</v>
      </c>
      <c r="L33" s="6">
        <v>249</v>
      </c>
      <c r="M33" s="6">
        <v>240</v>
      </c>
      <c r="N33" s="6">
        <v>267</v>
      </c>
      <c r="O33" s="6">
        <v>268</v>
      </c>
      <c r="P33" s="6">
        <v>239</v>
      </c>
      <c r="Q33" s="6">
        <v>215</v>
      </c>
      <c r="R33" s="6">
        <v>293</v>
      </c>
      <c r="S33" s="6">
        <v>300</v>
      </c>
      <c r="T33" s="6">
        <v>303</v>
      </c>
      <c r="U33" s="6">
        <v>214</v>
      </c>
      <c r="V33" s="6">
        <v>296</v>
      </c>
      <c r="W33" s="6">
        <v>305</v>
      </c>
      <c r="X33" s="6">
        <v>286</v>
      </c>
      <c r="Y33" s="6">
        <v>281</v>
      </c>
      <c r="Z33" s="6">
        <v>160</v>
      </c>
      <c r="AA33" s="6">
        <v>300</v>
      </c>
      <c r="AB33" s="6">
        <v>266</v>
      </c>
      <c r="AC33" s="6">
        <v>276</v>
      </c>
      <c r="AD33" s="6">
        <v>294</v>
      </c>
      <c r="AE33" s="6">
        <v>250</v>
      </c>
      <c r="AF33" s="6">
        <v>284</v>
      </c>
      <c r="AG33" s="6">
        <v>276</v>
      </c>
      <c r="AH33" s="6">
        <v>288</v>
      </c>
      <c r="AI33" s="6">
        <v>149</v>
      </c>
      <c r="AJ33" s="6">
        <v>290</v>
      </c>
      <c r="AK33" s="6">
        <v>275</v>
      </c>
      <c r="AL33" s="6">
        <v>293</v>
      </c>
      <c r="AM33" s="6">
        <v>247</v>
      </c>
      <c r="AN33" s="6">
        <v>279</v>
      </c>
      <c r="AO33" s="6">
        <v>279</v>
      </c>
      <c r="AP33" s="6">
        <v>299</v>
      </c>
      <c r="AQ33" s="6">
        <v>238</v>
      </c>
      <c r="AR33" s="6">
        <v>260</v>
      </c>
      <c r="AS33" s="6">
        <v>235</v>
      </c>
      <c r="AT33" s="6">
        <v>296</v>
      </c>
      <c r="AU33" s="6">
        <v>277</v>
      </c>
      <c r="AV33" s="6">
        <v>289</v>
      </c>
      <c r="AW33" s="6">
        <v>303</v>
      </c>
      <c r="AX33" s="6">
        <v>243</v>
      </c>
      <c r="AY33" s="6">
        <v>239</v>
      </c>
      <c r="AZ33" s="6">
        <v>191</v>
      </c>
      <c r="BA33" s="5">
        <f>SUM(E33:AZ33)</f>
        <v>12748</v>
      </c>
    </row>
    <row r="34" spans="1:53" x14ac:dyDescent="0.3">
      <c r="A34" s="6">
        <v>2</v>
      </c>
      <c r="B34" s="93" t="s">
        <v>39</v>
      </c>
      <c r="C34" s="85"/>
      <c r="D34" s="76"/>
      <c r="E34" s="5">
        <v>214</v>
      </c>
      <c r="F34" s="5">
        <v>249</v>
      </c>
      <c r="G34" s="5">
        <v>177</v>
      </c>
      <c r="H34" s="5">
        <v>210</v>
      </c>
      <c r="I34" s="5">
        <v>223</v>
      </c>
      <c r="J34" s="5">
        <v>226</v>
      </c>
      <c r="K34" s="5">
        <v>196</v>
      </c>
      <c r="L34" s="5">
        <v>192</v>
      </c>
      <c r="M34" s="5">
        <v>171</v>
      </c>
      <c r="N34" s="5">
        <v>191</v>
      </c>
      <c r="O34" s="5">
        <v>214</v>
      </c>
      <c r="P34" s="5">
        <v>186</v>
      </c>
      <c r="Q34" s="5">
        <v>175</v>
      </c>
      <c r="R34" s="5">
        <v>233</v>
      </c>
      <c r="S34" s="5">
        <v>222</v>
      </c>
      <c r="T34" s="5">
        <v>233</v>
      </c>
      <c r="U34" s="5">
        <v>160</v>
      </c>
      <c r="V34" s="5">
        <v>209</v>
      </c>
      <c r="W34" s="5">
        <v>229</v>
      </c>
      <c r="X34" s="5">
        <v>233</v>
      </c>
      <c r="Y34" s="5">
        <v>212</v>
      </c>
      <c r="Z34" s="5">
        <v>126</v>
      </c>
      <c r="AA34" s="5">
        <v>224</v>
      </c>
      <c r="AB34" s="5">
        <v>203</v>
      </c>
      <c r="AC34" s="5">
        <v>206</v>
      </c>
      <c r="AD34" s="5">
        <v>215</v>
      </c>
      <c r="AE34" s="5">
        <v>202</v>
      </c>
      <c r="AF34" s="5">
        <v>220</v>
      </c>
      <c r="AG34" s="5">
        <v>204</v>
      </c>
      <c r="AH34" s="5">
        <v>203</v>
      </c>
      <c r="AI34" s="5">
        <v>101</v>
      </c>
      <c r="AJ34" s="5">
        <v>219</v>
      </c>
      <c r="AK34" s="5">
        <v>201</v>
      </c>
      <c r="AL34" s="5">
        <v>196</v>
      </c>
      <c r="AM34" s="5">
        <v>188</v>
      </c>
      <c r="AN34" s="5">
        <v>199</v>
      </c>
      <c r="AO34" s="5">
        <v>196</v>
      </c>
      <c r="AP34" s="5">
        <v>214</v>
      </c>
      <c r="AQ34" s="5">
        <v>166</v>
      </c>
      <c r="AR34" s="5">
        <v>194</v>
      </c>
      <c r="AS34" s="5">
        <v>178</v>
      </c>
      <c r="AT34" s="5">
        <v>250</v>
      </c>
      <c r="AU34" s="5">
        <v>200</v>
      </c>
      <c r="AV34" s="5">
        <v>237</v>
      </c>
      <c r="AW34" s="5">
        <v>214</v>
      </c>
      <c r="AX34" s="5">
        <v>194</v>
      </c>
      <c r="AY34" s="5">
        <v>176</v>
      </c>
      <c r="AZ34" s="5">
        <v>145</v>
      </c>
      <c r="BA34" s="5">
        <f>SUM(E34:AZ34)</f>
        <v>9626</v>
      </c>
    </row>
    <row r="35" spans="1:53" x14ac:dyDescent="0.3">
      <c r="A35" s="6">
        <v>3</v>
      </c>
      <c r="B35" s="93" t="s">
        <v>40</v>
      </c>
      <c r="C35" s="85"/>
      <c r="D35" s="76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1</v>
      </c>
      <c r="AC35" s="6">
        <v>2</v>
      </c>
      <c r="AD35" s="6">
        <v>0</v>
      </c>
      <c r="AE35" s="6">
        <v>1</v>
      </c>
      <c r="AF35" s="6">
        <v>0</v>
      </c>
      <c r="AG35" s="6">
        <v>1</v>
      </c>
      <c r="AH35" s="6">
        <v>1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2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1</v>
      </c>
      <c r="AX35" s="6">
        <v>0</v>
      </c>
      <c r="AY35" s="6">
        <v>0</v>
      </c>
      <c r="AZ35" s="6">
        <v>0</v>
      </c>
      <c r="BA35" s="5">
        <f>SUM(E35:AZ35)</f>
        <v>12</v>
      </c>
    </row>
    <row r="36" spans="1:53" x14ac:dyDescent="0.3">
      <c r="A36" s="6">
        <v>4</v>
      </c>
      <c r="B36" s="93" t="s">
        <v>41</v>
      </c>
      <c r="C36" s="85"/>
      <c r="D36" s="76"/>
      <c r="E36" s="5">
        <f t="shared" ref="E36:AZ36" si="14">E33-(E34+E35)</f>
        <v>83</v>
      </c>
      <c r="F36" s="5">
        <f t="shared" si="14"/>
        <v>51</v>
      </c>
      <c r="G36" s="5">
        <f t="shared" si="14"/>
        <v>36</v>
      </c>
      <c r="H36" s="5">
        <f t="shared" si="14"/>
        <v>74</v>
      </c>
      <c r="I36" s="5">
        <f t="shared" si="14"/>
        <v>71</v>
      </c>
      <c r="J36" s="5">
        <f t="shared" si="14"/>
        <v>53</v>
      </c>
      <c r="K36" s="5">
        <f t="shared" si="14"/>
        <v>52</v>
      </c>
      <c r="L36" s="5">
        <f t="shared" si="14"/>
        <v>57</v>
      </c>
      <c r="M36" s="5">
        <f t="shared" si="14"/>
        <v>69</v>
      </c>
      <c r="N36" s="5">
        <f t="shared" si="14"/>
        <v>76</v>
      </c>
      <c r="O36" s="5">
        <f t="shared" ref="O36:AG36" si="15">O33-(O34+O35)</f>
        <v>54</v>
      </c>
      <c r="P36" s="5">
        <f t="shared" si="15"/>
        <v>53</v>
      </c>
      <c r="Q36" s="5">
        <f t="shared" si="15"/>
        <v>40</v>
      </c>
      <c r="R36" s="5">
        <f t="shared" si="15"/>
        <v>60</v>
      </c>
      <c r="S36" s="5">
        <f t="shared" si="15"/>
        <v>78</v>
      </c>
      <c r="T36" s="5">
        <f t="shared" si="15"/>
        <v>70</v>
      </c>
      <c r="U36" s="5">
        <f t="shared" si="15"/>
        <v>53</v>
      </c>
      <c r="V36" s="5">
        <f t="shared" si="15"/>
        <v>87</v>
      </c>
      <c r="W36" s="5">
        <f t="shared" si="15"/>
        <v>76</v>
      </c>
      <c r="X36" s="5">
        <f t="shared" si="15"/>
        <v>53</v>
      </c>
      <c r="Y36" s="5">
        <f t="shared" si="15"/>
        <v>69</v>
      </c>
      <c r="Z36" s="5">
        <f t="shared" si="15"/>
        <v>34</v>
      </c>
      <c r="AA36" s="5">
        <f t="shared" si="15"/>
        <v>76</v>
      </c>
      <c r="AB36" s="5">
        <f t="shared" si="15"/>
        <v>62</v>
      </c>
      <c r="AC36" s="5">
        <f t="shared" si="15"/>
        <v>68</v>
      </c>
      <c r="AD36" s="5">
        <f t="shared" si="15"/>
        <v>79</v>
      </c>
      <c r="AE36" s="5">
        <f t="shared" si="15"/>
        <v>47</v>
      </c>
      <c r="AF36" s="5">
        <f t="shared" si="15"/>
        <v>64</v>
      </c>
      <c r="AG36" s="5">
        <f t="shared" si="15"/>
        <v>71</v>
      </c>
      <c r="AH36" s="5">
        <f t="shared" si="14"/>
        <v>84</v>
      </c>
      <c r="AI36" s="5">
        <f t="shared" si="14"/>
        <v>48</v>
      </c>
      <c r="AJ36" s="5">
        <f t="shared" si="14"/>
        <v>71</v>
      </c>
      <c r="AK36" s="5">
        <f t="shared" si="14"/>
        <v>73</v>
      </c>
      <c r="AL36" s="5">
        <f t="shared" si="14"/>
        <v>97</v>
      </c>
      <c r="AM36" s="5">
        <f t="shared" si="14"/>
        <v>59</v>
      </c>
      <c r="AN36" s="5">
        <f t="shared" si="14"/>
        <v>80</v>
      </c>
      <c r="AO36" s="5">
        <f t="shared" si="14"/>
        <v>83</v>
      </c>
      <c r="AP36" s="5">
        <f t="shared" si="14"/>
        <v>85</v>
      </c>
      <c r="AQ36" s="5">
        <f t="shared" si="14"/>
        <v>70</v>
      </c>
      <c r="AR36" s="5">
        <f t="shared" si="14"/>
        <v>66</v>
      </c>
      <c r="AS36" s="5">
        <f t="shared" si="14"/>
        <v>57</v>
      </c>
      <c r="AT36" s="5">
        <f t="shared" si="14"/>
        <v>46</v>
      </c>
      <c r="AU36" s="5">
        <f t="shared" si="14"/>
        <v>77</v>
      </c>
      <c r="AV36" s="5">
        <f t="shared" si="14"/>
        <v>52</v>
      </c>
      <c r="AW36" s="5">
        <f t="shared" si="14"/>
        <v>88</v>
      </c>
      <c r="AX36" s="5">
        <f t="shared" si="14"/>
        <v>49</v>
      </c>
      <c r="AY36" s="5">
        <f t="shared" si="14"/>
        <v>63</v>
      </c>
      <c r="AZ36" s="5">
        <f t="shared" si="14"/>
        <v>46</v>
      </c>
      <c r="BA36" s="5">
        <f>SUM(E36:AZ36)</f>
        <v>3110</v>
      </c>
    </row>
    <row r="37" spans="1:53" x14ac:dyDescent="0.3">
      <c r="A37" s="77"/>
      <c r="B37" s="85"/>
      <c r="C37" s="85"/>
      <c r="D37" s="85"/>
      <c r="E37" s="77"/>
      <c r="F37" s="104"/>
      <c r="G37" s="104"/>
      <c r="H37" s="104"/>
      <c r="I37" s="105"/>
      <c r="J37" s="6"/>
      <c r="K37" s="6"/>
      <c r="L37" s="6"/>
      <c r="M37" s="6"/>
      <c r="N37" s="10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9"/>
    </row>
    <row r="38" spans="1:53" x14ac:dyDescent="0.3">
      <c r="A38" s="16" t="s">
        <v>42</v>
      </c>
      <c r="B38" s="72" t="s">
        <v>43</v>
      </c>
      <c r="C38" s="85"/>
      <c r="D38" s="76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29"/>
    </row>
    <row r="39" spans="1:53" x14ac:dyDescent="0.3">
      <c r="A39" s="11"/>
      <c r="B39" s="88" t="s">
        <v>44</v>
      </c>
      <c r="C39" s="84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1</v>
      </c>
      <c r="J39" s="6">
        <v>1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0</v>
      </c>
      <c r="S39" s="6">
        <v>0</v>
      </c>
      <c r="T39" s="6">
        <v>0</v>
      </c>
      <c r="U39" s="6">
        <v>1</v>
      </c>
      <c r="V39" s="6">
        <v>0</v>
      </c>
      <c r="W39" s="6">
        <v>0</v>
      </c>
      <c r="X39" s="6">
        <v>2</v>
      </c>
      <c r="Y39" s="6">
        <v>0</v>
      </c>
      <c r="Z39" s="6">
        <v>1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1</v>
      </c>
      <c r="AQ39" s="6">
        <v>0</v>
      </c>
      <c r="AR39" s="6">
        <v>1</v>
      </c>
      <c r="AS39" s="6">
        <v>1</v>
      </c>
      <c r="AT39" s="6">
        <v>0</v>
      </c>
      <c r="AU39" s="6">
        <v>0</v>
      </c>
      <c r="AV39" s="6">
        <v>0</v>
      </c>
      <c r="AW39" s="6">
        <v>0</v>
      </c>
      <c r="AX39" s="6"/>
      <c r="AY39" s="6"/>
      <c r="AZ39" s="6"/>
      <c r="BA39" s="5">
        <f>SUM(E39:AZ39)</f>
        <v>10</v>
      </c>
    </row>
    <row r="40" spans="1:53" x14ac:dyDescent="0.3">
      <c r="A40" s="12"/>
      <c r="B40" s="89"/>
      <c r="C40" s="90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1</v>
      </c>
      <c r="S40" s="6">
        <v>0</v>
      </c>
      <c r="T40" s="6">
        <v>0</v>
      </c>
      <c r="U40" s="6">
        <v>1</v>
      </c>
      <c r="V40" s="6">
        <v>0</v>
      </c>
      <c r="W40" s="6">
        <v>0</v>
      </c>
      <c r="X40" s="6">
        <v>1</v>
      </c>
      <c r="Y40" s="6">
        <v>0</v>
      </c>
      <c r="Z40" s="6">
        <v>3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2</v>
      </c>
      <c r="AP40" s="6">
        <v>1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/>
      <c r="AY40" s="6"/>
      <c r="AZ40" s="6">
        <v>1</v>
      </c>
      <c r="BA40" s="5">
        <f>SUM(E40:AZ40)</f>
        <v>11</v>
      </c>
    </row>
    <row r="41" spans="1:53" x14ac:dyDescent="0.3">
      <c r="A41" s="14"/>
      <c r="B41" s="87"/>
      <c r="C41" s="91"/>
      <c r="D41" s="5" t="s">
        <v>25</v>
      </c>
      <c r="E41" s="5">
        <f t="shared" ref="E41:AZ41" si="16">SUM(E39:E40)</f>
        <v>0</v>
      </c>
      <c r="F41" s="5">
        <f t="shared" si="16"/>
        <v>0</v>
      </c>
      <c r="G41" s="5">
        <f t="shared" si="16"/>
        <v>0</v>
      </c>
      <c r="H41" s="5">
        <f t="shared" si="16"/>
        <v>0</v>
      </c>
      <c r="I41" s="5">
        <f t="shared" si="16"/>
        <v>1</v>
      </c>
      <c r="J41" s="5">
        <f t="shared" si="16"/>
        <v>1</v>
      </c>
      <c r="K41" s="5">
        <f t="shared" si="16"/>
        <v>1</v>
      </c>
      <c r="L41" s="5">
        <f t="shared" si="16"/>
        <v>0</v>
      </c>
      <c r="M41" s="5">
        <f t="shared" si="16"/>
        <v>0</v>
      </c>
      <c r="N41" s="5">
        <f t="shared" si="16"/>
        <v>0</v>
      </c>
      <c r="O41" s="5">
        <f t="shared" ref="O41:AG41" si="17">SUM(O39:O40)</f>
        <v>0</v>
      </c>
      <c r="P41" s="5">
        <f t="shared" si="17"/>
        <v>1</v>
      </c>
      <c r="Q41" s="5">
        <f t="shared" si="17"/>
        <v>0</v>
      </c>
      <c r="R41" s="5">
        <f t="shared" si="17"/>
        <v>1</v>
      </c>
      <c r="S41" s="5">
        <f t="shared" si="17"/>
        <v>0</v>
      </c>
      <c r="T41" s="5">
        <f t="shared" si="17"/>
        <v>0</v>
      </c>
      <c r="U41" s="5">
        <f t="shared" si="17"/>
        <v>2</v>
      </c>
      <c r="V41" s="5">
        <f t="shared" si="17"/>
        <v>0</v>
      </c>
      <c r="W41" s="5">
        <f t="shared" si="17"/>
        <v>0</v>
      </c>
      <c r="X41" s="5">
        <f t="shared" si="17"/>
        <v>3</v>
      </c>
      <c r="Y41" s="5">
        <f t="shared" si="17"/>
        <v>0</v>
      </c>
      <c r="Z41" s="5">
        <f t="shared" si="17"/>
        <v>4</v>
      </c>
      <c r="AA41" s="5">
        <f t="shared" si="17"/>
        <v>0</v>
      </c>
      <c r="AB41" s="5">
        <f t="shared" si="17"/>
        <v>0</v>
      </c>
      <c r="AC41" s="5">
        <f t="shared" si="17"/>
        <v>0</v>
      </c>
      <c r="AD41" s="5">
        <f t="shared" si="17"/>
        <v>0</v>
      </c>
      <c r="AE41" s="5">
        <f t="shared" si="17"/>
        <v>0</v>
      </c>
      <c r="AF41" s="5">
        <f t="shared" si="17"/>
        <v>0</v>
      </c>
      <c r="AG41" s="5">
        <f t="shared" si="17"/>
        <v>0</v>
      </c>
      <c r="AH41" s="5">
        <f t="shared" si="16"/>
        <v>0</v>
      </c>
      <c r="AI41" s="5">
        <f t="shared" si="16"/>
        <v>0</v>
      </c>
      <c r="AJ41" s="5">
        <f t="shared" si="16"/>
        <v>0</v>
      </c>
      <c r="AK41" s="5">
        <f t="shared" si="16"/>
        <v>0</v>
      </c>
      <c r="AL41" s="5">
        <f t="shared" si="16"/>
        <v>0</v>
      </c>
      <c r="AM41" s="5">
        <f t="shared" si="16"/>
        <v>0</v>
      </c>
      <c r="AN41" s="5">
        <f t="shared" si="16"/>
        <v>0</v>
      </c>
      <c r="AO41" s="5">
        <f t="shared" si="16"/>
        <v>2</v>
      </c>
      <c r="AP41" s="5">
        <f t="shared" si="16"/>
        <v>2</v>
      </c>
      <c r="AQ41" s="5">
        <f t="shared" si="16"/>
        <v>0</v>
      </c>
      <c r="AR41" s="5">
        <f t="shared" si="16"/>
        <v>1</v>
      </c>
      <c r="AS41" s="5">
        <f t="shared" si="16"/>
        <v>1</v>
      </c>
      <c r="AT41" s="5">
        <f t="shared" si="16"/>
        <v>0</v>
      </c>
      <c r="AU41" s="5">
        <f t="shared" si="16"/>
        <v>0</v>
      </c>
      <c r="AV41" s="5">
        <f t="shared" si="16"/>
        <v>0</v>
      </c>
      <c r="AW41" s="5">
        <f t="shared" si="16"/>
        <v>0</v>
      </c>
      <c r="AX41" s="5">
        <f t="shared" si="16"/>
        <v>0</v>
      </c>
      <c r="AY41" s="5">
        <f t="shared" si="16"/>
        <v>0</v>
      </c>
      <c r="AZ41" s="5">
        <f t="shared" si="16"/>
        <v>1</v>
      </c>
      <c r="BA41" s="5">
        <f>SUM(E41:AZ41)</f>
        <v>21</v>
      </c>
    </row>
    <row r="42" spans="1:53" x14ac:dyDescent="0.3">
      <c r="A42" s="86"/>
      <c r="B42" s="87"/>
      <c r="C42" s="87"/>
      <c r="D42" s="91"/>
      <c r="E42" s="77"/>
      <c r="F42" s="85"/>
      <c r="G42" s="85"/>
      <c r="H42" s="85"/>
      <c r="I42" s="76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6"/>
      <c r="Z42" s="10"/>
      <c r="AA42" s="6"/>
      <c r="AB42" s="10"/>
      <c r="AC42" s="6"/>
      <c r="AD42" s="10"/>
      <c r="AE42" s="6"/>
      <c r="AF42" s="10"/>
      <c r="AG42" s="6"/>
      <c r="AH42" s="6"/>
      <c r="AI42" s="10"/>
      <c r="AJ42" s="6"/>
      <c r="AK42" s="10"/>
      <c r="AL42" s="6"/>
      <c r="AM42" s="10"/>
      <c r="AN42" s="6"/>
      <c r="AO42" s="10"/>
      <c r="AP42" s="6"/>
      <c r="AQ42" s="10"/>
      <c r="AR42" s="6"/>
      <c r="AS42" s="10"/>
      <c r="AT42" s="6"/>
      <c r="AU42" s="10"/>
      <c r="AV42" s="6"/>
      <c r="AW42" s="10"/>
      <c r="AX42" s="6"/>
      <c r="AY42" s="10"/>
      <c r="AZ42" s="6"/>
      <c r="BA42" s="5"/>
    </row>
    <row r="43" spans="1:53" ht="13.15" customHeight="1" x14ac:dyDescent="0.3">
      <c r="A43" s="16" t="s">
        <v>45</v>
      </c>
      <c r="B43" s="72" t="s">
        <v>46</v>
      </c>
      <c r="C43" s="85"/>
      <c r="D43" s="7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5"/>
      <c r="Z43" s="15"/>
      <c r="AA43" s="5"/>
      <c r="AB43" s="15"/>
      <c r="AC43" s="5"/>
      <c r="AD43" s="15"/>
      <c r="AE43" s="5"/>
      <c r="AF43" s="15"/>
      <c r="AG43" s="5"/>
      <c r="AH43" s="5"/>
      <c r="AI43" s="15"/>
      <c r="AJ43" s="5"/>
      <c r="AK43" s="15"/>
      <c r="AL43" s="5"/>
      <c r="AM43" s="15"/>
      <c r="AN43" s="5"/>
      <c r="AO43" s="15"/>
      <c r="AP43" s="5"/>
      <c r="AQ43" s="15"/>
      <c r="AR43" s="5"/>
      <c r="AS43" s="15"/>
      <c r="AT43" s="5"/>
      <c r="AU43" s="15"/>
      <c r="AV43" s="5"/>
      <c r="AW43" s="15"/>
      <c r="AX43" s="5"/>
      <c r="AY43" s="15"/>
      <c r="AZ43" s="5"/>
      <c r="BA43" s="5"/>
    </row>
    <row r="44" spans="1:53" ht="13.15" customHeight="1" x14ac:dyDescent="0.3">
      <c r="A44" s="88" t="s">
        <v>47</v>
      </c>
      <c r="B44" s="92"/>
      <c r="C44" s="92"/>
      <c r="D44" s="8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6"/>
      <c r="Z44" s="10"/>
      <c r="AA44" s="6"/>
      <c r="AB44" s="10"/>
      <c r="AC44" s="6"/>
      <c r="AD44" s="10"/>
      <c r="AE44" s="6"/>
      <c r="AF44" s="10"/>
      <c r="AG44" s="6"/>
      <c r="AH44" s="6"/>
      <c r="AI44" s="10"/>
      <c r="AJ44" s="6"/>
      <c r="AK44" s="10"/>
      <c r="AL44" s="6"/>
      <c r="AM44" s="10"/>
      <c r="AN44" s="6"/>
      <c r="AO44" s="10"/>
      <c r="AP44" s="6"/>
      <c r="AQ44" s="10"/>
      <c r="AR44" s="6"/>
      <c r="AS44" s="10"/>
      <c r="AT44" s="6"/>
      <c r="AU44" s="10"/>
      <c r="AV44" s="6"/>
      <c r="AW44" s="10"/>
      <c r="AX44" s="6"/>
      <c r="AY44" s="10"/>
      <c r="AZ44" s="6"/>
      <c r="BA44" s="5"/>
    </row>
    <row r="45" spans="1:53" x14ac:dyDescent="0.3">
      <c r="A45" s="11" t="s">
        <v>48</v>
      </c>
      <c r="B45" s="17" t="s">
        <v>28</v>
      </c>
      <c r="C45" s="75" t="s">
        <v>49</v>
      </c>
      <c r="D45" s="76"/>
      <c r="E45" s="6">
        <v>2</v>
      </c>
      <c r="F45" s="6">
        <v>3</v>
      </c>
      <c r="G45" s="6">
        <v>2</v>
      </c>
      <c r="H45" s="6">
        <v>2</v>
      </c>
      <c r="I45" s="6">
        <v>5</v>
      </c>
      <c r="J45" s="6">
        <v>4</v>
      </c>
      <c r="K45" s="6">
        <v>2</v>
      </c>
      <c r="L45" s="6">
        <v>5</v>
      </c>
      <c r="M45" s="6">
        <v>3</v>
      </c>
      <c r="N45" s="6">
        <v>4</v>
      </c>
      <c r="O45" s="6">
        <v>2</v>
      </c>
      <c r="P45" s="6">
        <v>3</v>
      </c>
      <c r="Q45" s="6">
        <v>1</v>
      </c>
      <c r="R45" s="6">
        <v>8</v>
      </c>
      <c r="S45" s="6">
        <v>11</v>
      </c>
      <c r="T45" s="6">
        <v>10</v>
      </c>
      <c r="U45" s="6">
        <v>0</v>
      </c>
      <c r="V45" s="6">
        <v>3</v>
      </c>
      <c r="W45" s="6">
        <v>7</v>
      </c>
      <c r="X45" s="6">
        <v>3</v>
      </c>
      <c r="Y45" s="6">
        <v>3</v>
      </c>
      <c r="Z45" s="6">
        <v>3</v>
      </c>
      <c r="AA45" s="6">
        <v>7</v>
      </c>
      <c r="AB45" s="6">
        <v>4</v>
      </c>
      <c r="AC45" s="6">
        <v>7</v>
      </c>
      <c r="AD45" s="6">
        <v>9</v>
      </c>
      <c r="AE45" s="6">
        <v>0</v>
      </c>
      <c r="AF45" s="6">
        <v>1</v>
      </c>
      <c r="AG45" s="6">
        <v>7</v>
      </c>
      <c r="AH45" s="6">
        <v>3</v>
      </c>
      <c r="AI45" s="6">
        <v>1</v>
      </c>
      <c r="AJ45" s="6">
        <v>4</v>
      </c>
      <c r="AK45" s="6">
        <v>5</v>
      </c>
      <c r="AL45" s="6">
        <v>4</v>
      </c>
      <c r="AM45" s="6">
        <v>1</v>
      </c>
      <c r="AN45" s="6">
        <v>5</v>
      </c>
      <c r="AO45" s="6">
        <v>5</v>
      </c>
      <c r="AP45" s="6">
        <v>8</v>
      </c>
      <c r="AQ45" s="6">
        <v>4</v>
      </c>
      <c r="AR45" s="6">
        <v>3</v>
      </c>
      <c r="AS45" s="6">
        <v>3</v>
      </c>
      <c r="AT45" s="6">
        <v>4</v>
      </c>
      <c r="AU45" s="6">
        <v>6</v>
      </c>
      <c r="AV45" s="6">
        <v>3</v>
      </c>
      <c r="AW45" s="6">
        <v>5</v>
      </c>
      <c r="AX45" s="6">
        <v>6</v>
      </c>
      <c r="AY45" s="6">
        <v>4</v>
      </c>
      <c r="AZ45" s="6">
        <v>3</v>
      </c>
      <c r="BA45" s="5">
        <f t="shared" ref="BA45:BA54" si="18">SUM(E45:AZ45)</f>
        <v>198</v>
      </c>
    </row>
    <row r="46" spans="1:53" x14ac:dyDescent="0.3">
      <c r="A46" s="11" t="s">
        <v>50</v>
      </c>
      <c r="B46" s="53"/>
      <c r="C46" s="24" t="s">
        <v>122</v>
      </c>
      <c r="D46" s="24"/>
      <c r="E46" s="6">
        <v>3</v>
      </c>
      <c r="F46" s="6">
        <v>10</v>
      </c>
      <c r="G46" s="6">
        <v>9</v>
      </c>
      <c r="H46" s="6">
        <v>8</v>
      </c>
      <c r="I46" s="6">
        <v>8</v>
      </c>
      <c r="J46" s="6">
        <v>4</v>
      </c>
      <c r="K46" s="6">
        <v>6</v>
      </c>
      <c r="L46" s="6">
        <v>20</v>
      </c>
      <c r="M46" s="6">
        <v>4</v>
      </c>
      <c r="N46" s="6">
        <v>7</v>
      </c>
      <c r="O46" s="6">
        <v>2</v>
      </c>
      <c r="P46" s="6">
        <v>1</v>
      </c>
      <c r="Q46" s="6">
        <v>5</v>
      </c>
      <c r="R46" s="6">
        <v>9</v>
      </c>
      <c r="S46" s="6">
        <v>13</v>
      </c>
      <c r="T46" s="6">
        <v>17</v>
      </c>
      <c r="U46" s="6">
        <v>3</v>
      </c>
      <c r="V46" s="6">
        <v>7</v>
      </c>
      <c r="W46" s="6">
        <v>2</v>
      </c>
      <c r="X46" s="6">
        <v>1</v>
      </c>
      <c r="Y46" s="6">
        <v>7</v>
      </c>
      <c r="Z46" s="6">
        <v>6</v>
      </c>
      <c r="AA46" s="6">
        <v>7</v>
      </c>
      <c r="AB46" s="6">
        <v>5</v>
      </c>
      <c r="AC46" s="6">
        <v>6</v>
      </c>
      <c r="AD46" s="6">
        <v>8</v>
      </c>
      <c r="AE46" s="6">
        <v>4</v>
      </c>
      <c r="AF46" s="6">
        <v>5</v>
      </c>
      <c r="AG46" s="6">
        <v>19</v>
      </c>
      <c r="AH46" s="6">
        <v>15</v>
      </c>
      <c r="AI46" s="6">
        <v>2</v>
      </c>
      <c r="AJ46" s="6">
        <v>2</v>
      </c>
      <c r="AK46" s="6">
        <v>1</v>
      </c>
      <c r="AL46" s="6">
        <v>1</v>
      </c>
      <c r="AM46" s="6">
        <v>3</v>
      </c>
      <c r="AN46" s="6">
        <v>4</v>
      </c>
      <c r="AO46" s="6">
        <v>2</v>
      </c>
      <c r="AP46" s="6">
        <v>4</v>
      </c>
      <c r="AQ46" s="6">
        <v>6</v>
      </c>
      <c r="AR46" s="6">
        <v>2</v>
      </c>
      <c r="AS46" s="6">
        <v>4</v>
      </c>
      <c r="AT46" s="6">
        <v>5</v>
      </c>
      <c r="AU46" s="6">
        <v>7</v>
      </c>
      <c r="AV46" s="6">
        <v>5</v>
      </c>
      <c r="AW46" s="6">
        <v>12</v>
      </c>
      <c r="AX46" s="6">
        <v>5</v>
      </c>
      <c r="AY46" s="6">
        <v>3</v>
      </c>
      <c r="AZ46" s="6">
        <v>1</v>
      </c>
      <c r="BA46" s="5">
        <f t="shared" si="18"/>
        <v>290</v>
      </c>
    </row>
    <row r="47" spans="1:53" x14ac:dyDescent="0.3">
      <c r="A47" s="7"/>
      <c r="B47" s="54"/>
      <c r="C47" s="24" t="s">
        <v>123</v>
      </c>
      <c r="D47" s="24"/>
      <c r="E47" s="6">
        <v>0</v>
      </c>
      <c r="F47" s="6">
        <v>1</v>
      </c>
      <c r="G47" s="6">
        <v>1</v>
      </c>
      <c r="H47" s="6">
        <v>1</v>
      </c>
      <c r="I47" s="6">
        <v>0</v>
      </c>
      <c r="J47" s="6">
        <v>2</v>
      </c>
      <c r="K47" s="6">
        <v>1</v>
      </c>
      <c r="L47" s="6">
        <v>3</v>
      </c>
      <c r="M47" s="6">
        <v>1</v>
      </c>
      <c r="N47" s="6">
        <v>1</v>
      </c>
      <c r="O47" s="6">
        <v>0</v>
      </c>
      <c r="P47" s="6">
        <v>0</v>
      </c>
      <c r="Q47" s="6">
        <v>0</v>
      </c>
      <c r="R47" s="6">
        <v>1</v>
      </c>
      <c r="S47" s="6">
        <v>1</v>
      </c>
      <c r="T47" s="6">
        <v>1</v>
      </c>
      <c r="U47" s="6">
        <v>6</v>
      </c>
      <c r="V47" s="6">
        <v>0</v>
      </c>
      <c r="W47" s="6">
        <v>0</v>
      </c>
      <c r="X47" s="6">
        <v>0</v>
      </c>
      <c r="Y47" s="6">
        <v>0</v>
      </c>
      <c r="Z47" s="6">
        <v>1</v>
      </c>
      <c r="AA47" s="6">
        <v>3</v>
      </c>
      <c r="AB47" s="6">
        <v>1</v>
      </c>
      <c r="AC47" s="6">
        <v>2</v>
      </c>
      <c r="AD47" s="6">
        <v>10</v>
      </c>
      <c r="AE47" s="6">
        <v>2</v>
      </c>
      <c r="AF47" s="6">
        <v>1</v>
      </c>
      <c r="AG47" s="6">
        <v>3</v>
      </c>
      <c r="AH47" s="6">
        <v>1</v>
      </c>
      <c r="AI47" s="6">
        <v>3</v>
      </c>
      <c r="AJ47" s="6">
        <v>3</v>
      </c>
      <c r="AK47" s="6">
        <v>1</v>
      </c>
      <c r="AL47" s="6">
        <v>16</v>
      </c>
      <c r="AM47" s="6">
        <v>1</v>
      </c>
      <c r="AN47" s="6">
        <v>7</v>
      </c>
      <c r="AO47" s="6">
        <v>1</v>
      </c>
      <c r="AP47" s="6">
        <v>1</v>
      </c>
      <c r="AQ47" s="6">
        <v>1</v>
      </c>
      <c r="AR47" s="6">
        <v>8</v>
      </c>
      <c r="AS47" s="6">
        <v>0</v>
      </c>
      <c r="AT47" s="6">
        <v>0</v>
      </c>
      <c r="AU47" s="6">
        <v>2</v>
      </c>
      <c r="AV47" s="6">
        <v>1</v>
      </c>
      <c r="AW47" s="6">
        <v>0</v>
      </c>
      <c r="AX47" s="6">
        <v>0</v>
      </c>
      <c r="AY47" s="6">
        <v>4</v>
      </c>
      <c r="AZ47" s="6">
        <v>1</v>
      </c>
      <c r="BA47" s="5">
        <f t="shared" si="18"/>
        <v>94</v>
      </c>
    </row>
    <row r="48" spans="1:53" x14ac:dyDescent="0.3">
      <c r="A48" s="7"/>
      <c r="B48" s="54"/>
      <c r="C48" s="24" t="s">
        <v>124</v>
      </c>
      <c r="D48" s="24"/>
      <c r="E48" s="6">
        <v>0</v>
      </c>
      <c r="F48" s="6">
        <v>2</v>
      </c>
      <c r="G48" s="6">
        <v>0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>
        <v>0</v>
      </c>
      <c r="Q48" s="6">
        <v>1</v>
      </c>
      <c r="R48" s="6">
        <v>1</v>
      </c>
      <c r="S48" s="6">
        <v>0</v>
      </c>
      <c r="T48" s="6">
        <v>1</v>
      </c>
      <c r="U48" s="6">
        <v>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1</v>
      </c>
      <c r="AB48" s="6">
        <v>2</v>
      </c>
      <c r="AC48" s="6">
        <v>0</v>
      </c>
      <c r="AD48" s="6">
        <v>0</v>
      </c>
      <c r="AE48" s="6">
        <v>1</v>
      </c>
      <c r="AF48" s="6">
        <v>1</v>
      </c>
      <c r="AG48" s="6">
        <v>1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1</v>
      </c>
      <c r="AN48" s="6">
        <v>2</v>
      </c>
      <c r="AO48" s="6">
        <v>0</v>
      </c>
      <c r="AP48" s="6">
        <v>2</v>
      </c>
      <c r="AQ48" s="6">
        <v>1</v>
      </c>
      <c r="AR48" s="6">
        <v>0</v>
      </c>
      <c r="AS48" s="6">
        <v>1</v>
      </c>
      <c r="AT48" s="6">
        <v>1</v>
      </c>
      <c r="AU48" s="6">
        <v>0</v>
      </c>
      <c r="AV48" s="6">
        <v>0</v>
      </c>
      <c r="AW48" s="6">
        <v>1</v>
      </c>
      <c r="AX48" s="6">
        <v>0</v>
      </c>
      <c r="AY48" s="6">
        <v>0</v>
      </c>
      <c r="AZ48" s="6">
        <v>0</v>
      </c>
      <c r="BA48" s="5">
        <f t="shared" si="18"/>
        <v>24</v>
      </c>
    </row>
    <row r="49" spans="1:53" x14ac:dyDescent="0.3">
      <c r="A49" s="7"/>
      <c r="B49" s="54"/>
      <c r="C49" s="24" t="s">
        <v>125</v>
      </c>
      <c r="D49" s="24"/>
      <c r="E49" s="6">
        <v>0</v>
      </c>
      <c r="F49" s="6">
        <v>2</v>
      </c>
      <c r="G49" s="6">
        <v>0</v>
      </c>
      <c r="H49" s="6">
        <v>0</v>
      </c>
      <c r="I49" s="6">
        <v>1</v>
      </c>
      <c r="J49" s="6">
        <v>1</v>
      </c>
      <c r="K49" s="6">
        <v>0</v>
      </c>
      <c r="L49" s="6">
        <v>2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2</v>
      </c>
      <c r="S49" s="6">
        <v>0</v>
      </c>
      <c r="T49" s="6">
        <v>1</v>
      </c>
      <c r="U49" s="6">
        <v>0</v>
      </c>
      <c r="V49" s="6">
        <v>0</v>
      </c>
      <c r="W49" s="6">
        <v>2</v>
      </c>
      <c r="X49" s="6">
        <v>0</v>
      </c>
      <c r="Y49" s="6">
        <v>1</v>
      </c>
      <c r="Z49" s="6">
        <v>1</v>
      </c>
      <c r="AA49" s="6">
        <v>0</v>
      </c>
      <c r="AB49" s="6">
        <v>2</v>
      </c>
      <c r="AC49" s="6">
        <v>0</v>
      </c>
      <c r="AD49" s="6">
        <v>1</v>
      </c>
      <c r="AE49" s="6">
        <v>0</v>
      </c>
      <c r="AF49" s="6">
        <v>2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3</v>
      </c>
      <c r="AN49" s="6">
        <v>1</v>
      </c>
      <c r="AO49" s="6">
        <v>1</v>
      </c>
      <c r="AP49" s="6">
        <v>3</v>
      </c>
      <c r="AQ49" s="6">
        <v>1</v>
      </c>
      <c r="AR49" s="6">
        <v>1</v>
      </c>
      <c r="AS49" s="6">
        <v>0</v>
      </c>
      <c r="AT49" s="6">
        <v>2</v>
      </c>
      <c r="AU49" s="6">
        <v>0</v>
      </c>
      <c r="AV49" s="6">
        <v>0</v>
      </c>
      <c r="AW49" s="6">
        <v>0</v>
      </c>
      <c r="AX49" s="6">
        <v>0</v>
      </c>
      <c r="AY49" s="6">
        <v>1</v>
      </c>
      <c r="AZ49" s="6">
        <v>0</v>
      </c>
      <c r="BA49" s="5">
        <f t="shared" si="18"/>
        <v>32</v>
      </c>
    </row>
    <row r="50" spans="1:53" x14ac:dyDescent="0.3">
      <c r="A50" s="7"/>
      <c r="B50" s="54"/>
      <c r="C50" s="24" t="s">
        <v>126</v>
      </c>
      <c r="D50" s="24"/>
      <c r="E50" s="6">
        <v>1</v>
      </c>
      <c r="F50" s="6">
        <v>3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2</v>
      </c>
      <c r="P50" s="6">
        <v>0</v>
      </c>
      <c r="Q50" s="6">
        <v>0</v>
      </c>
      <c r="R50" s="6">
        <v>0</v>
      </c>
      <c r="S50" s="6">
        <v>1</v>
      </c>
      <c r="T50" s="6">
        <v>0</v>
      </c>
      <c r="U50" s="6">
        <v>1</v>
      </c>
      <c r="V50" s="6">
        <v>5</v>
      </c>
      <c r="W50" s="6">
        <v>21</v>
      </c>
      <c r="X50" s="6">
        <v>4</v>
      </c>
      <c r="Y50" s="6">
        <v>1</v>
      </c>
      <c r="Z50" s="6">
        <v>0</v>
      </c>
      <c r="AA50" s="6">
        <v>1</v>
      </c>
      <c r="AB50" s="6">
        <v>7</v>
      </c>
      <c r="AC50" s="6">
        <v>1</v>
      </c>
      <c r="AD50" s="6">
        <v>1</v>
      </c>
      <c r="AE50" s="6">
        <v>0</v>
      </c>
      <c r="AF50" s="6">
        <v>2</v>
      </c>
      <c r="AG50" s="6">
        <v>1</v>
      </c>
      <c r="AH50" s="6">
        <v>1</v>
      </c>
      <c r="AI50" s="6">
        <v>0</v>
      </c>
      <c r="AJ50" s="6">
        <v>4</v>
      </c>
      <c r="AK50" s="6">
        <v>1</v>
      </c>
      <c r="AL50" s="6">
        <v>0</v>
      </c>
      <c r="AM50" s="6">
        <v>1</v>
      </c>
      <c r="AN50" s="6">
        <v>2</v>
      </c>
      <c r="AO50" s="6">
        <v>3</v>
      </c>
      <c r="AP50" s="6">
        <v>2</v>
      </c>
      <c r="AQ50" s="6">
        <v>0</v>
      </c>
      <c r="AR50" s="6">
        <v>3</v>
      </c>
      <c r="AS50" s="6">
        <v>0</v>
      </c>
      <c r="AT50" s="6">
        <v>2</v>
      </c>
      <c r="AU50" s="6">
        <v>1</v>
      </c>
      <c r="AV50" s="6">
        <v>0</v>
      </c>
      <c r="AW50" s="6">
        <v>1</v>
      </c>
      <c r="AX50" s="6">
        <v>1</v>
      </c>
      <c r="AY50" s="6">
        <v>0</v>
      </c>
      <c r="AZ50" s="6">
        <v>1</v>
      </c>
      <c r="BA50" s="5">
        <f t="shared" si="18"/>
        <v>75</v>
      </c>
    </row>
    <row r="51" spans="1:53" x14ac:dyDescent="0.3">
      <c r="A51" s="7"/>
      <c r="B51" s="54"/>
      <c r="C51" s="24" t="s">
        <v>127</v>
      </c>
      <c r="D51" s="24"/>
      <c r="E51" s="6">
        <v>1</v>
      </c>
      <c r="F51" s="6">
        <v>2</v>
      </c>
      <c r="G51" s="6">
        <v>0</v>
      </c>
      <c r="H51" s="6">
        <v>0</v>
      </c>
      <c r="I51" s="6">
        <v>0</v>
      </c>
      <c r="J51" s="6">
        <v>1</v>
      </c>
      <c r="K51" s="6">
        <v>1</v>
      </c>
      <c r="L51" s="6">
        <v>1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0</v>
      </c>
      <c r="T51" s="6">
        <v>1</v>
      </c>
      <c r="U51" s="6">
        <v>0</v>
      </c>
      <c r="V51" s="6">
        <v>1</v>
      </c>
      <c r="W51" s="6">
        <v>1</v>
      </c>
      <c r="X51" s="6">
        <v>0</v>
      </c>
      <c r="Y51" s="6">
        <v>0</v>
      </c>
      <c r="Z51" s="6">
        <v>1</v>
      </c>
      <c r="AA51" s="6">
        <v>1</v>
      </c>
      <c r="AB51" s="6">
        <v>0</v>
      </c>
      <c r="AC51" s="6">
        <v>2</v>
      </c>
      <c r="AD51" s="6">
        <v>0</v>
      </c>
      <c r="AE51" s="6">
        <v>0</v>
      </c>
      <c r="AF51" s="6">
        <v>1</v>
      </c>
      <c r="AG51" s="6">
        <v>1</v>
      </c>
      <c r="AH51" s="6">
        <v>1</v>
      </c>
      <c r="AI51" s="6">
        <v>1</v>
      </c>
      <c r="AJ51" s="6">
        <v>0</v>
      </c>
      <c r="AK51" s="6">
        <v>0</v>
      </c>
      <c r="AL51" s="6">
        <v>1</v>
      </c>
      <c r="AM51" s="6">
        <v>1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1</v>
      </c>
      <c r="AV51" s="6">
        <v>0</v>
      </c>
      <c r="AW51" s="6">
        <v>1</v>
      </c>
      <c r="AX51" s="6">
        <v>2</v>
      </c>
      <c r="AY51" s="6">
        <v>1</v>
      </c>
      <c r="AZ51" s="6">
        <v>0</v>
      </c>
      <c r="BA51" s="5">
        <f t="shared" si="18"/>
        <v>26</v>
      </c>
    </row>
    <row r="52" spans="1:53" ht="13.15" customHeight="1" x14ac:dyDescent="0.3">
      <c r="A52" s="7"/>
      <c r="B52" s="54"/>
      <c r="C52" s="24" t="s">
        <v>128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>
        <v>0</v>
      </c>
      <c r="Q52" s="6">
        <v>0</v>
      </c>
      <c r="R52" s="6">
        <v>1</v>
      </c>
      <c r="S52" s="6">
        <v>0</v>
      </c>
      <c r="T52" s="6">
        <v>2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1</v>
      </c>
      <c r="AB52" s="6">
        <v>1</v>
      </c>
      <c r="AC52" s="6">
        <v>0</v>
      </c>
      <c r="AD52" s="6">
        <v>1</v>
      </c>
      <c r="AE52" s="6">
        <v>1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0</v>
      </c>
      <c r="AL52" s="6">
        <v>0</v>
      </c>
      <c r="AM52" s="6">
        <v>1</v>
      </c>
      <c r="AN52" s="6">
        <v>0</v>
      </c>
      <c r="AO52" s="6">
        <v>0</v>
      </c>
      <c r="AP52" s="6">
        <v>1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5">
        <f t="shared" si="18"/>
        <v>13</v>
      </c>
    </row>
    <row r="53" spans="1:53" ht="13.15" customHeight="1" x14ac:dyDescent="0.3">
      <c r="A53" s="7"/>
      <c r="B53" s="54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1</v>
      </c>
      <c r="S53" s="6">
        <v>2</v>
      </c>
      <c r="T53" s="6">
        <v>1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1</v>
      </c>
      <c r="AQ53" s="6">
        <v>0</v>
      </c>
      <c r="AR53" s="6">
        <v>1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1</v>
      </c>
      <c r="AY53" s="6">
        <v>0</v>
      </c>
      <c r="AZ53" s="6">
        <v>0</v>
      </c>
      <c r="BA53" s="5">
        <f t="shared" si="18"/>
        <v>8</v>
      </c>
    </row>
    <row r="54" spans="1:53" ht="13.15" customHeight="1" x14ac:dyDescent="0.3">
      <c r="A54" s="7"/>
      <c r="B54" s="54"/>
      <c r="C54" s="24" t="s">
        <v>130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1</v>
      </c>
      <c r="O54" s="6">
        <v>1</v>
      </c>
      <c r="P54" s="6">
        <v>0</v>
      </c>
      <c r="Q54" s="6">
        <v>0</v>
      </c>
      <c r="R54" s="6">
        <v>0</v>
      </c>
      <c r="S54" s="6">
        <v>1</v>
      </c>
      <c r="T54" s="6">
        <v>1</v>
      </c>
      <c r="U54" s="6">
        <v>0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1</v>
      </c>
      <c r="AO54" s="6">
        <v>0</v>
      </c>
      <c r="AP54" s="6">
        <v>1</v>
      </c>
      <c r="AQ54" s="6">
        <v>0</v>
      </c>
      <c r="AR54" s="6">
        <v>1</v>
      </c>
      <c r="AS54" s="6">
        <v>0</v>
      </c>
      <c r="AT54" s="6">
        <v>0</v>
      </c>
      <c r="AU54" s="6">
        <v>3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5">
        <f t="shared" si="18"/>
        <v>12</v>
      </c>
    </row>
    <row r="55" spans="1:53" x14ac:dyDescent="0.3">
      <c r="A55" s="6" t="s">
        <v>26</v>
      </c>
      <c r="B55" s="69" t="s">
        <v>51</v>
      </c>
      <c r="C55" s="85"/>
      <c r="D55" s="76"/>
      <c r="E55" s="5">
        <f>SUM(E45:E54)</f>
        <v>7</v>
      </c>
      <c r="F55" s="5">
        <f t="shared" ref="F55:BA55" si="19">SUM(F45:F54)</f>
        <v>23</v>
      </c>
      <c r="G55" s="5">
        <f t="shared" si="19"/>
        <v>12</v>
      </c>
      <c r="H55" s="5">
        <f t="shared" si="19"/>
        <v>12</v>
      </c>
      <c r="I55" s="5">
        <f t="shared" si="19"/>
        <v>14</v>
      </c>
      <c r="J55" s="5">
        <f t="shared" si="19"/>
        <v>12</v>
      </c>
      <c r="K55" s="5">
        <f t="shared" si="19"/>
        <v>10</v>
      </c>
      <c r="L55" s="5">
        <f t="shared" si="19"/>
        <v>31</v>
      </c>
      <c r="M55" s="5">
        <f t="shared" si="19"/>
        <v>9</v>
      </c>
      <c r="N55" s="5">
        <f t="shared" si="19"/>
        <v>19</v>
      </c>
      <c r="O55" s="5">
        <f t="shared" si="19"/>
        <v>7</v>
      </c>
      <c r="P55" s="5">
        <f t="shared" si="19"/>
        <v>4</v>
      </c>
      <c r="Q55" s="5">
        <f t="shared" si="19"/>
        <v>7</v>
      </c>
      <c r="R55" s="5">
        <f t="shared" si="19"/>
        <v>24</v>
      </c>
      <c r="S55" s="5">
        <f t="shared" si="19"/>
        <v>29</v>
      </c>
      <c r="T55" s="5">
        <f t="shared" si="19"/>
        <v>35</v>
      </c>
      <c r="U55" s="5">
        <f t="shared" si="19"/>
        <v>11</v>
      </c>
      <c r="V55" s="5">
        <f t="shared" si="19"/>
        <v>17</v>
      </c>
      <c r="W55" s="5">
        <f t="shared" si="19"/>
        <v>33</v>
      </c>
      <c r="X55" s="5">
        <f t="shared" si="19"/>
        <v>8</v>
      </c>
      <c r="Y55" s="5">
        <f t="shared" si="19"/>
        <v>12</v>
      </c>
      <c r="Z55" s="5">
        <f t="shared" si="19"/>
        <v>12</v>
      </c>
      <c r="AA55" s="5">
        <f t="shared" si="19"/>
        <v>21</v>
      </c>
      <c r="AB55" s="5">
        <f t="shared" si="19"/>
        <v>22</v>
      </c>
      <c r="AC55" s="5">
        <f t="shared" si="19"/>
        <v>18</v>
      </c>
      <c r="AD55" s="5">
        <f t="shared" si="19"/>
        <v>30</v>
      </c>
      <c r="AE55" s="5">
        <f t="shared" si="19"/>
        <v>8</v>
      </c>
      <c r="AF55" s="5">
        <f t="shared" si="19"/>
        <v>14</v>
      </c>
      <c r="AG55" s="5">
        <f t="shared" si="19"/>
        <v>32</v>
      </c>
      <c r="AH55" s="5">
        <f t="shared" si="19"/>
        <v>23</v>
      </c>
      <c r="AI55" s="5">
        <f t="shared" si="19"/>
        <v>7</v>
      </c>
      <c r="AJ55" s="5">
        <f t="shared" si="19"/>
        <v>13</v>
      </c>
      <c r="AK55" s="5">
        <f t="shared" si="19"/>
        <v>8</v>
      </c>
      <c r="AL55" s="5">
        <f t="shared" si="19"/>
        <v>22</v>
      </c>
      <c r="AM55" s="5">
        <f t="shared" si="19"/>
        <v>12</v>
      </c>
      <c r="AN55" s="5">
        <f t="shared" si="19"/>
        <v>22</v>
      </c>
      <c r="AO55" s="5">
        <f t="shared" si="19"/>
        <v>12</v>
      </c>
      <c r="AP55" s="5">
        <f t="shared" si="19"/>
        <v>23</v>
      </c>
      <c r="AQ55" s="5">
        <f t="shared" si="19"/>
        <v>13</v>
      </c>
      <c r="AR55" s="5">
        <f t="shared" si="19"/>
        <v>19</v>
      </c>
      <c r="AS55" s="5">
        <f t="shared" si="19"/>
        <v>8</v>
      </c>
      <c r="AT55" s="5">
        <f t="shared" si="19"/>
        <v>14</v>
      </c>
      <c r="AU55" s="5">
        <f t="shared" si="19"/>
        <v>20</v>
      </c>
      <c r="AV55" s="5">
        <f t="shared" si="19"/>
        <v>9</v>
      </c>
      <c r="AW55" s="5">
        <f t="shared" si="19"/>
        <v>20</v>
      </c>
      <c r="AX55" s="5">
        <f t="shared" si="19"/>
        <v>15</v>
      </c>
      <c r="AY55" s="5">
        <f t="shared" si="19"/>
        <v>13</v>
      </c>
      <c r="AZ55" s="5">
        <f t="shared" si="19"/>
        <v>6</v>
      </c>
      <c r="BA55" s="5">
        <f t="shared" si="19"/>
        <v>772</v>
      </c>
    </row>
    <row r="56" spans="1:53" x14ac:dyDescent="0.3">
      <c r="A56" s="86"/>
      <c r="B56" s="87"/>
      <c r="C56" s="87"/>
      <c r="D56" s="87"/>
      <c r="E56" s="87"/>
      <c r="BA56" s="5"/>
    </row>
    <row r="57" spans="1:53" x14ac:dyDescent="0.3">
      <c r="A57" s="11" t="s">
        <v>48</v>
      </c>
      <c r="B57" s="17" t="s">
        <v>30</v>
      </c>
      <c r="C57" s="75" t="s">
        <v>52</v>
      </c>
      <c r="D57" s="76"/>
      <c r="E57" s="6">
        <v>6</v>
      </c>
      <c r="F57" s="6">
        <v>17</v>
      </c>
      <c r="G57" s="6">
        <v>6</v>
      </c>
      <c r="H57" s="6">
        <v>3</v>
      </c>
      <c r="I57" s="6">
        <v>10</v>
      </c>
      <c r="J57" s="6">
        <v>5</v>
      </c>
      <c r="K57" s="6">
        <v>8</v>
      </c>
      <c r="L57" s="6">
        <v>5</v>
      </c>
      <c r="M57" s="6">
        <v>4</v>
      </c>
      <c r="N57" s="6">
        <v>11</v>
      </c>
      <c r="O57" s="6">
        <v>5</v>
      </c>
      <c r="P57" s="6">
        <v>6</v>
      </c>
      <c r="Q57" s="6">
        <v>13</v>
      </c>
      <c r="R57" s="6">
        <v>7</v>
      </c>
      <c r="S57" s="6">
        <v>11</v>
      </c>
      <c r="T57" s="6">
        <v>6</v>
      </c>
      <c r="U57" s="6">
        <v>3</v>
      </c>
      <c r="V57" s="6">
        <v>6</v>
      </c>
      <c r="W57" s="6">
        <v>5</v>
      </c>
      <c r="X57" s="6">
        <v>7</v>
      </c>
      <c r="Y57" s="6">
        <v>4</v>
      </c>
      <c r="Z57" s="6">
        <v>3</v>
      </c>
      <c r="AA57" s="6">
        <v>3</v>
      </c>
      <c r="AB57" s="6">
        <v>6</v>
      </c>
      <c r="AC57" s="6">
        <v>5</v>
      </c>
      <c r="AD57" s="6">
        <v>19</v>
      </c>
      <c r="AE57" s="6">
        <v>6</v>
      </c>
      <c r="AF57" s="6">
        <v>2</v>
      </c>
      <c r="AG57" s="6">
        <v>13</v>
      </c>
      <c r="AH57" s="6">
        <v>20</v>
      </c>
      <c r="AI57" s="6">
        <v>7</v>
      </c>
      <c r="AJ57" s="6">
        <v>8</v>
      </c>
      <c r="AK57" s="6">
        <v>7</v>
      </c>
      <c r="AL57" s="6">
        <v>3</v>
      </c>
      <c r="AM57" s="6">
        <v>8</v>
      </c>
      <c r="AN57" s="6">
        <v>10</v>
      </c>
      <c r="AO57" s="6">
        <v>6</v>
      </c>
      <c r="AP57" s="6">
        <v>9</v>
      </c>
      <c r="AQ57" s="6">
        <v>7</v>
      </c>
      <c r="AR57" s="6">
        <v>4</v>
      </c>
      <c r="AS57" s="6">
        <v>7</v>
      </c>
      <c r="AT57" s="6">
        <v>22</v>
      </c>
      <c r="AU57" s="6">
        <v>10</v>
      </c>
      <c r="AV57" s="6">
        <v>11</v>
      </c>
      <c r="AW57" s="6">
        <v>9</v>
      </c>
      <c r="AX57" s="6">
        <v>15</v>
      </c>
      <c r="AY57" s="6">
        <v>17</v>
      </c>
      <c r="AZ57" s="6">
        <v>8</v>
      </c>
      <c r="BA57" s="5">
        <f t="shared" ref="BA57:BA66" si="20">SUM(E57:AZ57)</f>
        <v>393</v>
      </c>
    </row>
    <row r="58" spans="1:53" x14ac:dyDescent="0.3">
      <c r="A58" s="11" t="s">
        <v>50</v>
      </c>
      <c r="B58" s="54"/>
      <c r="C58" s="24" t="s">
        <v>131</v>
      </c>
      <c r="D58" s="55"/>
      <c r="E58" s="6">
        <v>16</v>
      </c>
      <c r="F58" s="6">
        <v>6</v>
      </c>
      <c r="G58" s="6">
        <v>7</v>
      </c>
      <c r="H58" s="6">
        <v>8</v>
      </c>
      <c r="I58" s="6">
        <v>8</v>
      </c>
      <c r="J58" s="6">
        <v>4</v>
      </c>
      <c r="K58" s="6">
        <v>12</v>
      </c>
      <c r="L58" s="6">
        <v>8</v>
      </c>
      <c r="M58" s="6">
        <v>9</v>
      </c>
      <c r="N58" s="6">
        <v>24</v>
      </c>
      <c r="O58" s="6">
        <v>8</v>
      </c>
      <c r="P58" s="6">
        <v>16</v>
      </c>
      <c r="Q58" s="6">
        <v>12</v>
      </c>
      <c r="R58" s="6">
        <v>12</v>
      </c>
      <c r="S58" s="6">
        <v>6</v>
      </c>
      <c r="T58" s="6">
        <v>9</v>
      </c>
      <c r="U58" s="6">
        <v>2</v>
      </c>
      <c r="V58" s="6">
        <v>8</v>
      </c>
      <c r="W58" s="6">
        <v>6</v>
      </c>
      <c r="X58" s="6">
        <v>7</v>
      </c>
      <c r="Y58" s="6">
        <v>2</v>
      </c>
      <c r="Z58" s="6">
        <v>3</v>
      </c>
      <c r="AA58" s="6">
        <v>1</v>
      </c>
      <c r="AB58" s="6">
        <v>1</v>
      </c>
      <c r="AC58" s="6">
        <v>7</v>
      </c>
      <c r="AD58" s="6">
        <v>7</v>
      </c>
      <c r="AE58" s="6">
        <v>20</v>
      </c>
      <c r="AF58" s="6">
        <v>8</v>
      </c>
      <c r="AG58" s="6">
        <v>30</v>
      </c>
      <c r="AH58" s="6">
        <v>16</v>
      </c>
      <c r="AI58" s="6">
        <v>4</v>
      </c>
      <c r="AJ58" s="6">
        <v>6</v>
      </c>
      <c r="AK58" s="6">
        <v>4</v>
      </c>
      <c r="AL58" s="6">
        <v>4</v>
      </c>
      <c r="AM58" s="6">
        <v>12</v>
      </c>
      <c r="AN58" s="6">
        <v>15</v>
      </c>
      <c r="AO58" s="6">
        <v>11</v>
      </c>
      <c r="AP58" s="6">
        <v>8</v>
      </c>
      <c r="AQ58" s="6">
        <v>12</v>
      </c>
      <c r="AR58" s="6">
        <v>16</v>
      </c>
      <c r="AS58" s="6">
        <v>15</v>
      </c>
      <c r="AT58" s="6">
        <v>18</v>
      </c>
      <c r="AU58" s="6">
        <v>5</v>
      </c>
      <c r="AV58" s="6">
        <v>7</v>
      </c>
      <c r="AW58" s="6">
        <v>14</v>
      </c>
      <c r="AX58" s="6">
        <v>12</v>
      </c>
      <c r="AY58" s="6">
        <v>14</v>
      </c>
      <c r="AZ58" s="6">
        <v>6</v>
      </c>
      <c r="BA58" s="5">
        <f t="shared" si="20"/>
        <v>466</v>
      </c>
    </row>
    <row r="59" spans="1:53" x14ac:dyDescent="0.3">
      <c r="A59" s="7"/>
      <c r="B59" s="54"/>
      <c r="C59" s="24" t="s">
        <v>132</v>
      </c>
      <c r="D59" s="55"/>
      <c r="E59" s="6">
        <v>1</v>
      </c>
      <c r="F59" s="6">
        <v>1</v>
      </c>
      <c r="G59" s="6">
        <v>5</v>
      </c>
      <c r="H59" s="6">
        <v>3</v>
      </c>
      <c r="I59" s="6">
        <v>3</v>
      </c>
      <c r="J59" s="6">
        <v>9</v>
      </c>
      <c r="K59" s="6">
        <v>9</v>
      </c>
      <c r="L59" s="6">
        <v>4</v>
      </c>
      <c r="M59" s="6">
        <v>3</v>
      </c>
      <c r="N59" s="6">
        <v>3</v>
      </c>
      <c r="O59" s="6">
        <v>1</v>
      </c>
      <c r="P59" s="6">
        <v>4</v>
      </c>
      <c r="Q59" s="6">
        <v>2</v>
      </c>
      <c r="R59" s="6">
        <v>53</v>
      </c>
      <c r="S59" s="6">
        <v>19</v>
      </c>
      <c r="T59" s="6">
        <v>7</v>
      </c>
      <c r="U59" s="6">
        <v>1</v>
      </c>
      <c r="V59" s="6">
        <v>8</v>
      </c>
      <c r="W59" s="6">
        <v>2</v>
      </c>
      <c r="X59" s="6">
        <v>1</v>
      </c>
      <c r="Y59" s="6">
        <v>3</v>
      </c>
      <c r="Z59" s="6">
        <v>2</v>
      </c>
      <c r="AA59" s="6">
        <v>1</v>
      </c>
      <c r="AB59" s="6">
        <v>0</v>
      </c>
      <c r="AC59" s="6">
        <v>5</v>
      </c>
      <c r="AD59" s="6">
        <v>8</v>
      </c>
      <c r="AE59" s="6">
        <v>2</v>
      </c>
      <c r="AF59" s="6">
        <v>3</v>
      </c>
      <c r="AG59" s="6">
        <v>5</v>
      </c>
      <c r="AH59" s="6">
        <v>5</v>
      </c>
      <c r="AI59" s="6">
        <v>2</v>
      </c>
      <c r="AJ59" s="6">
        <v>3</v>
      </c>
      <c r="AK59" s="6">
        <v>5</v>
      </c>
      <c r="AL59" s="6">
        <v>7</v>
      </c>
      <c r="AM59" s="6">
        <v>5</v>
      </c>
      <c r="AN59" s="6">
        <v>6</v>
      </c>
      <c r="AO59" s="6">
        <v>4</v>
      </c>
      <c r="AP59" s="6">
        <v>1</v>
      </c>
      <c r="AQ59" s="6">
        <v>2</v>
      </c>
      <c r="AR59" s="6">
        <v>3</v>
      </c>
      <c r="AS59" s="6">
        <v>5</v>
      </c>
      <c r="AT59" s="6">
        <v>42</v>
      </c>
      <c r="AU59" s="6">
        <v>1</v>
      </c>
      <c r="AV59" s="6">
        <v>8</v>
      </c>
      <c r="AW59" s="6">
        <v>5</v>
      </c>
      <c r="AX59" s="6">
        <v>19</v>
      </c>
      <c r="AY59" s="6">
        <v>9</v>
      </c>
      <c r="AZ59" s="6">
        <v>16</v>
      </c>
      <c r="BA59" s="5">
        <f t="shared" si="20"/>
        <v>316</v>
      </c>
    </row>
    <row r="60" spans="1:53" x14ac:dyDescent="0.3">
      <c r="A60" s="7"/>
      <c r="B60" s="54"/>
      <c r="C60" s="24" t="s">
        <v>133</v>
      </c>
      <c r="D60" s="55"/>
      <c r="E60" s="6">
        <v>1</v>
      </c>
      <c r="F60" s="6">
        <v>0</v>
      </c>
      <c r="G60" s="6">
        <v>0</v>
      </c>
      <c r="H60" s="6">
        <v>0</v>
      </c>
      <c r="I60" s="6">
        <v>1</v>
      </c>
      <c r="J60" s="6">
        <v>0</v>
      </c>
      <c r="K60" s="6">
        <v>1</v>
      </c>
      <c r="L60" s="6">
        <v>1</v>
      </c>
      <c r="M60" s="6">
        <v>0</v>
      </c>
      <c r="N60" s="6">
        <v>1</v>
      </c>
      <c r="O60" s="6">
        <v>0</v>
      </c>
      <c r="P60" s="6">
        <v>2</v>
      </c>
      <c r="Q60" s="6">
        <v>0</v>
      </c>
      <c r="R60" s="6">
        <v>1</v>
      </c>
      <c r="S60" s="6">
        <v>4</v>
      </c>
      <c r="T60" s="6">
        <v>2</v>
      </c>
      <c r="U60" s="6">
        <v>0</v>
      </c>
      <c r="V60" s="6">
        <v>4</v>
      </c>
      <c r="W60" s="6">
        <v>0</v>
      </c>
      <c r="X60" s="6">
        <v>1</v>
      </c>
      <c r="Y60" s="6">
        <v>1</v>
      </c>
      <c r="Z60" s="6">
        <v>1</v>
      </c>
      <c r="AA60" s="6">
        <v>0</v>
      </c>
      <c r="AB60" s="6">
        <v>1</v>
      </c>
      <c r="AC60" s="6">
        <v>1</v>
      </c>
      <c r="AD60" s="6">
        <v>2</v>
      </c>
      <c r="AE60" s="6">
        <v>2</v>
      </c>
      <c r="AF60" s="6">
        <v>2</v>
      </c>
      <c r="AG60" s="6">
        <v>2</v>
      </c>
      <c r="AH60" s="6">
        <v>4</v>
      </c>
      <c r="AI60" s="6">
        <v>0</v>
      </c>
      <c r="AJ60" s="6">
        <v>1</v>
      </c>
      <c r="AK60" s="6">
        <v>2</v>
      </c>
      <c r="AL60" s="6">
        <v>0</v>
      </c>
      <c r="AM60" s="6">
        <v>0</v>
      </c>
      <c r="AN60" s="6">
        <v>2</v>
      </c>
      <c r="AO60" s="6">
        <v>0</v>
      </c>
      <c r="AP60" s="6">
        <v>0</v>
      </c>
      <c r="AQ60" s="6">
        <v>1</v>
      </c>
      <c r="AR60" s="6">
        <v>2</v>
      </c>
      <c r="AS60" s="6">
        <v>1</v>
      </c>
      <c r="AT60" s="6">
        <v>3</v>
      </c>
      <c r="AU60" s="6">
        <v>2</v>
      </c>
      <c r="AV60" s="6">
        <v>2</v>
      </c>
      <c r="AW60" s="6">
        <v>1</v>
      </c>
      <c r="AX60" s="6">
        <v>2</v>
      </c>
      <c r="AY60" s="6">
        <v>1</v>
      </c>
      <c r="AZ60" s="6">
        <v>1</v>
      </c>
      <c r="BA60" s="5">
        <f t="shared" si="20"/>
        <v>56</v>
      </c>
    </row>
    <row r="61" spans="1:53" x14ac:dyDescent="0.3">
      <c r="A61" s="7"/>
      <c r="B61" s="54"/>
      <c r="C61" s="24" t="s">
        <v>134</v>
      </c>
      <c r="D61" s="55"/>
      <c r="E61" s="6">
        <v>11</v>
      </c>
      <c r="F61" s="6">
        <v>31</v>
      </c>
      <c r="G61" s="6">
        <v>10</v>
      </c>
      <c r="H61" s="6">
        <v>6</v>
      </c>
      <c r="I61" s="6">
        <v>4</v>
      </c>
      <c r="J61" s="6">
        <v>0</v>
      </c>
      <c r="K61" s="6">
        <v>3</v>
      </c>
      <c r="L61" s="6">
        <v>2</v>
      </c>
      <c r="M61" s="6">
        <v>0</v>
      </c>
      <c r="N61" s="6">
        <v>1</v>
      </c>
      <c r="O61" s="6">
        <v>25</v>
      </c>
      <c r="P61" s="6">
        <v>3</v>
      </c>
      <c r="Q61" s="6">
        <v>6</v>
      </c>
      <c r="R61" s="6">
        <v>2</v>
      </c>
      <c r="S61" s="6">
        <v>0</v>
      </c>
      <c r="T61" s="6">
        <v>1</v>
      </c>
      <c r="U61" s="6">
        <v>0</v>
      </c>
      <c r="V61" s="6">
        <v>2</v>
      </c>
      <c r="W61" s="6">
        <v>4</v>
      </c>
      <c r="X61" s="6">
        <v>1</v>
      </c>
      <c r="Y61" s="6">
        <v>0</v>
      </c>
      <c r="Z61" s="6">
        <v>2</v>
      </c>
      <c r="AA61" s="6">
        <v>0</v>
      </c>
      <c r="AB61" s="6">
        <v>2</v>
      </c>
      <c r="AC61" s="6">
        <v>3</v>
      </c>
      <c r="AD61" s="6">
        <v>2</v>
      </c>
      <c r="AE61" s="6">
        <v>1</v>
      </c>
      <c r="AF61" s="6">
        <v>2</v>
      </c>
      <c r="AG61" s="6">
        <v>0</v>
      </c>
      <c r="AH61" s="6">
        <v>1</v>
      </c>
      <c r="AI61" s="6">
        <v>6</v>
      </c>
      <c r="AJ61" s="6">
        <v>0</v>
      </c>
      <c r="AK61" s="6">
        <v>4</v>
      </c>
      <c r="AL61" s="6">
        <v>1</v>
      </c>
      <c r="AM61" s="6">
        <v>2</v>
      </c>
      <c r="AN61" s="6">
        <v>4</v>
      </c>
      <c r="AO61" s="6">
        <v>2</v>
      </c>
      <c r="AP61" s="6">
        <v>2</v>
      </c>
      <c r="AQ61" s="6">
        <v>1</v>
      </c>
      <c r="AR61" s="6">
        <v>0</v>
      </c>
      <c r="AS61" s="6">
        <v>2</v>
      </c>
      <c r="AT61" s="6">
        <v>2</v>
      </c>
      <c r="AU61" s="6">
        <v>3</v>
      </c>
      <c r="AV61" s="6">
        <v>4</v>
      </c>
      <c r="AW61" s="6">
        <v>1</v>
      </c>
      <c r="AX61" s="6">
        <v>1</v>
      </c>
      <c r="AY61" s="6">
        <v>2</v>
      </c>
      <c r="AZ61" s="6">
        <v>3</v>
      </c>
      <c r="BA61" s="5">
        <f t="shared" si="20"/>
        <v>165</v>
      </c>
    </row>
    <row r="62" spans="1:53" x14ac:dyDescent="0.3">
      <c r="A62" s="7"/>
      <c r="B62" s="54"/>
      <c r="C62" s="24" t="s">
        <v>135</v>
      </c>
      <c r="D62" s="55"/>
      <c r="E62" s="6">
        <v>3</v>
      </c>
      <c r="F62" s="6">
        <v>0</v>
      </c>
      <c r="G62" s="6">
        <v>1</v>
      </c>
      <c r="H62" s="6">
        <v>0</v>
      </c>
      <c r="I62" s="6">
        <v>1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1</v>
      </c>
      <c r="T62" s="6">
        <v>2</v>
      </c>
      <c r="U62" s="6">
        <v>1</v>
      </c>
      <c r="V62" s="6">
        <v>1</v>
      </c>
      <c r="W62" s="6">
        <v>0</v>
      </c>
      <c r="X62" s="6">
        <v>1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1</v>
      </c>
      <c r="AE62" s="6">
        <v>0</v>
      </c>
      <c r="AF62" s="6">
        <v>1</v>
      </c>
      <c r="AG62" s="6">
        <v>1</v>
      </c>
      <c r="AH62" s="6">
        <v>2</v>
      </c>
      <c r="AI62" s="6">
        <v>0</v>
      </c>
      <c r="AJ62" s="6">
        <v>0</v>
      </c>
      <c r="AK62" s="6">
        <v>1</v>
      </c>
      <c r="AL62" s="6">
        <v>0</v>
      </c>
      <c r="AM62" s="6">
        <v>0</v>
      </c>
      <c r="AN62" s="6">
        <v>0</v>
      </c>
      <c r="AO62" s="6">
        <v>1</v>
      </c>
      <c r="AP62" s="6">
        <v>2</v>
      </c>
      <c r="AQ62" s="6">
        <v>1</v>
      </c>
      <c r="AR62" s="6">
        <v>0</v>
      </c>
      <c r="AS62" s="6">
        <v>2</v>
      </c>
      <c r="AT62" s="6">
        <v>2</v>
      </c>
      <c r="AU62" s="6">
        <v>1</v>
      </c>
      <c r="AV62" s="6">
        <v>0</v>
      </c>
      <c r="AW62" s="6">
        <v>0</v>
      </c>
      <c r="AX62" s="6">
        <v>1</v>
      </c>
      <c r="AY62" s="6">
        <v>0</v>
      </c>
      <c r="AZ62" s="6">
        <v>0</v>
      </c>
      <c r="BA62" s="5">
        <f t="shared" si="20"/>
        <v>29</v>
      </c>
    </row>
    <row r="63" spans="1:53" ht="13.15" customHeight="1" x14ac:dyDescent="0.3">
      <c r="A63" s="7"/>
      <c r="B63" s="54"/>
      <c r="C63" s="24" t="s">
        <v>136</v>
      </c>
      <c r="D63" s="51"/>
      <c r="E63" s="6">
        <v>0</v>
      </c>
      <c r="F63" s="6">
        <v>1</v>
      </c>
      <c r="G63" s="6">
        <v>1</v>
      </c>
      <c r="H63" s="6">
        <v>0</v>
      </c>
      <c r="I63" s="6">
        <v>0</v>
      </c>
      <c r="J63" s="6">
        <v>1</v>
      </c>
      <c r="K63" s="6">
        <v>0</v>
      </c>
      <c r="L63" s="6">
        <v>1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0</v>
      </c>
      <c r="T63" s="6">
        <v>2</v>
      </c>
      <c r="U63" s="6">
        <v>0</v>
      </c>
      <c r="V63" s="6">
        <v>0</v>
      </c>
      <c r="W63" s="6">
        <v>1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1</v>
      </c>
      <c r="AD63" s="6">
        <v>1</v>
      </c>
      <c r="AE63" s="6">
        <v>1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2</v>
      </c>
      <c r="AM63" s="6">
        <v>0</v>
      </c>
      <c r="AN63" s="6">
        <v>0</v>
      </c>
      <c r="AO63" s="6">
        <v>1</v>
      </c>
      <c r="AP63" s="6">
        <v>3</v>
      </c>
      <c r="AQ63" s="6">
        <v>0</v>
      </c>
      <c r="AR63" s="6">
        <v>0</v>
      </c>
      <c r="AS63" s="6">
        <v>1</v>
      </c>
      <c r="AT63" s="6">
        <v>1</v>
      </c>
      <c r="AU63" s="6">
        <v>1</v>
      </c>
      <c r="AV63" s="6">
        <v>0</v>
      </c>
      <c r="AW63" s="6">
        <v>0</v>
      </c>
      <c r="AX63" s="6">
        <v>1</v>
      </c>
      <c r="AY63" s="6">
        <v>1</v>
      </c>
      <c r="AZ63" s="6">
        <v>0</v>
      </c>
      <c r="BA63" s="5">
        <f t="shared" si="20"/>
        <v>22</v>
      </c>
    </row>
    <row r="64" spans="1:53" x14ac:dyDescent="0.3">
      <c r="A64" s="7"/>
      <c r="B64" s="54"/>
      <c r="C64" s="24" t="s">
        <v>137</v>
      </c>
      <c r="D64" s="55"/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2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1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1</v>
      </c>
      <c r="AM64" s="6">
        <v>1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5">
        <f t="shared" si="20"/>
        <v>7</v>
      </c>
    </row>
    <row r="65" spans="1:53" x14ac:dyDescent="0.3">
      <c r="A65" s="7"/>
      <c r="B65" s="54"/>
      <c r="C65" s="24" t="s">
        <v>138</v>
      </c>
      <c r="D65" s="55"/>
      <c r="E65" s="6">
        <v>0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1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1</v>
      </c>
      <c r="AP65" s="6">
        <v>1</v>
      </c>
      <c r="AQ65" s="6">
        <v>0</v>
      </c>
      <c r="AR65" s="6">
        <v>0</v>
      </c>
      <c r="AS65" s="6">
        <v>1</v>
      </c>
      <c r="AT65" s="6">
        <v>1</v>
      </c>
      <c r="AU65" s="6">
        <v>0</v>
      </c>
      <c r="AV65" s="6">
        <v>2</v>
      </c>
      <c r="AW65" s="6">
        <v>0</v>
      </c>
      <c r="AX65" s="6">
        <v>1</v>
      </c>
      <c r="AY65" s="6">
        <v>0</v>
      </c>
      <c r="AZ65" s="6">
        <v>0</v>
      </c>
      <c r="BA65" s="5">
        <f t="shared" si="20"/>
        <v>9</v>
      </c>
    </row>
    <row r="66" spans="1:53" x14ac:dyDescent="0.3">
      <c r="A66" s="7"/>
      <c r="B66" s="54"/>
      <c r="C66" s="24" t="s">
        <v>139</v>
      </c>
      <c r="D66" s="55"/>
      <c r="E66" s="6">
        <v>0</v>
      </c>
      <c r="F66" s="6">
        <v>1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1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3</v>
      </c>
      <c r="AC66" s="6">
        <v>0</v>
      </c>
      <c r="AD66" s="6">
        <v>1</v>
      </c>
      <c r="AE66" s="6">
        <v>1</v>
      </c>
      <c r="AF66" s="6">
        <v>0</v>
      </c>
      <c r="AG66" s="6">
        <v>1</v>
      </c>
      <c r="AH66" s="6">
        <v>1</v>
      </c>
      <c r="AI66" s="6">
        <v>0</v>
      </c>
      <c r="AJ66" s="6">
        <v>1</v>
      </c>
      <c r="AK66" s="6">
        <v>0</v>
      </c>
      <c r="AL66" s="6">
        <v>0</v>
      </c>
      <c r="AM66" s="6">
        <v>1</v>
      </c>
      <c r="AN66" s="6">
        <v>1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1</v>
      </c>
      <c r="AU66" s="6">
        <v>4</v>
      </c>
      <c r="AV66" s="6">
        <v>1</v>
      </c>
      <c r="AW66" s="6">
        <v>1</v>
      </c>
      <c r="AX66" s="6">
        <v>0</v>
      </c>
      <c r="AY66" s="6">
        <v>0</v>
      </c>
      <c r="AZ66" s="6">
        <v>0</v>
      </c>
      <c r="BA66" s="5">
        <f t="shared" si="20"/>
        <v>22</v>
      </c>
    </row>
    <row r="67" spans="1:53" x14ac:dyDescent="0.3">
      <c r="A67" s="6" t="s">
        <v>26</v>
      </c>
      <c r="B67" s="69" t="s">
        <v>51</v>
      </c>
      <c r="C67" s="85"/>
      <c r="D67" s="76"/>
      <c r="E67" s="5">
        <f>SUM(E57:E66)</f>
        <v>38</v>
      </c>
      <c r="F67" s="5">
        <f t="shared" ref="F67:BA67" si="21">SUM(F57:F66)</f>
        <v>58</v>
      </c>
      <c r="G67" s="5">
        <f t="shared" si="21"/>
        <v>31</v>
      </c>
      <c r="H67" s="5">
        <f t="shared" si="21"/>
        <v>20</v>
      </c>
      <c r="I67" s="5">
        <f t="shared" si="21"/>
        <v>28</v>
      </c>
      <c r="J67" s="5">
        <f t="shared" si="21"/>
        <v>19</v>
      </c>
      <c r="K67" s="5">
        <f t="shared" si="21"/>
        <v>35</v>
      </c>
      <c r="L67" s="5">
        <f t="shared" si="21"/>
        <v>21</v>
      </c>
      <c r="M67" s="5">
        <f t="shared" si="21"/>
        <v>17</v>
      </c>
      <c r="N67" s="5">
        <f t="shared" si="21"/>
        <v>41</v>
      </c>
      <c r="O67" s="5">
        <f t="shared" si="21"/>
        <v>39</v>
      </c>
      <c r="P67" s="5">
        <f t="shared" si="21"/>
        <v>33</v>
      </c>
      <c r="Q67" s="5">
        <f t="shared" si="21"/>
        <v>34</v>
      </c>
      <c r="R67" s="5">
        <f t="shared" si="21"/>
        <v>75</v>
      </c>
      <c r="S67" s="5">
        <f t="shared" si="21"/>
        <v>41</v>
      </c>
      <c r="T67" s="5">
        <f t="shared" si="21"/>
        <v>29</v>
      </c>
      <c r="U67" s="5">
        <f t="shared" si="21"/>
        <v>8</v>
      </c>
      <c r="V67" s="5">
        <f t="shared" si="21"/>
        <v>29</v>
      </c>
      <c r="W67" s="5">
        <f t="shared" si="21"/>
        <v>18</v>
      </c>
      <c r="X67" s="5">
        <f t="shared" si="21"/>
        <v>18</v>
      </c>
      <c r="Y67" s="5">
        <f t="shared" si="21"/>
        <v>10</v>
      </c>
      <c r="Z67" s="5">
        <f t="shared" si="21"/>
        <v>12</v>
      </c>
      <c r="AA67" s="5">
        <f t="shared" si="21"/>
        <v>5</v>
      </c>
      <c r="AB67" s="5">
        <f t="shared" si="21"/>
        <v>13</v>
      </c>
      <c r="AC67" s="5">
        <f t="shared" si="21"/>
        <v>24</v>
      </c>
      <c r="AD67" s="5">
        <f t="shared" si="21"/>
        <v>41</v>
      </c>
      <c r="AE67" s="5">
        <f t="shared" si="21"/>
        <v>33</v>
      </c>
      <c r="AF67" s="5">
        <f t="shared" si="21"/>
        <v>18</v>
      </c>
      <c r="AG67" s="5">
        <f t="shared" si="21"/>
        <v>52</v>
      </c>
      <c r="AH67" s="5">
        <f t="shared" si="21"/>
        <v>49</v>
      </c>
      <c r="AI67" s="5">
        <f t="shared" si="21"/>
        <v>19</v>
      </c>
      <c r="AJ67" s="5">
        <f t="shared" si="21"/>
        <v>19</v>
      </c>
      <c r="AK67" s="5">
        <f t="shared" si="21"/>
        <v>23</v>
      </c>
      <c r="AL67" s="5">
        <f t="shared" si="21"/>
        <v>18</v>
      </c>
      <c r="AM67" s="5">
        <f t="shared" si="21"/>
        <v>29</v>
      </c>
      <c r="AN67" s="5">
        <f t="shared" si="21"/>
        <v>38</v>
      </c>
      <c r="AO67" s="5">
        <f t="shared" si="21"/>
        <v>26</v>
      </c>
      <c r="AP67" s="5">
        <f t="shared" si="21"/>
        <v>26</v>
      </c>
      <c r="AQ67" s="5">
        <f t="shared" si="21"/>
        <v>24</v>
      </c>
      <c r="AR67" s="5">
        <f t="shared" si="21"/>
        <v>25</v>
      </c>
      <c r="AS67" s="5">
        <f t="shared" si="21"/>
        <v>34</v>
      </c>
      <c r="AT67" s="5">
        <f t="shared" si="21"/>
        <v>92</v>
      </c>
      <c r="AU67" s="5">
        <f t="shared" si="21"/>
        <v>27</v>
      </c>
      <c r="AV67" s="5">
        <f t="shared" si="21"/>
        <v>35</v>
      </c>
      <c r="AW67" s="5">
        <f t="shared" si="21"/>
        <v>31</v>
      </c>
      <c r="AX67" s="5">
        <f t="shared" si="21"/>
        <v>52</v>
      </c>
      <c r="AY67" s="5">
        <f t="shared" si="21"/>
        <v>44</v>
      </c>
      <c r="AZ67" s="5">
        <f t="shared" si="21"/>
        <v>34</v>
      </c>
      <c r="BA67" s="5">
        <f t="shared" si="21"/>
        <v>1485</v>
      </c>
    </row>
    <row r="68" spans="1:53" x14ac:dyDescent="0.3">
      <c r="A68" s="86"/>
      <c r="B68" s="87"/>
      <c r="C68" s="87"/>
      <c r="D68" s="87"/>
      <c r="E68" s="87"/>
    </row>
    <row r="69" spans="1:53" x14ac:dyDescent="0.3">
      <c r="A69" s="11" t="s">
        <v>48</v>
      </c>
      <c r="B69" s="17" t="s">
        <v>32</v>
      </c>
      <c r="C69" s="75" t="s">
        <v>53</v>
      </c>
      <c r="D69" s="76"/>
      <c r="E69" s="6">
        <v>3</v>
      </c>
      <c r="F69" s="6">
        <v>14</v>
      </c>
      <c r="G69" s="6">
        <v>15</v>
      </c>
      <c r="H69" s="6">
        <v>28</v>
      </c>
      <c r="I69" s="6">
        <v>19</v>
      </c>
      <c r="J69" s="6">
        <v>19</v>
      </c>
      <c r="K69" s="6">
        <v>11</v>
      </c>
      <c r="L69" s="6">
        <v>9</v>
      </c>
      <c r="M69" s="6">
        <v>17</v>
      </c>
      <c r="N69" s="6">
        <v>8</v>
      </c>
      <c r="O69" s="6">
        <v>18</v>
      </c>
      <c r="P69" s="6">
        <v>8</v>
      </c>
      <c r="Q69" s="6">
        <v>7</v>
      </c>
      <c r="R69" s="6">
        <v>20</v>
      </c>
      <c r="S69" s="6">
        <v>23</v>
      </c>
      <c r="T69" s="6">
        <v>21</v>
      </c>
      <c r="U69" s="6">
        <v>17</v>
      </c>
      <c r="V69" s="6">
        <v>16</v>
      </c>
      <c r="W69" s="6">
        <v>6</v>
      </c>
      <c r="X69" s="6">
        <v>1</v>
      </c>
      <c r="Y69" s="6">
        <v>8</v>
      </c>
      <c r="Z69" s="6">
        <v>12</v>
      </c>
      <c r="AA69" s="6">
        <v>12</v>
      </c>
      <c r="AB69" s="6">
        <v>4</v>
      </c>
      <c r="AC69" s="6">
        <v>27</v>
      </c>
      <c r="AD69" s="6">
        <v>22</v>
      </c>
      <c r="AE69" s="6">
        <v>12</v>
      </c>
      <c r="AF69" s="6">
        <v>8</v>
      </c>
      <c r="AG69" s="6">
        <v>9</v>
      </c>
      <c r="AH69" s="6">
        <v>16</v>
      </c>
      <c r="AI69" s="6">
        <v>11</v>
      </c>
      <c r="AJ69" s="6">
        <v>23</v>
      </c>
      <c r="AK69" s="6">
        <v>23</v>
      </c>
      <c r="AL69" s="6">
        <v>13</v>
      </c>
      <c r="AM69" s="6">
        <v>18</v>
      </c>
      <c r="AN69" s="6">
        <v>22</v>
      </c>
      <c r="AO69" s="6">
        <v>8</v>
      </c>
      <c r="AP69" s="6">
        <v>21</v>
      </c>
      <c r="AQ69" s="6">
        <v>19</v>
      </c>
      <c r="AR69" s="6">
        <v>22</v>
      </c>
      <c r="AS69" s="6">
        <v>11</v>
      </c>
      <c r="AT69" s="6">
        <v>18</v>
      </c>
      <c r="AU69" s="6">
        <v>21</v>
      </c>
      <c r="AV69" s="6">
        <v>34</v>
      </c>
      <c r="AW69" s="6">
        <v>20</v>
      </c>
      <c r="AX69" s="6">
        <v>18</v>
      </c>
      <c r="AY69" s="6">
        <v>15</v>
      </c>
      <c r="AZ69" s="6">
        <v>16</v>
      </c>
      <c r="BA69" s="5">
        <f>SUM(E69:AZ69)</f>
        <v>743</v>
      </c>
    </row>
    <row r="70" spans="1:53" x14ac:dyDescent="0.3">
      <c r="A70" s="11" t="s">
        <v>50</v>
      </c>
      <c r="B70" s="54"/>
      <c r="C70" s="24" t="s">
        <v>140</v>
      </c>
      <c r="D70" s="51"/>
      <c r="E70" s="6">
        <v>9</v>
      </c>
      <c r="F70" s="6">
        <v>17</v>
      </c>
      <c r="G70" s="6">
        <v>20</v>
      </c>
      <c r="H70" s="6">
        <v>33</v>
      </c>
      <c r="I70" s="6">
        <v>8</v>
      </c>
      <c r="J70" s="6">
        <v>3</v>
      </c>
      <c r="K70" s="6">
        <v>9</v>
      </c>
      <c r="L70" s="6">
        <v>11</v>
      </c>
      <c r="M70" s="6">
        <v>15</v>
      </c>
      <c r="N70" s="6">
        <v>9</v>
      </c>
      <c r="O70" s="6">
        <v>5</v>
      </c>
      <c r="P70" s="6">
        <v>4</v>
      </c>
      <c r="Q70" s="6">
        <v>11</v>
      </c>
      <c r="R70" s="6">
        <v>18</v>
      </c>
      <c r="S70" s="6">
        <v>11</v>
      </c>
      <c r="T70" s="6">
        <v>21</v>
      </c>
      <c r="U70" s="6">
        <v>3</v>
      </c>
      <c r="V70" s="6">
        <v>8</v>
      </c>
      <c r="W70" s="6">
        <v>1</v>
      </c>
      <c r="X70" s="6">
        <v>0</v>
      </c>
      <c r="Y70" s="6">
        <v>4</v>
      </c>
      <c r="Z70" s="6">
        <v>4</v>
      </c>
      <c r="AA70" s="6">
        <v>5</v>
      </c>
      <c r="AB70" s="6">
        <v>1</v>
      </c>
      <c r="AC70" s="6">
        <v>11</v>
      </c>
      <c r="AD70" s="6">
        <v>7</v>
      </c>
      <c r="AE70" s="6">
        <v>11</v>
      </c>
      <c r="AF70" s="6">
        <v>4</v>
      </c>
      <c r="AG70" s="6">
        <v>4</v>
      </c>
      <c r="AH70" s="6">
        <v>18</v>
      </c>
      <c r="AI70" s="6">
        <v>9</v>
      </c>
      <c r="AJ70" s="6">
        <v>23</v>
      </c>
      <c r="AK70" s="6">
        <v>7</v>
      </c>
      <c r="AL70" s="6">
        <v>18</v>
      </c>
      <c r="AM70" s="6">
        <v>3</v>
      </c>
      <c r="AN70" s="6">
        <v>8</v>
      </c>
      <c r="AO70" s="6">
        <v>8</v>
      </c>
      <c r="AP70" s="6">
        <v>19</v>
      </c>
      <c r="AQ70" s="6">
        <v>5</v>
      </c>
      <c r="AR70" s="6">
        <v>10</v>
      </c>
      <c r="AS70" s="6">
        <v>4</v>
      </c>
      <c r="AT70" s="6">
        <v>9</v>
      </c>
      <c r="AU70" s="6">
        <v>15</v>
      </c>
      <c r="AV70" s="6">
        <v>30</v>
      </c>
      <c r="AW70" s="6">
        <v>23</v>
      </c>
      <c r="AX70" s="6">
        <v>11</v>
      </c>
      <c r="AY70" s="6">
        <v>10</v>
      </c>
      <c r="AZ70" s="6">
        <v>4</v>
      </c>
      <c r="BA70" s="5">
        <f t="shared" ref="BA70:BA78" si="22">SUM(E70:AZ70)</f>
        <v>501</v>
      </c>
    </row>
    <row r="71" spans="1:53" x14ac:dyDescent="0.3">
      <c r="A71" s="7"/>
      <c r="B71" s="54"/>
      <c r="C71" s="24" t="s">
        <v>141</v>
      </c>
      <c r="D71" s="51"/>
      <c r="E71" s="6">
        <v>6</v>
      </c>
      <c r="F71" s="6">
        <v>12</v>
      </c>
      <c r="G71" s="6">
        <v>4</v>
      </c>
      <c r="H71" s="6">
        <v>7</v>
      </c>
      <c r="I71" s="6">
        <v>8</v>
      </c>
      <c r="J71" s="6">
        <v>7</v>
      </c>
      <c r="K71" s="6">
        <v>6</v>
      </c>
      <c r="L71" s="6">
        <v>3</v>
      </c>
      <c r="M71" s="6">
        <v>8</v>
      </c>
      <c r="N71" s="6">
        <v>3</v>
      </c>
      <c r="O71" s="6">
        <v>4</v>
      </c>
      <c r="P71" s="6">
        <v>0</v>
      </c>
      <c r="Q71" s="6">
        <v>35</v>
      </c>
      <c r="R71" s="6">
        <v>10</v>
      </c>
      <c r="S71" s="6">
        <v>5</v>
      </c>
      <c r="T71" s="6">
        <v>6</v>
      </c>
      <c r="U71" s="6">
        <v>11</v>
      </c>
      <c r="V71" s="6">
        <v>10</v>
      </c>
      <c r="W71" s="6">
        <v>0</v>
      </c>
      <c r="X71" s="6">
        <v>1</v>
      </c>
      <c r="Y71" s="6">
        <v>9</v>
      </c>
      <c r="Z71" s="6">
        <v>3</v>
      </c>
      <c r="AA71" s="6">
        <v>3</v>
      </c>
      <c r="AB71" s="6">
        <v>3</v>
      </c>
      <c r="AC71" s="6">
        <v>7</v>
      </c>
      <c r="AD71" s="6">
        <v>14</v>
      </c>
      <c r="AE71" s="6">
        <v>7</v>
      </c>
      <c r="AF71" s="6">
        <v>6</v>
      </c>
      <c r="AG71" s="6">
        <v>2</v>
      </c>
      <c r="AH71" s="6">
        <v>4</v>
      </c>
      <c r="AI71" s="6">
        <v>2</v>
      </c>
      <c r="AJ71" s="6">
        <v>31</v>
      </c>
      <c r="AK71" s="6">
        <v>46</v>
      </c>
      <c r="AL71" s="6">
        <v>10</v>
      </c>
      <c r="AM71" s="6">
        <v>5</v>
      </c>
      <c r="AN71" s="6">
        <v>9</v>
      </c>
      <c r="AO71" s="6">
        <v>12</v>
      </c>
      <c r="AP71" s="6">
        <v>12</v>
      </c>
      <c r="AQ71" s="6">
        <v>9</v>
      </c>
      <c r="AR71" s="6">
        <v>9</v>
      </c>
      <c r="AS71" s="6">
        <v>5</v>
      </c>
      <c r="AT71" s="6">
        <v>8</v>
      </c>
      <c r="AU71" s="6">
        <v>7</v>
      </c>
      <c r="AV71" s="6">
        <v>6</v>
      </c>
      <c r="AW71" s="6">
        <v>12</v>
      </c>
      <c r="AX71" s="6">
        <v>3</v>
      </c>
      <c r="AY71" s="6">
        <v>2</v>
      </c>
      <c r="AZ71" s="6">
        <v>3</v>
      </c>
      <c r="BA71" s="5">
        <f t="shared" si="22"/>
        <v>395</v>
      </c>
    </row>
    <row r="72" spans="1:53" x14ac:dyDescent="0.3">
      <c r="A72" s="7"/>
      <c r="B72" s="54"/>
      <c r="C72" s="24" t="s">
        <v>142</v>
      </c>
      <c r="D72" s="51"/>
      <c r="E72" s="6">
        <v>1</v>
      </c>
      <c r="F72" s="6">
        <v>3</v>
      </c>
      <c r="G72" s="6">
        <v>2</v>
      </c>
      <c r="H72" s="6">
        <v>5</v>
      </c>
      <c r="I72" s="6">
        <v>7</v>
      </c>
      <c r="J72" s="6">
        <v>3</v>
      </c>
      <c r="K72" s="6">
        <v>1</v>
      </c>
      <c r="L72" s="6">
        <v>1</v>
      </c>
      <c r="M72" s="6">
        <v>4</v>
      </c>
      <c r="N72" s="6">
        <v>5</v>
      </c>
      <c r="O72" s="6">
        <v>0</v>
      </c>
      <c r="P72" s="6">
        <v>1</v>
      </c>
      <c r="Q72" s="6">
        <v>0</v>
      </c>
      <c r="R72" s="6">
        <v>0</v>
      </c>
      <c r="S72" s="6">
        <v>2</v>
      </c>
      <c r="T72" s="6">
        <v>4</v>
      </c>
      <c r="U72" s="6">
        <v>3</v>
      </c>
      <c r="V72" s="6">
        <v>11</v>
      </c>
      <c r="W72" s="6">
        <v>3</v>
      </c>
      <c r="X72" s="6">
        <v>2</v>
      </c>
      <c r="Y72" s="6">
        <v>0</v>
      </c>
      <c r="Z72" s="6">
        <v>3</v>
      </c>
      <c r="AA72" s="6">
        <v>3</v>
      </c>
      <c r="AB72" s="6">
        <v>1</v>
      </c>
      <c r="AC72" s="6">
        <v>5</v>
      </c>
      <c r="AD72" s="6">
        <v>7</v>
      </c>
      <c r="AE72" s="6">
        <v>3</v>
      </c>
      <c r="AF72" s="6">
        <v>4</v>
      </c>
      <c r="AG72" s="6">
        <v>1</v>
      </c>
      <c r="AH72" s="6">
        <v>6</v>
      </c>
      <c r="AI72" s="6">
        <v>2</v>
      </c>
      <c r="AJ72" s="6">
        <v>4</v>
      </c>
      <c r="AK72" s="6">
        <v>2</v>
      </c>
      <c r="AL72" s="6">
        <v>1</v>
      </c>
      <c r="AM72" s="6">
        <v>3</v>
      </c>
      <c r="AN72" s="6">
        <v>6</v>
      </c>
      <c r="AO72" s="6">
        <v>6</v>
      </c>
      <c r="AP72" s="6">
        <v>4</v>
      </c>
      <c r="AQ72" s="6">
        <v>2</v>
      </c>
      <c r="AR72" s="6">
        <v>10</v>
      </c>
      <c r="AS72" s="6">
        <v>1</v>
      </c>
      <c r="AT72" s="6">
        <v>5</v>
      </c>
      <c r="AU72" s="6">
        <v>2</v>
      </c>
      <c r="AV72" s="6">
        <v>10</v>
      </c>
      <c r="AW72" s="6">
        <v>3</v>
      </c>
      <c r="AX72" s="6">
        <v>0</v>
      </c>
      <c r="AY72" s="6">
        <v>3</v>
      </c>
      <c r="AZ72" s="6">
        <v>1</v>
      </c>
      <c r="BA72" s="5">
        <f t="shared" si="22"/>
        <v>156</v>
      </c>
    </row>
    <row r="73" spans="1:53" x14ac:dyDescent="0.3">
      <c r="A73" s="7"/>
      <c r="B73" s="54"/>
      <c r="C73" s="24" t="s">
        <v>143</v>
      </c>
      <c r="D73" s="51"/>
      <c r="E73" s="6">
        <v>3</v>
      </c>
      <c r="F73" s="6">
        <v>1</v>
      </c>
      <c r="G73" s="6">
        <v>2</v>
      </c>
      <c r="H73" s="6">
        <v>1</v>
      </c>
      <c r="I73" s="6">
        <v>0</v>
      </c>
      <c r="J73" s="6">
        <v>9</v>
      </c>
      <c r="K73" s="6">
        <v>1</v>
      </c>
      <c r="L73" s="6">
        <v>0</v>
      </c>
      <c r="M73" s="6">
        <v>1</v>
      </c>
      <c r="N73" s="6">
        <v>2</v>
      </c>
      <c r="O73" s="6">
        <v>0</v>
      </c>
      <c r="P73" s="6">
        <v>1</v>
      </c>
      <c r="Q73" s="6">
        <v>2</v>
      </c>
      <c r="R73" s="6">
        <v>3</v>
      </c>
      <c r="S73" s="6">
        <v>1</v>
      </c>
      <c r="T73" s="6">
        <v>1</v>
      </c>
      <c r="U73" s="6">
        <v>1</v>
      </c>
      <c r="V73" s="6">
        <v>2</v>
      </c>
      <c r="W73" s="6">
        <v>3</v>
      </c>
      <c r="X73" s="6">
        <v>1</v>
      </c>
      <c r="Y73" s="6">
        <v>1</v>
      </c>
      <c r="Z73" s="6">
        <v>0</v>
      </c>
      <c r="AA73" s="6">
        <v>2</v>
      </c>
      <c r="AB73" s="6">
        <v>0</v>
      </c>
      <c r="AC73" s="6">
        <v>2</v>
      </c>
      <c r="AD73" s="6">
        <v>3</v>
      </c>
      <c r="AE73" s="6">
        <v>1</v>
      </c>
      <c r="AF73" s="6">
        <v>4</v>
      </c>
      <c r="AG73" s="6">
        <v>1</v>
      </c>
      <c r="AH73" s="6">
        <v>2</v>
      </c>
      <c r="AI73" s="6">
        <v>2</v>
      </c>
      <c r="AJ73" s="6">
        <v>6</v>
      </c>
      <c r="AK73" s="6">
        <v>4</v>
      </c>
      <c r="AL73" s="6">
        <v>0</v>
      </c>
      <c r="AM73" s="6">
        <v>4</v>
      </c>
      <c r="AN73" s="6">
        <v>6</v>
      </c>
      <c r="AO73" s="6">
        <v>5</v>
      </c>
      <c r="AP73" s="6">
        <v>3</v>
      </c>
      <c r="AQ73" s="6">
        <v>3</v>
      </c>
      <c r="AR73" s="6">
        <v>3</v>
      </c>
      <c r="AS73" s="6">
        <v>6</v>
      </c>
      <c r="AT73" s="6">
        <v>4</v>
      </c>
      <c r="AU73" s="6">
        <v>2</v>
      </c>
      <c r="AV73" s="6">
        <v>2</v>
      </c>
      <c r="AW73" s="6">
        <v>1</v>
      </c>
      <c r="AX73" s="6">
        <v>2</v>
      </c>
      <c r="AY73" s="6">
        <v>3</v>
      </c>
      <c r="AZ73" s="6">
        <v>2</v>
      </c>
      <c r="BA73" s="5">
        <f t="shared" si="22"/>
        <v>109</v>
      </c>
    </row>
    <row r="74" spans="1:53" ht="13.15" customHeight="1" x14ac:dyDescent="0.3">
      <c r="A74" s="7"/>
      <c r="B74" s="54"/>
      <c r="C74" s="24" t="s">
        <v>144</v>
      </c>
      <c r="D74" s="51"/>
      <c r="E74" s="6">
        <v>2</v>
      </c>
      <c r="F74" s="6">
        <v>3</v>
      </c>
      <c r="G74" s="6">
        <v>2</v>
      </c>
      <c r="H74" s="6">
        <v>0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2</v>
      </c>
      <c r="Q74" s="6">
        <v>0</v>
      </c>
      <c r="R74" s="6">
        <v>1</v>
      </c>
      <c r="S74" s="6">
        <v>1</v>
      </c>
      <c r="T74" s="6">
        <v>1</v>
      </c>
      <c r="U74" s="6">
        <v>0</v>
      </c>
      <c r="V74" s="6">
        <v>1</v>
      </c>
      <c r="W74" s="6">
        <v>0</v>
      </c>
      <c r="X74" s="6">
        <v>0</v>
      </c>
      <c r="Y74" s="6">
        <v>1</v>
      </c>
      <c r="Z74" s="6">
        <v>0</v>
      </c>
      <c r="AA74" s="6">
        <v>0</v>
      </c>
      <c r="AB74" s="6">
        <v>1</v>
      </c>
      <c r="AC74" s="6">
        <v>2</v>
      </c>
      <c r="AD74" s="6">
        <v>2</v>
      </c>
      <c r="AE74" s="6">
        <v>1</v>
      </c>
      <c r="AF74" s="6">
        <v>2</v>
      </c>
      <c r="AG74" s="6">
        <v>1</v>
      </c>
      <c r="AH74" s="6">
        <v>0</v>
      </c>
      <c r="AI74" s="6">
        <v>0</v>
      </c>
      <c r="AJ74" s="6">
        <v>1</v>
      </c>
      <c r="AK74" s="6">
        <v>0</v>
      </c>
      <c r="AL74" s="6">
        <v>2</v>
      </c>
      <c r="AM74" s="6">
        <v>3</v>
      </c>
      <c r="AN74" s="6">
        <v>0</v>
      </c>
      <c r="AO74" s="6">
        <v>1</v>
      </c>
      <c r="AP74" s="6">
        <v>2</v>
      </c>
      <c r="AQ74" s="6">
        <v>1</v>
      </c>
      <c r="AR74" s="6">
        <v>2</v>
      </c>
      <c r="AS74" s="6">
        <v>1</v>
      </c>
      <c r="AT74" s="6">
        <v>2</v>
      </c>
      <c r="AU74" s="6">
        <v>5</v>
      </c>
      <c r="AV74" s="6">
        <v>3</v>
      </c>
      <c r="AW74" s="6">
        <v>1</v>
      </c>
      <c r="AX74" s="6">
        <v>1</v>
      </c>
      <c r="AY74" s="6">
        <v>0</v>
      </c>
      <c r="AZ74" s="6">
        <v>0</v>
      </c>
      <c r="BA74" s="5">
        <f t="shared" si="22"/>
        <v>51</v>
      </c>
    </row>
    <row r="75" spans="1:53" x14ac:dyDescent="0.3">
      <c r="A75" s="7"/>
      <c r="B75" s="54"/>
      <c r="C75" s="24" t="s">
        <v>145</v>
      </c>
      <c r="D75" s="51"/>
      <c r="E75" s="6">
        <v>0</v>
      </c>
      <c r="F75" s="6">
        <v>1</v>
      </c>
      <c r="G75" s="6">
        <v>0</v>
      </c>
      <c r="H75" s="6">
        <v>1</v>
      </c>
      <c r="I75" s="6">
        <v>1</v>
      </c>
      <c r="J75" s="6">
        <v>1</v>
      </c>
      <c r="K75" s="6">
        <v>2</v>
      </c>
      <c r="L75" s="6">
        <v>4</v>
      </c>
      <c r="M75" s="6">
        <v>1</v>
      </c>
      <c r="N75" s="6">
        <v>1</v>
      </c>
      <c r="O75" s="6">
        <v>3</v>
      </c>
      <c r="P75" s="6">
        <v>0</v>
      </c>
      <c r="Q75" s="6">
        <v>0</v>
      </c>
      <c r="R75" s="6">
        <v>2</v>
      </c>
      <c r="S75" s="6">
        <v>4</v>
      </c>
      <c r="T75" s="6">
        <v>0</v>
      </c>
      <c r="U75" s="6">
        <v>2</v>
      </c>
      <c r="V75" s="6">
        <v>1</v>
      </c>
      <c r="W75" s="6">
        <v>1</v>
      </c>
      <c r="X75" s="6">
        <v>0</v>
      </c>
      <c r="Y75" s="6">
        <v>0</v>
      </c>
      <c r="Z75" s="6">
        <v>1</v>
      </c>
      <c r="AA75" s="6">
        <v>0</v>
      </c>
      <c r="AB75" s="6">
        <v>0</v>
      </c>
      <c r="AC75" s="6">
        <v>1</v>
      </c>
      <c r="AD75" s="6">
        <v>2</v>
      </c>
      <c r="AE75" s="6">
        <v>0</v>
      </c>
      <c r="AF75" s="6">
        <v>0</v>
      </c>
      <c r="AG75" s="6">
        <v>0</v>
      </c>
      <c r="AH75" s="6">
        <v>1</v>
      </c>
      <c r="AI75" s="6">
        <v>1</v>
      </c>
      <c r="AJ75" s="6">
        <v>0</v>
      </c>
      <c r="AK75" s="6">
        <v>0</v>
      </c>
      <c r="AL75" s="6">
        <v>2</v>
      </c>
      <c r="AM75" s="6">
        <v>2</v>
      </c>
      <c r="AN75" s="6">
        <v>0</v>
      </c>
      <c r="AO75" s="6">
        <v>2</v>
      </c>
      <c r="AP75" s="6">
        <v>1</v>
      </c>
      <c r="AQ75" s="6">
        <v>4</v>
      </c>
      <c r="AR75" s="6">
        <v>3</v>
      </c>
      <c r="AS75" s="6">
        <v>4</v>
      </c>
      <c r="AT75" s="6">
        <v>2</v>
      </c>
      <c r="AU75" s="6">
        <v>3</v>
      </c>
      <c r="AV75" s="6">
        <v>0</v>
      </c>
      <c r="AW75" s="6">
        <v>0</v>
      </c>
      <c r="AX75" s="6">
        <v>0</v>
      </c>
      <c r="AY75" s="6">
        <v>3</v>
      </c>
      <c r="AZ75" s="6">
        <v>1</v>
      </c>
      <c r="BA75" s="5">
        <f t="shared" si="22"/>
        <v>58</v>
      </c>
    </row>
    <row r="76" spans="1:53" x14ac:dyDescent="0.3">
      <c r="A76" s="7"/>
      <c r="B76" s="54"/>
      <c r="C76" s="24" t="s">
        <v>146</v>
      </c>
      <c r="D76" s="51"/>
      <c r="E76" s="6">
        <v>0</v>
      </c>
      <c r="F76" s="6">
        <v>1</v>
      </c>
      <c r="G76" s="6">
        <v>0</v>
      </c>
      <c r="H76" s="6">
        <v>0</v>
      </c>
      <c r="I76" s="6">
        <v>1</v>
      </c>
      <c r="J76" s="6">
        <v>1</v>
      </c>
      <c r="K76" s="6">
        <v>0</v>
      </c>
      <c r="L76" s="6">
        <v>0</v>
      </c>
      <c r="M76" s="6">
        <v>2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1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2</v>
      </c>
      <c r="AD76" s="6">
        <v>0</v>
      </c>
      <c r="AE76" s="6">
        <v>0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0</v>
      </c>
      <c r="AL76" s="6">
        <v>2</v>
      </c>
      <c r="AM76" s="6">
        <v>1</v>
      </c>
      <c r="AN76" s="6">
        <v>3</v>
      </c>
      <c r="AO76" s="6">
        <v>0</v>
      </c>
      <c r="AP76" s="6">
        <v>1</v>
      </c>
      <c r="AQ76" s="6">
        <v>0</v>
      </c>
      <c r="AR76" s="6">
        <v>0</v>
      </c>
      <c r="AS76" s="6">
        <v>0</v>
      </c>
      <c r="AT76" s="6">
        <v>1</v>
      </c>
      <c r="AU76" s="6">
        <v>0</v>
      </c>
      <c r="AV76" s="6">
        <v>1</v>
      </c>
      <c r="AW76" s="6">
        <v>0</v>
      </c>
      <c r="AX76" s="6">
        <v>2</v>
      </c>
      <c r="AY76" s="6">
        <v>0</v>
      </c>
      <c r="AZ76" s="6">
        <v>0</v>
      </c>
      <c r="BA76" s="5">
        <f t="shared" si="22"/>
        <v>22</v>
      </c>
    </row>
    <row r="77" spans="1:53" x14ac:dyDescent="0.3">
      <c r="A77" s="7"/>
      <c r="B77" s="54"/>
      <c r="C77" s="24" t="s">
        <v>147</v>
      </c>
      <c r="D77" s="51"/>
      <c r="E77" s="6">
        <v>1</v>
      </c>
      <c r="F77" s="6">
        <v>0</v>
      </c>
      <c r="G77" s="6">
        <v>1</v>
      </c>
      <c r="H77" s="6">
        <v>2</v>
      </c>
      <c r="I77" s="6">
        <v>1</v>
      </c>
      <c r="J77" s="6">
        <v>0</v>
      </c>
      <c r="K77" s="6">
        <v>0</v>
      </c>
      <c r="L77" s="6">
        <v>0</v>
      </c>
      <c r="M77" s="6">
        <v>1</v>
      </c>
      <c r="N77" s="6">
        <v>0</v>
      </c>
      <c r="O77" s="6">
        <v>2</v>
      </c>
      <c r="P77" s="6">
        <v>1</v>
      </c>
      <c r="Q77" s="6">
        <v>0</v>
      </c>
      <c r="R77" s="6">
        <v>2</v>
      </c>
      <c r="S77" s="6">
        <v>2</v>
      </c>
      <c r="T77" s="6">
        <v>1</v>
      </c>
      <c r="U77" s="6">
        <v>1</v>
      </c>
      <c r="V77" s="6">
        <v>2</v>
      </c>
      <c r="W77" s="6">
        <v>0</v>
      </c>
      <c r="X77" s="6">
        <v>1</v>
      </c>
      <c r="Y77" s="6">
        <v>0</v>
      </c>
      <c r="Z77" s="6">
        <v>1</v>
      </c>
      <c r="AA77" s="6">
        <v>0</v>
      </c>
      <c r="AB77" s="6">
        <v>0</v>
      </c>
      <c r="AC77" s="6">
        <v>0</v>
      </c>
      <c r="AD77" s="6">
        <v>1</v>
      </c>
      <c r="AE77" s="6">
        <v>3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0</v>
      </c>
      <c r="AL77" s="6">
        <v>0</v>
      </c>
      <c r="AM77" s="6">
        <v>1</v>
      </c>
      <c r="AN77" s="6">
        <v>0</v>
      </c>
      <c r="AO77" s="6">
        <v>2</v>
      </c>
      <c r="AP77" s="6">
        <v>0</v>
      </c>
      <c r="AQ77" s="6">
        <v>2</v>
      </c>
      <c r="AR77" s="6">
        <v>2</v>
      </c>
      <c r="AS77" s="6">
        <v>1</v>
      </c>
      <c r="AT77" s="6">
        <v>0</v>
      </c>
      <c r="AU77" s="6">
        <v>1</v>
      </c>
      <c r="AV77" s="6">
        <v>1</v>
      </c>
      <c r="AW77" s="6">
        <v>0</v>
      </c>
      <c r="AX77" s="6">
        <v>1</v>
      </c>
      <c r="AY77" s="6">
        <v>3</v>
      </c>
      <c r="AZ77" s="6">
        <v>1</v>
      </c>
      <c r="BA77" s="5">
        <f t="shared" si="22"/>
        <v>41</v>
      </c>
    </row>
    <row r="78" spans="1:53" x14ac:dyDescent="0.3">
      <c r="A78" s="7"/>
      <c r="B78" s="54"/>
      <c r="C78" s="24" t="s">
        <v>148</v>
      </c>
      <c r="D78" s="51"/>
      <c r="E78" s="6">
        <v>0</v>
      </c>
      <c r="F78" s="6">
        <v>2</v>
      </c>
      <c r="G78" s="6">
        <v>0</v>
      </c>
      <c r="H78" s="6">
        <v>1</v>
      </c>
      <c r="I78" s="6">
        <v>0</v>
      </c>
      <c r="J78" s="6">
        <v>0</v>
      </c>
      <c r="K78" s="6">
        <v>3</v>
      </c>
      <c r="L78" s="6">
        <v>1</v>
      </c>
      <c r="M78" s="6">
        <v>0</v>
      </c>
      <c r="N78" s="6">
        <v>0</v>
      </c>
      <c r="O78" s="6">
        <v>0</v>
      </c>
      <c r="P78" s="6">
        <v>2</v>
      </c>
      <c r="Q78" s="6">
        <v>0</v>
      </c>
      <c r="R78" s="6">
        <v>0</v>
      </c>
      <c r="S78" s="6">
        <v>1</v>
      </c>
      <c r="T78" s="6">
        <v>1</v>
      </c>
      <c r="U78" s="6">
        <v>0</v>
      </c>
      <c r="V78" s="6">
        <v>4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1</v>
      </c>
      <c r="AC78" s="6">
        <v>0</v>
      </c>
      <c r="AD78" s="6">
        <v>1</v>
      </c>
      <c r="AE78" s="6">
        <v>1</v>
      </c>
      <c r="AF78" s="6">
        <v>0</v>
      </c>
      <c r="AG78" s="6">
        <v>0</v>
      </c>
      <c r="AH78" s="6">
        <v>0</v>
      </c>
      <c r="AI78" s="6">
        <v>0</v>
      </c>
      <c r="AJ78" s="6">
        <v>1</v>
      </c>
      <c r="AK78" s="6">
        <v>0</v>
      </c>
      <c r="AL78" s="6">
        <v>1</v>
      </c>
      <c r="AM78" s="6">
        <v>2</v>
      </c>
      <c r="AN78" s="6">
        <v>1</v>
      </c>
      <c r="AO78" s="6">
        <v>1</v>
      </c>
      <c r="AP78" s="6">
        <v>4</v>
      </c>
      <c r="AQ78" s="6">
        <v>0</v>
      </c>
      <c r="AR78" s="6">
        <v>2</v>
      </c>
      <c r="AS78" s="6">
        <v>1</v>
      </c>
      <c r="AT78" s="6">
        <v>2</v>
      </c>
      <c r="AU78" s="6">
        <v>0</v>
      </c>
      <c r="AV78" s="6">
        <v>2</v>
      </c>
      <c r="AW78" s="6">
        <v>0</v>
      </c>
      <c r="AX78" s="6">
        <v>0</v>
      </c>
      <c r="AY78" s="6">
        <v>2</v>
      </c>
      <c r="AZ78" s="6">
        <v>0</v>
      </c>
      <c r="BA78" s="5">
        <f t="shared" si="22"/>
        <v>37</v>
      </c>
    </row>
    <row r="79" spans="1:53" x14ac:dyDescent="0.3">
      <c r="A79" s="6" t="s">
        <v>26</v>
      </c>
      <c r="B79" s="69" t="s">
        <v>51</v>
      </c>
      <c r="C79" s="85"/>
      <c r="D79" s="76"/>
      <c r="E79" s="5">
        <f>SUM(E69:E78)</f>
        <v>25</v>
      </c>
      <c r="F79" s="5">
        <f t="shared" ref="F79:BA79" si="23">SUM(F69:F78)</f>
        <v>54</v>
      </c>
      <c r="G79" s="5">
        <f t="shared" si="23"/>
        <v>46</v>
      </c>
      <c r="H79" s="5">
        <f t="shared" si="23"/>
        <v>78</v>
      </c>
      <c r="I79" s="5">
        <f t="shared" si="23"/>
        <v>46</v>
      </c>
      <c r="J79" s="5">
        <f t="shared" si="23"/>
        <v>44</v>
      </c>
      <c r="K79" s="5">
        <f t="shared" si="23"/>
        <v>33</v>
      </c>
      <c r="L79" s="5">
        <f t="shared" si="23"/>
        <v>29</v>
      </c>
      <c r="M79" s="5">
        <f t="shared" si="23"/>
        <v>49</v>
      </c>
      <c r="N79" s="5">
        <f t="shared" si="23"/>
        <v>29</v>
      </c>
      <c r="O79" s="5">
        <f t="shared" si="23"/>
        <v>32</v>
      </c>
      <c r="P79" s="5">
        <f t="shared" si="23"/>
        <v>20</v>
      </c>
      <c r="Q79" s="5">
        <f t="shared" si="23"/>
        <v>55</v>
      </c>
      <c r="R79" s="5">
        <f t="shared" si="23"/>
        <v>56</v>
      </c>
      <c r="S79" s="5">
        <f t="shared" si="23"/>
        <v>51</v>
      </c>
      <c r="T79" s="5">
        <f t="shared" si="23"/>
        <v>56</v>
      </c>
      <c r="U79" s="5">
        <f t="shared" si="23"/>
        <v>38</v>
      </c>
      <c r="V79" s="5">
        <f t="shared" si="23"/>
        <v>56</v>
      </c>
      <c r="W79" s="5">
        <f t="shared" si="23"/>
        <v>14</v>
      </c>
      <c r="X79" s="5">
        <f t="shared" si="23"/>
        <v>6</v>
      </c>
      <c r="Y79" s="5">
        <f t="shared" si="23"/>
        <v>23</v>
      </c>
      <c r="Z79" s="5">
        <f t="shared" si="23"/>
        <v>24</v>
      </c>
      <c r="AA79" s="5">
        <f t="shared" si="23"/>
        <v>25</v>
      </c>
      <c r="AB79" s="5">
        <f t="shared" si="23"/>
        <v>11</v>
      </c>
      <c r="AC79" s="5">
        <f t="shared" si="23"/>
        <v>57</v>
      </c>
      <c r="AD79" s="5">
        <f t="shared" si="23"/>
        <v>59</v>
      </c>
      <c r="AE79" s="5">
        <f t="shared" si="23"/>
        <v>39</v>
      </c>
      <c r="AF79" s="5">
        <f t="shared" si="23"/>
        <v>28</v>
      </c>
      <c r="AG79" s="5">
        <f t="shared" si="23"/>
        <v>18</v>
      </c>
      <c r="AH79" s="5">
        <f t="shared" si="23"/>
        <v>49</v>
      </c>
      <c r="AI79" s="5">
        <f t="shared" si="23"/>
        <v>28</v>
      </c>
      <c r="AJ79" s="5">
        <f t="shared" si="23"/>
        <v>90</v>
      </c>
      <c r="AK79" s="5">
        <f t="shared" si="23"/>
        <v>82</v>
      </c>
      <c r="AL79" s="5">
        <f t="shared" si="23"/>
        <v>49</v>
      </c>
      <c r="AM79" s="5">
        <f t="shared" si="23"/>
        <v>42</v>
      </c>
      <c r="AN79" s="5">
        <f t="shared" si="23"/>
        <v>55</v>
      </c>
      <c r="AO79" s="5">
        <f t="shared" si="23"/>
        <v>45</v>
      </c>
      <c r="AP79" s="5">
        <f t="shared" si="23"/>
        <v>67</v>
      </c>
      <c r="AQ79" s="5">
        <f t="shared" si="23"/>
        <v>45</v>
      </c>
      <c r="AR79" s="5">
        <f t="shared" si="23"/>
        <v>63</v>
      </c>
      <c r="AS79" s="5">
        <f t="shared" si="23"/>
        <v>34</v>
      </c>
      <c r="AT79" s="5">
        <f t="shared" si="23"/>
        <v>51</v>
      </c>
      <c r="AU79" s="5">
        <f t="shared" si="23"/>
        <v>56</v>
      </c>
      <c r="AV79" s="5">
        <f t="shared" si="23"/>
        <v>89</v>
      </c>
      <c r="AW79" s="5">
        <f t="shared" si="23"/>
        <v>60</v>
      </c>
      <c r="AX79" s="5">
        <f t="shared" si="23"/>
        <v>38</v>
      </c>
      <c r="AY79" s="5">
        <f t="shared" si="23"/>
        <v>41</v>
      </c>
      <c r="AZ79" s="5">
        <f t="shared" si="23"/>
        <v>28</v>
      </c>
      <c r="BA79" s="5">
        <f t="shared" si="23"/>
        <v>2113</v>
      </c>
    </row>
    <row r="80" spans="1:53" x14ac:dyDescent="0.3">
      <c r="A80" s="86"/>
      <c r="B80" s="87"/>
      <c r="C80" s="87"/>
      <c r="D80" s="87"/>
      <c r="E80" s="87"/>
    </row>
    <row r="81" spans="1:53" x14ac:dyDescent="0.3">
      <c r="A81" s="11" t="s">
        <v>48</v>
      </c>
      <c r="B81" s="17" t="s">
        <v>34</v>
      </c>
      <c r="C81" s="75" t="s">
        <v>54</v>
      </c>
      <c r="D81" s="76"/>
      <c r="E81" s="6">
        <v>5</v>
      </c>
      <c r="F81" s="6">
        <v>5</v>
      </c>
      <c r="G81" s="6">
        <v>4</v>
      </c>
      <c r="H81" s="6">
        <v>4</v>
      </c>
      <c r="I81" s="6">
        <v>6</v>
      </c>
      <c r="J81" s="6">
        <v>2</v>
      </c>
      <c r="K81" s="6">
        <v>6</v>
      </c>
      <c r="L81" s="6">
        <v>1</v>
      </c>
      <c r="M81" s="6">
        <v>3</v>
      </c>
      <c r="N81" s="6">
        <v>2</v>
      </c>
      <c r="O81" s="6">
        <v>3</v>
      </c>
      <c r="P81" s="6">
        <v>5</v>
      </c>
      <c r="Q81" s="6">
        <v>5</v>
      </c>
      <c r="R81" s="6">
        <v>1</v>
      </c>
      <c r="S81" s="6">
        <v>2</v>
      </c>
      <c r="T81" s="6">
        <v>1</v>
      </c>
      <c r="U81" s="6">
        <v>0</v>
      </c>
      <c r="V81" s="6">
        <v>2</v>
      </c>
      <c r="W81" s="6">
        <v>8</v>
      </c>
      <c r="X81" s="6">
        <v>3</v>
      </c>
      <c r="Y81" s="6">
        <v>1</v>
      </c>
      <c r="Z81" s="6">
        <v>4</v>
      </c>
      <c r="AA81" s="6">
        <v>4</v>
      </c>
      <c r="AB81" s="6">
        <v>1</v>
      </c>
      <c r="AC81" s="6">
        <v>4</v>
      </c>
      <c r="AD81" s="6">
        <v>5</v>
      </c>
      <c r="AE81" s="6">
        <v>4</v>
      </c>
      <c r="AF81" s="6">
        <v>2</v>
      </c>
      <c r="AG81" s="6">
        <v>3</v>
      </c>
      <c r="AH81" s="6">
        <v>2</v>
      </c>
      <c r="AI81" s="6">
        <v>4</v>
      </c>
      <c r="AJ81" s="6">
        <v>9</v>
      </c>
      <c r="AK81" s="6">
        <v>2</v>
      </c>
      <c r="AL81" s="6">
        <v>3</v>
      </c>
      <c r="AM81" s="6">
        <v>0</v>
      </c>
      <c r="AN81" s="6">
        <v>6</v>
      </c>
      <c r="AO81" s="6">
        <v>5</v>
      </c>
      <c r="AP81" s="6">
        <v>5</v>
      </c>
      <c r="AQ81" s="6">
        <v>4</v>
      </c>
      <c r="AR81" s="6">
        <v>6</v>
      </c>
      <c r="AS81" s="6">
        <v>6</v>
      </c>
      <c r="AT81" s="6">
        <v>3</v>
      </c>
      <c r="AU81" s="6">
        <v>4</v>
      </c>
      <c r="AV81" s="6">
        <v>7</v>
      </c>
      <c r="AW81" s="6">
        <v>5</v>
      </c>
      <c r="AX81" s="6">
        <v>4</v>
      </c>
      <c r="AY81" s="6">
        <v>0</v>
      </c>
      <c r="AZ81" s="6">
        <v>4</v>
      </c>
      <c r="BA81" s="5">
        <f t="shared" ref="BA81:BA90" si="24">SUM(E81:AZ81)</f>
        <v>175</v>
      </c>
    </row>
    <row r="82" spans="1:53" x14ac:dyDescent="0.3">
      <c r="A82" s="11" t="s">
        <v>50</v>
      </c>
      <c r="B82" s="54"/>
      <c r="C82" s="24" t="s">
        <v>149</v>
      </c>
      <c r="D82" s="51"/>
      <c r="E82" s="6">
        <v>68</v>
      </c>
      <c r="F82" s="6">
        <v>20</v>
      </c>
      <c r="G82" s="6">
        <v>20</v>
      </c>
      <c r="H82" s="6">
        <v>18</v>
      </c>
      <c r="I82" s="6">
        <v>4</v>
      </c>
      <c r="J82" s="6">
        <v>1</v>
      </c>
      <c r="K82" s="6">
        <v>4</v>
      </c>
      <c r="L82" s="6">
        <v>8</v>
      </c>
      <c r="M82" s="6">
        <v>6</v>
      </c>
      <c r="N82" s="6">
        <v>2</v>
      </c>
      <c r="O82" s="6">
        <v>34</v>
      </c>
      <c r="P82" s="6">
        <v>23</v>
      </c>
      <c r="Q82" s="6">
        <v>13</v>
      </c>
      <c r="R82" s="6">
        <v>1</v>
      </c>
      <c r="S82" s="6">
        <v>2</v>
      </c>
      <c r="T82" s="6">
        <v>10</v>
      </c>
      <c r="U82" s="6">
        <v>5</v>
      </c>
      <c r="V82" s="6">
        <v>18</v>
      </c>
      <c r="W82" s="6">
        <v>62</v>
      </c>
      <c r="X82" s="6">
        <v>4</v>
      </c>
      <c r="Y82" s="6">
        <v>2</v>
      </c>
      <c r="Z82" s="6">
        <v>18</v>
      </c>
      <c r="AA82" s="6">
        <v>10</v>
      </c>
      <c r="AB82" s="6">
        <v>3</v>
      </c>
      <c r="AC82" s="6">
        <v>5</v>
      </c>
      <c r="AD82" s="6">
        <v>11</v>
      </c>
      <c r="AE82" s="6">
        <v>6</v>
      </c>
      <c r="AF82" s="6">
        <v>9</v>
      </c>
      <c r="AG82" s="6">
        <v>6</v>
      </c>
      <c r="AH82" s="6">
        <v>10</v>
      </c>
      <c r="AI82" s="6">
        <v>5</v>
      </c>
      <c r="AJ82" s="6">
        <v>31</v>
      </c>
      <c r="AK82" s="6">
        <v>8</v>
      </c>
      <c r="AL82" s="6">
        <v>5</v>
      </c>
      <c r="AM82" s="6">
        <v>19</v>
      </c>
      <c r="AN82" s="6">
        <v>16</v>
      </c>
      <c r="AO82" s="6">
        <v>49</v>
      </c>
      <c r="AP82" s="6">
        <v>14</v>
      </c>
      <c r="AQ82" s="6">
        <v>27</v>
      </c>
      <c r="AR82" s="6">
        <v>17</v>
      </c>
      <c r="AS82" s="6">
        <v>15</v>
      </c>
      <c r="AT82" s="6">
        <v>2</v>
      </c>
      <c r="AU82" s="6">
        <v>5</v>
      </c>
      <c r="AV82" s="6">
        <v>4</v>
      </c>
      <c r="AW82" s="6">
        <v>13</v>
      </c>
      <c r="AX82" s="6">
        <v>1</v>
      </c>
      <c r="AY82" s="6">
        <v>0</v>
      </c>
      <c r="AZ82" s="6">
        <v>15</v>
      </c>
      <c r="BA82" s="5">
        <f t="shared" si="24"/>
        <v>649</v>
      </c>
    </row>
    <row r="83" spans="1:53" x14ac:dyDescent="0.3">
      <c r="A83" s="7"/>
      <c r="B83" s="54"/>
      <c r="C83" s="24" t="s">
        <v>150</v>
      </c>
      <c r="D83" s="51"/>
      <c r="E83" s="6">
        <v>2</v>
      </c>
      <c r="F83" s="6">
        <v>2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1</v>
      </c>
      <c r="N83" s="6">
        <v>1</v>
      </c>
      <c r="O83" s="6">
        <v>1</v>
      </c>
      <c r="P83" s="6">
        <v>0</v>
      </c>
      <c r="Q83" s="6">
        <v>0</v>
      </c>
      <c r="R83" s="6">
        <v>1</v>
      </c>
      <c r="S83" s="6">
        <v>1</v>
      </c>
      <c r="T83" s="6">
        <v>0</v>
      </c>
      <c r="U83" s="6">
        <v>0</v>
      </c>
      <c r="V83" s="6">
        <v>2</v>
      </c>
      <c r="W83" s="6">
        <v>2</v>
      </c>
      <c r="X83" s="6">
        <v>0</v>
      </c>
      <c r="Y83" s="6">
        <v>0</v>
      </c>
      <c r="Z83" s="6">
        <v>1</v>
      </c>
      <c r="AA83" s="6">
        <v>0</v>
      </c>
      <c r="AB83" s="6">
        <v>0</v>
      </c>
      <c r="AC83" s="6">
        <v>0</v>
      </c>
      <c r="AD83" s="6">
        <v>2</v>
      </c>
      <c r="AE83" s="6">
        <v>3</v>
      </c>
      <c r="AF83" s="6">
        <v>1</v>
      </c>
      <c r="AG83" s="6">
        <v>1</v>
      </c>
      <c r="AH83" s="6">
        <v>0</v>
      </c>
      <c r="AI83" s="6">
        <v>0</v>
      </c>
      <c r="AJ83" s="6">
        <v>1</v>
      </c>
      <c r="AK83" s="6">
        <v>3</v>
      </c>
      <c r="AL83" s="6">
        <v>1</v>
      </c>
      <c r="AM83" s="6">
        <v>0</v>
      </c>
      <c r="AN83" s="6">
        <v>1</v>
      </c>
      <c r="AO83" s="6">
        <v>1</v>
      </c>
      <c r="AP83" s="6">
        <v>1</v>
      </c>
      <c r="AQ83" s="6">
        <v>0</v>
      </c>
      <c r="AR83" s="6">
        <v>0</v>
      </c>
      <c r="AS83" s="6">
        <v>0</v>
      </c>
      <c r="AT83" s="6">
        <v>4</v>
      </c>
      <c r="AU83" s="6">
        <v>3</v>
      </c>
      <c r="AV83" s="6">
        <v>2</v>
      </c>
      <c r="AW83" s="6">
        <v>2</v>
      </c>
      <c r="AX83" s="6">
        <v>1</v>
      </c>
      <c r="AY83" s="6">
        <v>1</v>
      </c>
      <c r="AZ83" s="6">
        <v>1</v>
      </c>
      <c r="BA83" s="5">
        <f t="shared" si="24"/>
        <v>45</v>
      </c>
    </row>
    <row r="84" spans="1:53" x14ac:dyDescent="0.3">
      <c r="A84" s="7"/>
      <c r="B84" s="54"/>
      <c r="C84" s="24" t="s">
        <v>151</v>
      </c>
      <c r="D84" s="51"/>
      <c r="E84" s="6">
        <v>1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1</v>
      </c>
      <c r="R84" s="6">
        <v>0</v>
      </c>
      <c r="S84" s="6">
        <v>1</v>
      </c>
      <c r="T84" s="6">
        <v>1</v>
      </c>
      <c r="U84" s="6">
        <v>0</v>
      </c>
      <c r="V84" s="6">
        <v>2</v>
      </c>
      <c r="W84" s="6">
        <v>1</v>
      </c>
      <c r="X84" s="6">
        <v>4</v>
      </c>
      <c r="Y84" s="6">
        <v>1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2</v>
      </c>
      <c r="AG84" s="6">
        <v>0</v>
      </c>
      <c r="AH84" s="6">
        <v>0</v>
      </c>
      <c r="AI84" s="6">
        <v>2</v>
      </c>
      <c r="AJ84" s="6">
        <v>1</v>
      </c>
      <c r="AK84" s="6">
        <v>0</v>
      </c>
      <c r="AL84" s="6">
        <v>1</v>
      </c>
      <c r="AM84" s="6">
        <v>0</v>
      </c>
      <c r="AN84" s="6">
        <v>0</v>
      </c>
      <c r="AO84" s="6">
        <v>1</v>
      </c>
      <c r="AP84" s="6">
        <v>1</v>
      </c>
      <c r="AQ84" s="6">
        <v>0</v>
      </c>
      <c r="AR84" s="6">
        <v>0</v>
      </c>
      <c r="AS84" s="6">
        <v>3</v>
      </c>
      <c r="AT84" s="6">
        <v>0</v>
      </c>
      <c r="AU84" s="6">
        <v>1</v>
      </c>
      <c r="AV84" s="6">
        <v>1</v>
      </c>
      <c r="AW84" s="6">
        <v>2</v>
      </c>
      <c r="AX84" s="6">
        <v>0</v>
      </c>
      <c r="AY84" s="6">
        <v>0</v>
      </c>
      <c r="AZ84" s="6">
        <v>1</v>
      </c>
      <c r="BA84" s="5">
        <f t="shared" si="24"/>
        <v>31</v>
      </c>
    </row>
    <row r="85" spans="1:53" ht="13.15" customHeight="1" x14ac:dyDescent="0.3">
      <c r="A85" s="7"/>
      <c r="B85" s="54"/>
      <c r="C85" s="24" t="s">
        <v>152</v>
      </c>
      <c r="D85" s="51"/>
      <c r="E85" s="6">
        <v>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1</v>
      </c>
      <c r="N85" s="6">
        <v>0</v>
      </c>
      <c r="O85" s="6">
        <v>0</v>
      </c>
      <c r="P85" s="6">
        <v>0</v>
      </c>
      <c r="Q85" s="6">
        <v>0</v>
      </c>
      <c r="R85" s="6">
        <v>1</v>
      </c>
      <c r="S85" s="6">
        <v>0</v>
      </c>
      <c r="T85" s="6">
        <v>0</v>
      </c>
      <c r="U85" s="6">
        <v>2</v>
      </c>
      <c r="V85" s="6">
        <v>0</v>
      </c>
      <c r="W85" s="6">
        <v>0</v>
      </c>
      <c r="X85" s="6">
        <v>1</v>
      </c>
      <c r="Y85" s="6">
        <v>0</v>
      </c>
      <c r="Z85" s="6">
        <v>0</v>
      </c>
      <c r="AA85" s="6">
        <v>1</v>
      </c>
      <c r="AB85" s="6">
        <v>0</v>
      </c>
      <c r="AC85" s="6">
        <v>0</v>
      </c>
      <c r="AD85" s="6">
        <v>3</v>
      </c>
      <c r="AE85" s="6">
        <v>1</v>
      </c>
      <c r="AF85" s="6">
        <v>0</v>
      </c>
      <c r="AG85" s="6">
        <v>0</v>
      </c>
      <c r="AH85" s="6">
        <v>0</v>
      </c>
      <c r="AI85" s="6">
        <v>4</v>
      </c>
      <c r="AJ85" s="6">
        <v>2</v>
      </c>
      <c r="AK85" s="6">
        <v>0</v>
      </c>
      <c r="AL85" s="6">
        <v>0</v>
      </c>
      <c r="AM85" s="6">
        <v>2</v>
      </c>
      <c r="AN85" s="6">
        <v>1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2</v>
      </c>
      <c r="AU85" s="6">
        <v>4</v>
      </c>
      <c r="AV85" s="6">
        <v>0</v>
      </c>
      <c r="AW85" s="6">
        <v>1</v>
      </c>
      <c r="AX85" s="6">
        <v>0</v>
      </c>
      <c r="AY85" s="6">
        <v>1</v>
      </c>
      <c r="AZ85" s="6">
        <v>0</v>
      </c>
      <c r="BA85" s="5">
        <f t="shared" si="24"/>
        <v>29</v>
      </c>
    </row>
    <row r="86" spans="1:53" x14ac:dyDescent="0.3">
      <c r="A86" s="7"/>
      <c r="B86" s="54"/>
      <c r="C86" s="24" t="s">
        <v>153</v>
      </c>
      <c r="D86" s="51"/>
      <c r="E86" s="6">
        <v>1</v>
      </c>
      <c r="F86" s="6">
        <v>0</v>
      </c>
      <c r="G86" s="6">
        <v>0</v>
      </c>
      <c r="H86" s="6">
        <v>3</v>
      </c>
      <c r="I86" s="6">
        <v>0</v>
      </c>
      <c r="J86" s="6">
        <v>1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1</v>
      </c>
      <c r="Q86" s="6">
        <v>1</v>
      </c>
      <c r="R86" s="6">
        <v>2</v>
      </c>
      <c r="S86" s="6">
        <v>0</v>
      </c>
      <c r="T86" s="6">
        <v>0</v>
      </c>
      <c r="U86" s="6">
        <v>0</v>
      </c>
      <c r="V86" s="6">
        <v>0</v>
      </c>
      <c r="W86" s="6">
        <v>2</v>
      </c>
      <c r="X86" s="6">
        <v>0</v>
      </c>
      <c r="Y86" s="6">
        <v>2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1</v>
      </c>
      <c r="AF86" s="6">
        <v>0</v>
      </c>
      <c r="AG86" s="6">
        <v>2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1</v>
      </c>
      <c r="AP86" s="6">
        <v>1</v>
      </c>
      <c r="AQ86" s="6">
        <v>1</v>
      </c>
      <c r="AR86" s="6">
        <v>1</v>
      </c>
      <c r="AS86" s="6">
        <v>0</v>
      </c>
      <c r="AT86" s="6">
        <v>0</v>
      </c>
      <c r="AU86" s="6">
        <v>0</v>
      </c>
      <c r="AV86" s="6">
        <v>2</v>
      </c>
      <c r="AW86" s="6">
        <v>0</v>
      </c>
      <c r="AX86" s="6">
        <v>0</v>
      </c>
      <c r="AY86" s="6">
        <v>0</v>
      </c>
      <c r="AZ86" s="6">
        <v>0</v>
      </c>
      <c r="BA86" s="5">
        <f t="shared" si="24"/>
        <v>23</v>
      </c>
    </row>
    <row r="87" spans="1:53" x14ac:dyDescent="0.3">
      <c r="A87" s="7"/>
      <c r="B87" s="54"/>
      <c r="C87" s="24" t="s">
        <v>154</v>
      </c>
      <c r="D87" s="51"/>
      <c r="E87" s="6">
        <v>0</v>
      </c>
      <c r="F87" s="6">
        <v>0</v>
      </c>
      <c r="G87" s="6">
        <v>1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0</v>
      </c>
      <c r="V87" s="6">
        <v>0</v>
      </c>
      <c r="W87" s="6">
        <v>1</v>
      </c>
      <c r="X87" s="6">
        <v>1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0</v>
      </c>
      <c r="AL87" s="6">
        <v>1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1</v>
      </c>
      <c r="AS87" s="6">
        <v>0</v>
      </c>
      <c r="AT87" s="6">
        <v>1</v>
      </c>
      <c r="AU87" s="6">
        <v>0</v>
      </c>
      <c r="AV87" s="6">
        <v>0</v>
      </c>
      <c r="AW87" s="6">
        <v>0</v>
      </c>
      <c r="AX87" s="6">
        <v>1</v>
      </c>
      <c r="AY87" s="6">
        <v>0</v>
      </c>
      <c r="AZ87" s="6">
        <v>0</v>
      </c>
      <c r="BA87" s="5">
        <f t="shared" si="24"/>
        <v>11</v>
      </c>
    </row>
    <row r="88" spans="1:53" x14ac:dyDescent="0.3">
      <c r="A88" s="7"/>
      <c r="B88" s="54"/>
      <c r="C88" s="24" t="s">
        <v>155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1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1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5">
        <f t="shared" si="24"/>
        <v>4</v>
      </c>
    </row>
    <row r="89" spans="1:53" x14ac:dyDescent="0.3">
      <c r="A89" s="7"/>
      <c r="B89" s="54"/>
      <c r="C89" s="24" t="s">
        <v>156</v>
      </c>
      <c r="D89" s="51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1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5">
        <f t="shared" si="24"/>
        <v>2</v>
      </c>
    </row>
    <row r="90" spans="1:53" x14ac:dyDescent="0.3">
      <c r="A90" s="7"/>
      <c r="B90" s="54"/>
      <c r="C90" s="24" t="s">
        <v>157</v>
      </c>
      <c r="D90" s="51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1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1</v>
      </c>
      <c r="AY90" s="6">
        <v>0</v>
      </c>
      <c r="AZ90" s="6">
        <v>0</v>
      </c>
      <c r="BA90" s="5">
        <f t="shared" si="24"/>
        <v>4</v>
      </c>
    </row>
    <row r="91" spans="1:53" x14ac:dyDescent="0.3">
      <c r="A91" s="6" t="s">
        <v>26</v>
      </c>
      <c r="B91" s="69" t="s">
        <v>51</v>
      </c>
      <c r="C91" s="85"/>
      <c r="D91" s="76"/>
      <c r="E91" s="5">
        <f>SUM(E81:E90)</f>
        <v>78</v>
      </c>
      <c r="F91" s="5">
        <f t="shared" ref="F91:BA91" si="25">SUM(F81:F90)</f>
        <v>27</v>
      </c>
      <c r="G91" s="5">
        <f t="shared" si="25"/>
        <v>26</v>
      </c>
      <c r="H91" s="5">
        <f t="shared" si="25"/>
        <v>27</v>
      </c>
      <c r="I91" s="5">
        <f t="shared" si="25"/>
        <v>11</v>
      </c>
      <c r="J91" s="5">
        <f t="shared" si="25"/>
        <v>4</v>
      </c>
      <c r="K91" s="5">
        <f t="shared" si="25"/>
        <v>10</v>
      </c>
      <c r="L91" s="5">
        <f t="shared" si="25"/>
        <v>10</v>
      </c>
      <c r="M91" s="5">
        <f t="shared" si="25"/>
        <v>11</v>
      </c>
      <c r="N91" s="5">
        <f t="shared" si="25"/>
        <v>5</v>
      </c>
      <c r="O91" s="5">
        <f t="shared" si="25"/>
        <v>41</v>
      </c>
      <c r="P91" s="5">
        <f t="shared" si="25"/>
        <v>29</v>
      </c>
      <c r="Q91" s="5">
        <f t="shared" si="25"/>
        <v>22</v>
      </c>
      <c r="R91" s="5">
        <f t="shared" si="25"/>
        <v>7</v>
      </c>
      <c r="S91" s="5">
        <f t="shared" si="25"/>
        <v>6</v>
      </c>
      <c r="T91" s="5">
        <f t="shared" si="25"/>
        <v>14</v>
      </c>
      <c r="U91" s="5">
        <f t="shared" si="25"/>
        <v>7</v>
      </c>
      <c r="V91" s="5">
        <f t="shared" si="25"/>
        <v>24</v>
      </c>
      <c r="W91" s="5">
        <f t="shared" si="25"/>
        <v>77</v>
      </c>
      <c r="X91" s="5">
        <f t="shared" si="25"/>
        <v>13</v>
      </c>
      <c r="Y91" s="5">
        <f t="shared" si="25"/>
        <v>6</v>
      </c>
      <c r="Z91" s="5">
        <f t="shared" si="25"/>
        <v>23</v>
      </c>
      <c r="AA91" s="5">
        <f t="shared" si="25"/>
        <v>15</v>
      </c>
      <c r="AB91" s="5">
        <f t="shared" si="25"/>
        <v>4</v>
      </c>
      <c r="AC91" s="5">
        <f t="shared" si="25"/>
        <v>10</v>
      </c>
      <c r="AD91" s="5">
        <f t="shared" si="25"/>
        <v>21</v>
      </c>
      <c r="AE91" s="5">
        <f t="shared" si="25"/>
        <v>16</v>
      </c>
      <c r="AF91" s="5">
        <f t="shared" si="25"/>
        <v>14</v>
      </c>
      <c r="AG91" s="5">
        <f t="shared" si="25"/>
        <v>12</v>
      </c>
      <c r="AH91" s="5">
        <f t="shared" si="25"/>
        <v>13</v>
      </c>
      <c r="AI91" s="5">
        <f t="shared" si="25"/>
        <v>15</v>
      </c>
      <c r="AJ91" s="5">
        <f t="shared" si="25"/>
        <v>44</v>
      </c>
      <c r="AK91" s="5">
        <f t="shared" si="25"/>
        <v>13</v>
      </c>
      <c r="AL91" s="5">
        <f t="shared" si="25"/>
        <v>11</v>
      </c>
      <c r="AM91" s="5">
        <f t="shared" si="25"/>
        <v>21</v>
      </c>
      <c r="AN91" s="5">
        <f t="shared" si="25"/>
        <v>25</v>
      </c>
      <c r="AO91" s="5">
        <f t="shared" si="25"/>
        <v>57</v>
      </c>
      <c r="AP91" s="5">
        <f t="shared" si="25"/>
        <v>22</v>
      </c>
      <c r="AQ91" s="5">
        <f t="shared" si="25"/>
        <v>34</v>
      </c>
      <c r="AR91" s="5">
        <f t="shared" si="25"/>
        <v>25</v>
      </c>
      <c r="AS91" s="5">
        <f t="shared" si="25"/>
        <v>24</v>
      </c>
      <c r="AT91" s="5">
        <f t="shared" si="25"/>
        <v>12</v>
      </c>
      <c r="AU91" s="5">
        <f t="shared" si="25"/>
        <v>17</v>
      </c>
      <c r="AV91" s="5">
        <f t="shared" si="25"/>
        <v>16</v>
      </c>
      <c r="AW91" s="5">
        <f t="shared" si="25"/>
        <v>23</v>
      </c>
      <c r="AX91" s="5">
        <f t="shared" si="25"/>
        <v>8</v>
      </c>
      <c r="AY91" s="5">
        <f t="shared" si="25"/>
        <v>2</v>
      </c>
      <c r="AZ91" s="5">
        <f t="shared" si="25"/>
        <v>21</v>
      </c>
      <c r="BA91" s="5">
        <f t="shared" si="25"/>
        <v>973</v>
      </c>
    </row>
    <row r="92" spans="1:53" x14ac:dyDescent="0.3">
      <c r="A92" s="86"/>
      <c r="B92" s="87"/>
      <c r="C92" s="87"/>
      <c r="D92" s="87"/>
      <c r="E92" s="87"/>
    </row>
    <row r="93" spans="1:53" x14ac:dyDescent="0.3">
      <c r="A93" s="11" t="s">
        <v>48</v>
      </c>
      <c r="B93" s="17" t="s">
        <v>55</v>
      </c>
      <c r="C93" s="75" t="s">
        <v>56</v>
      </c>
      <c r="D93" s="76"/>
      <c r="E93" s="6">
        <v>0</v>
      </c>
      <c r="F93" s="6">
        <v>0</v>
      </c>
      <c r="G93" s="6">
        <v>0</v>
      </c>
      <c r="H93" s="6">
        <v>2</v>
      </c>
      <c r="I93" s="6">
        <v>1</v>
      </c>
      <c r="J93" s="6">
        <v>6</v>
      </c>
      <c r="K93" s="6">
        <v>6</v>
      </c>
      <c r="L93" s="6">
        <v>1</v>
      </c>
      <c r="M93" s="6">
        <v>1</v>
      </c>
      <c r="N93" s="6">
        <v>4</v>
      </c>
      <c r="O93" s="6">
        <v>0</v>
      </c>
      <c r="P93" s="6">
        <v>0</v>
      </c>
      <c r="Q93" s="6">
        <v>0</v>
      </c>
      <c r="R93" s="6">
        <v>3</v>
      </c>
      <c r="S93" s="6">
        <v>0</v>
      </c>
      <c r="T93" s="6">
        <v>1</v>
      </c>
      <c r="U93" s="6">
        <v>2</v>
      </c>
      <c r="V93" s="6">
        <v>2</v>
      </c>
      <c r="W93" s="6">
        <v>2</v>
      </c>
      <c r="X93" s="6">
        <v>2</v>
      </c>
      <c r="Y93" s="6">
        <v>1</v>
      </c>
      <c r="Z93" s="6">
        <v>1</v>
      </c>
      <c r="AA93" s="6">
        <v>0</v>
      </c>
      <c r="AB93" s="6">
        <v>1</v>
      </c>
      <c r="AC93" s="6">
        <v>1</v>
      </c>
      <c r="AD93" s="6">
        <v>2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1</v>
      </c>
      <c r="AL93" s="6">
        <v>0</v>
      </c>
      <c r="AM93" s="6">
        <v>1</v>
      </c>
      <c r="AN93" s="6">
        <v>0</v>
      </c>
      <c r="AO93" s="6">
        <v>1</v>
      </c>
      <c r="AP93" s="6">
        <v>1</v>
      </c>
      <c r="AQ93" s="6">
        <v>1</v>
      </c>
      <c r="AR93" s="6">
        <v>0</v>
      </c>
      <c r="AS93" s="6">
        <v>2</v>
      </c>
      <c r="AT93" s="6">
        <v>2</v>
      </c>
      <c r="AU93" s="6">
        <v>0</v>
      </c>
      <c r="AV93" s="6">
        <v>1</v>
      </c>
      <c r="AW93" s="6">
        <v>0</v>
      </c>
      <c r="AX93" s="6">
        <v>0</v>
      </c>
      <c r="AY93" s="6">
        <v>0</v>
      </c>
      <c r="AZ93" s="6">
        <v>0</v>
      </c>
      <c r="BA93" s="5">
        <f>SUM(E93:AZ93)</f>
        <v>51</v>
      </c>
    </row>
    <row r="94" spans="1:53" x14ac:dyDescent="0.3">
      <c r="A94" s="11" t="s">
        <v>50</v>
      </c>
      <c r="B94" s="54"/>
      <c r="C94" s="24" t="s">
        <v>158</v>
      </c>
      <c r="D94" s="51"/>
      <c r="E94" s="6">
        <v>3</v>
      </c>
      <c r="F94" s="6">
        <v>6</v>
      </c>
      <c r="G94" s="6">
        <v>3</v>
      </c>
      <c r="H94" s="6">
        <v>1</v>
      </c>
      <c r="I94" s="6">
        <v>6</v>
      </c>
      <c r="J94" s="6">
        <v>81</v>
      </c>
      <c r="K94" s="6">
        <v>10</v>
      </c>
      <c r="L94" s="6">
        <v>4</v>
      </c>
      <c r="M94" s="6">
        <v>0</v>
      </c>
      <c r="N94" s="6">
        <v>0</v>
      </c>
      <c r="O94" s="6">
        <v>1</v>
      </c>
      <c r="P94" s="6">
        <v>2</v>
      </c>
      <c r="Q94" s="6">
        <v>1</v>
      </c>
      <c r="R94" s="6">
        <v>3</v>
      </c>
      <c r="S94" s="6">
        <v>5</v>
      </c>
      <c r="T94" s="6">
        <v>3</v>
      </c>
      <c r="U94" s="6">
        <v>27</v>
      </c>
      <c r="V94" s="6">
        <v>12</v>
      </c>
      <c r="W94" s="6">
        <v>1</v>
      </c>
      <c r="X94" s="6">
        <v>0</v>
      </c>
      <c r="Y94" s="6">
        <v>3</v>
      </c>
      <c r="Z94" s="6">
        <v>6</v>
      </c>
      <c r="AA94" s="6">
        <v>2</v>
      </c>
      <c r="AB94" s="6">
        <v>1</v>
      </c>
      <c r="AC94" s="6">
        <v>2</v>
      </c>
      <c r="AD94" s="6">
        <v>5</v>
      </c>
      <c r="AE94" s="6">
        <v>4</v>
      </c>
      <c r="AF94" s="6">
        <v>0</v>
      </c>
      <c r="AG94" s="6">
        <v>1</v>
      </c>
      <c r="AH94" s="6">
        <v>1</v>
      </c>
      <c r="AI94" s="6">
        <v>0</v>
      </c>
      <c r="AJ94" s="6">
        <v>3</v>
      </c>
      <c r="AK94" s="6">
        <v>3</v>
      </c>
      <c r="AL94" s="6">
        <v>3</v>
      </c>
      <c r="AM94" s="6">
        <v>9</v>
      </c>
      <c r="AN94" s="6">
        <v>4</v>
      </c>
      <c r="AO94" s="6">
        <v>2</v>
      </c>
      <c r="AP94" s="6">
        <v>3</v>
      </c>
      <c r="AQ94" s="6">
        <v>0</v>
      </c>
      <c r="AR94" s="6">
        <v>2</v>
      </c>
      <c r="AS94" s="6">
        <v>8</v>
      </c>
      <c r="AT94" s="6">
        <v>1</v>
      </c>
      <c r="AU94" s="6">
        <v>1</v>
      </c>
      <c r="AV94" s="6">
        <v>1</v>
      </c>
      <c r="AW94" s="6">
        <v>0</v>
      </c>
      <c r="AX94" s="6">
        <v>0</v>
      </c>
      <c r="AY94" s="6">
        <v>2</v>
      </c>
      <c r="AZ94" s="6">
        <v>1</v>
      </c>
      <c r="BA94" s="5">
        <f t="shared" ref="BA94:BA102" si="26">SUM(E94:AZ94)</f>
        <v>237</v>
      </c>
    </row>
    <row r="95" spans="1:53" x14ac:dyDescent="0.3">
      <c r="A95" s="7"/>
      <c r="B95" s="54"/>
      <c r="C95" s="24" t="s">
        <v>159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1</v>
      </c>
      <c r="AD95" s="6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1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2</v>
      </c>
      <c r="AS95" s="6">
        <v>0</v>
      </c>
      <c r="AT95" s="6">
        <v>0</v>
      </c>
      <c r="AU95" s="6">
        <v>0</v>
      </c>
      <c r="AV95" s="6">
        <v>0</v>
      </c>
      <c r="AW95" s="6">
        <v>1</v>
      </c>
      <c r="AX95" s="6">
        <v>0</v>
      </c>
      <c r="AY95" s="6">
        <v>0</v>
      </c>
      <c r="AZ95" s="6">
        <v>2</v>
      </c>
      <c r="BA95" s="5">
        <f t="shared" si="26"/>
        <v>10</v>
      </c>
    </row>
    <row r="96" spans="1:53" ht="13.15" customHeight="1" x14ac:dyDescent="0.3">
      <c r="A96" s="7"/>
      <c r="B96" s="54"/>
      <c r="C96" s="24" t="s">
        <v>160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1</v>
      </c>
      <c r="V96" s="6">
        <v>0</v>
      </c>
      <c r="W96" s="6">
        <v>1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5">
        <f t="shared" si="26"/>
        <v>4</v>
      </c>
    </row>
    <row r="97" spans="1:53" x14ac:dyDescent="0.3">
      <c r="A97" s="7"/>
      <c r="B97" s="54"/>
      <c r="C97" s="24" t="s">
        <v>161</v>
      </c>
      <c r="D97" s="51"/>
      <c r="E97" s="6">
        <v>1</v>
      </c>
      <c r="F97" s="6">
        <v>0</v>
      </c>
      <c r="G97" s="6">
        <v>0</v>
      </c>
      <c r="H97" s="6">
        <v>1</v>
      </c>
      <c r="I97" s="6">
        <v>1</v>
      </c>
      <c r="J97" s="6">
        <v>0</v>
      </c>
      <c r="K97" s="6">
        <v>0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2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1</v>
      </c>
      <c r="AE97" s="6">
        <v>0</v>
      </c>
      <c r="AF97" s="6">
        <v>1</v>
      </c>
      <c r="AG97" s="6">
        <v>0</v>
      </c>
      <c r="AH97" s="6">
        <v>1</v>
      </c>
      <c r="AI97" s="6">
        <v>0</v>
      </c>
      <c r="AJ97" s="6">
        <v>1</v>
      </c>
      <c r="AK97" s="6">
        <v>0</v>
      </c>
      <c r="AL97" s="6">
        <v>0</v>
      </c>
      <c r="AM97" s="6">
        <v>0</v>
      </c>
      <c r="AN97" s="6">
        <v>0</v>
      </c>
      <c r="AO97" s="6">
        <v>1</v>
      </c>
      <c r="AP97" s="6">
        <v>0</v>
      </c>
      <c r="AQ97" s="6">
        <v>0</v>
      </c>
      <c r="AR97" s="6">
        <v>0</v>
      </c>
      <c r="AS97" s="6">
        <v>1</v>
      </c>
      <c r="AT97" s="6">
        <v>0</v>
      </c>
      <c r="AU97" s="6">
        <v>0</v>
      </c>
      <c r="AV97" s="6">
        <v>0</v>
      </c>
      <c r="AW97" s="6">
        <v>0</v>
      </c>
      <c r="AX97" s="6">
        <v>1</v>
      </c>
      <c r="AY97" s="6">
        <v>0</v>
      </c>
      <c r="AZ97" s="6">
        <v>0</v>
      </c>
      <c r="BA97" s="5">
        <f t="shared" si="26"/>
        <v>14</v>
      </c>
    </row>
    <row r="98" spans="1:53" x14ac:dyDescent="0.3">
      <c r="A98" s="7"/>
      <c r="B98" s="54"/>
      <c r="C98" s="24" t="s">
        <v>162</v>
      </c>
      <c r="D98" s="51"/>
      <c r="E98" s="6">
        <v>0</v>
      </c>
      <c r="F98" s="6">
        <v>0</v>
      </c>
      <c r="G98" s="6">
        <v>1</v>
      </c>
      <c r="H98" s="6">
        <v>0</v>
      </c>
      <c r="I98" s="6">
        <v>0</v>
      </c>
      <c r="J98" s="6">
        <v>1</v>
      </c>
      <c r="K98" s="6">
        <v>0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2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1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1</v>
      </c>
      <c r="AQ98" s="6">
        <v>0</v>
      </c>
      <c r="AR98" s="6">
        <v>1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5">
        <f t="shared" si="26"/>
        <v>8</v>
      </c>
    </row>
    <row r="99" spans="1:53" x14ac:dyDescent="0.3">
      <c r="A99" s="7"/>
      <c r="B99" s="54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1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5">
        <f t="shared" si="26"/>
        <v>1</v>
      </c>
    </row>
    <row r="100" spans="1:53" x14ac:dyDescent="0.3">
      <c r="A100" s="7"/>
      <c r="B100" s="54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5">
        <f t="shared" si="26"/>
        <v>0</v>
      </c>
    </row>
    <row r="101" spans="1:53" x14ac:dyDescent="0.3">
      <c r="A101" s="7"/>
      <c r="B101" s="54"/>
      <c r="C101" s="24" t="s">
        <v>165</v>
      </c>
      <c r="D101" s="51"/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5">
        <f t="shared" si="26"/>
        <v>1</v>
      </c>
    </row>
    <row r="102" spans="1:53" x14ac:dyDescent="0.3">
      <c r="A102" s="7"/>
      <c r="B102" s="54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5">
        <f t="shared" si="26"/>
        <v>0</v>
      </c>
    </row>
    <row r="103" spans="1:53" x14ac:dyDescent="0.3">
      <c r="A103" s="6" t="s">
        <v>26</v>
      </c>
      <c r="B103" s="69" t="s">
        <v>51</v>
      </c>
      <c r="C103" s="85"/>
      <c r="D103" s="76"/>
      <c r="E103" s="5">
        <f>SUM(E93:E102)</f>
        <v>5</v>
      </c>
      <c r="F103" s="5">
        <f t="shared" ref="F103:BA103" si="27">SUM(F93:F102)</f>
        <v>6</v>
      </c>
      <c r="G103" s="5">
        <f t="shared" si="27"/>
        <v>4</v>
      </c>
      <c r="H103" s="5">
        <f t="shared" si="27"/>
        <v>4</v>
      </c>
      <c r="I103" s="5">
        <f t="shared" si="27"/>
        <v>8</v>
      </c>
      <c r="J103" s="5">
        <f t="shared" si="27"/>
        <v>88</v>
      </c>
      <c r="K103" s="5">
        <f t="shared" si="27"/>
        <v>16</v>
      </c>
      <c r="L103" s="5">
        <f t="shared" si="27"/>
        <v>6</v>
      </c>
      <c r="M103" s="5">
        <f t="shared" si="27"/>
        <v>2</v>
      </c>
      <c r="N103" s="5">
        <f t="shared" si="27"/>
        <v>4</v>
      </c>
      <c r="O103" s="5">
        <f t="shared" si="27"/>
        <v>1</v>
      </c>
      <c r="P103" s="5">
        <f t="shared" si="27"/>
        <v>2</v>
      </c>
      <c r="Q103" s="5">
        <f t="shared" si="27"/>
        <v>1</v>
      </c>
      <c r="R103" s="5">
        <f t="shared" si="27"/>
        <v>9</v>
      </c>
      <c r="S103" s="5">
        <f t="shared" si="27"/>
        <v>6</v>
      </c>
      <c r="T103" s="5">
        <f t="shared" si="27"/>
        <v>7</v>
      </c>
      <c r="U103" s="5">
        <f t="shared" si="27"/>
        <v>30</v>
      </c>
      <c r="V103" s="5">
        <f t="shared" si="27"/>
        <v>14</v>
      </c>
      <c r="W103" s="5">
        <f t="shared" si="27"/>
        <v>5</v>
      </c>
      <c r="X103" s="5">
        <f t="shared" si="27"/>
        <v>2</v>
      </c>
      <c r="Y103" s="5">
        <f t="shared" si="27"/>
        <v>4</v>
      </c>
      <c r="Z103" s="5">
        <f t="shared" si="27"/>
        <v>7</v>
      </c>
      <c r="AA103" s="5">
        <f t="shared" si="27"/>
        <v>2</v>
      </c>
      <c r="AB103" s="5">
        <f t="shared" si="27"/>
        <v>2</v>
      </c>
      <c r="AC103" s="5">
        <f t="shared" si="27"/>
        <v>5</v>
      </c>
      <c r="AD103" s="5">
        <f t="shared" si="27"/>
        <v>8</v>
      </c>
      <c r="AE103" s="5">
        <f t="shared" si="27"/>
        <v>5</v>
      </c>
      <c r="AF103" s="5">
        <f t="shared" si="27"/>
        <v>3</v>
      </c>
      <c r="AG103" s="5">
        <f t="shared" si="27"/>
        <v>1</v>
      </c>
      <c r="AH103" s="5">
        <f t="shared" si="27"/>
        <v>4</v>
      </c>
      <c r="AI103" s="5">
        <f t="shared" si="27"/>
        <v>0</v>
      </c>
      <c r="AJ103" s="5">
        <f t="shared" si="27"/>
        <v>4</v>
      </c>
      <c r="AK103" s="5">
        <f t="shared" si="27"/>
        <v>4</v>
      </c>
      <c r="AL103" s="5">
        <f t="shared" si="27"/>
        <v>4</v>
      </c>
      <c r="AM103" s="5">
        <f t="shared" si="27"/>
        <v>10</v>
      </c>
      <c r="AN103" s="5">
        <f t="shared" si="27"/>
        <v>4</v>
      </c>
      <c r="AO103" s="5">
        <f t="shared" si="27"/>
        <v>4</v>
      </c>
      <c r="AP103" s="5">
        <f t="shared" si="27"/>
        <v>5</v>
      </c>
      <c r="AQ103" s="5">
        <f t="shared" si="27"/>
        <v>1</v>
      </c>
      <c r="AR103" s="5">
        <f t="shared" si="27"/>
        <v>5</v>
      </c>
      <c r="AS103" s="5">
        <f t="shared" si="27"/>
        <v>11</v>
      </c>
      <c r="AT103" s="5">
        <f t="shared" si="27"/>
        <v>3</v>
      </c>
      <c r="AU103" s="5">
        <f t="shared" si="27"/>
        <v>1</v>
      </c>
      <c r="AV103" s="5">
        <f t="shared" si="27"/>
        <v>2</v>
      </c>
      <c r="AW103" s="5">
        <f t="shared" si="27"/>
        <v>1</v>
      </c>
      <c r="AX103" s="5">
        <f t="shared" si="27"/>
        <v>1</v>
      </c>
      <c r="AY103" s="5">
        <f t="shared" si="27"/>
        <v>2</v>
      </c>
      <c r="AZ103" s="5">
        <f t="shared" si="27"/>
        <v>3</v>
      </c>
      <c r="BA103" s="5">
        <f t="shared" si="27"/>
        <v>326</v>
      </c>
    </row>
    <row r="104" spans="1:53" x14ac:dyDescent="0.3">
      <c r="A104" s="86"/>
      <c r="B104" s="87"/>
      <c r="C104" s="87"/>
      <c r="D104" s="87"/>
      <c r="E104" s="8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</row>
    <row r="105" spans="1:53" x14ac:dyDescent="0.3">
      <c r="A105" s="11" t="s">
        <v>48</v>
      </c>
      <c r="B105" s="17" t="s">
        <v>57</v>
      </c>
      <c r="C105" s="75" t="s">
        <v>58</v>
      </c>
      <c r="D105" s="76"/>
      <c r="E105" s="6">
        <v>1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2</v>
      </c>
      <c r="S105" s="6">
        <v>0</v>
      </c>
      <c r="T105" s="6">
        <v>1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1</v>
      </c>
      <c r="AA105" s="6">
        <v>1</v>
      </c>
      <c r="AB105" s="6">
        <v>1</v>
      </c>
      <c r="AC105" s="6">
        <v>0</v>
      </c>
      <c r="AD105" s="6">
        <v>0</v>
      </c>
      <c r="AE105" s="6">
        <v>2</v>
      </c>
      <c r="AF105" s="6">
        <v>2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3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1</v>
      </c>
      <c r="AS105" s="6">
        <v>1</v>
      </c>
      <c r="AT105" s="6">
        <v>3</v>
      </c>
      <c r="AU105" s="6">
        <v>4</v>
      </c>
      <c r="AV105" s="6">
        <v>1</v>
      </c>
      <c r="AW105" s="6">
        <v>1</v>
      </c>
      <c r="AX105" s="6">
        <v>1</v>
      </c>
      <c r="AY105" s="6">
        <v>6</v>
      </c>
      <c r="AZ105" s="6">
        <v>2</v>
      </c>
      <c r="BA105" s="5">
        <f>SUM(E105:AZ105)</f>
        <v>37</v>
      </c>
    </row>
    <row r="106" spans="1:53" x14ac:dyDescent="0.3">
      <c r="A106" s="11" t="s">
        <v>50</v>
      </c>
      <c r="B106" s="54"/>
      <c r="C106" s="24" t="s">
        <v>167</v>
      </c>
      <c r="D106" s="51"/>
      <c r="E106" s="6">
        <v>1</v>
      </c>
      <c r="F106" s="6">
        <v>0</v>
      </c>
      <c r="G106" s="6">
        <v>0</v>
      </c>
      <c r="H106" s="6">
        <v>1</v>
      </c>
      <c r="I106" s="6">
        <v>1</v>
      </c>
      <c r="J106" s="6">
        <v>0</v>
      </c>
      <c r="K106" s="6">
        <v>1</v>
      </c>
      <c r="L106" s="6">
        <v>1</v>
      </c>
      <c r="M106" s="6">
        <v>0</v>
      </c>
      <c r="N106" s="6">
        <v>1</v>
      </c>
      <c r="O106" s="6">
        <v>0</v>
      </c>
      <c r="P106" s="6">
        <v>1</v>
      </c>
      <c r="Q106" s="6">
        <v>0</v>
      </c>
      <c r="R106" s="6">
        <v>0</v>
      </c>
      <c r="S106" s="6">
        <v>0</v>
      </c>
      <c r="T106" s="6">
        <v>0</v>
      </c>
      <c r="U106" s="6">
        <v>1</v>
      </c>
      <c r="V106" s="6">
        <v>0</v>
      </c>
      <c r="W106" s="6">
        <v>2</v>
      </c>
      <c r="X106" s="6">
        <v>0</v>
      </c>
      <c r="Y106" s="6">
        <v>2</v>
      </c>
      <c r="Z106" s="6">
        <v>1</v>
      </c>
      <c r="AA106" s="6">
        <v>0</v>
      </c>
      <c r="AB106" s="6">
        <v>0</v>
      </c>
      <c r="AC106" s="6">
        <v>0</v>
      </c>
      <c r="AD106" s="6">
        <v>0</v>
      </c>
      <c r="AE106" s="6">
        <v>1</v>
      </c>
      <c r="AF106" s="6">
        <v>1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1</v>
      </c>
      <c r="AM106" s="6">
        <v>1</v>
      </c>
      <c r="AN106" s="6">
        <v>1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1</v>
      </c>
      <c r="AU106" s="6">
        <v>0</v>
      </c>
      <c r="AV106" s="6">
        <v>0</v>
      </c>
      <c r="AW106" s="6">
        <v>1</v>
      </c>
      <c r="AX106" s="6">
        <v>1</v>
      </c>
      <c r="AY106" s="6">
        <v>1</v>
      </c>
      <c r="AZ106" s="6">
        <v>0</v>
      </c>
      <c r="BA106" s="5">
        <f t="shared" ref="BA106:BA107" si="28">SUM(E106:AZ106)</f>
        <v>23</v>
      </c>
    </row>
    <row r="107" spans="1:53" ht="13.15" customHeight="1" x14ac:dyDescent="0.3">
      <c r="A107" s="7"/>
      <c r="B107" s="54"/>
      <c r="C107" s="24" t="s">
        <v>168</v>
      </c>
      <c r="D107" s="51"/>
      <c r="E107" s="6">
        <v>0</v>
      </c>
      <c r="F107" s="6">
        <v>0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2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2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1</v>
      </c>
      <c r="AY107" s="6">
        <v>0</v>
      </c>
      <c r="AZ107" s="6">
        <v>0</v>
      </c>
      <c r="BA107" s="5">
        <f t="shared" si="28"/>
        <v>6</v>
      </c>
    </row>
    <row r="108" spans="1:53" x14ac:dyDescent="0.3">
      <c r="A108" s="7"/>
      <c r="B108" s="46"/>
      <c r="C108" s="47"/>
      <c r="D108" s="49"/>
      <c r="E108" s="6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50"/>
    </row>
    <row r="109" spans="1:53" x14ac:dyDescent="0.3">
      <c r="A109" s="7"/>
      <c r="B109" s="46"/>
      <c r="C109" s="47"/>
      <c r="D109" s="49"/>
      <c r="E109" s="6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50"/>
    </row>
    <row r="110" spans="1:53" x14ac:dyDescent="0.3">
      <c r="A110" s="7"/>
      <c r="B110" s="46"/>
      <c r="C110" s="47"/>
      <c r="D110" s="49"/>
      <c r="E110" s="6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50"/>
    </row>
    <row r="111" spans="1:53" x14ac:dyDescent="0.3">
      <c r="A111" s="7"/>
      <c r="B111" s="46"/>
      <c r="C111" s="47"/>
      <c r="D111" s="49"/>
      <c r="E111" s="6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50"/>
    </row>
    <row r="112" spans="1:53" x14ac:dyDescent="0.3">
      <c r="A112" s="7"/>
      <c r="B112" s="46"/>
      <c r="C112" s="47"/>
      <c r="D112" s="49"/>
      <c r="E112" s="6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50"/>
    </row>
    <row r="113" spans="1:55" x14ac:dyDescent="0.3">
      <c r="A113" s="7"/>
      <c r="B113" s="46"/>
      <c r="C113" s="47"/>
      <c r="D113" s="49"/>
      <c r="E113" s="6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50"/>
    </row>
    <row r="114" spans="1:55" x14ac:dyDescent="0.3">
      <c r="A114" s="7"/>
      <c r="B114" s="46"/>
      <c r="C114" s="47"/>
      <c r="D114" s="49"/>
      <c r="E114" s="6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50"/>
    </row>
    <row r="115" spans="1:55" ht="13.15" customHeight="1" x14ac:dyDescent="0.3">
      <c r="A115" s="6" t="s">
        <v>26</v>
      </c>
      <c r="B115" s="69" t="s">
        <v>51</v>
      </c>
      <c r="C115" s="70"/>
      <c r="D115" s="71"/>
      <c r="E115" s="5">
        <f>SUM(E105:E114)</f>
        <v>2</v>
      </c>
      <c r="F115" s="5">
        <f t="shared" ref="F115:BA115" si="29">SUM(F105:F114)</f>
        <v>0</v>
      </c>
      <c r="G115" s="5">
        <f t="shared" si="29"/>
        <v>1</v>
      </c>
      <c r="H115" s="5">
        <f t="shared" si="29"/>
        <v>2</v>
      </c>
      <c r="I115" s="5">
        <f t="shared" si="29"/>
        <v>1</v>
      </c>
      <c r="J115" s="5">
        <f t="shared" si="29"/>
        <v>0</v>
      </c>
      <c r="K115" s="5">
        <f t="shared" si="29"/>
        <v>1</v>
      </c>
      <c r="L115" s="5">
        <f t="shared" si="29"/>
        <v>1</v>
      </c>
      <c r="M115" s="5">
        <f t="shared" si="29"/>
        <v>0</v>
      </c>
      <c r="N115" s="5">
        <f t="shared" si="29"/>
        <v>2</v>
      </c>
      <c r="O115" s="5">
        <f t="shared" si="29"/>
        <v>0</v>
      </c>
      <c r="P115" s="5">
        <f t="shared" si="29"/>
        <v>1</v>
      </c>
      <c r="Q115" s="5">
        <f t="shared" si="29"/>
        <v>0</v>
      </c>
      <c r="R115" s="5">
        <f t="shared" si="29"/>
        <v>2</v>
      </c>
      <c r="S115" s="5">
        <f t="shared" si="29"/>
        <v>0</v>
      </c>
      <c r="T115" s="5">
        <f t="shared" si="29"/>
        <v>1</v>
      </c>
      <c r="U115" s="5">
        <f t="shared" si="29"/>
        <v>1</v>
      </c>
      <c r="V115" s="5">
        <f t="shared" si="29"/>
        <v>0</v>
      </c>
      <c r="W115" s="5">
        <f t="shared" si="29"/>
        <v>2</v>
      </c>
      <c r="X115" s="5">
        <f t="shared" si="29"/>
        <v>0</v>
      </c>
      <c r="Y115" s="5">
        <f t="shared" si="29"/>
        <v>2</v>
      </c>
      <c r="Z115" s="5">
        <f t="shared" si="29"/>
        <v>2</v>
      </c>
      <c r="AA115" s="5">
        <f t="shared" si="29"/>
        <v>1</v>
      </c>
      <c r="AB115" s="5">
        <f t="shared" si="29"/>
        <v>1</v>
      </c>
      <c r="AC115" s="5">
        <f t="shared" si="29"/>
        <v>0</v>
      </c>
      <c r="AD115" s="5">
        <f t="shared" si="29"/>
        <v>0</v>
      </c>
      <c r="AE115" s="5">
        <f t="shared" si="29"/>
        <v>3</v>
      </c>
      <c r="AF115" s="5">
        <f t="shared" si="29"/>
        <v>3</v>
      </c>
      <c r="AG115" s="5">
        <f t="shared" si="29"/>
        <v>2</v>
      </c>
      <c r="AH115" s="5">
        <f t="shared" si="29"/>
        <v>2</v>
      </c>
      <c r="AI115" s="5">
        <f t="shared" si="29"/>
        <v>0</v>
      </c>
      <c r="AJ115" s="5">
        <f t="shared" si="29"/>
        <v>0</v>
      </c>
      <c r="AK115" s="5">
        <f t="shared" si="29"/>
        <v>0</v>
      </c>
      <c r="AL115" s="5">
        <f t="shared" si="29"/>
        <v>4</v>
      </c>
      <c r="AM115" s="5">
        <f t="shared" si="29"/>
        <v>1</v>
      </c>
      <c r="AN115" s="5">
        <f t="shared" si="29"/>
        <v>1</v>
      </c>
      <c r="AO115" s="5">
        <f t="shared" si="29"/>
        <v>0</v>
      </c>
      <c r="AP115" s="5">
        <f t="shared" si="29"/>
        <v>2</v>
      </c>
      <c r="AQ115" s="5">
        <f t="shared" si="29"/>
        <v>0</v>
      </c>
      <c r="AR115" s="5">
        <f t="shared" si="29"/>
        <v>1</v>
      </c>
      <c r="AS115" s="5">
        <f t="shared" si="29"/>
        <v>1</v>
      </c>
      <c r="AT115" s="5">
        <f t="shared" si="29"/>
        <v>4</v>
      </c>
      <c r="AU115" s="5">
        <f t="shared" si="29"/>
        <v>4</v>
      </c>
      <c r="AV115" s="5">
        <f t="shared" si="29"/>
        <v>1</v>
      </c>
      <c r="AW115" s="5">
        <f t="shared" si="29"/>
        <v>2</v>
      </c>
      <c r="AX115" s="5">
        <f t="shared" si="29"/>
        <v>3</v>
      </c>
      <c r="AY115" s="5">
        <f t="shared" si="29"/>
        <v>7</v>
      </c>
      <c r="AZ115" s="5">
        <f t="shared" si="29"/>
        <v>2</v>
      </c>
      <c r="BA115" s="5">
        <f t="shared" si="29"/>
        <v>66</v>
      </c>
    </row>
    <row r="116" spans="1:55" x14ac:dyDescent="0.3">
      <c r="A116" s="77"/>
      <c r="B116" s="78"/>
      <c r="C116" s="78"/>
      <c r="D116" s="78"/>
      <c r="E116" s="7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AH116" s="18"/>
      <c r="AI116" s="18"/>
      <c r="AJ116" s="18"/>
      <c r="AK116" s="18"/>
      <c r="AL116" s="18"/>
      <c r="AM116" s="18"/>
      <c r="AN116" s="18"/>
      <c r="AO116" s="18"/>
      <c r="BA116" s="5"/>
    </row>
    <row r="117" spans="1:55" x14ac:dyDescent="0.3">
      <c r="A117" s="11" t="s">
        <v>48</v>
      </c>
      <c r="B117" s="17" t="s">
        <v>59</v>
      </c>
      <c r="C117" s="75" t="s">
        <v>60</v>
      </c>
      <c r="D117" s="76"/>
      <c r="E117" s="6">
        <v>0</v>
      </c>
      <c r="F117" s="6">
        <v>0</v>
      </c>
      <c r="G117" s="6">
        <v>0</v>
      </c>
      <c r="H117" s="6">
        <v>0</v>
      </c>
      <c r="I117" s="6">
        <v>1</v>
      </c>
      <c r="J117" s="6">
        <v>0</v>
      </c>
      <c r="K117" s="6">
        <v>0</v>
      </c>
      <c r="L117" s="6">
        <v>0</v>
      </c>
      <c r="M117" s="6">
        <v>0</v>
      </c>
      <c r="N117" s="6">
        <v>1</v>
      </c>
      <c r="O117" s="6">
        <v>0</v>
      </c>
      <c r="P117" s="6">
        <v>1</v>
      </c>
      <c r="Q117" s="6">
        <v>0</v>
      </c>
      <c r="R117" s="6">
        <v>0</v>
      </c>
      <c r="S117" s="6">
        <v>0</v>
      </c>
      <c r="T117" s="6">
        <v>2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1</v>
      </c>
      <c r="AA117" s="6">
        <v>0</v>
      </c>
      <c r="AB117" s="6">
        <v>1</v>
      </c>
      <c r="AC117" s="6">
        <v>1</v>
      </c>
      <c r="AD117" s="6">
        <v>0</v>
      </c>
      <c r="AE117" s="6">
        <v>2</v>
      </c>
      <c r="AF117" s="6">
        <v>0</v>
      </c>
      <c r="AG117" s="6">
        <v>1</v>
      </c>
      <c r="AH117" s="6">
        <v>1</v>
      </c>
      <c r="AI117" s="6">
        <v>0</v>
      </c>
      <c r="AJ117" s="6">
        <v>1</v>
      </c>
      <c r="AK117" s="6">
        <v>0</v>
      </c>
      <c r="AL117" s="6">
        <v>0</v>
      </c>
      <c r="AM117" s="6">
        <v>0</v>
      </c>
      <c r="AN117" s="6">
        <v>0</v>
      </c>
      <c r="AO117" s="6">
        <v>2</v>
      </c>
      <c r="AP117" s="6">
        <v>0</v>
      </c>
      <c r="AQ117" s="6">
        <v>1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2</v>
      </c>
      <c r="AX117" s="6">
        <v>0</v>
      </c>
      <c r="AY117" s="6">
        <v>0</v>
      </c>
      <c r="AZ117" s="6">
        <v>0</v>
      </c>
      <c r="BA117" s="5">
        <f>SUM(E117:AZ117)</f>
        <v>18</v>
      </c>
      <c r="BB117" s="20"/>
      <c r="BC117" s="20"/>
    </row>
    <row r="118" spans="1:55" x14ac:dyDescent="0.3">
      <c r="A118" s="11" t="s">
        <v>50</v>
      </c>
      <c r="B118" s="54"/>
      <c r="C118" s="24" t="s">
        <v>169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1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1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5">
        <f>SUM(E118:AZ118)</f>
        <v>3</v>
      </c>
      <c r="BB118" s="20"/>
      <c r="BC118" s="20"/>
    </row>
    <row r="119" spans="1:55" x14ac:dyDescent="0.3">
      <c r="A119" s="7"/>
      <c r="B119" s="54"/>
      <c r="C119" s="24" t="s">
        <v>170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0</v>
      </c>
      <c r="S119" s="6">
        <v>0</v>
      </c>
      <c r="T119" s="6">
        <v>0</v>
      </c>
      <c r="U119" s="6">
        <v>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1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0</v>
      </c>
      <c r="AM119" s="6">
        <v>1</v>
      </c>
      <c r="AN119" s="6">
        <v>0</v>
      </c>
      <c r="AO119" s="6">
        <v>0</v>
      </c>
      <c r="AP119" s="6">
        <v>0</v>
      </c>
      <c r="AQ119" s="6">
        <v>1</v>
      </c>
      <c r="AR119" s="6">
        <v>1</v>
      </c>
      <c r="AS119" s="6">
        <v>1</v>
      </c>
      <c r="AT119" s="6">
        <v>0</v>
      </c>
      <c r="AU119" s="6">
        <v>0</v>
      </c>
      <c r="AV119" s="6">
        <v>0</v>
      </c>
      <c r="AW119" s="6">
        <v>0</v>
      </c>
      <c r="AX119" s="6">
        <v>3</v>
      </c>
      <c r="AY119" s="6">
        <v>1</v>
      </c>
      <c r="AZ119" s="6">
        <v>0</v>
      </c>
      <c r="BA119" s="5">
        <f>SUM(E119:AZ119)</f>
        <v>14</v>
      </c>
      <c r="BB119" s="20"/>
      <c r="BC119" s="20"/>
    </row>
    <row r="120" spans="1:55" x14ac:dyDescent="0.3">
      <c r="A120" s="7"/>
      <c r="B120" s="54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1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1</v>
      </c>
      <c r="AB120" s="6">
        <v>0</v>
      </c>
      <c r="AC120" s="6">
        <v>0</v>
      </c>
      <c r="AD120" s="6">
        <v>0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1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1</v>
      </c>
      <c r="AY120" s="6">
        <v>1</v>
      </c>
      <c r="AZ120" s="6">
        <v>0</v>
      </c>
      <c r="BA120" s="5">
        <f>SUM(E120:AZ120)</f>
        <v>6</v>
      </c>
      <c r="BB120" s="20"/>
      <c r="BC120" s="20"/>
    </row>
    <row r="121" spans="1:55" x14ac:dyDescent="0.3">
      <c r="A121" s="7"/>
      <c r="B121" s="54"/>
      <c r="C121" s="24" t="s">
        <v>172</v>
      </c>
      <c r="D121" s="51"/>
      <c r="E121" s="6">
        <v>0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1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1</v>
      </c>
      <c r="AU121" s="6">
        <v>0</v>
      </c>
      <c r="AV121" s="6">
        <v>0</v>
      </c>
      <c r="AW121" s="6">
        <v>0</v>
      </c>
      <c r="AX121" s="6">
        <v>1</v>
      </c>
      <c r="AY121" s="6">
        <v>0</v>
      </c>
      <c r="AZ121" s="6">
        <v>0</v>
      </c>
      <c r="BA121" s="5">
        <f t="shared" ref="BA121:BA122" si="30">SUM(E121:AZ121)</f>
        <v>5</v>
      </c>
      <c r="BB121" s="20"/>
      <c r="BC121" s="20"/>
    </row>
    <row r="122" spans="1:55" x14ac:dyDescent="0.3">
      <c r="A122" s="7"/>
      <c r="B122" s="54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1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5">
        <f t="shared" si="30"/>
        <v>3</v>
      </c>
      <c r="BB122" s="20"/>
      <c r="BC122" s="20"/>
    </row>
    <row r="123" spans="1:55" x14ac:dyDescent="0.3">
      <c r="A123" s="7"/>
      <c r="B123" s="46"/>
      <c r="C123" s="47"/>
      <c r="D123" s="49"/>
      <c r="E123" s="62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50"/>
      <c r="BB123" s="20"/>
      <c r="BC123" s="20"/>
    </row>
    <row r="124" spans="1:55" x14ac:dyDescent="0.3">
      <c r="A124" s="7"/>
      <c r="B124" s="46"/>
      <c r="C124" s="47"/>
      <c r="D124" s="49"/>
      <c r="E124" s="62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50"/>
      <c r="BB124" s="20"/>
      <c r="BC124" s="20"/>
    </row>
    <row r="125" spans="1:55" x14ac:dyDescent="0.3">
      <c r="A125" s="7"/>
      <c r="B125" s="46"/>
      <c r="C125" s="47"/>
      <c r="D125" s="49"/>
      <c r="E125" s="62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50"/>
      <c r="BB125" s="20"/>
      <c r="BC125" s="20"/>
    </row>
    <row r="126" spans="1:55" x14ac:dyDescent="0.3">
      <c r="A126" s="7"/>
      <c r="B126" s="46"/>
      <c r="C126" s="47"/>
      <c r="D126" s="49"/>
      <c r="E126" s="62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50"/>
      <c r="BB126" s="20"/>
      <c r="BC126" s="20"/>
    </row>
    <row r="127" spans="1:55" x14ac:dyDescent="0.3">
      <c r="A127" s="6" t="s">
        <v>26</v>
      </c>
      <c r="B127" s="69" t="s">
        <v>51</v>
      </c>
      <c r="C127" s="70"/>
      <c r="D127" s="71"/>
      <c r="E127" s="5">
        <f>SUM(E117:E126)</f>
        <v>0</v>
      </c>
      <c r="F127" s="5">
        <f t="shared" ref="F127:BA127" si="31">SUM(F117:F126)</f>
        <v>0</v>
      </c>
      <c r="G127" s="5">
        <f t="shared" si="31"/>
        <v>1</v>
      </c>
      <c r="H127" s="5">
        <f t="shared" si="31"/>
        <v>0</v>
      </c>
      <c r="I127" s="5">
        <f t="shared" si="31"/>
        <v>1</v>
      </c>
      <c r="J127" s="5">
        <f t="shared" si="31"/>
        <v>1</v>
      </c>
      <c r="K127" s="5">
        <f t="shared" si="31"/>
        <v>2</v>
      </c>
      <c r="L127" s="5">
        <f t="shared" si="31"/>
        <v>0</v>
      </c>
      <c r="M127" s="5">
        <f t="shared" si="31"/>
        <v>0</v>
      </c>
      <c r="N127" s="5">
        <f t="shared" si="31"/>
        <v>1</v>
      </c>
      <c r="O127" s="5">
        <f t="shared" si="31"/>
        <v>0</v>
      </c>
      <c r="P127" s="5">
        <f t="shared" si="31"/>
        <v>2</v>
      </c>
      <c r="Q127" s="5">
        <f t="shared" si="31"/>
        <v>1</v>
      </c>
      <c r="R127" s="5">
        <f t="shared" si="31"/>
        <v>0</v>
      </c>
      <c r="S127" s="5">
        <f t="shared" si="31"/>
        <v>0</v>
      </c>
      <c r="T127" s="5">
        <f t="shared" si="31"/>
        <v>3</v>
      </c>
      <c r="U127" s="5">
        <f t="shared" si="31"/>
        <v>2</v>
      </c>
      <c r="V127" s="5">
        <f t="shared" si="31"/>
        <v>0</v>
      </c>
      <c r="W127" s="5">
        <f t="shared" si="31"/>
        <v>0</v>
      </c>
      <c r="X127" s="5">
        <f t="shared" si="31"/>
        <v>0</v>
      </c>
      <c r="Y127" s="5">
        <f t="shared" si="31"/>
        <v>1</v>
      </c>
      <c r="Z127" s="5">
        <f t="shared" si="31"/>
        <v>1</v>
      </c>
      <c r="AA127" s="5">
        <f t="shared" si="31"/>
        <v>2</v>
      </c>
      <c r="AB127" s="5">
        <f t="shared" si="31"/>
        <v>1</v>
      </c>
      <c r="AC127" s="5">
        <f t="shared" si="31"/>
        <v>1</v>
      </c>
      <c r="AD127" s="5">
        <f t="shared" si="31"/>
        <v>0</v>
      </c>
      <c r="AE127" s="5">
        <f t="shared" si="31"/>
        <v>4</v>
      </c>
      <c r="AF127" s="5">
        <f t="shared" si="31"/>
        <v>0</v>
      </c>
      <c r="AG127" s="5">
        <f t="shared" si="31"/>
        <v>1</v>
      </c>
      <c r="AH127" s="5">
        <f t="shared" si="31"/>
        <v>3</v>
      </c>
      <c r="AI127" s="5">
        <f t="shared" si="31"/>
        <v>0</v>
      </c>
      <c r="AJ127" s="5">
        <f t="shared" si="31"/>
        <v>1</v>
      </c>
      <c r="AK127" s="5">
        <f t="shared" si="31"/>
        <v>0</v>
      </c>
      <c r="AL127" s="5">
        <f t="shared" si="31"/>
        <v>0</v>
      </c>
      <c r="AM127" s="5">
        <f t="shared" si="31"/>
        <v>1</v>
      </c>
      <c r="AN127" s="5">
        <f t="shared" si="31"/>
        <v>0</v>
      </c>
      <c r="AO127" s="5">
        <f t="shared" si="31"/>
        <v>3</v>
      </c>
      <c r="AP127" s="5">
        <f t="shared" si="31"/>
        <v>0</v>
      </c>
      <c r="AQ127" s="5">
        <f t="shared" si="31"/>
        <v>2</v>
      </c>
      <c r="AR127" s="5">
        <f t="shared" si="31"/>
        <v>2</v>
      </c>
      <c r="AS127" s="5">
        <f t="shared" si="31"/>
        <v>2</v>
      </c>
      <c r="AT127" s="5">
        <f t="shared" si="31"/>
        <v>1</v>
      </c>
      <c r="AU127" s="5">
        <f t="shared" si="31"/>
        <v>0</v>
      </c>
      <c r="AV127" s="5">
        <f t="shared" si="31"/>
        <v>0</v>
      </c>
      <c r="AW127" s="5">
        <f t="shared" si="31"/>
        <v>2</v>
      </c>
      <c r="AX127" s="5">
        <f t="shared" si="31"/>
        <v>5</v>
      </c>
      <c r="AY127" s="5">
        <f t="shared" si="31"/>
        <v>2</v>
      </c>
      <c r="AZ127" s="5">
        <f t="shared" si="31"/>
        <v>0</v>
      </c>
      <c r="BA127" s="5">
        <f t="shared" si="31"/>
        <v>49</v>
      </c>
      <c r="BB127" s="20"/>
      <c r="BC127" s="20"/>
    </row>
    <row r="128" spans="1:55" x14ac:dyDescent="0.3">
      <c r="A128" s="77"/>
      <c r="B128" s="78"/>
      <c r="C128" s="78"/>
      <c r="D128" s="78"/>
      <c r="E128" s="7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20"/>
      <c r="BC128" s="20"/>
    </row>
    <row r="129" spans="1:55" x14ac:dyDescent="0.3">
      <c r="A129" s="11" t="s">
        <v>48</v>
      </c>
      <c r="B129" s="17" t="s">
        <v>61</v>
      </c>
      <c r="C129" s="75" t="s">
        <v>62</v>
      </c>
      <c r="D129" s="76"/>
      <c r="E129" s="6">
        <v>1</v>
      </c>
      <c r="F129" s="6">
        <v>0</v>
      </c>
      <c r="G129" s="6">
        <v>0</v>
      </c>
      <c r="H129" s="6">
        <v>0</v>
      </c>
      <c r="I129" s="6">
        <v>1</v>
      </c>
      <c r="J129" s="6">
        <v>0</v>
      </c>
      <c r="K129" s="6">
        <v>4</v>
      </c>
      <c r="L129" s="6">
        <v>1</v>
      </c>
      <c r="M129" s="6">
        <v>0</v>
      </c>
      <c r="N129" s="6">
        <v>2</v>
      </c>
      <c r="O129" s="6">
        <v>1</v>
      </c>
      <c r="P129" s="6">
        <v>1</v>
      </c>
      <c r="Q129" s="6">
        <v>0</v>
      </c>
      <c r="R129" s="6">
        <v>0</v>
      </c>
      <c r="S129" s="6">
        <v>0</v>
      </c>
      <c r="T129" s="6">
        <v>3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1</v>
      </c>
      <c r="AA129" s="6">
        <v>0</v>
      </c>
      <c r="AB129" s="6">
        <v>0</v>
      </c>
      <c r="AC129" s="6">
        <v>1</v>
      </c>
      <c r="AD129" s="6">
        <v>0</v>
      </c>
      <c r="AE129" s="6">
        <v>0</v>
      </c>
      <c r="AF129" s="6">
        <v>1</v>
      </c>
      <c r="AG129" s="6">
        <v>2</v>
      </c>
      <c r="AH129" s="6">
        <v>0</v>
      </c>
      <c r="AI129" s="6">
        <v>0</v>
      </c>
      <c r="AJ129" s="6">
        <v>2</v>
      </c>
      <c r="AK129" s="6">
        <v>1</v>
      </c>
      <c r="AL129" s="6">
        <v>0</v>
      </c>
      <c r="AM129" s="6">
        <v>4</v>
      </c>
      <c r="AN129" s="6">
        <v>0</v>
      </c>
      <c r="AO129" s="6">
        <v>1</v>
      </c>
      <c r="AP129" s="6">
        <v>3</v>
      </c>
      <c r="AQ129" s="6">
        <v>0</v>
      </c>
      <c r="AR129" s="6">
        <v>0</v>
      </c>
      <c r="AS129" s="6">
        <v>0</v>
      </c>
      <c r="AT129" s="6">
        <v>1</v>
      </c>
      <c r="AU129" s="6">
        <v>0</v>
      </c>
      <c r="AV129" s="6">
        <v>1</v>
      </c>
      <c r="AW129" s="6">
        <v>0</v>
      </c>
      <c r="AX129" s="6">
        <v>1</v>
      </c>
      <c r="AY129" s="6">
        <v>0</v>
      </c>
      <c r="AZ129" s="6">
        <v>0</v>
      </c>
      <c r="BA129" s="5">
        <f t="shared" ref="BA129:BA138" si="32">SUM(E129:AZ129)</f>
        <v>33</v>
      </c>
      <c r="BB129" s="20"/>
      <c r="BC129" s="20"/>
    </row>
    <row r="130" spans="1:55" ht="13.15" customHeight="1" x14ac:dyDescent="0.3">
      <c r="A130" s="11" t="s">
        <v>50</v>
      </c>
      <c r="B130" s="54"/>
      <c r="C130" s="24" t="s">
        <v>174</v>
      </c>
      <c r="D130" s="55"/>
      <c r="E130" s="6">
        <v>1</v>
      </c>
      <c r="F130" s="6">
        <v>0</v>
      </c>
      <c r="G130" s="6">
        <v>1</v>
      </c>
      <c r="H130" s="6">
        <v>4</v>
      </c>
      <c r="I130" s="6">
        <v>0</v>
      </c>
      <c r="J130" s="6">
        <v>1</v>
      </c>
      <c r="K130" s="6">
        <v>1</v>
      </c>
      <c r="L130" s="6">
        <v>0</v>
      </c>
      <c r="M130" s="6">
        <v>4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3</v>
      </c>
      <c r="U130" s="6">
        <v>0</v>
      </c>
      <c r="V130" s="6">
        <v>1</v>
      </c>
      <c r="W130" s="6">
        <v>4</v>
      </c>
      <c r="X130" s="6">
        <v>0</v>
      </c>
      <c r="Y130" s="6">
        <v>0</v>
      </c>
      <c r="Z130" s="6">
        <v>0</v>
      </c>
      <c r="AA130" s="6">
        <v>2</v>
      </c>
      <c r="AB130" s="6">
        <v>4</v>
      </c>
      <c r="AC130" s="6">
        <v>0</v>
      </c>
      <c r="AD130" s="6">
        <v>0</v>
      </c>
      <c r="AE130" s="6">
        <v>0</v>
      </c>
      <c r="AF130" s="6">
        <v>1</v>
      </c>
      <c r="AG130" s="6">
        <v>4</v>
      </c>
      <c r="AH130" s="6">
        <v>0</v>
      </c>
      <c r="AI130" s="6">
        <v>1</v>
      </c>
      <c r="AJ130" s="6">
        <v>1</v>
      </c>
      <c r="AK130" s="6">
        <v>1</v>
      </c>
      <c r="AL130" s="6">
        <v>1</v>
      </c>
      <c r="AM130" s="6">
        <v>3</v>
      </c>
      <c r="AN130" s="6">
        <v>0</v>
      </c>
      <c r="AO130" s="6">
        <v>2</v>
      </c>
      <c r="AP130" s="6">
        <v>1</v>
      </c>
      <c r="AQ130" s="6">
        <v>0</v>
      </c>
      <c r="AR130" s="6">
        <v>0</v>
      </c>
      <c r="AS130" s="6">
        <v>0</v>
      </c>
      <c r="AT130" s="6">
        <v>1</v>
      </c>
      <c r="AU130" s="6">
        <v>0</v>
      </c>
      <c r="AV130" s="6">
        <v>1</v>
      </c>
      <c r="AW130" s="6">
        <v>0</v>
      </c>
      <c r="AX130" s="6">
        <v>4</v>
      </c>
      <c r="AY130" s="6">
        <v>0</v>
      </c>
      <c r="AZ130" s="6">
        <v>1</v>
      </c>
      <c r="BA130" s="5">
        <f t="shared" si="32"/>
        <v>50</v>
      </c>
      <c r="BB130" s="1"/>
      <c r="BC130" s="1"/>
    </row>
    <row r="131" spans="1:55" x14ac:dyDescent="0.3">
      <c r="A131" s="7"/>
      <c r="B131" s="54"/>
      <c r="C131" s="24" t="s">
        <v>175</v>
      </c>
      <c r="D131" s="5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1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1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1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5">
        <f t="shared" si="32"/>
        <v>6</v>
      </c>
      <c r="BB131" s="28"/>
      <c r="BC131" s="28"/>
    </row>
    <row r="132" spans="1:55" x14ac:dyDescent="0.3">
      <c r="A132" s="7"/>
      <c r="B132" s="54"/>
      <c r="C132" s="24" t="s">
        <v>176</v>
      </c>
      <c r="D132" s="5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1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1</v>
      </c>
      <c r="AX132" s="6">
        <v>0</v>
      </c>
      <c r="AY132" s="6">
        <v>0</v>
      </c>
      <c r="AZ132" s="6">
        <v>0</v>
      </c>
      <c r="BA132" s="5">
        <f t="shared" si="32"/>
        <v>4</v>
      </c>
      <c r="BB132" s="20"/>
      <c r="BC132" s="20"/>
    </row>
    <row r="133" spans="1:55" x14ac:dyDescent="0.3">
      <c r="A133" s="7"/>
      <c r="B133" s="54"/>
      <c r="C133" s="24" t="s">
        <v>177</v>
      </c>
      <c r="D133" s="5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2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1</v>
      </c>
      <c r="AY133" s="6">
        <v>0</v>
      </c>
      <c r="AZ133" s="6">
        <v>1</v>
      </c>
      <c r="BA133" s="5">
        <f t="shared" si="32"/>
        <v>5</v>
      </c>
      <c r="BB133" s="20"/>
      <c r="BC133" s="20"/>
    </row>
    <row r="134" spans="1:55" x14ac:dyDescent="0.3">
      <c r="A134" s="7"/>
      <c r="B134" s="54"/>
      <c r="C134" s="24" t="s">
        <v>178</v>
      </c>
      <c r="D134" s="55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1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2</v>
      </c>
      <c r="AT134" s="6">
        <v>1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5">
        <f t="shared" si="32"/>
        <v>7</v>
      </c>
      <c r="BB134" s="20"/>
      <c r="BC134" s="20"/>
    </row>
    <row r="135" spans="1:55" x14ac:dyDescent="0.3">
      <c r="A135" s="7"/>
      <c r="B135" s="54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1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1</v>
      </c>
      <c r="AH135" s="6">
        <v>1</v>
      </c>
      <c r="AI135" s="6">
        <v>0</v>
      </c>
      <c r="AJ135" s="6">
        <v>0</v>
      </c>
      <c r="AK135" s="6">
        <v>0</v>
      </c>
      <c r="AL135" s="6">
        <v>1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1</v>
      </c>
      <c r="BA135" s="5">
        <f t="shared" si="32"/>
        <v>5</v>
      </c>
      <c r="BB135" s="20"/>
      <c r="BC135" s="20"/>
    </row>
    <row r="136" spans="1:55" x14ac:dyDescent="0.3">
      <c r="A136" s="7"/>
      <c r="B136" s="54"/>
      <c r="C136" s="24" t="s">
        <v>180</v>
      </c>
      <c r="D136" s="55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2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3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5">
        <f t="shared" si="32"/>
        <v>6</v>
      </c>
      <c r="BB136" s="20"/>
      <c r="BC136" s="20"/>
    </row>
    <row r="137" spans="1:55" x14ac:dyDescent="0.3">
      <c r="A137" s="7"/>
      <c r="B137" s="54"/>
      <c r="C137" s="24" t="s">
        <v>181</v>
      </c>
      <c r="D137" s="55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1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1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5">
        <f t="shared" si="32"/>
        <v>2</v>
      </c>
      <c r="BB137" s="20"/>
      <c r="BC137" s="20"/>
    </row>
    <row r="138" spans="1:55" x14ac:dyDescent="0.3">
      <c r="A138" s="7"/>
      <c r="B138" s="54"/>
      <c r="C138" s="24" t="s">
        <v>182</v>
      </c>
      <c r="D138" s="55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/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5">
        <f t="shared" si="32"/>
        <v>0</v>
      </c>
      <c r="BB138" s="20"/>
      <c r="BC138" s="20"/>
    </row>
    <row r="139" spans="1:55" x14ac:dyDescent="0.3">
      <c r="A139" s="6" t="s">
        <v>26</v>
      </c>
      <c r="B139" s="69" t="s">
        <v>51</v>
      </c>
      <c r="C139" s="70"/>
      <c r="D139" s="71"/>
      <c r="E139" s="5">
        <f>SUM(E129:E138)</f>
        <v>2</v>
      </c>
      <c r="F139" s="5">
        <f t="shared" ref="F139:BA139" si="33">SUM(F129:F138)</f>
        <v>0</v>
      </c>
      <c r="G139" s="5">
        <f t="shared" si="33"/>
        <v>1</v>
      </c>
      <c r="H139" s="5">
        <f t="shared" si="33"/>
        <v>4</v>
      </c>
      <c r="I139" s="5">
        <f t="shared" si="33"/>
        <v>1</v>
      </c>
      <c r="J139" s="5">
        <f t="shared" si="33"/>
        <v>4</v>
      </c>
      <c r="K139" s="5">
        <f t="shared" si="33"/>
        <v>8</v>
      </c>
      <c r="L139" s="5">
        <f t="shared" si="33"/>
        <v>3</v>
      </c>
      <c r="M139" s="5">
        <f t="shared" si="33"/>
        <v>4</v>
      </c>
      <c r="N139" s="5">
        <f t="shared" si="33"/>
        <v>5</v>
      </c>
      <c r="O139" s="5">
        <f t="shared" si="33"/>
        <v>1</v>
      </c>
      <c r="P139" s="5">
        <f t="shared" si="33"/>
        <v>2</v>
      </c>
      <c r="Q139" s="5">
        <f t="shared" si="33"/>
        <v>0</v>
      </c>
      <c r="R139" s="5">
        <f t="shared" si="33"/>
        <v>0</v>
      </c>
      <c r="S139" s="5">
        <f t="shared" si="33"/>
        <v>1</v>
      </c>
      <c r="T139" s="5">
        <f t="shared" si="33"/>
        <v>9</v>
      </c>
      <c r="U139" s="5">
        <f t="shared" si="33"/>
        <v>0</v>
      </c>
      <c r="V139" s="5">
        <f t="shared" si="33"/>
        <v>2</v>
      </c>
      <c r="W139" s="5">
        <f t="shared" si="33"/>
        <v>5</v>
      </c>
      <c r="X139" s="5">
        <f t="shared" si="33"/>
        <v>0</v>
      </c>
      <c r="Y139" s="5">
        <f t="shared" si="33"/>
        <v>0</v>
      </c>
      <c r="Z139" s="5">
        <f t="shared" si="33"/>
        <v>2</v>
      </c>
      <c r="AA139" s="5">
        <f t="shared" si="33"/>
        <v>2</v>
      </c>
      <c r="AB139" s="5">
        <f t="shared" si="33"/>
        <v>4</v>
      </c>
      <c r="AC139" s="5">
        <f t="shared" si="33"/>
        <v>4</v>
      </c>
      <c r="AD139" s="5">
        <f t="shared" si="33"/>
        <v>0</v>
      </c>
      <c r="AE139" s="5">
        <f t="shared" si="33"/>
        <v>0</v>
      </c>
      <c r="AF139" s="5">
        <f t="shared" si="33"/>
        <v>4</v>
      </c>
      <c r="AG139" s="5">
        <f t="shared" si="33"/>
        <v>8</v>
      </c>
      <c r="AH139" s="5">
        <f t="shared" si="33"/>
        <v>1</v>
      </c>
      <c r="AI139" s="5">
        <f t="shared" si="33"/>
        <v>1</v>
      </c>
      <c r="AJ139" s="5">
        <f t="shared" si="33"/>
        <v>3</v>
      </c>
      <c r="AK139" s="5">
        <f t="shared" si="33"/>
        <v>2</v>
      </c>
      <c r="AL139" s="5">
        <f t="shared" si="33"/>
        <v>2</v>
      </c>
      <c r="AM139" s="5">
        <f t="shared" si="33"/>
        <v>9</v>
      </c>
      <c r="AN139" s="5">
        <f t="shared" si="33"/>
        <v>0</v>
      </c>
      <c r="AO139" s="5">
        <f t="shared" si="33"/>
        <v>3</v>
      </c>
      <c r="AP139" s="5">
        <f t="shared" si="33"/>
        <v>4</v>
      </c>
      <c r="AQ139" s="5">
        <f t="shared" si="33"/>
        <v>0</v>
      </c>
      <c r="AR139" s="5">
        <f t="shared" si="33"/>
        <v>0</v>
      </c>
      <c r="AS139" s="5">
        <f t="shared" si="33"/>
        <v>2</v>
      </c>
      <c r="AT139" s="5">
        <f t="shared" si="33"/>
        <v>3</v>
      </c>
      <c r="AU139" s="5">
        <f t="shared" si="33"/>
        <v>0</v>
      </c>
      <c r="AV139" s="5">
        <f t="shared" si="33"/>
        <v>2</v>
      </c>
      <c r="AW139" s="5">
        <f t="shared" si="33"/>
        <v>1</v>
      </c>
      <c r="AX139" s="5">
        <f t="shared" si="33"/>
        <v>6</v>
      </c>
      <c r="AY139" s="5">
        <f t="shared" si="33"/>
        <v>0</v>
      </c>
      <c r="AZ139" s="5">
        <f t="shared" si="33"/>
        <v>3</v>
      </c>
      <c r="BA139" s="5">
        <f t="shared" si="33"/>
        <v>118</v>
      </c>
      <c r="BB139" s="20"/>
      <c r="BC139" s="20"/>
    </row>
    <row r="140" spans="1:55" x14ac:dyDescent="0.3">
      <c r="A140" s="77"/>
      <c r="B140" s="78"/>
      <c r="C140" s="78"/>
      <c r="D140" s="78"/>
      <c r="E140" s="7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20"/>
      <c r="BC140" s="20"/>
    </row>
    <row r="141" spans="1:55" ht="13.15" customHeight="1" x14ac:dyDescent="0.3">
      <c r="A141" s="11" t="s">
        <v>48</v>
      </c>
      <c r="B141" s="17" t="s">
        <v>63</v>
      </c>
      <c r="C141" s="75" t="s">
        <v>64</v>
      </c>
      <c r="D141" s="7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1</v>
      </c>
      <c r="AY141" s="6">
        <v>0</v>
      </c>
      <c r="AZ141" s="6">
        <v>0</v>
      </c>
      <c r="BA141" s="5">
        <f>SUM(E141:AZ141)</f>
        <v>1</v>
      </c>
      <c r="BB141" s="1"/>
      <c r="BC141" s="1"/>
    </row>
    <row r="142" spans="1:55" x14ac:dyDescent="0.3">
      <c r="A142" s="11" t="s">
        <v>50</v>
      </c>
      <c r="B142" s="54"/>
      <c r="C142" s="24" t="s">
        <v>183</v>
      </c>
      <c r="D142" s="5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1</v>
      </c>
      <c r="AO142" s="6">
        <v>0</v>
      </c>
      <c r="AP142" s="6">
        <v>1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5">
        <f t="shared" ref="BA142:BA144" si="34">SUM(E142:AZ142)</f>
        <v>2</v>
      </c>
      <c r="BB142" s="28"/>
      <c r="BC142" s="28"/>
    </row>
    <row r="143" spans="1:55" x14ac:dyDescent="0.3">
      <c r="A143" s="7"/>
      <c r="B143" s="54"/>
      <c r="C143" s="24" t="s">
        <v>184</v>
      </c>
      <c r="D143" s="5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5">
        <f t="shared" si="34"/>
        <v>0</v>
      </c>
      <c r="BB143" s="20"/>
      <c r="BC143" s="20"/>
    </row>
    <row r="144" spans="1:55" x14ac:dyDescent="0.3">
      <c r="A144" s="7"/>
      <c r="B144" s="54"/>
      <c r="C144" s="24" t="s">
        <v>185</v>
      </c>
      <c r="D144" s="5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1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5">
        <f t="shared" si="34"/>
        <v>1</v>
      </c>
      <c r="BB144" s="20"/>
      <c r="BC144" s="20"/>
    </row>
    <row r="145" spans="1:55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50"/>
      <c r="BB145" s="20"/>
      <c r="BC145" s="20"/>
    </row>
    <row r="146" spans="1:55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50"/>
      <c r="BB146" s="20"/>
      <c r="BC146" s="20"/>
    </row>
    <row r="147" spans="1:55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50"/>
      <c r="BB147" s="20"/>
      <c r="BC147" s="20"/>
    </row>
    <row r="148" spans="1:55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50"/>
      <c r="BB148" s="20"/>
      <c r="BC148" s="20"/>
    </row>
    <row r="149" spans="1:55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50"/>
      <c r="BB149" s="20"/>
      <c r="BC149" s="20"/>
    </row>
    <row r="150" spans="1:55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50"/>
      <c r="BB150" s="20"/>
      <c r="BC150" s="20"/>
    </row>
    <row r="151" spans="1:55" ht="13.15" customHeight="1" x14ac:dyDescent="0.3">
      <c r="A151" s="6" t="s">
        <v>26</v>
      </c>
      <c r="B151" s="69" t="s">
        <v>51</v>
      </c>
      <c r="C151" s="70"/>
      <c r="D151" s="71"/>
      <c r="E151" s="5">
        <f>SUM(E141:E150)</f>
        <v>0</v>
      </c>
      <c r="F151" s="5">
        <f t="shared" ref="F151:BA151" si="35">SUM(F141:F150)</f>
        <v>0</v>
      </c>
      <c r="G151" s="5">
        <f t="shared" si="35"/>
        <v>0</v>
      </c>
      <c r="H151" s="5">
        <f t="shared" si="35"/>
        <v>0</v>
      </c>
      <c r="I151" s="5">
        <f t="shared" si="35"/>
        <v>0</v>
      </c>
      <c r="J151" s="5">
        <f t="shared" si="35"/>
        <v>0</v>
      </c>
      <c r="K151" s="5">
        <f t="shared" si="35"/>
        <v>0</v>
      </c>
      <c r="L151" s="5">
        <f t="shared" si="35"/>
        <v>0</v>
      </c>
      <c r="M151" s="5">
        <f t="shared" si="35"/>
        <v>0</v>
      </c>
      <c r="N151" s="5">
        <f t="shared" si="35"/>
        <v>0</v>
      </c>
      <c r="O151" s="5">
        <f t="shared" si="35"/>
        <v>0</v>
      </c>
      <c r="P151" s="5">
        <f t="shared" si="35"/>
        <v>0</v>
      </c>
      <c r="Q151" s="5">
        <f t="shared" si="35"/>
        <v>0</v>
      </c>
      <c r="R151" s="5">
        <f t="shared" si="35"/>
        <v>0</v>
      </c>
      <c r="S151" s="5">
        <f t="shared" si="35"/>
        <v>0</v>
      </c>
      <c r="T151" s="5">
        <f t="shared" si="35"/>
        <v>0</v>
      </c>
      <c r="U151" s="5">
        <f t="shared" si="35"/>
        <v>0</v>
      </c>
      <c r="V151" s="5">
        <f t="shared" si="35"/>
        <v>0</v>
      </c>
      <c r="W151" s="5">
        <f t="shared" si="35"/>
        <v>0</v>
      </c>
      <c r="X151" s="5">
        <f t="shared" si="35"/>
        <v>0</v>
      </c>
      <c r="Y151" s="5">
        <f t="shared" si="35"/>
        <v>0</v>
      </c>
      <c r="Z151" s="5">
        <f t="shared" si="35"/>
        <v>1</v>
      </c>
      <c r="AA151" s="5">
        <f t="shared" si="35"/>
        <v>0</v>
      </c>
      <c r="AB151" s="5">
        <f t="shared" si="35"/>
        <v>0</v>
      </c>
      <c r="AC151" s="5">
        <f t="shared" si="35"/>
        <v>0</v>
      </c>
      <c r="AD151" s="5">
        <f t="shared" si="35"/>
        <v>0</v>
      </c>
      <c r="AE151" s="5">
        <f t="shared" si="35"/>
        <v>0</v>
      </c>
      <c r="AF151" s="5">
        <f t="shared" si="35"/>
        <v>0</v>
      </c>
      <c r="AG151" s="5">
        <f t="shared" si="35"/>
        <v>0</v>
      </c>
      <c r="AH151" s="5">
        <f t="shared" si="35"/>
        <v>0</v>
      </c>
      <c r="AI151" s="5">
        <f t="shared" si="35"/>
        <v>0</v>
      </c>
      <c r="AJ151" s="5">
        <f t="shared" si="35"/>
        <v>0</v>
      </c>
      <c r="AK151" s="5">
        <f t="shared" si="35"/>
        <v>0</v>
      </c>
      <c r="AL151" s="5">
        <f t="shared" si="35"/>
        <v>0</v>
      </c>
      <c r="AM151" s="5">
        <f t="shared" si="35"/>
        <v>0</v>
      </c>
      <c r="AN151" s="5">
        <f t="shared" si="35"/>
        <v>1</v>
      </c>
      <c r="AO151" s="5">
        <f t="shared" si="35"/>
        <v>0</v>
      </c>
      <c r="AP151" s="5">
        <f t="shared" si="35"/>
        <v>1</v>
      </c>
      <c r="AQ151" s="5">
        <f t="shared" si="35"/>
        <v>0</v>
      </c>
      <c r="AR151" s="5">
        <f t="shared" si="35"/>
        <v>0</v>
      </c>
      <c r="AS151" s="5">
        <f t="shared" si="35"/>
        <v>0</v>
      </c>
      <c r="AT151" s="5">
        <f t="shared" si="35"/>
        <v>0</v>
      </c>
      <c r="AU151" s="5">
        <f t="shared" si="35"/>
        <v>0</v>
      </c>
      <c r="AV151" s="5">
        <f t="shared" si="35"/>
        <v>0</v>
      </c>
      <c r="AW151" s="5">
        <f t="shared" si="35"/>
        <v>0</v>
      </c>
      <c r="AX151" s="5">
        <f t="shared" si="35"/>
        <v>1</v>
      </c>
      <c r="AY151" s="5">
        <f t="shared" si="35"/>
        <v>0</v>
      </c>
      <c r="AZ151" s="5">
        <f t="shared" si="35"/>
        <v>0</v>
      </c>
      <c r="BA151" s="5">
        <f t="shared" si="35"/>
        <v>4</v>
      </c>
      <c r="BB151" s="1"/>
      <c r="BC151" s="1"/>
    </row>
    <row r="152" spans="1:55" x14ac:dyDescent="0.3">
      <c r="A152" s="77"/>
      <c r="B152" s="78"/>
      <c r="C152" s="78"/>
      <c r="D152" s="78"/>
      <c r="E152" s="7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5"/>
      <c r="BB152" s="28"/>
      <c r="BC152" s="28"/>
    </row>
    <row r="153" spans="1:55" x14ac:dyDescent="0.3">
      <c r="A153" s="11" t="s">
        <v>48</v>
      </c>
      <c r="B153" s="45" t="s">
        <v>65</v>
      </c>
      <c r="C153" s="83" t="s">
        <v>66</v>
      </c>
      <c r="D153" s="84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>
        <v>1</v>
      </c>
      <c r="Q153" s="6">
        <v>0</v>
      </c>
      <c r="R153" s="6">
        <v>0</v>
      </c>
      <c r="S153" s="6">
        <v>0</v>
      </c>
      <c r="T153" s="6">
        <v>0</v>
      </c>
      <c r="U153" s="6">
        <v>1</v>
      </c>
      <c r="V153" s="6">
        <v>1</v>
      </c>
      <c r="W153" s="6">
        <v>0</v>
      </c>
      <c r="X153" s="6">
        <v>0</v>
      </c>
      <c r="Y153" s="6">
        <v>1</v>
      </c>
      <c r="Z153" s="6">
        <v>2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1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1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1</v>
      </c>
      <c r="AZ153" s="6">
        <v>0</v>
      </c>
      <c r="BA153" s="5">
        <f>SUM(E153:AZ153)</f>
        <v>11</v>
      </c>
      <c r="BB153" s="20"/>
      <c r="BC153" s="20"/>
    </row>
    <row r="154" spans="1:55" x14ac:dyDescent="0.3">
      <c r="A154" s="56" t="s">
        <v>50</v>
      </c>
      <c r="B154" s="58"/>
      <c r="C154" s="24" t="s">
        <v>186</v>
      </c>
      <c r="D154" s="59"/>
      <c r="E154" s="57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1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5">
        <f t="shared" ref="BA154:BA160" si="36">SUM(E154:AZ154)</f>
        <v>1</v>
      </c>
      <c r="BB154" s="20"/>
      <c r="BC154" s="20"/>
    </row>
    <row r="155" spans="1:55" x14ac:dyDescent="0.3">
      <c r="A155" s="7"/>
      <c r="B155" s="58"/>
      <c r="C155" s="24" t="s">
        <v>187</v>
      </c>
      <c r="D155" s="59"/>
      <c r="E155" s="57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1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5">
        <f t="shared" si="36"/>
        <v>2</v>
      </c>
      <c r="BB155" s="20"/>
      <c r="BC155" s="20"/>
    </row>
    <row r="156" spans="1:55" x14ac:dyDescent="0.3">
      <c r="A156" s="7"/>
      <c r="B156" s="58"/>
      <c r="C156" s="24" t="s">
        <v>188</v>
      </c>
      <c r="D156" s="59"/>
      <c r="E156" s="57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1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5">
        <f t="shared" si="36"/>
        <v>3</v>
      </c>
      <c r="BB156" s="20"/>
      <c r="BC156" s="20"/>
    </row>
    <row r="157" spans="1:55" x14ac:dyDescent="0.3">
      <c r="A157" s="7"/>
      <c r="B157" s="58"/>
      <c r="C157" s="24" t="s">
        <v>189</v>
      </c>
      <c r="D157" s="59"/>
      <c r="E157" s="57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1</v>
      </c>
      <c r="AW157" s="6">
        <v>0</v>
      </c>
      <c r="AX157" s="6">
        <v>0</v>
      </c>
      <c r="AY157" s="6">
        <v>0</v>
      </c>
      <c r="AZ157" s="6">
        <v>0</v>
      </c>
      <c r="BA157" s="5">
        <f t="shared" si="36"/>
        <v>2</v>
      </c>
      <c r="BB157" s="20"/>
      <c r="BC157" s="20"/>
    </row>
    <row r="158" spans="1:55" x14ac:dyDescent="0.3">
      <c r="A158" s="7"/>
      <c r="B158" s="58"/>
      <c r="C158" s="24" t="s">
        <v>190</v>
      </c>
      <c r="D158" s="59"/>
      <c r="E158" s="57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5">
        <f t="shared" si="36"/>
        <v>0</v>
      </c>
      <c r="BB158" s="20"/>
      <c r="BC158" s="20"/>
    </row>
    <row r="159" spans="1:55" x14ac:dyDescent="0.3">
      <c r="A159" s="7"/>
      <c r="B159" s="58"/>
      <c r="C159" s="24" t="s">
        <v>191</v>
      </c>
      <c r="D159" s="59"/>
      <c r="E159" s="57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5">
        <f t="shared" si="36"/>
        <v>0</v>
      </c>
      <c r="BB159" s="20"/>
      <c r="BC159" s="20"/>
    </row>
    <row r="160" spans="1:55" x14ac:dyDescent="0.3">
      <c r="A160" s="7"/>
      <c r="B160" s="58"/>
      <c r="C160" s="24" t="s">
        <v>192</v>
      </c>
      <c r="D160" s="59"/>
      <c r="E160" s="57">
        <v>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1</v>
      </c>
      <c r="AA160" s="6">
        <v>0</v>
      </c>
      <c r="AB160" s="6">
        <v>0</v>
      </c>
      <c r="AC160" s="6">
        <v>0</v>
      </c>
      <c r="AD160" s="6">
        <v>0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1</v>
      </c>
      <c r="AW160" s="6">
        <v>0</v>
      </c>
      <c r="AX160" s="6">
        <v>0</v>
      </c>
      <c r="AY160" s="6">
        <v>0</v>
      </c>
      <c r="AZ160" s="6">
        <v>0</v>
      </c>
      <c r="BA160" s="5">
        <f t="shared" si="36"/>
        <v>4</v>
      </c>
      <c r="BB160" s="20"/>
      <c r="BC160" s="20"/>
    </row>
    <row r="161" spans="1:55" x14ac:dyDescent="0.3">
      <c r="A161" s="7"/>
      <c r="B161" s="63"/>
      <c r="C161" s="64"/>
      <c r="D161" s="65"/>
      <c r="E161" s="5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50"/>
      <c r="BB161" s="20"/>
      <c r="BC161" s="20"/>
    </row>
    <row r="162" spans="1:55" x14ac:dyDescent="0.3">
      <c r="A162" s="7"/>
      <c r="B162" s="63"/>
      <c r="C162" s="64"/>
      <c r="D162" s="65"/>
      <c r="E162" s="5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50"/>
      <c r="BB162" s="20"/>
      <c r="BC162" s="20"/>
    </row>
    <row r="163" spans="1:55" x14ac:dyDescent="0.3">
      <c r="A163" s="6" t="s">
        <v>26</v>
      </c>
      <c r="B163" s="80" t="s">
        <v>51</v>
      </c>
      <c r="C163" s="81"/>
      <c r="D163" s="82"/>
      <c r="E163" s="5">
        <f>SUM(E153:E162)</f>
        <v>0</v>
      </c>
      <c r="F163" s="5">
        <f t="shared" ref="F163:BA163" si="37">SUM(F153:F162)</f>
        <v>0</v>
      </c>
      <c r="G163" s="5">
        <f t="shared" si="37"/>
        <v>0</v>
      </c>
      <c r="H163" s="5">
        <f t="shared" si="37"/>
        <v>0</v>
      </c>
      <c r="I163" s="5">
        <f t="shared" si="37"/>
        <v>0</v>
      </c>
      <c r="J163" s="5">
        <f t="shared" si="37"/>
        <v>2</v>
      </c>
      <c r="K163" s="5">
        <f t="shared" si="37"/>
        <v>0</v>
      </c>
      <c r="L163" s="5">
        <f t="shared" si="37"/>
        <v>0</v>
      </c>
      <c r="M163" s="5">
        <f t="shared" si="37"/>
        <v>0</v>
      </c>
      <c r="N163" s="5">
        <f t="shared" si="37"/>
        <v>2</v>
      </c>
      <c r="O163" s="5">
        <f t="shared" si="37"/>
        <v>0</v>
      </c>
      <c r="P163" s="5">
        <f t="shared" si="37"/>
        <v>2</v>
      </c>
      <c r="Q163" s="5">
        <f t="shared" si="37"/>
        <v>0</v>
      </c>
      <c r="R163" s="5">
        <f t="shared" si="37"/>
        <v>0</v>
      </c>
      <c r="S163" s="5">
        <f t="shared" si="37"/>
        <v>0</v>
      </c>
      <c r="T163" s="5">
        <f t="shared" si="37"/>
        <v>1</v>
      </c>
      <c r="U163" s="5">
        <f t="shared" si="37"/>
        <v>1</v>
      </c>
      <c r="V163" s="5">
        <f t="shared" si="37"/>
        <v>1</v>
      </c>
      <c r="W163" s="5">
        <f t="shared" si="37"/>
        <v>0</v>
      </c>
      <c r="X163" s="5">
        <f t="shared" si="37"/>
        <v>0</v>
      </c>
      <c r="Y163" s="5">
        <f t="shared" si="37"/>
        <v>1</v>
      </c>
      <c r="Z163" s="5">
        <f t="shared" si="37"/>
        <v>3</v>
      </c>
      <c r="AA163" s="5">
        <f t="shared" si="37"/>
        <v>0</v>
      </c>
      <c r="AB163" s="5">
        <f t="shared" si="37"/>
        <v>0</v>
      </c>
      <c r="AC163" s="5">
        <f t="shared" si="37"/>
        <v>0</v>
      </c>
      <c r="AD163" s="5">
        <f t="shared" si="37"/>
        <v>0</v>
      </c>
      <c r="AE163" s="5">
        <f t="shared" si="37"/>
        <v>1</v>
      </c>
      <c r="AF163" s="5">
        <f t="shared" si="37"/>
        <v>1</v>
      </c>
      <c r="AG163" s="5">
        <f t="shared" si="37"/>
        <v>1</v>
      </c>
      <c r="AH163" s="5">
        <f t="shared" si="37"/>
        <v>0</v>
      </c>
      <c r="AI163" s="5">
        <f t="shared" si="37"/>
        <v>0</v>
      </c>
      <c r="AJ163" s="5">
        <f t="shared" si="37"/>
        <v>0</v>
      </c>
      <c r="AK163" s="5">
        <f t="shared" si="37"/>
        <v>0</v>
      </c>
      <c r="AL163" s="5">
        <f t="shared" si="37"/>
        <v>0</v>
      </c>
      <c r="AM163" s="5">
        <f t="shared" si="37"/>
        <v>1</v>
      </c>
      <c r="AN163" s="5">
        <f t="shared" si="37"/>
        <v>0</v>
      </c>
      <c r="AO163" s="5">
        <f t="shared" si="37"/>
        <v>0</v>
      </c>
      <c r="AP163" s="5">
        <f t="shared" si="37"/>
        <v>1</v>
      </c>
      <c r="AQ163" s="5">
        <f t="shared" si="37"/>
        <v>2</v>
      </c>
      <c r="AR163" s="5">
        <f t="shared" si="37"/>
        <v>0</v>
      </c>
      <c r="AS163" s="5">
        <f t="shared" si="37"/>
        <v>0</v>
      </c>
      <c r="AT163" s="5">
        <f t="shared" si="37"/>
        <v>0</v>
      </c>
      <c r="AU163" s="5">
        <f t="shared" si="37"/>
        <v>0</v>
      </c>
      <c r="AV163" s="5">
        <f t="shared" si="37"/>
        <v>2</v>
      </c>
      <c r="AW163" s="5">
        <f t="shared" si="37"/>
        <v>0</v>
      </c>
      <c r="AX163" s="5">
        <f t="shared" si="37"/>
        <v>0</v>
      </c>
      <c r="AY163" s="5">
        <f t="shared" si="37"/>
        <v>1</v>
      </c>
      <c r="AZ163" s="5">
        <f t="shared" si="37"/>
        <v>0</v>
      </c>
      <c r="BA163" s="5">
        <f t="shared" si="37"/>
        <v>23</v>
      </c>
      <c r="BB163" s="20"/>
      <c r="BC163" s="20"/>
    </row>
    <row r="164" spans="1:55" x14ac:dyDescent="0.3">
      <c r="A164" s="77"/>
      <c r="B164" s="78"/>
      <c r="C164" s="78"/>
      <c r="D164" s="78"/>
      <c r="E164" s="7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20"/>
      <c r="BC164" s="20"/>
    </row>
    <row r="165" spans="1:55" ht="13.15" customHeight="1" x14ac:dyDescent="0.3">
      <c r="A165" s="11" t="s">
        <v>48</v>
      </c>
      <c r="B165" s="17" t="s">
        <v>67</v>
      </c>
      <c r="C165" s="75" t="s">
        <v>68</v>
      </c>
      <c r="D165" s="76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1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1</v>
      </c>
      <c r="Z165" s="6">
        <v>0</v>
      </c>
      <c r="AA165" s="6">
        <v>1</v>
      </c>
      <c r="AB165" s="6">
        <v>0</v>
      </c>
      <c r="AC165" s="6">
        <v>0</v>
      </c>
      <c r="AD165" s="6">
        <v>0</v>
      </c>
      <c r="AE165" s="6">
        <v>0</v>
      </c>
      <c r="AF165" s="6">
        <v>1</v>
      </c>
      <c r="AG165" s="6">
        <v>0</v>
      </c>
      <c r="AH165" s="6">
        <v>2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1</v>
      </c>
      <c r="AS165" s="6">
        <v>0</v>
      </c>
      <c r="AT165" s="6">
        <v>1</v>
      </c>
      <c r="AU165" s="6">
        <v>0</v>
      </c>
      <c r="AV165" s="6">
        <v>0</v>
      </c>
      <c r="AW165" s="6">
        <v>0</v>
      </c>
      <c r="AX165" s="6"/>
      <c r="AY165" s="6"/>
      <c r="AZ165" s="6"/>
      <c r="BA165" s="5">
        <f t="shared" ref="BA165:BA166" si="38">SUM(E165:AZ165)</f>
        <v>8</v>
      </c>
      <c r="BB165" s="1"/>
      <c r="BC165" s="1"/>
    </row>
    <row r="166" spans="1:55" x14ac:dyDescent="0.3">
      <c r="A166" s="11" t="s">
        <v>50</v>
      </c>
      <c r="B166" s="54"/>
      <c r="C166" s="24" t="s">
        <v>193</v>
      </c>
      <c r="D166" s="51"/>
      <c r="E166" s="6">
        <v>0</v>
      </c>
      <c r="F166" s="6">
        <v>0</v>
      </c>
      <c r="G166" s="6">
        <v>0</v>
      </c>
      <c r="H166" s="6">
        <v>0</v>
      </c>
      <c r="I166" s="6">
        <v>1</v>
      </c>
      <c r="J166" s="6">
        <v>0</v>
      </c>
      <c r="K166" s="6">
        <v>1</v>
      </c>
      <c r="L166" s="6">
        <v>1</v>
      </c>
      <c r="M166" s="6">
        <v>2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3</v>
      </c>
      <c r="V166" s="6">
        <v>0</v>
      </c>
      <c r="W166" s="6">
        <v>0</v>
      </c>
      <c r="X166" s="6">
        <v>0</v>
      </c>
      <c r="Y166" s="6">
        <v>1</v>
      </c>
      <c r="Z166" s="6">
        <v>0</v>
      </c>
      <c r="AA166" s="6">
        <v>0</v>
      </c>
      <c r="AB166" s="6">
        <v>0</v>
      </c>
      <c r="AC166" s="6">
        <v>0</v>
      </c>
      <c r="AD166" s="6">
        <v>1</v>
      </c>
      <c r="AE166" s="6">
        <v>0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3</v>
      </c>
      <c r="AL166" s="6">
        <v>0</v>
      </c>
      <c r="AM166" s="6">
        <v>1</v>
      </c>
      <c r="AN166" s="6">
        <v>1</v>
      </c>
      <c r="AO166" s="6">
        <v>0</v>
      </c>
      <c r="AP166" s="6">
        <v>2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2</v>
      </c>
      <c r="AW166" s="6">
        <v>0</v>
      </c>
      <c r="AX166" s="6">
        <v>1</v>
      </c>
      <c r="AY166" s="6"/>
      <c r="AZ166" s="6"/>
      <c r="BA166" s="5">
        <f t="shared" si="38"/>
        <v>21</v>
      </c>
      <c r="BB166" s="28"/>
      <c r="BC166" s="28"/>
    </row>
    <row r="167" spans="1:55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50"/>
      <c r="BB167" s="20"/>
      <c r="BC167" s="20"/>
    </row>
    <row r="168" spans="1:55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50"/>
      <c r="BB168" s="20"/>
      <c r="BC168" s="20"/>
    </row>
    <row r="169" spans="1:55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50"/>
      <c r="BB169" s="20"/>
      <c r="BC169" s="20"/>
    </row>
    <row r="170" spans="1:55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50"/>
      <c r="BB170" s="20"/>
      <c r="BC170" s="20"/>
    </row>
    <row r="171" spans="1:55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50"/>
      <c r="BB171" s="20"/>
      <c r="BC171" s="20"/>
    </row>
    <row r="172" spans="1:55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50"/>
      <c r="BB172" s="20"/>
      <c r="BC172" s="20"/>
    </row>
    <row r="173" spans="1:55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50"/>
      <c r="BB173" s="20"/>
      <c r="BC173" s="20"/>
    </row>
    <row r="174" spans="1:55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50"/>
      <c r="BB174" s="20"/>
      <c r="BC174" s="20"/>
    </row>
    <row r="175" spans="1:55" x14ac:dyDescent="0.3">
      <c r="A175" s="6" t="s">
        <v>26</v>
      </c>
      <c r="B175" s="69" t="s">
        <v>51</v>
      </c>
      <c r="C175" s="70"/>
      <c r="D175" s="71"/>
      <c r="E175" s="5">
        <f>SUM(E165:E174)</f>
        <v>0</v>
      </c>
      <c r="F175" s="5">
        <f t="shared" ref="F175:BA175" si="39">SUM(F165:F174)</f>
        <v>0</v>
      </c>
      <c r="G175" s="5">
        <f t="shared" si="39"/>
        <v>0</v>
      </c>
      <c r="H175" s="5">
        <f t="shared" si="39"/>
        <v>0</v>
      </c>
      <c r="I175" s="5">
        <f t="shared" si="39"/>
        <v>1</v>
      </c>
      <c r="J175" s="5">
        <f t="shared" si="39"/>
        <v>0</v>
      </c>
      <c r="K175" s="5">
        <f t="shared" si="39"/>
        <v>1</v>
      </c>
      <c r="L175" s="5">
        <f t="shared" si="39"/>
        <v>1</v>
      </c>
      <c r="M175" s="5">
        <f t="shared" si="39"/>
        <v>2</v>
      </c>
      <c r="N175" s="5">
        <f t="shared" si="39"/>
        <v>0</v>
      </c>
      <c r="O175" s="5">
        <f t="shared" si="39"/>
        <v>0</v>
      </c>
      <c r="P175" s="5">
        <f t="shared" si="39"/>
        <v>0</v>
      </c>
      <c r="Q175" s="5">
        <f t="shared" si="39"/>
        <v>0</v>
      </c>
      <c r="R175" s="5">
        <f t="shared" si="39"/>
        <v>0</v>
      </c>
      <c r="S175" s="5">
        <f t="shared" si="39"/>
        <v>1</v>
      </c>
      <c r="T175" s="5">
        <f t="shared" si="39"/>
        <v>0</v>
      </c>
      <c r="U175" s="5">
        <f t="shared" si="39"/>
        <v>3</v>
      </c>
      <c r="V175" s="5">
        <f t="shared" si="39"/>
        <v>0</v>
      </c>
      <c r="W175" s="5">
        <f t="shared" si="39"/>
        <v>0</v>
      </c>
      <c r="X175" s="5">
        <f t="shared" si="39"/>
        <v>0</v>
      </c>
      <c r="Y175" s="5">
        <f t="shared" si="39"/>
        <v>2</v>
      </c>
      <c r="Z175" s="5">
        <f t="shared" si="39"/>
        <v>0</v>
      </c>
      <c r="AA175" s="5">
        <f t="shared" si="39"/>
        <v>1</v>
      </c>
      <c r="AB175" s="5">
        <f t="shared" si="39"/>
        <v>0</v>
      </c>
      <c r="AC175" s="5">
        <f t="shared" si="39"/>
        <v>0</v>
      </c>
      <c r="AD175" s="5">
        <f t="shared" si="39"/>
        <v>1</v>
      </c>
      <c r="AE175" s="5">
        <f t="shared" si="39"/>
        <v>0</v>
      </c>
      <c r="AF175" s="5">
        <f t="shared" si="39"/>
        <v>2</v>
      </c>
      <c r="AG175" s="5">
        <f t="shared" si="39"/>
        <v>0</v>
      </c>
      <c r="AH175" s="5">
        <f t="shared" si="39"/>
        <v>2</v>
      </c>
      <c r="AI175" s="5">
        <f t="shared" si="39"/>
        <v>0</v>
      </c>
      <c r="AJ175" s="5">
        <f t="shared" si="39"/>
        <v>0</v>
      </c>
      <c r="AK175" s="5">
        <f t="shared" si="39"/>
        <v>3</v>
      </c>
      <c r="AL175" s="5">
        <f t="shared" si="39"/>
        <v>0</v>
      </c>
      <c r="AM175" s="5">
        <f t="shared" si="39"/>
        <v>1</v>
      </c>
      <c r="AN175" s="5">
        <f t="shared" si="39"/>
        <v>1</v>
      </c>
      <c r="AO175" s="5">
        <f t="shared" si="39"/>
        <v>0</v>
      </c>
      <c r="AP175" s="5">
        <f t="shared" si="39"/>
        <v>2</v>
      </c>
      <c r="AQ175" s="5">
        <f t="shared" si="39"/>
        <v>0</v>
      </c>
      <c r="AR175" s="5">
        <f t="shared" si="39"/>
        <v>1</v>
      </c>
      <c r="AS175" s="5">
        <f t="shared" si="39"/>
        <v>0</v>
      </c>
      <c r="AT175" s="5">
        <f t="shared" si="39"/>
        <v>1</v>
      </c>
      <c r="AU175" s="5">
        <f t="shared" si="39"/>
        <v>0</v>
      </c>
      <c r="AV175" s="5">
        <f t="shared" si="39"/>
        <v>2</v>
      </c>
      <c r="AW175" s="5">
        <f t="shared" si="39"/>
        <v>0</v>
      </c>
      <c r="AX175" s="5">
        <f t="shared" si="39"/>
        <v>1</v>
      </c>
      <c r="AY175" s="5">
        <f t="shared" si="39"/>
        <v>0</v>
      </c>
      <c r="AZ175" s="5">
        <f t="shared" si="39"/>
        <v>0</v>
      </c>
      <c r="BA175" s="5">
        <f t="shared" si="39"/>
        <v>29</v>
      </c>
      <c r="BB175" s="20"/>
      <c r="BC175" s="20"/>
    </row>
    <row r="176" spans="1:55" ht="13.15" customHeight="1" x14ac:dyDescent="0.3">
      <c r="A176" s="77"/>
      <c r="B176" s="78"/>
      <c r="C176" s="78"/>
      <c r="D176" s="78"/>
      <c r="E176" s="7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"/>
      <c r="BC176" s="1"/>
    </row>
    <row r="177" spans="1:55" x14ac:dyDescent="0.3">
      <c r="A177" s="11" t="s">
        <v>48</v>
      </c>
      <c r="B177" s="17" t="s">
        <v>69</v>
      </c>
      <c r="C177" s="75" t="s">
        <v>70</v>
      </c>
      <c r="D177" s="76"/>
      <c r="E177" s="6">
        <v>1</v>
      </c>
      <c r="F177" s="6">
        <v>0</v>
      </c>
      <c r="G177" s="6">
        <v>2</v>
      </c>
      <c r="H177" s="6">
        <v>1</v>
      </c>
      <c r="I177" s="6">
        <v>1</v>
      </c>
      <c r="J177" s="6">
        <v>0</v>
      </c>
      <c r="K177" s="6">
        <v>1</v>
      </c>
      <c r="L177" s="6">
        <v>3</v>
      </c>
      <c r="M177" s="6">
        <v>0</v>
      </c>
      <c r="N177" s="6">
        <v>2</v>
      </c>
      <c r="O177" s="6">
        <v>1</v>
      </c>
      <c r="P177" s="6">
        <v>0</v>
      </c>
      <c r="Q177" s="6">
        <v>0</v>
      </c>
      <c r="R177" s="6">
        <v>2</v>
      </c>
      <c r="S177" s="6">
        <v>2</v>
      </c>
      <c r="T177" s="6">
        <v>1</v>
      </c>
      <c r="U177" s="6">
        <v>0</v>
      </c>
      <c r="V177" s="6">
        <v>1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1</v>
      </c>
      <c r="AD177" s="6">
        <v>3</v>
      </c>
      <c r="AE177" s="6">
        <v>1</v>
      </c>
      <c r="AF177" s="6">
        <v>0</v>
      </c>
      <c r="AG177" s="6">
        <v>0</v>
      </c>
      <c r="AH177" s="6">
        <v>1</v>
      </c>
      <c r="AI177" s="6">
        <v>0</v>
      </c>
      <c r="AJ177" s="6">
        <v>1</v>
      </c>
      <c r="AK177" s="6">
        <v>0</v>
      </c>
      <c r="AL177" s="6">
        <v>0</v>
      </c>
      <c r="AM177" s="6">
        <v>3</v>
      </c>
      <c r="AN177" s="6">
        <v>1</v>
      </c>
      <c r="AO177" s="6">
        <v>2</v>
      </c>
      <c r="AP177" s="6">
        <v>0</v>
      </c>
      <c r="AQ177" s="6">
        <v>1</v>
      </c>
      <c r="AR177" s="6">
        <v>0</v>
      </c>
      <c r="AS177" s="6">
        <v>0</v>
      </c>
      <c r="AT177" s="6">
        <v>1</v>
      </c>
      <c r="AU177" s="6">
        <v>0</v>
      </c>
      <c r="AV177" s="6">
        <v>0</v>
      </c>
      <c r="AW177" s="6">
        <v>1</v>
      </c>
      <c r="AX177" s="6">
        <v>0</v>
      </c>
      <c r="AY177" s="6">
        <v>2</v>
      </c>
      <c r="AZ177" s="6">
        <v>1</v>
      </c>
      <c r="BA177" s="5">
        <f t="shared" ref="BA177:BA186" si="40">SUM(E177:AZ177)</f>
        <v>37</v>
      </c>
    </row>
    <row r="178" spans="1:55" x14ac:dyDescent="0.3">
      <c r="A178" s="11" t="s">
        <v>50</v>
      </c>
      <c r="B178" s="54"/>
      <c r="C178" s="24" t="s">
        <v>194</v>
      </c>
      <c r="D178" s="51"/>
      <c r="E178" s="6">
        <v>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1</v>
      </c>
      <c r="M178" s="6">
        <v>0</v>
      </c>
      <c r="N178" s="6">
        <v>1</v>
      </c>
      <c r="O178" s="6">
        <v>0</v>
      </c>
      <c r="P178" s="6">
        <v>0</v>
      </c>
      <c r="Q178" s="6">
        <v>1</v>
      </c>
      <c r="R178" s="6">
        <v>0</v>
      </c>
      <c r="S178" s="6">
        <v>1</v>
      </c>
      <c r="T178" s="6">
        <v>2</v>
      </c>
      <c r="U178" s="6">
        <v>2</v>
      </c>
      <c r="V178" s="6">
        <v>0</v>
      </c>
      <c r="W178" s="6">
        <v>2</v>
      </c>
      <c r="X178" s="6">
        <v>0</v>
      </c>
      <c r="Y178" s="6">
        <v>0</v>
      </c>
      <c r="Z178" s="6">
        <v>1</v>
      </c>
      <c r="AA178" s="6">
        <v>1</v>
      </c>
      <c r="AB178" s="6">
        <v>0</v>
      </c>
      <c r="AC178" s="6">
        <v>5</v>
      </c>
      <c r="AD178" s="6">
        <v>1</v>
      </c>
      <c r="AE178" s="6">
        <v>0</v>
      </c>
      <c r="AF178" s="6">
        <v>0</v>
      </c>
      <c r="AG178" s="6">
        <v>2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1</v>
      </c>
      <c r="AO178" s="6">
        <v>0</v>
      </c>
      <c r="AP178" s="6">
        <v>0</v>
      </c>
      <c r="AQ178" s="6">
        <v>0</v>
      </c>
      <c r="AR178" s="6">
        <v>1</v>
      </c>
      <c r="AS178" s="6">
        <v>0</v>
      </c>
      <c r="AT178" s="6">
        <v>2</v>
      </c>
      <c r="AU178" s="6">
        <v>0</v>
      </c>
      <c r="AV178" s="6">
        <v>1</v>
      </c>
      <c r="AW178" s="6">
        <v>1</v>
      </c>
      <c r="AX178" s="6">
        <v>1</v>
      </c>
      <c r="AY178" s="6">
        <v>1</v>
      </c>
      <c r="AZ178" s="6">
        <v>0</v>
      </c>
      <c r="BA178" s="5">
        <f t="shared" si="40"/>
        <v>29</v>
      </c>
      <c r="BB178" s="20"/>
      <c r="BC178" s="20"/>
    </row>
    <row r="179" spans="1:55" x14ac:dyDescent="0.3">
      <c r="A179" s="7"/>
      <c r="B179" s="54"/>
      <c r="C179" s="24" t="s">
        <v>195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</v>
      </c>
      <c r="R179" s="6">
        <v>0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1</v>
      </c>
      <c r="AH179" s="6">
        <v>0</v>
      </c>
      <c r="AI179" s="6">
        <v>0</v>
      </c>
      <c r="AJ179" s="6">
        <v>1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1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5">
        <f t="shared" si="40"/>
        <v>7</v>
      </c>
      <c r="BB179" s="20"/>
      <c r="BC179" s="20"/>
    </row>
    <row r="180" spans="1:55" x14ac:dyDescent="0.3">
      <c r="A180" s="7"/>
      <c r="B180" s="54"/>
      <c r="C180" s="24" t="s">
        <v>196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2</v>
      </c>
      <c r="M180" s="6">
        <v>1</v>
      </c>
      <c r="N180" s="6">
        <v>0</v>
      </c>
      <c r="O180" s="6">
        <v>1</v>
      </c>
      <c r="P180" s="6">
        <v>2</v>
      </c>
      <c r="Q180" s="6">
        <v>0</v>
      </c>
      <c r="R180" s="6">
        <v>1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1</v>
      </c>
      <c r="AB180" s="6">
        <v>0</v>
      </c>
      <c r="AC180" s="6">
        <v>0</v>
      </c>
      <c r="AD180" s="6">
        <v>1</v>
      </c>
      <c r="AE180" s="6">
        <v>0</v>
      </c>
      <c r="AF180" s="6">
        <v>0</v>
      </c>
      <c r="AG180" s="6">
        <v>1</v>
      </c>
      <c r="AH180" s="6">
        <v>0</v>
      </c>
      <c r="AI180" s="6">
        <v>0</v>
      </c>
      <c r="AJ180" s="6">
        <v>0</v>
      </c>
      <c r="AK180" s="6">
        <v>0</v>
      </c>
      <c r="AL180" s="6">
        <v>2</v>
      </c>
      <c r="AM180" s="6">
        <v>1</v>
      </c>
      <c r="AN180" s="6">
        <v>0</v>
      </c>
      <c r="AO180" s="6">
        <v>1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1</v>
      </c>
      <c r="BA180" s="5">
        <f t="shared" si="40"/>
        <v>16</v>
      </c>
      <c r="BB180" s="20"/>
      <c r="BC180" s="20"/>
    </row>
    <row r="181" spans="1:55" x14ac:dyDescent="0.3">
      <c r="A181" s="7"/>
      <c r="B181" s="54"/>
      <c r="C181" s="24" t="s">
        <v>197</v>
      </c>
      <c r="D181" s="51"/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>
        <v>1</v>
      </c>
      <c r="O181" s="6">
        <v>0</v>
      </c>
      <c r="P181" s="6">
        <v>2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1</v>
      </c>
      <c r="Z181" s="6">
        <v>0</v>
      </c>
      <c r="AA181" s="6">
        <v>0</v>
      </c>
      <c r="AB181" s="6">
        <v>0</v>
      </c>
      <c r="AC181" s="6">
        <v>1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1</v>
      </c>
      <c r="AT181" s="6">
        <v>1</v>
      </c>
      <c r="AU181" s="6">
        <v>0</v>
      </c>
      <c r="AV181" s="6">
        <v>1</v>
      </c>
      <c r="AW181" s="6">
        <v>0</v>
      </c>
      <c r="AX181" s="6">
        <v>0</v>
      </c>
      <c r="AY181" s="6">
        <v>0</v>
      </c>
      <c r="AZ181" s="6">
        <v>0</v>
      </c>
      <c r="BA181" s="5">
        <f t="shared" si="40"/>
        <v>10</v>
      </c>
      <c r="BB181" s="20"/>
      <c r="BC181" s="20"/>
    </row>
    <row r="182" spans="1:55" x14ac:dyDescent="0.3">
      <c r="A182" s="7"/>
      <c r="B182" s="54"/>
      <c r="C182" s="24" t="s">
        <v>198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1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1</v>
      </c>
      <c r="AR182" s="6">
        <v>0</v>
      </c>
      <c r="AS182" s="6">
        <v>1</v>
      </c>
      <c r="AT182" s="6">
        <v>0</v>
      </c>
      <c r="AU182" s="6">
        <v>0</v>
      </c>
      <c r="AV182" s="6">
        <v>0</v>
      </c>
      <c r="AW182" s="6">
        <v>2</v>
      </c>
      <c r="AX182" s="6">
        <v>0</v>
      </c>
      <c r="AY182" s="6">
        <v>1</v>
      </c>
      <c r="AZ182" s="6">
        <v>0</v>
      </c>
      <c r="BA182" s="5">
        <f t="shared" si="40"/>
        <v>7</v>
      </c>
      <c r="BB182" s="20"/>
      <c r="BC182" s="20"/>
    </row>
    <row r="183" spans="1:55" x14ac:dyDescent="0.3">
      <c r="A183" s="7"/>
      <c r="B183" s="54"/>
      <c r="C183" s="24" t="s">
        <v>199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1</v>
      </c>
      <c r="M183" s="6">
        <v>0</v>
      </c>
      <c r="N183" s="6">
        <v>0</v>
      </c>
      <c r="O183" s="6">
        <v>0</v>
      </c>
      <c r="P183" s="6">
        <v>1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1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1</v>
      </c>
      <c r="AV183" s="6">
        <v>0</v>
      </c>
      <c r="AW183" s="6">
        <v>0</v>
      </c>
      <c r="AX183" s="6">
        <v>0</v>
      </c>
      <c r="AY183" s="6">
        <v>1</v>
      </c>
      <c r="AZ183" s="6">
        <v>0</v>
      </c>
      <c r="BA183" s="5">
        <f t="shared" si="40"/>
        <v>5</v>
      </c>
      <c r="BB183" s="20"/>
      <c r="BC183" s="20"/>
    </row>
    <row r="184" spans="1:55" x14ac:dyDescent="0.3">
      <c r="A184" s="7"/>
      <c r="B184" s="54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1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1</v>
      </c>
      <c r="AY184" s="6">
        <v>0</v>
      </c>
      <c r="AZ184" s="6">
        <v>0</v>
      </c>
      <c r="BA184" s="5">
        <f t="shared" si="40"/>
        <v>2</v>
      </c>
      <c r="BB184" s="20"/>
      <c r="BC184" s="20"/>
    </row>
    <row r="185" spans="1:55" x14ac:dyDescent="0.3">
      <c r="A185" s="7"/>
      <c r="B185" s="54"/>
      <c r="C185" s="24" t="s">
        <v>201</v>
      </c>
      <c r="D185" s="51"/>
      <c r="E185" s="6">
        <v>0</v>
      </c>
      <c r="F185" s="6">
        <v>0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1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1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1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5">
        <f t="shared" si="40"/>
        <v>4</v>
      </c>
      <c r="BB185" s="20"/>
      <c r="BC185" s="20"/>
    </row>
    <row r="186" spans="1:55" x14ac:dyDescent="0.3">
      <c r="A186" s="7"/>
      <c r="B186" s="54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1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5">
        <f t="shared" si="40"/>
        <v>1</v>
      </c>
      <c r="BB186" s="20"/>
      <c r="BC186" s="20"/>
    </row>
    <row r="187" spans="1:55" ht="13.15" customHeight="1" x14ac:dyDescent="0.3">
      <c r="A187" s="6" t="s">
        <v>26</v>
      </c>
      <c r="B187" s="69" t="s">
        <v>51</v>
      </c>
      <c r="C187" s="70"/>
      <c r="D187" s="71"/>
      <c r="E187" s="5">
        <f>SUM(E177:E186)</f>
        <v>3</v>
      </c>
      <c r="F187" s="5">
        <f t="shared" ref="F187:BA187" si="41">SUM(F177:F186)</f>
        <v>0</v>
      </c>
      <c r="G187" s="5">
        <f t="shared" si="41"/>
        <v>3</v>
      </c>
      <c r="H187" s="5">
        <f t="shared" si="41"/>
        <v>1</v>
      </c>
      <c r="I187" s="5">
        <f t="shared" si="41"/>
        <v>1</v>
      </c>
      <c r="J187" s="5">
        <f t="shared" si="41"/>
        <v>1</v>
      </c>
      <c r="K187" s="5">
        <f t="shared" si="41"/>
        <v>4</v>
      </c>
      <c r="L187" s="5">
        <f t="shared" si="41"/>
        <v>7</v>
      </c>
      <c r="M187" s="5">
        <f t="shared" si="41"/>
        <v>2</v>
      </c>
      <c r="N187" s="5">
        <f t="shared" si="41"/>
        <v>5</v>
      </c>
      <c r="O187" s="5">
        <f t="shared" si="41"/>
        <v>2</v>
      </c>
      <c r="P187" s="5">
        <f t="shared" si="41"/>
        <v>5</v>
      </c>
      <c r="Q187" s="5">
        <f t="shared" si="41"/>
        <v>2</v>
      </c>
      <c r="R187" s="5">
        <f t="shared" si="41"/>
        <v>3</v>
      </c>
      <c r="S187" s="5">
        <f t="shared" si="41"/>
        <v>3</v>
      </c>
      <c r="T187" s="5">
        <f t="shared" si="41"/>
        <v>3</v>
      </c>
      <c r="U187" s="5">
        <f t="shared" si="41"/>
        <v>3</v>
      </c>
      <c r="V187" s="5">
        <f t="shared" si="41"/>
        <v>2</v>
      </c>
      <c r="W187" s="5">
        <f t="shared" si="41"/>
        <v>3</v>
      </c>
      <c r="X187" s="5">
        <f t="shared" si="41"/>
        <v>0</v>
      </c>
      <c r="Y187" s="5">
        <f t="shared" si="41"/>
        <v>1</v>
      </c>
      <c r="Z187" s="5">
        <f t="shared" si="41"/>
        <v>1</v>
      </c>
      <c r="AA187" s="5">
        <f t="shared" si="41"/>
        <v>2</v>
      </c>
      <c r="AB187" s="5">
        <f t="shared" si="41"/>
        <v>1</v>
      </c>
      <c r="AC187" s="5">
        <f t="shared" si="41"/>
        <v>7</v>
      </c>
      <c r="AD187" s="5">
        <f t="shared" si="41"/>
        <v>5</v>
      </c>
      <c r="AE187" s="5">
        <f t="shared" si="41"/>
        <v>1</v>
      </c>
      <c r="AF187" s="5">
        <f t="shared" si="41"/>
        <v>0</v>
      </c>
      <c r="AG187" s="5">
        <f t="shared" si="41"/>
        <v>4</v>
      </c>
      <c r="AH187" s="5">
        <f t="shared" si="41"/>
        <v>1</v>
      </c>
      <c r="AI187" s="5">
        <f t="shared" si="41"/>
        <v>0</v>
      </c>
      <c r="AJ187" s="5">
        <f t="shared" si="41"/>
        <v>2</v>
      </c>
      <c r="AK187" s="5">
        <f t="shared" si="41"/>
        <v>0</v>
      </c>
      <c r="AL187" s="5">
        <f t="shared" si="41"/>
        <v>3</v>
      </c>
      <c r="AM187" s="5">
        <f t="shared" si="41"/>
        <v>5</v>
      </c>
      <c r="AN187" s="5">
        <f t="shared" si="41"/>
        <v>2</v>
      </c>
      <c r="AO187" s="5">
        <f t="shared" si="41"/>
        <v>3</v>
      </c>
      <c r="AP187" s="5">
        <f t="shared" si="41"/>
        <v>1</v>
      </c>
      <c r="AQ187" s="5">
        <f t="shared" si="41"/>
        <v>2</v>
      </c>
      <c r="AR187" s="5">
        <f t="shared" si="41"/>
        <v>2</v>
      </c>
      <c r="AS187" s="5">
        <f t="shared" si="41"/>
        <v>2</v>
      </c>
      <c r="AT187" s="5">
        <f t="shared" si="41"/>
        <v>4</v>
      </c>
      <c r="AU187" s="5">
        <f t="shared" si="41"/>
        <v>1</v>
      </c>
      <c r="AV187" s="5">
        <f t="shared" si="41"/>
        <v>2</v>
      </c>
      <c r="AW187" s="5">
        <f t="shared" si="41"/>
        <v>4</v>
      </c>
      <c r="AX187" s="5">
        <f t="shared" si="41"/>
        <v>2</v>
      </c>
      <c r="AY187" s="5">
        <f t="shared" si="41"/>
        <v>5</v>
      </c>
      <c r="AZ187" s="5">
        <f t="shared" si="41"/>
        <v>2</v>
      </c>
      <c r="BA187" s="5">
        <f t="shared" si="41"/>
        <v>118</v>
      </c>
      <c r="BB187" s="1"/>
      <c r="BC187" s="1"/>
    </row>
    <row r="188" spans="1:55" x14ac:dyDescent="0.3">
      <c r="A188" s="77"/>
      <c r="B188" s="78"/>
      <c r="C188" s="78"/>
      <c r="D188" s="78"/>
      <c r="E188" s="79"/>
      <c r="F188" s="18"/>
      <c r="G188" s="18"/>
      <c r="H188" s="18"/>
      <c r="I188" s="18"/>
      <c r="J188" s="18"/>
      <c r="K188" s="18"/>
      <c r="L188" s="18"/>
      <c r="M188" s="18"/>
      <c r="N188" s="18"/>
      <c r="BA188" s="5"/>
    </row>
    <row r="189" spans="1:55" x14ac:dyDescent="0.3">
      <c r="A189" s="11" t="s">
        <v>48</v>
      </c>
      <c r="B189" s="17" t="s">
        <v>71</v>
      </c>
      <c r="C189" s="75" t="s">
        <v>72</v>
      </c>
      <c r="D189" s="76"/>
      <c r="E189" s="6">
        <v>0</v>
      </c>
      <c r="F189" s="6">
        <v>1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1</v>
      </c>
      <c r="X189" s="6">
        <v>0</v>
      </c>
      <c r="Y189" s="6">
        <v>0</v>
      </c>
      <c r="Z189" s="6">
        <v>1</v>
      </c>
      <c r="AA189" s="6">
        <v>0</v>
      </c>
      <c r="AB189" s="6">
        <v>1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2</v>
      </c>
      <c r="AQ189" s="6">
        <v>0</v>
      </c>
      <c r="AR189" s="6">
        <v>0</v>
      </c>
      <c r="AS189" s="6">
        <v>0</v>
      </c>
      <c r="AT189" s="6">
        <v>1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5">
        <f>SUM(E189:AZ189)</f>
        <v>8</v>
      </c>
      <c r="BB189" s="20"/>
      <c r="BC189" s="20"/>
    </row>
    <row r="190" spans="1:55" x14ac:dyDescent="0.3">
      <c r="A190" s="11" t="s">
        <v>50</v>
      </c>
      <c r="B190" s="54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5">
        <f t="shared" ref="BA190:BA198" si="42">SUM(E190:AZ190)</f>
        <v>0</v>
      </c>
      <c r="BB190" s="20"/>
      <c r="BC190" s="20"/>
    </row>
    <row r="191" spans="1:55" x14ac:dyDescent="0.3">
      <c r="A191" s="7"/>
      <c r="B191" s="54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1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3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1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5">
        <f t="shared" si="42"/>
        <v>5</v>
      </c>
      <c r="BB191" s="20"/>
      <c r="BC191" s="20"/>
    </row>
    <row r="192" spans="1:55" x14ac:dyDescent="0.3">
      <c r="A192" s="7"/>
      <c r="B192" s="54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5">
        <f t="shared" si="42"/>
        <v>0</v>
      </c>
      <c r="BB192" s="20"/>
      <c r="BC192" s="20"/>
    </row>
    <row r="193" spans="1:55" x14ac:dyDescent="0.3">
      <c r="A193" s="7"/>
      <c r="B193" s="54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5">
        <f t="shared" si="42"/>
        <v>1</v>
      </c>
      <c r="BB193" s="20"/>
      <c r="BC193" s="20"/>
    </row>
    <row r="194" spans="1:55" x14ac:dyDescent="0.3">
      <c r="A194" s="7"/>
      <c r="B194" s="54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5">
        <f t="shared" si="42"/>
        <v>0</v>
      </c>
      <c r="BB194" s="20"/>
      <c r="BC194" s="20"/>
    </row>
    <row r="195" spans="1:55" x14ac:dyDescent="0.3">
      <c r="A195" s="7"/>
      <c r="B195" s="54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1</v>
      </c>
      <c r="AY195" s="6">
        <v>0</v>
      </c>
      <c r="AZ195" s="6">
        <v>0</v>
      </c>
      <c r="BA195" s="5">
        <f t="shared" si="42"/>
        <v>1</v>
      </c>
      <c r="BB195" s="20"/>
      <c r="BC195" s="20"/>
    </row>
    <row r="196" spans="1:55" ht="13.15" customHeight="1" x14ac:dyDescent="0.3">
      <c r="A196" s="7"/>
      <c r="B196" s="54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1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1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5">
        <f t="shared" si="42"/>
        <v>2</v>
      </c>
      <c r="BB196" s="1"/>
      <c r="BC196" s="1"/>
    </row>
    <row r="197" spans="1:55" ht="13.15" customHeight="1" x14ac:dyDescent="0.3">
      <c r="A197" s="7"/>
      <c r="B197" s="54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5">
        <f t="shared" si="42"/>
        <v>0</v>
      </c>
      <c r="BB197" s="1"/>
      <c r="BC197" s="1"/>
    </row>
    <row r="198" spans="1:55" ht="13.15" customHeight="1" x14ac:dyDescent="0.3">
      <c r="A198" s="7"/>
      <c r="B198" s="54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1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5">
        <f t="shared" si="42"/>
        <v>1</v>
      </c>
      <c r="BB198" s="1"/>
      <c r="BC198" s="1"/>
    </row>
    <row r="199" spans="1:55" x14ac:dyDescent="0.3">
      <c r="A199" s="6" t="s">
        <v>26</v>
      </c>
      <c r="B199" s="69" t="s">
        <v>51</v>
      </c>
      <c r="C199" s="70"/>
      <c r="D199" s="71"/>
      <c r="E199" s="5">
        <f>SUM(E189:E198)</f>
        <v>0</v>
      </c>
      <c r="F199" s="5">
        <f t="shared" ref="F199:BA199" si="43">SUM(F189:F198)</f>
        <v>1</v>
      </c>
      <c r="G199" s="5">
        <f t="shared" si="43"/>
        <v>0</v>
      </c>
      <c r="H199" s="5">
        <f t="shared" si="43"/>
        <v>1</v>
      </c>
      <c r="I199" s="5">
        <f t="shared" si="43"/>
        <v>0</v>
      </c>
      <c r="J199" s="5">
        <f t="shared" si="43"/>
        <v>0</v>
      </c>
      <c r="K199" s="5">
        <f t="shared" si="43"/>
        <v>0</v>
      </c>
      <c r="L199" s="5">
        <f t="shared" si="43"/>
        <v>0</v>
      </c>
      <c r="M199" s="5">
        <f t="shared" si="43"/>
        <v>0</v>
      </c>
      <c r="N199" s="5">
        <f t="shared" si="43"/>
        <v>1</v>
      </c>
      <c r="O199" s="5">
        <f t="shared" si="43"/>
        <v>0</v>
      </c>
      <c r="P199" s="5">
        <f t="shared" si="43"/>
        <v>0</v>
      </c>
      <c r="Q199" s="5">
        <f t="shared" si="43"/>
        <v>0</v>
      </c>
      <c r="R199" s="5">
        <f t="shared" si="43"/>
        <v>0</v>
      </c>
      <c r="S199" s="5">
        <f t="shared" si="43"/>
        <v>0</v>
      </c>
      <c r="T199" s="5">
        <f t="shared" si="43"/>
        <v>1</v>
      </c>
      <c r="U199" s="5">
        <f t="shared" si="43"/>
        <v>0</v>
      </c>
      <c r="V199" s="5">
        <f t="shared" si="43"/>
        <v>0</v>
      </c>
      <c r="W199" s="5">
        <f t="shared" si="43"/>
        <v>2</v>
      </c>
      <c r="X199" s="5">
        <f t="shared" si="43"/>
        <v>0</v>
      </c>
      <c r="Y199" s="5">
        <f t="shared" si="43"/>
        <v>0</v>
      </c>
      <c r="Z199" s="5">
        <f t="shared" si="43"/>
        <v>1</v>
      </c>
      <c r="AA199" s="5">
        <f t="shared" si="43"/>
        <v>0</v>
      </c>
      <c r="AB199" s="5">
        <f t="shared" si="43"/>
        <v>2</v>
      </c>
      <c r="AC199" s="5">
        <f t="shared" si="43"/>
        <v>0</v>
      </c>
      <c r="AD199" s="5">
        <f t="shared" si="43"/>
        <v>0</v>
      </c>
      <c r="AE199" s="5">
        <f t="shared" si="43"/>
        <v>0</v>
      </c>
      <c r="AF199" s="5">
        <f t="shared" si="43"/>
        <v>0</v>
      </c>
      <c r="AG199" s="5">
        <f t="shared" si="43"/>
        <v>1</v>
      </c>
      <c r="AH199" s="5">
        <f t="shared" si="43"/>
        <v>3</v>
      </c>
      <c r="AI199" s="5">
        <f t="shared" si="43"/>
        <v>0</v>
      </c>
      <c r="AJ199" s="5">
        <f t="shared" si="43"/>
        <v>0</v>
      </c>
      <c r="AK199" s="5">
        <f t="shared" si="43"/>
        <v>0</v>
      </c>
      <c r="AL199" s="5">
        <f t="shared" si="43"/>
        <v>0</v>
      </c>
      <c r="AM199" s="5">
        <f t="shared" si="43"/>
        <v>0</v>
      </c>
      <c r="AN199" s="5">
        <f t="shared" si="43"/>
        <v>1</v>
      </c>
      <c r="AO199" s="5">
        <f t="shared" si="43"/>
        <v>0</v>
      </c>
      <c r="AP199" s="5">
        <f t="shared" si="43"/>
        <v>2</v>
      </c>
      <c r="AQ199" s="5">
        <f t="shared" si="43"/>
        <v>0</v>
      </c>
      <c r="AR199" s="5">
        <f t="shared" si="43"/>
        <v>0</v>
      </c>
      <c r="AS199" s="5">
        <f t="shared" si="43"/>
        <v>0</v>
      </c>
      <c r="AT199" s="5">
        <f t="shared" si="43"/>
        <v>1</v>
      </c>
      <c r="AU199" s="5">
        <f t="shared" si="43"/>
        <v>0</v>
      </c>
      <c r="AV199" s="5">
        <f t="shared" si="43"/>
        <v>0</v>
      </c>
      <c r="AW199" s="5">
        <f t="shared" si="43"/>
        <v>0</v>
      </c>
      <c r="AX199" s="5">
        <f t="shared" si="43"/>
        <v>1</v>
      </c>
      <c r="AY199" s="5">
        <f t="shared" si="43"/>
        <v>0</v>
      </c>
      <c r="AZ199" s="5">
        <f t="shared" si="43"/>
        <v>0</v>
      </c>
      <c r="BA199" s="5">
        <f t="shared" si="43"/>
        <v>18</v>
      </c>
      <c r="BB199" s="28"/>
      <c r="BC199" s="28"/>
    </row>
    <row r="200" spans="1:55" x14ac:dyDescent="0.3">
      <c r="A200" s="77"/>
      <c r="B200" s="78"/>
      <c r="C200" s="78"/>
      <c r="D200" s="78"/>
      <c r="E200" s="7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20"/>
      <c r="BC200" s="20"/>
    </row>
    <row r="201" spans="1:55" x14ac:dyDescent="0.3">
      <c r="A201" s="11" t="s">
        <v>48</v>
      </c>
      <c r="B201" s="17" t="s">
        <v>73</v>
      </c>
      <c r="C201" s="75" t="s">
        <v>74</v>
      </c>
      <c r="D201" s="76"/>
      <c r="E201" s="6">
        <v>10</v>
      </c>
      <c r="F201" s="6">
        <v>4</v>
      </c>
      <c r="G201" s="6">
        <v>3</v>
      </c>
      <c r="H201" s="6">
        <v>2</v>
      </c>
      <c r="I201" s="6">
        <v>9</v>
      </c>
      <c r="J201" s="6">
        <v>2</v>
      </c>
      <c r="K201" s="6">
        <v>6</v>
      </c>
      <c r="L201" s="6">
        <v>1</v>
      </c>
      <c r="M201" s="6">
        <v>1</v>
      </c>
      <c r="N201" s="6">
        <v>1</v>
      </c>
      <c r="O201" s="6">
        <v>5</v>
      </c>
      <c r="P201" s="6">
        <v>11</v>
      </c>
      <c r="Q201" s="6">
        <v>6</v>
      </c>
      <c r="R201" s="6">
        <v>3</v>
      </c>
      <c r="S201" s="6">
        <v>1</v>
      </c>
      <c r="T201" s="6">
        <v>1</v>
      </c>
      <c r="U201" s="6">
        <v>3</v>
      </c>
      <c r="V201" s="6">
        <v>3</v>
      </c>
      <c r="W201" s="6">
        <v>3</v>
      </c>
      <c r="X201" s="6">
        <v>7</v>
      </c>
      <c r="Y201" s="6">
        <v>12</v>
      </c>
      <c r="Z201" s="6">
        <v>5</v>
      </c>
      <c r="AA201" s="6">
        <v>10</v>
      </c>
      <c r="AB201" s="6">
        <v>9</v>
      </c>
      <c r="AC201" s="6">
        <v>6</v>
      </c>
      <c r="AD201" s="6">
        <v>3</v>
      </c>
      <c r="AE201" s="6">
        <v>5</v>
      </c>
      <c r="AF201" s="6">
        <v>10</v>
      </c>
      <c r="AG201" s="6">
        <v>4</v>
      </c>
      <c r="AH201" s="6">
        <v>2</v>
      </c>
      <c r="AI201" s="6">
        <v>3</v>
      </c>
      <c r="AJ201" s="6">
        <v>4</v>
      </c>
      <c r="AK201" s="6">
        <v>4</v>
      </c>
      <c r="AL201" s="6">
        <v>10</v>
      </c>
      <c r="AM201" s="6">
        <v>7</v>
      </c>
      <c r="AN201" s="6">
        <v>2</v>
      </c>
      <c r="AO201" s="6">
        <v>2</v>
      </c>
      <c r="AP201" s="6">
        <v>4</v>
      </c>
      <c r="AQ201" s="6">
        <v>7</v>
      </c>
      <c r="AR201" s="6">
        <v>3</v>
      </c>
      <c r="AS201" s="6">
        <v>5</v>
      </c>
      <c r="AT201" s="6">
        <v>3</v>
      </c>
      <c r="AU201" s="6">
        <v>12</v>
      </c>
      <c r="AV201" s="6">
        <v>8</v>
      </c>
      <c r="AW201" s="6">
        <v>5</v>
      </c>
      <c r="AX201" s="6">
        <v>6</v>
      </c>
      <c r="AY201" s="6">
        <v>12</v>
      </c>
      <c r="AZ201" s="6">
        <v>5</v>
      </c>
      <c r="BA201" s="5">
        <f>SUM(E201:AZ201)</f>
        <v>250</v>
      </c>
      <c r="BB201" s="20"/>
      <c r="BC201" s="20"/>
    </row>
    <row r="202" spans="1:55" x14ac:dyDescent="0.3">
      <c r="A202" s="11" t="s">
        <v>50</v>
      </c>
      <c r="B202" s="54"/>
      <c r="C202" s="24" t="s">
        <v>212</v>
      </c>
      <c r="D202" s="51"/>
      <c r="E202" s="6">
        <v>1</v>
      </c>
      <c r="F202" s="6">
        <v>8</v>
      </c>
      <c r="G202" s="6">
        <v>13</v>
      </c>
      <c r="H202" s="6">
        <v>11</v>
      </c>
      <c r="I202" s="6">
        <v>40</v>
      </c>
      <c r="J202" s="6">
        <v>14</v>
      </c>
      <c r="K202" s="6">
        <v>17</v>
      </c>
      <c r="L202" s="6">
        <v>7</v>
      </c>
      <c r="M202" s="6">
        <v>42</v>
      </c>
      <c r="N202" s="6">
        <v>29</v>
      </c>
      <c r="O202" s="6">
        <v>29</v>
      </c>
      <c r="P202" s="6">
        <v>16</v>
      </c>
      <c r="Q202" s="6">
        <v>10</v>
      </c>
      <c r="R202" s="6">
        <v>5</v>
      </c>
      <c r="S202" s="6">
        <v>21</v>
      </c>
      <c r="T202" s="6">
        <v>9</v>
      </c>
      <c r="U202" s="6">
        <v>5</v>
      </c>
      <c r="V202" s="6">
        <v>24</v>
      </c>
      <c r="W202" s="6">
        <v>46</v>
      </c>
      <c r="X202" s="6">
        <v>170</v>
      </c>
      <c r="Y202" s="6">
        <v>102</v>
      </c>
      <c r="Z202" s="6">
        <v>17</v>
      </c>
      <c r="AA202" s="6">
        <v>97</v>
      </c>
      <c r="AB202" s="6">
        <v>101</v>
      </c>
      <c r="AC202" s="6">
        <v>39</v>
      </c>
      <c r="AD202" s="6">
        <v>14</v>
      </c>
      <c r="AE202" s="6">
        <v>23</v>
      </c>
      <c r="AF202" s="6">
        <v>35</v>
      </c>
      <c r="AG202" s="6">
        <v>46</v>
      </c>
      <c r="AH202" s="6">
        <v>20</v>
      </c>
      <c r="AI202" s="6">
        <v>6</v>
      </c>
      <c r="AJ202" s="6">
        <v>4</v>
      </c>
      <c r="AK202" s="6">
        <v>8</v>
      </c>
      <c r="AL202" s="6">
        <v>16</v>
      </c>
      <c r="AM202" s="6">
        <v>9</v>
      </c>
      <c r="AN202" s="6">
        <v>1</v>
      </c>
      <c r="AO202" s="6">
        <v>8</v>
      </c>
      <c r="AP202" s="6">
        <v>12</v>
      </c>
      <c r="AQ202" s="6">
        <v>8</v>
      </c>
      <c r="AR202" s="6">
        <v>11</v>
      </c>
      <c r="AS202" s="6">
        <v>9</v>
      </c>
      <c r="AT202" s="6">
        <v>7</v>
      </c>
      <c r="AU202" s="6">
        <v>19</v>
      </c>
      <c r="AV202" s="6">
        <v>10</v>
      </c>
      <c r="AW202" s="6">
        <v>10</v>
      </c>
      <c r="AX202" s="6">
        <v>10</v>
      </c>
      <c r="AY202" s="6">
        <v>13</v>
      </c>
      <c r="AZ202" s="6">
        <v>11</v>
      </c>
      <c r="BA202" s="5">
        <f t="shared" ref="BA202:BA210" si="44">SUM(E202:AZ202)</f>
        <v>1183</v>
      </c>
      <c r="BB202" s="20"/>
      <c r="BC202" s="20"/>
    </row>
    <row r="203" spans="1:55" x14ac:dyDescent="0.3">
      <c r="A203" s="7"/>
      <c r="B203" s="54"/>
      <c r="C203" s="24" t="s">
        <v>213</v>
      </c>
      <c r="D203" s="51"/>
      <c r="E203" s="6">
        <v>0</v>
      </c>
      <c r="F203" s="6">
        <v>1</v>
      </c>
      <c r="G203" s="6">
        <v>0</v>
      </c>
      <c r="H203" s="6">
        <v>1</v>
      </c>
      <c r="I203" s="6">
        <v>1</v>
      </c>
      <c r="J203" s="6">
        <v>2</v>
      </c>
      <c r="K203" s="6">
        <v>4</v>
      </c>
      <c r="L203" s="6">
        <v>1</v>
      </c>
      <c r="M203" s="6">
        <v>0</v>
      </c>
      <c r="N203" s="6">
        <v>1</v>
      </c>
      <c r="O203" s="6">
        <v>2</v>
      </c>
      <c r="P203" s="6">
        <v>2</v>
      </c>
      <c r="Q203" s="6">
        <v>0</v>
      </c>
      <c r="R203" s="6">
        <v>0</v>
      </c>
      <c r="S203" s="6">
        <v>2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4</v>
      </c>
      <c r="Z203" s="6">
        <v>3</v>
      </c>
      <c r="AA203" s="6">
        <v>1</v>
      </c>
      <c r="AB203" s="6">
        <v>2</v>
      </c>
      <c r="AC203" s="6">
        <v>0</v>
      </c>
      <c r="AD203" s="6">
        <v>0</v>
      </c>
      <c r="AE203" s="6">
        <v>1</v>
      </c>
      <c r="AF203" s="6">
        <v>0</v>
      </c>
      <c r="AG203" s="6">
        <v>2</v>
      </c>
      <c r="AH203" s="6">
        <v>1</v>
      </c>
      <c r="AI203" s="6">
        <v>1</v>
      </c>
      <c r="AJ203" s="6">
        <v>0</v>
      </c>
      <c r="AK203" s="6">
        <v>1</v>
      </c>
      <c r="AL203" s="6">
        <v>1</v>
      </c>
      <c r="AM203" s="6">
        <v>1</v>
      </c>
      <c r="AN203" s="6">
        <v>0</v>
      </c>
      <c r="AO203" s="6">
        <v>0</v>
      </c>
      <c r="AP203" s="6">
        <v>1</v>
      </c>
      <c r="AQ203" s="6">
        <v>0</v>
      </c>
      <c r="AR203" s="6">
        <v>0</v>
      </c>
      <c r="AS203" s="6">
        <v>2</v>
      </c>
      <c r="AT203" s="6">
        <v>3</v>
      </c>
      <c r="AU203" s="6">
        <v>0</v>
      </c>
      <c r="AV203" s="6">
        <v>5</v>
      </c>
      <c r="AW203" s="6">
        <v>0</v>
      </c>
      <c r="AX203" s="6">
        <v>3</v>
      </c>
      <c r="AY203" s="6">
        <v>2</v>
      </c>
      <c r="AZ203" s="6">
        <v>0</v>
      </c>
      <c r="BA203" s="5">
        <f t="shared" si="44"/>
        <v>51</v>
      </c>
      <c r="BB203" s="20"/>
      <c r="BC203" s="20"/>
    </row>
    <row r="204" spans="1:55" x14ac:dyDescent="0.3">
      <c r="A204" s="7"/>
      <c r="B204" s="54"/>
      <c r="C204" s="24" t="s">
        <v>214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1</v>
      </c>
      <c r="J204" s="6">
        <v>1</v>
      </c>
      <c r="K204" s="6">
        <v>0</v>
      </c>
      <c r="L204" s="6">
        <v>1</v>
      </c>
      <c r="M204" s="6">
        <v>0</v>
      </c>
      <c r="N204" s="6">
        <v>0</v>
      </c>
      <c r="O204" s="6">
        <v>0</v>
      </c>
      <c r="P204" s="6">
        <v>3</v>
      </c>
      <c r="Q204" s="6">
        <v>0</v>
      </c>
      <c r="R204" s="6">
        <v>1</v>
      </c>
      <c r="S204" s="6">
        <v>0</v>
      </c>
      <c r="T204" s="6">
        <v>0</v>
      </c>
      <c r="U204" s="6">
        <v>1</v>
      </c>
      <c r="V204" s="6">
        <v>0</v>
      </c>
      <c r="W204" s="6">
        <v>0</v>
      </c>
      <c r="X204" s="6">
        <v>0</v>
      </c>
      <c r="Y204" s="6">
        <v>1</v>
      </c>
      <c r="Z204" s="6">
        <v>0</v>
      </c>
      <c r="AA204" s="6">
        <v>2</v>
      </c>
      <c r="AB204" s="6">
        <v>0</v>
      </c>
      <c r="AC204" s="6">
        <v>0</v>
      </c>
      <c r="AD204" s="6">
        <v>0</v>
      </c>
      <c r="AE204" s="6">
        <v>0</v>
      </c>
      <c r="AF204" s="6">
        <v>1</v>
      </c>
      <c r="AG204" s="6">
        <v>0</v>
      </c>
      <c r="AH204" s="6">
        <v>1</v>
      </c>
      <c r="AI204" s="6">
        <v>2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1</v>
      </c>
      <c r="AS204" s="6">
        <v>0</v>
      </c>
      <c r="AT204" s="6">
        <v>0</v>
      </c>
      <c r="AU204" s="6">
        <v>2</v>
      </c>
      <c r="AV204" s="6">
        <v>1</v>
      </c>
      <c r="AW204" s="6">
        <v>2</v>
      </c>
      <c r="AX204" s="6">
        <v>1</v>
      </c>
      <c r="AY204" s="6">
        <v>1</v>
      </c>
      <c r="AZ204" s="6">
        <v>1</v>
      </c>
      <c r="BA204" s="5">
        <f t="shared" si="44"/>
        <v>24</v>
      </c>
      <c r="BB204" s="20"/>
      <c r="BC204" s="20"/>
    </row>
    <row r="205" spans="1:55" x14ac:dyDescent="0.3">
      <c r="A205" s="7"/>
      <c r="B205" s="54"/>
      <c r="C205" s="24" t="s">
        <v>215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0</v>
      </c>
      <c r="N205" s="6">
        <v>1</v>
      </c>
      <c r="O205" s="6">
        <v>0</v>
      </c>
      <c r="P205" s="6">
        <v>0</v>
      </c>
      <c r="Q205" s="6">
        <v>1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6">
        <v>0</v>
      </c>
      <c r="X205" s="6">
        <v>0</v>
      </c>
      <c r="Y205" s="6">
        <v>1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2</v>
      </c>
      <c r="AG205" s="6">
        <v>1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1</v>
      </c>
      <c r="AV205" s="6">
        <v>2</v>
      </c>
      <c r="AW205" s="6">
        <v>0</v>
      </c>
      <c r="AX205" s="6">
        <v>0</v>
      </c>
      <c r="AY205" s="6">
        <v>1</v>
      </c>
      <c r="AZ205" s="6">
        <v>0</v>
      </c>
      <c r="BA205" s="5">
        <f t="shared" si="44"/>
        <v>12</v>
      </c>
      <c r="BB205" s="20"/>
      <c r="BC205" s="20"/>
    </row>
    <row r="206" spans="1:55" x14ac:dyDescent="0.3">
      <c r="A206" s="7"/>
      <c r="B206" s="54"/>
      <c r="C206" s="24" t="s">
        <v>216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1</v>
      </c>
      <c r="T206" s="6">
        <v>0</v>
      </c>
      <c r="U206" s="6">
        <v>0</v>
      </c>
      <c r="V206" s="6">
        <v>1</v>
      </c>
      <c r="W206" s="6">
        <v>1</v>
      </c>
      <c r="X206" s="6">
        <v>1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1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1</v>
      </c>
      <c r="AT206" s="6">
        <v>0</v>
      </c>
      <c r="AU206" s="6">
        <v>0</v>
      </c>
      <c r="AV206" s="6">
        <v>1</v>
      </c>
      <c r="AW206" s="6">
        <v>0</v>
      </c>
      <c r="AX206" s="6">
        <v>0</v>
      </c>
      <c r="AY206" s="6">
        <v>1</v>
      </c>
      <c r="AZ206" s="6">
        <v>0</v>
      </c>
      <c r="BA206" s="5">
        <f t="shared" si="44"/>
        <v>9</v>
      </c>
      <c r="BB206" s="20"/>
      <c r="BC206" s="20"/>
    </row>
    <row r="207" spans="1:55" ht="13.15" customHeight="1" x14ac:dyDescent="0.3">
      <c r="A207" s="7"/>
      <c r="B207" s="54"/>
      <c r="C207" s="24" t="s">
        <v>217</v>
      </c>
      <c r="D207" s="51"/>
      <c r="E207" s="6">
        <v>2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2</v>
      </c>
      <c r="L207" s="6">
        <v>0</v>
      </c>
      <c r="M207" s="6">
        <v>0</v>
      </c>
      <c r="N207" s="6">
        <v>1</v>
      </c>
      <c r="O207" s="6">
        <v>0</v>
      </c>
      <c r="P207" s="6">
        <v>2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1</v>
      </c>
      <c r="W207" s="6">
        <v>0</v>
      </c>
      <c r="X207" s="6">
        <v>0</v>
      </c>
      <c r="Y207" s="6">
        <v>1</v>
      </c>
      <c r="Z207" s="6">
        <v>0</v>
      </c>
      <c r="AA207" s="6">
        <v>2</v>
      </c>
      <c r="AB207" s="6">
        <v>1</v>
      </c>
      <c r="AC207" s="6">
        <v>0</v>
      </c>
      <c r="AD207" s="6">
        <v>0</v>
      </c>
      <c r="AE207" s="6">
        <v>0</v>
      </c>
      <c r="AF207" s="6">
        <v>1</v>
      </c>
      <c r="AG207" s="6">
        <v>0</v>
      </c>
      <c r="AH207" s="6">
        <v>1</v>
      </c>
      <c r="AI207" s="6">
        <v>0</v>
      </c>
      <c r="AJ207" s="6">
        <v>1</v>
      </c>
      <c r="AK207" s="6">
        <v>0</v>
      </c>
      <c r="AL207" s="6">
        <v>1</v>
      </c>
      <c r="AM207" s="6">
        <v>1</v>
      </c>
      <c r="AN207" s="6">
        <v>1</v>
      </c>
      <c r="AO207" s="6">
        <v>0</v>
      </c>
      <c r="AP207" s="6">
        <v>1</v>
      </c>
      <c r="AQ207" s="6">
        <v>0</v>
      </c>
      <c r="AR207" s="6">
        <v>0</v>
      </c>
      <c r="AS207" s="6">
        <v>0</v>
      </c>
      <c r="AT207" s="6">
        <v>1</v>
      </c>
      <c r="AU207" s="6">
        <v>1</v>
      </c>
      <c r="AV207" s="6">
        <v>3</v>
      </c>
      <c r="AW207" s="6">
        <v>1</v>
      </c>
      <c r="AX207" s="6">
        <v>0</v>
      </c>
      <c r="AY207" s="6">
        <v>4</v>
      </c>
      <c r="AZ207" s="6">
        <v>1</v>
      </c>
      <c r="BA207" s="5">
        <f t="shared" si="44"/>
        <v>31</v>
      </c>
      <c r="BB207" s="1"/>
      <c r="BC207" s="1"/>
    </row>
    <row r="208" spans="1:55" x14ac:dyDescent="0.3">
      <c r="A208" s="7"/>
      <c r="B208" s="54"/>
      <c r="C208" s="24" t="s">
        <v>218</v>
      </c>
      <c r="D208" s="51"/>
      <c r="E208" s="6">
        <v>0</v>
      </c>
      <c r="F208" s="6">
        <v>1</v>
      </c>
      <c r="G208" s="6">
        <v>2</v>
      </c>
      <c r="H208" s="6">
        <v>0</v>
      </c>
      <c r="I208" s="6">
        <v>0</v>
      </c>
      <c r="J208" s="6">
        <v>2</v>
      </c>
      <c r="K208" s="6">
        <v>2</v>
      </c>
      <c r="L208" s="6">
        <v>0</v>
      </c>
      <c r="M208" s="6">
        <v>0</v>
      </c>
      <c r="N208" s="6">
        <v>2</v>
      </c>
      <c r="O208" s="6">
        <v>1</v>
      </c>
      <c r="P208" s="6">
        <v>0</v>
      </c>
      <c r="Q208" s="6">
        <v>1</v>
      </c>
      <c r="R208" s="6">
        <v>0</v>
      </c>
      <c r="S208" s="6">
        <v>0</v>
      </c>
      <c r="T208" s="6">
        <v>0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1</v>
      </c>
      <c r="AB208" s="6">
        <v>0</v>
      </c>
      <c r="AC208" s="6">
        <v>0</v>
      </c>
      <c r="AD208" s="6">
        <v>2</v>
      </c>
      <c r="AE208" s="6">
        <v>1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1</v>
      </c>
      <c r="AM208" s="6">
        <v>0</v>
      </c>
      <c r="AN208" s="6">
        <v>0</v>
      </c>
      <c r="AO208" s="6">
        <v>3</v>
      </c>
      <c r="AP208" s="6">
        <v>1</v>
      </c>
      <c r="AQ208" s="6">
        <v>0</v>
      </c>
      <c r="AR208" s="6">
        <v>0</v>
      </c>
      <c r="AS208" s="6">
        <v>2</v>
      </c>
      <c r="AT208" s="6">
        <v>1</v>
      </c>
      <c r="AU208" s="6">
        <v>0</v>
      </c>
      <c r="AV208" s="6">
        <v>0</v>
      </c>
      <c r="AW208" s="6">
        <v>0</v>
      </c>
      <c r="AX208" s="6">
        <v>0</v>
      </c>
      <c r="AY208" s="6">
        <v>1</v>
      </c>
      <c r="AZ208" s="6">
        <v>1</v>
      </c>
      <c r="BA208" s="5">
        <f t="shared" si="44"/>
        <v>27</v>
      </c>
      <c r="BB208" s="28"/>
      <c r="BC208" s="28"/>
    </row>
    <row r="209" spans="1:55" x14ac:dyDescent="0.3">
      <c r="A209" s="7"/>
      <c r="B209" s="54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1</v>
      </c>
      <c r="W209" s="6">
        <v>0</v>
      </c>
      <c r="X209" s="6">
        <v>0</v>
      </c>
      <c r="Y209" s="6">
        <v>0</v>
      </c>
      <c r="Z209" s="6">
        <v>0</v>
      </c>
      <c r="AA209" s="6">
        <v>2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5">
        <f t="shared" si="44"/>
        <v>3</v>
      </c>
      <c r="BB209" s="28"/>
      <c r="BC209" s="28"/>
    </row>
    <row r="210" spans="1:55" x14ac:dyDescent="0.3">
      <c r="A210" s="7"/>
      <c r="B210" s="54"/>
      <c r="C210" s="24" t="s">
        <v>220</v>
      </c>
      <c r="D210" s="51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1</v>
      </c>
      <c r="Q210" s="6">
        <v>1</v>
      </c>
      <c r="R210" s="6">
        <v>0</v>
      </c>
      <c r="S210" s="6">
        <v>0</v>
      </c>
      <c r="T210" s="6">
        <v>1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1</v>
      </c>
      <c r="AB210" s="6">
        <v>1</v>
      </c>
      <c r="AC210" s="6">
        <v>0</v>
      </c>
      <c r="AD210" s="6">
        <v>1</v>
      </c>
      <c r="AE210" s="6">
        <v>0</v>
      </c>
      <c r="AF210" s="6">
        <v>1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1</v>
      </c>
      <c r="AM210" s="6">
        <v>1</v>
      </c>
      <c r="AN210" s="6">
        <v>1</v>
      </c>
      <c r="AO210" s="6">
        <v>0</v>
      </c>
      <c r="AP210" s="6">
        <v>0</v>
      </c>
      <c r="AQ210" s="6">
        <v>1</v>
      </c>
      <c r="AR210" s="6">
        <v>0</v>
      </c>
      <c r="AS210" s="6">
        <v>0</v>
      </c>
      <c r="AT210" s="6">
        <v>0</v>
      </c>
      <c r="AU210" s="6">
        <v>1</v>
      </c>
      <c r="AV210" s="6">
        <v>1</v>
      </c>
      <c r="AW210" s="6">
        <v>0</v>
      </c>
      <c r="AX210" s="6">
        <v>2</v>
      </c>
      <c r="AY210" s="6">
        <v>0</v>
      </c>
      <c r="AZ210" s="6">
        <v>0</v>
      </c>
      <c r="BA210" s="5">
        <f t="shared" si="44"/>
        <v>16</v>
      </c>
      <c r="BB210" s="28"/>
      <c r="BC210" s="28"/>
    </row>
    <row r="211" spans="1:55" x14ac:dyDescent="0.3">
      <c r="A211" s="6" t="s">
        <v>26</v>
      </c>
      <c r="B211" s="69" t="s">
        <v>51</v>
      </c>
      <c r="C211" s="70"/>
      <c r="D211" s="71"/>
      <c r="E211" s="5">
        <f>SUM(E201:E210)</f>
        <v>13</v>
      </c>
      <c r="F211" s="5">
        <f t="shared" ref="F211:BA211" si="45">SUM(F201:F210)</f>
        <v>14</v>
      </c>
      <c r="G211" s="5">
        <f t="shared" si="45"/>
        <v>18</v>
      </c>
      <c r="H211" s="5">
        <f t="shared" si="45"/>
        <v>15</v>
      </c>
      <c r="I211" s="5">
        <f t="shared" si="45"/>
        <v>51</v>
      </c>
      <c r="J211" s="5">
        <f t="shared" si="45"/>
        <v>21</v>
      </c>
      <c r="K211" s="5">
        <f t="shared" si="45"/>
        <v>31</v>
      </c>
      <c r="L211" s="5">
        <f t="shared" si="45"/>
        <v>11</v>
      </c>
      <c r="M211" s="5">
        <f t="shared" si="45"/>
        <v>43</v>
      </c>
      <c r="N211" s="5">
        <f t="shared" si="45"/>
        <v>36</v>
      </c>
      <c r="O211" s="5">
        <f t="shared" si="45"/>
        <v>37</v>
      </c>
      <c r="P211" s="5">
        <f t="shared" si="45"/>
        <v>35</v>
      </c>
      <c r="Q211" s="5">
        <f t="shared" si="45"/>
        <v>19</v>
      </c>
      <c r="R211" s="5">
        <f t="shared" si="45"/>
        <v>9</v>
      </c>
      <c r="S211" s="5">
        <f t="shared" si="45"/>
        <v>25</v>
      </c>
      <c r="T211" s="5">
        <f t="shared" si="45"/>
        <v>11</v>
      </c>
      <c r="U211" s="5">
        <f t="shared" si="45"/>
        <v>10</v>
      </c>
      <c r="V211" s="5">
        <f t="shared" si="45"/>
        <v>31</v>
      </c>
      <c r="W211" s="5">
        <f t="shared" si="45"/>
        <v>50</v>
      </c>
      <c r="X211" s="5">
        <f t="shared" si="45"/>
        <v>178</v>
      </c>
      <c r="Y211" s="5">
        <f t="shared" si="45"/>
        <v>121</v>
      </c>
      <c r="Z211" s="5">
        <f t="shared" si="45"/>
        <v>25</v>
      </c>
      <c r="AA211" s="5">
        <f t="shared" si="45"/>
        <v>116</v>
      </c>
      <c r="AB211" s="5">
        <f t="shared" si="45"/>
        <v>114</v>
      </c>
      <c r="AC211" s="5">
        <f t="shared" si="45"/>
        <v>45</v>
      </c>
      <c r="AD211" s="5">
        <f t="shared" si="45"/>
        <v>20</v>
      </c>
      <c r="AE211" s="5">
        <f t="shared" si="45"/>
        <v>30</v>
      </c>
      <c r="AF211" s="5">
        <f t="shared" si="45"/>
        <v>51</v>
      </c>
      <c r="AG211" s="5">
        <f t="shared" si="45"/>
        <v>53</v>
      </c>
      <c r="AH211" s="5">
        <f t="shared" si="45"/>
        <v>25</v>
      </c>
      <c r="AI211" s="5">
        <f t="shared" si="45"/>
        <v>12</v>
      </c>
      <c r="AJ211" s="5">
        <f t="shared" si="45"/>
        <v>9</v>
      </c>
      <c r="AK211" s="5">
        <f t="shared" si="45"/>
        <v>14</v>
      </c>
      <c r="AL211" s="5">
        <f t="shared" si="45"/>
        <v>31</v>
      </c>
      <c r="AM211" s="5">
        <f t="shared" si="45"/>
        <v>19</v>
      </c>
      <c r="AN211" s="5">
        <f t="shared" si="45"/>
        <v>5</v>
      </c>
      <c r="AO211" s="5">
        <f t="shared" si="45"/>
        <v>13</v>
      </c>
      <c r="AP211" s="5">
        <f t="shared" si="45"/>
        <v>19</v>
      </c>
      <c r="AQ211" s="5">
        <f t="shared" si="45"/>
        <v>16</v>
      </c>
      <c r="AR211" s="5">
        <f t="shared" si="45"/>
        <v>15</v>
      </c>
      <c r="AS211" s="5">
        <f t="shared" si="45"/>
        <v>19</v>
      </c>
      <c r="AT211" s="5">
        <f t="shared" si="45"/>
        <v>15</v>
      </c>
      <c r="AU211" s="5">
        <f t="shared" si="45"/>
        <v>36</v>
      </c>
      <c r="AV211" s="5">
        <f t="shared" si="45"/>
        <v>31</v>
      </c>
      <c r="AW211" s="5">
        <f t="shared" si="45"/>
        <v>18</v>
      </c>
      <c r="AX211" s="5">
        <f t="shared" si="45"/>
        <v>22</v>
      </c>
      <c r="AY211" s="5">
        <f t="shared" si="45"/>
        <v>35</v>
      </c>
      <c r="AZ211" s="5">
        <f t="shared" si="45"/>
        <v>19</v>
      </c>
      <c r="BA211" s="5">
        <f t="shared" si="45"/>
        <v>1606</v>
      </c>
      <c r="BB211" s="20"/>
      <c r="BC211" s="20"/>
    </row>
    <row r="212" spans="1:55" x14ac:dyDescent="0.3">
      <c r="A212" s="77"/>
      <c r="B212" s="78"/>
      <c r="C212" s="78"/>
      <c r="D212" s="78"/>
      <c r="E212" s="7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20"/>
      <c r="BC212" s="20"/>
    </row>
    <row r="213" spans="1:55" x14ac:dyDescent="0.3">
      <c r="A213" s="11" t="s">
        <v>48</v>
      </c>
      <c r="B213" s="17" t="s">
        <v>75</v>
      </c>
      <c r="C213" s="75" t="s">
        <v>76</v>
      </c>
      <c r="D213" s="76"/>
      <c r="E213" s="6">
        <v>4</v>
      </c>
      <c r="F213" s="6">
        <v>2</v>
      </c>
      <c r="G213" s="6">
        <v>3</v>
      </c>
      <c r="H213" s="6">
        <v>4</v>
      </c>
      <c r="I213" s="6">
        <v>8</v>
      </c>
      <c r="J213" s="6">
        <v>4</v>
      </c>
      <c r="K213" s="6">
        <v>5</v>
      </c>
      <c r="L213" s="6">
        <v>7</v>
      </c>
      <c r="M213" s="6">
        <v>2</v>
      </c>
      <c r="N213" s="6">
        <v>4</v>
      </c>
      <c r="O213" s="6">
        <v>0</v>
      </c>
      <c r="P213" s="6">
        <v>0</v>
      </c>
      <c r="Q213" s="6">
        <v>3</v>
      </c>
      <c r="R213" s="6">
        <v>8</v>
      </c>
      <c r="S213" s="6">
        <v>3</v>
      </c>
      <c r="T213" s="6">
        <v>7</v>
      </c>
      <c r="U213" s="6">
        <v>5</v>
      </c>
      <c r="V213" s="6">
        <v>2</v>
      </c>
      <c r="W213" s="6">
        <v>1</v>
      </c>
      <c r="X213" s="6">
        <v>0</v>
      </c>
      <c r="Y213" s="6">
        <v>1</v>
      </c>
      <c r="Z213" s="6">
        <v>1</v>
      </c>
      <c r="AA213" s="6">
        <v>3</v>
      </c>
      <c r="AB213" s="6">
        <v>0</v>
      </c>
      <c r="AC213" s="6">
        <v>2</v>
      </c>
      <c r="AD213" s="6">
        <v>5</v>
      </c>
      <c r="AE213" s="6">
        <v>5</v>
      </c>
      <c r="AF213" s="6">
        <v>3</v>
      </c>
      <c r="AG213" s="6">
        <v>3</v>
      </c>
      <c r="AH213" s="6">
        <v>1</v>
      </c>
      <c r="AI213" s="6">
        <v>3</v>
      </c>
      <c r="AJ213" s="6">
        <v>2</v>
      </c>
      <c r="AK213" s="6">
        <v>3</v>
      </c>
      <c r="AL213" s="6">
        <v>4</v>
      </c>
      <c r="AM213" s="6">
        <v>5</v>
      </c>
      <c r="AN213" s="6">
        <v>3</v>
      </c>
      <c r="AO213" s="6">
        <v>5</v>
      </c>
      <c r="AP213" s="6">
        <v>5</v>
      </c>
      <c r="AQ213" s="6">
        <v>3</v>
      </c>
      <c r="AR213" s="6">
        <v>2</v>
      </c>
      <c r="AS213" s="6">
        <v>2</v>
      </c>
      <c r="AT213" s="6">
        <v>4</v>
      </c>
      <c r="AU213" s="6">
        <v>4</v>
      </c>
      <c r="AV213" s="6">
        <v>2</v>
      </c>
      <c r="AW213" s="6">
        <v>4</v>
      </c>
      <c r="AX213" s="6">
        <v>3</v>
      </c>
      <c r="AY213" s="6">
        <v>3</v>
      </c>
      <c r="AZ213" s="6">
        <v>0</v>
      </c>
      <c r="BA213" s="5">
        <f t="shared" ref="BA213:BA216" si="46">SUM(E213:AZ213)</f>
        <v>153</v>
      </c>
      <c r="BB213" s="20"/>
      <c r="BC213" s="20"/>
    </row>
    <row r="214" spans="1:55" x14ac:dyDescent="0.3">
      <c r="A214" s="11" t="s">
        <v>50</v>
      </c>
      <c r="B214" s="54"/>
      <c r="C214" s="24" t="s">
        <v>221</v>
      </c>
      <c r="D214" s="55"/>
      <c r="E214" s="6">
        <v>6</v>
      </c>
      <c r="F214" s="6">
        <v>3</v>
      </c>
      <c r="G214" s="6">
        <v>0</v>
      </c>
      <c r="H214" s="6">
        <v>0</v>
      </c>
      <c r="I214" s="6">
        <v>0</v>
      </c>
      <c r="J214" s="6">
        <v>1</v>
      </c>
      <c r="K214" s="6">
        <v>6</v>
      </c>
      <c r="L214" s="6">
        <v>3</v>
      </c>
      <c r="M214" s="6">
        <v>0</v>
      </c>
      <c r="N214" s="6">
        <v>2</v>
      </c>
      <c r="O214" s="6">
        <v>0</v>
      </c>
      <c r="P214" s="6">
        <v>2</v>
      </c>
      <c r="Q214" s="6">
        <v>3</v>
      </c>
      <c r="R214" s="6">
        <v>0</v>
      </c>
      <c r="S214" s="6">
        <v>4</v>
      </c>
      <c r="T214" s="6">
        <v>4</v>
      </c>
      <c r="U214" s="6">
        <v>0</v>
      </c>
      <c r="V214" s="6">
        <v>4</v>
      </c>
      <c r="W214" s="6">
        <v>3</v>
      </c>
      <c r="X214" s="6">
        <v>0</v>
      </c>
      <c r="Y214" s="6">
        <v>1</v>
      </c>
      <c r="Z214" s="6">
        <v>0</v>
      </c>
      <c r="AA214" s="6">
        <v>1</v>
      </c>
      <c r="AB214" s="6">
        <v>3</v>
      </c>
      <c r="AC214" s="6">
        <v>1</v>
      </c>
      <c r="AD214" s="6">
        <v>3</v>
      </c>
      <c r="AE214" s="6">
        <v>2</v>
      </c>
      <c r="AF214" s="6">
        <v>0</v>
      </c>
      <c r="AG214" s="6">
        <v>2</v>
      </c>
      <c r="AH214" s="6">
        <v>2</v>
      </c>
      <c r="AI214" s="6">
        <v>1</v>
      </c>
      <c r="AJ214" s="6">
        <v>0</v>
      </c>
      <c r="AK214" s="6">
        <v>0</v>
      </c>
      <c r="AL214" s="6">
        <v>6</v>
      </c>
      <c r="AM214" s="6">
        <v>1</v>
      </c>
      <c r="AN214" s="6">
        <v>3</v>
      </c>
      <c r="AO214" s="6">
        <v>0</v>
      </c>
      <c r="AP214" s="6">
        <v>0</v>
      </c>
      <c r="AQ214" s="6">
        <v>0</v>
      </c>
      <c r="AR214" s="6">
        <v>1</v>
      </c>
      <c r="AS214" s="6">
        <v>3</v>
      </c>
      <c r="AT214" s="6">
        <v>5</v>
      </c>
      <c r="AU214" s="6">
        <v>0</v>
      </c>
      <c r="AV214" s="6">
        <v>3</v>
      </c>
      <c r="AW214" s="6">
        <v>5</v>
      </c>
      <c r="AX214" s="6">
        <v>3</v>
      </c>
      <c r="AY214" s="6">
        <v>2</v>
      </c>
      <c r="AZ214" s="6">
        <v>1</v>
      </c>
      <c r="BA214" s="5">
        <f t="shared" si="46"/>
        <v>90</v>
      </c>
      <c r="BB214" s="20"/>
      <c r="BC214" s="20"/>
    </row>
    <row r="215" spans="1:55" x14ac:dyDescent="0.3">
      <c r="A215" s="7"/>
      <c r="B215" s="54"/>
      <c r="C215" s="24" t="s">
        <v>222</v>
      </c>
      <c r="D215" s="55"/>
      <c r="E215" s="6">
        <v>2</v>
      </c>
      <c r="F215" s="6">
        <v>1</v>
      </c>
      <c r="G215" s="6">
        <v>3</v>
      </c>
      <c r="H215" s="6">
        <v>1</v>
      </c>
      <c r="I215" s="6">
        <v>4</v>
      </c>
      <c r="J215" s="6">
        <v>4</v>
      </c>
      <c r="K215" s="6">
        <v>2</v>
      </c>
      <c r="L215" s="6">
        <v>2</v>
      </c>
      <c r="M215" s="6">
        <v>2</v>
      </c>
      <c r="N215" s="6">
        <v>1</v>
      </c>
      <c r="O215" s="6">
        <v>1</v>
      </c>
      <c r="P215" s="6">
        <v>1</v>
      </c>
      <c r="Q215" s="6">
        <v>0</v>
      </c>
      <c r="R215" s="6">
        <v>4</v>
      </c>
      <c r="S215" s="6">
        <v>1</v>
      </c>
      <c r="T215" s="6">
        <v>2</v>
      </c>
      <c r="U215" s="6">
        <v>1</v>
      </c>
      <c r="V215" s="6">
        <v>4</v>
      </c>
      <c r="W215" s="6">
        <v>0</v>
      </c>
      <c r="X215" s="6">
        <v>0</v>
      </c>
      <c r="Y215" s="6">
        <v>1</v>
      </c>
      <c r="Z215" s="6">
        <v>1</v>
      </c>
      <c r="AA215" s="6">
        <v>0</v>
      </c>
      <c r="AB215" s="6">
        <v>2</v>
      </c>
      <c r="AC215" s="6">
        <v>2</v>
      </c>
      <c r="AD215" s="6">
        <v>1</v>
      </c>
      <c r="AE215" s="6">
        <v>5</v>
      </c>
      <c r="AF215" s="6">
        <v>2</v>
      </c>
      <c r="AG215" s="6">
        <v>1</v>
      </c>
      <c r="AH215" s="6">
        <v>0</v>
      </c>
      <c r="AI215" s="6">
        <v>1</v>
      </c>
      <c r="AJ215" s="6">
        <v>1</v>
      </c>
      <c r="AK215" s="6">
        <v>1</v>
      </c>
      <c r="AL215" s="6">
        <v>1</v>
      </c>
      <c r="AM215" s="6">
        <v>2</v>
      </c>
      <c r="AN215" s="6">
        <v>5</v>
      </c>
      <c r="AO215" s="6">
        <v>0</v>
      </c>
      <c r="AP215" s="6">
        <v>1</v>
      </c>
      <c r="AQ215" s="6">
        <v>2</v>
      </c>
      <c r="AR215" s="6">
        <v>0</v>
      </c>
      <c r="AS215" s="6">
        <v>3</v>
      </c>
      <c r="AT215" s="6">
        <v>0</v>
      </c>
      <c r="AU215" s="6">
        <v>2</v>
      </c>
      <c r="AV215" s="6">
        <v>1</v>
      </c>
      <c r="AW215" s="6">
        <v>2</v>
      </c>
      <c r="AX215" s="6">
        <v>1</v>
      </c>
      <c r="AY215" s="6">
        <v>2</v>
      </c>
      <c r="AZ215" s="6">
        <v>0</v>
      </c>
      <c r="BA215" s="5">
        <f t="shared" si="46"/>
        <v>76</v>
      </c>
      <c r="BB215" s="20"/>
      <c r="BC215" s="20"/>
    </row>
    <row r="216" spans="1:55" x14ac:dyDescent="0.3">
      <c r="A216" s="7"/>
      <c r="B216" s="54"/>
      <c r="C216" s="24" t="s">
        <v>223</v>
      </c>
      <c r="E216" s="6">
        <v>0</v>
      </c>
      <c r="F216" s="6">
        <v>1</v>
      </c>
      <c r="G216" s="6">
        <v>1</v>
      </c>
      <c r="H216" s="6">
        <v>1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3</v>
      </c>
      <c r="R216" s="6">
        <v>0</v>
      </c>
      <c r="S216" s="6">
        <v>2</v>
      </c>
      <c r="T216" s="6">
        <v>1</v>
      </c>
      <c r="U216" s="6">
        <v>1</v>
      </c>
      <c r="V216" s="6">
        <v>1</v>
      </c>
      <c r="W216" s="6">
        <v>0</v>
      </c>
      <c r="X216" s="6">
        <v>0</v>
      </c>
      <c r="Y216" s="6">
        <v>0</v>
      </c>
      <c r="Z216" s="6">
        <v>0</v>
      </c>
      <c r="AA216" s="6">
        <v>1</v>
      </c>
      <c r="AB216" s="6">
        <v>0</v>
      </c>
      <c r="AC216" s="6">
        <v>0</v>
      </c>
      <c r="AD216" s="6">
        <v>0</v>
      </c>
      <c r="AE216" s="6">
        <v>2</v>
      </c>
      <c r="AF216" s="6">
        <v>0</v>
      </c>
      <c r="AG216" s="6">
        <v>0</v>
      </c>
      <c r="AH216" s="6">
        <v>0</v>
      </c>
      <c r="AI216" s="6">
        <v>1</v>
      </c>
      <c r="AJ216" s="6">
        <v>0</v>
      </c>
      <c r="AK216" s="6">
        <v>0</v>
      </c>
      <c r="AL216" s="6">
        <v>0</v>
      </c>
      <c r="AM216" s="6">
        <v>2</v>
      </c>
      <c r="AN216" s="6">
        <v>1</v>
      </c>
      <c r="AO216" s="6">
        <v>0</v>
      </c>
      <c r="AP216" s="6">
        <v>1</v>
      </c>
      <c r="AQ216" s="6">
        <v>0</v>
      </c>
      <c r="AR216" s="6">
        <v>0</v>
      </c>
      <c r="AS216" s="6">
        <v>0</v>
      </c>
      <c r="AT216" s="6">
        <v>1</v>
      </c>
      <c r="AU216" s="6">
        <v>0</v>
      </c>
      <c r="AV216" s="6">
        <v>0</v>
      </c>
      <c r="AW216" s="6">
        <v>1</v>
      </c>
      <c r="AX216" s="6">
        <v>0</v>
      </c>
      <c r="AY216" s="6">
        <v>0</v>
      </c>
      <c r="AZ216" s="6">
        <v>0</v>
      </c>
      <c r="BA216" s="5">
        <f t="shared" si="46"/>
        <v>22</v>
      </c>
      <c r="BB216" s="20"/>
      <c r="BC216" s="20"/>
    </row>
    <row r="217" spans="1:55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50"/>
      <c r="BB217" s="20"/>
      <c r="BC217" s="20"/>
    </row>
    <row r="218" spans="1:55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50"/>
      <c r="BB218" s="1"/>
      <c r="BC218" s="1"/>
    </row>
    <row r="219" spans="1:55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50"/>
      <c r="BB219" s="28"/>
      <c r="BC219" s="28"/>
    </row>
    <row r="220" spans="1:55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50"/>
      <c r="BB220" s="20"/>
      <c r="BC220" s="20"/>
    </row>
    <row r="221" spans="1:55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50"/>
      <c r="BB221" s="20"/>
      <c r="BC221" s="20"/>
    </row>
    <row r="222" spans="1:55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50"/>
      <c r="BB222" s="20"/>
      <c r="BC222" s="20"/>
    </row>
    <row r="223" spans="1:55" x14ac:dyDescent="0.3">
      <c r="A223" s="6" t="s">
        <v>26</v>
      </c>
      <c r="B223" s="69" t="s">
        <v>51</v>
      </c>
      <c r="C223" s="70"/>
      <c r="D223" s="71"/>
      <c r="E223" s="5">
        <f>SUM(E213:E222)</f>
        <v>12</v>
      </c>
      <c r="F223" s="5">
        <f t="shared" ref="F223:BA223" si="47">SUM(F213:F222)</f>
        <v>7</v>
      </c>
      <c r="G223" s="5">
        <f t="shared" si="47"/>
        <v>7</v>
      </c>
      <c r="H223" s="5">
        <f t="shared" si="47"/>
        <v>6</v>
      </c>
      <c r="I223" s="5">
        <f t="shared" si="47"/>
        <v>12</v>
      </c>
      <c r="J223" s="5">
        <f t="shared" si="47"/>
        <v>9</v>
      </c>
      <c r="K223" s="5">
        <f t="shared" si="47"/>
        <v>14</v>
      </c>
      <c r="L223" s="5">
        <f t="shared" si="47"/>
        <v>12</v>
      </c>
      <c r="M223" s="5">
        <f t="shared" si="47"/>
        <v>4</v>
      </c>
      <c r="N223" s="5">
        <f t="shared" si="47"/>
        <v>7</v>
      </c>
      <c r="O223" s="5">
        <f t="shared" si="47"/>
        <v>1</v>
      </c>
      <c r="P223" s="5">
        <f t="shared" si="47"/>
        <v>3</v>
      </c>
      <c r="Q223" s="5">
        <f t="shared" si="47"/>
        <v>9</v>
      </c>
      <c r="R223" s="5">
        <f t="shared" si="47"/>
        <v>12</v>
      </c>
      <c r="S223" s="5">
        <f t="shared" si="47"/>
        <v>10</v>
      </c>
      <c r="T223" s="5">
        <f t="shared" si="47"/>
        <v>14</v>
      </c>
      <c r="U223" s="5">
        <f t="shared" si="47"/>
        <v>7</v>
      </c>
      <c r="V223" s="5">
        <f t="shared" si="47"/>
        <v>11</v>
      </c>
      <c r="W223" s="5">
        <f t="shared" si="47"/>
        <v>4</v>
      </c>
      <c r="X223" s="5">
        <f t="shared" si="47"/>
        <v>0</v>
      </c>
      <c r="Y223" s="5">
        <f t="shared" si="47"/>
        <v>3</v>
      </c>
      <c r="Z223" s="5">
        <f t="shared" si="47"/>
        <v>2</v>
      </c>
      <c r="AA223" s="5">
        <f t="shared" si="47"/>
        <v>5</v>
      </c>
      <c r="AB223" s="5">
        <f t="shared" si="47"/>
        <v>5</v>
      </c>
      <c r="AC223" s="5">
        <f t="shared" si="47"/>
        <v>5</v>
      </c>
      <c r="AD223" s="5">
        <f t="shared" si="47"/>
        <v>9</v>
      </c>
      <c r="AE223" s="5">
        <f t="shared" si="47"/>
        <v>14</v>
      </c>
      <c r="AF223" s="5">
        <f t="shared" si="47"/>
        <v>5</v>
      </c>
      <c r="AG223" s="5">
        <f t="shared" si="47"/>
        <v>6</v>
      </c>
      <c r="AH223" s="5">
        <f t="shared" si="47"/>
        <v>3</v>
      </c>
      <c r="AI223" s="5">
        <f t="shared" si="47"/>
        <v>6</v>
      </c>
      <c r="AJ223" s="5">
        <f t="shared" si="47"/>
        <v>3</v>
      </c>
      <c r="AK223" s="5">
        <f t="shared" si="47"/>
        <v>4</v>
      </c>
      <c r="AL223" s="5">
        <f t="shared" si="47"/>
        <v>11</v>
      </c>
      <c r="AM223" s="5">
        <f t="shared" si="47"/>
        <v>10</v>
      </c>
      <c r="AN223" s="5">
        <f t="shared" si="47"/>
        <v>12</v>
      </c>
      <c r="AO223" s="5">
        <f t="shared" si="47"/>
        <v>5</v>
      </c>
      <c r="AP223" s="5">
        <f t="shared" si="47"/>
        <v>7</v>
      </c>
      <c r="AQ223" s="5">
        <f t="shared" si="47"/>
        <v>5</v>
      </c>
      <c r="AR223" s="5">
        <f t="shared" si="47"/>
        <v>3</v>
      </c>
      <c r="AS223" s="5">
        <f t="shared" si="47"/>
        <v>8</v>
      </c>
      <c r="AT223" s="5">
        <f t="shared" si="47"/>
        <v>10</v>
      </c>
      <c r="AU223" s="5">
        <f t="shared" si="47"/>
        <v>6</v>
      </c>
      <c r="AV223" s="5">
        <f t="shared" si="47"/>
        <v>6</v>
      </c>
      <c r="AW223" s="5">
        <f t="shared" si="47"/>
        <v>12</v>
      </c>
      <c r="AX223" s="5">
        <f t="shared" si="47"/>
        <v>7</v>
      </c>
      <c r="AY223" s="5">
        <f t="shared" si="47"/>
        <v>7</v>
      </c>
      <c r="AZ223" s="5">
        <f t="shared" si="47"/>
        <v>1</v>
      </c>
      <c r="BA223" s="5">
        <f t="shared" si="47"/>
        <v>341</v>
      </c>
      <c r="BB223" s="20"/>
      <c r="BC223" s="20"/>
    </row>
    <row r="224" spans="1:55" x14ac:dyDescent="0.3">
      <c r="A224" s="77"/>
      <c r="B224" s="78"/>
      <c r="C224" s="78"/>
      <c r="D224" s="78"/>
      <c r="E224" s="7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20"/>
      <c r="BC224" s="20"/>
    </row>
    <row r="225" spans="1:55" x14ac:dyDescent="0.3">
      <c r="A225" s="11" t="s">
        <v>48</v>
      </c>
      <c r="B225" s="17" t="s">
        <v>77</v>
      </c>
      <c r="C225" s="75" t="s">
        <v>78</v>
      </c>
      <c r="D225" s="76"/>
      <c r="E225" s="6">
        <v>0</v>
      </c>
      <c r="F225" s="6">
        <v>3</v>
      </c>
      <c r="G225" s="6">
        <v>0</v>
      </c>
      <c r="H225" s="6">
        <v>0</v>
      </c>
      <c r="I225" s="6">
        <v>1</v>
      </c>
      <c r="J225" s="6">
        <v>1</v>
      </c>
      <c r="K225" s="6">
        <v>0</v>
      </c>
      <c r="L225" s="6">
        <v>1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2</v>
      </c>
      <c r="T225" s="6">
        <v>2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1</v>
      </c>
      <c r="AF225" s="6">
        <v>0</v>
      </c>
      <c r="AG225" s="6">
        <v>0</v>
      </c>
      <c r="AH225" s="6">
        <v>0</v>
      </c>
      <c r="AI225" s="6">
        <v>1</v>
      </c>
      <c r="AJ225" s="6">
        <v>0</v>
      </c>
      <c r="AK225" s="6">
        <v>0</v>
      </c>
      <c r="AL225" s="6">
        <v>1</v>
      </c>
      <c r="AM225" s="6">
        <v>0</v>
      </c>
      <c r="AN225" s="6">
        <v>1</v>
      </c>
      <c r="AO225" s="6">
        <v>0</v>
      </c>
      <c r="AP225" s="6">
        <v>1</v>
      </c>
      <c r="AQ225" s="6">
        <v>1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5">
        <f t="shared" ref="BA225:BA229" si="48">SUM(E225:AZ225)</f>
        <v>16</v>
      </c>
      <c r="BB225" s="20"/>
      <c r="BC225" s="20"/>
    </row>
    <row r="226" spans="1:55" x14ac:dyDescent="0.3">
      <c r="A226" s="11" t="s">
        <v>50</v>
      </c>
      <c r="B226" s="54"/>
      <c r="C226" s="24" t="s">
        <v>224</v>
      </c>
      <c r="D226" s="51"/>
      <c r="E226" s="6">
        <v>0</v>
      </c>
      <c r="F226" s="6">
        <v>12</v>
      </c>
      <c r="G226" s="6">
        <v>3</v>
      </c>
      <c r="H226" s="6">
        <v>2</v>
      </c>
      <c r="I226" s="6">
        <v>3</v>
      </c>
      <c r="J226" s="6">
        <v>2</v>
      </c>
      <c r="K226" s="6">
        <v>1</v>
      </c>
      <c r="L226" s="6">
        <v>1</v>
      </c>
      <c r="M226" s="6">
        <v>0</v>
      </c>
      <c r="N226" s="6">
        <v>0</v>
      </c>
      <c r="O226" s="6">
        <v>0</v>
      </c>
      <c r="P226" s="6">
        <v>7</v>
      </c>
      <c r="Q226" s="6">
        <v>0</v>
      </c>
      <c r="R226" s="6">
        <v>1</v>
      </c>
      <c r="S226" s="6">
        <v>1</v>
      </c>
      <c r="T226" s="6">
        <v>1</v>
      </c>
      <c r="U226" s="6">
        <v>0</v>
      </c>
      <c r="V226" s="6">
        <v>1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2</v>
      </c>
      <c r="AF226" s="6">
        <v>0</v>
      </c>
      <c r="AG226" s="6">
        <v>0</v>
      </c>
      <c r="AH226" s="6">
        <v>0</v>
      </c>
      <c r="AI226" s="6">
        <v>1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1</v>
      </c>
      <c r="AW226" s="6">
        <v>0</v>
      </c>
      <c r="AX226" s="6">
        <v>4</v>
      </c>
      <c r="AY226" s="6">
        <v>0</v>
      </c>
      <c r="AZ226" s="6">
        <v>0</v>
      </c>
      <c r="BA226" s="5">
        <f t="shared" si="48"/>
        <v>43</v>
      </c>
      <c r="BB226" s="20"/>
      <c r="BC226" s="20"/>
    </row>
    <row r="227" spans="1:55" x14ac:dyDescent="0.3">
      <c r="A227" s="7"/>
      <c r="B227" s="54"/>
      <c r="C227" s="24" t="s">
        <v>225</v>
      </c>
      <c r="D227" s="51"/>
      <c r="E227" s="6">
        <v>0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2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2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5">
        <f t="shared" si="48"/>
        <v>6</v>
      </c>
      <c r="BB227" s="20"/>
      <c r="BC227" s="20"/>
    </row>
    <row r="228" spans="1:55" x14ac:dyDescent="0.3">
      <c r="A228" s="7"/>
      <c r="B228" s="54"/>
      <c r="C228" s="24" t="s">
        <v>226</v>
      </c>
      <c r="D228" s="51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1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5">
        <f t="shared" si="48"/>
        <v>1</v>
      </c>
      <c r="BB228" s="20"/>
      <c r="BC228" s="20"/>
    </row>
    <row r="229" spans="1:55" ht="13.15" customHeight="1" x14ac:dyDescent="0.3">
      <c r="A229" s="7"/>
      <c r="B229" s="54"/>
      <c r="C229" s="24" t="s">
        <v>227</v>
      </c>
      <c r="D229" s="51"/>
      <c r="E229" s="6">
        <v>1</v>
      </c>
      <c r="F229" s="6">
        <v>1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1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1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1</v>
      </c>
      <c r="AQ229" s="6">
        <v>0</v>
      </c>
      <c r="AR229" s="6">
        <v>0</v>
      </c>
      <c r="AS229" s="6">
        <v>0</v>
      </c>
      <c r="AT229" s="6">
        <v>1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5">
        <f t="shared" si="48"/>
        <v>6</v>
      </c>
      <c r="BB229" s="1"/>
      <c r="BC229" s="1"/>
    </row>
    <row r="230" spans="1:55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50"/>
      <c r="BB230" s="28"/>
      <c r="BC230" s="28"/>
    </row>
    <row r="231" spans="1:55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50"/>
      <c r="BB231" s="20"/>
      <c r="BC231" s="20"/>
    </row>
    <row r="232" spans="1:55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50"/>
      <c r="BB232" s="20"/>
      <c r="BC232" s="20"/>
    </row>
    <row r="233" spans="1:55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50"/>
      <c r="BB233" s="20"/>
      <c r="BC233" s="20"/>
    </row>
    <row r="234" spans="1:55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50"/>
      <c r="BB234" s="20"/>
      <c r="BC234" s="20"/>
    </row>
    <row r="235" spans="1:55" x14ac:dyDescent="0.3">
      <c r="A235" s="6" t="s">
        <v>26</v>
      </c>
      <c r="B235" s="69" t="s">
        <v>51</v>
      </c>
      <c r="C235" s="70"/>
      <c r="D235" s="71"/>
      <c r="E235" s="5">
        <f>SUM(E225:E234)</f>
        <v>1</v>
      </c>
      <c r="F235" s="5">
        <f t="shared" ref="F235:BA235" si="49">SUM(F225:F234)</f>
        <v>16</v>
      </c>
      <c r="G235" s="5">
        <f t="shared" si="49"/>
        <v>4</v>
      </c>
      <c r="H235" s="5">
        <f t="shared" si="49"/>
        <v>2</v>
      </c>
      <c r="I235" s="5">
        <f t="shared" si="49"/>
        <v>4</v>
      </c>
      <c r="J235" s="5">
        <f t="shared" si="49"/>
        <v>3</v>
      </c>
      <c r="K235" s="5">
        <f t="shared" si="49"/>
        <v>2</v>
      </c>
      <c r="L235" s="5">
        <f t="shared" si="49"/>
        <v>3</v>
      </c>
      <c r="M235" s="5">
        <f t="shared" si="49"/>
        <v>0</v>
      </c>
      <c r="N235" s="5">
        <f t="shared" si="49"/>
        <v>0</v>
      </c>
      <c r="O235" s="5">
        <f t="shared" si="49"/>
        <v>0</v>
      </c>
      <c r="P235" s="5">
        <f t="shared" si="49"/>
        <v>7</v>
      </c>
      <c r="Q235" s="5">
        <f t="shared" si="49"/>
        <v>0</v>
      </c>
      <c r="R235" s="5">
        <f t="shared" si="49"/>
        <v>3</v>
      </c>
      <c r="S235" s="5">
        <f t="shared" si="49"/>
        <v>3</v>
      </c>
      <c r="T235" s="5">
        <f t="shared" si="49"/>
        <v>3</v>
      </c>
      <c r="U235" s="5">
        <f t="shared" si="49"/>
        <v>0</v>
      </c>
      <c r="V235" s="5">
        <f t="shared" si="49"/>
        <v>1</v>
      </c>
      <c r="W235" s="5">
        <f t="shared" si="49"/>
        <v>0</v>
      </c>
      <c r="X235" s="5">
        <f t="shared" si="49"/>
        <v>0</v>
      </c>
      <c r="Y235" s="5">
        <f t="shared" si="49"/>
        <v>0</v>
      </c>
      <c r="Z235" s="5">
        <f t="shared" si="49"/>
        <v>0</v>
      </c>
      <c r="AA235" s="5">
        <f t="shared" si="49"/>
        <v>0</v>
      </c>
      <c r="AB235" s="5">
        <f t="shared" si="49"/>
        <v>0</v>
      </c>
      <c r="AC235" s="5">
        <f t="shared" si="49"/>
        <v>2</v>
      </c>
      <c r="AD235" s="5">
        <f t="shared" si="49"/>
        <v>0</v>
      </c>
      <c r="AE235" s="5">
        <f t="shared" si="49"/>
        <v>3</v>
      </c>
      <c r="AF235" s="5">
        <f t="shared" si="49"/>
        <v>1</v>
      </c>
      <c r="AG235" s="5">
        <f t="shared" si="49"/>
        <v>0</v>
      </c>
      <c r="AH235" s="5">
        <f t="shared" si="49"/>
        <v>0</v>
      </c>
      <c r="AI235" s="5">
        <f t="shared" si="49"/>
        <v>2</v>
      </c>
      <c r="AJ235" s="5">
        <f t="shared" si="49"/>
        <v>1</v>
      </c>
      <c r="AK235" s="5">
        <f t="shared" si="49"/>
        <v>0</v>
      </c>
      <c r="AL235" s="5">
        <f t="shared" si="49"/>
        <v>1</v>
      </c>
      <c r="AM235" s="5">
        <f t="shared" si="49"/>
        <v>0</v>
      </c>
      <c r="AN235" s="5">
        <f t="shared" si="49"/>
        <v>1</v>
      </c>
      <c r="AO235" s="5">
        <f t="shared" si="49"/>
        <v>0</v>
      </c>
      <c r="AP235" s="5">
        <f t="shared" si="49"/>
        <v>2</v>
      </c>
      <c r="AQ235" s="5">
        <f t="shared" si="49"/>
        <v>1</v>
      </c>
      <c r="AR235" s="5">
        <f t="shared" si="49"/>
        <v>0</v>
      </c>
      <c r="AS235" s="5">
        <f t="shared" si="49"/>
        <v>0</v>
      </c>
      <c r="AT235" s="5">
        <f t="shared" si="49"/>
        <v>1</v>
      </c>
      <c r="AU235" s="5">
        <f t="shared" si="49"/>
        <v>0</v>
      </c>
      <c r="AV235" s="5">
        <f t="shared" si="49"/>
        <v>1</v>
      </c>
      <c r="AW235" s="5">
        <f t="shared" si="49"/>
        <v>0</v>
      </c>
      <c r="AX235" s="5">
        <f t="shared" si="49"/>
        <v>4</v>
      </c>
      <c r="AY235" s="5">
        <f t="shared" si="49"/>
        <v>0</v>
      </c>
      <c r="AZ235" s="5">
        <f t="shared" si="49"/>
        <v>0</v>
      </c>
      <c r="BA235" s="5">
        <f t="shared" si="49"/>
        <v>72</v>
      </c>
      <c r="BB235" s="20"/>
      <c r="BC235" s="20"/>
    </row>
    <row r="236" spans="1:55" x14ac:dyDescent="0.3">
      <c r="A236" s="77"/>
      <c r="B236" s="78"/>
      <c r="C236" s="78"/>
      <c r="D236" s="78"/>
      <c r="E236" s="7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20"/>
      <c r="BC236" s="20"/>
    </row>
    <row r="237" spans="1:55" x14ac:dyDescent="0.3">
      <c r="A237" s="11" t="s">
        <v>48</v>
      </c>
      <c r="B237" s="17" t="s">
        <v>79</v>
      </c>
      <c r="C237" s="75" t="s">
        <v>80</v>
      </c>
      <c r="D237" s="76"/>
      <c r="E237" s="6">
        <v>1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2</v>
      </c>
      <c r="L237" s="6">
        <v>0</v>
      </c>
      <c r="M237" s="6">
        <v>1</v>
      </c>
      <c r="N237" s="6">
        <v>2</v>
      </c>
      <c r="O237" s="6">
        <v>0</v>
      </c>
      <c r="P237" s="6">
        <v>1</v>
      </c>
      <c r="Q237" s="6">
        <v>1</v>
      </c>
      <c r="R237" s="6">
        <v>2</v>
      </c>
      <c r="S237" s="6">
        <v>5</v>
      </c>
      <c r="T237" s="6">
        <v>8</v>
      </c>
      <c r="U237" s="6">
        <v>4</v>
      </c>
      <c r="V237" s="6">
        <v>2</v>
      </c>
      <c r="W237" s="6">
        <v>0</v>
      </c>
      <c r="X237" s="6">
        <v>0</v>
      </c>
      <c r="Y237" s="6">
        <v>1</v>
      </c>
      <c r="Z237" s="6">
        <v>1</v>
      </c>
      <c r="AA237" s="6">
        <v>2</v>
      </c>
      <c r="AB237" s="6">
        <v>3</v>
      </c>
      <c r="AC237" s="6">
        <v>1</v>
      </c>
      <c r="AD237" s="6">
        <v>1</v>
      </c>
      <c r="AE237" s="6">
        <v>2</v>
      </c>
      <c r="AF237" s="6">
        <v>1</v>
      </c>
      <c r="AG237" s="6">
        <v>0</v>
      </c>
      <c r="AH237" s="6">
        <v>1</v>
      </c>
      <c r="AI237" s="6">
        <v>0</v>
      </c>
      <c r="AJ237" s="6">
        <v>0</v>
      </c>
      <c r="AK237" s="6">
        <v>0</v>
      </c>
      <c r="AL237" s="6">
        <v>0</v>
      </c>
      <c r="AM237" s="6">
        <v>1</v>
      </c>
      <c r="AN237" s="6">
        <v>0</v>
      </c>
      <c r="AO237" s="6">
        <v>0</v>
      </c>
      <c r="AP237" s="6">
        <v>4</v>
      </c>
      <c r="AQ237" s="6">
        <v>2</v>
      </c>
      <c r="AR237" s="6">
        <v>0</v>
      </c>
      <c r="AS237" s="6">
        <v>1</v>
      </c>
      <c r="AT237" s="6">
        <v>0</v>
      </c>
      <c r="AU237" s="6">
        <v>0</v>
      </c>
      <c r="AV237" s="6">
        <v>1</v>
      </c>
      <c r="AW237" s="6">
        <v>0</v>
      </c>
      <c r="AX237" s="6">
        <v>0</v>
      </c>
      <c r="AY237" s="6">
        <v>0</v>
      </c>
      <c r="AZ237" s="6">
        <v>0</v>
      </c>
      <c r="BA237" s="5">
        <f t="shared" ref="BA237:BA246" si="50">SUM(E237:AZ237)</f>
        <v>51</v>
      </c>
      <c r="BB237" s="20"/>
      <c r="BC237" s="20"/>
    </row>
    <row r="238" spans="1:55" x14ac:dyDescent="0.3">
      <c r="A238" s="11" t="s">
        <v>50</v>
      </c>
      <c r="B238" s="54"/>
      <c r="C238" s="24" t="s">
        <v>228</v>
      </c>
      <c r="D238" s="51"/>
      <c r="E238" s="6">
        <v>0</v>
      </c>
      <c r="F238" s="6">
        <v>2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1</v>
      </c>
      <c r="M238" s="6">
        <v>0</v>
      </c>
      <c r="N238" s="6">
        <v>1</v>
      </c>
      <c r="O238" s="6">
        <v>0</v>
      </c>
      <c r="P238" s="6">
        <v>2</v>
      </c>
      <c r="Q238" s="6">
        <v>1</v>
      </c>
      <c r="R238" s="6">
        <v>1</v>
      </c>
      <c r="S238" s="6">
        <v>3</v>
      </c>
      <c r="T238" s="6">
        <v>4</v>
      </c>
      <c r="U238" s="6">
        <v>4</v>
      </c>
      <c r="V238" s="6">
        <v>2</v>
      </c>
      <c r="W238" s="6">
        <v>1</v>
      </c>
      <c r="X238" s="6">
        <v>0</v>
      </c>
      <c r="Y238" s="6">
        <v>2</v>
      </c>
      <c r="Z238" s="6">
        <v>0</v>
      </c>
      <c r="AA238" s="6">
        <v>1</v>
      </c>
      <c r="AB238" s="6">
        <v>0</v>
      </c>
      <c r="AC238" s="6">
        <v>0</v>
      </c>
      <c r="AD238" s="6">
        <v>3</v>
      </c>
      <c r="AE238" s="6">
        <v>0</v>
      </c>
      <c r="AF238" s="6">
        <v>0</v>
      </c>
      <c r="AG238" s="6">
        <v>0</v>
      </c>
      <c r="AH238" s="6">
        <v>0</v>
      </c>
      <c r="AI238" s="6">
        <v>1</v>
      </c>
      <c r="AJ238" s="6">
        <v>0</v>
      </c>
      <c r="AK238" s="6">
        <v>2</v>
      </c>
      <c r="AL238" s="6">
        <v>1</v>
      </c>
      <c r="AM238" s="6">
        <v>1</v>
      </c>
      <c r="AN238" s="6">
        <v>1</v>
      </c>
      <c r="AO238" s="6">
        <v>1</v>
      </c>
      <c r="AP238" s="6">
        <v>2</v>
      </c>
      <c r="AQ238" s="6">
        <v>1</v>
      </c>
      <c r="AR238" s="6">
        <v>1</v>
      </c>
      <c r="AS238" s="6">
        <v>1</v>
      </c>
      <c r="AT238" s="6">
        <v>0</v>
      </c>
      <c r="AU238" s="6">
        <v>0</v>
      </c>
      <c r="AV238" s="6">
        <v>0</v>
      </c>
      <c r="AW238" s="6">
        <v>1</v>
      </c>
      <c r="AX238" s="6">
        <v>1</v>
      </c>
      <c r="AY238" s="6">
        <v>0</v>
      </c>
      <c r="AZ238" s="6">
        <v>0</v>
      </c>
      <c r="BA238" s="5">
        <f t="shared" si="50"/>
        <v>43</v>
      </c>
      <c r="BB238" s="20"/>
      <c r="BC238" s="20"/>
    </row>
    <row r="239" spans="1:55" x14ac:dyDescent="0.3">
      <c r="A239" s="7"/>
      <c r="B239" s="54"/>
      <c r="C239" s="24" t="s">
        <v>229</v>
      </c>
      <c r="D239" s="51"/>
      <c r="E239" s="6">
        <v>1</v>
      </c>
      <c r="F239" s="6">
        <v>6</v>
      </c>
      <c r="G239" s="6">
        <v>0</v>
      </c>
      <c r="H239" s="6">
        <v>0</v>
      </c>
      <c r="I239" s="6">
        <v>0</v>
      </c>
      <c r="J239" s="6">
        <v>1</v>
      </c>
      <c r="K239" s="6">
        <v>1</v>
      </c>
      <c r="L239" s="6">
        <v>0</v>
      </c>
      <c r="M239" s="6">
        <v>1</v>
      </c>
      <c r="N239" s="6">
        <v>0</v>
      </c>
      <c r="O239" s="6">
        <v>0</v>
      </c>
      <c r="P239" s="6">
        <v>0</v>
      </c>
      <c r="Q239" s="6">
        <v>0</v>
      </c>
      <c r="R239" s="6">
        <v>1</v>
      </c>
      <c r="S239" s="6">
        <v>3</v>
      </c>
      <c r="T239" s="6">
        <v>3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1</v>
      </c>
      <c r="AB239" s="6">
        <v>1</v>
      </c>
      <c r="AC239" s="6">
        <v>1</v>
      </c>
      <c r="AD239" s="6">
        <v>1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1</v>
      </c>
      <c r="AQ239" s="6">
        <v>4</v>
      </c>
      <c r="AR239" s="6">
        <v>0</v>
      </c>
      <c r="AS239" s="6">
        <v>3</v>
      </c>
      <c r="AT239" s="6">
        <v>1</v>
      </c>
      <c r="AU239" s="6">
        <v>0</v>
      </c>
      <c r="AV239" s="6">
        <v>0</v>
      </c>
      <c r="AW239" s="6">
        <v>3</v>
      </c>
      <c r="AX239" s="6">
        <v>2</v>
      </c>
      <c r="AY239" s="6">
        <v>0</v>
      </c>
      <c r="AZ239" s="6">
        <v>0</v>
      </c>
      <c r="BA239" s="5">
        <f t="shared" si="50"/>
        <v>35</v>
      </c>
      <c r="BB239" s="20"/>
      <c r="BC239" s="20"/>
    </row>
    <row r="240" spans="1:55" ht="13.15" customHeight="1" x14ac:dyDescent="0.3">
      <c r="A240" s="7"/>
      <c r="B240" s="54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1</v>
      </c>
      <c r="O240" s="6">
        <v>0</v>
      </c>
      <c r="P240" s="6">
        <v>0</v>
      </c>
      <c r="Q240" s="6">
        <v>1</v>
      </c>
      <c r="R240" s="6">
        <v>0</v>
      </c>
      <c r="S240" s="6">
        <v>0</v>
      </c>
      <c r="T240" s="6">
        <v>2</v>
      </c>
      <c r="U240" s="6">
        <v>1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5">
        <f t="shared" si="50"/>
        <v>5</v>
      </c>
      <c r="BB240" s="1"/>
      <c r="BC240" s="1"/>
    </row>
    <row r="241" spans="1:53" x14ac:dyDescent="0.3">
      <c r="A241" s="7"/>
      <c r="B241" s="54"/>
      <c r="C241" s="24" t="s">
        <v>231</v>
      </c>
      <c r="D241" s="51"/>
      <c r="E241" s="6">
        <v>0</v>
      </c>
      <c r="F241" s="6">
        <v>1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1</v>
      </c>
      <c r="T241" s="6">
        <v>1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1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1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5">
        <f t="shared" si="50"/>
        <v>5</v>
      </c>
    </row>
    <row r="242" spans="1:53" ht="12.75" customHeight="1" x14ac:dyDescent="0.3">
      <c r="A242" s="7"/>
      <c r="B242" s="54"/>
      <c r="C242" s="24" t="s">
        <v>232</v>
      </c>
      <c r="D242" s="51"/>
      <c r="E242" s="6">
        <v>0</v>
      </c>
      <c r="F242" s="6">
        <v>1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1</v>
      </c>
      <c r="AB242" s="6">
        <v>0</v>
      </c>
      <c r="AC242" s="6">
        <v>0</v>
      </c>
      <c r="AD242" s="6">
        <v>0</v>
      </c>
      <c r="AE242" s="6">
        <v>3</v>
      </c>
      <c r="AF242" s="6">
        <v>1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1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1</v>
      </c>
      <c r="AW242" s="6">
        <v>3</v>
      </c>
      <c r="AX242" s="6">
        <v>0</v>
      </c>
      <c r="AY242" s="6">
        <v>0</v>
      </c>
      <c r="AZ242" s="6">
        <v>0</v>
      </c>
      <c r="BA242" s="5">
        <f t="shared" si="50"/>
        <v>11</v>
      </c>
    </row>
    <row r="243" spans="1:53" x14ac:dyDescent="0.3">
      <c r="A243" s="7"/>
      <c r="B243" s="54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1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1</v>
      </c>
      <c r="AY243" s="6">
        <v>0</v>
      </c>
      <c r="AZ243" s="6">
        <v>0</v>
      </c>
      <c r="BA243" s="5">
        <f t="shared" si="50"/>
        <v>2</v>
      </c>
    </row>
    <row r="244" spans="1:53" x14ac:dyDescent="0.3">
      <c r="A244" s="7"/>
      <c r="B244" s="54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5">
        <f t="shared" si="50"/>
        <v>2</v>
      </c>
    </row>
    <row r="245" spans="1:53" x14ac:dyDescent="0.3">
      <c r="A245" s="7"/>
      <c r="B245" s="54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1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1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1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5">
        <f t="shared" si="50"/>
        <v>3</v>
      </c>
    </row>
    <row r="246" spans="1:53" x14ac:dyDescent="0.3">
      <c r="A246" s="7"/>
      <c r="B246" s="54"/>
      <c r="C246" s="24" t="s">
        <v>236</v>
      </c>
      <c r="D246" s="51"/>
      <c r="E246" s="6">
        <v>0</v>
      </c>
      <c r="F246" s="6">
        <v>1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1</v>
      </c>
      <c r="AQ246" s="6">
        <v>0</v>
      </c>
      <c r="AR246" s="6">
        <v>0</v>
      </c>
      <c r="AS246" s="6">
        <v>0</v>
      </c>
      <c r="AT246" s="6">
        <v>0</v>
      </c>
      <c r="AU246" s="6">
        <v>1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5">
        <f t="shared" si="50"/>
        <v>4</v>
      </c>
    </row>
    <row r="247" spans="1:53" ht="12.75" customHeight="1" x14ac:dyDescent="0.3">
      <c r="A247" s="6" t="s">
        <v>26</v>
      </c>
      <c r="B247" s="69" t="s">
        <v>51</v>
      </c>
      <c r="C247" s="70"/>
      <c r="D247" s="71"/>
      <c r="E247" s="5">
        <f>SUM(E237:E246)</f>
        <v>2</v>
      </c>
      <c r="F247" s="5">
        <f t="shared" ref="F247:BA247" si="51">SUM(F237:F246)</f>
        <v>11</v>
      </c>
      <c r="G247" s="5">
        <f t="shared" si="51"/>
        <v>0</v>
      </c>
      <c r="H247" s="5">
        <f t="shared" si="51"/>
        <v>0</v>
      </c>
      <c r="I247" s="5">
        <f t="shared" si="51"/>
        <v>0</v>
      </c>
      <c r="J247" s="5">
        <f t="shared" si="51"/>
        <v>1</v>
      </c>
      <c r="K247" s="5">
        <f t="shared" si="51"/>
        <v>4</v>
      </c>
      <c r="L247" s="5">
        <f t="shared" si="51"/>
        <v>1</v>
      </c>
      <c r="M247" s="5">
        <f t="shared" si="51"/>
        <v>2</v>
      </c>
      <c r="N247" s="5">
        <f t="shared" si="51"/>
        <v>7</v>
      </c>
      <c r="O247" s="5">
        <f t="shared" si="51"/>
        <v>0</v>
      </c>
      <c r="P247" s="5">
        <f t="shared" si="51"/>
        <v>4</v>
      </c>
      <c r="Q247" s="5">
        <f t="shared" si="51"/>
        <v>4</v>
      </c>
      <c r="R247" s="5">
        <f t="shared" si="51"/>
        <v>4</v>
      </c>
      <c r="S247" s="5">
        <f t="shared" si="51"/>
        <v>12</v>
      </c>
      <c r="T247" s="5">
        <f t="shared" si="51"/>
        <v>18</v>
      </c>
      <c r="U247" s="5">
        <f t="shared" si="51"/>
        <v>9</v>
      </c>
      <c r="V247" s="5">
        <f t="shared" si="51"/>
        <v>4</v>
      </c>
      <c r="W247" s="5">
        <f t="shared" si="51"/>
        <v>1</v>
      </c>
      <c r="X247" s="5">
        <f t="shared" si="51"/>
        <v>0</v>
      </c>
      <c r="Y247" s="5">
        <f t="shared" si="51"/>
        <v>3</v>
      </c>
      <c r="Z247" s="5">
        <f t="shared" si="51"/>
        <v>1</v>
      </c>
      <c r="AA247" s="5">
        <f t="shared" si="51"/>
        <v>5</v>
      </c>
      <c r="AB247" s="5">
        <f t="shared" si="51"/>
        <v>5</v>
      </c>
      <c r="AC247" s="5">
        <f t="shared" si="51"/>
        <v>2</v>
      </c>
      <c r="AD247" s="5">
        <f t="shared" si="51"/>
        <v>5</v>
      </c>
      <c r="AE247" s="5">
        <f t="shared" si="51"/>
        <v>5</v>
      </c>
      <c r="AF247" s="5">
        <f t="shared" si="51"/>
        <v>2</v>
      </c>
      <c r="AG247" s="5">
        <f t="shared" si="51"/>
        <v>0</v>
      </c>
      <c r="AH247" s="5">
        <f t="shared" si="51"/>
        <v>1</v>
      </c>
      <c r="AI247" s="5">
        <f t="shared" si="51"/>
        <v>1</v>
      </c>
      <c r="AJ247" s="5">
        <f t="shared" si="51"/>
        <v>1</v>
      </c>
      <c r="AK247" s="5">
        <f t="shared" si="51"/>
        <v>2</v>
      </c>
      <c r="AL247" s="5">
        <f t="shared" si="51"/>
        <v>1</v>
      </c>
      <c r="AM247" s="5">
        <f t="shared" si="51"/>
        <v>2</v>
      </c>
      <c r="AN247" s="5">
        <f t="shared" si="51"/>
        <v>2</v>
      </c>
      <c r="AO247" s="5">
        <f t="shared" si="51"/>
        <v>1</v>
      </c>
      <c r="AP247" s="5">
        <f t="shared" si="51"/>
        <v>10</v>
      </c>
      <c r="AQ247" s="5">
        <f t="shared" si="51"/>
        <v>7</v>
      </c>
      <c r="AR247" s="5">
        <f t="shared" si="51"/>
        <v>1</v>
      </c>
      <c r="AS247" s="5">
        <f t="shared" si="51"/>
        <v>5</v>
      </c>
      <c r="AT247" s="5">
        <f t="shared" si="51"/>
        <v>1</v>
      </c>
      <c r="AU247" s="5">
        <f t="shared" si="51"/>
        <v>1</v>
      </c>
      <c r="AV247" s="5">
        <f t="shared" si="51"/>
        <v>2</v>
      </c>
      <c r="AW247" s="5">
        <f t="shared" si="51"/>
        <v>7</v>
      </c>
      <c r="AX247" s="5">
        <f t="shared" si="51"/>
        <v>4</v>
      </c>
      <c r="AY247" s="5">
        <f t="shared" si="51"/>
        <v>0</v>
      </c>
      <c r="AZ247" s="5">
        <f t="shared" si="51"/>
        <v>0</v>
      </c>
      <c r="BA247" s="5">
        <f t="shared" si="51"/>
        <v>161</v>
      </c>
    </row>
    <row r="248" spans="1:53" x14ac:dyDescent="0.3">
      <c r="A248" s="77"/>
      <c r="B248" s="78"/>
      <c r="C248" s="78"/>
      <c r="D248" s="78"/>
      <c r="E248" s="79"/>
    </row>
    <row r="249" spans="1:53" x14ac:dyDescent="0.3">
      <c r="A249" s="11" t="s">
        <v>48</v>
      </c>
      <c r="B249" s="17" t="s">
        <v>81</v>
      </c>
      <c r="C249" s="75" t="s">
        <v>82</v>
      </c>
      <c r="D249" s="76"/>
      <c r="E249" s="6">
        <v>1</v>
      </c>
      <c r="F249" s="6">
        <v>1</v>
      </c>
      <c r="G249" s="6">
        <v>0</v>
      </c>
      <c r="H249" s="6">
        <v>1</v>
      </c>
      <c r="I249" s="6">
        <v>3</v>
      </c>
      <c r="J249" s="6">
        <v>0</v>
      </c>
      <c r="K249" s="6">
        <v>0</v>
      </c>
      <c r="L249" s="6">
        <v>5</v>
      </c>
      <c r="M249" s="6">
        <v>1</v>
      </c>
      <c r="N249" s="6">
        <v>1</v>
      </c>
      <c r="O249" s="6">
        <v>0</v>
      </c>
      <c r="P249" s="6">
        <v>1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1</v>
      </c>
      <c r="AC249" s="6">
        <v>1</v>
      </c>
      <c r="AD249" s="6">
        <v>0</v>
      </c>
      <c r="AE249" s="6">
        <v>0</v>
      </c>
      <c r="AF249" s="6">
        <v>0</v>
      </c>
      <c r="AG249" s="6">
        <v>0</v>
      </c>
      <c r="AH249" s="6">
        <v>1</v>
      </c>
      <c r="AI249" s="6">
        <v>0</v>
      </c>
      <c r="AJ249" s="6">
        <v>1</v>
      </c>
      <c r="AK249" s="6">
        <v>0</v>
      </c>
      <c r="AL249" s="6">
        <v>0</v>
      </c>
      <c r="AM249" s="6">
        <v>0</v>
      </c>
      <c r="AN249" s="6">
        <v>1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1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5">
        <f t="shared" ref="BA249:BA252" si="52">SUM(E249:AZ249)</f>
        <v>21</v>
      </c>
    </row>
    <row r="250" spans="1:53" x14ac:dyDescent="0.3">
      <c r="A250" s="11" t="s">
        <v>50</v>
      </c>
      <c r="B250" s="54"/>
      <c r="C250" s="24" t="s">
        <v>237</v>
      </c>
      <c r="D250" s="51"/>
      <c r="E250" s="6">
        <v>9</v>
      </c>
      <c r="F250" s="6">
        <v>18</v>
      </c>
      <c r="G250" s="6">
        <v>2</v>
      </c>
      <c r="H250" s="6">
        <v>4</v>
      </c>
      <c r="I250" s="6">
        <v>16</v>
      </c>
      <c r="J250" s="6">
        <v>2</v>
      </c>
      <c r="K250" s="6">
        <v>3</v>
      </c>
      <c r="L250" s="6">
        <v>37</v>
      </c>
      <c r="M250" s="6">
        <v>8</v>
      </c>
      <c r="N250" s="6">
        <v>3</v>
      </c>
      <c r="O250" s="6">
        <v>0</v>
      </c>
      <c r="P250" s="6">
        <v>1</v>
      </c>
      <c r="Q250" s="6">
        <v>9</v>
      </c>
      <c r="R250" s="6">
        <v>3</v>
      </c>
      <c r="S250" s="6">
        <v>3</v>
      </c>
      <c r="T250" s="6">
        <v>3</v>
      </c>
      <c r="U250" s="6">
        <v>5</v>
      </c>
      <c r="V250" s="6">
        <v>2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4</v>
      </c>
      <c r="AD250" s="6">
        <v>0</v>
      </c>
      <c r="AE250" s="6">
        <v>1</v>
      </c>
      <c r="AF250" s="6">
        <v>0</v>
      </c>
      <c r="AG250" s="6">
        <v>0</v>
      </c>
      <c r="AH250" s="6">
        <v>0</v>
      </c>
      <c r="AI250" s="6">
        <v>2</v>
      </c>
      <c r="AJ250" s="6">
        <v>4</v>
      </c>
      <c r="AK250" s="6">
        <v>6</v>
      </c>
      <c r="AL250" s="6">
        <v>2</v>
      </c>
      <c r="AM250" s="6">
        <v>3</v>
      </c>
      <c r="AN250" s="6">
        <v>0</v>
      </c>
      <c r="AO250" s="6">
        <v>1</v>
      </c>
      <c r="AP250" s="6">
        <v>0</v>
      </c>
      <c r="AQ250" s="6">
        <v>2</v>
      </c>
      <c r="AR250" s="6">
        <v>4</v>
      </c>
      <c r="AS250" s="6">
        <v>3</v>
      </c>
      <c r="AT250" s="6">
        <v>1</v>
      </c>
      <c r="AU250" s="6">
        <v>1</v>
      </c>
      <c r="AV250" s="6">
        <v>1</v>
      </c>
      <c r="AW250" s="6">
        <v>0</v>
      </c>
      <c r="AX250" s="6">
        <v>0</v>
      </c>
      <c r="AY250" s="6">
        <v>1</v>
      </c>
      <c r="AZ250" s="6">
        <v>2</v>
      </c>
      <c r="BA250" s="5">
        <f t="shared" si="52"/>
        <v>166</v>
      </c>
    </row>
    <row r="251" spans="1:53" x14ac:dyDescent="0.3">
      <c r="A251" s="7"/>
      <c r="B251" s="54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1</v>
      </c>
      <c r="M251" s="6">
        <v>0</v>
      </c>
      <c r="N251" s="6">
        <v>0</v>
      </c>
      <c r="O251" s="6">
        <v>0</v>
      </c>
      <c r="P251" s="6">
        <v>0</v>
      </c>
      <c r="Q251" s="6">
        <v>1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5">
        <f t="shared" si="52"/>
        <v>2</v>
      </c>
    </row>
    <row r="252" spans="1:53" x14ac:dyDescent="0.3">
      <c r="A252" s="7"/>
      <c r="B252" s="54"/>
      <c r="C252" s="24" t="s">
        <v>239</v>
      </c>
      <c r="D252" s="51"/>
      <c r="E252" s="6">
        <v>0</v>
      </c>
      <c r="F252" s="6">
        <v>0</v>
      </c>
      <c r="G252" s="6">
        <v>2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1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2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2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5">
        <f t="shared" si="52"/>
        <v>7</v>
      </c>
    </row>
    <row r="253" spans="1:53" x14ac:dyDescent="0.3">
      <c r="A253" s="7"/>
      <c r="B253" s="46"/>
      <c r="C253" s="66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50"/>
    </row>
    <row r="254" spans="1:53" x14ac:dyDescent="0.3">
      <c r="A254" s="7"/>
      <c r="B254" s="46"/>
      <c r="C254" s="66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50"/>
    </row>
    <row r="255" spans="1:53" x14ac:dyDescent="0.3">
      <c r="A255" s="7"/>
      <c r="B255" s="46"/>
      <c r="C255" s="66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50"/>
    </row>
    <row r="256" spans="1:53" x14ac:dyDescent="0.3">
      <c r="A256" s="7"/>
      <c r="B256" s="46"/>
      <c r="C256" s="66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50"/>
    </row>
    <row r="257" spans="1:53" x14ac:dyDescent="0.3">
      <c r="A257" s="7"/>
      <c r="B257" s="46"/>
      <c r="C257" s="66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50"/>
    </row>
    <row r="258" spans="1:53" x14ac:dyDescent="0.3">
      <c r="A258" s="7"/>
      <c r="B258" s="46"/>
      <c r="C258" s="66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50"/>
    </row>
    <row r="259" spans="1:53" x14ac:dyDescent="0.3">
      <c r="A259" s="6" t="s">
        <v>26</v>
      </c>
      <c r="B259" s="69" t="s">
        <v>51</v>
      </c>
      <c r="C259" s="70"/>
      <c r="D259" s="71"/>
      <c r="E259" s="5">
        <f>SUM(E249:E258)</f>
        <v>10</v>
      </c>
      <c r="F259" s="5">
        <f t="shared" ref="F259:BA259" si="53">SUM(F249:F258)</f>
        <v>19</v>
      </c>
      <c r="G259" s="5">
        <f t="shared" si="53"/>
        <v>4</v>
      </c>
      <c r="H259" s="5">
        <f t="shared" si="53"/>
        <v>5</v>
      </c>
      <c r="I259" s="5">
        <f t="shared" si="53"/>
        <v>19</v>
      </c>
      <c r="J259" s="5">
        <f t="shared" si="53"/>
        <v>2</v>
      </c>
      <c r="K259" s="5">
        <f t="shared" si="53"/>
        <v>3</v>
      </c>
      <c r="L259" s="5">
        <f t="shared" si="53"/>
        <v>43</v>
      </c>
      <c r="M259" s="5">
        <f t="shared" si="53"/>
        <v>9</v>
      </c>
      <c r="N259" s="5">
        <f t="shared" si="53"/>
        <v>4</v>
      </c>
      <c r="O259" s="5">
        <f t="shared" si="53"/>
        <v>0</v>
      </c>
      <c r="P259" s="5">
        <f t="shared" si="53"/>
        <v>2</v>
      </c>
      <c r="Q259" s="5">
        <f t="shared" si="53"/>
        <v>10</v>
      </c>
      <c r="R259" s="5">
        <f t="shared" si="53"/>
        <v>3</v>
      </c>
      <c r="S259" s="5">
        <f t="shared" si="53"/>
        <v>4</v>
      </c>
      <c r="T259" s="5">
        <f t="shared" si="53"/>
        <v>3</v>
      </c>
      <c r="U259" s="5">
        <f t="shared" si="53"/>
        <v>6</v>
      </c>
      <c r="V259" s="5">
        <f t="shared" si="53"/>
        <v>2</v>
      </c>
      <c r="W259" s="5">
        <f t="shared" si="53"/>
        <v>0</v>
      </c>
      <c r="X259" s="5">
        <f t="shared" si="53"/>
        <v>0</v>
      </c>
      <c r="Y259" s="5">
        <f t="shared" si="53"/>
        <v>0</v>
      </c>
      <c r="Z259" s="5">
        <f t="shared" si="53"/>
        <v>0</v>
      </c>
      <c r="AA259" s="5">
        <f t="shared" si="53"/>
        <v>0</v>
      </c>
      <c r="AB259" s="5">
        <f t="shared" si="53"/>
        <v>1</v>
      </c>
      <c r="AC259" s="5">
        <f t="shared" si="53"/>
        <v>5</v>
      </c>
      <c r="AD259" s="5">
        <f t="shared" si="53"/>
        <v>0</v>
      </c>
      <c r="AE259" s="5">
        <f t="shared" si="53"/>
        <v>1</v>
      </c>
      <c r="AF259" s="5">
        <f t="shared" si="53"/>
        <v>0</v>
      </c>
      <c r="AG259" s="5">
        <f t="shared" si="53"/>
        <v>0</v>
      </c>
      <c r="AH259" s="5">
        <f t="shared" si="53"/>
        <v>1</v>
      </c>
      <c r="AI259" s="5">
        <f t="shared" si="53"/>
        <v>2</v>
      </c>
      <c r="AJ259" s="5">
        <f t="shared" si="53"/>
        <v>5</v>
      </c>
      <c r="AK259" s="5">
        <f t="shared" si="53"/>
        <v>6</v>
      </c>
      <c r="AL259" s="5">
        <f t="shared" si="53"/>
        <v>2</v>
      </c>
      <c r="AM259" s="5">
        <f t="shared" si="53"/>
        <v>5</v>
      </c>
      <c r="AN259" s="5">
        <f t="shared" si="53"/>
        <v>1</v>
      </c>
      <c r="AO259" s="5">
        <f t="shared" si="53"/>
        <v>1</v>
      </c>
      <c r="AP259" s="5">
        <f t="shared" si="53"/>
        <v>0</v>
      </c>
      <c r="AQ259" s="5">
        <f t="shared" si="53"/>
        <v>2</v>
      </c>
      <c r="AR259" s="5">
        <f t="shared" si="53"/>
        <v>4</v>
      </c>
      <c r="AS259" s="5">
        <f t="shared" si="53"/>
        <v>3</v>
      </c>
      <c r="AT259" s="5">
        <f t="shared" si="53"/>
        <v>1</v>
      </c>
      <c r="AU259" s="5">
        <f t="shared" si="53"/>
        <v>4</v>
      </c>
      <c r="AV259" s="5">
        <f t="shared" si="53"/>
        <v>1</v>
      </c>
      <c r="AW259" s="5">
        <f t="shared" si="53"/>
        <v>0</v>
      </c>
      <c r="AX259" s="5">
        <f t="shared" si="53"/>
        <v>0</v>
      </c>
      <c r="AY259" s="5">
        <f t="shared" si="53"/>
        <v>1</v>
      </c>
      <c r="AZ259" s="5">
        <f t="shared" si="53"/>
        <v>2</v>
      </c>
      <c r="BA259" s="5">
        <f t="shared" si="53"/>
        <v>196</v>
      </c>
    </row>
    <row r="261" spans="1:53" x14ac:dyDescent="0.3">
      <c r="A261" s="16" t="s">
        <v>83</v>
      </c>
      <c r="B261" s="72" t="s">
        <v>84</v>
      </c>
      <c r="C261" s="73"/>
      <c r="D261" s="74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5"/>
    </row>
    <row r="262" spans="1:53" x14ac:dyDescent="0.3">
      <c r="A262" s="16"/>
      <c r="B262" s="19" t="s">
        <v>85</v>
      </c>
      <c r="C262" s="67" t="s">
        <v>86</v>
      </c>
      <c r="D262" s="68"/>
      <c r="E262" s="6">
        <f>E55+E67+E79+E91+E103+E115+E127+E139+E151+E163+E175+E187+E199+E211+E223+E235+E247+E259</f>
        <v>198</v>
      </c>
      <c r="F262" s="6">
        <f t="shared" ref="F262:AZ262" si="54">F55+F67+F79+F91+F103+F115+F127+F139+F151+F163+F175+F187+F199+F211+F223+F235+F247+F259</f>
        <v>236</v>
      </c>
      <c r="G262" s="6">
        <f t="shared" si="54"/>
        <v>158</v>
      </c>
      <c r="H262" s="6">
        <f t="shared" si="54"/>
        <v>177</v>
      </c>
      <c r="I262" s="6">
        <f t="shared" si="54"/>
        <v>198</v>
      </c>
      <c r="J262" s="6">
        <f t="shared" si="54"/>
        <v>211</v>
      </c>
      <c r="K262" s="6">
        <f t="shared" si="54"/>
        <v>174</v>
      </c>
      <c r="L262" s="6">
        <f t="shared" si="54"/>
        <v>179</v>
      </c>
      <c r="M262" s="6">
        <f t="shared" si="54"/>
        <v>154</v>
      </c>
      <c r="N262" s="6">
        <f t="shared" si="54"/>
        <v>168</v>
      </c>
      <c r="O262" s="6">
        <f t="shared" ref="O262:AG262" si="55">O55+O67+O79+O91+O103+O115+O127+O139+O151+O163+O175+O187+O199+O211+O223+O235+O247+O259</f>
        <v>161</v>
      </c>
      <c r="P262" s="6">
        <f t="shared" si="55"/>
        <v>151</v>
      </c>
      <c r="Q262" s="6">
        <f t="shared" si="55"/>
        <v>164</v>
      </c>
      <c r="R262" s="6">
        <f t="shared" si="55"/>
        <v>207</v>
      </c>
      <c r="S262" s="6">
        <f t="shared" si="55"/>
        <v>192</v>
      </c>
      <c r="T262" s="6">
        <f t="shared" si="55"/>
        <v>208</v>
      </c>
      <c r="U262" s="6">
        <f t="shared" si="55"/>
        <v>136</v>
      </c>
      <c r="V262" s="6">
        <f t="shared" si="55"/>
        <v>194</v>
      </c>
      <c r="W262" s="6">
        <f t="shared" si="55"/>
        <v>214</v>
      </c>
      <c r="X262" s="6">
        <f t="shared" si="55"/>
        <v>225</v>
      </c>
      <c r="Y262" s="6">
        <f t="shared" si="55"/>
        <v>189</v>
      </c>
      <c r="Z262" s="6">
        <f t="shared" si="55"/>
        <v>117</v>
      </c>
      <c r="AA262" s="6">
        <f t="shared" si="55"/>
        <v>202</v>
      </c>
      <c r="AB262" s="6">
        <f t="shared" si="55"/>
        <v>186</v>
      </c>
      <c r="AC262" s="6">
        <f t="shared" si="55"/>
        <v>185</v>
      </c>
      <c r="AD262" s="6">
        <f t="shared" si="55"/>
        <v>199</v>
      </c>
      <c r="AE262" s="6">
        <f t="shared" si="55"/>
        <v>163</v>
      </c>
      <c r="AF262" s="6">
        <f t="shared" si="55"/>
        <v>146</v>
      </c>
      <c r="AG262" s="6">
        <f t="shared" si="55"/>
        <v>191</v>
      </c>
      <c r="AH262" s="6">
        <f t="shared" si="54"/>
        <v>180</v>
      </c>
      <c r="AI262" s="6">
        <f t="shared" si="54"/>
        <v>93</v>
      </c>
      <c r="AJ262" s="6">
        <f t="shared" si="54"/>
        <v>195</v>
      </c>
      <c r="AK262" s="6">
        <f t="shared" si="54"/>
        <v>161</v>
      </c>
      <c r="AL262" s="6">
        <f t="shared" si="54"/>
        <v>159</v>
      </c>
      <c r="AM262" s="6">
        <f t="shared" si="54"/>
        <v>168</v>
      </c>
      <c r="AN262" s="6">
        <f t="shared" si="54"/>
        <v>171</v>
      </c>
      <c r="AO262" s="6">
        <f t="shared" si="54"/>
        <v>173</v>
      </c>
      <c r="AP262" s="6">
        <f t="shared" si="54"/>
        <v>194</v>
      </c>
      <c r="AQ262" s="6">
        <f t="shared" si="54"/>
        <v>154</v>
      </c>
      <c r="AR262" s="6">
        <f t="shared" si="54"/>
        <v>166</v>
      </c>
      <c r="AS262" s="6">
        <f t="shared" si="54"/>
        <v>153</v>
      </c>
      <c r="AT262" s="6">
        <f t="shared" si="54"/>
        <v>214</v>
      </c>
      <c r="AU262" s="6">
        <f t="shared" si="54"/>
        <v>173</v>
      </c>
      <c r="AV262" s="6">
        <f t="shared" si="54"/>
        <v>201</v>
      </c>
      <c r="AW262" s="6">
        <f t="shared" si="54"/>
        <v>181</v>
      </c>
      <c r="AX262" s="6">
        <f t="shared" si="54"/>
        <v>170</v>
      </c>
      <c r="AY262" s="6">
        <f t="shared" si="54"/>
        <v>160</v>
      </c>
      <c r="AZ262" s="6">
        <f t="shared" si="54"/>
        <v>121</v>
      </c>
      <c r="BA262" s="5">
        <f>SUM(E262:AZ262)</f>
        <v>8470</v>
      </c>
    </row>
    <row r="263" spans="1:53" x14ac:dyDescent="0.3">
      <c r="A263" s="13"/>
      <c r="B263" s="19" t="s">
        <v>87</v>
      </c>
      <c r="C263" s="67" t="s">
        <v>88</v>
      </c>
      <c r="D263" s="68"/>
      <c r="E263" s="6">
        <v>16</v>
      </c>
      <c r="F263" s="6">
        <v>13</v>
      </c>
      <c r="G263" s="6">
        <v>19</v>
      </c>
      <c r="H263" s="6">
        <v>33</v>
      </c>
      <c r="I263" s="6">
        <v>25</v>
      </c>
      <c r="J263" s="6">
        <v>15</v>
      </c>
      <c r="K263" s="6">
        <v>22</v>
      </c>
      <c r="L263" s="6">
        <v>13</v>
      </c>
      <c r="M263" s="6">
        <v>17</v>
      </c>
      <c r="N263" s="6">
        <v>23</v>
      </c>
      <c r="O263" s="6">
        <v>53</v>
      </c>
      <c r="P263" s="6">
        <v>35</v>
      </c>
      <c r="Q263" s="6">
        <v>11</v>
      </c>
      <c r="R263" s="6">
        <v>26</v>
      </c>
      <c r="S263" s="6">
        <v>30</v>
      </c>
      <c r="T263" s="6">
        <v>25</v>
      </c>
      <c r="U263" s="6">
        <v>24</v>
      </c>
      <c r="V263" s="6">
        <v>15</v>
      </c>
      <c r="W263" s="6">
        <v>15</v>
      </c>
      <c r="X263" s="6">
        <v>8</v>
      </c>
      <c r="Y263" s="6">
        <v>23</v>
      </c>
      <c r="Z263" s="6">
        <v>9</v>
      </c>
      <c r="AA263" s="6">
        <v>22</v>
      </c>
      <c r="AB263" s="6">
        <v>17</v>
      </c>
      <c r="AC263" s="6">
        <v>21</v>
      </c>
      <c r="AD263" s="6">
        <v>16</v>
      </c>
      <c r="AE263" s="6">
        <v>39</v>
      </c>
      <c r="AF263" s="6">
        <v>74</v>
      </c>
      <c r="AG263" s="6">
        <v>13</v>
      </c>
      <c r="AH263" s="6">
        <v>23</v>
      </c>
      <c r="AI263" s="6">
        <v>8</v>
      </c>
      <c r="AJ263" s="6">
        <v>24</v>
      </c>
      <c r="AK263" s="6">
        <v>40</v>
      </c>
      <c r="AL263" s="6">
        <v>37</v>
      </c>
      <c r="AM263" s="6">
        <v>20</v>
      </c>
      <c r="AN263" s="6">
        <v>28</v>
      </c>
      <c r="AO263" s="6">
        <v>23</v>
      </c>
      <c r="AP263" s="6">
        <v>20</v>
      </c>
      <c r="AQ263" s="6">
        <v>12</v>
      </c>
      <c r="AR263" s="6">
        <v>28</v>
      </c>
      <c r="AS263" s="6">
        <v>25</v>
      </c>
      <c r="AT263" s="6">
        <v>36</v>
      </c>
      <c r="AU263" s="6">
        <v>27</v>
      </c>
      <c r="AV263" s="6">
        <v>36</v>
      </c>
      <c r="AW263" s="6">
        <v>33</v>
      </c>
      <c r="AX263" s="6">
        <v>24</v>
      </c>
      <c r="AY263" s="6">
        <v>16</v>
      </c>
      <c r="AZ263" s="6">
        <v>24</v>
      </c>
      <c r="BA263" s="5">
        <f>SUM(E263:AZ263)</f>
        <v>1156</v>
      </c>
    </row>
    <row r="264" spans="1:53" x14ac:dyDescent="0.3">
      <c r="A264" s="14"/>
      <c r="B264" s="19" t="s">
        <v>89</v>
      </c>
      <c r="C264" s="67" t="s">
        <v>90</v>
      </c>
      <c r="D264" s="68"/>
      <c r="E264" s="5">
        <f>SUM(E262:E263)</f>
        <v>214</v>
      </c>
      <c r="F264" s="5">
        <f t="shared" ref="F264:AZ264" si="56">SUM(F262:F263)</f>
        <v>249</v>
      </c>
      <c r="G264" s="5">
        <f t="shared" si="56"/>
        <v>177</v>
      </c>
      <c r="H264" s="5">
        <f t="shared" si="56"/>
        <v>210</v>
      </c>
      <c r="I264" s="5">
        <f t="shared" si="56"/>
        <v>223</v>
      </c>
      <c r="J264" s="5">
        <f t="shared" si="56"/>
        <v>226</v>
      </c>
      <c r="K264" s="5">
        <f t="shared" si="56"/>
        <v>196</v>
      </c>
      <c r="L264" s="5">
        <f t="shared" si="56"/>
        <v>192</v>
      </c>
      <c r="M264" s="5">
        <f t="shared" si="56"/>
        <v>171</v>
      </c>
      <c r="N264" s="5">
        <f t="shared" si="56"/>
        <v>191</v>
      </c>
      <c r="O264" s="5">
        <f t="shared" ref="O264:AG264" si="57">SUM(O262:O263)</f>
        <v>214</v>
      </c>
      <c r="P264" s="5">
        <f t="shared" si="57"/>
        <v>186</v>
      </c>
      <c r="Q264" s="5">
        <f t="shared" si="57"/>
        <v>175</v>
      </c>
      <c r="R264" s="5">
        <f t="shared" si="57"/>
        <v>233</v>
      </c>
      <c r="S264" s="5">
        <f t="shared" si="57"/>
        <v>222</v>
      </c>
      <c r="T264" s="5">
        <f t="shared" si="57"/>
        <v>233</v>
      </c>
      <c r="U264" s="5">
        <f t="shared" si="57"/>
        <v>160</v>
      </c>
      <c r="V264" s="5">
        <f t="shared" si="57"/>
        <v>209</v>
      </c>
      <c r="W264" s="5">
        <f t="shared" si="57"/>
        <v>229</v>
      </c>
      <c r="X264" s="5">
        <f t="shared" si="57"/>
        <v>233</v>
      </c>
      <c r="Y264" s="5">
        <f t="shared" si="57"/>
        <v>212</v>
      </c>
      <c r="Z264" s="5">
        <f t="shared" si="57"/>
        <v>126</v>
      </c>
      <c r="AA264" s="5">
        <f t="shared" si="57"/>
        <v>224</v>
      </c>
      <c r="AB264" s="5">
        <f t="shared" si="57"/>
        <v>203</v>
      </c>
      <c r="AC264" s="5">
        <f t="shared" si="57"/>
        <v>206</v>
      </c>
      <c r="AD264" s="5">
        <f t="shared" si="57"/>
        <v>215</v>
      </c>
      <c r="AE264" s="5">
        <f t="shared" si="57"/>
        <v>202</v>
      </c>
      <c r="AF264" s="5">
        <f t="shared" si="57"/>
        <v>220</v>
      </c>
      <c r="AG264" s="5">
        <f t="shared" si="57"/>
        <v>204</v>
      </c>
      <c r="AH264" s="5">
        <f t="shared" si="56"/>
        <v>203</v>
      </c>
      <c r="AI264" s="5">
        <f t="shared" si="56"/>
        <v>101</v>
      </c>
      <c r="AJ264" s="5">
        <f t="shared" si="56"/>
        <v>219</v>
      </c>
      <c r="AK264" s="5">
        <f t="shared" si="56"/>
        <v>201</v>
      </c>
      <c r="AL264" s="5">
        <f t="shared" si="56"/>
        <v>196</v>
      </c>
      <c r="AM264" s="5">
        <f t="shared" si="56"/>
        <v>188</v>
      </c>
      <c r="AN264" s="5">
        <f t="shared" si="56"/>
        <v>199</v>
      </c>
      <c r="AO264" s="5">
        <f t="shared" si="56"/>
        <v>196</v>
      </c>
      <c r="AP264" s="5">
        <f t="shared" si="56"/>
        <v>214</v>
      </c>
      <c r="AQ264" s="5">
        <f t="shared" si="56"/>
        <v>166</v>
      </c>
      <c r="AR264" s="5">
        <f t="shared" si="56"/>
        <v>194</v>
      </c>
      <c r="AS264" s="5">
        <f t="shared" si="56"/>
        <v>178</v>
      </c>
      <c r="AT264" s="5">
        <f t="shared" si="56"/>
        <v>250</v>
      </c>
      <c r="AU264" s="5">
        <f t="shared" si="56"/>
        <v>200</v>
      </c>
      <c r="AV264" s="5">
        <f t="shared" si="56"/>
        <v>237</v>
      </c>
      <c r="AW264" s="5">
        <f t="shared" si="56"/>
        <v>214</v>
      </c>
      <c r="AX264" s="5">
        <f t="shared" si="56"/>
        <v>194</v>
      </c>
      <c r="AY264" s="5">
        <f t="shared" si="56"/>
        <v>176</v>
      </c>
      <c r="AZ264" s="5">
        <f t="shared" si="56"/>
        <v>145</v>
      </c>
      <c r="BA264" s="5">
        <f>SUM(E264:AZ264)</f>
        <v>9626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Z12"/>
    <mergeCell ref="BA12:BA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34:T34 AH34:AM34">
    <cfRule type="expression" dxfId="146" priority="31">
      <formula>E34&lt;&gt;E64</formula>
    </cfRule>
  </conditionalFormatting>
  <conditionalFormatting sqref="E14:AZ15">
    <cfRule type="containsBlanks" dxfId="145" priority="22">
      <formula>LEN(TRIM(E14))=0</formula>
    </cfRule>
  </conditionalFormatting>
  <conditionalFormatting sqref="E19:AZ20">
    <cfRule type="containsBlanks" dxfId="144" priority="25">
      <formula>LEN(TRIM(E19))=0</formula>
    </cfRule>
  </conditionalFormatting>
  <conditionalFormatting sqref="E22:AZ23 E25:AZ26 E33:AZ33 E35:AZ35 E39:AZ40">
    <cfRule type="containsBlanks" dxfId="143" priority="26">
      <formula>LEN(TRIM(E22))=0</formula>
    </cfRule>
  </conditionalFormatting>
  <conditionalFormatting sqref="E30:AZ30">
    <cfRule type="expression" dxfId="142" priority="27">
      <formula>E30&lt;&gt;E47</formula>
    </cfRule>
    <cfRule type="expression" dxfId="141" priority="28">
      <formula>E30&lt;&gt;E34</formula>
    </cfRule>
  </conditionalFormatting>
  <conditionalFormatting sqref="E34:AZ34">
    <cfRule type="expression" dxfId="140" priority="23">
      <formula>E30&lt;&gt;E34</formula>
    </cfRule>
    <cfRule type="expression" dxfId="139" priority="24">
      <formula>E30=E34</formula>
    </cfRule>
    <cfRule type="expression" dxfId="138" priority="29">
      <formula>E34&lt;&gt;E30</formula>
    </cfRule>
  </conditionalFormatting>
  <conditionalFormatting sqref="E45:AZ54">
    <cfRule type="containsBlanks" dxfId="137" priority="21">
      <formula>LEN(TRIM(E45))=0</formula>
    </cfRule>
  </conditionalFormatting>
  <conditionalFormatting sqref="E57:AZ66">
    <cfRule type="containsBlanks" dxfId="136" priority="20">
      <formula>LEN(TRIM(E57))=0</formula>
    </cfRule>
  </conditionalFormatting>
  <conditionalFormatting sqref="E69:AZ78">
    <cfRule type="containsBlanks" dxfId="135" priority="19">
      <formula>LEN(TRIM(E69))=0</formula>
    </cfRule>
  </conditionalFormatting>
  <conditionalFormatting sqref="E81:AZ90">
    <cfRule type="containsBlanks" dxfId="134" priority="18">
      <formula>LEN(TRIM(E81))=0</formula>
    </cfRule>
  </conditionalFormatting>
  <conditionalFormatting sqref="E93:AZ102">
    <cfRule type="containsBlanks" dxfId="133" priority="17">
      <formula>LEN(TRIM(E93))=0</formula>
    </cfRule>
  </conditionalFormatting>
  <conditionalFormatting sqref="E105:AZ114">
    <cfRule type="containsBlanks" dxfId="132" priority="16">
      <formula>LEN(TRIM(E105))=0</formula>
    </cfRule>
  </conditionalFormatting>
  <conditionalFormatting sqref="E117:AZ126">
    <cfRule type="containsBlanks" dxfId="131" priority="2">
      <formula>LEN(TRIM(E117))=0</formula>
    </cfRule>
  </conditionalFormatting>
  <conditionalFormatting sqref="E129:AZ138">
    <cfRule type="containsBlanks" dxfId="130" priority="15">
      <formula>LEN(TRIM(E129))=0</formula>
    </cfRule>
  </conditionalFormatting>
  <conditionalFormatting sqref="E141:AZ150">
    <cfRule type="containsBlanks" dxfId="129" priority="14">
      <formula>LEN(TRIM(E141))=0</formula>
    </cfRule>
  </conditionalFormatting>
  <conditionalFormatting sqref="E153:AZ162">
    <cfRule type="containsBlanks" dxfId="128" priority="4">
      <formula>LEN(TRIM(E153))=0</formula>
    </cfRule>
  </conditionalFormatting>
  <conditionalFormatting sqref="E165:AZ174">
    <cfRule type="containsBlanks" dxfId="127" priority="13">
      <formula>LEN(TRIM(E165))=0</formula>
    </cfRule>
  </conditionalFormatting>
  <conditionalFormatting sqref="E177:AZ186">
    <cfRule type="containsBlanks" dxfId="126" priority="12">
      <formula>LEN(TRIM(E177))=0</formula>
    </cfRule>
  </conditionalFormatting>
  <conditionalFormatting sqref="E189:AZ198">
    <cfRule type="containsBlanks" dxfId="125" priority="11">
      <formula>LEN(TRIM(E189))=0</formula>
    </cfRule>
  </conditionalFormatting>
  <conditionalFormatting sqref="E201:AZ210">
    <cfRule type="containsBlanks" dxfId="124" priority="10">
      <formula>LEN(TRIM(E201))=0</formula>
    </cfRule>
  </conditionalFormatting>
  <conditionalFormatting sqref="E213:AZ222">
    <cfRule type="containsBlanks" dxfId="123" priority="9">
      <formula>LEN(TRIM(E213))=0</formula>
    </cfRule>
  </conditionalFormatting>
  <conditionalFormatting sqref="E225:AZ234">
    <cfRule type="containsBlanks" dxfId="122" priority="8">
      <formula>LEN(TRIM(E225))=0</formula>
    </cfRule>
  </conditionalFormatting>
  <conditionalFormatting sqref="E237:AZ246">
    <cfRule type="containsBlanks" dxfId="121" priority="7">
      <formula>LEN(TRIM(E237))=0</formula>
    </cfRule>
  </conditionalFormatting>
  <conditionalFormatting sqref="E249:AZ258">
    <cfRule type="containsBlanks" dxfId="120" priority="5">
      <formula>LEN(TRIM(E249))=0</formula>
    </cfRule>
  </conditionalFormatting>
  <conditionalFormatting sqref="E262:AZ263">
    <cfRule type="containsBlanks" dxfId="119" priority="3">
      <formula>LEN(TRIM(E262))=0</formula>
    </cfRule>
  </conditionalFormatting>
  <conditionalFormatting sqref="U34:AG34">
    <cfRule type="expression" dxfId="118" priority="1">
      <formula>U34&lt;&gt;U47</formula>
    </cfRule>
  </conditionalFormatting>
  <conditionalFormatting sqref="AN34:AZ34">
    <cfRule type="expression" dxfId="117" priority="30">
      <formula>AN34&lt;&gt;AN47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FFC000"/>
  </sheetPr>
  <dimension ref="A2:AE264"/>
  <sheetViews>
    <sheetView topLeftCell="A268" zoomScale="104" zoomScaleNormal="104" workbookViewId="0">
      <selection activeCell="AC263" sqref="AC263"/>
    </sheetView>
  </sheetViews>
  <sheetFormatPr defaultRowHeight="13" x14ac:dyDescent="0.3"/>
  <cols>
    <col min="3" max="3" width="67.09765625" bestFit="1" customWidth="1"/>
    <col min="4" max="4" width="5.8984375" bestFit="1" customWidth="1"/>
    <col min="29" max="29" width="13.296875" customWidth="1"/>
  </cols>
  <sheetData>
    <row r="2" spans="1:29" x14ac:dyDescent="0.3">
      <c r="C2" s="44" t="s">
        <v>116</v>
      </c>
      <c r="D2" s="44" t="s">
        <v>240</v>
      </c>
    </row>
    <row r="3" spans="1:29" x14ac:dyDescent="0.3">
      <c r="C3" s="44" t="s">
        <v>117</v>
      </c>
      <c r="D3" s="44" t="s">
        <v>118</v>
      </c>
    </row>
    <row r="4" spans="1:29" x14ac:dyDescent="0.3">
      <c r="C4" s="44" t="s">
        <v>119</v>
      </c>
      <c r="D4" s="44" t="s">
        <v>120</v>
      </c>
    </row>
    <row r="5" spans="1:29" x14ac:dyDescent="0.3">
      <c r="C5" s="44"/>
      <c r="D5" s="44"/>
    </row>
    <row r="6" spans="1:29" x14ac:dyDescent="0.3">
      <c r="C6" s="44"/>
      <c r="D6" s="44"/>
    </row>
    <row r="7" spans="1:29" x14ac:dyDescent="0.3">
      <c r="C7" s="44"/>
      <c r="D7" s="44"/>
    </row>
    <row r="8" spans="1:29" x14ac:dyDescent="0.3">
      <c r="C8" s="44"/>
      <c r="D8" s="44"/>
    </row>
    <row r="9" spans="1:29" x14ac:dyDescent="0.3">
      <c r="C9" s="44" t="s">
        <v>121</v>
      </c>
      <c r="D9" s="44" t="s">
        <v>248</v>
      </c>
    </row>
    <row r="11" spans="1:29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9" x14ac:dyDescent="0.3">
      <c r="A12" s="5" t="s">
        <v>0</v>
      </c>
      <c r="B12" s="72" t="s">
        <v>1</v>
      </c>
      <c r="C12" s="85"/>
      <c r="D12" s="7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8" t="s">
        <v>115</v>
      </c>
    </row>
    <row r="13" spans="1:29" x14ac:dyDescent="0.3">
      <c r="A13" s="6" t="s">
        <v>2</v>
      </c>
      <c r="B13" s="93" t="s">
        <v>3</v>
      </c>
      <c r="C13" s="85"/>
      <c r="D13" s="7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109"/>
    </row>
    <row r="14" spans="1:29" x14ac:dyDescent="0.3">
      <c r="A14" s="7"/>
      <c r="B14" s="96" t="s">
        <v>22</v>
      </c>
      <c r="C14" s="84"/>
      <c r="D14" s="6" t="s">
        <v>23</v>
      </c>
      <c r="E14" s="6">
        <v>125</v>
      </c>
      <c r="F14" s="6">
        <v>98</v>
      </c>
      <c r="G14" s="6">
        <v>127</v>
      </c>
      <c r="H14" s="6">
        <v>127</v>
      </c>
      <c r="I14" s="6">
        <v>137</v>
      </c>
      <c r="J14" s="6">
        <v>137</v>
      </c>
      <c r="K14" s="6">
        <v>140</v>
      </c>
      <c r="L14" s="6">
        <v>117</v>
      </c>
      <c r="M14" s="6">
        <v>133</v>
      </c>
      <c r="N14" s="6">
        <v>133</v>
      </c>
      <c r="O14" s="6">
        <v>147</v>
      </c>
      <c r="P14" s="6">
        <v>136</v>
      </c>
      <c r="Q14" s="6">
        <v>160</v>
      </c>
      <c r="R14" s="6">
        <v>148</v>
      </c>
      <c r="S14" s="6">
        <v>110</v>
      </c>
      <c r="T14" s="6">
        <v>124</v>
      </c>
      <c r="U14" s="6">
        <v>129</v>
      </c>
      <c r="V14" s="6">
        <v>135</v>
      </c>
      <c r="W14" s="6">
        <v>108</v>
      </c>
      <c r="X14" s="6">
        <v>121</v>
      </c>
      <c r="Y14" s="6">
        <v>151</v>
      </c>
      <c r="Z14" s="6">
        <v>141</v>
      </c>
      <c r="AA14" s="6">
        <v>103</v>
      </c>
      <c r="AB14" s="6">
        <v>135</v>
      </c>
      <c r="AC14" s="5">
        <f>SUM(E14:AB14)</f>
        <v>3122</v>
      </c>
    </row>
    <row r="15" spans="1:29" x14ac:dyDescent="0.3">
      <c r="A15" s="7"/>
      <c r="B15" s="97"/>
      <c r="C15" s="90"/>
      <c r="D15" s="6" t="s">
        <v>24</v>
      </c>
      <c r="E15" s="6">
        <v>131</v>
      </c>
      <c r="F15" s="6">
        <v>104</v>
      </c>
      <c r="G15" s="6">
        <v>131</v>
      </c>
      <c r="H15" s="6">
        <v>144</v>
      </c>
      <c r="I15" s="6">
        <v>136</v>
      </c>
      <c r="J15" s="6">
        <v>142</v>
      </c>
      <c r="K15" s="6">
        <v>142</v>
      </c>
      <c r="L15" s="6">
        <v>103</v>
      </c>
      <c r="M15" s="6">
        <v>123</v>
      </c>
      <c r="N15" s="6">
        <v>152</v>
      </c>
      <c r="O15" s="6">
        <v>141</v>
      </c>
      <c r="P15" s="6">
        <v>155</v>
      </c>
      <c r="Q15" s="6">
        <v>134</v>
      </c>
      <c r="R15" s="6">
        <v>138</v>
      </c>
      <c r="S15" s="6">
        <v>113</v>
      </c>
      <c r="T15" s="6">
        <v>152</v>
      </c>
      <c r="U15" s="6">
        <v>136</v>
      </c>
      <c r="V15" s="6">
        <v>134</v>
      </c>
      <c r="W15" s="6">
        <v>121</v>
      </c>
      <c r="X15" s="6">
        <v>115</v>
      </c>
      <c r="Y15" s="6">
        <v>133</v>
      </c>
      <c r="Z15" s="6">
        <v>141</v>
      </c>
      <c r="AA15" s="6">
        <v>140</v>
      </c>
      <c r="AB15" s="6">
        <v>135</v>
      </c>
      <c r="AC15" s="5">
        <f>SUM(E15:AB15)</f>
        <v>3196</v>
      </c>
    </row>
    <row r="16" spans="1:29" x14ac:dyDescent="0.3">
      <c r="A16" s="8"/>
      <c r="B16" s="95"/>
      <c r="C16" s="91"/>
      <c r="D16" s="5" t="s">
        <v>25</v>
      </c>
      <c r="E16" s="5">
        <f t="shared" ref="E16:AB16" si="0">SUM(E14:E15)</f>
        <v>256</v>
      </c>
      <c r="F16" s="5">
        <f t="shared" si="0"/>
        <v>202</v>
      </c>
      <c r="G16" s="5">
        <f t="shared" si="0"/>
        <v>258</v>
      </c>
      <c r="H16" s="5">
        <f t="shared" si="0"/>
        <v>271</v>
      </c>
      <c r="I16" s="5">
        <f t="shared" si="0"/>
        <v>273</v>
      </c>
      <c r="J16" s="5">
        <f t="shared" si="0"/>
        <v>279</v>
      </c>
      <c r="K16" s="5">
        <f t="shared" si="0"/>
        <v>282</v>
      </c>
      <c r="L16" s="5">
        <f t="shared" si="0"/>
        <v>220</v>
      </c>
      <c r="M16" s="5">
        <f t="shared" si="0"/>
        <v>256</v>
      </c>
      <c r="N16" s="5">
        <f t="shared" si="0"/>
        <v>285</v>
      </c>
      <c r="O16" s="5">
        <f t="shared" si="0"/>
        <v>288</v>
      </c>
      <c r="P16" s="5">
        <f t="shared" si="0"/>
        <v>291</v>
      </c>
      <c r="Q16" s="5">
        <f t="shared" si="0"/>
        <v>294</v>
      </c>
      <c r="R16" s="5">
        <f t="shared" si="0"/>
        <v>286</v>
      </c>
      <c r="S16" s="5">
        <f t="shared" si="0"/>
        <v>223</v>
      </c>
      <c r="T16" s="5">
        <f t="shared" si="0"/>
        <v>276</v>
      </c>
      <c r="U16" s="5">
        <f t="shared" si="0"/>
        <v>265</v>
      </c>
      <c r="V16" s="5">
        <f t="shared" si="0"/>
        <v>269</v>
      </c>
      <c r="W16" s="5">
        <f t="shared" ref="W16:Y16" si="1">SUM(W14:W15)</f>
        <v>229</v>
      </c>
      <c r="X16" s="5">
        <f t="shared" si="1"/>
        <v>236</v>
      </c>
      <c r="Y16" s="5">
        <f t="shared" si="1"/>
        <v>284</v>
      </c>
      <c r="Z16" s="5">
        <f t="shared" si="0"/>
        <v>282</v>
      </c>
      <c r="AA16" s="5">
        <f t="shared" si="0"/>
        <v>243</v>
      </c>
      <c r="AB16" s="5">
        <f t="shared" si="0"/>
        <v>270</v>
      </c>
      <c r="AC16" s="5">
        <f>SUM(E16:AB16)</f>
        <v>6318</v>
      </c>
    </row>
    <row r="17" spans="1:29" x14ac:dyDescent="0.3">
      <c r="A17" s="77"/>
      <c r="B17" s="85"/>
      <c r="C17" s="85"/>
      <c r="D17" s="7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29"/>
    </row>
    <row r="18" spans="1:29" x14ac:dyDescent="0.3">
      <c r="A18" s="11" t="s">
        <v>26</v>
      </c>
      <c r="B18" s="93" t="s">
        <v>27</v>
      </c>
      <c r="C18" s="85"/>
      <c r="D18" s="76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29"/>
    </row>
    <row r="19" spans="1:29" x14ac:dyDescent="0.3">
      <c r="A19" s="11"/>
      <c r="B19" s="98" t="s">
        <v>28</v>
      </c>
      <c r="C19" s="99" t="s">
        <v>29</v>
      </c>
      <c r="D19" s="6" t="s">
        <v>23</v>
      </c>
      <c r="E19" s="6">
        <v>83</v>
      </c>
      <c r="F19" s="6">
        <v>76</v>
      </c>
      <c r="G19" s="6">
        <v>107</v>
      </c>
      <c r="H19" s="6">
        <v>80</v>
      </c>
      <c r="I19" s="6">
        <v>101</v>
      </c>
      <c r="J19" s="6">
        <v>100</v>
      </c>
      <c r="K19" s="6">
        <v>102</v>
      </c>
      <c r="L19" s="6">
        <v>86</v>
      </c>
      <c r="M19" s="6">
        <v>111</v>
      </c>
      <c r="N19" s="6">
        <v>104</v>
      </c>
      <c r="O19" s="6">
        <v>112</v>
      </c>
      <c r="P19" s="6">
        <v>99</v>
      </c>
      <c r="Q19" s="6">
        <v>122</v>
      </c>
      <c r="R19" s="6">
        <v>121</v>
      </c>
      <c r="S19" s="6">
        <v>85</v>
      </c>
      <c r="T19" s="6">
        <v>88</v>
      </c>
      <c r="U19" s="6">
        <v>85</v>
      </c>
      <c r="V19" s="6">
        <v>104</v>
      </c>
      <c r="W19" s="6">
        <v>83</v>
      </c>
      <c r="X19" s="6">
        <v>87</v>
      </c>
      <c r="Y19" s="6">
        <v>122</v>
      </c>
      <c r="Z19" s="6">
        <v>110</v>
      </c>
      <c r="AA19" s="6">
        <v>82</v>
      </c>
      <c r="AB19" s="6">
        <v>110</v>
      </c>
      <c r="AC19" s="5">
        <f t="shared" ref="AC19:AC30" si="2">SUM(E19:AB19)</f>
        <v>2360</v>
      </c>
    </row>
    <row r="20" spans="1:29" x14ac:dyDescent="0.3">
      <c r="A20" s="12"/>
      <c r="B20" s="90"/>
      <c r="C20" s="100"/>
      <c r="D20" s="6" t="s">
        <v>24</v>
      </c>
      <c r="E20" s="6">
        <v>96</v>
      </c>
      <c r="F20" s="6">
        <v>87</v>
      </c>
      <c r="G20" s="6">
        <v>110</v>
      </c>
      <c r="H20" s="6">
        <v>111</v>
      </c>
      <c r="I20" s="6">
        <v>109</v>
      </c>
      <c r="J20" s="6">
        <v>115</v>
      </c>
      <c r="K20" s="6">
        <v>111</v>
      </c>
      <c r="L20" s="6">
        <v>83</v>
      </c>
      <c r="M20" s="6">
        <v>98</v>
      </c>
      <c r="N20" s="6">
        <v>132</v>
      </c>
      <c r="O20" s="6">
        <v>116</v>
      </c>
      <c r="P20" s="6">
        <v>137</v>
      </c>
      <c r="Q20" s="6">
        <v>109</v>
      </c>
      <c r="R20" s="6">
        <v>103</v>
      </c>
      <c r="S20" s="6">
        <v>96</v>
      </c>
      <c r="T20" s="6">
        <v>112</v>
      </c>
      <c r="U20" s="6">
        <v>104</v>
      </c>
      <c r="V20" s="6">
        <v>106</v>
      </c>
      <c r="W20" s="6">
        <v>102</v>
      </c>
      <c r="X20" s="6">
        <v>92</v>
      </c>
      <c r="Y20" s="6">
        <v>107</v>
      </c>
      <c r="Z20" s="6">
        <v>115</v>
      </c>
      <c r="AA20" s="6">
        <v>119</v>
      </c>
      <c r="AB20" s="6">
        <v>122</v>
      </c>
      <c r="AC20" s="5">
        <f t="shared" si="2"/>
        <v>2592</v>
      </c>
    </row>
    <row r="21" spans="1:29" x14ac:dyDescent="0.3">
      <c r="A21" s="13"/>
      <c r="B21" s="91"/>
      <c r="C21" s="101"/>
      <c r="D21" s="5" t="s">
        <v>25</v>
      </c>
      <c r="E21" s="5">
        <f t="shared" ref="E21:AB21" si="3">SUM(E19:E20)</f>
        <v>179</v>
      </c>
      <c r="F21" s="5">
        <f t="shared" si="3"/>
        <v>163</v>
      </c>
      <c r="G21" s="5">
        <f t="shared" si="3"/>
        <v>217</v>
      </c>
      <c r="H21" s="5">
        <f t="shared" si="3"/>
        <v>191</v>
      </c>
      <c r="I21" s="5">
        <f t="shared" si="3"/>
        <v>210</v>
      </c>
      <c r="J21" s="5">
        <f t="shared" si="3"/>
        <v>215</v>
      </c>
      <c r="K21" s="5">
        <f t="shared" si="3"/>
        <v>213</v>
      </c>
      <c r="L21" s="5">
        <f t="shared" si="3"/>
        <v>169</v>
      </c>
      <c r="M21" s="5">
        <f t="shared" si="3"/>
        <v>209</v>
      </c>
      <c r="N21" s="5">
        <f t="shared" si="3"/>
        <v>236</v>
      </c>
      <c r="O21" s="5">
        <f t="shared" si="3"/>
        <v>228</v>
      </c>
      <c r="P21" s="5">
        <f t="shared" si="3"/>
        <v>236</v>
      </c>
      <c r="Q21" s="5">
        <f t="shared" si="3"/>
        <v>231</v>
      </c>
      <c r="R21" s="5">
        <f t="shared" si="3"/>
        <v>224</v>
      </c>
      <c r="S21" s="5">
        <f t="shared" si="3"/>
        <v>181</v>
      </c>
      <c r="T21" s="5">
        <f t="shared" si="3"/>
        <v>200</v>
      </c>
      <c r="U21" s="5">
        <f t="shared" si="3"/>
        <v>189</v>
      </c>
      <c r="V21" s="5">
        <f t="shared" si="3"/>
        <v>210</v>
      </c>
      <c r="W21" s="5">
        <f t="shared" ref="W21:Y21" si="4">SUM(W19:W20)</f>
        <v>185</v>
      </c>
      <c r="X21" s="5">
        <f t="shared" si="4"/>
        <v>179</v>
      </c>
      <c r="Y21" s="5">
        <f t="shared" si="4"/>
        <v>229</v>
      </c>
      <c r="Z21" s="5">
        <f t="shared" si="3"/>
        <v>225</v>
      </c>
      <c r="AA21" s="5">
        <f t="shared" si="3"/>
        <v>201</v>
      </c>
      <c r="AB21" s="5">
        <f t="shared" si="3"/>
        <v>232</v>
      </c>
      <c r="AC21" s="5">
        <f t="shared" si="2"/>
        <v>4952</v>
      </c>
    </row>
    <row r="22" spans="1:29" x14ac:dyDescent="0.3">
      <c r="A22" s="12"/>
      <c r="B22" s="98" t="s">
        <v>30</v>
      </c>
      <c r="C22" s="99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/>
      <c r="V22" s="6"/>
      <c r="W22" s="6"/>
      <c r="X22" s="6"/>
      <c r="Y22" s="6"/>
      <c r="Z22" s="6"/>
      <c r="AA22" s="6"/>
      <c r="AB22" s="6"/>
      <c r="AC22" s="5">
        <f t="shared" si="2"/>
        <v>2</v>
      </c>
    </row>
    <row r="23" spans="1:29" x14ac:dyDescent="0.3">
      <c r="A23" s="12"/>
      <c r="B23" s="90"/>
      <c r="C23" s="100"/>
      <c r="D23" s="6" t="s">
        <v>24</v>
      </c>
      <c r="E23" s="6">
        <v>0</v>
      </c>
      <c r="F23" s="6">
        <v>0</v>
      </c>
      <c r="G23" s="6">
        <v>1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/>
      <c r="V23" s="6"/>
      <c r="W23" s="6"/>
      <c r="X23" s="6"/>
      <c r="Y23" s="6"/>
      <c r="Z23" s="6"/>
      <c r="AA23" s="6"/>
      <c r="AB23" s="6"/>
      <c r="AC23" s="5">
        <f t="shared" si="2"/>
        <v>2</v>
      </c>
    </row>
    <row r="24" spans="1:29" x14ac:dyDescent="0.3">
      <c r="A24" s="13"/>
      <c r="B24" s="91"/>
      <c r="C24" s="101"/>
      <c r="D24" s="5" t="s">
        <v>25</v>
      </c>
      <c r="E24" s="5">
        <f t="shared" ref="E24:AB24" si="5">SUM(E22:E23)</f>
        <v>0</v>
      </c>
      <c r="F24" s="5">
        <f t="shared" si="5"/>
        <v>0</v>
      </c>
      <c r="G24" s="5">
        <f t="shared" si="5"/>
        <v>2</v>
      </c>
      <c r="H24" s="5">
        <f t="shared" si="5"/>
        <v>2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ref="W24:Y24" si="6">SUM(W22:W23)</f>
        <v>0</v>
      </c>
      <c r="X24" s="5">
        <f t="shared" si="6"/>
        <v>0</v>
      </c>
      <c r="Y24" s="5">
        <f t="shared" si="6"/>
        <v>0</v>
      </c>
      <c r="Z24" s="5">
        <f t="shared" si="5"/>
        <v>0</v>
      </c>
      <c r="AA24" s="5">
        <f t="shared" si="5"/>
        <v>0</v>
      </c>
      <c r="AB24" s="5">
        <f t="shared" si="5"/>
        <v>0</v>
      </c>
      <c r="AC24" s="5">
        <f t="shared" si="2"/>
        <v>4</v>
      </c>
    </row>
    <row r="25" spans="1:29" x14ac:dyDescent="0.3">
      <c r="A25" s="12"/>
      <c r="B25" s="98" t="s">
        <v>32</v>
      </c>
      <c r="C25" s="99" t="s">
        <v>33</v>
      </c>
      <c r="D25" s="6" t="s">
        <v>23</v>
      </c>
      <c r="E25" s="6">
        <v>1</v>
      </c>
      <c r="F25" s="6">
        <v>0</v>
      </c>
      <c r="G25" s="6">
        <v>2</v>
      </c>
      <c r="H25" s="6">
        <v>0</v>
      </c>
      <c r="I25" s="6">
        <v>0</v>
      </c>
      <c r="J25" s="6">
        <v>0</v>
      </c>
      <c r="K25" s="6">
        <v>2</v>
      </c>
      <c r="L25" s="6">
        <v>2</v>
      </c>
      <c r="M25" s="6">
        <v>0</v>
      </c>
      <c r="N25" s="6">
        <v>0</v>
      </c>
      <c r="O25" s="6">
        <v>0</v>
      </c>
      <c r="P25" s="6">
        <v>0</v>
      </c>
      <c r="Q25" s="6">
        <v>2</v>
      </c>
      <c r="R25" s="6">
        <v>0</v>
      </c>
      <c r="S25" s="6">
        <v>0</v>
      </c>
      <c r="T25" s="6">
        <v>1</v>
      </c>
      <c r="U25" s="6">
        <v>1</v>
      </c>
      <c r="V25" s="6">
        <v>0</v>
      </c>
      <c r="W25" s="6">
        <v>1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5">
        <f t="shared" si="2"/>
        <v>12</v>
      </c>
    </row>
    <row r="26" spans="1:29" x14ac:dyDescent="0.3">
      <c r="A26" s="12"/>
      <c r="B26" s="90"/>
      <c r="C26" s="100"/>
      <c r="D26" s="6" t="s">
        <v>24</v>
      </c>
      <c r="E26" s="6">
        <v>1</v>
      </c>
      <c r="F26" s="6">
        <v>0</v>
      </c>
      <c r="G26" s="6">
        <v>2</v>
      </c>
      <c r="H26" s="6">
        <v>0</v>
      </c>
      <c r="I26" s="6">
        <v>0</v>
      </c>
      <c r="J26" s="6">
        <v>3</v>
      </c>
      <c r="K26" s="6">
        <v>2</v>
      </c>
      <c r="L26" s="6">
        <v>0</v>
      </c>
      <c r="M26" s="6">
        <v>1</v>
      </c>
      <c r="N26" s="6">
        <v>2</v>
      </c>
      <c r="O26" s="6">
        <v>1</v>
      </c>
      <c r="P26" s="6">
        <v>0</v>
      </c>
      <c r="Q26" s="6">
        <v>2</v>
      </c>
      <c r="R26" s="6">
        <v>1</v>
      </c>
      <c r="S26" s="6">
        <v>3</v>
      </c>
      <c r="T26" s="6">
        <v>1</v>
      </c>
      <c r="U26" s="6">
        <v>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5">
        <f t="shared" si="2"/>
        <v>20</v>
      </c>
    </row>
    <row r="27" spans="1:29" x14ac:dyDescent="0.3">
      <c r="A27" s="13"/>
      <c r="B27" s="91"/>
      <c r="C27" s="101"/>
      <c r="D27" s="5" t="s">
        <v>25</v>
      </c>
      <c r="E27" s="5">
        <f t="shared" ref="E27:AB27" si="7">SUM(E25:E26)</f>
        <v>2</v>
      </c>
      <c r="F27" s="5">
        <f t="shared" si="7"/>
        <v>0</v>
      </c>
      <c r="G27" s="5">
        <f t="shared" si="7"/>
        <v>4</v>
      </c>
      <c r="H27" s="5">
        <f t="shared" si="7"/>
        <v>0</v>
      </c>
      <c r="I27" s="5">
        <f t="shared" si="7"/>
        <v>0</v>
      </c>
      <c r="J27" s="5">
        <f t="shared" si="7"/>
        <v>3</v>
      </c>
      <c r="K27" s="5">
        <f t="shared" si="7"/>
        <v>4</v>
      </c>
      <c r="L27" s="5">
        <f t="shared" si="7"/>
        <v>2</v>
      </c>
      <c r="M27" s="5">
        <f t="shared" si="7"/>
        <v>1</v>
      </c>
      <c r="N27" s="5">
        <f t="shared" si="7"/>
        <v>2</v>
      </c>
      <c r="O27" s="5">
        <f t="shared" si="7"/>
        <v>1</v>
      </c>
      <c r="P27" s="5">
        <f t="shared" si="7"/>
        <v>0</v>
      </c>
      <c r="Q27" s="5">
        <f t="shared" si="7"/>
        <v>4</v>
      </c>
      <c r="R27" s="5">
        <f t="shared" si="7"/>
        <v>1</v>
      </c>
      <c r="S27" s="5">
        <f t="shared" si="7"/>
        <v>3</v>
      </c>
      <c r="T27" s="5">
        <f t="shared" si="7"/>
        <v>2</v>
      </c>
      <c r="U27" s="5">
        <f t="shared" si="7"/>
        <v>2</v>
      </c>
      <c r="V27" s="5">
        <f t="shared" si="7"/>
        <v>0</v>
      </c>
      <c r="W27" s="5">
        <f t="shared" ref="W27:Y27" si="8">SUM(W25:W26)</f>
        <v>1</v>
      </c>
      <c r="X27" s="5">
        <f t="shared" si="8"/>
        <v>0</v>
      </c>
      <c r="Y27" s="5">
        <f t="shared" si="8"/>
        <v>0</v>
      </c>
      <c r="Z27" s="5">
        <f t="shared" si="7"/>
        <v>0</v>
      </c>
      <c r="AA27" s="5">
        <f t="shared" si="7"/>
        <v>0</v>
      </c>
      <c r="AB27" s="5">
        <f t="shared" si="7"/>
        <v>0</v>
      </c>
      <c r="AC27" s="5">
        <f t="shared" si="2"/>
        <v>32</v>
      </c>
    </row>
    <row r="28" spans="1:29" x14ac:dyDescent="0.3">
      <c r="A28" s="13"/>
      <c r="B28" s="102" t="s">
        <v>34</v>
      </c>
      <c r="C28" s="103" t="s">
        <v>35</v>
      </c>
      <c r="D28" s="5" t="s">
        <v>23</v>
      </c>
      <c r="E28" s="5">
        <f>SUM(E19,E22,E25)</f>
        <v>84</v>
      </c>
      <c r="F28" s="5">
        <f t="shared" ref="F28:AB29" si="9">SUM(F19,F22,F25)</f>
        <v>76</v>
      </c>
      <c r="G28" s="5">
        <f t="shared" si="9"/>
        <v>110</v>
      </c>
      <c r="H28" s="5">
        <f t="shared" si="9"/>
        <v>81</v>
      </c>
      <c r="I28" s="5">
        <f t="shared" si="9"/>
        <v>101</v>
      </c>
      <c r="J28" s="5">
        <f t="shared" si="9"/>
        <v>100</v>
      </c>
      <c r="K28" s="5">
        <f t="shared" si="9"/>
        <v>104</v>
      </c>
      <c r="L28" s="5">
        <f t="shared" si="9"/>
        <v>88</v>
      </c>
      <c r="M28" s="5">
        <f t="shared" si="9"/>
        <v>111</v>
      </c>
      <c r="N28" s="5">
        <f t="shared" si="9"/>
        <v>104</v>
      </c>
      <c r="O28" s="5">
        <f t="shared" si="9"/>
        <v>112</v>
      </c>
      <c r="P28" s="5">
        <f t="shared" si="9"/>
        <v>99</v>
      </c>
      <c r="Q28" s="5">
        <f t="shared" si="9"/>
        <v>124</v>
      </c>
      <c r="R28" s="5">
        <f t="shared" si="9"/>
        <v>121</v>
      </c>
      <c r="S28" s="5">
        <f t="shared" si="9"/>
        <v>85</v>
      </c>
      <c r="T28" s="5">
        <f t="shared" si="9"/>
        <v>89</v>
      </c>
      <c r="U28" s="5">
        <f t="shared" si="9"/>
        <v>86</v>
      </c>
      <c r="V28" s="5">
        <f t="shared" si="9"/>
        <v>104</v>
      </c>
      <c r="W28" s="5">
        <f t="shared" ref="W28:Y28" si="10">SUM(W19,W22,W25)</f>
        <v>84</v>
      </c>
      <c r="X28" s="5">
        <f t="shared" si="10"/>
        <v>87</v>
      </c>
      <c r="Y28" s="5">
        <f t="shared" si="10"/>
        <v>122</v>
      </c>
      <c r="Z28" s="5">
        <f t="shared" si="9"/>
        <v>110</v>
      </c>
      <c r="AA28" s="5">
        <f t="shared" si="9"/>
        <v>82</v>
      </c>
      <c r="AB28" s="5">
        <f t="shared" si="9"/>
        <v>110</v>
      </c>
      <c r="AC28" s="5">
        <f t="shared" si="2"/>
        <v>2374</v>
      </c>
    </row>
    <row r="29" spans="1:29" x14ac:dyDescent="0.3">
      <c r="A29" s="13"/>
      <c r="B29" s="90"/>
      <c r="C29" s="100"/>
      <c r="D29" s="5" t="s">
        <v>24</v>
      </c>
      <c r="E29" s="5">
        <f>SUM(E20,E23,E26)</f>
        <v>97</v>
      </c>
      <c r="F29" s="5">
        <f t="shared" si="9"/>
        <v>87</v>
      </c>
      <c r="G29" s="5">
        <f t="shared" si="9"/>
        <v>113</v>
      </c>
      <c r="H29" s="5">
        <f t="shared" si="9"/>
        <v>112</v>
      </c>
      <c r="I29" s="5">
        <f t="shared" si="9"/>
        <v>109</v>
      </c>
      <c r="J29" s="5">
        <f t="shared" si="9"/>
        <v>118</v>
      </c>
      <c r="K29" s="5">
        <f t="shared" si="9"/>
        <v>113</v>
      </c>
      <c r="L29" s="5">
        <f t="shared" si="9"/>
        <v>83</v>
      </c>
      <c r="M29" s="5">
        <f t="shared" si="9"/>
        <v>99</v>
      </c>
      <c r="N29" s="5">
        <f t="shared" si="9"/>
        <v>134</v>
      </c>
      <c r="O29" s="5">
        <f t="shared" si="9"/>
        <v>117</v>
      </c>
      <c r="P29" s="5">
        <f t="shared" si="9"/>
        <v>137</v>
      </c>
      <c r="Q29" s="5">
        <f t="shared" si="9"/>
        <v>111</v>
      </c>
      <c r="R29" s="5">
        <f t="shared" si="9"/>
        <v>104</v>
      </c>
      <c r="S29" s="5">
        <f t="shared" si="9"/>
        <v>99</v>
      </c>
      <c r="T29" s="5">
        <f t="shared" si="9"/>
        <v>113</v>
      </c>
      <c r="U29" s="5">
        <f t="shared" si="9"/>
        <v>105</v>
      </c>
      <c r="V29" s="5">
        <f t="shared" si="9"/>
        <v>106</v>
      </c>
      <c r="W29" s="5">
        <f t="shared" ref="W29:Y29" si="11">SUM(W20,W23,W26)</f>
        <v>102</v>
      </c>
      <c r="X29" s="5">
        <f t="shared" si="11"/>
        <v>92</v>
      </c>
      <c r="Y29" s="5">
        <f t="shared" si="11"/>
        <v>107</v>
      </c>
      <c r="Z29" s="5">
        <f t="shared" si="9"/>
        <v>115</v>
      </c>
      <c r="AA29" s="5">
        <f t="shared" si="9"/>
        <v>119</v>
      </c>
      <c r="AB29" s="5">
        <f t="shared" si="9"/>
        <v>122</v>
      </c>
      <c r="AC29" s="5">
        <f t="shared" si="2"/>
        <v>2614</v>
      </c>
    </row>
    <row r="30" spans="1:29" x14ac:dyDescent="0.3">
      <c r="A30" s="13"/>
      <c r="B30" s="91"/>
      <c r="C30" s="101"/>
      <c r="D30" s="5" t="s">
        <v>25</v>
      </c>
      <c r="E30" s="5">
        <f t="shared" ref="E30:AB30" si="12">SUM(E28:E29)</f>
        <v>181</v>
      </c>
      <c r="F30" s="5">
        <f t="shared" si="12"/>
        <v>163</v>
      </c>
      <c r="G30" s="5">
        <f t="shared" si="12"/>
        <v>223</v>
      </c>
      <c r="H30" s="5">
        <f t="shared" si="12"/>
        <v>193</v>
      </c>
      <c r="I30" s="5">
        <f t="shared" si="12"/>
        <v>210</v>
      </c>
      <c r="J30" s="5">
        <f t="shared" si="12"/>
        <v>218</v>
      </c>
      <c r="K30" s="5">
        <f t="shared" si="12"/>
        <v>217</v>
      </c>
      <c r="L30" s="5">
        <f t="shared" si="12"/>
        <v>171</v>
      </c>
      <c r="M30" s="5">
        <f t="shared" si="12"/>
        <v>210</v>
      </c>
      <c r="N30" s="5">
        <f t="shared" si="12"/>
        <v>238</v>
      </c>
      <c r="O30" s="5">
        <f t="shared" si="12"/>
        <v>229</v>
      </c>
      <c r="P30" s="5">
        <f t="shared" si="12"/>
        <v>236</v>
      </c>
      <c r="Q30" s="5">
        <f t="shared" si="12"/>
        <v>235</v>
      </c>
      <c r="R30" s="5">
        <f t="shared" si="12"/>
        <v>225</v>
      </c>
      <c r="S30" s="5">
        <f t="shared" si="12"/>
        <v>184</v>
      </c>
      <c r="T30" s="5">
        <f t="shared" si="12"/>
        <v>202</v>
      </c>
      <c r="U30" s="5">
        <f t="shared" si="12"/>
        <v>191</v>
      </c>
      <c r="V30" s="5">
        <f t="shared" si="12"/>
        <v>210</v>
      </c>
      <c r="W30" s="5">
        <f t="shared" ref="W30:Y30" si="13">SUM(W28:W29)</f>
        <v>186</v>
      </c>
      <c r="X30" s="5">
        <f t="shared" si="13"/>
        <v>179</v>
      </c>
      <c r="Y30" s="5">
        <f t="shared" si="13"/>
        <v>229</v>
      </c>
      <c r="Z30" s="5">
        <f t="shared" si="12"/>
        <v>225</v>
      </c>
      <c r="AA30" s="5">
        <f t="shared" si="12"/>
        <v>201</v>
      </c>
      <c r="AB30" s="5">
        <f t="shared" si="12"/>
        <v>232</v>
      </c>
      <c r="AC30" s="5">
        <f t="shared" si="2"/>
        <v>4988</v>
      </c>
    </row>
    <row r="31" spans="1:29" x14ac:dyDescent="0.3">
      <c r="A31" s="77"/>
      <c r="B31" s="85"/>
      <c r="C31" s="85"/>
      <c r="D31" s="76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29"/>
    </row>
    <row r="32" spans="1:29" x14ac:dyDescent="0.3">
      <c r="A32" s="14" t="s">
        <v>36</v>
      </c>
      <c r="B32" s="72" t="s">
        <v>37</v>
      </c>
      <c r="C32" s="85"/>
      <c r="D32" s="76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29"/>
    </row>
    <row r="33" spans="1:29" x14ac:dyDescent="0.3">
      <c r="A33" s="6">
        <v>1</v>
      </c>
      <c r="B33" s="93" t="s">
        <v>38</v>
      </c>
      <c r="C33" s="85"/>
      <c r="D33" s="76"/>
      <c r="E33" s="6">
        <v>262</v>
      </c>
      <c r="F33" s="6">
        <v>207</v>
      </c>
      <c r="G33" s="6">
        <v>265</v>
      </c>
      <c r="H33" s="6">
        <v>277</v>
      </c>
      <c r="I33" s="6">
        <v>279</v>
      </c>
      <c r="J33" s="6">
        <v>286</v>
      </c>
      <c r="K33" s="6">
        <v>288</v>
      </c>
      <c r="L33" s="6">
        <v>225</v>
      </c>
      <c r="M33" s="6">
        <v>262</v>
      </c>
      <c r="N33" s="6">
        <v>291</v>
      </c>
      <c r="O33" s="6">
        <v>294</v>
      </c>
      <c r="P33" s="6">
        <v>297</v>
      </c>
      <c r="Q33" s="6">
        <v>300</v>
      </c>
      <c r="R33" s="6">
        <v>292</v>
      </c>
      <c r="S33" s="6">
        <v>228</v>
      </c>
      <c r="T33" s="6">
        <v>282</v>
      </c>
      <c r="U33" s="6">
        <v>271</v>
      </c>
      <c r="V33" s="6">
        <v>275</v>
      </c>
      <c r="W33" s="6">
        <v>234</v>
      </c>
      <c r="X33" s="6">
        <v>241</v>
      </c>
      <c r="Y33" s="6">
        <v>290</v>
      </c>
      <c r="Z33" s="6">
        <v>288</v>
      </c>
      <c r="AA33" s="6">
        <v>248</v>
      </c>
      <c r="AB33" s="6">
        <v>276</v>
      </c>
      <c r="AC33" s="5">
        <f>SUM(E33:AB33)</f>
        <v>6458</v>
      </c>
    </row>
    <row r="34" spans="1:29" x14ac:dyDescent="0.3">
      <c r="A34" s="6">
        <v>2</v>
      </c>
      <c r="B34" s="93" t="s">
        <v>39</v>
      </c>
      <c r="C34" s="85"/>
      <c r="D34" s="76"/>
      <c r="E34" s="5">
        <v>181</v>
      </c>
      <c r="F34" s="5">
        <v>163</v>
      </c>
      <c r="G34" s="5">
        <v>223</v>
      </c>
      <c r="H34" s="5">
        <v>193</v>
      </c>
      <c r="I34" s="5">
        <v>210</v>
      </c>
      <c r="J34" s="5">
        <v>218</v>
      </c>
      <c r="K34" s="5">
        <v>217</v>
      </c>
      <c r="L34" s="5">
        <v>171</v>
      </c>
      <c r="M34" s="5">
        <v>210</v>
      </c>
      <c r="N34" s="5">
        <v>238</v>
      </c>
      <c r="O34" s="5">
        <v>229</v>
      </c>
      <c r="P34" s="5">
        <v>236</v>
      </c>
      <c r="Q34" s="5">
        <v>235</v>
      </c>
      <c r="R34" s="5">
        <v>225</v>
      </c>
      <c r="S34" s="5">
        <v>184</v>
      </c>
      <c r="T34" s="5">
        <v>202</v>
      </c>
      <c r="U34" s="5">
        <v>191</v>
      </c>
      <c r="V34" s="5">
        <v>210</v>
      </c>
      <c r="W34" s="5">
        <v>186</v>
      </c>
      <c r="X34" s="5">
        <v>179</v>
      </c>
      <c r="Y34" s="5">
        <v>229</v>
      </c>
      <c r="Z34" s="5">
        <v>225</v>
      </c>
      <c r="AA34" s="5">
        <v>201</v>
      </c>
      <c r="AB34" s="5">
        <v>232</v>
      </c>
      <c r="AC34" s="5">
        <f>SUM(E34:AB34)</f>
        <v>4988</v>
      </c>
    </row>
    <row r="35" spans="1:29" x14ac:dyDescent="0.3">
      <c r="A35" s="6">
        <v>3</v>
      </c>
      <c r="B35" s="93" t="s">
        <v>40</v>
      </c>
      <c r="C35" s="85"/>
      <c r="D35" s="76"/>
      <c r="E35" s="6">
        <v>0</v>
      </c>
      <c r="F35" s="6">
        <v>0</v>
      </c>
      <c r="G35" s="6">
        <v>0</v>
      </c>
      <c r="H35" s="6">
        <v>2</v>
      </c>
      <c r="I35" s="6">
        <v>0</v>
      </c>
      <c r="J35" s="6">
        <v>0</v>
      </c>
      <c r="K35" s="6">
        <v>0</v>
      </c>
      <c r="L35" s="6">
        <v>0</v>
      </c>
      <c r="M35" s="6">
        <v>2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2</v>
      </c>
      <c r="AB35" s="6">
        <v>0</v>
      </c>
      <c r="AC35" s="5">
        <f>SUM(E35:AB35)</f>
        <v>7</v>
      </c>
    </row>
    <row r="36" spans="1:29" x14ac:dyDescent="0.3">
      <c r="A36" s="6">
        <v>4</v>
      </c>
      <c r="B36" s="93" t="s">
        <v>41</v>
      </c>
      <c r="C36" s="85"/>
      <c r="D36" s="76"/>
      <c r="E36" s="5">
        <f t="shared" ref="E36:AB36" si="14">E33-(E34+E35)</f>
        <v>81</v>
      </c>
      <c r="F36" s="5">
        <f t="shared" si="14"/>
        <v>44</v>
      </c>
      <c r="G36" s="5">
        <f t="shared" si="14"/>
        <v>42</v>
      </c>
      <c r="H36" s="5">
        <f t="shared" si="14"/>
        <v>82</v>
      </c>
      <c r="I36" s="5">
        <f t="shared" si="14"/>
        <v>69</v>
      </c>
      <c r="J36" s="5">
        <f t="shared" si="14"/>
        <v>68</v>
      </c>
      <c r="K36" s="5">
        <f t="shared" si="14"/>
        <v>71</v>
      </c>
      <c r="L36" s="5">
        <f t="shared" si="14"/>
        <v>54</v>
      </c>
      <c r="M36" s="5">
        <f t="shared" si="14"/>
        <v>50</v>
      </c>
      <c r="N36" s="5">
        <f t="shared" si="14"/>
        <v>53</v>
      </c>
      <c r="O36" s="5">
        <f t="shared" si="14"/>
        <v>65</v>
      </c>
      <c r="P36" s="5">
        <f t="shared" si="14"/>
        <v>61</v>
      </c>
      <c r="Q36" s="5">
        <f t="shared" si="14"/>
        <v>65</v>
      </c>
      <c r="R36" s="5">
        <f t="shared" si="14"/>
        <v>67</v>
      </c>
      <c r="S36" s="5">
        <f t="shared" si="14"/>
        <v>43</v>
      </c>
      <c r="T36" s="5">
        <f t="shared" si="14"/>
        <v>80</v>
      </c>
      <c r="U36" s="5">
        <f t="shared" si="14"/>
        <v>80</v>
      </c>
      <c r="V36" s="5">
        <f t="shared" si="14"/>
        <v>65</v>
      </c>
      <c r="W36" s="5">
        <f t="shared" ref="W36:Y36" si="15">W33-(W34+W35)</f>
        <v>48</v>
      </c>
      <c r="X36" s="5">
        <f t="shared" si="15"/>
        <v>62</v>
      </c>
      <c r="Y36" s="5">
        <f t="shared" si="15"/>
        <v>61</v>
      </c>
      <c r="Z36" s="5">
        <f t="shared" si="14"/>
        <v>63</v>
      </c>
      <c r="AA36" s="5">
        <f t="shared" si="14"/>
        <v>45</v>
      </c>
      <c r="AB36" s="5">
        <f t="shared" si="14"/>
        <v>44</v>
      </c>
      <c r="AC36" s="5">
        <f>SUM(E36:AB36)</f>
        <v>1463</v>
      </c>
    </row>
    <row r="37" spans="1:29" x14ac:dyDescent="0.3">
      <c r="A37" s="77"/>
      <c r="B37" s="85"/>
      <c r="C37" s="85"/>
      <c r="D37" s="85"/>
      <c r="E37" s="77"/>
      <c r="F37" s="104"/>
      <c r="G37" s="104"/>
      <c r="H37" s="104"/>
      <c r="I37" s="105"/>
      <c r="J37" s="6"/>
      <c r="K37" s="6"/>
      <c r="L37" s="6"/>
      <c r="M37" s="6"/>
      <c r="N37" s="10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9"/>
    </row>
    <row r="38" spans="1:29" x14ac:dyDescent="0.3">
      <c r="A38" s="16" t="s">
        <v>42</v>
      </c>
      <c r="B38" s="72" t="s">
        <v>43</v>
      </c>
      <c r="C38" s="85"/>
      <c r="D38" s="76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29"/>
    </row>
    <row r="39" spans="1:29" x14ac:dyDescent="0.3">
      <c r="A39" s="11"/>
      <c r="B39" s="88" t="s">
        <v>44</v>
      </c>
      <c r="C39" s="84"/>
      <c r="D39" s="6" t="s">
        <v>23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2</v>
      </c>
      <c r="R39" s="6">
        <v>0</v>
      </c>
      <c r="S39" s="6">
        <v>0</v>
      </c>
      <c r="T39" s="6">
        <v>0</v>
      </c>
      <c r="U39" s="6">
        <v>1</v>
      </c>
      <c r="V39" s="6">
        <v>0</v>
      </c>
      <c r="W39" s="6">
        <v>1</v>
      </c>
      <c r="X39" s="6">
        <v>0</v>
      </c>
      <c r="Y39" s="6">
        <v>0</v>
      </c>
      <c r="Z39" s="6">
        <v>0</v>
      </c>
      <c r="AA39" s="6">
        <v>1</v>
      </c>
      <c r="AB39" s="6">
        <v>0</v>
      </c>
      <c r="AC39" s="5">
        <f>SUM(E39:AB39)</f>
        <v>6</v>
      </c>
    </row>
    <row r="40" spans="1:29" x14ac:dyDescent="0.3">
      <c r="A40" s="12"/>
      <c r="B40" s="89"/>
      <c r="C40" s="90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1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4</v>
      </c>
      <c r="V40" s="6">
        <v>0</v>
      </c>
      <c r="W40" s="6">
        <v>2</v>
      </c>
      <c r="X40" s="6">
        <v>0</v>
      </c>
      <c r="Y40" s="6">
        <v>0</v>
      </c>
      <c r="Z40" s="6">
        <v>0</v>
      </c>
      <c r="AA40" s="6">
        <v>1</v>
      </c>
      <c r="AB40" s="6">
        <v>0</v>
      </c>
      <c r="AC40" s="5">
        <f>SUM(E40:AB40)</f>
        <v>9</v>
      </c>
    </row>
    <row r="41" spans="1:29" x14ac:dyDescent="0.3">
      <c r="A41" s="14"/>
      <c r="B41" s="87"/>
      <c r="C41" s="91"/>
      <c r="D41" s="5" t="s">
        <v>25</v>
      </c>
      <c r="E41" s="5">
        <f t="shared" ref="E41:AB41" si="16">SUM(E39:E40)</f>
        <v>1</v>
      </c>
      <c r="F41" s="5">
        <f t="shared" si="16"/>
        <v>0</v>
      </c>
      <c r="G41" s="5">
        <f t="shared" si="16"/>
        <v>0</v>
      </c>
      <c r="H41" s="5">
        <f t="shared" si="16"/>
        <v>0</v>
      </c>
      <c r="I41" s="5">
        <f t="shared" si="16"/>
        <v>0</v>
      </c>
      <c r="J41" s="5">
        <f t="shared" si="16"/>
        <v>0</v>
      </c>
      <c r="K41" s="5">
        <f t="shared" si="16"/>
        <v>0</v>
      </c>
      <c r="L41" s="5">
        <f t="shared" si="16"/>
        <v>0</v>
      </c>
      <c r="M41" s="5">
        <f t="shared" si="16"/>
        <v>1</v>
      </c>
      <c r="N41" s="5">
        <f t="shared" si="16"/>
        <v>1</v>
      </c>
      <c r="O41" s="5">
        <f t="shared" si="16"/>
        <v>0</v>
      </c>
      <c r="P41" s="5">
        <f t="shared" si="16"/>
        <v>0</v>
      </c>
      <c r="Q41" s="5">
        <f t="shared" si="16"/>
        <v>2</v>
      </c>
      <c r="R41" s="5">
        <f t="shared" si="16"/>
        <v>0</v>
      </c>
      <c r="S41" s="5">
        <f t="shared" si="16"/>
        <v>0</v>
      </c>
      <c r="T41" s="5">
        <f t="shared" si="16"/>
        <v>0</v>
      </c>
      <c r="U41" s="5">
        <f t="shared" si="16"/>
        <v>5</v>
      </c>
      <c r="V41" s="5">
        <f t="shared" si="16"/>
        <v>0</v>
      </c>
      <c r="W41" s="5">
        <f t="shared" ref="W41:Y41" si="17">SUM(W39:W40)</f>
        <v>3</v>
      </c>
      <c r="X41" s="5">
        <f t="shared" si="17"/>
        <v>0</v>
      </c>
      <c r="Y41" s="5">
        <f t="shared" si="17"/>
        <v>0</v>
      </c>
      <c r="Z41" s="5">
        <f t="shared" si="16"/>
        <v>0</v>
      </c>
      <c r="AA41" s="5">
        <f t="shared" si="16"/>
        <v>2</v>
      </c>
      <c r="AB41" s="5">
        <f t="shared" si="16"/>
        <v>0</v>
      </c>
      <c r="AC41" s="5">
        <f>SUM(E41:AB41)</f>
        <v>15</v>
      </c>
    </row>
    <row r="42" spans="1:29" x14ac:dyDescent="0.3">
      <c r="A42" s="86"/>
      <c r="B42" s="87"/>
      <c r="C42" s="87"/>
      <c r="D42" s="91"/>
      <c r="E42" s="77"/>
      <c r="F42" s="85"/>
      <c r="G42" s="85"/>
      <c r="H42" s="85"/>
      <c r="I42" s="76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6"/>
      <c r="Z42" s="6"/>
      <c r="AA42" s="10"/>
      <c r="AB42" s="6"/>
      <c r="AC42" s="5"/>
    </row>
    <row r="43" spans="1:29" ht="13.15" customHeight="1" x14ac:dyDescent="0.3">
      <c r="A43" s="16" t="s">
        <v>45</v>
      </c>
      <c r="B43" s="72" t="s">
        <v>46</v>
      </c>
      <c r="C43" s="85"/>
      <c r="D43" s="7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5"/>
      <c r="Z43" s="5"/>
      <c r="AA43" s="15"/>
      <c r="AB43" s="5"/>
      <c r="AC43" s="5"/>
    </row>
    <row r="44" spans="1:29" ht="13.15" customHeight="1" x14ac:dyDescent="0.3">
      <c r="A44" s="88" t="s">
        <v>47</v>
      </c>
      <c r="B44" s="92"/>
      <c r="C44" s="92"/>
      <c r="D44" s="8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6"/>
      <c r="Z44" s="6"/>
      <c r="AA44" s="10"/>
      <c r="AB44" s="6"/>
      <c r="AC44" s="5"/>
    </row>
    <row r="45" spans="1:29" x14ac:dyDescent="0.3">
      <c r="A45" s="11" t="s">
        <v>48</v>
      </c>
      <c r="B45" s="17" t="s">
        <v>28</v>
      </c>
      <c r="C45" s="75" t="s">
        <v>49</v>
      </c>
      <c r="D45" s="76"/>
      <c r="E45" s="6">
        <v>6</v>
      </c>
      <c r="F45" s="6">
        <v>6</v>
      </c>
      <c r="G45" s="6">
        <v>8</v>
      </c>
      <c r="H45" s="6">
        <v>3</v>
      </c>
      <c r="I45" s="6">
        <v>6</v>
      </c>
      <c r="J45" s="6">
        <v>3</v>
      </c>
      <c r="K45" s="6">
        <v>6</v>
      </c>
      <c r="L45" s="6">
        <v>7</v>
      </c>
      <c r="M45" s="6">
        <v>7</v>
      </c>
      <c r="N45" s="6">
        <v>7</v>
      </c>
      <c r="O45" s="6">
        <v>7</v>
      </c>
      <c r="P45" s="6">
        <v>4</v>
      </c>
      <c r="Q45" s="6">
        <v>7</v>
      </c>
      <c r="R45" s="6">
        <v>3</v>
      </c>
      <c r="S45" s="6">
        <v>10</v>
      </c>
      <c r="T45" s="6">
        <v>2</v>
      </c>
      <c r="U45" s="6">
        <v>1</v>
      </c>
      <c r="V45" s="6">
        <v>2</v>
      </c>
      <c r="W45" s="6">
        <v>12</v>
      </c>
      <c r="X45" s="6">
        <v>4</v>
      </c>
      <c r="Y45" s="6">
        <v>13</v>
      </c>
      <c r="Z45" s="6">
        <v>11</v>
      </c>
      <c r="AA45" s="6">
        <v>4</v>
      </c>
      <c r="AB45" s="6">
        <v>7</v>
      </c>
      <c r="AC45" s="5">
        <f>SUM(E45:AB45)</f>
        <v>146</v>
      </c>
    </row>
    <row r="46" spans="1:29" x14ac:dyDescent="0.3">
      <c r="A46" s="11" t="s">
        <v>50</v>
      </c>
      <c r="B46" s="53"/>
      <c r="C46" s="24" t="s">
        <v>122</v>
      </c>
      <c r="D46" s="24"/>
      <c r="E46" s="6">
        <v>10</v>
      </c>
      <c r="F46" s="6">
        <v>7</v>
      </c>
      <c r="G46" s="6">
        <v>16</v>
      </c>
      <c r="H46" s="6">
        <v>18</v>
      </c>
      <c r="I46" s="6">
        <v>9</v>
      </c>
      <c r="J46" s="6">
        <v>11</v>
      </c>
      <c r="K46" s="6">
        <v>4</v>
      </c>
      <c r="L46" s="6">
        <v>12</v>
      </c>
      <c r="M46" s="6">
        <v>6</v>
      </c>
      <c r="N46" s="6">
        <v>13</v>
      </c>
      <c r="O46" s="6">
        <v>25</v>
      </c>
      <c r="P46" s="6">
        <v>7</v>
      </c>
      <c r="Q46" s="6">
        <v>10</v>
      </c>
      <c r="R46" s="6">
        <v>7</v>
      </c>
      <c r="S46" s="6">
        <v>19</v>
      </c>
      <c r="T46" s="6">
        <v>0</v>
      </c>
      <c r="U46" s="6">
        <v>0</v>
      </c>
      <c r="V46" s="6">
        <v>3</v>
      </c>
      <c r="W46" s="6">
        <v>8</v>
      </c>
      <c r="X46" s="6">
        <v>9</v>
      </c>
      <c r="Y46" s="6">
        <v>21</v>
      </c>
      <c r="Z46" s="6">
        <v>12</v>
      </c>
      <c r="AA46" s="6">
        <v>14</v>
      </c>
      <c r="AB46" s="6">
        <v>13</v>
      </c>
      <c r="AC46" s="5">
        <f t="shared" ref="AC46:AC54" si="18">SUM(E46:AB46)</f>
        <v>254</v>
      </c>
    </row>
    <row r="47" spans="1:29" x14ac:dyDescent="0.3">
      <c r="A47" s="7"/>
      <c r="B47" s="54"/>
      <c r="C47" s="24" t="s">
        <v>123</v>
      </c>
      <c r="D47" s="24"/>
      <c r="E47" s="6">
        <v>2</v>
      </c>
      <c r="F47" s="6">
        <v>0</v>
      </c>
      <c r="G47" s="6">
        <v>1</v>
      </c>
      <c r="H47" s="6">
        <v>0</v>
      </c>
      <c r="I47" s="6">
        <v>2</v>
      </c>
      <c r="J47" s="6">
        <v>1</v>
      </c>
      <c r="K47" s="6">
        <v>3</v>
      </c>
      <c r="L47" s="6">
        <v>1</v>
      </c>
      <c r="M47" s="6">
        <v>0</v>
      </c>
      <c r="N47" s="6">
        <v>2</v>
      </c>
      <c r="O47" s="6">
        <v>1</v>
      </c>
      <c r="P47" s="6">
        <v>3</v>
      </c>
      <c r="Q47" s="6">
        <v>1</v>
      </c>
      <c r="R47" s="6">
        <v>2</v>
      </c>
      <c r="S47" s="6">
        <v>1</v>
      </c>
      <c r="T47" s="6">
        <v>0</v>
      </c>
      <c r="U47" s="6">
        <v>1</v>
      </c>
      <c r="V47" s="6">
        <v>0</v>
      </c>
      <c r="W47" s="6">
        <v>1</v>
      </c>
      <c r="X47" s="6">
        <v>1</v>
      </c>
      <c r="Y47" s="6">
        <v>3</v>
      </c>
      <c r="Z47" s="6">
        <v>2</v>
      </c>
      <c r="AA47" s="6">
        <v>0</v>
      </c>
      <c r="AB47" s="6">
        <v>3</v>
      </c>
      <c r="AC47" s="5">
        <f t="shared" si="18"/>
        <v>31</v>
      </c>
    </row>
    <row r="48" spans="1:29" x14ac:dyDescent="0.3">
      <c r="A48" s="7"/>
      <c r="B48" s="54"/>
      <c r="C48" s="24" t="s">
        <v>124</v>
      </c>
      <c r="D48" s="24"/>
      <c r="E48" s="6">
        <v>2</v>
      </c>
      <c r="F48" s="6">
        <v>1</v>
      </c>
      <c r="G48" s="6">
        <v>3</v>
      </c>
      <c r="H48" s="6">
        <v>2</v>
      </c>
      <c r="I48" s="6">
        <v>0</v>
      </c>
      <c r="J48" s="6">
        <v>0</v>
      </c>
      <c r="K48" s="6">
        <v>1</v>
      </c>
      <c r="L48" s="6">
        <v>1</v>
      </c>
      <c r="M48" s="6">
        <v>0</v>
      </c>
      <c r="N48" s="6">
        <v>0</v>
      </c>
      <c r="O48" s="6">
        <v>1</v>
      </c>
      <c r="P48" s="6">
        <v>1</v>
      </c>
      <c r="Q48" s="6">
        <v>1</v>
      </c>
      <c r="R48" s="6">
        <v>1</v>
      </c>
      <c r="S48" s="6">
        <v>0</v>
      </c>
      <c r="T48" s="6">
        <v>0</v>
      </c>
      <c r="U48" s="6">
        <v>0</v>
      </c>
      <c r="V48" s="6">
        <v>0</v>
      </c>
      <c r="W48" s="6">
        <v>1</v>
      </c>
      <c r="X48" s="6">
        <v>0</v>
      </c>
      <c r="Y48" s="6">
        <v>1</v>
      </c>
      <c r="Z48" s="6">
        <v>1</v>
      </c>
      <c r="AA48" s="6">
        <v>0</v>
      </c>
      <c r="AB48" s="6">
        <v>0</v>
      </c>
      <c r="AC48" s="5">
        <f t="shared" si="18"/>
        <v>17</v>
      </c>
    </row>
    <row r="49" spans="1:29" x14ac:dyDescent="0.3">
      <c r="A49" s="7"/>
      <c r="B49" s="54"/>
      <c r="C49" s="24" t="s">
        <v>125</v>
      </c>
      <c r="D49" s="24"/>
      <c r="E49" s="6">
        <v>1</v>
      </c>
      <c r="F49" s="6">
        <v>0</v>
      </c>
      <c r="G49" s="6">
        <v>1</v>
      </c>
      <c r="H49" s="6">
        <v>0</v>
      </c>
      <c r="I49" s="6">
        <v>2</v>
      </c>
      <c r="J49" s="6">
        <v>0</v>
      </c>
      <c r="K49" s="6">
        <v>1</v>
      </c>
      <c r="L49" s="6">
        <v>1</v>
      </c>
      <c r="M49" s="6">
        <v>1</v>
      </c>
      <c r="N49" s="6">
        <v>0</v>
      </c>
      <c r="O49" s="6">
        <v>1</v>
      </c>
      <c r="P49" s="6">
        <v>2</v>
      </c>
      <c r="Q49" s="6">
        <v>0</v>
      </c>
      <c r="R49" s="6">
        <v>0</v>
      </c>
      <c r="S49" s="6">
        <v>1</v>
      </c>
      <c r="T49" s="6">
        <v>1</v>
      </c>
      <c r="U49" s="6">
        <v>0</v>
      </c>
      <c r="V49" s="6">
        <v>0</v>
      </c>
      <c r="W49" s="6">
        <v>1</v>
      </c>
      <c r="X49" s="6">
        <v>1</v>
      </c>
      <c r="Y49" s="6">
        <v>1</v>
      </c>
      <c r="Z49" s="6">
        <v>0</v>
      </c>
      <c r="AA49" s="6">
        <v>1</v>
      </c>
      <c r="AB49" s="6">
        <v>0</v>
      </c>
      <c r="AC49" s="5">
        <f t="shared" si="18"/>
        <v>16</v>
      </c>
    </row>
    <row r="50" spans="1:29" x14ac:dyDescent="0.3">
      <c r="A50" s="7"/>
      <c r="B50" s="54"/>
      <c r="C50" s="24" t="s">
        <v>126</v>
      </c>
      <c r="D50" s="24"/>
      <c r="E50" s="6">
        <v>2</v>
      </c>
      <c r="F50" s="6">
        <v>1</v>
      </c>
      <c r="G50" s="6">
        <v>2</v>
      </c>
      <c r="H50" s="6">
        <v>1</v>
      </c>
      <c r="I50" s="6">
        <v>3</v>
      </c>
      <c r="J50" s="6">
        <v>4</v>
      </c>
      <c r="K50" s="6">
        <v>1</v>
      </c>
      <c r="L50" s="6">
        <v>0</v>
      </c>
      <c r="M50" s="6">
        <v>1</v>
      </c>
      <c r="N50" s="6">
        <v>4</v>
      </c>
      <c r="O50" s="6">
        <v>1</v>
      </c>
      <c r="P50" s="6">
        <v>3</v>
      </c>
      <c r="Q50" s="6">
        <v>0</v>
      </c>
      <c r="R50" s="6">
        <v>1</v>
      </c>
      <c r="S50" s="6">
        <v>10</v>
      </c>
      <c r="T50" s="6">
        <v>0</v>
      </c>
      <c r="U50" s="6">
        <v>0</v>
      </c>
      <c r="V50" s="6">
        <v>0</v>
      </c>
      <c r="W50" s="6">
        <v>2</v>
      </c>
      <c r="X50" s="6">
        <v>1</v>
      </c>
      <c r="Y50" s="6">
        <v>4</v>
      </c>
      <c r="Z50" s="6">
        <v>1</v>
      </c>
      <c r="AA50" s="6">
        <v>3</v>
      </c>
      <c r="AB50" s="6">
        <v>0</v>
      </c>
      <c r="AC50" s="5">
        <f t="shared" si="18"/>
        <v>45</v>
      </c>
    </row>
    <row r="51" spans="1:29" x14ac:dyDescent="0.3">
      <c r="A51" s="7"/>
      <c r="B51" s="54"/>
      <c r="C51" s="24" t="s">
        <v>127</v>
      </c>
      <c r="D51" s="24"/>
      <c r="E51" s="6">
        <v>0</v>
      </c>
      <c r="F51" s="6">
        <v>0</v>
      </c>
      <c r="G51" s="6">
        <v>1</v>
      </c>
      <c r="H51" s="6">
        <v>0</v>
      </c>
      <c r="I51" s="6">
        <v>2</v>
      </c>
      <c r="J51" s="6">
        <v>3</v>
      </c>
      <c r="K51" s="6">
        <v>1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1</v>
      </c>
      <c r="X51" s="6">
        <v>0</v>
      </c>
      <c r="Y51" s="6">
        <v>3</v>
      </c>
      <c r="Z51" s="6">
        <v>0</v>
      </c>
      <c r="AA51" s="6">
        <v>0</v>
      </c>
      <c r="AB51" s="6">
        <v>0</v>
      </c>
      <c r="AC51" s="5">
        <f t="shared" si="18"/>
        <v>12</v>
      </c>
    </row>
    <row r="52" spans="1:29" ht="13.15" customHeight="1" x14ac:dyDescent="0.3">
      <c r="A52" s="7"/>
      <c r="B52" s="54"/>
      <c r="C52" s="24" t="s">
        <v>128</v>
      </c>
      <c r="D52" s="24"/>
      <c r="E52" s="6">
        <v>0</v>
      </c>
      <c r="F52" s="6">
        <v>0</v>
      </c>
      <c r="G52" s="6">
        <v>0</v>
      </c>
      <c r="H52" s="6">
        <v>1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1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1</v>
      </c>
      <c r="Z52" s="6">
        <v>0</v>
      </c>
      <c r="AA52" s="6">
        <v>1</v>
      </c>
      <c r="AB52" s="6">
        <v>0</v>
      </c>
      <c r="AC52" s="5">
        <f t="shared" si="18"/>
        <v>6</v>
      </c>
    </row>
    <row r="53" spans="1:29" ht="13.15" customHeight="1" x14ac:dyDescent="0.3">
      <c r="A53" s="7"/>
      <c r="B53" s="54"/>
      <c r="C53" s="24" t="s">
        <v>129</v>
      </c>
      <c r="D53" s="24"/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1</v>
      </c>
      <c r="Z53" s="6">
        <v>0</v>
      </c>
      <c r="AA53" s="6">
        <v>0</v>
      </c>
      <c r="AB53" s="6">
        <v>0</v>
      </c>
      <c r="AC53" s="5">
        <f t="shared" si="18"/>
        <v>3</v>
      </c>
    </row>
    <row r="54" spans="1:29" ht="13.15" customHeight="1" x14ac:dyDescent="0.3">
      <c r="A54" s="7"/>
      <c r="B54" s="54"/>
      <c r="C54" s="24" t="s">
        <v>130</v>
      </c>
      <c r="D54" s="24"/>
      <c r="E54" s="6">
        <v>2</v>
      </c>
      <c r="F54" s="6">
        <v>1</v>
      </c>
      <c r="G54" s="6">
        <v>1</v>
      </c>
      <c r="H54" s="6">
        <v>0</v>
      </c>
      <c r="I54" s="6">
        <v>1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2</v>
      </c>
      <c r="S54" s="6">
        <v>1</v>
      </c>
      <c r="T54" s="6">
        <v>0</v>
      </c>
      <c r="U54" s="6">
        <v>0</v>
      </c>
      <c r="V54" s="6">
        <v>1</v>
      </c>
      <c r="W54" s="6">
        <v>0</v>
      </c>
      <c r="X54" s="6">
        <v>0</v>
      </c>
      <c r="Y54" s="6">
        <v>1</v>
      </c>
      <c r="Z54" s="6">
        <v>0</v>
      </c>
      <c r="AA54" s="6">
        <v>1</v>
      </c>
      <c r="AB54" s="6">
        <v>0</v>
      </c>
      <c r="AC54" s="5">
        <f t="shared" si="18"/>
        <v>12</v>
      </c>
    </row>
    <row r="55" spans="1:29" x14ac:dyDescent="0.3">
      <c r="A55" s="6" t="s">
        <v>26</v>
      </c>
      <c r="B55" s="69" t="s">
        <v>51</v>
      </c>
      <c r="C55" s="85"/>
      <c r="D55" s="76"/>
      <c r="E55" s="5">
        <f>SUM(E45:E54)</f>
        <v>26</v>
      </c>
      <c r="F55" s="5">
        <f t="shared" ref="F55:AC55" si="19">SUM(F45:F54)</f>
        <v>16</v>
      </c>
      <c r="G55" s="5">
        <f t="shared" si="19"/>
        <v>33</v>
      </c>
      <c r="H55" s="5">
        <f t="shared" si="19"/>
        <v>25</v>
      </c>
      <c r="I55" s="5">
        <f t="shared" si="19"/>
        <v>26</v>
      </c>
      <c r="J55" s="5">
        <f t="shared" si="19"/>
        <v>22</v>
      </c>
      <c r="K55" s="5">
        <f t="shared" si="19"/>
        <v>17</v>
      </c>
      <c r="L55" s="5">
        <f t="shared" si="19"/>
        <v>23</v>
      </c>
      <c r="M55" s="5">
        <f t="shared" si="19"/>
        <v>15</v>
      </c>
      <c r="N55" s="5">
        <f t="shared" si="19"/>
        <v>26</v>
      </c>
      <c r="O55" s="5">
        <f t="shared" si="19"/>
        <v>38</v>
      </c>
      <c r="P55" s="5">
        <f t="shared" si="19"/>
        <v>21</v>
      </c>
      <c r="Q55" s="5">
        <f t="shared" si="19"/>
        <v>19</v>
      </c>
      <c r="R55" s="5">
        <f t="shared" si="19"/>
        <v>17</v>
      </c>
      <c r="S55" s="5">
        <f t="shared" si="19"/>
        <v>42</v>
      </c>
      <c r="T55" s="5">
        <f t="shared" si="19"/>
        <v>3</v>
      </c>
      <c r="U55" s="5">
        <f t="shared" si="19"/>
        <v>2</v>
      </c>
      <c r="V55" s="5">
        <f t="shared" si="19"/>
        <v>6</v>
      </c>
      <c r="W55" s="5">
        <f t="shared" si="19"/>
        <v>26</v>
      </c>
      <c r="X55" s="5">
        <f t="shared" si="19"/>
        <v>16</v>
      </c>
      <c r="Y55" s="5">
        <f t="shared" si="19"/>
        <v>49</v>
      </c>
      <c r="Z55" s="5">
        <f t="shared" si="19"/>
        <v>27</v>
      </c>
      <c r="AA55" s="5">
        <f t="shared" si="19"/>
        <v>24</v>
      </c>
      <c r="AB55" s="5">
        <f t="shared" si="19"/>
        <v>23</v>
      </c>
      <c r="AC55" s="5">
        <f t="shared" si="19"/>
        <v>542</v>
      </c>
    </row>
    <row r="56" spans="1:29" x14ac:dyDescent="0.3">
      <c r="A56" s="86"/>
      <c r="B56" s="87"/>
      <c r="C56" s="87"/>
      <c r="D56" s="87"/>
      <c r="E56" s="87"/>
      <c r="AC56" s="5"/>
    </row>
    <row r="57" spans="1:29" x14ac:dyDescent="0.3">
      <c r="A57" s="11" t="s">
        <v>48</v>
      </c>
      <c r="B57" s="17" t="s">
        <v>30</v>
      </c>
      <c r="C57" s="75" t="s">
        <v>52</v>
      </c>
      <c r="D57" s="76"/>
      <c r="E57" s="6">
        <v>9</v>
      </c>
      <c r="F57" s="6">
        <v>6</v>
      </c>
      <c r="G57" s="6">
        <v>5</v>
      </c>
      <c r="H57" s="6">
        <v>6</v>
      </c>
      <c r="I57" s="6">
        <v>8</v>
      </c>
      <c r="J57" s="6">
        <v>11</v>
      </c>
      <c r="K57" s="6">
        <v>11</v>
      </c>
      <c r="L57" s="6">
        <v>11</v>
      </c>
      <c r="M57" s="6">
        <v>9</v>
      </c>
      <c r="N57" s="6">
        <v>11</v>
      </c>
      <c r="O57" s="6">
        <v>11</v>
      </c>
      <c r="P57" s="6">
        <v>7</v>
      </c>
      <c r="Q57" s="6">
        <v>19</v>
      </c>
      <c r="R57" s="6">
        <v>11</v>
      </c>
      <c r="S57" s="6">
        <v>6</v>
      </c>
      <c r="T57" s="6">
        <v>19</v>
      </c>
      <c r="U57" s="6">
        <v>18</v>
      </c>
      <c r="V57" s="6">
        <v>2</v>
      </c>
      <c r="W57" s="6">
        <v>13</v>
      </c>
      <c r="X57" s="6">
        <v>11</v>
      </c>
      <c r="Y57" s="6">
        <v>14</v>
      </c>
      <c r="Z57" s="6">
        <v>32</v>
      </c>
      <c r="AA57" s="6">
        <v>9</v>
      </c>
      <c r="AB57" s="6">
        <v>11</v>
      </c>
      <c r="AC57" s="5">
        <f>SUM(E57:AB57)</f>
        <v>270</v>
      </c>
    </row>
    <row r="58" spans="1:29" x14ac:dyDescent="0.3">
      <c r="A58" s="11" t="s">
        <v>50</v>
      </c>
      <c r="B58" s="54"/>
      <c r="C58" s="24" t="s">
        <v>131</v>
      </c>
      <c r="D58" s="55"/>
      <c r="E58" s="6">
        <v>24</v>
      </c>
      <c r="F58" s="6">
        <v>17</v>
      </c>
      <c r="G58" s="6">
        <v>76</v>
      </c>
      <c r="H58" s="6">
        <v>90</v>
      </c>
      <c r="I58" s="6">
        <v>37</v>
      </c>
      <c r="J58" s="6">
        <v>27</v>
      </c>
      <c r="K58" s="6">
        <v>11</v>
      </c>
      <c r="L58" s="6">
        <v>21</v>
      </c>
      <c r="M58" s="6">
        <v>13</v>
      </c>
      <c r="N58" s="6">
        <v>5</v>
      </c>
      <c r="O58" s="6">
        <v>13</v>
      </c>
      <c r="P58" s="6">
        <v>21</v>
      </c>
      <c r="Q58" s="6">
        <v>95</v>
      </c>
      <c r="R58" s="6">
        <v>90</v>
      </c>
      <c r="S58" s="6">
        <v>3</v>
      </c>
      <c r="T58" s="6">
        <v>56</v>
      </c>
      <c r="U58" s="6">
        <v>13</v>
      </c>
      <c r="V58" s="6">
        <v>3</v>
      </c>
      <c r="W58" s="6">
        <v>42</v>
      </c>
      <c r="X58" s="6">
        <v>10</v>
      </c>
      <c r="Y58" s="6">
        <v>45</v>
      </c>
      <c r="Z58" s="6">
        <v>19</v>
      </c>
      <c r="AA58" s="6">
        <v>51</v>
      </c>
      <c r="AB58" s="6">
        <v>86</v>
      </c>
      <c r="AC58" s="5">
        <f t="shared" ref="AC58:AC66" si="20">SUM(E58:AB58)</f>
        <v>868</v>
      </c>
    </row>
    <row r="59" spans="1:29" x14ac:dyDescent="0.3">
      <c r="A59" s="7"/>
      <c r="B59" s="54"/>
      <c r="C59" s="24" t="s">
        <v>132</v>
      </c>
      <c r="D59" s="55"/>
      <c r="E59" s="6">
        <v>2</v>
      </c>
      <c r="F59" s="6">
        <v>9</v>
      </c>
      <c r="G59" s="6">
        <v>1</v>
      </c>
      <c r="H59" s="6">
        <v>1</v>
      </c>
      <c r="I59" s="6">
        <v>4</v>
      </c>
      <c r="J59" s="6">
        <v>10</v>
      </c>
      <c r="K59" s="6">
        <v>2</v>
      </c>
      <c r="L59" s="6">
        <v>4</v>
      </c>
      <c r="M59" s="6">
        <v>6</v>
      </c>
      <c r="N59" s="6">
        <v>5</v>
      </c>
      <c r="O59" s="6">
        <v>10</v>
      </c>
      <c r="P59" s="6">
        <v>8</v>
      </c>
      <c r="Q59" s="6">
        <v>4</v>
      </c>
      <c r="R59" s="6">
        <v>1</v>
      </c>
      <c r="S59" s="6">
        <v>1</v>
      </c>
      <c r="T59" s="6">
        <v>5</v>
      </c>
      <c r="U59" s="6">
        <v>4</v>
      </c>
      <c r="V59" s="6">
        <v>0</v>
      </c>
      <c r="W59" s="6">
        <v>1</v>
      </c>
      <c r="X59" s="6">
        <v>9</v>
      </c>
      <c r="Y59" s="6">
        <v>4</v>
      </c>
      <c r="Z59" s="6">
        <v>6</v>
      </c>
      <c r="AA59" s="6">
        <v>14</v>
      </c>
      <c r="AB59" s="6">
        <v>6</v>
      </c>
      <c r="AC59" s="5">
        <f t="shared" si="20"/>
        <v>117</v>
      </c>
    </row>
    <row r="60" spans="1:29" x14ac:dyDescent="0.3">
      <c r="A60" s="7"/>
      <c r="B60" s="54"/>
      <c r="C60" s="24" t="s">
        <v>133</v>
      </c>
      <c r="D60" s="55"/>
      <c r="E60" s="6">
        <v>2</v>
      </c>
      <c r="F60" s="6">
        <v>1</v>
      </c>
      <c r="G60" s="6">
        <v>1</v>
      </c>
      <c r="H60" s="6">
        <v>0</v>
      </c>
      <c r="I60" s="6">
        <v>4</v>
      </c>
      <c r="J60" s="6">
        <v>3</v>
      </c>
      <c r="K60" s="6">
        <v>0</v>
      </c>
      <c r="L60" s="6">
        <v>2</v>
      </c>
      <c r="M60" s="6">
        <v>1</v>
      </c>
      <c r="N60" s="6">
        <v>4</v>
      </c>
      <c r="O60" s="6">
        <v>3</v>
      </c>
      <c r="P60" s="6">
        <v>3</v>
      </c>
      <c r="Q60" s="6">
        <v>4</v>
      </c>
      <c r="R60" s="6">
        <v>1</v>
      </c>
      <c r="S60" s="6">
        <v>0</v>
      </c>
      <c r="T60" s="6">
        <v>2</v>
      </c>
      <c r="U60" s="6">
        <v>3</v>
      </c>
      <c r="V60" s="6">
        <v>0</v>
      </c>
      <c r="W60" s="6">
        <v>3</v>
      </c>
      <c r="X60" s="6">
        <v>1</v>
      </c>
      <c r="Y60" s="6">
        <v>0</v>
      </c>
      <c r="Z60" s="6">
        <v>3</v>
      </c>
      <c r="AA60" s="6">
        <v>0</v>
      </c>
      <c r="AB60" s="6">
        <v>3</v>
      </c>
      <c r="AC60" s="5">
        <f t="shared" si="20"/>
        <v>44</v>
      </c>
    </row>
    <row r="61" spans="1:29" x14ac:dyDescent="0.3">
      <c r="A61" s="7"/>
      <c r="B61" s="54"/>
      <c r="C61" s="24" t="s">
        <v>134</v>
      </c>
      <c r="D61" s="55"/>
      <c r="E61" s="6">
        <v>4</v>
      </c>
      <c r="F61" s="6">
        <v>3</v>
      </c>
      <c r="G61" s="6">
        <v>3</v>
      </c>
      <c r="H61" s="6">
        <v>1</v>
      </c>
      <c r="I61" s="6">
        <v>6</v>
      </c>
      <c r="J61" s="6">
        <v>3</v>
      </c>
      <c r="K61" s="6">
        <v>3</v>
      </c>
      <c r="L61" s="6">
        <v>0</v>
      </c>
      <c r="M61" s="6">
        <v>2</v>
      </c>
      <c r="N61" s="6">
        <v>0</v>
      </c>
      <c r="O61" s="6">
        <v>2</v>
      </c>
      <c r="P61" s="6">
        <v>1</v>
      </c>
      <c r="Q61" s="6">
        <v>7</v>
      </c>
      <c r="R61" s="6">
        <v>22</v>
      </c>
      <c r="S61" s="6">
        <v>14</v>
      </c>
      <c r="T61" s="6">
        <v>14</v>
      </c>
      <c r="U61" s="6">
        <v>9</v>
      </c>
      <c r="V61" s="6">
        <v>1</v>
      </c>
      <c r="W61" s="6">
        <v>6</v>
      </c>
      <c r="X61" s="6">
        <v>1</v>
      </c>
      <c r="Y61" s="6">
        <v>1</v>
      </c>
      <c r="Z61" s="6">
        <v>2</v>
      </c>
      <c r="AA61" s="6">
        <v>0</v>
      </c>
      <c r="AB61" s="6">
        <v>1</v>
      </c>
      <c r="AC61" s="5">
        <f t="shared" si="20"/>
        <v>106</v>
      </c>
    </row>
    <row r="62" spans="1:29" x14ac:dyDescent="0.3">
      <c r="A62" s="7"/>
      <c r="B62" s="54"/>
      <c r="C62" s="24" t="s">
        <v>135</v>
      </c>
      <c r="D62" s="55"/>
      <c r="E62" s="6">
        <v>1</v>
      </c>
      <c r="F62" s="6">
        <v>1</v>
      </c>
      <c r="G62" s="6">
        <v>2</v>
      </c>
      <c r="H62" s="6">
        <v>0</v>
      </c>
      <c r="I62" s="6">
        <v>0</v>
      </c>
      <c r="J62" s="6">
        <v>2</v>
      </c>
      <c r="K62" s="6">
        <v>0</v>
      </c>
      <c r="L62" s="6">
        <v>2</v>
      </c>
      <c r="M62" s="6">
        <v>0</v>
      </c>
      <c r="N62" s="6">
        <v>1</v>
      </c>
      <c r="O62" s="6">
        <v>0</v>
      </c>
      <c r="P62" s="6">
        <v>1</v>
      </c>
      <c r="Q62" s="6">
        <v>0</v>
      </c>
      <c r="R62" s="6">
        <v>0</v>
      </c>
      <c r="S62" s="6">
        <v>1</v>
      </c>
      <c r="T62" s="6">
        <v>2</v>
      </c>
      <c r="U62" s="6">
        <v>2</v>
      </c>
      <c r="V62" s="6">
        <v>0</v>
      </c>
      <c r="W62" s="6">
        <v>1</v>
      </c>
      <c r="X62" s="6">
        <v>2</v>
      </c>
      <c r="Y62" s="6">
        <v>3</v>
      </c>
      <c r="Z62" s="6">
        <v>2</v>
      </c>
      <c r="AA62" s="6">
        <v>2</v>
      </c>
      <c r="AB62" s="6">
        <v>1</v>
      </c>
      <c r="AC62" s="5">
        <f t="shared" si="20"/>
        <v>26</v>
      </c>
    </row>
    <row r="63" spans="1:29" ht="13.15" customHeight="1" x14ac:dyDescent="0.3">
      <c r="A63" s="7"/>
      <c r="B63" s="54"/>
      <c r="C63" s="24" t="s">
        <v>136</v>
      </c>
      <c r="D63" s="51"/>
      <c r="E63" s="6">
        <v>0</v>
      </c>
      <c r="F63" s="6">
        <v>0</v>
      </c>
      <c r="G63" s="6">
        <v>1</v>
      </c>
      <c r="H63" s="6">
        <v>0</v>
      </c>
      <c r="I63" s="6">
        <v>3</v>
      </c>
      <c r="J63" s="6">
        <v>2</v>
      </c>
      <c r="K63" s="6">
        <v>0</v>
      </c>
      <c r="L63" s="6">
        <v>0</v>
      </c>
      <c r="M63" s="6">
        <v>0</v>
      </c>
      <c r="N63" s="6">
        <v>1</v>
      </c>
      <c r="O63" s="6">
        <v>1</v>
      </c>
      <c r="P63" s="6">
        <v>0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1</v>
      </c>
      <c r="W63" s="6">
        <v>0</v>
      </c>
      <c r="X63" s="6">
        <v>0</v>
      </c>
      <c r="Y63" s="6">
        <v>3</v>
      </c>
      <c r="Z63" s="6">
        <v>0</v>
      </c>
      <c r="AA63" s="6">
        <v>1</v>
      </c>
      <c r="AB63" s="6">
        <v>0</v>
      </c>
      <c r="AC63" s="5">
        <f t="shared" si="20"/>
        <v>14</v>
      </c>
    </row>
    <row r="64" spans="1:29" x14ac:dyDescent="0.3">
      <c r="A64" s="7"/>
      <c r="B64" s="54"/>
      <c r="C64" s="24" t="s">
        <v>137</v>
      </c>
      <c r="D64" s="55"/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5">
        <f t="shared" si="20"/>
        <v>1</v>
      </c>
    </row>
    <row r="65" spans="1:29" x14ac:dyDescent="0.3">
      <c r="A65" s="7"/>
      <c r="B65" s="54"/>
      <c r="C65" s="24" t="s">
        <v>138</v>
      </c>
      <c r="D65" s="55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>
        <v>1</v>
      </c>
      <c r="T65" s="6">
        <v>0</v>
      </c>
      <c r="U65" s="6">
        <v>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5">
        <f t="shared" si="20"/>
        <v>4</v>
      </c>
    </row>
    <row r="66" spans="1:29" x14ac:dyDescent="0.3">
      <c r="A66" s="7"/>
      <c r="B66" s="54"/>
      <c r="C66" s="24" t="s">
        <v>139</v>
      </c>
      <c r="D66" s="55"/>
      <c r="E66" s="6">
        <v>0</v>
      </c>
      <c r="F66" s="6">
        <v>0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1</v>
      </c>
      <c r="M66" s="6">
        <v>2</v>
      </c>
      <c r="N66" s="6">
        <v>3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1</v>
      </c>
      <c r="U66" s="6">
        <v>1</v>
      </c>
      <c r="V66" s="6">
        <v>0</v>
      </c>
      <c r="W66" s="6">
        <v>1</v>
      </c>
      <c r="X66" s="6">
        <v>0</v>
      </c>
      <c r="Y66" s="6">
        <v>0</v>
      </c>
      <c r="Z66" s="6">
        <v>1</v>
      </c>
      <c r="AA66" s="6">
        <v>2</v>
      </c>
      <c r="AB66" s="6">
        <v>1</v>
      </c>
      <c r="AC66" s="5">
        <f t="shared" si="20"/>
        <v>15</v>
      </c>
    </row>
    <row r="67" spans="1:29" x14ac:dyDescent="0.3">
      <c r="A67" s="6" t="s">
        <v>26</v>
      </c>
      <c r="B67" s="69" t="s">
        <v>51</v>
      </c>
      <c r="C67" s="85"/>
      <c r="D67" s="76"/>
      <c r="E67" s="5">
        <f>SUM(E57:E66)</f>
        <v>42</v>
      </c>
      <c r="F67" s="5">
        <f t="shared" ref="F67:AC67" si="21">SUM(F57:F66)</f>
        <v>38</v>
      </c>
      <c r="G67" s="5">
        <f t="shared" si="21"/>
        <v>90</v>
      </c>
      <c r="H67" s="5">
        <f t="shared" si="21"/>
        <v>98</v>
      </c>
      <c r="I67" s="5">
        <f t="shared" si="21"/>
        <v>62</v>
      </c>
      <c r="J67" s="5">
        <f t="shared" si="21"/>
        <v>58</v>
      </c>
      <c r="K67" s="5">
        <f t="shared" si="21"/>
        <v>28</v>
      </c>
      <c r="L67" s="5">
        <f t="shared" si="21"/>
        <v>41</v>
      </c>
      <c r="M67" s="5">
        <f t="shared" si="21"/>
        <v>33</v>
      </c>
      <c r="N67" s="5">
        <f t="shared" si="21"/>
        <v>30</v>
      </c>
      <c r="O67" s="5">
        <f t="shared" si="21"/>
        <v>41</v>
      </c>
      <c r="P67" s="5">
        <f t="shared" si="21"/>
        <v>41</v>
      </c>
      <c r="Q67" s="5">
        <f t="shared" si="21"/>
        <v>129</v>
      </c>
      <c r="R67" s="5">
        <f t="shared" si="21"/>
        <v>125</v>
      </c>
      <c r="S67" s="5">
        <f t="shared" si="21"/>
        <v>28</v>
      </c>
      <c r="T67" s="5">
        <f t="shared" si="21"/>
        <v>99</v>
      </c>
      <c r="U67" s="5">
        <f t="shared" si="21"/>
        <v>51</v>
      </c>
      <c r="V67" s="5">
        <f t="shared" si="21"/>
        <v>7</v>
      </c>
      <c r="W67" s="5">
        <f t="shared" si="21"/>
        <v>67</v>
      </c>
      <c r="X67" s="5">
        <f t="shared" si="21"/>
        <v>34</v>
      </c>
      <c r="Y67" s="5">
        <f t="shared" si="21"/>
        <v>70</v>
      </c>
      <c r="Z67" s="5">
        <f t="shared" si="21"/>
        <v>65</v>
      </c>
      <c r="AA67" s="5">
        <f t="shared" si="21"/>
        <v>79</v>
      </c>
      <c r="AB67" s="5">
        <f t="shared" si="21"/>
        <v>109</v>
      </c>
      <c r="AC67" s="5">
        <f t="shared" si="21"/>
        <v>1465</v>
      </c>
    </row>
    <row r="68" spans="1:29" x14ac:dyDescent="0.3">
      <c r="A68" s="86"/>
      <c r="B68" s="87"/>
      <c r="C68" s="87"/>
      <c r="D68" s="87"/>
      <c r="E68" s="87"/>
    </row>
    <row r="69" spans="1:29" x14ac:dyDescent="0.3">
      <c r="A69" s="11" t="s">
        <v>48</v>
      </c>
      <c r="B69" s="17" t="s">
        <v>32</v>
      </c>
      <c r="C69" s="75" t="s">
        <v>53</v>
      </c>
      <c r="D69" s="76"/>
      <c r="E69" s="6">
        <v>9</v>
      </c>
      <c r="F69" s="6">
        <v>14</v>
      </c>
      <c r="G69" s="6">
        <v>6</v>
      </c>
      <c r="H69" s="6">
        <v>0</v>
      </c>
      <c r="I69" s="6">
        <v>9</v>
      </c>
      <c r="J69" s="6">
        <v>14</v>
      </c>
      <c r="K69" s="6">
        <v>34</v>
      </c>
      <c r="L69" s="6">
        <v>5</v>
      </c>
      <c r="M69" s="6">
        <v>15</v>
      </c>
      <c r="N69" s="6">
        <v>16</v>
      </c>
      <c r="O69" s="6">
        <v>20</v>
      </c>
      <c r="P69" s="6">
        <v>9</v>
      </c>
      <c r="Q69" s="6">
        <v>12</v>
      </c>
      <c r="R69" s="6">
        <v>11</v>
      </c>
      <c r="S69" s="6">
        <v>2</v>
      </c>
      <c r="T69" s="6">
        <v>7</v>
      </c>
      <c r="U69" s="6">
        <v>14</v>
      </c>
      <c r="V69" s="6">
        <v>7</v>
      </c>
      <c r="W69" s="6">
        <v>17</v>
      </c>
      <c r="X69" s="6">
        <v>22</v>
      </c>
      <c r="Y69" s="6">
        <v>10</v>
      </c>
      <c r="Z69" s="6">
        <v>21</v>
      </c>
      <c r="AA69" s="6">
        <v>6</v>
      </c>
      <c r="AB69" s="6">
        <v>9</v>
      </c>
      <c r="AC69" s="5">
        <f>SUM(E69:AB69)</f>
        <v>289</v>
      </c>
    </row>
    <row r="70" spans="1:29" x14ac:dyDescent="0.3">
      <c r="A70" s="11" t="s">
        <v>50</v>
      </c>
      <c r="B70" s="54"/>
      <c r="C70" s="24" t="s">
        <v>140</v>
      </c>
      <c r="D70" s="51"/>
      <c r="E70" s="6">
        <v>4</v>
      </c>
      <c r="F70" s="6">
        <v>4</v>
      </c>
      <c r="G70" s="6">
        <v>1</v>
      </c>
      <c r="H70" s="6">
        <v>2</v>
      </c>
      <c r="I70" s="6">
        <v>4</v>
      </c>
      <c r="J70" s="6">
        <v>4</v>
      </c>
      <c r="K70" s="6">
        <v>22</v>
      </c>
      <c r="L70" s="6">
        <v>2</v>
      </c>
      <c r="M70" s="6">
        <v>4</v>
      </c>
      <c r="N70" s="6">
        <v>6</v>
      </c>
      <c r="O70" s="6">
        <v>7</v>
      </c>
      <c r="P70" s="6">
        <v>4</v>
      </c>
      <c r="Q70" s="6">
        <v>2</v>
      </c>
      <c r="R70" s="6">
        <v>9</v>
      </c>
      <c r="S70" s="6">
        <v>1</v>
      </c>
      <c r="T70" s="6">
        <v>19</v>
      </c>
      <c r="U70" s="6">
        <v>13</v>
      </c>
      <c r="V70" s="6">
        <v>5</v>
      </c>
      <c r="W70" s="6">
        <v>7</v>
      </c>
      <c r="X70" s="6">
        <v>18</v>
      </c>
      <c r="Y70" s="6">
        <v>7</v>
      </c>
      <c r="Z70" s="6">
        <v>14</v>
      </c>
      <c r="AA70" s="6">
        <v>4</v>
      </c>
      <c r="AB70" s="6">
        <v>1</v>
      </c>
      <c r="AC70" s="5">
        <f t="shared" ref="AC70:AC78" si="22">SUM(E70:AB70)</f>
        <v>164</v>
      </c>
    </row>
    <row r="71" spans="1:29" x14ac:dyDescent="0.3">
      <c r="A71" s="7"/>
      <c r="B71" s="54"/>
      <c r="C71" s="24" t="s">
        <v>141</v>
      </c>
      <c r="D71" s="51"/>
      <c r="E71" s="6">
        <v>4</v>
      </c>
      <c r="F71" s="6">
        <v>6</v>
      </c>
      <c r="G71" s="6">
        <v>1</v>
      </c>
      <c r="H71" s="6">
        <v>1</v>
      </c>
      <c r="I71" s="6">
        <v>4</v>
      </c>
      <c r="J71" s="6">
        <v>5</v>
      </c>
      <c r="K71" s="6">
        <v>4</v>
      </c>
      <c r="L71" s="6">
        <v>2</v>
      </c>
      <c r="M71" s="6">
        <v>1</v>
      </c>
      <c r="N71" s="6">
        <v>6</v>
      </c>
      <c r="O71" s="6">
        <v>2</v>
      </c>
      <c r="P71" s="6">
        <v>4</v>
      </c>
      <c r="Q71" s="6">
        <v>2</v>
      </c>
      <c r="R71" s="6">
        <v>2</v>
      </c>
      <c r="S71" s="6">
        <v>1</v>
      </c>
      <c r="T71" s="6">
        <v>3</v>
      </c>
      <c r="U71" s="6">
        <v>2</v>
      </c>
      <c r="V71" s="6">
        <v>2</v>
      </c>
      <c r="W71" s="6">
        <v>3</v>
      </c>
      <c r="X71" s="6">
        <v>6</v>
      </c>
      <c r="Y71" s="6">
        <v>2</v>
      </c>
      <c r="Z71" s="6">
        <v>16</v>
      </c>
      <c r="AA71" s="6">
        <v>2</v>
      </c>
      <c r="AB71" s="6">
        <v>1</v>
      </c>
      <c r="AC71" s="5">
        <f t="shared" si="22"/>
        <v>82</v>
      </c>
    </row>
    <row r="72" spans="1:29" x14ac:dyDescent="0.3">
      <c r="A72" s="7"/>
      <c r="B72" s="54"/>
      <c r="C72" s="24" t="s">
        <v>142</v>
      </c>
      <c r="D72" s="51"/>
      <c r="E72" s="6">
        <v>2</v>
      </c>
      <c r="F72" s="6">
        <v>3</v>
      </c>
      <c r="G72" s="6">
        <v>4</v>
      </c>
      <c r="H72" s="6">
        <v>2</v>
      </c>
      <c r="I72" s="6">
        <v>2</v>
      </c>
      <c r="J72" s="6">
        <v>12</v>
      </c>
      <c r="K72" s="6">
        <v>2</v>
      </c>
      <c r="L72" s="6">
        <v>1</v>
      </c>
      <c r="M72" s="6">
        <v>1</v>
      </c>
      <c r="N72" s="6">
        <v>3</v>
      </c>
      <c r="O72" s="6">
        <v>3</v>
      </c>
      <c r="P72" s="6">
        <v>6</v>
      </c>
      <c r="Q72" s="6">
        <v>1</v>
      </c>
      <c r="R72" s="6">
        <v>2</v>
      </c>
      <c r="S72" s="6">
        <v>8</v>
      </c>
      <c r="T72" s="6">
        <v>5</v>
      </c>
      <c r="U72" s="6">
        <v>6</v>
      </c>
      <c r="V72" s="6">
        <v>0</v>
      </c>
      <c r="W72" s="6">
        <v>1</v>
      </c>
      <c r="X72" s="6">
        <v>3</v>
      </c>
      <c r="Y72" s="6">
        <v>4</v>
      </c>
      <c r="Z72" s="6">
        <v>4</v>
      </c>
      <c r="AA72" s="6">
        <v>0</v>
      </c>
      <c r="AB72" s="6">
        <v>0</v>
      </c>
      <c r="AC72" s="5">
        <f t="shared" si="22"/>
        <v>75</v>
      </c>
    </row>
    <row r="73" spans="1:29" x14ac:dyDescent="0.3">
      <c r="A73" s="7"/>
      <c r="B73" s="54"/>
      <c r="C73" s="24" t="s">
        <v>143</v>
      </c>
      <c r="D73" s="51"/>
      <c r="E73" s="6">
        <v>0</v>
      </c>
      <c r="F73" s="6">
        <v>1</v>
      </c>
      <c r="G73" s="6">
        <v>0</v>
      </c>
      <c r="H73" s="6">
        <v>0</v>
      </c>
      <c r="I73" s="6">
        <v>0</v>
      </c>
      <c r="J73" s="6">
        <v>4</v>
      </c>
      <c r="K73" s="6">
        <v>2</v>
      </c>
      <c r="L73" s="6">
        <v>2</v>
      </c>
      <c r="M73" s="6">
        <v>4</v>
      </c>
      <c r="N73" s="6">
        <v>0</v>
      </c>
      <c r="O73" s="6">
        <v>3</v>
      </c>
      <c r="P73" s="6">
        <v>0</v>
      </c>
      <c r="Q73" s="6">
        <v>1</v>
      </c>
      <c r="R73" s="6">
        <v>2</v>
      </c>
      <c r="S73" s="6">
        <v>2</v>
      </c>
      <c r="T73" s="6">
        <v>1</v>
      </c>
      <c r="U73" s="6">
        <v>3</v>
      </c>
      <c r="V73" s="6">
        <v>4</v>
      </c>
      <c r="W73" s="6">
        <v>1</v>
      </c>
      <c r="X73" s="6">
        <v>2</v>
      </c>
      <c r="Y73" s="6">
        <v>1</v>
      </c>
      <c r="Z73" s="6">
        <v>2</v>
      </c>
      <c r="AA73" s="6">
        <v>2</v>
      </c>
      <c r="AB73" s="6">
        <v>0</v>
      </c>
      <c r="AC73" s="5">
        <f t="shared" si="22"/>
        <v>37</v>
      </c>
    </row>
    <row r="74" spans="1:29" ht="13.15" customHeight="1" x14ac:dyDescent="0.3">
      <c r="A74" s="7"/>
      <c r="B74" s="54"/>
      <c r="C74" s="24" t="s">
        <v>144</v>
      </c>
      <c r="D74" s="51"/>
      <c r="E74" s="6">
        <v>0</v>
      </c>
      <c r="F74" s="6">
        <v>4</v>
      </c>
      <c r="G74" s="6">
        <v>2</v>
      </c>
      <c r="H74" s="6">
        <v>0</v>
      </c>
      <c r="I74" s="6">
        <v>2</v>
      </c>
      <c r="J74" s="6">
        <v>4</v>
      </c>
      <c r="K74" s="6">
        <v>2</v>
      </c>
      <c r="L74" s="6">
        <v>0</v>
      </c>
      <c r="M74" s="6">
        <v>2</v>
      </c>
      <c r="N74" s="6">
        <v>0</v>
      </c>
      <c r="O74" s="6">
        <v>1</v>
      </c>
      <c r="P74" s="6">
        <v>3</v>
      </c>
      <c r="Q74" s="6">
        <v>1</v>
      </c>
      <c r="R74" s="6">
        <v>1</v>
      </c>
      <c r="S74" s="6">
        <v>1</v>
      </c>
      <c r="T74" s="6">
        <v>1</v>
      </c>
      <c r="U74" s="6">
        <v>2</v>
      </c>
      <c r="V74" s="6">
        <v>1</v>
      </c>
      <c r="W74" s="6">
        <v>3</v>
      </c>
      <c r="X74" s="6">
        <v>2</v>
      </c>
      <c r="Y74" s="6">
        <v>1</v>
      </c>
      <c r="Z74" s="6">
        <v>1</v>
      </c>
      <c r="AA74" s="6">
        <v>1</v>
      </c>
      <c r="AB74" s="6">
        <v>1</v>
      </c>
      <c r="AC74" s="5">
        <f t="shared" si="22"/>
        <v>36</v>
      </c>
    </row>
    <row r="75" spans="1:29" x14ac:dyDescent="0.3">
      <c r="A75" s="7"/>
      <c r="B75" s="54"/>
      <c r="C75" s="24" t="s">
        <v>145</v>
      </c>
      <c r="D75" s="51"/>
      <c r="E75" s="6">
        <v>4</v>
      </c>
      <c r="F75" s="6">
        <v>0</v>
      </c>
      <c r="G75" s="6">
        <v>2</v>
      </c>
      <c r="H75" s="6">
        <v>1</v>
      </c>
      <c r="I75" s="6">
        <v>1</v>
      </c>
      <c r="J75" s="6">
        <v>3</v>
      </c>
      <c r="K75" s="6">
        <v>1</v>
      </c>
      <c r="L75" s="6">
        <v>1</v>
      </c>
      <c r="M75" s="6">
        <v>0</v>
      </c>
      <c r="N75" s="6">
        <v>3</v>
      </c>
      <c r="O75" s="6">
        <v>1</v>
      </c>
      <c r="P75" s="6">
        <v>1</v>
      </c>
      <c r="Q75" s="6">
        <v>0</v>
      </c>
      <c r="R75" s="6">
        <v>0</v>
      </c>
      <c r="S75" s="6">
        <v>0</v>
      </c>
      <c r="T75" s="6">
        <v>1</v>
      </c>
      <c r="U75" s="6">
        <v>2</v>
      </c>
      <c r="V75" s="6">
        <v>1</v>
      </c>
      <c r="W75" s="6">
        <v>1</v>
      </c>
      <c r="X75" s="6">
        <v>0</v>
      </c>
      <c r="Y75" s="6">
        <v>0</v>
      </c>
      <c r="Z75" s="6">
        <v>3</v>
      </c>
      <c r="AA75" s="6">
        <v>1</v>
      </c>
      <c r="AB75" s="6">
        <v>1</v>
      </c>
      <c r="AC75" s="5">
        <f t="shared" si="22"/>
        <v>28</v>
      </c>
    </row>
    <row r="76" spans="1:29" x14ac:dyDescent="0.3">
      <c r="A76" s="7"/>
      <c r="B76" s="54"/>
      <c r="C76" s="24" t="s">
        <v>146</v>
      </c>
      <c r="D76" s="51"/>
      <c r="E76" s="6">
        <v>0</v>
      </c>
      <c r="F76" s="6">
        <v>0</v>
      </c>
      <c r="G76" s="6">
        <v>0</v>
      </c>
      <c r="H76" s="6">
        <v>0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1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2</v>
      </c>
      <c r="Z76" s="6">
        <v>1</v>
      </c>
      <c r="AA76" s="6">
        <v>0</v>
      </c>
      <c r="AB76" s="6">
        <v>0</v>
      </c>
      <c r="AC76" s="5">
        <f t="shared" si="22"/>
        <v>7</v>
      </c>
    </row>
    <row r="77" spans="1:29" x14ac:dyDescent="0.3">
      <c r="A77" s="7"/>
      <c r="B77" s="54"/>
      <c r="C77" s="24" t="s">
        <v>147</v>
      </c>
      <c r="D77" s="51"/>
      <c r="E77" s="6">
        <v>0</v>
      </c>
      <c r="F77" s="6">
        <v>0</v>
      </c>
      <c r="G77" s="6">
        <v>1</v>
      </c>
      <c r="H77" s="6">
        <v>0</v>
      </c>
      <c r="I77" s="6">
        <v>2</v>
      </c>
      <c r="J77" s="6">
        <v>1</v>
      </c>
      <c r="K77" s="6">
        <v>1</v>
      </c>
      <c r="L77" s="6">
        <v>1</v>
      </c>
      <c r="M77" s="6">
        <v>0</v>
      </c>
      <c r="N77" s="6">
        <v>1</v>
      </c>
      <c r="O77" s="6">
        <v>1</v>
      </c>
      <c r="P77" s="6">
        <v>0</v>
      </c>
      <c r="Q77" s="6">
        <v>1</v>
      </c>
      <c r="R77" s="6">
        <v>0</v>
      </c>
      <c r="S77" s="6">
        <v>0</v>
      </c>
      <c r="T77" s="6">
        <v>1</v>
      </c>
      <c r="U77" s="6">
        <v>0</v>
      </c>
      <c r="V77" s="6">
        <v>0</v>
      </c>
      <c r="W77" s="6">
        <v>1</v>
      </c>
      <c r="X77" s="6">
        <v>1</v>
      </c>
      <c r="Y77" s="6">
        <v>0</v>
      </c>
      <c r="Z77" s="6">
        <v>2</v>
      </c>
      <c r="AA77" s="6">
        <v>1</v>
      </c>
      <c r="AB77" s="6">
        <v>1</v>
      </c>
      <c r="AC77" s="5">
        <f t="shared" si="22"/>
        <v>16</v>
      </c>
    </row>
    <row r="78" spans="1:29" x14ac:dyDescent="0.3">
      <c r="A78" s="7"/>
      <c r="B78" s="54"/>
      <c r="C78" s="24" t="s">
        <v>148</v>
      </c>
      <c r="D78" s="51"/>
      <c r="E78" s="6">
        <v>2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3</v>
      </c>
      <c r="L78" s="6">
        <v>3</v>
      </c>
      <c r="M78" s="6">
        <v>2</v>
      </c>
      <c r="N78" s="6">
        <v>1</v>
      </c>
      <c r="O78" s="6">
        <v>0</v>
      </c>
      <c r="P78" s="6">
        <v>0</v>
      </c>
      <c r="Q78" s="6">
        <v>1</v>
      </c>
      <c r="R78" s="6">
        <v>0</v>
      </c>
      <c r="S78" s="6">
        <v>1</v>
      </c>
      <c r="T78" s="6">
        <v>2</v>
      </c>
      <c r="U78" s="6">
        <v>3</v>
      </c>
      <c r="V78" s="6">
        <v>3</v>
      </c>
      <c r="W78" s="6">
        <v>0</v>
      </c>
      <c r="X78" s="6">
        <v>0</v>
      </c>
      <c r="Y78" s="6">
        <v>2</v>
      </c>
      <c r="Z78" s="6">
        <v>1</v>
      </c>
      <c r="AA78" s="6">
        <v>2</v>
      </c>
      <c r="AB78" s="6">
        <v>0</v>
      </c>
      <c r="AC78" s="5">
        <f t="shared" si="22"/>
        <v>27</v>
      </c>
    </row>
    <row r="79" spans="1:29" x14ac:dyDescent="0.3">
      <c r="A79" s="6" t="s">
        <v>26</v>
      </c>
      <c r="B79" s="69" t="s">
        <v>51</v>
      </c>
      <c r="C79" s="85"/>
      <c r="D79" s="76"/>
      <c r="E79" s="5">
        <f>SUM(E69:E78)</f>
        <v>25</v>
      </c>
      <c r="F79" s="5">
        <f t="shared" ref="F79:AC79" si="23">SUM(F69:F78)</f>
        <v>33</v>
      </c>
      <c r="G79" s="5">
        <f t="shared" si="23"/>
        <v>17</v>
      </c>
      <c r="H79" s="5">
        <f t="shared" si="23"/>
        <v>6</v>
      </c>
      <c r="I79" s="5">
        <f t="shared" si="23"/>
        <v>25</v>
      </c>
      <c r="J79" s="5">
        <f t="shared" si="23"/>
        <v>48</v>
      </c>
      <c r="K79" s="5">
        <f t="shared" si="23"/>
        <v>71</v>
      </c>
      <c r="L79" s="5">
        <f t="shared" si="23"/>
        <v>17</v>
      </c>
      <c r="M79" s="5">
        <f t="shared" si="23"/>
        <v>29</v>
      </c>
      <c r="N79" s="5">
        <f t="shared" si="23"/>
        <v>36</v>
      </c>
      <c r="O79" s="5">
        <f t="shared" si="23"/>
        <v>38</v>
      </c>
      <c r="P79" s="5">
        <f t="shared" si="23"/>
        <v>27</v>
      </c>
      <c r="Q79" s="5">
        <f t="shared" si="23"/>
        <v>22</v>
      </c>
      <c r="R79" s="5">
        <f t="shared" si="23"/>
        <v>28</v>
      </c>
      <c r="S79" s="5">
        <f t="shared" si="23"/>
        <v>16</v>
      </c>
      <c r="T79" s="5">
        <f t="shared" si="23"/>
        <v>40</v>
      </c>
      <c r="U79" s="5">
        <f t="shared" si="23"/>
        <v>45</v>
      </c>
      <c r="V79" s="5">
        <f t="shared" si="23"/>
        <v>23</v>
      </c>
      <c r="W79" s="5">
        <f t="shared" si="23"/>
        <v>34</v>
      </c>
      <c r="X79" s="5">
        <f t="shared" si="23"/>
        <v>54</v>
      </c>
      <c r="Y79" s="5">
        <f t="shared" si="23"/>
        <v>29</v>
      </c>
      <c r="Z79" s="5">
        <f t="shared" si="23"/>
        <v>65</v>
      </c>
      <c r="AA79" s="5">
        <f t="shared" si="23"/>
        <v>19</v>
      </c>
      <c r="AB79" s="5">
        <f t="shared" si="23"/>
        <v>14</v>
      </c>
      <c r="AC79" s="5">
        <f t="shared" si="23"/>
        <v>761</v>
      </c>
    </row>
    <row r="80" spans="1:29" x14ac:dyDescent="0.3">
      <c r="A80" s="86"/>
      <c r="B80" s="87"/>
      <c r="C80" s="87"/>
      <c r="D80" s="87"/>
      <c r="E80" s="87"/>
    </row>
    <row r="81" spans="1:29" x14ac:dyDescent="0.3">
      <c r="A81" s="11" t="s">
        <v>48</v>
      </c>
      <c r="B81" s="17" t="s">
        <v>34</v>
      </c>
      <c r="C81" s="75" t="s">
        <v>54</v>
      </c>
      <c r="D81" s="76"/>
      <c r="E81" s="6">
        <v>2</v>
      </c>
      <c r="F81" s="6">
        <v>4</v>
      </c>
      <c r="G81" s="6">
        <v>0</v>
      </c>
      <c r="H81" s="6">
        <v>1</v>
      </c>
      <c r="I81" s="6">
        <v>3</v>
      </c>
      <c r="J81" s="6">
        <v>3</v>
      </c>
      <c r="K81" s="6">
        <v>3</v>
      </c>
      <c r="L81" s="6">
        <v>0</v>
      </c>
      <c r="M81" s="6">
        <v>1</v>
      </c>
      <c r="N81" s="6">
        <v>2</v>
      </c>
      <c r="O81" s="6">
        <v>5</v>
      </c>
      <c r="P81" s="6">
        <v>2</v>
      </c>
      <c r="Q81" s="6">
        <v>0</v>
      </c>
      <c r="R81" s="6">
        <v>1</v>
      </c>
      <c r="S81" s="6">
        <v>4</v>
      </c>
      <c r="T81" s="6">
        <v>1</v>
      </c>
      <c r="U81" s="6">
        <v>5</v>
      </c>
      <c r="V81" s="6">
        <v>0</v>
      </c>
      <c r="W81" s="6">
        <v>1</v>
      </c>
      <c r="X81" s="6">
        <v>3</v>
      </c>
      <c r="Y81" s="6">
        <v>2</v>
      </c>
      <c r="Z81" s="6">
        <v>2</v>
      </c>
      <c r="AA81" s="6">
        <v>1</v>
      </c>
      <c r="AB81" s="6">
        <v>2</v>
      </c>
      <c r="AC81" s="5">
        <f>SUM(E81:AB81)</f>
        <v>48</v>
      </c>
    </row>
    <row r="82" spans="1:29" x14ac:dyDescent="0.3">
      <c r="A82" s="11" t="s">
        <v>50</v>
      </c>
      <c r="B82" s="54"/>
      <c r="C82" s="24" t="s">
        <v>149</v>
      </c>
      <c r="D82" s="51"/>
      <c r="E82" s="6">
        <v>3</v>
      </c>
      <c r="F82" s="6">
        <v>2</v>
      </c>
      <c r="G82" s="6">
        <v>0</v>
      </c>
      <c r="H82" s="6">
        <v>3</v>
      </c>
      <c r="I82" s="6">
        <v>6</v>
      </c>
      <c r="J82" s="6">
        <v>3</v>
      </c>
      <c r="K82" s="6">
        <v>1</v>
      </c>
      <c r="L82" s="6">
        <v>0</v>
      </c>
      <c r="M82" s="6">
        <v>4</v>
      </c>
      <c r="N82" s="6">
        <v>4</v>
      </c>
      <c r="O82" s="6">
        <v>4</v>
      </c>
      <c r="P82" s="6">
        <v>4</v>
      </c>
      <c r="Q82" s="6">
        <v>1</v>
      </c>
      <c r="R82" s="6">
        <v>0</v>
      </c>
      <c r="S82" s="6">
        <v>4</v>
      </c>
      <c r="T82" s="6">
        <v>3</v>
      </c>
      <c r="U82" s="6">
        <v>5</v>
      </c>
      <c r="V82" s="6">
        <v>1</v>
      </c>
      <c r="W82" s="6">
        <v>2</v>
      </c>
      <c r="X82" s="6">
        <v>2</v>
      </c>
      <c r="Y82" s="6">
        <v>2</v>
      </c>
      <c r="Z82" s="6">
        <v>3</v>
      </c>
      <c r="AA82" s="6">
        <v>1</v>
      </c>
      <c r="AB82" s="6">
        <v>4</v>
      </c>
      <c r="AC82" s="5">
        <f t="shared" ref="AC82:AC90" si="24">SUM(E82:AB82)</f>
        <v>62</v>
      </c>
    </row>
    <row r="83" spans="1:29" x14ac:dyDescent="0.3">
      <c r="A83" s="7"/>
      <c r="B83" s="54"/>
      <c r="C83" s="24" t="s">
        <v>150</v>
      </c>
      <c r="D83" s="51"/>
      <c r="E83" s="6">
        <v>1</v>
      </c>
      <c r="F83" s="6">
        <v>1</v>
      </c>
      <c r="G83" s="6">
        <v>0</v>
      </c>
      <c r="H83" s="6">
        <v>2</v>
      </c>
      <c r="I83" s="6">
        <v>0</v>
      </c>
      <c r="J83" s="6">
        <v>0</v>
      </c>
      <c r="K83" s="6">
        <v>2</v>
      </c>
      <c r="L83" s="6">
        <v>1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1</v>
      </c>
      <c r="V83" s="6">
        <v>0</v>
      </c>
      <c r="W83" s="6">
        <v>1</v>
      </c>
      <c r="X83" s="6">
        <v>1</v>
      </c>
      <c r="Y83" s="6">
        <v>0</v>
      </c>
      <c r="Z83" s="6">
        <v>0</v>
      </c>
      <c r="AA83" s="6">
        <v>2</v>
      </c>
      <c r="AB83" s="6">
        <v>0</v>
      </c>
      <c r="AC83" s="5">
        <f t="shared" si="24"/>
        <v>13</v>
      </c>
    </row>
    <row r="84" spans="1:29" x14ac:dyDescent="0.3">
      <c r="A84" s="7"/>
      <c r="B84" s="54"/>
      <c r="C84" s="24" t="s">
        <v>151</v>
      </c>
      <c r="D84" s="51"/>
      <c r="E84" s="6">
        <v>1</v>
      </c>
      <c r="F84" s="6">
        <v>0</v>
      </c>
      <c r="G84" s="6">
        <v>0</v>
      </c>
      <c r="H84" s="6">
        <v>1</v>
      </c>
      <c r="I84" s="6">
        <v>0</v>
      </c>
      <c r="J84" s="6">
        <v>1</v>
      </c>
      <c r="K84" s="6">
        <v>0</v>
      </c>
      <c r="L84" s="6">
        <v>1</v>
      </c>
      <c r="M84" s="6">
        <v>1</v>
      </c>
      <c r="N84" s="6">
        <v>0</v>
      </c>
      <c r="O84" s="6">
        <v>0</v>
      </c>
      <c r="P84" s="6">
        <v>1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2</v>
      </c>
      <c r="Y84" s="6">
        <v>1</v>
      </c>
      <c r="Z84" s="6">
        <v>0</v>
      </c>
      <c r="AA84" s="6">
        <v>0</v>
      </c>
      <c r="AB84" s="6">
        <v>0</v>
      </c>
      <c r="AC84" s="5">
        <f t="shared" si="24"/>
        <v>9</v>
      </c>
    </row>
    <row r="85" spans="1:29" ht="13.15" customHeight="1" x14ac:dyDescent="0.3">
      <c r="A85" s="7"/>
      <c r="B85" s="54"/>
      <c r="C85" s="24" t="s">
        <v>152</v>
      </c>
      <c r="D85" s="51"/>
      <c r="E85" s="6">
        <v>1</v>
      </c>
      <c r="F85" s="6">
        <v>1</v>
      </c>
      <c r="G85" s="6">
        <v>0</v>
      </c>
      <c r="H85" s="6">
        <v>3</v>
      </c>
      <c r="I85" s="6">
        <v>2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1</v>
      </c>
      <c r="S85" s="6">
        <v>3</v>
      </c>
      <c r="T85" s="6">
        <v>0</v>
      </c>
      <c r="U85" s="6">
        <v>1</v>
      </c>
      <c r="V85" s="6">
        <v>0</v>
      </c>
      <c r="W85" s="6">
        <v>0</v>
      </c>
      <c r="X85" s="6">
        <v>1</v>
      </c>
      <c r="Y85" s="6">
        <v>0</v>
      </c>
      <c r="Z85" s="6">
        <v>3</v>
      </c>
      <c r="AA85" s="6">
        <v>4</v>
      </c>
      <c r="AB85" s="6">
        <v>1</v>
      </c>
      <c r="AC85" s="5">
        <f t="shared" si="24"/>
        <v>22</v>
      </c>
    </row>
    <row r="86" spans="1:29" x14ac:dyDescent="0.3">
      <c r="A86" s="7"/>
      <c r="B86" s="54"/>
      <c r="C86" s="24" t="s">
        <v>153</v>
      </c>
      <c r="D86" s="51"/>
      <c r="E86" s="6">
        <v>3</v>
      </c>
      <c r="F86" s="6">
        <v>0</v>
      </c>
      <c r="G86" s="6">
        <v>2</v>
      </c>
      <c r="H86" s="6">
        <v>2</v>
      </c>
      <c r="I86" s="6">
        <v>0</v>
      </c>
      <c r="J86" s="6">
        <v>0</v>
      </c>
      <c r="K86" s="6">
        <v>2</v>
      </c>
      <c r="L86" s="6">
        <v>1</v>
      </c>
      <c r="M86" s="6">
        <v>0</v>
      </c>
      <c r="N86" s="6">
        <v>0</v>
      </c>
      <c r="O86" s="6">
        <v>10</v>
      </c>
      <c r="P86" s="6">
        <v>3</v>
      </c>
      <c r="Q86" s="6">
        <v>1</v>
      </c>
      <c r="R86" s="6">
        <v>1</v>
      </c>
      <c r="S86" s="6">
        <v>1</v>
      </c>
      <c r="T86" s="6">
        <v>0</v>
      </c>
      <c r="U86" s="6">
        <v>0</v>
      </c>
      <c r="V86" s="6">
        <v>3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1</v>
      </c>
      <c r="AC86" s="5">
        <f t="shared" si="24"/>
        <v>30</v>
      </c>
    </row>
    <row r="87" spans="1:29" x14ac:dyDescent="0.3">
      <c r="A87" s="7"/>
      <c r="B87" s="54"/>
      <c r="C87" s="24" t="s">
        <v>154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5">
        <f t="shared" si="24"/>
        <v>0</v>
      </c>
    </row>
    <row r="88" spans="1:29" x14ac:dyDescent="0.3">
      <c r="A88" s="7"/>
      <c r="B88" s="54"/>
      <c r="C88" s="24" t="s">
        <v>155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1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1</v>
      </c>
      <c r="AA88" s="6">
        <v>0</v>
      </c>
      <c r="AB88" s="6">
        <v>0</v>
      </c>
      <c r="AC88" s="5">
        <f t="shared" si="24"/>
        <v>3</v>
      </c>
    </row>
    <row r="89" spans="1:29" x14ac:dyDescent="0.3">
      <c r="A89" s="7"/>
      <c r="B89" s="54"/>
      <c r="C89" s="24" t="s">
        <v>156</v>
      </c>
      <c r="D89" s="51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1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f t="shared" si="24"/>
        <v>2</v>
      </c>
    </row>
    <row r="90" spans="1:29" x14ac:dyDescent="0.3">
      <c r="A90" s="7"/>
      <c r="B90" s="54"/>
      <c r="C90" s="24" t="s">
        <v>157</v>
      </c>
      <c r="D90" s="51"/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0</v>
      </c>
      <c r="AA90" s="6">
        <v>3</v>
      </c>
      <c r="AB90" s="6">
        <v>0</v>
      </c>
      <c r="AC90" s="5">
        <f t="shared" si="24"/>
        <v>6</v>
      </c>
    </row>
    <row r="91" spans="1:29" x14ac:dyDescent="0.3">
      <c r="A91" s="6" t="s">
        <v>26</v>
      </c>
      <c r="B91" s="69" t="s">
        <v>51</v>
      </c>
      <c r="C91" s="85"/>
      <c r="D91" s="76"/>
      <c r="E91" s="5">
        <f>SUM(E81:E90)</f>
        <v>11</v>
      </c>
      <c r="F91" s="5">
        <f t="shared" ref="F91:AC91" si="25">SUM(F81:F90)</f>
        <v>8</v>
      </c>
      <c r="G91" s="5">
        <f t="shared" si="25"/>
        <v>2</v>
      </c>
      <c r="H91" s="5">
        <f t="shared" si="25"/>
        <v>13</v>
      </c>
      <c r="I91" s="5">
        <f t="shared" si="25"/>
        <v>11</v>
      </c>
      <c r="J91" s="5">
        <f t="shared" si="25"/>
        <v>7</v>
      </c>
      <c r="K91" s="5">
        <f t="shared" si="25"/>
        <v>8</v>
      </c>
      <c r="L91" s="5">
        <f t="shared" si="25"/>
        <v>4</v>
      </c>
      <c r="M91" s="5">
        <f t="shared" si="25"/>
        <v>6</v>
      </c>
      <c r="N91" s="5">
        <f t="shared" si="25"/>
        <v>7</v>
      </c>
      <c r="O91" s="5">
        <f t="shared" si="25"/>
        <v>19</v>
      </c>
      <c r="P91" s="5">
        <f t="shared" si="25"/>
        <v>11</v>
      </c>
      <c r="Q91" s="5">
        <f t="shared" si="25"/>
        <v>4</v>
      </c>
      <c r="R91" s="5">
        <f t="shared" si="25"/>
        <v>3</v>
      </c>
      <c r="S91" s="5">
        <f t="shared" si="25"/>
        <v>13</v>
      </c>
      <c r="T91" s="5">
        <f t="shared" si="25"/>
        <v>4</v>
      </c>
      <c r="U91" s="5">
        <f t="shared" si="25"/>
        <v>12</v>
      </c>
      <c r="V91" s="5">
        <f t="shared" si="25"/>
        <v>5</v>
      </c>
      <c r="W91" s="5">
        <f t="shared" si="25"/>
        <v>4</v>
      </c>
      <c r="X91" s="5">
        <f t="shared" si="25"/>
        <v>9</v>
      </c>
      <c r="Y91" s="5">
        <f t="shared" si="25"/>
        <v>6</v>
      </c>
      <c r="Z91" s="5">
        <f t="shared" si="25"/>
        <v>9</v>
      </c>
      <c r="AA91" s="5">
        <f t="shared" si="25"/>
        <v>11</v>
      </c>
      <c r="AB91" s="5">
        <f t="shared" si="25"/>
        <v>8</v>
      </c>
      <c r="AC91" s="5">
        <f t="shared" si="25"/>
        <v>195</v>
      </c>
    </row>
    <row r="92" spans="1:29" x14ac:dyDescent="0.3">
      <c r="A92" s="86"/>
      <c r="B92" s="87"/>
      <c r="C92" s="87"/>
      <c r="D92" s="87"/>
      <c r="E92" s="87"/>
    </row>
    <row r="93" spans="1:29" x14ac:dyDescent="0.3">
      <c r="A93" s="11" t="s">
        <v>48</v>
      </c>
      <c r="B93" s="17" t="s">
        <v>55</v>
      </c>
      <c r="C93" s="75" t="s">
        <v>56</v>
      </c>
      <c r="D93" s="76"/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1</v>
      </c>
      <c r="K93" s="6">
        <v>1</v>
      </c>
      <c r="L93" s="6">
        <v>0</v>
      </c>
      <c r="M93" s="6">
        <v>1</v>
      </c>
      <c r="N93" s="6">
        <v>2</v>
      </c>
      <c r="O93" s="6">
        <v>0</v>
      </c>
      <c r="P93" s="6">
        <v>2</v>
      </c>
      <c r="Q93" s="6">
        <v>1</v>
      </c>
      <c r="R93" s="6">
        <v>0</v>
      </c>
      <c r="S93" s="6">
        <v>1</v>
      </c>
      <c r="T93" s="6">
        <v>0</v>
      </c>
      <c r="U93" s="6">
        <v>0</v>
      </c>
      <c r="V93" s="6">
        <v>0</v>
      </c>
      <c r="W93" s="6">
        <v>1</v>
      </c>
      <c r="X93" s="6">
        <v>1</v>
      </c>
      <c r="Y93" s="6">
        <v>3</v>
      </c>
      <c r="Z93" s="6">
        <v>1</v>
      </c>
      <c r="AA93" s="6">
        <v>0</v>
      </c>
      <c r="AB93" s="6">
        <v>0</v>
      </c>
      <c r="AC93" s="5">
        <f t="shared" ref="AC93:AC102" si="26">SUM(E93:AB93)</f>
        <v>16</v>
      </c>
    </row>
    <row r="94" spans="1:29" x14ac:dyDescent="0.3">
      <c r="A94" s="11" t="s">
        <v>50</v>
      </c>
      <c r="B94" s="54"/>
      <c r="C94" s="24" t="s">
        <v>158</v>
      </c>
      <c r="D94" s="51"/>
      <c r="E94" s="6">
        <v>2</v>
      </c>
      <c r="F94" s="6">
        <v>0</v>
      </c>
      <c r="G94" s="6">
        <v>0</v>
      </c>
      <c r="H94" s="6">
        <v>4</v>
      </c>
      <c r="I94" s="6">
        <v>2</v>
      </c>
      <c r="J94" s="6">
        <v>2</v>
      </c>
      <c r="K94" s="6">
        <v>8</v>
      </c>
      <c r="L94" s="6">
        <v>6</v>
      </c>
      <c r="M94" s="6">
        <v>1</v>
      </c>
      <c r="N94" s="6">
        <v>5</v>
      </c>
      <c r="O94" s="6">
        <v>2</v>
      </c>
      <c r="P94" s="6">
        <v>10</v>
      </c>
      <c r="Q94" s="6">
        <v>1</v>
      </c>
      <c r="R94" s="6">
        <v>0</v>
      </c>
      <c r="S94" s="6">
        <v>0</v>
      </c>
      <c r="T94" s="6">
        <v>2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1</v>
      </c>
      <c r="AB94" s="6">
        <v>0</v>
      </c>
      <c r="AC94" s="5">
        <f t="shared" si="26"/>
        <v>46</v>
      </c>
    </row>
    <row r="95" spans="1:29" x14ac:dyDescent="0.3">
      <c r="A95" s="7"/>
      <c r="B95" s="54"/>
      <c r="C95" s="24" t="s">
        <v>159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1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1</v>
      </c>
      <c r="AC95" s="5">
        <f t="shared" si="26"/>
        <v>5</v>
      </c>
    </row>
    <row r="96" spans="1:29" ht="13.15" customHeight="1" x14ac:dyDescent="0.3">
      <c r="A96" s="7"/>
      <c r="B96" s="54"/>
      <c r="C96" s="24" t="s">
        <v>160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5">
        <f t="shared" si="26"/>
        <v>2</v>
      </c>
    </row>
    <row r="97" spans="1:29" x14ac:dyDescent="0.3">
      <c r="A97" s="7"/>
      <c r="B97" s="54"/>
      <c r="C97" s="24" t="s">
        <v>161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1</v>
      </c>
      <c r="Z97" s="6">
        <v>0</v>
      </c>
      <c r="AA97" s="6">
        <v>0</v>
      </c>
      <c r="AB97" s="6">
        <v>0</v>
      </c>
      <c r="AC97" s="5">
        <f t="shared" si="26"/>
        <v>1</v>
      </c>
    </row>
    <row r="98" spans="1:29" x14ac:dyDescent="0.3">
      <c r="A98" s="7"/>
      <c r="B98" s="54"/>
      <c r="C98" s="24" t="s">
        <v>162</v>
      </c>
      <c r="D98" s="51"/>
      <c r="E98" s="6">
        <v>0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1</v>
      </c>
      <c r="Y98" s="6">
        <v>0</v>
      </c>
      <c r="Z98" s="6">
        <v>0</v>
      </c>
      <c r="AA98" s="6">
        <v>0</v>
      </c>
      <c r="AB98" s="6">
        <v>0</v>
      </c>
      <c r="AC98" s="5">
        <f t="shared" si="26"/>
        <v>2</v>
      </c>
    </row>
    <row r="99" spans="1:29" x14ac:dyDescent="0.3">
      <c r="A99" s="7"/>
      <c r="B99" s="54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f t="shared" si="26"/>
        <v>1</v>
      </c>
    </row>
    <row r="100" spans="1:29" x14ac:dyDescent="0.3">
      <c r="A100" s="7"/>
      <c r="B100" s="54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1</v>
      </c>
      <c r="Y100" s="6">
        <v>1</v>
      </c>
      <c r="Z100" s="6">
        <v>0</v>
      </c>
      <c r="AA100" s="6">
        <v>0</v>
      </c>
      <c r="AB100" s="6">
        <v>0</v>
      </c>
      <c r="AC100" s="5">
        <f t="shared" si="26"/>
        <v>2</v>
      </c>
    </row>
    <row r="101" spans="1:29" x14ac:dyDescent="0.3">
      <c r="A101" s="7"/>
      <c r="B101" s="54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5">
        <f t="shared" si="26"/>
        <v>3</v>
      </c>
    </row>
    <row r="102" spans="1:29" x14ac:dyDescent="0.3">
      <c r="A102" s="7"/>
      <c r="B102" s="54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1</v>
      </c>
      <c r="Z102" s="6">
        <v>0</v>
      </c>
      <c r="AA102" s="6">
        <v>0</v>
      </c>
      <c r="AB102" s="6">
        <v>0</v>
      </c>
      <c r="AC102" s="5">
        <f t="shared" si="26"/>
        <v>1</v>
      </c>
    </row>
    <row r="103" spans="1:29" x14ac:dyDescent="0.3">
      <c r="A103" s="6" t="s">
        <v>26</v>
      </c>
      <c r="B103" s="69" t="s">
        <v>51</v>
      </c>
      <c r="C103" s="85"/>
      <c r="D103" s="76"/>
      <c r="E103" s="5">
        <f>SUM(E93:E102)</f>
        <v>2</v>
      </c>
      <c r="F103" s="5">
        <f t="shared" ref="F103:AC103" si="27">SUM(F93:F102)</f>
        <v>0</v>
      </c>
      <c r="G103" s="5">
        <f t="shared" si="27"/>
        <v>1</v>
      </c>
      <c r="H103" s="5">
        <f t="shared" si="27"/>
        <v>4</v>
      </c>
      <c r="I103" s="5">
        <f t="shared" si="27"/>
        <v>3</v>
      </c>
      <c r="J103" s="5">
        <f t="shared" si="27"/>
        <v>3</v>
      </c>
      <c r="K103" s="5">
        <f t="shared" si="27"/>
        <v>10</v>
      </c>
      <c r="L103" s="5">
        <f t="shared" si="27"/>
        <v>7</v>
      </c>
      <c r="M103" s="5">
        <f t="shared" si="27"/>
        <v>2</v>
      </c>
      <c r="N103" s="5">
        <f t="shared" si="27"/>
        <v>8</v>
      </c>
      <c r="O103" s="5">
        <f t="shared" si="27"/>
        <v>3</v>
      </c>
      <c r="P103" s="5">
        <f t="shared" si="27"/>
        <v>14</v>
      </c>
      <c r="Q103" s="5">
        <f t="shared" si="27"/>
        <v>2</v>
      </c>
      <c r="R103" s="5">
        <f t="shared" si="27"/>
        <v>1</v>
      </c>
      <c r="S103" s="5">
        <f t="shared" si="27"/>
        <v>3</v>
      </c>
      <c r="T103" s="5">
        <f t="shared" si="27"/>
        <v>2</v>
      </c>
      <c r="U103" s="5">
        <f t="shared" si="27"/>
        <v>1</v>
      </c>
      <c r="V103" s="5">
        <f t="shared" si="27"/>
        <v>0</v>
      </c>
      <c r="W103" s="5">
        <f t="shared" si="27"/>
        <v>1</v>
      </c>
      <c r="X103" s="5">
        <f t="shared" si="27"/>
        <v>3</v>
      </c>
      <c r="Y103" s="5">
        <f t="shared" si="27"/>
        <v>6</v>
      </c>
      <c r="Z103" s="5">
        <f t="shared" si="27"/>
        <v>1</v>
      </c>
      <c r="AA103" s="5">
        <f t="shared" si="27"/>
        <v>1</v>
      </c>
      <c r="AB103" s="5">
        <f t="shared" si="27"/>
        <v>1</v>
      </c>
      <c r="AC103" s="5">
        <f t="shared" si="27"/>
        <v>79</v>
      </c>
    </row>
    <row r="104" spans="1:29" x14ac:dyDescent="0.3">
      <c r="A104" s="86"/>
      <c r="B104" s="87"/>
      <c r="C104" s="87"/>
      <c r="D104" s="87"/>
      <c r="E104" s="8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3">
      <c r="A105" s="11" t="s">
        <v>48</v>
      </c>
      <c r="B105" s="17" t="s">
        <v>57</v>
      </c>
      <c r="C105" s="75" t="s">
        <v>58</v>
      </c>
      <c r="D105" s="76"/>
      <c r="E105" s="6">
        <v>3</v>
      </c>
      <c r="F105" s="6">
        <v>0</v>
      </c>
      <c r="G105" s="6">
        <v>1</v>
      </c>
      <c r="H105" s="6">
        <v>1</v>
      </c>
      <c r="I105" s="6">
        <v>6</v>
      </c>
      <c r="J105" s="6">
        <v>3</v>
      </c>
      <c r="K105" s="6">
        <v>1</v>
      </c>
      <c r="L105" s="6">
        <v>3</v>
      </c>
      <c r="M105" s="6">
        <v>0</v>
      </c>
      <c r="N105" s="6">
        <v>3</v>
      </c>
      <c r="O105" s="6">
        <v>1</v>
      </c>
      <c r="P105" s="6">
        <v>5</v>
      </c>
      <c r="Q105" s="6">
        <v>3</v>
      </c>
      <c r="R105" s="6">
        <v>1</v>
      </c>
      <c r="S105" s="6">
        <v>2</v>
      </c>
      <c r="T105" s="6">
        <v>0</v>
      </c>
      <c r="U105" s="6">
        <v>1</v>
      </c>
      <c r="V105" s="6">
        <v>0</v>
      </c>
      <c r="W105" s="6">
        <v>2</v>
      </c>
      <c r="X105" s="6">
        <v>0</v>
      </c>
      <c r="Y105" s="6">
        <v>2</v>
      </c>
      <c r="Z105" s="6">
        <v>3</v>
      </c>
      <c r="AA105" s="6">
        <v>2</v>
      </c>
      <c r="AB105" s="6">
        <v>6</v>
      </c>
      <c r="AC105" s="5">
        <f t="shared" ref="AC105:AC107" si="28">SUM(E105:AB105)</f>
        <v>49</v>
      </c>
    </row>
    <row r="106" spans="1:29" x14ac:dyDescent="0.3">
      <c r="A106" s="11" t="s">
        <v>50</v>
      </c>
      <c r="B106" s="54"/>
      <c r="C106" s="24" t="s">
        <v>167</v>
      </c>
      <c r="D106" s="51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2</v>
      </c>
      <c r="Q106" s="6">
        <v>1</v>
      </c>
      <c r="R106" s="6">
        <v>1</v>
      </c>
      <c r="S106" s="6">
        <v>0</v>
      </c>
      <c r="T106" s="6">
        <v>1</v>
      </c>
      <c r="U106" s="6">
        <v>0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5">
        <f t="shared" si="28"/>
        <v>8</v>
      </c>
    </row>
    <row r="107" spans="1:29" ht="13.15" customHeight="1" x14ac:dyDescent="0.3">
      <c r="A107" s="7"/>
      <c r="B107" s="54"/>
      <c r="C107" s="24" t="s">
        <v>168</v>
      </c>
      <c r="D107" s="51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2</v>
      </c>
      <c r="M107" s="6">
        <v>0</v>
      </c>
      <c r="N107" s="6">
        <v>3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1</v>
      </c>
      <c r="AC107" s="5">
        <f t="shared" si="28"/>
        <v>8</v>
      </c>
    </row>
    <row r="108" spans="1:29" x14ac:dyDescent="0.3">
      <c r="A108" s="7"/>
      <c r="B108" s="46"/>
      <c r="C108" s="47"/>
      <c r="D108" s="49"/>
      <c r="E108" s="6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0"/>
    </row>
    <row r="109" spans="1:29" x14ac:dyDescent="0.3">
      <c r="A109" s="7"/>
      <c r="B109" s="46"/>
      <c r="C109" s="47"/>
      <c r="D109" s="49"/>
      <c r="E109" s="6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0"/>
    </row>
    <row r="110" spans="1:29" x14ac:dyDescent="0.3">
      <c r="A110" s="7"/>
      <c r="B110" s="46"/>
      <c r="C110" s="47"/>
      <c r="D110" s="49"/>
      <c r="E110" s="6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0"/>
    </row>
    <row r="111" spans="1:29" x14ac:dyDescent="0.3">
      <c r="A111" s="7"/>
      <c r="B111" s="46"/>
      <c r="C111" s="47"/>
      <c r="D111" s="49"/>
      <c r="E111" s="6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0"/>
    </row>
    <row r="112" spans="1:29" x14ac:dyDescent="0.3">
      <c r="A112" s="7"/>
      <c r="B112" s="46"/>
      <c r="C112" s="47"/>
      <c r="D112" s="49"/>
      <c r="E112" s="6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0"/>
    </row>
    <row r="113" spans="1:31" x14ac:dyDescent="0.3">
      <c r="A113" s="7"/>
      <c r="B113" s="46"/>
      <c r="C113" s="47"/>
      <c r="D113" s="49"/>
      <c r="E113" s="6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0"/>
    </row>
    <row r="114" spans="1:31" x14ac:dyDescent="0.3">
      <c r="A114" s="7"/>
      <c r="B114" s="46"/>
      <c r="C114" s="47"/>
      <c r="D114" s="49"/>
      <c r="E114" s="6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0"/>
    </row>
    <row r="115" spans="1:31" ht="13.15" customHeight="1" x14ac:dyDescent="0.3">
      <c r="A115" s="6" t="s">
        <v>26</v>
      </c>
      <c r="B115" s="69" t="s">
        <v>51</v>
      </c>
      <c r="C115" s="70"/>
      <c r="D115" s="71"/>
      <c r="E115" s="5">
        <f>SUM(E105:E114)</f>
        <v>3</v>
      </c>
      <c r="F115" s="5">
        <f t="shared" ref="F115:AC115" si="29">SUM(F105:F114)</f>
        <v>0</v>
      </c>
      <c r="G115" s="5">
        <f t="shared" si="29"/>
        <v>1</v>
      </c>
      <c r="H115" s="5">
        <f t="shared" si="29"/>
        <v>2</v>
      </c>
      <c r="I115" s="5">
        <f t="shared" si="29"/>
        <v>6</v>
      </c>
      <c r="J115" s="5">
        <f t="shared" si="29"/>
        <v>3</v>
      </c>
      <c r="K115" s="5">
        <f t="shared" si="29"/>
        <v>2</v>
      </c>
      <c r="L115" s="5">
        <f t="shared" si="29"/>
        <v>5</v>
      </c>
      <c r="M115" s="5">
        <f t="shared" si="29"/>
        <v>0</v>
      </c>
      <c r="N115" s="5">
        <f t="shared" si="29"/>
        <v>6</v>
      </c>
      <c r="O115" s="5">
        <f t="shared" si="29"/>
        <v>2</v>
      </c>
      <c r="P115" s="5">
        <f t="shared" si="29"/>
        <v>7</v>
      </c>
      <c r="Q115" s="5">
        <f t="shared" si="29"/>
        <v>4</v>
      </c>
      <c r="R115" s="5">
        <f t="shared" si="29"/>
        <v>2</v>
      </c>
      <c r="S115" s="5">
        <f t="shared" si="29"/>
        <v>2</v>
      </c>
      <c r="T115" s="5">
        <f t="shared" si="29"/>
        <v>1</v>
      </c>
      <c r="U115" s="5">
        <f t="shared" si="29"/>
        <v>2</v>
      </c>
      <c r="V115" s="5">
        <f t="shared" si="29"/>
        <v>0</v>
      </c>
      <c r="W115" s="5">
        <f t="shared" si="29"/>
        <v>2</v>
      </c>
      <c r="X115" s="5">
        <f t="shared" si="29"/>
        <v>1</v>
      </c>
      <c r="Y115" s="5">
        <f t="shared" si="29"/>
        <v>2</v>
      </c>
      <c r="Z115" s="5">
        <f t="shared" si="29"/>
        <v>3</v>
      </c>
      <c r="AA115" s="5">
        <f t="shared" si="29"/>
        <v>2</v>
      </c>
      <c r="AB115" s="5">
        <f t="shared" si="29"/>
        <v>7</v>
      </c>
      <c r="AC115" s="5">
        <f t="shared" si="29"/>
        <v>65</v>
      </c>
    </row>
    <row r="116" spans="1:31" x14ac:dyDescent="0.3">
      <c r="A116" s="77"/>
      <c r="B116" s="78"/>
      <c r="C116" s="78"/>
      <c r="D116" s="78"/>
      <c r="E116" s="7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AC116" s="5"/>
    </row>
    <row r="117" spans="1:31" x14ac:dyDescent="0.3">
      <c r="A117" s="11" t="s">
        <v>48</v>
      </c>
      <c r="B117" s="17" t="s">
        <v>59</v>
      </c>
      <c r="C117" s="75" t="s">
        <v>60</v>
      </c>
      <c r="D117" s="76"/>
      <c r="E117" s="6">
        <v>4</v>
      </c>
      <c r="F117" s="6">
        <v>1</v>
      </c>
      <c r="G117" s="6">
        <v>0</v>
      </c>
      <c r="H117" s="6">
        <v>2</v>
      </c>
      <c r="I117" s="6">
        <v>2</v>
      </c>
      <c r="J117" s="6">
        <v>1</v>
      </c>
      <c r="K117" s="6">
        <v>0</v>
      </c>
      <c r="L117" s="6">
        <v>0</v>
      </c>
      <c r="M117" s="6">
        <v>1</v>
      </c>
      <c r="N117" s="6">
        <v>0</v>
      </c>
      <c r="O117" s="6">
        <v>1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1</v>
      </c>
      <c r="W117" s="6">
        <v>0</v>
      </c>
      <c r="X117" s="6">
        <v>0</v>
      </c>
      <c r="Y117" s="6">
        <v>0</v>
      </c>
      <c r="Z117" s="6">
        <v>1</v>
      </c>
      <c r="AA117" s="6">
        <v>2</v>
      </c>
      <c r="AB117" s="6">
        <v>2</v>
      </c>
      <c r="AC117" s="5">
        <f>SUM(E117:AB117)</f>
        <v>19</v>
      </c>
      <c r="AD117" s="20"/>
      <c r="AE117" s="20"/>
    </row>
    <row r="118" spans="1:31" x14ac:dyDescent="0.3">
      <c r="A118" s="11" t="s">
        <v>50</v>
      </c>
      <c r="B118" s="54"/>
      <c r="C118" s="24" t="s">
        <v>169</v>
      </c>
      <c r="D118" s="51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5">
        <f>SUM(E118:AB118)</f>
        <v>3</v>
      </c>
      <c r="AD118" s="20"/>
      <c r="AE118" s="20"/>
    </row>
    <row r="119" spans="1:31" x14ac:dyDescent="0.3">
      <c r="A119" s="7"/>
      <c r="B119" s="54"/>
      <c r="C119" s="24" t="s">
        <v>170</v>
      </c>
      <c r="D119" s="51"/>
      <c r="E119" s="6">
        <v>0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1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1</v>
      </c>
      <c r="AB119" s="6">
        <v>0</v>
      </c>
      <c r="AC119" s="5">
        <f>SUM(E119:AB119)</f>
        <v>4</v>
      </c>
      <c r="AD119" s="20"/>
      <c r="AE119" s="20"/>
    </row>
    <row r="120" spans="1:31" x14ac:dyDescent="0.3">
      <c r="A120" s="7"/>
      <c r="B120" s="54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5">
        <f>SUM(E120:AB120)</f>
        <v>0</v>
      </c>
      <c r="AD120" s="20"/>
      <c r="AE120" s="20"/>
    </row>
    <row r="121" spans="1:31" x14ac:dyDescent="0.3">
      <c r="A121" s="7"/>
      <c r="B121" s="54"/>
      <c r="C121" s="24" t="s">
        <v>172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f t="shared" ref="AC121:AC122" si="30">SUM(E121:AB121)</f>
        <v>1</v>
      </c>
      <c r="AD121" s="20"/>
      <c r="AE121" s="20"/>
    </row>
    <row r="122" spans="1:31" x14ac:dyDescent="0.3">
      <c r="A122" s="7"/>
      <c r="B122" s="54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1</v>
      </c>
      <c r="AC122" s="5">
        <f t="shared" si="30"/>
        <v>1</v>
      </c>
      <c r="AD122" s="20"/>
      <c r="AE122" s="20"/>
    </row>
    <row r="123" spans="1:31" x14ac:dyDescent="0.3">
      <c r="A123" s="7"/>
      <c r="B123" s="46"/>
      <c r="C123" s="47"/>
      <c r="D123" s="49"/>
      <c r="E123" s="62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50"/>
      <c r="AD123" s="20"/>
      <c r="AE123" s="20"/>
    </row>
    <row r="124" spans="1:31" x14ac:dyDescent="0.3">
      <c r="A124" s="7"/>
      <c r="B124" s="46"/>
      <c r="C124" s="47"/>
      <c r="D124" s="49"/>
      <c r="E124" s="62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50"/>
      <c r="AD124" s="20"/>
      <c r="AE124" s="20"/>
    </row>
    <row r="125" spans="1:31" x14ac:dyDescent="0.3">
      <c r="A125" s="7"/>
      <c r="B125" s="46"/>
      <c r="C125" s="47"/>
      <c r="D125" s="49"/>
      <c r="E125" s="62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50"/>
      <c r="AD125" s="20"/>
      <c r="AE125" s="20"/>
    </row>
    <row r="126" spans="1:31" x14ac:dyDescent="0.3">
      <c r="A126" s="7"/>
      <c r="B126" s="46"/>
      <c r="C126" s="47"/>
      <c r="D126" s="49"/>
      <c r="E126" s="62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50"/>
      <c r="AD126" s="20"/>
      <c r="AE126" s="20"/>
    </row>
    <row r="127" spans="1:31" x14ac:dyDescent="0.3">
      <c r="A127" s="6" t="s">
        <v>26</v>
      </c>
      <c r="B127" s="69" t="s">
        <v>51</v>
      </c>
      <c r="C127" s="70"/>
      <c r="D127" s="71"/>
      <c r="E127" s="5">
        <f>SUM(E117:E126)</f>
        <v>4</v>
      </c>
      <c r="F127" s="5">
        <f t="shared" ref="F127:AC127" si="31">SUM(F117:F126)</f>
        <v>2</v>
      </c>
      <c r="G127" s="5">
        <f t="shared" si="31"/>
        <v>1</v>
      </c>
      <c r="H127" s="5">
        <f t="shared" si="31"/>
        <v>2</v>
      </c>
      <c r="I127" s="5">
        <f t="shared" si="31"/>
        <v>2</v>
      </c>
      <c r="J127" s="5">
        <f t="shared" si="31"/>
        <v>1</v>
      </c>
      <c r="K127" s="5">
        <f t="shared" si="31"/>
        <v>1</v>
      </c>
      <c r="L127" s="5">
        <f t="shared" si="31"/>
        <v>0</v>
      </c>
      <c r="M127" s="5">
        <f t="shared" si="31"/>
        <v>1</v>
      </c>
      <c r="N127" s="5">
        <f t="shared" si="31"/>
        <v>0</v>
      </c>
      <c r="O127" s="5">
        <f t="shared" si="31"/>
        <v>2</v>
      </c>
      <c r="P127" s="5">
        <f t="shared" si="31"/>
        <v>1</v>
      </c>
      <c r="Q127" s="5">
        <f t="shared" si="31"/>
        <v>0</v>
      </c>
      <c r="R127" s="5">
        <f t="shared" si="31"/>
        <v>0</v>
      </c>
      <c r="S127" s="5">
        <f t="shared" si="31"/>
        <v>0</v>
      </c>
      <c r="T127" s="5">
        <f t="shared" si="31"/>
        <v>1</v>
      </c>
      <c r="U127" s="5">
        <f t="shared" si="31"/>
        <v>1</v>
      </c>
      <c r="V127" s="5">
        <f t="shared" si="31"/>
        <v>1</v>
      </c>
      <c r="W127" s="5">
        <f t="shared" si="31"/>
        <v>1</v>
      </c>
      <c r="X127" s="5">
        <f t="shared" si="31"/>
        <v>0</v>
      </c>
      <c r="Y127" s="5">
        <f t="shared" si="31"/>
        <v>0</v>
      </c>
      <c r="Z127" s="5">
        <f t="shared" si="31"/>
        <v>1</v>
      </c>
      <c r="AA127" s="5">
        <f t="shared" si="31"/>
        <v>3</v>
      </c>
      <c r="AB127" s="5">
        <f t="shared" si="31"/>
        <v>3</v>
      </c>
      <c r="AC127" s="5">
        <f t="shared" si="31"/>
        <v>28</v>
      </c>
      <c r="AD127" s="20"/>
      <c r="AE127" s="20"/>
    </row>
    <row r="128" spans="1:31" x14ac:dyDescent="0.3">
      <c r="A128" s="77"/>
      <c r="B128" s="78"/>
      <c r="C128" s="78"/>
      <c r="D128" s="78"/>
      <c r="E128" s="7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20"/>
      <c r="AE128" s="20"/>
    </row>
    <row r="129" spans="1:31" x14ac:dyDescent="0.3">
      <c r="A129" s="11" t="s">
        <v>48</v>
      </c>
      <c r="B129" s="17" t="s">
        <v>61</v>
      </c>
      <c r="C129" s="75" t="s">
        <v>62</v>
      </c>
      <c r="D129" s="76"/>
      <c r="E129" s="6">
        <v>2</v>
      </c>
      <c r="F129" s="6">
        <v>1</v>
      </c>
      <c r="G129" s="6">
        <v>0</v>
      </c>
      <c r="H129" s="6">
        <v>0</v>
      </c>
      <c r="I129" s="6">
        <v>0</v>
      </c>
      <c r="J129" s="6">
        <v>2</v>
      </c>
      <c r="K129" s="6">
        <v>1</v>
      </c>
      <c r="L129" s="6">
        <v>2</v>
      </c>
      <c r="M129" s="6">
        <v>2</v>
      </c>
      <c r="N129" s="6">
        <v>3</v>
      </c>
      <c r="O129" s="6">
        <v>3</v>
      </c>
      <c r="P129" s="6">
        <v>3</v>
      </c>
      <c r="Q129" s="6">
        <v>0</v>
      </c>
      <c r="R129" s="6">
        <v>1</v>
      </c>
      <c r="S129" s="6">
        <v>2</v>
      </c>
      <c r="T129" s="6">
        <v>1</v>
      </c>
      <c r="U129" s="6">
        <v>0</v>
      </c>
      <c r="V129" s="6">
        <v>0</v>
      </c>
      <c r="W129" s="6">
        <v>0</v>
      </c>
      <c r="X129" s="6">
        <v>0</v>
      </c>
      <c r="Y129" s="6">
        <v>1</v>
      </c>
      <c r="Z129" s="6">
        <v>0</v>
      </c>
      <c r="AA129" s="6">
        <v>0</v>
      </c>
      <c r="AB129" s="6">
        <v>0</v>
      </c>
      <c r="AC129" s="5">
        <f t="shared" ref="AC129:AC138" si="32">SUM(E129:AB129)</f>
        <v>24</v>
      </c>
      <c r="AD129" s="20"/>
      <c r="AE129" s="20"/>
    </row>
    <row r="130" spans="1:31" ht="13.15" customHeight="1" x14ac:dyDescent="0.3">
      <c r="A130" s="11" t="s">
        <v>50</v>
      </c>
      <c r="B130" s="54"/>
      <c r="C130" s="24" t="s">
        <v>174</v>
      </c>
      <c r="D130" s="55"/>
      <c r="E130" s="6">
        <v>0</v>
      </c>
      <c r="F130" s="6">
        <v>1</v>
      </c>
      <c r="G130" s="6">
        <v>1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5</v>
      </c>
      <c r="N130" s="6">
        <v>2</v>
      </c>
      <c r="O130" s="6">
        <v>9</v>
      </c>
      <c r="P130" s="6">
        <v>3</v>
      </c>
      <c r="Q130" s="6">
        <v>0</v>
      </c>
      <c r="R130" s="6">
        <v>2</v>
      </c>
      <c r="S130" s="6">
        <v>0</v>
      </c>
      <c r="T130" s="6">
        <v>1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5">
        <f t="shared" si="32"/>
        <v>25</v>
      </c>
      <c r="AD130" s="1"/>
      <c r="AE130" s="1"/>
    </row>
    <row r="131" spans="1:31" x14ac:dyDescent="0.3">
      <c r="A131" s="7"/>
      <c r="B131" s="54"/>
      <c r="C131" s="24" t="s">
        <v>175</v>
      </c>
      <c r="D131" s="5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1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1</v>
      </c>
      <c r="AC131" s="5">
        <f t="shared" si="32"/>
        <v>4</v>
      </c>
      <c r="AD131" s="28"/>
      <c r="AE131" s="28"/>
    </row>
    <row r="132" spans="1:31" x14ac:dyDescent="0.3">
      <c r="A132" s="7"/>
      <c r="B132" s="54"/>
      <c r="C132" s="24" t="s">
        <v>176</v>
      </c>
      <c r="D132" s="5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 t="shared" si="32"/>
        <v>1</v>
      </c>
      <c r="AD132" s="20"/>
      <c r="AE132" s="20"/>
    </row>
    <row r="133" spans="1:31" x14ac:dyDescent="0.3">
      <c r="A133" s="7"/>
      <c r="B133" s="54"/>
      <c r="C133" s="24" t="s">
        <v>177</v>
      </c>
      <c r="D133" s="5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 t="shared" si="32"/>
        <v>1</v>
      </c>
      <c r="AD133" s="20"/>
      <c r="AE133" s="20"/>
    </row>
    <row r="134" spans="1:31" x14ac:dyDescent="0.3">
      <c r="A134" s="7"/>
      <c r="B134" s="54"/>
      <c r="C134" s="24" t="s">
        <v>178</v>
      </c>
      <c r="D134" s="55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1</v>
      </c>
      <c r="AB134" s="6">
        <v>0</v>
      </c>
      <c r="AC134" s="5">
        <f t="shared" si="32"/>
        <v>2</v>
      </c>
      <c r="AD134" s="20"/>
      <c r="AE134" s="20"/>
    </row>
    <row r="135" spans="1:31" x14ac:dyDescent="0.3">
      <c r="A135" s="7"/>
      <c r="B135" s="54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5">
        <f t="shared" si="32"/>
        <v>0</v>
      </c>
      <c r="AD135" s="20"/>
      <c r="AE135" s="20"/>
    </row>
    <row r="136" spans="1:31" x14ac:dyDescent="0.3">
      <c r="A136" s="7"/>
      <c r="B136" s="54"/>
      <c r="C136" s="24" t="s">
        <v>180</v>
      </c>
      <c r="D136" s="55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5">
        <f t="shared" si="32"/>
        <v>0</v>
      </c>
      <c r="AD136" s="20"/>
      <c r="AE136" s="20"/>
    </row>
    <row r="137" spans="1:31" x14ac:dyDescent="0.3">
      <c r="A137" s="7"/>
      <c r="B137" s="54"/>
      <c r="C137" s="24" t="s">
        <v>181</v>
      </c>
      <c r="D137" s="55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5">
        <f t="shared" si="32"/>
        <v>1</v>
      </c>
      <c r="AD137" s="20"/>
      <c r="AE137" s="20"/>
    </row>
    <row r="138" spans="1:31" x14ac:dyDescent="0.3">
      <c r="A138" s="7"/>
      <c r="B138" s="54"/>
      <c r="C138" s="24" t="s">
        <v>182</v>
      </c>
      <c r="D138" s="55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5">
        <f t="shared" si="32"/>
        <v>1</v>
      </c>
      <c r="AD138" s="20"/>
      <c r="AE138" s="20"/>
    </row>
    <row r="139" spans="1:31" x14ac:dyDescent="0.3">
      <c r="A139" s="6" t="s">
        <v>26</v>
      </c>
      <c r="B139" s="69" t="s">
        <v>51</v>
      </c>
      <c r="C139" s="70"/>
      <c r="D139" s="71"/>
      <c r="E139" s="5">
        <f>SUM(E129:E138)</f>
        <v>2</v>
      </c>
      <c r="F139" s="5">
        <f t="shared" ref="F139:AC139" si="33">SUM(F129:F138)</f>
        <v>2</v>
      </c>
      <c r="G139" s="5">
        <f t="shared" si="33"/>
        <v>1</v>
      </c>
      <c r="H139" s="5">
        <f t="shared" si="33"/>
        <v>1</v>
      </c>
      <c r="I139" s="5">
        <f t="shared" si="33"/>
        <v>0</v>
      </c>
      <c r="J139" s="5">
        <f t="shared" si="33"/>
        <v>2</v>
      </c>
      <c r="K139" s="5">
        <f t="shared" si="33"/>
        <v>1</v>
      </c>
      <c r="L139" s="5">
        <f t="shared" si="33"/>
        <v>2</v>
      </c>
      <c r="M139" s="5">
        <f t="shared" si="33"/>
        <v>10</v>
      </c>
      <c r="N139" s="5">
        <f t="shared" si="33"/>
        <v>7</v>
      </c>
      <c r="O139" s="5">
        <f t="shared" si="33"/>
        <v>13</v>
      </c>
      <c r="P139" s="5">
        <f t="shared" si="33"/>
        <v>6</v>
      </c>
      <c r="Q139" s="5">
        <f t="shared" si="33"/>
        <v>0</v>
      </c>
      <c r="R139" s="5">
        <f t="shared" si="33"/>
        <v>4</v>
      </c>
      <c r="S139" s="5">
        <f t="shared" si="33"/>
        <v>3</v>
      </c>
      <c r="T139" s="5">
        <f t="shared" si="33"/>
        <v>2</v>
      </c>
      <c r="U139" s="5">
        <f t="shared" si="33"/>
        <v>0</v>
      </c>
      <c r="V139" s="5">
        <f t="shared" si="33"/>
        <v>0</v>
      </c>
      <c r="W139" s="5">
        <f t="shared" si="33"/>
        <v>0</v>
      </c>
      <c r="X139" s="5">
        <f t="shared" si="33"/>
        <v>0</v>
      </c>
      <c r="Y139" s="5">
        <f t="shared" si="33"/>
        <v>1</v>
      </c>
      <c r="Z139" s="5">
        <f t="shared" si="33"/>
        <v>0</v>
      </c>
      <c r="AA139" s="5">
        <f t="shared" si="33"/>
        <v>1</v>
      </c>
      <c r="AB139" s="5">
        <f t="shared" si="33"/>
        <v>1</v>
      </c>
      <c r="AC139" s="5">
        <f t="shared" si="33"/>
        <v>59</v>
      </c>
      <c r="AD139" s="20"/>
      <c r="AE139" s="20"/>
    </row>
    <row r="140" spans="1:31" x14ac:dyDescent="0.3">
      <c r="A140" s="77"/>
      <c r="B140" s="78"/>
      <c r="C140" s="78"/>
      <c r="D140" s="78"/>
      <c r="E140" s="7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20"/>
      <c r="AE140" s="20"/>
    </row>
    <row r="141" spans="1:31" ht="13.15" customHeight="1" x14ac:dyDescent="0.3">
      <c r="A141" s="11" t="s">
        <v>48</v>
      </c>
      <c r="B141" s="17" t="s">
        <v>63</v>
      </c>
      <c r="C141" s="75" t="s">
        <v>64</v>
      </c>
      <c r="D141" s="76"/>
      <c r="E141" s="6">
        <v>0</v>
      </c>
      <c r="F141" s="6">
        <v>0</v>
      </c>
      <c r="G141" s="6">
        <v>0</v>
      </c>
      <c r="H141" s="6">
        <v>0</v>
      </c>
      <c r="I141" s="6">
        <v>1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1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1</v>
      </c>
      <c r="AB141" s="6">
        <v>0</v>
      </c>
      <c r="AC141" s="5">
        <f t="shared" ref="AC141:AC144" si="34">SUM(E141:AB141)</f>
        <v>4</v>
      </c>
      <c r="AD141" s="1"/>
      <c r="AE141" s="1"/>
    </row>
    <row r="142" spans="1:31" x14ac:dyDescent="0.3">
      <c r="A142" s="11" t="s">
        <v>50</v>
      </c>
      <c r="B142" s="54"/>
      <c r="C142" s="24" t="s">
        <v>183</v>
      </c>
      <c r="D142" s="51"/>
      <c r="E142" s="6">
        <v>0</v>
      </c>
      <c r="F142" s="6">
        <v>0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1</v>
      </c>
      <c r="AB142" s="6">
        <v>0</v>
      </c>
      <c r="AC142" s="5">
        <f t="shared" si="34"/>
        <v>2</v>
      </c>
      <c r="AD142" s="28"/>
      <c r="AE142" s="28"/>
    </row>
    <row r="143" spans="1:31" x14ac:dyDescent="0.3">
      <c r="A143" s="7"/>
      <c r="B143" s="54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5">
        <f t="shared" si="34"/>
        <v>0</v>
      </c>
      <c r="AD143" s="20"/>
      <c r="AE143" s="20"/>
    </row>
    <row r="144" spans="1:31" x14ac:dyDescent="0.3">
      <c r="A144" s="7"/>
      <c r="B144" s="54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5">
        <f t="shared" si="34"/>
        <v>0</v>
      </c>
      <c r="AD144" s="20"/>
      <c r="AE144" s="20"/>
    </row>
    <row r="145" spans="1:31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0"/>
      <c r="AD145" s="20"/>
      <c r="AE145" s="20"/>
    </row>
    <row r="146" spans="1:31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0"/>
      <c r="AD146" s="20"/>
      <c r="AE146" s="20"/>
    </row>
    <row r="147" spans="1:31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50"/>
      <c r="AD147" s="20"/>
      <c r="AE147" s="20"/>
    </row>
    <row r="148" spans="1:31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0"/>
      <c r="AD148" s="20"/>
      <c r="AE148" s="20"/>
    </row>
    <row r="149" spans="1:31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0"/>
      <c r="AD149" s="20"/>
      <c r="AE149" s="20"/>
    </row>
    <row r="150" spans="1:31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0"/>
      <c r="AD150" s="20"/>
      <c r="AE150" s="20"/>
    </row>
    <row r="151" spans="1:31" ht="13.15" customHeight="1" x14ac:dyDescent="0.3">
      <c r="A151" s="6" t="s">
        <v>26</v>
      </c>
      <c r="B151" s="69" t="s">
        <v>51</v>
      </c>
      <c r="C151" s="70"/>
      <c r="D151" s="71"/>
      <c r="E151" s="5">
        <f>SUM(E141:E150)</f>
        <v>0</v>
      </c>
      <c r="F151" s="5">
        <f t="shared" ref="F151:AC151" si="35">SUM(F141:F150)</f>
        <v>0</v>
      </c>
      <c r="G151" s="5">
        <f t="shared" si="35"/>
        <v>1</v>
      </c>
      <c r="H151" s="5">
        <f t="shared" si="35"/>
        <v>0</v>
      </c>
      <c r="I151" s="5">
        <f t="shared" si="35"/>
        <v>1</v>
      </c>
      <c r="J151" s="5">
        <f t="shared" si="35"/>
        <v>0</v>
      </c>
      <c r="K151" s="5">
        <f t="shared" si="35"/>
        <v>0</v>
      </c>
      <c r="L151" s="5">
        <f t="shared" si="35"/>
        <v>1</v>
      </c>
      <c r="M151" s="5">
        <f t="shared" si="35"/>
        <v>0</v>
      </c>
      <c r="N151" s="5">
        <f t="shared" si="35"/>
        <v>0</v>
      </c>
      <c r="O151" s="5">
        <f t="shared" si="35"/>
        <v>0</v>
      </c>
      <c r="P151" s="5">
        <f t="shared" si="35"/>
        <v>0</v>
      </c>
      <c r="Q151" s="5">
        <f t="shared" si="35"/>
        <v>1</v>
      </c>
      <c r="R151" s="5">
        <f t="shared" si="35"/>
        <v>0</v>
      </c>
      <c r="S151" s="5">
        <f t="shared" si="35"/>
        <v>0</v>
      </c>
      <c r="T151" s="5">
        <f t="shared" si="35"/>
        <v>0</v>
      </c>
      <c r="U151" s="5">
        <f t="shared" si="35"/>
        <v>0</v>
      </c>
      <c r="V151" s="5">
        <f t="shared" si="35"/>
        <v>0</v>
      </c>
      <c r="W151" s="5">
        <f t="shared" si="35"/>
        <v>0</v>
      </c>
      <c r="X151" s="5">
        <f t="shared" si="35"/>
        <v>0</v>
      </c>
      <c r="Y151" s="5">
        <f t="shared" si="35"/>
        <v>0</v>
      </c>
      <c r="Z151" s="5">
        <f t="shared" si="35"/>
        <v>0</v>
      </c>
      <c r="AA151" s="5">
        <f t="shared" si="35"/>
        <v>2</v>
      </c>
      <c r="AB151" s="5">
        <f t="shared" si="35"/>
        <v>0</v>
      </c>
      <c r="AC151" s="5">
        <f t="shared" si="35"/>
        <v>6</v>
      </c>
      <c r="AD151" s="1"/>
      <c r="AE151" s="1"/>
    </row>
    <row r="152" spans="1:31" x14ac:dyDescent="0.3">
      <c r="A152" s="77"/>
      <c r="B152" s="78"/>
      <c r="C152" s="78"/>
      <c r="D152" s="78"/>
      <c r="E152" s="7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5"/>
      <c r="AD152" s="28"/>
      <c r="AE152" s="28"/>
    </row>
    <row r="153" spans="1:31" x14ac:dyDescent="0.3">
      <c r="A153" s="11" t="s">
        <v>48</v>
      </c>
      <c r="B153" s="45" t="s">
        <v>65</v>
      </c>
      <c r="C153" s="83" t="s">
        <v>66</v>
      </c>
      <c r="D153" s="84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1</v>
      </c>
      <c r="S153" s="6">
        <v>2</v>
      </c>
      <c r="T153" s="6">
        <v>0</v>
      </c>
      <c r="U153" s="6">
        <v>0</v>
      </c>
      <c r="V153" s="6">
        <v>0</v>
      </c>
      <c r="W153" s="6">
        <v>0</v>
      </c>
      <c r="X153" s="6">
        <v>1</v>
      </c>
      <c r="Y153" s="6">
        <v>0</v>
      </c>
      <c r="Z153" s="6">
        <v>1</v>
      </c>
      <c r="AA153" s="6">
        <v>0</v>
      </c>
      <c r="AB153" s="6">
        <v>1</v>
      </c>
      <c r="AC153" s="5">
        <f t="shared" ref="AC153:AC160" si="36">SUM(E153:AB153)</f>
        <v>6</v>
      </c>
      <c r="AD153" s="20"/>
      <c r="AE153" s="20"/>
    </row>
    <row r="154" spans="1:31" x14ac:dyDescent="0.3">
      <c r="A154" s="56" t="s">
        <v>50</v>
      </c>
      <c r="B154" s="58"/>
      <c r="C154" s="24" t="s">
        <v>186</v>
      </c>
      <c r="D154" s="59"/>
      <c r="E154" s="57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1</v>
      </c>
      <c r="Z154" s="6">
        <v>0</v>
      </c>
      <c r="AA154" s="6">
        <v>2</v>
      </c>
      <c r="AB154" s="6">
        <v>0</v>
      </c>
      <c r="AC154" s="5">
        <f t="shared" si="36"/>
        <v>4</v>
      </c>
      <c r="AD154" s="20"/>
      <c r="AE154" s="20"/>
    </row>
    <row r="155" spans="1:31" x14ac:dyDescent="0.3">
      <c r="A155" s="7"/>
      <c r="B155" s="58"/>
      <c r="C155" s="24" t="s">
        <v>187</v>
      </c>
      <c r="D155" s="59"/>
      <c r="E155" s="57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5">
        <f t="shared" si="36"/>
        <v>0</v>
      </c>
      <c r="AD155" s="20"/>
      <c r="AE155" s="20"/>
    </row>
    <row r="156" spans="1:31" x14ac:dyDescent="0.3">
      <c r="A156" s="7"/>
      <c r="B156" s="58"/>
      <c r="C156" s="24" t="s">
        <v>188</v>
      </c>
      <c r="D156" s="59"/>
      <c r="E156" s="57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1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1</v>
      </c>
      <c r="V156" s="6">
        <v>0</v>
      </c>
      <c r="W156" s="6">
        <v>1</v>
      </c>
      <c r="X156" s="6">
        <v>0</v>
      </c>
      <c r="Y156" s="6">
        <v>1</v>
      </c>
      <c r="Z156" s="6">
        <v>0</v>
      </c>
      <c r="AA156" s="6">
        <v>0</v>
      </c>
      <c r="AB156" s="6">
        <v>0</v>
      </c>
      <c r="AC156" s="5">
        <f t="shared" si="36"/>
        <v>4</v>
      </c>
      <c r="AD156" s="20"/>
      <c r="AE156" s="20"/>
    </row>
    <row r="157" spans="1:31" x14ac:dyDescent="0.3">
      <c r="A157" s="7"/>
      <c r="B157" s="58"/>
      <c r="C157" s="24" t="s">
        <v>189</v>
      </c>
      <c r="D157" s="59"/>
      <c r="E157" s="57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1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1</v>
      </c>
      <c r="AC157" s="5">
        <f t="shared" si="36"/>
        <v>2</v>
      </c>
      <c r="AD157" s="20"/>
      <c r="AE157" s="20"/>
    </row>
    <row r="158" spans="1:31" x14ac:dyDescent="0.3">
      <c r="A158" s="7"/>
      <c r="B158" s="58"/>
      <c r="C158" s="24" t="s">
        <v>190</v>
      </c>
      <c r="D158" s="59"/>
      <c r="E158" s="57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f t="shared" si="36"/>
        <v>0</v>
      </c>
      <c r="AD158" s="20"/>
      <c r="AE158" s="20"/>
    </row>
    <row r="159" spans="1:31" x14ac:dyDescent="0.3">
      <c r="A159" s="7"/>
      <c r="B159" s="58"/>
      <c r="C159" s="24" t="s">
        <v>191</v>
      </c>
      <c r="D159" s="59"/>
      <c r="E159" s="57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1</v>
      </c>
      <c r="Z159" s="6">
        <v>0</v>
      </c>
      <c r="AA159" s="6">
        <v>0</v>
      </c>
      <c r="AB159" s="6">
        <v>1</v>
      </c>
      <c r="AC159" s="5">
        <f t="shared" si="36"/>
        <v>2</v>
      </c>
      <c r="AD159" s="20"/>
      <c r="AE159" s="20"/>
    </row>
    <row r="160" spans="1:31" x14ac:dyDescent="0.3">
      <c r="A160" s="7"/>
      <c r="B160" s="58"/>
      <c r="C160" s="24" t="s">
        <v>192</v>
      </c>
      <c r="D160" s="59"/>
      <c r="E160" s="57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1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1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5">
        <f t="shared" si="36"/>
        <v>2</v>
      </c>
      <c r="AD160" s="20"/>
      <c r="AE160" s="20"/>
    </row>
    <row r="161" spans="1:31" x14ac:dyDescent="0.3">
      <c r="A161" s="7"/>
      <c r="B161" s="63"/>
      <c r="C161" s="64"/>
      <c r="D161" s="65"/>
      <c r="E161" s="5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0"/>
      <c r="AD161" s="20"/>
      <c r="AE161" s="20"/>
    </row>
    <row r="162" spans="1:31" x14ac:dyDescent="0.3">
      <c r="A162" s="7"/>
      <c r="B162" s="63"/>
      <c r="C162" s="64"/>
      <c r="D162" s="65"/>
      <c r="E162" s="5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0"/>
      <c r="AD162" s="20"/>
      <c r="AE162" s="20"/>
    </row>
    <row r="163" spans="1:31" x14ac:dyDescent="0.3">
      <c r="A163" s="6" t="s">
        <v>26</v>
      </c>
      <c r="B163" s="80" t="s">
        <v>51</v>
      </c>
      <c r="C163" s="81"/>
      <c r="D163" s="82"/>
      <c r="E163" s="5">
        <f>SUM(E153:E162)</f>
        <v>0</v>
      </c>
      <c r="F163" s="5">
        <f t="shared" ref="F163:AC163" si="37">SUM(F153:F162)</f>
        <v>0</v>
      </c>
      <c r="G163" s="5">
        <f t="shared" si="37"/>
        <v>0</v>
      </c>
      <c r="H163" s="5">
        <f t="shared" si="37"/>
        <v>0</v>
      </c>
      <c r="I163" s="5">
        <f t="shared" si="37"/>
        <v>1</v>
      </c>
      <c r="J163" s="5">
        <f t="shared" si="37"/>
        <v>0</v>
      </c>
      <c r="K163" s="5">
        <f t="shared" si="37"/>
        <v>0</v>
      </c>
      <c r="L163" s="5">
        <f t="shared" si="37"/>
        <v>0</v>
      </c>
      <c r="M163" s="5">
        <f t="shared" si="37"/>
        <v>1</v>
      </c>
      <c r="N163" s="5">
        <f t="shared" si="37"/>
        <v>0</v>
      </c>
      <c r="O163" s="5">
        <f t="shared" si="37"/>
        <v>1</v>
      </c>
      <c r="P163" s="5">
        <f t="shared" si="37"/>
        <v>0</v>
      </c>
      <c r="Q163" s="5">
        <f t="shared" si="37"/>
        <v>0</v>
      </c>
      <c r="R163" s="5">
        <f t="shared" si="37"/>
        <v>1</v>
      </c>
      <c r="S163" s="5">
        <f t="shared" si="37"/>
        <v>3</v>
      </c>
      <c r="T163" s="5">
        <f t="shared" si="37"/>
        <v>0</v>
      </c>
      <c r="U163" s="5">
        <f t="shared" si="37"/>
        <v>2</v>
      </c>
      <c r="V163" s="5">
        <f t="shared" si="37"/>
        <v>0</v>
      </c>
      <c r="W163" s="5">
        <f t="shared" si="37"/>
        <v>1</v>
      </c>
      <c r="X163" s="5">
        <f t="shared" si="37"/>
        <v>1</v>
      </c>
      <c r="Y163" s="5">
        <f t="shared" si="37"/>
        <v>3</v>
      </c>
      <c r="Z163" s="5">
        <f t="shared" si="37"/>
        <v>1</v>
      </c>
      <c r="AA163" s="5">
        <f t="shared" si="37"/>
        <v>2</v>
      </c>
      <c r="AB163" s="5">
        <f t="shared" si="37"/>
        <v>3</v>
      </c>
      <c r="AC163" s="5">
        <f t="shared" si="37"/>
        <v>20</v>
      </c>
      <c r="AD163" s="20"/>
      <c r="AE163" s="20"/>
    </row>
    <row r="164" spans="1:31" x14ac:dyDescent="0.3">
      <c r="A164" s="77"/>
      <c r="B164" s="78"/>
      <c r="C164" s="78"/>
      <c r="D164" s="78"/>
      <c r="E164" s="7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20"/>
      <c r="AE164" s="20"/>
    </row>
    <row r="165" spans="1:31" ht="13.15" customHeight="1" x14ac:dyDescent="0.3">
      <c r="A165" s="11" t="s">
        <v>48</v>
      </c>
      <c r="B165" s="17" t="s">
        <v>67</v>
      </c>
      <c r="C165" s="75" t="s">
        <v>68</v>
      </c>
      <c r="D165" s="76"/>
      <c r="E165" s="6">
        <v>0</v>
      </c>
      <c r="F165" s="6">
        <v>0</v>
      </c>
      <c r="G165" s="6">
        <v>0</v>
      </c>
      <c r="H165" s="6">
        <v>1</v>
      </c>
      <c r="I165" s="6">
        <v>0</v>
      </c>
      <c r="J165" s="6">
        <v>1</v>
      </c>
      <c r="K165" s="6">
        <v>0</v>
      </c>
      <c r="L165" s="6">
        <v>0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1</v>
      </c>
      <c r="Z165" s="6">
        <v>0</v>
      </c>
      <c r="AA165" s="6">
        <v>1</v>
      </c>
      <c r="AB165" s="6">
        <v>1</v>
      </c>
      <c r="AC165" s="5">
        <f t="shared" ref="AC165:AC166" si="38">SUM(E165:AB165)</f>
        <v>6</v>
      </c>
      <c r="AD165" s="1"/>
      <c r="AE165" s="1"/>
    </row>
    <row r="166" spans="1:31" x14ac:dyDescent="0.3">
      <c r="A166" s="11" t="s">
        <v>50</v>
      </c>
      <c r="B166" s="54"/>
      <c r="C166" s="24" t="s">
        <v>193</v>
      </c>
      <c r="D166" s="51"/>
      <c r="E166" s="6">
        <v>1</v>
      </c>
      <c r="F166" s="6">
        <v>2</v>
      </c>
      <c r="G166" s="6">
        <v>1</v>
      </c>
      <c r="H166" s="6">
        <v>0</v>
      </c>
      <c r="I166" s="6">
        <v>0</v>
      </c>
      <c r="J166" s="6">
        <v>2</v>
      </c>
      <c r="K166" s="6">
        <v>0</v>
      </c>
      <c r="L166" s="6">
        <v>0</v>
      </c>
      <c r="M166" s="6">
        <v>0</v>
      </c>
      <c r="N166" s="6">
        <v>1</v>
      </c>
      <c r="O166" s="6">
        <v>1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5">
        <f t="shared" si="38"/>
        <v>8</v>
      </c>
      <c r="AD166" s="28"/>
      <c r="AE166" s="28"/>
    </row>
    <row r="167" spans="1:31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0"/>
      <c r="AD167" s="20"/>
      <c r="AE167" s="20"/>
    </row>
    <row r="168" spans="1:31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0"/>
      <c r="AD168" s="20"/>
      <c r="AE168" s="20"/>
    </row>
    <row r="169" spans="1:31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0"/>
      <c r="AD169" s="20"/>
      <c r="AE169" s="20"/>
    </row>
    <row r="170" spans="1:31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0"/>
      <c r="AD170" s="20"/>
      <c r="AE170" s="20"/>
    </row>
    <row r="171" spans="1:31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0"/>
      <c r="AD171" s="20"/>
      <c r="AE171" s="20"/>
    </row>
    <row r="172" spans="1:31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0"/>
      <c r="AD172" s="20"/>
      <c r="AE172" s="20"/>
    </row>
    <row r="173" spans="1:31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0"/>
      <c r="AD173" s="20"/>
      <c r="AE173" s="20"/>
    </row>
    <row r="174" spans="1:31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0"/>
      <c r="AD174" s="20"/>
      <c r="AE174" s="20"/>
    </row>
    <row r="175" spans="1:31" x14ac:dyDescent="0.3">
      <c r="A175" s="6" t="s">
        <v>26</v>
      </c>
      <c r="B175" s="69" t="s">
        <v>51</v>
      </c>
      <c r="C175" s="70"/>
      <c r="D175" s="71"/>
      <c r="E175" s="5">
        <f>SUM(E165:E174)</f>
        <v>1</v>
      </c>
      <c r="F175" s="5">
        <f t="shared" ref="F175:AC175" si="39">SUM(F165:F174)</f>
        <v>2</v>
      </c>
      <c r="G175" s="5">
        <f t="shared" si="39"/>
        <v>1</v>
      </c>
      <c r="H175" s="5">
        <f t="shared" si="39"/>
        <v>1</v>
      </c>
      <c r="I175" s="5">
        <f t="shared" si="39"/>
        <v>0</v>
      </c>
      <c r="J175" s="5">
        <f t="shared" si="39"/>
        <v>3</v>
      </c>
      <c r="K175" s="5">
        <f t="shared" si="39"/>
        <v>0</v>
      </c>
      <c r="L175" s="5">
        <f t="shared" si="39"/>
        <v>0</v>
      </c>
      <c r="M175" s="5">
        <f t="shared" si="39"/>
        <v>0</v>
      </c>
      <c r="N175" s="5">
        <f t="shared" si="39"/>
        <v>2</v>
      </c>
      <c r="O175" s="5">
        <f t="shared" si="39"/>
        <v>1</v>
      </c>
      <c r="P175" s="5">
        <f t="shared" si="39"/>
        <v>0</v>
      </c>
      <c r="Q175" s="5">
        <f t="shared" si="39"/>
        <v>0</v>
      </c>
      <c r="R175" s="5">
        <f t="shared" si="39"/>
        <v>0</v>
      </c>
      <c r="S175" s="5">
        <f t="shared" si="39"/>
        <v>0</v>
      </c>
      <c r="T175" s="5">
        <f t="shared" si="39"/>
        <v>0</v>
      </c>
      <c r="U175" s="5">
        <f t="shared" si="39"/>
        <v>0</v>
      </c>
      <c r="V175" s="5">
        <f t="shared" si="39"/>
        <v>0</v>
      </c>
      <c r="W175" s="5">
        <f t="shared" si="39"/>
        <v>0</v>
      </c>
      <c r="X175" s="5">
        <f t="shared" si="39"/>
        <v>0</v>
      </c>
      <c r="Y175" s="5">
        <f t="shared" si="39"/>
        <v>1</v>
      </c>
      <c r="Z175" s="5">
        <f t="shared" si="39"/>
        <v>0</v>
      </c>
      <c r="AA175" s="5">
        <f t="shared" si="39"/>
        <v>1</v>
      </c>
      <c r="AB175" s="5">
        <f t="shared" si="39"/>
        <v>1</v>
      </c>
      <c r="AC175" s="5">
        <f t="shared" si="39"/>
        <v>14</v>
      </c>
      <c r="AD175" s="20"/>
      <c r="AE175" s="20"/>
    </row>
    <row r="176" spans="1:31" ht="13.15" customHeight="1" x14ac:dyDescent="0.3">
      <c r="A176" s="77"/>
      <c r="B176" s="78"/>
      <c r="C176" s="78"/>
      <c r="D176" s="78"/>
      <c r="E176" s="7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"/>
      <c r="AE176" s="1"/>
    </row>
    <row r="177" spans="1:31" x14ac:dyDescent="0.3">
      <c r="A177" s="11" t="s">
        <v>48</v>
      </c>
      <c r="B177" s="17" t="s">
        <v>69</v>
      </c>
      <c r="C177" s="75" t="s">
        <v>70</v>
      </c>
      <c r="D177" s="76"/>
      <c r="E177" s="6">
        <v>1</v>
      </c>
      <c r="F177" s="6">
        <v>1</v>
      </c>
      <c r="G177" s="6">
        <v>0</v>
      </c>
      <c r="H177" s="6">
        <v>1</v>
      </c>
      <c r="I177" s="6">
        <v>0</v>
      </c>
      <c r="J177" s="6">
        <v>2</v>
      </c>
      <c r="K177" s="6">
        <v>1</v>
      </c>
      <c r="L177" s="6">
        <v>1</v>
      </c>
      <c r="M177" s="6">
        <v>0</v>
      </c>
      <c r="N177" s="6">
        <v>0</v>
      </c>
      <c r="O177" s="6">
        <v>0</v>
      </c>
      <c r="P177" s="6">
        <v>3</v>
      </c>
      <c r="Q177" s="6">
        <v>0</v>
      </c>
      <c r="R177" s="6">
        <v>0</v>
      </c>
      <c r="S177" s="6">
        <v>1</v>
      </c>
      <c r="T177" s="6">
        <v>0</v>
      </c>
      <c r="U177" s="6">
        <v>2</v>
      </c>
      <c r="V177" s="6">
        <v>1</v>
      </c>
      <c r="W177" s="6">
        <v>0</v>
      </c>
      <c r="X177" s="6">
        <v>0</v>
      </c>
      <c r="Y177" s="6">
        <v>1</v>
      </c>
      <c r="Z177" s="6">
        <v>1</v>
      </c>
      <c r="AA177" s="6">
        <v>0</v>
      </c>
      <c r="AB177" s="6">
        <v>0</v>
      </c>
      <c r="AC177" s="5">
        <f t="shared" ref="AC177:AC186" si="40">SUM(E177:AB177)</f>
        <v>16</v>
      </c>
    </row>
    <row r="178" spans="1:31" x14ac:dyDescent="0.3">
      <c r="A178" s="11" t="s">
        <v>50</v>
      </c>
      <c r="B178" s="54"/>
      <c r="C178" s="24" t="s">
        <v>194</v>
      </c>
      <c r="D178" s="51"/>
      <c r="E178" s="6">
        <v>0</v>
      </c>
      <c r="F178" s="6">
        <v>0</v>
      </c>
      <c r="G178" s="6">
        <v>1</v>
      </c>
      <c r="H178" s="6">
        <v>1</v>
      </c>
      <c r="I178" s="6">
        <v>0</v>
      </c>
      <c r="J178" s="6">
        <v>0</v>
      </c>
      <c r="K178" s="6">
        <v>0</v>
      </c>
      <c r="L178" s="6">
        <v>2</v>
      </c>
      <c r="M178" s="6">
        <v>2</v>
      </c>
      <c r="N178" s="6">
        <v>1</v>
      </c>
      <c r="O178" s="6">
        <v>0</v>
      </c>
      <c r="P178" s="6">
        <v>1</v>
      </c>
      <c r="Q178" s="6">
        <v>0</v>
      </c>
      <c r="R178" s="6">
        <v>0</v>
      </c>
      <c r="S178" s="6">
        <v>0</v>
      </c>
      <c r="T178" s="6">
        <v>0</v>
      </c>
      <c r="U178" s="6">
        <v>1</v>
      </c>
      <c r="V178" s="6">
        <v>0</v>
      </c>
      <c r="W178" s="6">
        <v>0</v>
      </c>
      <c r="X178" s="6">
        <v>0</v>
      </c>
      <c r="Y178" s="6">
        <v>3</v>
      </c>
      <c r="Z178" s="6">
        <v>1</v>
      </c>
      <c r="AA178" s="6">
        <v>0</v>
      </c>
      <c r="AB178" s="6">
        <v>0</v>
      </c>
      <c r="AC178" s="5">
        <f t="shared" si="40"/>
        <v>13</v>
      </c>
      <c r="AD178" s="20"/>
      <c r="AE178" s="20"/>
    </row>
    <row r="179" spans="1:31" x14ac:dyDescent="0.3">
      <c r="A179" s="7"/>
      <c r="B179" s="54"/>
      <c r="C179" s="24" t="s">
        <v>195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1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1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5">
        <f t="shared" si="40"/>
        <v>3</v>
      </c>
      <c r="AD179" s="20"/>
      <c r="AE179" s="20"/>
    </row>
    <row r="180" spans="1:31" x14ac:dyDescent="0.3">
      <c r="A180" s="7"/>
      <c r="B180" s="54"/>
      <c r="C180" s="24" t="s">
        <v>196</v>
      </c>
      <c r="D180" s="51"/>
      <c r="E180" s="6">
        <v>2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1</v>
      </c>
      <c r="M180" s="6">
        <v>0</v>
      </c>
      <c r="N180" s="6">
        <v>1</v>
      </c>
      <c r="O180" s="6">
        <v>3</v>
      </c>
      <c r="P180" s="6">
        <v>0</v>
      </c>
      <c r="Q180" s="6">
        <v>0</v>
      </c>
      <c r="R180" s="6">
        <v>0</v>
      </c>
      <c r="S180" s="6">
        <v>0</v>
      </c>
      <c r="T180" s="6">
        <v>1</v>
      </c>
      <c r="U180" s="6">
        <v>0</v>
      </c>
      <c r="V180" s="6">
        <v>1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5">
        <f t="shared" si="40"/>
        <v>9</v>
      </c>
      <c r="AD180" s="20"/>
      <c r="AE180" s="20"/>
    </row>
    <row r="181" spans="1:31" x14ac:dyDescent="0.3">
      <c r="A181" s="7"/>
      <c r="B181" s="54"/>
      <c r="C181" s="24" t="s">
        <v>197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  <c r="S181" s="6">
        <v>1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5">
        <f t="shared" si="40"/>
        <v>3</v>
      </c>
      <c r="AD181" s="20"/>
      <c r="AE181" s="20"/>
    </row>
    <row r="182" spans="1:31" x14ac:dyDescent="0.3">
      <c r="A182" s="7"/>
      <c r="B182" s="54"/>
      <c r="C182" s="24" t="s">
        <v>198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2</v>
      </c>
      <c r="P182" s="6">
        <v>0</v>
      </c>
      <c r="Q182" s="6">
        <v>0</v>
      </c>
      <c r="R182" s="6">
        <v>1</v>
      </c>
      <c r="S182" s="6">
        <v>1</v>
      </c>
      <c r="T182" s="6">
        <v>0</v>
      </c>
      <c r="U182" s="6">
        <v>1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5">
        <f t="shared" si="40"/>
        <v>6</v>
      </c>
      <c r="AD182" s="20"/>
      <c r="AE182" s="20"/>
    </row>
    <row r="183" spans="1:31" x14ac:dyDescent="0.3">
      <c r="A183" s="7"/>
      <c r="B183" s="54"/>
      <c r="C183" s="24" t="s">
        <v>199</v>
      </c>
      <c r="D183" s="51"/>
      <c r="E183" s="6">
        <v>2</v>
      </c>
      <c r="F183" s="6">
        <v>0</v>
      </c>
      <c r="G183" s="6">
        <v>0</v>
      </c>
      <c r="H183" s="6">
        <v>0</v>
      </c>
      <c r="I183" s="6">
        <v>0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5">
        <f t="shared" si="40"/>
        <v>3</v>
      </c>
      <c r="AD183" s="20"/>
      <c r="AE183" s="20"/>
    </row>
    <row r="184" spans="1:31" x14ac:dyDescent="0.3">
      <c r="A184" s="7"/>
      <c r="B184" s="54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1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5">
        <f t="shared" si="40"/>
        <v>1</v>
      </c>
      <c r="AD184" s="20"/>
      <c r="AE184" s="20"/>
    </row>
    <row r="185" spans="1:31" x14ac:dyDescent="0.3">
      <c r="A185" s="7"/>
      <c r="B185" s="54"/>
      <c r="C185" s="24" t="s">
        <v>201</v>
      </c>
      <c r="D185" s="51"/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1</v>
      </c>
      <c r="L185" s="6">
        <v>0</v>
      </c>
      <c r="M185" s="6">
        <v>1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1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5">
        <f t="shared" si="40"/>
        <v>4</v>
      </c>
      <c r="AD185" s="20"/>
      <c r="AE185" s="20"/>
    </row>
    <row r="186" spans="1:31" x14ac:dyDescent="0.3">
      <c r="A186" s="7"/>
      <c r="B186" s="54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5">
        <f t="shared" si="40"/>
        <v>0</v>
      </c>
      <c r="AD186" s="20"/>
      <c r="AE186" s="20"/>
    </row>
    <row r="187" spans="1:31" ht="13.15" customHeight="1" x14ac:dyDescent="0.3">
      <c r="A187" s="6" t="s">
        <v>26</v>
      </c>
      <c r="B187" s="69" t="s">
        <v>51</v>
      </c>
      <c r="C187" s="70"/>
      <c r="D187" s="71"/>
      <c r="E187" s="5">
        <f>SUM(E177:E186)</f>
        <v>6</v>
      </c>
      <c r="F187" s="5">
        <f t="shared" ref="F187:AC187" si="41">SUM(F177:F186)</f>
        <v>1</v>
      </c>
      <c r="G187" s="5">
        <f t="shared" si="41"/>
        <v>1</v>
      </c>
      <c r="H187" s="5">
        <f t="shared" si="41"/>
        <v>2</v>
      </c>
      <c r="I187" s="5">
        <f t="shared" si="41"/>
        <v>3</v>
      </c>
      <c r="J187" s="5">
        <f t="shared" si="41"/>
        <v>4</v>
      </c>
      <c r="K187" s="5">
        <f t="shared" si="41"/>
        <v>2</v>
      </c>
      <c r="L187" s="5">
        <f t="shared" si="41"/>
        <v>4</v>
      </c>
      <c r="M187" s="5">
        <f t="shared" si="41"/>
        <v>3</v>
      </c>
      <c r="N187" s="5">
        <f t="shared" si="41"/>
        <v>2</v>
      </c>
      <c r="O187" s="5">
        <f t="shared" si="41"/>
        <v>5</v>
      </c>
      <c r="P187" s="5">
        <f t="shared" si="41"/>
        <v>5</v>
      </c>
      <c r="Q187" s="5">
        <f t="shared" si="41"/>
        <v>0</v>
      </c>
      <c r="R187" s="5">
        <f t="shared" si="41"/>
        <v>2</v>
      </c>
      <c r="S187" s="5">
        <f t="shared" si="41"/>
        <v>4</v>
      </c>
      <c r="T187" s="5">
        <f t="shared" si="41"/>
        <v>2</v>
      </c>
      <c r="U187" s="5">
        <f t="shared" si="41"/>
        <v>4</v>
      </c>
      <c r="V187" s="5">
        <f t="shared" si="41"/>
        <v>2</v>
      </c>
      <c r="W187" s="5">
        <f t="shared" si="41"/>
        <v>0</v>
      </c>
      <c r="X187" s="5">
        <f t="shared" si="41"/>
        <v>0</v>
      </c>
      <c r="Y187" s="5">
        <f t="shared" si="41"/>
        <v>4</v>
      </c>
      <c r="Z187" s="5">
        <f t="shared" si="41"/>
        <v>2</v>
      </c>
      <c r="AA187" s="5">
        <f t="shared" si="41"/>
        <v>0</v>
      </c>
      <c r="AB187" s="5">
        <f t="shared" si="41"/>
        <v>0</v>
      </c>
      <c r="AC187" s="5">
        <f t="shared" si="41"/>
        <v>58</v>
      </c>
      <c r="AD187" s="1"/>
      <c r="AE187" s="1"/>
    </row>
    <row r="188" spans="1:31" x14ac:dyDescent="0.3">
      <c r="A188" s="77"/>
      <c r="B188" s="78"/>
      <c r="C188" s="78"/>
      <c r="D188" s="78"/>
      <c r="E188" s="79"/>
      <c r="F188" s="18"/>
      <c r="G188" s="18"/>
      <c r="H188" s="18"/>
      <c r="I188" s="18"/>
      <c r="J188" s="18"/>
      <c r="K188" s="18"/>
      <c r="L188" s="18"/>
      <c r="M188" s="18"/>
      <c r="N188" s="18"/>
      <c r="AC188" s="5"/>
    </row>
    <row r="189" spans="1:31" x14ac:dyDescent="0.3">
      <c r="A189" s="11" t="s">
        <v>48</v>
      </c>
      <c r="B189" s="17" t="s">
        <v>71</v>
      </c>
      <c r="C189" s="75" t="s">
        <v>72</v>
      </c>
      <c r="D189" s="76"/>
      <c r="E189" s="6">
        <v>0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1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5">
        <f t="shared" ref="AC189:AC198" si="42">SUM(E189:AB189)</f>
        <v>3</v>
      </c>
      <c r="AD189" s="20"/>
      <c r="AE189" s="20"/>
    </row>
    <row r="190" spans="1:31" x14ac:dyDescent="0.3">
      <c r="A190" s="11" t="s">
        <v>50</v>
      </c>
      <c r="B190" s="54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5">
        <f t="shared" si="42"/>
        <v>0</v>
      </c>
      <c r="AD190" s="20"/>
      <c r="AE190" s="20"/>
    </row>
    <row r="191" spans="1:31" x14ac:dyDescent="0.3">
      <c r="A191" s="7"/>
      <c r="B191" s="54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5">
        <f t="shared" si="42"/>
        <v>1</v>
      </c>
      <c r="AD191" s="20"/>
      <c r="AE191" s="20"/>
    </row>
    <row r="192" spans="1:31" x14ac:dyDescent="0.3">
      <c r="A192" s="7"/>
      <c r="B192" s="54"/>
      <c r="C192" s="24" t="s">
        <v>205</v>
      </c>
      <c r="D192" s="51"/>
      <c r="E192" s="6">
        <v>1</v>
      </c>
      <c r="F192" s="6">
        <v>0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1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5">
        <f t="shared" si="42"/>
        <v>3</v>
      </c>
      <c r="AD192" s="20"/>
      <c r="AE192" s="20"/>
    </row>
    <row r="193" spans="1:31" x14ac:dyDescent="0.3">
      <c r="A193" s="7"/>
      <c r="B193" s="54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5">
        <f t="shared" si="42"/>
        <v>0</v>
      </c>
      <c r="AD193" s="20"/>
      <c r="AE193" s="20"/>
    </row>
    <row r="194" spans="1:31" x14ac:dyDescent="0.3">
      <c r="A194" s="7"/>
      <c r="B194" s="54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5">
        <f t="shared" si="42"/>
        <v>0</v>
      </c>
      <c r="AD194" s="20"/>
      <c r="AE194" s="20"/>
    </row>
    <row r="195" spans="1:31" x14ac:dyDescent="0.3">
      <c r="A195" s="7"/>
      <c r="B195" s="54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 t="shared" si="42"/>
        <v>0</v>
      </c>
      <c r="AD195" s="20"/>
      <c r="AE195" s="20"/>
    </row>
    <row r="196" spans="1:31" ht="13.15" customHeight="1" x14ac:dyDescent="0.3">
      <c r="A196" s="7"/>
      <c r="B196" s="54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5">
        <f t="shared" si="42"/>
        <v>1</v>
      </c>
      <c r="AD196" s="1"/>
      <c r="AE196" s="1"/>
    </row>
    <row r="197" spans="1:31" ht="13.15" customHeight="1" x14ac:dyDescent="0.3">
      <c r="A197" s="7"/>
      <c r="B197" s="54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5">
        <f t="shared" si="42"/>
        <v>0</v>
      </c>
      <c r="AD197" s="1"/>
      <c r="AE197" s="1"/>
    </row>
    <row r="198" spans="1:31" ht="13.15" customHeight="1" x14ac:dyDescent="0.3">
      <c r="A198" s="7"/>
      <c r="B198" s="54"/>
      <c r="C198" s="24" t="s">
        <v>211</v>
      </c>
      <c r="D198" s="51"/>
      <c r="E198" s="6">
        <v>0</v>
      </c>
      <c r="F198" s="6">
        <v>0</v>
      </c>
      <c r="G198" s="6">
        <v>1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5">
        <f t="shared" si="42"/>
        <v>1</v>
      </c>
      <c r="AD198" s="1"/>
      <c r="AE198" s="1"/>
    </row>
    <row r="199" spans="1:31" x14ac:dyDescent="0.3">
      <c r="A199" s="6" t="s">
        <v>26</v>
      </c>
      <c r="B199" s="69" t="s">
        <v>51</v>
      </c>
      <c r="C199" s="70"/>
      <c r="D199" s="71"/>
      <c r="E199" s="5">
        <f>SUM(E189:E198)</f>
        <v>1</v>
      </c>
      <c r="F199" s="5">
        <f t="shared" ref="F199:AC199" si="43">SUM(F189:F198)</f>
        <v>0</v>
      </c>
      <c r="G199" s="5">
        <f t="shared" si="43"/>
        <v>3</v>
      </c>
      <c r="H199" s="5">
        <f t="shared" si="43"/>
        <v>1</v>
      </c>
      <c r="I199" s="5">
        <f t="shared" si="43"/>
        <v>0</v>
      </c>
      <c r="J199" s="5">
        <f t="shared" si="43"/>
        <v>0</v>
      </c>
      <c r="K199" s="5">
        <f t="shared" si="43"/>
        <v>2</v>
      </c>
      <c r="L199" s="5">
        <f t="shared" si="43"/>
        <v>0</v>
      </c>
      <c r="M199" s="5">
        <f t="shared" si="43"/>
        <v>1</v>
      </c>
      <c r="N199" s="5">
        <f t="shared" si="43"/>
        <v>0</v>
      </c>
      <c r="O199" s="5">
        <f t="shared" si="43"/>
        <v>0</v>
      </c>
      <c r="P199" s="5">
        <f t="shared" si="43"/>
        <v>0</v>
      </c>
      <c r="Q199" s="5">
        <f t="shared" si="43"/>
        <v>0</v>
      </c>
      <c r="R199" s="5">
        <f t="shared" si="43"/>
        <v>0</v>
      </c>
      <c r="S199" s="5">
        <f t="shared" si="43"/>
        <v>0</v>
      </c>
      <c r="T199" s="5">
        <f t="shared" si="43"/>
        <v>0</v>
      </c>
      <c r="U199" s="5">
        <f t="shared" si="43"/>
        <v>0</v>
      </c>
      <c r="V199" s="5">
        <f t="shared" si="43"/>
        <v>0</v>
      </c>
      <c r="W199" s="5">
        <f t="shared" si="43"/>
        <v>1</v>
      </c>
      <c r="X199" s="5">
        <f t="shared" si="43"/>
        <v>0</v>
      </c>
      <c r="Y199" s="5">
        <f t="shared" si="43"/>
        <v>0</v>
      </c>
      <c r="Z199" s="5">
        <f t="shared" si="43"/>
        <v>0</v>
      </c>
      <c r="AA199" s="5">
        <f t="shared" si="43"/>
        <v>0</v>
      </c>
      <c r="AB199" s="5">
        <f t="shared" si="43"/>
        <v>0</v>
      </c>
      <c r="AC199" s="5">
        <f t="shared" si="43"/>
        <v>9</v>
      </c>
      <c r="AD199" s="28"/>
      <c r="AE199" s="28"/>
    </row>
    <row r="200" spans="1:31" x14ac:dyDescent="0.3">
      <c r="A200" s="77"/>
      <c r="B200" s="78"/>
      <c r="C200" s="78"/>
      <c r="D200" s="78"/>
      <c r="E200" s="7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20"/>
      <c r="AE200" s="20"/>
    </row>
    <row r="201" spans="1:31" x14ac:dyDescent="0.3">
      <c r="A201" s="11" t="s">
        <v>48</v>
      </c>
      <c r="B201" s="17" t="s">
        <v>73</v>
      </c>
      <c r="C201" s="75" t="s">
        <v>74</v>
      </c>
      <c r="D201" s="76"/>
      <c r="E201" s="6">
        <v>6</v>
      </c>
      <c r="F201" s="6">
        <v>7</v>
      </c>
      <c r="G201" s="6">
        <v>6</v>
      </c>
      <c r="H201" s="6">
        <v>4</v>
      </c>
      <c r="I201" s="6">
        <v>9</v>
      </c>
      <c r="J201" s="6">
        <v>9</v>
      </c>
      <c r="K201" s="6">
        <v>24</v>
      </c>
      <c r="L201" s="6">
        <v>4</v>
      </c>
      <c r="M201" s="6">
        <v>5</v>
      </c>
      <c r="N201" s="6">
        <v>17</v>
      </c>
      <c r="O201" s="6">
        <v>2</v>
      </c>
      <c r="P201" s="6">
        <v>5</v>
      </c>
      <c r="Q201" s="6">
        <v>7</v>
      </c>
      <c r="R201" s="6">
        <v>3</v>
      </c>
      <c r="S201" s="6">
        <v>8</v>
      </c>
      <c r="T201" s="6">
        <v>7</v>
      </c>
      <c r="U201" s="6">
        <v>6</v>
      </c>
      <c r="V201" s="6">
        <v>11</v>
      </c>
      <c r="W201" s="6">
        <v>5</v>
      </c>
      <c r="X201" s="6">
        <v>6</v>
      </c>
      <c r="Y201" s="6">
        <v>7</v>
      </c>
      <c r="Z201" s="6">
        <v>8</v>
      </c>
      <c r="AA201" s="6">
        <v>9</v>
      </c>
      <c r="AB201" s="6">
        <v>25</v>
      </c>
      <c r="AC201" s="5">
        <f t="shared" ref="AC201:AC210" si="44">SUM(E201:AB201)</f>
        <v>200</v>
      </c>
      <c r="AD201" s="20"/>
      <c r="AE201" s="20"/>
    </row>
    <row r="202" spans="1:31" x14ac:dyDescent="0.3">
      <c r="A202" s="11" t="s">
        <v>50</v>
      </c>
      <c r="B202" s="54"/>
      <c r="C202" s="24" t="s">
        <v>212</v>
      </c>
      <c r="D202" s="51"/>
      <c r="E202" s="6">
        <v>5</v>
      </c>
      <c r="F202" s="6">
        <v>5</v>
      </c>
      <c r="G202" s="6">
        <v>27</v>
      </c>
      <c r="H202" s="6">
        <v>10</v>
      </c>
      <c r="I202" s="6">
        <v>16</v>
      </c>
      <c r="J202" s="6">
        <v>14</v>
      </c>
      <c r="K202" s="6">
        <v>16</v>
      </c>
      <c r="L202" s="6">
        <v>22</v>
      </c>
      <c r="M202" s="6">
        <v>27</v>
      </c>
      <c r="N202" s="6">
        <v>27</v>
      </c>
      <c r="O202" s="6">
        <v>16</v>
      </c>
      <c r="P202" s="6">
        <v>9</v>
      </c>
      <c r="Q202" s="6">
        <v>9</v>
      </c>
      <c r="R202" s="6">
        <v>4</v>
      </c>
      <c r="S202" s="6">
        <v>6</v>
      </c>
      <c r="T202" s="6">
        <v>19</v>
      </c>
      <c r="U202" s="6">
        <v>29</v>
      </c>
      <c r="V202" s="6">
        <v>136</v>
      </c>
      <c r="W202" s="6">
        <v>11</v>
      </c>
      <c r="X202" s="6">
        <v>5</v>
      </c>
      <c r="Y202" s="6">
        <v>12</v>
      </c>
      <c r="Z202" s="6">
        <v>9</v>
      </c>
      <c r="AA202" s="6">
        <v>22</v>
      </c>
      <c r="AB202" s="6">
        <v>10</v>
      </c>
      <c r="AC202" s="5">
        <f t="shared" si="44"/>
        <v>466</v>
      </c>
      <c r="AD202" s="20"/>
      <c r="AE202" s="20"/>
    </row>
    <row r="203" spans="1:31" x14ac:dyDescent="0.3">
      <c r="A203" s="7"/>
      <c r="B203" s="54"/>
      <c r="C203" s="24" t="s">
        <v>213</v>
      </c>
      <c r="D203" s="51"/>
      <c r="E203" s="6">
        <v>2</v>
      </c>
      <c r="F203" s="6">
        <v>2</v>
      </c>
      <c r="G203" s="6">
        <v>0</v>
      </c>
      <c r="H203" s="6">
        <v>2</v>
      </c>
      <c r="I203" s="6">
        <v>4</v>
      </c>
      <c r="J203" s="6">
        <v>0</v>
      </c>
      <c r="K203" s="6">
        <v>2</v>
      </c>
      <c r="L203" s="6">
        <v>4</v>
      </c>
      <c r="M203" s="6">
        <v>3</v>
      </c>
      <c r="N203" s="6">
        <v>0</v>
      </c>
      <c r="O203" s="6">
        <v>0</v>
      </c>
      <c r="P203" s="6">
        <v>3</v>
      </c>
      <c r="Q203" s="6">
        <v>1</v>
      </c>
      <c r="R203" s="6">
        <v>0</v>
      </c>
      <c r="S203" s="6">
        <v>2</v>
      </c>
      <c r="T203" s="6">
        <v>2</v>
      </c>
      <c r="U203" s="6">
        <v>1</v>
      </c>
      <c r="V203" s="6">
        <v>0</v>
      </c>
      <c r="W203" s="6">
        <v>0</v>
      </c>
      <c r="X203" s="6">
        <v>2</v>
      </c>
      <c r="Y203" s="6">
        <v>4</v>
      </c>
      <c r="Z203" s="6">
        <v>0</v>
      </c>
      <c r="AA203" s="6">
        <v>4</v>
      </c>
      <c r="AB203" s="6">
        <v>3</v>
      </c>
      <c r="AC203" s="5">
        <f t="shared" si="44"/>
        <v>41</v>
      </c>
      <c r="AD203" s="20"/>
      <c r="AE203" s="20"/>
    </row>
    <row r="204" spans="1:31" x14ac:dyDescent="0.3">
      <c r="A204" s="7"/>
      <c r="B204" s="54"/>
      <c r="C204" s="24" t="s">
        <v>214</v>
      </c>
      <c r="D204" s="51"/>
      <c r="E204" s="6">
        <v>0</v>
      </c>
      <c r="F204" s="6">
        <v>2</v>
      </c>
      <c r="G204" s="6">
        <v>3</v>
      </c>
      <c r="H204" s="6">
        <v>2</v>
      </c>
      <c r="I204" s="6">
        <v>0</v>
      </c>
      <c r="J204" s="6">
        <v>0</v>
      </c>
      <c r="K204" s="6">
        <v>0</v>
      </c>
      <c r="L204" s="6">
        <v>1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6">
        <v>0</v>
      </c>
      <c r="S204" s="6">
        <v>2</v>
      </c>
      <c r="T204" s="6">
        <v>0</v>
      </c>
      <c r="U204" s="6">
        <v>0</v>
      </c>
      <c r="V204" s="6">
        <v>0</v>
      </c>
      <c r="W204" s="6">
        <v>1</v>
      </c>
      <c r="X204" s="6">
        <v>0</v>
      </c>
      <c r="Y204" s="6">
        <v>3</v>
      </c>
      <c r="Z204" s="6">
        <v>0</v>
      </c>
      <c r="AA204" s="6">
        <v>0</v>
      </c>
      <c r="AB204" s="6">
        <v>3</v>
      </c>
      <c r="AC204" s="5">
        <f t="shared" si="44"/>
        <v>18</v>
      </c>
      <c r="AD204" s="20"/>
      <c r="AE204" s="20"/>
    </row>
    <row r="205" spans="1:31" x14ac:dyDescent="0.3">
      <c r="A205" s="7"/>
      <c r="B205" s="54"/>
      <c r="C205" s="24" t="s">
        <v>215</v>
      </c>
      <c r="D205" s="51"/>
      <c r="E205" s="6">
        <v>0</v>
      </c>
      <c r="F205" s="6">
        <v>0</v>
      </c>
      <c r="G205" s="6">
        <v>2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1</v>
      </c>
      <c r="AC205" s="5">
        <f t="shared" si="44"/>
        <v>5</v>
      </c>
      <c r="AD205" s="20"/>
      <c r="AE205" s="20"/>
    </row>
    <row r="206" spans="1:31" x14ac:dyDescent="0.3">
      <c r="A206" s="7"/>
      <c r="B206" s="54"/>
      <c r="C206" s="24" t="s">
        <v>216</v>
      </c>
      <c r="D206" s="51"/>
      <c r="E206" s="6">
        <v>1</v>
      </c>
      <c r="F206" s="6">
        <v>0</v>
      </c>
      <c r="G206" s="6">
        <v>1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1</v>
      </c>
      <c r="N206" s="6">
        <v>0</v>
      </c>
      <c r="O206" s="6">
        <v>1</v>
      </c>
      <c r="P206" s="6">
        <v>0</v>
      </c>
      <c r="Q206" s="6">
        <v>0</v>
      </c>
      <c r="R206" s="6">
        <v>0</v>
      </c>
      <c r="S206" s="6">
        <v>1</v>
      </c>
      <c r="T206" s="6">
        <v>1</v>
      </c>
      <c r="U206" s="6">
        <v>0</v>
      </c>
      <c r="V206" s="6">
        <v>0</v>
      </c>
      <c r="W206" s="6">
        <v>0</v>
      </c>
      <c r="X206" s="6">
        <v>0</v>
      </c>
      <c r="Y206" s="6">
        <v>1</v>
      </c>
      <c r="Z206" s="6">
        <v>2</v>
      </c>
      <c r="AA206" s="6">
        <v>0</v>
      </c>
      <c r="AB206" s="6">
        <v>1</v>
      </c>
      <c r="AC206" s="5">
        <f t="shared" si="44"/>
        <v>11</v>
      </c>
      <c r="AD206" s="20"/>
      <c r="AE206" s="20"/>
    </row>
    <row r="207" spans="1:31" ht="13.15" customHeight="1" x14ac:dyDescent="0.3">
      <c r="A207" s="7"/>
      <c r="B207" s="54"/>
      <c r="C207" s="24" t="s">
        <v>217</v>
      </c>
      <c r="D207" s="51"/>
      <c r="E207" s="6">
        <v>1</v>
      </c>
      <c r="F207" s="6">
        <v>0</v>
      </c>
      <c r="G207" s="6">
        <v>2</v>
      </c>
      <c r="H207" s="6">
        <v>1</v>
      </c>
      <c r="I207" s="6">
        <v>2</v>
      </c>
      <c r="J207" s="6">
        <v>0</v>
      </c>
      <c r="K207" s="6">
        <v>0</v>
      </c>
      <c r="L207" s="6">
        <v>2</v>
      </c>
      <c r="M207" s="6">
        <v>2</v>
      </c>
      <c r="N207" s="6">
        <v>2</v>
      </c>
      <c r="O207" s="6">
        <v>1</v>
      </c>
      <c r="P207" s="6">
        <v>3</v>
      </c>
      <c r="Q207" s="6">
        <v>1</v>
      </c>
      <c r="R207" s="6">
        <v>0</v>
      </c>
      <c r="S207" s="6">
        <v>1</v>
      </c>
      <c r="T207" s="6">
        <v>4</v>
      </c>
      <c r="U207" s="6">
        <v>0</v>
      </c>
      <c r="V207" s="6">
        <v>0</v>
      </c>
      <c r="W207" s="6">
        <v>1</v>
      </c>
      <c r="X207" s="6">
        <v>2</v>
      </c>
      <c r="Y207" s="6">
        <v>3</v>
      </c>
      <c r="Z207" s="6">
        <v>0</v>
      </c>
      <c r="AA207" s="6">
        <v>1</v>
      </c>
      <c r="AB207" s="6">
        <v>4</v>
      </c>
      <c r="AC207" s="5">
        <f t="shared" si="44"/>
        <v>33</v>
      </c>
      <c r="AD207" s="1"/>
      <c r="AE207" s="1"/>
    </row>
    <row r="208" spans="1:31" x14ac:dyDescent="0.3">
      <c r="A208" s="7"/>
      <c r="B208" s="54"/>
      <c r="C208" s="24" t="s">
        <v>218</v>
      </c>
      <c r="D208" s="51"/>
      <c r="E208" s="6">
        <v>2</v>
      </c>
      <c r="F208" s="6">
        <v>0</v>
      </c>
      <c r="G208" s="6">
        <v>3</v>
      </c>
      <c r="H208" s="6">
        <v>0</v>
      </c>
      <c r="I208" s="6">
        <v>3</v>
      </c>
      <c r="J208" s="6">
        <v>3</v>
      </c>
      <c r="K208" s="6">
        <v>1</v>
      </c>
      <c r="L208" s="6">
        <v>0</v>
      </c>
      <c r="M208" s="6">
        <v>3</v>
      </c>
      <c r="N208" s="6">
        <v>1</v>
      </c>
      <c r="O208" s="6">
        <v>0</v>
      </c>
      <c r="P208" s="6">
        <v>0</v>
      </c>
      <c r="Q208" s="6">
        <v>0</v>
      </c>
      <c r="R208" s="6">
        <v>2</v>
      </c>
      <c r="S208" s="6">
        <v>2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4</v>
      </c>
      <c r="Z208" s="6">
        <v>0</v>
      </c>
      <c r="AA208" s="6">
        <v>0</v>
      </c>
      <c r="AB208" s="6">
        <v>1</v>
      </c>
      <c r="AC208" s="5">
        <f t="shared" si="44"/>
        <v>25</v>
      </c>
      <c r="AD208" s="28"/>
      <c r="AE208" s="28"/>
    </row>
    <row r="209" spans="1:31" x14ac:dyDescent="0.3">
      <c r="A209" s="7"/>
      <c r="B209" s="54"/>
      <c r="C209" s="24" t="s">
        <v>219</v>
      </c>
      <c r="D209" s="51"/>
      <c r="E209" s="6">
        <v>0</v>
      </c>
      <c r="F209" s="6">
        <v>0</v>
      </c>
      <c r="G209" s="6">
        <v>2</v>
      </c>
      <c r="H209" s="6">
        <v>0</v>
      </c>
      <c r="I209" s="6">
        <v>0</v>
      </c>
      <c r="J209" s="6">
        <v>0</v>
      </c>
      <c r="K209" s="6">
        <v>1</v>
      </c>
      <c r="L209" s="6">
        <v>0</v>
      </c>
      <c r="M209" s="6">
        <v>2</v>
      </c>
      <c r="N209" s="6">
        <v>2</v>
      </c>
      <c r="O209" s="6">
        <v>0</v>
      </c>
      <c r="P209" s="6">
        <v>0</v>
      </c>
      <c r="Q209" s="6">
        <v>1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5">
        <f t="shared" si="44"/>
        <v>8</v>
      </c>
      <c r="AD209" s="28"/>
      <c r="AE209" s="28"/>
    </row>
    <row r="210" spans="1:31" x14ac:dyDescent="0.3">
      <c r="A210" s="7"/>
      <c r="B210" s="54"/>
      <c r="C210" s="24" t="s">
        <v>220</v>
      </c>
      <c r="D210" s="51"/>
      <c r="E210" s="6">
        <v>0</v>
      </c>
      <c r="F210" s="6">
        <v>1</v>
      </c>
      <c r="G210" s="6">
        <v>3</v>
      </c>
      <c r="H210" s="6">
        <v>1</v>
      </c>
      <c r="I210" s="6">
        <v>2</v>
      </c>
      <c r="J210" s="6">
        <v>0</v>
      </c>
      <c r="K210" s="6">
        <v>0</v>
      </c>
      <c r="L210" s="6">
        <v>1</v>
      </c>
      <c r="M210" s="6">
        <v>1</v>
      </c>
      <c r="N210" s="6">
        <v>0</v>
      </c>
      <c r="O210" s="6">
        <v>0</v>
      </c>
      <c r="P210" s="6">
        <v>3</v>
      </c>
      <c r="Q210" s="6">
        <v>0</v>
      </c>
      <c r="R210" s="6">
        <v>0</v>
      </c>
      <c r="S210" s="6">
        <v>1</v>
      </c>
      <c r="T210" s="6">
        <v>0</v>
      </c>
      <c r="U210" s="6">
        <v>1</v>
      </c>
      <c r="V210" s="6">
        <v>1</v>
      </c>
      <c r="W210" s="6">
        <v>0</v>
      </c>
      <c r="X210" s="6">
        <v>0</v>
      </c>
      <c r="Y210" s="6">
        <v>3</v>
      </c>
      <c r="Z210" s="6">
        <v>0</v>
      </c>
      <c r="AA210" s="6">
        <v>1</v>
      </c>
      <c r="AB210" s="6">
        <v>2</v>
      </c>
      <c r="AC210" s="5">
        <f t="shared" si="44"/>
        <v>21</v>
      </c>
      <c r="AD210" s="28"/>
      <c r="AE210" s="28"/>
    </row>
    <row r="211" spans="1:31" x14ac:dyDescent="0.3">
      <c r="A211" s="6" t="s">
        <v>26</v>
      </c>
      <c r="B211" s="69" t="s">
        <v>51</v>
      </c>
      <c r="C211" s="70"/>
      <c r="D211" s="71"/>
      <c r="E211" s="5">
        <f>SUM(E201:E210)</f>
        <v>17</v>
      </c>
      <c r="F211" s="5">
        <f t="shared" ref="F211:AC211" si="45">SUM(F201:F210)</f>
        <v>17</v>
      </c>
      <c r="G211" s="5">
        <f t="shared" si="45"/>
        <v>49</v>
      </c>
      <c r="H211" s="5">
        <f t="shared" si="45"/>
        <v>20</v>
      </c>
      <c r="I211" s="5">
        <f t="shared" si="45"/>
        <v>37</v>
      </c>
      <c r="J211" s="5">
        <f t="shared" si="45"/>
        <v>26</v>
      </c>
      <c r="K211" s="5">
        <f t="shared" si="45"/>
        <v>45</v>
      </c>
      <c r="L211" s="5">
        <f t="shared" si="45"/>
        <v>34</v>
      </c>
      <c r="M211" s="5">
        <f t="shared" si="45"/>
        <v>44</v>
      </c>
      <c r="N211" s="5">
        <f t="shared" si="45"/>
        <v>50</v>
      </c>
      <c r="O211" s="5">
        <f t="shared" si="45"/>
        <v>20</v>
      </c>
      <c r="P211" s="5">
        <f t="shared" si="45"/>
        <v>23</v>
      </c>
      <c r="Q211" s="5">
        <f t="shared" si="45"/>
        <v>20</v>
      </c>
      <c r="R211" s="5">
        <f t="shared" si="45"/>
        <v>9</v>
      </c>
      <c r="S211" s="5">
        <f t="shared" si="45"/>
        <v>23</v>
      </c>
      <c r="T211" s="5">
        <f t="shared" si="45"/>
        <v>33</v>
      </c>
      <c r="U211" s="5">
        <f t="shared" si="45"/>
        <v>37</v>
      </c>
      <c r="V211" s="5">
        <f t="shared" si="45"/>
        <v>148</v>
      </c>
      <c r="W211" s="5">
        <f t="shared" si="45"/>
        <v>18</v>
      </c>
      <c r="X211" s="5">
        <f t="shared" si="45"/>
        <v>15</v>
      </c>
      <c r="Y211" s="5">
        <f t="shared" si="45"/>
        <v>37</v>
      </c>
      <c r="Z211" s="5">
        <f t="shared" si="45"/>
        <v>19</v>
      </c>
      <c r="AA211" s="5">
        <f t="shared" si="45"/>
        <v>37</v>
      </c>
      <c r="AB211" s="5">
        <f t="shared" si="45"/>
        <v>50</v>
      </c>
      <c r="AC211" s="5">
        <f t="shared" si="45"/>
        <v>828</v>
      </c>
      <c r="AD211" s="20"/>
      <c r="AE211" s="20"/>
    </row>
    <row r="212" spans="1:31" x14ac:dyDescent="0.3">
      <c r="A212" s="77"/>
      <c r="B212" s="78"/>
      <c r="C212" s="78"/>
      <c r="D212" s="78"/>
      <c r="E212" s="7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20"/>
      <c r="AE212" s="20"/>
    </row>
    <row r="213" spans="1:31" x14ac:dyDescent="0.3">
      <c r="A213" s="11" t="s">
        <v>48</v>
      </c>
      <c r="B213" s="17" t="s">
        <v>75</v>
      </c>
      <c r="C213" s="75" t="s">
        <v>76</v>
      </c>
      <c r="D213" s="76"/>
      <c r="E213" s="6">
        <v>4</v>
      </c>
      <c r="F213" s="6">
        <v>7</v>
      </c>
      <c r="G213" s="6">
        <v>1</v>
      </c>
      <c r="H213" s="6">
        <v>0</v>
      </c>
      <c r="I213" s="6">
        <v>2</v>
      </c>
      <c r="J213" s="6">
        <v>0</v>
      </c>
      <c r="K213" s="6">
        <v>3</v>
      </c>
      <c r="L213" s="6">
        <v>0</v>
      </c>
      <c r="M213" s="6">
        <v>2</v>
      </c>
      <c r="N213" s="6">
        <v>4</v>
      </c>
      <c r="O213" s="6">
        <v>2</v>
      </c>
      <c r="P213" s="6">
        <v>4</v>
      </c>
      <c r="Q213" s="6">
        <v>1</v>
      </c>
      <c r="R213" s="6">
        <v>0</v>
      </c>
      <c r="S213" s="6">
        <v>5</v>
      </c>
      <c r="T213" s="6">
        <v>0</v>
      </c>
      <c r="U213" s="6">
        <v>0</v>
      </c>
      <c r="V213" s="6">
        <v>0</v>
      </c>
      <c r="W213" s="6">
        <v>4</v>
      </c>
      <c r="X213" s="6">
        <v>0</v>
      </c>
      <c r="Y213" s="6">
        <v>0</v>
      </c>
      <c r="Z213" s="6">
        <v>3</v>
      </c>
      <c r="AA213" s="6">
        <v>1</v>
      </c>
      <c r="AB213" s="6">
        <v>2</v>
      </c>
      <c r="AC213" s="5">
        <f t="shared" ref="AC213:AC216" si="46">SUM(E213:AB213)</f>
        <v>45</v>
      </c>
      <c r="AD213" s="20"/>
      <c r="AE213" s="20"/>
    </row>
    <row r="214" spans="1:31" x14ac:dyDescent="0.3">
      <c r="A214" s="11" t="s">
        <v>50</v>
      </c>
      <c r="B214" s="54"/>
      <c r="C214" s="24" t="s">
        <v>221</v>
      </c>
      <c r="D214" s="55"/>
      <c r="E214" s="6">
        <v>0</v>
      </c>
      <c r="F214" s="6">
        <v>0</v>
      </c>
      <c r="G214" s="6">
        <v>1</v>
      </c>
      <c r="H214" s="6">
        <v>0</v>
      </c>
      <c r="I214" s="6">
        <v>3</v>
      </c>
      <c r="J214" s="6">
        <v>1</v>
      </c>
      <c r="K214" s="6">
        <v>0</v>
      </c>
      <c r="L214" s="6">
        <v>0</v>
      </c>
      <c r="M214" s="6">
        <v>3</v>
      </c>
      <c r="N214" s="6">
        <v>2</v>
      </c>
      <c r="O214" s="6">
        <v>0</v>
      </c>
      <c r="P214" s="6">
        <v>1</v>
      </c>
      <c r="Q214" s="6">
        <v>0</v>
      </c>
      <c r="R214" s="6">
        <v>2</v>
      </c>
      <c r="S214" s="6">
        <v>3</v>
      </c>
      <c r="T214" s="6">
        <v>0</v>
      </c>
      <c r="U214" s="6">
        <v>1</v>
      </c>
      <c r="V214" s="6">
        <v>1</v>
      </c>
      <c r="W214" s="6">
        <v>3</v>
      </c>
      <c r="X214" s="6">
        <v>3</v>
      </c>
      <c r="Y214" s="6">
        <v>0</v>
      </c>
      <c r="Z214" s="6">
        <v>0</v>
      </c>
      <c r="AA214" s="6">
        <v>1</v>
      </c>
      <c r="AB214" s="6">
        <v>0</v>
      </c>
      <c r="AC214" s="5">
        <f t="shared" si="46"/>
        <v>25</v>
      </c>
      <c r="AD214" s="20"/>
      <c r="AE214" s="20"/>
    </row>
    <row r="215" spans="1:31" x14ac:dyDescent="0.3">
      <c r="A215" s="7"/>
      <c r="B215" s="54"/>
      <c r="C215" s="24" t="s">
        <v>222</v>
      </c>
      <c r="D215" s="55"/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2</v>
      </c>
      <c r="K215" s="6">
        <v>1</v>
      </c>
      <c r="L215" s="6">
        <v>3</v>
      </c>
      <c r="M215" s="6">
        <v>3</v>
      </c>
      <c r="N215" s="6">
        <v>4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2</v>
      </c>
      <c r="U215" s="6">
        <v>0</v>
      </c>
      <c r="V215" s="6">
        <v>2</v>
      </c>
      <c r="W215" s="6">
        <v>0</v>
      </c>
      <c r="X215" s="6">
        <v>0</v>
      </c>
      <c r="Y215" s="6">
        <v>2</v>
      </c>
      <c r="Z215" s="6">
        <v>0</v>
      </c>
      <c r="AA215" s="6">
        <v>1</v>
      </c>
      <c r="AB215" s="6">
        <v>0</v>
      </c>
      <c r="AC215" s="5">
        <f t="shared" si="46"/>
        <v>21</v>
      </c>
      <c r="AD215" s="20"/>
      <c r="AE215" s="20"/>
    </row>
    <row r="216" spans="1:31" x14ac:dyDescent="0.3">
      <c r="A216" s="7"/>
      <c r="B216" s="54"/>
      <c r="C216" s="24" t="s">
        <v>223</v>
      </c>
      <c r="E216" s="6">
        <v>0</v>
      </c>
      <c r="F216" s="6">
        <v>0</v>
      </c>
      <c r="G216" s="6">
        <v>0</v>
      </c>
      <c r="H216" s="6">
        <v>0</v>
      </c>
      <c r="I216" s="6">
        <v>1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1</v>
      </c>
      <c r="Q216" s="6">
        <v>0</v>
      </c>
      <c r="R216" s="6">
        <v>0</v>
      </c>
      <c r="S216" s="6">
        <v>1</v>
      </c>
      <c r="T216" s="6">
        <v>0</v>
      </c>
      <c r="U216" s="6">
        <v>0</v>
      </c>
      <c r="V216" s="6">
        <v>0</v>
      </c>
      <c r="W216" s="6">
        <v>2</v>
      </c>
      <c r="X216" s="6">
        <v>0</v>
      </c>
      <c r="Y216" s="6">
        <v>0</v>
      </c>
      <c r="Z216" s="6">
        <v>1</v>
      </c>
      <c r="AA216" s="6">
        <v>0</v>
      </c>
      <c r="AB216" s="6">
        <v>0</v>
      </c>
      <c r="AC216" s="5">
        <f t="shared" si="46"/>
        <v>7</v>
      </c>
      <c r="AD216" s="20"/>
      <c r="AE216" s="20"/>
    </row>
    <row r="217" spans="1:31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0"/>
      <c r="AD217" s="20"/>
      <c r="AE217" s="20"/>
    </row>
    <row r="218" spans="1:31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0"/>
      <c r="AD218" s="1"/>
      <c r="AE218" s="1"/>
    </row>
    <row r="219" spans="1:31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0"/>
      <c r="AD219" s="28"/>
      <c r="AE219" s="28"/>
    </row>
    <row r="220" spans="1:31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0"/>
      <c r="AD220" s="20"/>
      <c r="AE220" s="20"/>
    </row>
    <row r="221" spans="1:31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0"/>
      <c r="AD221" s="20"/>
      <c r="AE221" s="20"/>
    </row>
    <row r="222" spans="1:31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0"/>
      <c r="AD222" s="20"/>
      <c r="AE222" s="20"/>
    </row>
    <row r="223" spans="1:31" x14ac:dyDescent="0.3">
      <c r="A223" s="6" t="s">
        <v>26</v>
      </c>
      <c r="B223" s="69" t="s">
        <v>51</v>
      </c>
      <c r="C223" s="70"/>
      <c r="D223" s="71"/>
      <c r="E223" s="5">
        <f>SUM(E213:E222)</f>
        <v>5</v>
      </c>
      <c r="F223" s="5">
        <f t="shared" ref="F223:AC223" si="47">SUM(F213:F222)</f>
        <v>7</v>
      </c>
      <c r="G223" s="5">
        <f t="shared" si="47"/>
        <v>2</v>
      </c>
      <c r="H223" s="5">
        <f t="shared" si="47"/>
        <v>0</v>
      </c>
      <c r="I223" s="5">
        <f t="shared" si="47"/>
        <v>6</v>
      </c>
      <c r="J223" s="5">
        <f t="shared" si="47"/>
        <v>3</v>
      </c>
      <c r="K223" s="5">
        <f t="shared" si="47"/>
        <v>5</v>
      </c>
      <c r="L223" s="5">
        <f t="shared" si="47"/>
        <v>3</v>
      </c>
      <c r="M223" s="5">
        <f t="shared" si="47"/>
        <v>8</v>
      </c>
      <c r="N223" s="5">
        <f t="shared" si="47"/>
        <v>10</v>
      </c>
      <c r="O223" s="5">
        <f t="shared" si="47"/>
        <v>2</v>
      </c>
      <c r="P223" s="5">
        <f t="shared" si="47"/>
        <v>6</v>
      </c>
      <c r="Q223" s="5">
        <f t="shared" si="47"/>
        <v>1</v>
      </c>
      <c r="R223" s="5">
        <f t="shared" si="47"/>
        <v>2</v>
      </c>
      <c r="S223" s="5">
        <f t="shared" si="47"/>
        <v>9</v>
      </c>
      <c r="T223" s="5">
        <f t="shared" si="47"/>
        <v>2</v>
      </c>
      <c r="U223" s="5">
        <f t="shared" si="47"/>
        <v>1</v>
      </c>
      <c r="V223" s="5">
        <f t="shared" si="47"/>
        <v>3</v>
      </c>
      <c r="W223" s="5">
        <f t="shared" si="47"/>
        <v>9</v>
      </c>
      <c r="X223" s="5">
        <f t="shared" si="47"/>
        <v>3</v>
      </c>
      <c r="Y223" s="5">
        <f t="shared" si="47"/>
        <v>2</v>
      </c>
      <c r="Z223" s="5">
        <f t="shared" si="47"/>
        <v>4</v>
      </c>
      <c r="AA223" s="5">
        <f t="shared" si="47"/>
        <v>3</v>
      </c>
      <c r="AB223" s="5">
        <f t="shared" si="47"/>
        <v>2</v>
      </c>
      <c r="AC223" s="5">
        <f t="shared" si="47"/>
        <v>98</v>
      </c>
      <c r="AD223" s="20"/>
      <c r="AE223" s="20"/>
    </row>
    <row r="224" spans="1:31" x14ac:dyDescent="0.3">
      <c r="A224" s="77"/>
      <c r="B224" s="78"/>
      <c r="C224" s="78"/>
      <c r="D224" s="78"/>
      <c r="E224" s="7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20"/>
      <c r="AE224" s="20"/>
    </row>
    <row r="225" spans="1:31" x14ac:dyDescent="0.3">
      <c r="A225" s="11" t="s">
        <v>48</v>
      </c>
      <c r="B225" s="17" t="s">
        <v>77</v>
      </c>
      <c r="C225" s="75" t="s">
        <v>78</v>
      </c>
      <c r="D225" s="76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1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5">
        <f t="shared" ref="AC225:AC229" si="48">SUM(E225:AB225)</f>
        <v>3</v>
      </c>
      <c r="AD225" s="20"/>
      <c r="AE225" s="20"/>
    </row>
    <row r="226" spans="1:31" x14ac:dyDescent="0.3">
      <c r="A226" s="11" t="s">
        <v>50</v>
      </c>
      <c r="B226" s="54"/>
      <c r="C226" s="24" t="s">
        <v>224</v>
      </c>
      <c r="D226" s="51"/>
      <c r="E226" s="6">
        <v>4</v>
      </c>
      <c r="F226" s="6">
        <v>3</v>
      </c>
      <c r="G226" s="6">
        <v>0</v>
      </c>
      <c r="H226" s="6">
        <v>0</v>
      </c>
      <c r="I226" s="6">
        <v>0</v>
      </c>
      <c r="J226" s="6">
        <v>6</v>
      </c>
      <c r="K226" s="6">
        <v>1</v>
      </c>
      <c r="L226" s="6">
        <v>0</v>
      </c>
      <c r="M226" s="6">
        <v>1</v>
      </c>
      <c r="N226" s="6">
        <v>1</v>
      </c>
      <c r="O226" s="6">
        <v>2</v>
      </c>
      <c r="P226" s="6">
        <v>0</v>
      </c>
      <c r="Q226" s="6">
        <v>2</v>
      </c>
      <c r="R226" s="6">
        <v>0</v>
      </c>
      <c r="S226" s="6">
        <v>0</v>
      </c>
      <c r="T226" s="6">
        <v>0</v>
      </c>
      <c r="U226" s="6">
        <v>4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5">
        <f t="shared" si="48"/>
        <v>24</v>
      </c>
      <c r="AD226" s="20"/>
      <c r="AE226" s="20"/>
    </row>
    <row r="227" spans="1:31" x14ac:dyDescent="0.3">
      <c r="A227" s="7"/>
      <c r="B227" s="54"/>
      <c r="C227" s="24" t="s">
        <v>225</v>
      </c>
      <c r="D227" s="51"/>
      <c r="E227" s="6">
        <v>0</v>
      </c>
      <c r="F227" s="6">
        <v>0</v>
      </c>
      <c r="G227" s="6">
        <v>0</v>
      </c>
      <c r="H227" s="6">
        <v>0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1</v>
      </c>
      <c r="AB227" s="6">
        <v>0</v>
      </c>
      <c r="AC227" s="5">
        <f t="shared" si="48"/>
        <v>2</v>
      </c>
      <c r="AD227" s="20"/>
      <c r="AE227" s="20"/>
    </row>
    <row r="228" spans="1:31" x14ac:dyDescent="0.3">
      <c r="A228" s="7"/>
      <c r="B228" s="54"/>
      <c r="C228" s="24" t="s">
        <v>226</v>
      </c>
      <c r="D228" s="51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5">
        <f t="shared" si="48"/>
        <v>0</v>
      </c>
      <c r="AD228" s="20"/>
      <c r="AE228" s="20"/>
    </row>
    <row r="229" spans="1:31" ht="13.15" customHeight="1" x14ac:dyDescent="0.3">
      <c r="A229" s="7"/>
      <c r="B229" s="54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5">
        <f t="shared" si="48"/>
        <v>0</v>
      </c>
      <c r="AD229" s="1"/>
      <c r="AE229" s="1"/>
    </row>
    <row r="230" spans="1:31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50"/>
      <c r="AD230" s="28"/>
      <c r="AE230" s="28"/>
    </row>
    <row r="231" spans="1:31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50"/>
      <c r="AD231" s="20"/>
      <c r="AE231" s="20"/>
    </row>
    <row r="232" spans="1:31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0"/>
      <c r="AD232" s="20"/>
      <c r="AE232" s="20"/>
    </row>
    <row r="233" spans="1:31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0"/>
      <c r="AD233" s="20"/>
      <c r="AE233" s="20"/>
    </row>
    <row r="234" spans="1:31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0"/>
      <c r="AD234" s="20"/>
      <c r="AE234" s="20"/>
    </row>
    <row r="235" spans="1:31" x14ac:dyDescent="0.3">
      <c r="A235" s="6" t="s">
        <v>26</v>
      </c>
      <c r="B235" s="69" t="s">
        <v>51</v>
      </c>
      <c r="C235" s="70"/>
      <c r="D235" s="71"/>
      <c r="E235" s="5">
        <f>SUM(E225:E234)</f>
        <v>4</v>
      </c>
      <c r="F235" s="5">
        <f t="shared" ref="F235:AC235" si="49">SUM(F225:F234)</f>
        <v>3</v>
      </c>
      <c r="G235" s="5">
        <f t="shared" si="49"/>
        <v>0</v>
      </c>
      <c r="H235" s="5">
        <f t="shared" si="49"/>
        <v>0</v>
      </c>
      <c r="I235" s="5">
        <f t="shared" si="49"/>
        <v>1</v>
      </c>
      <c r="J235" s="5">
        <f t="shared" si="49"/>
        <v>6</v>
      </c>
      <c r="K235" s="5">
        <f t="shared" si="49"/>
        <v>1</v>
      </c>
      <c r="L235" s="5">
        <f t="shared" si="49"/>
        <v>0</v>
      </c>
      <c r="M235" s="5">
        <f t="shared" si="49"/>
        <v>1</v>
      </c>
      <c r="N235" s="5">
        <f t="shared" si="49"/>
        <v>3</v>
      </c>
      <c r="O235" s="5">
        <f t="shared" si="49"/>
        <v>2</v>
      </c>
      <c r="P235" s="5">
        <f t="shared" si="49"/>
        <v>0</v>
      </c>
      <c r="Q235" s="5">
        <f t="shared" si="49"/>
        <v>2</v>
      </c>
      <c r="R235" s="5">
        <f t="shared" si="49"/>
        <v>0</v>
      </c>
      <c r="S235" s="5">
        <f t="shared" si="49"/>
        <v>0</v>
      </c>
      <c r="T235" s="5">
        <f t="shared" si="49"/>
        <v>1</v>
      </c>
      <c r="U235" s="5">
        <f t="shared" si="49"/>
        <v>4</v>
      </c>
      <c r="V235" s="5">
        <f t="shared" si="49"/>
        <v>0</v>
      </c>
      <c r="W235" s="5">
        <f t="shared" si="49"/>
        <v>0</v>
      </c>
      <c r="X235" s="5">
        <f t="shared" si="49"/>
        <v>0</v>
      </c>
      <c r="Y235" s="5">
        <f t="shared" si="49"/>
        <v>0</v>
      </c>
      <c r="Z235" s="5">
        <f t="shared" si="49"/>
        <v>0</v>
      </c>
      <c r="AA235" s="5">
        <f t="shared" si="49"/>
        <v>1</v>
      </c>
      <c r="AB235" s="5">
        <f t="shared" si="49"/>
        <v>0</v>
      </c>
      <c r="AC235" s="5">
        <f t="shared" si="49"/>
        <v>29</v>
      </c>
      <c r="AD235" s="20"/>
      <c r="AE235" s="20"/>
    </row>
    <row r="236" spans="1:31" x14ac:dyDescent="0.3">
      <c r="A236" s="77"/>
      <c r="B236" s="78"/>
      <c r="C236" s="78"/>
      <c r="D236" s="78"/>
      <c r="E236" s="7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20"/>
      <c r="AE236" s="20"/>
    </row>
    <row r="237" spans="1:31" x14ac:dyDescent="0.3">
      <c r="A237" s="11" t="s">
        <v>48</v>
      </c>
      <c r="B237" s="17" t="s">
        <v>79</v>
      </c>
      <c r="C237" s="75" t="s">
        <v>80</v>
      </c>
      <c r="D237" s="76"/>
      <c r="E237" s="6">
        <v>3</v>
      </c>
      <c r="F237" s="6">
        <v>0</v>
      </c>
      <c r="G237" s="6">
        <v>2</v>
      </c>
      <c r="H237" s="6">
        <v>1</v>
      </c>
      <c r="I237" s="6">
        <v>1</v>
      </c>
      <c r="J237" s="6">
        <v>2</v>
      </c>
      <c r="K237" s="6">
        <v>3</v>
      </c>
      <c r="L237" s="6">
        <v>0</v>
      </c>
      <c r="M237" s="6">
        <v>0</v>
      </c>
      <c r="N237" s="6">
        <v>0</v>
      </c>
      <c r="O237" s="6">
        <v>2</v>
      </c>
      <c r="P237" s="6">
        <v>1</v>
      </c>
      <c r="Q237" s="6">
        <v>0</v>
      </c>
      <c r="R237" s="6">
        <v>0</v>
      </c>
      <c r="S237" s="6">
        <v>0</v>
      </c>
      <c r="T237" s="6">
        <v>1</v>
      </c>
      <c r="U237" s="6">
        <v>1</v>
      </c>
      <c r="V237" s="6">
        <v>0</v>
      </c>
      <c r="W237" s="6">
        <v>2</v>
      </c>
      <c r="X237" s="6">
        <v>2</v>
      </c>
      <c r="Y237" s="6">
        <v>0</v>
      </c>
      <c r="Z237" s="6">
        <v>2</v>
      </c>
      <c r="AA237" s="6">
        <v>0</v>
      </c>
      <c r="AB237" s="6">
        <v>0</v>
      </c>
      <c r="AC237" s="5">
        <f>SUM(E237:AB237)</f>
        <v>23</v>
      </c>
      <c r="AD237" s="20"/>
      <c r="AE237" s="20"/>
    </row>
    <row r="238" spans="1:31" x14ac:dyDescent="0.3">
      <c r="A238" s="11" t="s">
        <v>50</v>
      </c>
      <c r="B238" s="54"/>
      <c r="C238" s="24" t="s">
        <v>228</v>
      </c>
      <c r="D238" s="51"/>
      <c r="E238" s="6">
        <v>0</v>
      </c>
      <c r="F238" s="6">
        <v>1</v>
      </c>
      <c r="G238" s="6">
        <v>1</v>
      </c>
      <c r="H238" s="6">
        <v>0</v>
      </c>
      <c r="I238" s="6">
        <v>1</v>
      </c>
      <c r="J238" s="6">
        <v>0</v>
      </c>
      <c r="K238" s="6">
        <v>0</v>
      </c>
      <c r="L238" s="6">
        <v>0</v>
      </c>
      <c r="M238" s="6">
        <v>0</v>
      </c>
      <c r="N238" s="6">
        <v>1</v>
      </c>
      <c r="O238" s="6">
        <v>0</v>
      </c>
      <c r="P238" s="6">
        <v>0</v>
      </c>
      <c r="Q238" s="6">
        <v>1</v>
      </c>
      <c r="R238" s="6">
        <v>1</v>
      </c>
      <c r="S238" s="6">
        <v>2</v>
      </c>
      <c r="T238" s="6">
        <v>0</v>
      </c>
      <c r="U238" s="6">
        <v>0</v>
      </c>
      <c r="V238" s="6">
        <v>1</v>
      </c>
      <c r="W238" s="6">
        <v>0</v>
      </c>
      <c r="X238" s="6">
        <v>1</v>
      </c>
      <c r="Y238" s="6">
        <v>0</v>
      </c>
      <c r="Z238" s="6">
        <v>0</v>
      </c>
      <c r="AA238" s="6">
        <v>0</v>
      </c>
      <c r="AB238" s="6">
        <v>0</v>
      </c>
      <c r="AC238" s="5">
        <f t="shared" ref="AC238:AC246" si="50">SUM(E238:AB238)</f>
        <v>10</v>
      </c>
      <c r="AD238" s="20"/>
      <c r="AE238" s="20"/>
    </row>
    <row r="239" spans="1:31" x14ac:dyDescent="0.3">
      <c r="A239" s="7"/>
      <c r="B239" s="54"/>
      <c r="C239" s="24" t="s">
        <v>229</v>
      </c>
      <c r="D239" s="51"/>
      <c r="E239" s="6">
        <v>0</v>
      </c>
      <c r="F239" s="6">
        <v>0</v>
      </c>
      <c r="G239" s="6">
        <v>0</v>
      </c>
      <c r="H239" s="6">
        <v>0</v>
      </c>
      <c r="I239" s="6">
        <v>1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1</v>
      </c>
      <c r="Q239" s="6">
        <v>1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2</v>
      </c>
      <c r="X239" s="6">
        <v>0</v>
      </c>
      <c r="Y239" s="6">
        <v>0</v>
      </c>
      <c r="Z239" s="6">
        <v>1</v>
      </c>
      <c r="AA239" s="6">
        <v>0</v>
      </c>
      <c r="AB239" s="6">
        <v>0</v>
      </c>
      <c r="AC239" s="5">
        <f t="shared" si="50"/>
        <v>6</v>
      </c>
      <c r="AD239" s="20"/>
      <c r="AE239" s="20"/>
    </row>
    <row r="240" spans="1:31" ht="13.15" customHeight="1" x14ac:dyDescent="0.3">
      <c r="A240" s="7"/>
      <c r="B240" s="54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1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5">
        <f t="shared" si="50"/>
        <v>1</v>
      </c>
      <c r="AD240" s="1"/>
      <c r="AE240" s="1"/>
    </row>
    <row r="241" spans="1:29" x14ac:dyDescent="0.3">
      <c r="A241" s="7"/>
      <c r="B241" s="54"/>
      <c r="C241" s="24" t="s">
        <v>231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1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5">
        <f t="shared" si="50"/>
        <v>3</v>
      </c>
    </row>
    <row r="242" spans="1:29" ht="12.75" customHeight="1" x14ac:dyDescent="0.3">
      <c r="A242" s="7"/>
      <c r="B242" s="54"/>
      <c r="C242" s="24" t="s">
        <v>232</v>
      </c>
      <c r="D242" s="51"/>
      <c r="E242" s="6">
        <v>0</v>
      </c>
      <c r="F242" s="6">
        <v>0</v>
      </c>
      <c r="G242" s="6">
        <v>3</v>
      </c>
      <c r="H242" s="6">
        <v>1</v>
      </c>
      <c r="I242" s="6">
        <v>3</v>
      </c>
      <c r="J242" s="6">
        <v>0</v>
      </c>
      <c r="K242" s="6">
        <v>0</v>
      </c>
      <c r="L242" s="6">
        <v>1</v>
      </c>
      <c r="M242" s="6">
        <v>1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1</v>
      </c>
      <c r="U242" s="6">
        <v>2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5">
        <f t="shared" si="50"/>
        <v>12</v>
      </c>
    </row>
    <row r="243" spans="1:29" x14ac:dyDescent="0.3">
      <c r="A243" s="7"/>
      <c r="B243" s="54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1</v>
      </c>
      <c r="M243" s="6">
        <v>1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1</v>
      </c>
      <c r="Z243" s="6">
        <v>1</v>
      </c>
      <c r="AA243" s="6">
        <v>0</v>
      </c>
      <c r="AB243" s="6">
        <v>0</v>
      </c>
      <c r="AC243" s="5">
        <f t="shared" si="50"/>
        <v>5</v>
      </c>
    </row>
    <row r="244" spans="1:29" x14ac:dyDescent="0.3">
      <c r="A244" s="7"/>
      <c r="B244" s="54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2</v>
      </c>
      <c r="W244" s="6">
        <v>0</v>
      </c>
      <c r="X244" s="6">
        <v>0</v>
      </c>
      <c r="Y244" s="6">
        <v>1</v>
      </c>
      <c r="Z244" s="6">
        <v>0</v>
      </c>
      <c r="AA244" s="6">
        <v>0</v>
      </c>
      <c r="AB244" s="6">
        <v>0</v>
      </c>
      <c r="AC244" s="5">
        <f t="shared" si="50"/>
        <v>4</v>
      </c>
    </row>
    <row r="245" spans="1:29" x14ac:dyDescent="0.3">
      <c r="A245" s="7"/>
      <c r="B245" s="54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2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5">
        <f t="shared" si="50"/>
        <v>2</v>
      </c>
    </row>
    <row r="246" spans="1:29" x14ac:dyDescent="0.3">
      <c r="A246" s="7"/>
      <c r="B246" s="54"/>
      <c r="C246" s="24" t="s">
        <v>236</v>
      </c>
      <c r="D246" s="51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0</v>
      </c>
      <c r="S246" s="6">
        <v>0</v>
      </c>
      <c r="T246" s="6">
        <v>1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5">
        <f t="shared" si="50"/>
        <v>2</v>
      </c>
    </row>
    <row r="247" spans="1:29" ht="12.75" customHeight="1" x14ac:dyDescent="0.3">
      <c r="A247" s="6" t="s">
        <v>26</v>
      </c>
      <c r="B247" s="69" t="s">
        <v>51</v>
      </c>
      <c r="C247" s="70"/>
      <c r="D247" s="71"/>
      <c r="E247" s="5">
        <f>SUM(E237:E246)</f>
        <v>3</v>
      </c>
      <c r="F247" s="5">
        <f t="shared" ref="F247:AC247" si="51">SUM(F237:F246)</f>
        <v>1</v>
      </c>
      <c r="G247" s="5">
        <f t="shared" si="51"/>
        <v>6</v>
      </c>
      <c r="H247" s="5">
        <f t="shared" si="51"/>
        <v>4</v>
      </c>
      <c r="I247" s="5">
        <f t="shared" si="51"/>
        <v>8</v>
      </c>
      <c r="J247" s="5">
        <f t="shared" si="51"/>
        <v>3</v>
      </c>
      <c r="K247" s="5">
        <f t="shared" si="51"/>
        <v>3</v>
      </c>
      <c r="L247" s="5">
        <f t="shared" si="51"/>
        <v>2</v>
      </c>
      <c r="M247" s="5">
        <f t="shared" si="51"/>
        <v>2</v>
      </c>
      <c r="N247" s="5">
        <f t="shared" si="51"/>
        <v>1</v>
      </c>
      <c r="O247" s="5">
        <f t="shared" si="51"/>
        <v>3</v>
      </c>
      <c r="P247" s="5">
        <f t="shared" si="51"/>
        <v>3</v>
      </c>
      <c r="Q247" s="5">
        <f t="shared" si="51"/>
        <v>3</v>
      </c>
      <c r="R247" s="5">
        <f t="shared" si="51"/>
        <v>1</v>
      </c>
      <c r="S247" s="5">
        <f t="shared" si="51"/>
        <v>2</v>
      </c>
      <c r="T247" s="5">
        <f t="shared" si="51"/>
        <v>3</v>
      </c>
      <c r="U247" s="5">
        <f t="shared" si="51"/>
        <v>3</v>
      </c>
      <c r="V247" s="5">
        <f t="shared" si="51"/>
        <v>3</v>
      </c>
      <c r="W247" s="5">
        <f t="shared" si="51"/>
        <v>5</v>
      </c>
      <c r="X247" s="5">
        <f t="shared" si="51"/>
        <v>3</v>
      </c>
      <c r="Y247" s="5">
        <f t="shared" si="51"/>
        <v>2</v>
      </c>
      <c r="Z247" s="5">
        <f t="shared" si="51"/>
        <v>4</v>
      </c>
      <c r="AA247" s="5">
        <f t="shared" si="51"/>
        <v>0</v>
      </c>
      <c r="AB247" s="5">
        <f t="shared" si="51"/>
        <v>0</v>
      </c>
      <c r="AC247" s="5">
        <f t="shared" si="51"/>
        <v>68</v>
      </c>
    </row>
    <row r="248" spans="1:29" x14ac:dyDescent="0.3">
      <c r="A248" s="77"/>
      <c r="B248" s="78"/>
      <c r="C248" s="78"/>
      <c r="D248" s="78"/>
      <c r="E248" s="79"/>
    </row>
    <row r="249" spans="1:29" x14ac:dyDescent="0.3">
      <c r="A249" s="11" t="s">
        <v>48</v>
      </c>
      <c r="B249" s="17" t="s">
        <v>81</v>
      </c>
      <c r="C249" s="75" t="s">
        <v>82</v>
      </c>
      <c r="D249" s="76"/>
      <c r="E249" s="6">
        <v>0</v>
      </c>
      <c r="F249" s="6">
        <v>1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3</v>
      </c>
      <c r="O249" s="6">
        <v>0</v>
      </c>
      <c r="P249" s="6">
        <v>5</v>
      </c>
      <c r="Q249" s="6">
        <v>0</v>
      </c>
      <c r="R249" s="6">
        <v>1</v>
      </c>
      <c r="S249" s="6">
        <v>0</v>
      </c>
      <c r="T249" s="6">
        <v>0</v>
      </c>
      <c r="U249" s="6">
        <v>1</v>
      </c>
      <c r="V249" s="6">
        <v>0</v>
      </c>
      <c r="W249" s="6">
        <v>0</v>
      </c>
      <c r="X249" s="6">
        <v>0</v>
      </c>
      <c r="Y249" s="6">
        <v>0</v>
      </c>
      <c r="Z249" s="6">
        <v>1</v>
      </c>
      <c r="AA249" s="6">
        <v>0</v>
      </c>
      <c r="AB249" s="6">
        <v>1</v>
      </c>
      <c r="AC249" s="5">
        <f>SUM(E249:AB249)</f>
        <v>14</v>
      </c>
    </row>
    <row r="250" spans="1:29" x14ac:dyDescent="0.3">
      <c r="A250" s="11" t="s">
        <v>50</v>
      </c>
      <c r="B250" s="54"/>
      <c r="C250" s="24" t="s">
        <v>237</v>
      </c>
      <c r="D250" s="51"/>
      <c r="E250" s="6">
        <v>2</v>
      </c>
      <c r="F250" s="6">
        <v>0</v>
      </c>
      <c r="G250" s="6">
        <v>1</v>
      </c>
      <c r="H250" s="6">
        <v>0</v>
      </c>
      <c r="I250" s="6">
        <v>4</v>
      </c>
      <c r="J250" s="6">
        <v>2</v>
      </c>
      <c r="K250" s="6">
        <v>0</v>
      </c>
      <c r="L250" s="6">
        <v>2</v>
      </c>
      <c r="M250" s="6">
        <v>19</v>
      </c>
      <c r="N250" s="6">
        <v>13</v>
      </c>
      <c r="O250" s="6">
        <v>8</v>
      </c>
      <c r="P250" s="6">
        <v>30</v>
      </c>
      <c r="Q250" s="6">
        <v>4</v>
      </c>
      <c r="R250" s="6">
        <v>1</v>
      </c>
      <c r="S250" s="6">
        <v>3</v>
      </c>
      <c r="T250" s="6">
        <v>0</v>
      </c>
      <c r="U250" s="6">
        <v>2</v>
      </c>
      <c r="V250" s="6">
        <v>2</v>
      </c>
      <c r="W250" s="6">
        <v>1</v>
      </c>
      <c r="X250" s="6">
        <v>1</v>
      </c>
      <c r="Y250" s="6">
        <v>1</v>
      </c>
      <c r="Z250" s="6">
        <v>0</v>
      </c>
      <c r="AA250" s="6">
        <v>0</v>
      </c>
      <c r="AB250" s="6">
        <v>0</v>
      </c>
      <c r="AC250" s="5">
        <f t="shared" ref="AC250:AC252" si="52">SUM(E250:AB250)</f>
        <v>96</v>
      </c>
    </row>
    <row r="251" spans="1:29" x14ac:dyDescent="0.3">
      <c r="A251" s="7"/>
      <c r="B251" s="54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1</v>
      </c>
      <c r="N251" s="6">
        <v>1</v>
      </c>
      <c r="O251" s="6">
        <v>1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5">
        <f t="shared" si="52"/>
        <v>3</v>
      </c>
    </row>
    <row r="252" spans="1:29" x14ac:dyDescent="0.3">
      <c r="A252" s="7"/>
      <c r="B252" s="54"/>
      <c r="C252" s="24" t="s">
        <v>239</v>
      </c>
      <c r="D252" s="51"/>
      <c r="E252" s="6">
        <v>2</v>
      </c>
      <c r="F252" s="6">
        <v>1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5">
        <f t="shared" si="52"/>
        <v>3</v>
      </c>
    </row>
    <row r="253" spans="1:29" x14ac:dyDescent="0.3">
      <c r="A253" s="7"/>
      <c r="B253" s="46"/>
      <c r="C253" s="66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0"/>
    </row>
    <row r="254" spans="1:29" x14ac:dyDescent="0.3">
      <c r="A254" s="7"/>
      <c r="B254" s="46"/>
      <c r="C254" s="66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0"/>
    </row>
    <row r="255" spans="1:29" x14ac:dyDescent="0.3">
      <c r="A255" s="7"/>
      <c r="B255" s="46"/>
      <c r="C255" s="66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0"/>
    </row>
    <row r="256" spans="1:29" x14ac:dyDescent="0.3">
      <c r="A256" s="7"/>
      <c r="B256" s="46"/>
      <c r="C256" s="66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0"/>
    </row>
    <row r="257" spans="1:29" x14ac:dyDescent="0.3">
      <c r="A257" s="7"/>
      <c r="B257" s="46"/>
      <c r="C257" s="66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0"/>
    </row>
    <row r="258" spans="1:29" x14ac:dyDescent="0.3">
      <c r="A258" s="7"/>
      <c r="B258" s="46"/>
      <c r="C258" s="66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0"/>
    </row>
    <row r="259" spans="1:29" x14ac:dyDescent="0.3">
      <c r="A259" s="6" t="s">
        <v>26</v>
      </c>
      <c r="B259" s="69" t="s">
        <v>51</v>
      </c>
      <c r="C259" s="70"/>
      <c r="D259" s="71"/>
      <c r="E259" s="5">
        <f>SUM(E249:E258)</f>
        <v>4</v>
      </c>
      <c r="F259" s="5">
        <f t="shared" ref="F259:AC259" si="53">SUM(F249:F258)</f>
        <v>2</v>
      </c>
      <c r="G259" s="5">
        <f t="shared" si="53"/>
        <v>1</v>
      </c>
      <c r="H259" s="5">
        <f t="shared" si="53"/>
        <v>0</v>
      </c>
      <c r="I259" s="5">
        <f t="shared" si="53"/>
        <v>4</v>
      </c>
      <c r="J259" s="5">
        <f t="shared" si="53"/>
        <v>2</v>
      </c>
      <c r="K259" s="5">
        <f t="shared" si="53"/>
        <v>0</v>
      </c>
      <c r="L259" s="5">
        <f t="shared" si="53"/>
        <v>2</v>
      </c>
      <c r="M259" s="5">
        <f t="shared" si="53"/>
        <v>21</v>
      </c>
      <c r="N259" s="5">
        <f t="shared" si="53"/>
        <v>17</v>
      </c>
      <c r="O259" s="5">
        <f t="shared" si="53"/>
        <v>9</v>
      </c>
      <c r="P259" s="5">
        <f t="shared" si="53"/>
        <v>35</v>
      </c>
      <c r="Q259" s="5">
        <f t="shared" si="53"/>
        <v>4</v>
      </c>
      <c r="R259" s="5">
        <f t="shared" si="53"/>
        <v>2</v>
      </c>
      <c r="S259" s="5">
        <f t="shared" si="53"/>
        <v>3</v>
      </c>
      <c r="T259" s="5">
        <f t="shared" si="53"/>
        <v>0</v>
      </c>
      <c r="U259" s="5">
        <f t="shared" si="53"/>
        <v>3</v>
      </c>
      <c r="V259" s="5">
        <f t="shared" si="53"/>
        <v>2</v>
      </c>
      <c r="W259" s="5">
        <f t="shared" si="53"/>
        <v>1</v>
      </c>
      <c r="X259" s="5">
        <f t="shared" si="53"/>
        <v>1</v>
      </c>
      <c r="Y259" s="5">
        <f t="shared" si="53"/>
        <v>1</v>
      </c>
      <c r="Z259" s="5">
        <f t="shared" si="53"/>
        <v>1</v>
      </c>
      <c r="AA259" s="5">
        <f t="shared" si="53"/>
        <v>0</v>
      </c>
      <c r="AB259" s="5">
        <f t="shared" si="53"/>
        <v>1</v>
      </c>
      <c r="AC259" s="5">
        <f t="shared" si="53"/>
        <v>116</v>
      </c>
    </row>
    <row r="261" spans="1:29" x14ac:dyDescent="0.3">
      <c r="A261" s="16" t="s">
        <v>83</v>
      </c>
      <c r="B261" s="72" t="s">
        <v>84</v>
      </c>
      <c r="C261" s="73"/>
      <c r="D261" s="74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5"/>
    </row>
    <row r="262" spans="1:29" x14ac:dyDescent="0.3">
      <c r="A262" s="16"/>
      <c r="B262" s="19" t="s">
        <v>85</v>
      </c>
      <c r="C262" s="67" t="s">
        <v>86</v>
      </c>
      <c r="D262" s="68"/>
      <c r="E262" s="6">
        <f>E55+E67+E79+E91+E103+E115+E127+E139+E151+E163+E175+E187+E199+E211+E223+E235+E247+E259</f>
        <v>156</v>
      </c>
      <c r="F262" s="6">
        <f t="shared" ref="F262:AB262" si="54">F55+F67+F79+F91+F103+F115+F127+F139+F151+F163+F175+F187+F199+F211+F223+F235+F247+F259</f>
        <v>132</v>
      </c>
      <c r="G262" s="6">
        <f t="shared" si="54"/>
        <v>210</v>
      </c>
      <c r="H262" s="6">
        <f t="shared" si="54"/>
        <v>179</v>
      </c>
      <c r="I262" s="6">
        <f t="shared" si="54"/>
        <v>196</v>
      </c>
      <c r="J262" s="6">
        <f t="shared" si="54"/>
        <v>191</v>
      </c>
      <c r="K262" s="6">
        <f t="shared" si="54"/>
        <v>196</v>
      </c>
      <c r="L262" s="6">
        <f t="shared" si="54"/>
        <v>145</v>
      </c>
      <c r="M262" s="6">
        <f t="shared" si="54"/>
        <v>177</v>
      </c>
      <c r="N262" s="6">
        <f t="shared" si="54"/>
        <v>205</v>
      </c>
      <c r="O262" s="6">
        <f t="shared" si="54"/>
        <v>199</v>
      </c>
      <c r="P262" s="6">
        <f t="shared" si="54"/>
        <v>200</v>
      </c>
      <c r="Q262" s="6">
        <f t="shared" si="54"/>
        <v>211</v>
      </c>
      <c r="R262" s="6">
        <f t="shared" si="54"/>
        <v>197</v>
      </c>
      <c r="S262" s="6">
        <f t="shared" si="54"/>
        <v>151</v>
      </c>
      <c r="T262" s="6">
        <f t="shared" si="54"/>
        <v>193</v>
      </c>
      <c r="U262" s="6">
        <f t="shared" si="54"/>
        <v>168</v>
      </c>
      <c r="V262" s="6">
        <f t="shared" si="54"/>
        <v>200</v>
      </c>
      <c r="W262" s="6">
        <f t="shared" ref="W262:Y262" si="55">W55+W67+W79+W91+W103+W115+W127+W139+W151+W163+W175+W187+W199+W211+W223+W235+W247+W259</f>
        <v>170</v>
      </c>
      <c r="X262" s="6">
        <f t="shared" si="55"/>
        <v>140</v>
      </c>
      <c r="Y262" s="6">
        <f t="shared" si="55"/>
        <v>213</v>
      </c>
      <c r="Z262" s="6">
        <f t="shared" si="54"/>
        <v>202</v>
      </c>
      <c r="AA262" s="6">
        <f t="shared" si="54"/>
        <v>186</v>
      </c>
      <c r="AB262" s="6">
        <f t="shared" si="54"/>
        <v>223</v>
      </c>
      <c r="AC262" s="5">
        <f>SUM(E262:AB262)</f>
        <v>4440</v>
      </c>
    </row>
    <row r="263" spans="1:29" x14ac:dyDescent="0.3">
      <c r="A263" s="13"/>
      <c r="B263" s="19" t="s">
        <v>87</v>
      </c>
      <c r="C263" s="67" t="s">
        <v>88</v>
      </c>
      <c r="D263" s="68"/>
      <c r="E263" s="6">
        <v>25</v>
      </c>
      <c r="F263" s="6">
        <v>31</v>
      </c>
      <c r="G263" s="6">
        <v>13</v>
      </c>
      <c r="H263" s="6">
        <v>14</v>
      </c>
      <c r="I263" s="6">
        <v>14</v>
      </c>
      <c r="J263" s="6">
        <v>27</v>
      </c>
      <c r="K263" s="6">
        <v>21</v>
      </c>
      <c r="L263" s="6">
        <v>26</v>
      </c>
      <c r="M263" s="6">
        <v>33</v>
      </c>
      <c r="N263" s="6">
        <v>33</v>
      </c>
      <c r="O263" s="6">
        <v>30</v>
      </c>
      <c r="P263" s="6">
        <v>36</v>
      </c>
      <c r="Q263" s="6">
        <v>24</v>
      </c>
      <c r="R263" s="6">
        <v>28</v>
      </c>
      <c r="S263" s="6">
        <v>33</v>
      </c>
      <c r="T263" s="6">
        <v>9</v>
      </c>
      <c r="U263" s="6">
        <v>23</v>
      </c>
      <c r="V263" s="6">
        <v>10</v>
      </c>
      <c r="W263" s="6">
        <v>16</v>
      </c>
      <c r="X263" s="6">
        <v>39</v>
      </c>
      <c r="Y263" s="6">
        <v>16</v>
      </c>
      <c r="Z263" s="6">
        <v>23</v>
      </c>
      <c r="AA263" s="6">
        <v>15</v>
      </c>
      <c r="AB263" s="6">
        <v>9</v>
      </c>
      <c r="AC263" s="5">
        <f>SUM(E263:AB263)</f>
        <v>548</v>
      </c>
    </row>
    <row r="264" spans="1:29" x14ac:dyDescent="0.3">
      <c r="A264" s="14"/>
      <c r="B264" s="19" t="s">
        <v>89</v>
      </c>
      <c r="C264" s="67" t="s">
        <v>90</v>
      </c>
      <c r="D264" s="68"/>
      <c r="E264" s="5">
        <f>SUM(E262:E263)</f>
        <v>181</v>
      </c>
      <c r="F264" s="5">
        <f t="shared" ref="F264:AB264" si="56">SUM(F262:F263)</f>
        <v>163</v>
      </c>
      <c r="G264" s="5">
        <f t="shared" si="56"/>
        <v>223</v>
      </c>
      <c r="H264" s="5">
        <f t="shared" si="56"/>
        <v>193</v>
      </c>
      <c r="I264" s="5">
        <f t="shared" si="56"/>
        <v>210</v>
      </c>
      <c r="J264" s="5">
        <f t="shared" si="56"/>
        <v>218</v>
      </c>
      <c r="K264" s="5">
        <f t="shared" si="56"/>
        <v>217</v>
      </c>
      <c r="L264" s="5">
        <f t="shared" si="56"/>
        <v>171</v>
      </c>
      <c r="M264" s="5">
        <f t="shared" si="56"/>
        <v>210</v>
      </c>
      <c r="N264" s="5">
        <f t="shared" si="56"/>
        <v>238</v>
      </c>
      <c r="O264" s="5">
        <f t="shared" si="56"/>
        <v>229</v>
      </c>
      <c r="P264" s="5">
        <f t="shared" si="56"/>
        <v>236</v>
      </c>
      <c r="Q264" s="5">
        <f t="shared" si="56"/>
        <v>235</v>
      </c>
      <c r="R264" s="5">
        <f t="shared" si="56"/>
        <v>225</v>
      </c>
      <c r="S264" s="5">
        <f t="shared" si="56"/>
        <v>184</v>
      </c>
      <c r="T264" s="5">
        <f t="shared" si="56"/>
        <v>202</v>
      </c>
      <c r="U264" s="5">
        <f t="shared" si="56"/>
        <v>191</v>
      </c>
      <c r="V264" s="5">
        <f t="shared" si="56"/>
        <v>210</v>
      </c>
      <c r="W264" s="5">
        <f t="shared" ref="W264:Y264" si="57">SUM(W262:W263)</f>
        <v>186</v>
      </c>
      <c r="X264" s="5">
        <f t="shared" si="57"/>
        <v>179</v>
      </c>
      <c r="Y264" s="5">
        <f t="shared" si="57"/>
        <v>229</v>
      </c>
      <c r="Z264" s="5">
        <f t="shared" si="56"/>
        <v>225</v>
      </c>
      <c r="AA264" s="5">
        <f t="shared" si="56"/>
        <v>201</v>
      </c>
      <c r="AB264" s="5">
        <f t="shared" si="56"/>
        <v>232</v>
      </c>
      <c r="AC264" s="5">
        <f>SUM(E264:AB264)</f>
        <v>4988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B12"/>
    <mergeCell ref="AC12:AC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34:T34">
    <cfRule type="expression" dxfId="116" priority="30">
      <formula>E34&lt;&gt;E64</formula>
    </cfRule>
  </conditionalFormatting>
  <conditionalFormatting sqref="E14:AB15">
    <cfRule type="containsBlanks" dxfId="115" priority="21">
      <formula>LEN(TRIM(E14))=0</formula>
    </cfRule>
  </conditionalFormatting>
  <conditionalFormatting sqref="E19:AB20">
    <cfRule type="containsBlanks" dxfId="114" priority="24">
      <formula>LEN(TRIM(E19))=0</formula>
    </cfRule>
  </conditionalFormatting>
  <conditionalFormatting sqref="E22:AB23 E25:AB26 E33:AB33 E35:AB35 E39:AB40">
    <cfRule type="containsBlanks" dxfId="113" priority="25">
      <formula>LEN(TRIM(E22))=0</formula>
    </cfRule>
  </conditionalFormatting>
  <conditionalFormatting sqref="E30:AB30">
    <cfRule type="expression" dxfId="112" priority="26">
      <formula>E30&lt;&gt;E47</formula>
    </cfRule>
    <cfRule type="expression" dxfId="111" priority="27">
      <formula>E30&lt;&gt;E34</formula>
    </cfRule>
  </conditionalFormatting>
  <conditionalFormatting sqref="E34:AB34">
    <cfRule type="expression" dxfId="110" priority="22">
      <formula>E30&lt;&gt;E34</formula>
    </cfRule>
    <cfRule type="expression" dxfId="109" priority="23">
      <formula>E30=E34</formula>
    </cfRule>
    <cfRule type="expression" dxfId="108" priority="28">
      <formula>E34&lt;&gt;E30</formula>
    </cfRule>
  </conditionalFormatting>
  <conditionalFormatting sqref="E45:AB54">
    <cfRule type="containsBlanks" dxfId="107" priority="20">
      <formula>LEN(TRIM(E45))=0</formula>
    </cfRule>
  </conditionalFormatting>
  <conditionalFormatting sqref="E57:AB66">
    <cfRule type="containsBlanks" dxfId="106" priority="19">
      <formula>LEN(TRIM(E57))=0</formula>
    </cfRule>
  </conditionalFormatting>
  <conditionalFormatting sqref="E69:AB78">
    <cfRule type="containsBlanks" dxfId="105" priority="18">
      <formula>LEN(TRIM(E69))=0</formula>
    </cfRule>
  </conditionalFormatting>
  <conditionalFormatting sqref="E81:AB90">
    <cfRule type="containsBlanks" dxfId="104" priority="17">
      <formula>LEN(TRIM(E81))=0</formula>
    </cfRule>
  </conditionalFormatting>
  <conditionalFormatting sqref="E93:AB102">
    <cfRule type="containsBlanks" dxfId="103" priority="16">
      <formula>LEN(TRIM(E93))=0</formula>
    </cfRule>
  </conditionalFormatting>
  <conditionalFormatting sqref="E105:AB114">
    <cfRule type="containsBlanks" dxfId="102" priority="15">
      <formula>LEN(TRIM(E105))=0</formula>
    </cfRule>
  </conditionalFormatting>
  <conditionalFormatting sqref="E117:AB126">
    <cfRule type="containsBlanks" dxfId="101" priority="1">
      <formula>LEN(TRIM(E117))=0</formula>
    </cfRule>
  </conditionalFormatting>
  <conditionalFormatting sqref="E129:AB138">
    <cfRule type="containsBlanks" dxfId="100" priority="14">
      <formula>LEN(TRIM(E129))=0</formula>
    </cfRule>
  </conditionalFormatting>
  <conditionalFormatting sqref="E141:AB150">
    <cfRule type="containsBlanks" dxfId="99" priority="13">
      <formula>LEN(TRIM(E141))=0</formula>
    </cfRule>
  </conditionalFormatting>
  <conditionalFormatting sqref="E153:AB162">
    <cfRule type="containsBlanks" dxfId="98" priority="3">
      <formula>LEN(TRIM(E153))=0</formula>
    </cfRule>
  </conditionalFormatting>
  <conditionalFormatting sqref="E165:AB174">
    <cfRule type="containsBlanks" dxfId="97" priority="12">
      <formula>LEN(TRIM(E165))=0</formula>
    </cfRule>
  </conditionalFormatting>
  <conditionalFormatting sqref="E177:AB186">
    <cfRule type="containsBlanks" dxfId="96" priority="11">
      <formula>LEN(TRIM(E177))=0</formula>
    </cfRule>
  </conditionalFormatting>
  <conditionalFormatting sqref="E189:AB198">
    <cfRule type="containsBlanks" dxfId="95" priority="10">
      <formula>LEN(TRIM(E189))=0</formula>
    </cfRule>
  </conditionalFormatting>
  <conditionalFormatting sqref="E201:AB210">
    <cfRule type="containsBlanks" dxfId="94" priority="9">
      <formula>LEN(TRIM(E201))=0</formula>
    </cfRule>
  </conditionalFormatting>
  <conditionalFormatting sqref="E213:AB222">
    <cfRule type="containsBlanks" dxfId="93" priority="8">
      <formula>LEN(TRIM(E213))=0</formula>
    </cfRule>
  </conditionalFormatting>
  <conditionalFormatting sqref="E225:AB234">
    <cfRule type="containsBlanks" dxfId="92" priority="7">
      <formula>LEN(TRIM(E225))=0</formula>
    </cfRule>
  </conditionalFormatting>
  <conditionalFormatting sqref="E237:AB246">
    <cfRule type="containsBlanks" dxfId="91" priority="6">
      <formula>LEN(TRIM(E237))=0</formula>
    </cfRule>
  </conditionalFormatting>
  <conditionalFormatting sqref="E249:AB258">
    <cfRule type="containsBlanks" dxfId="90" priority="4">
      <formula>LEN(TRIM(E249))=0</formula>
    </cfRule>
  </conditionalFormatting>
  <conditionalFormatting sqref="E262:AB263">
    <cfRule type="containsBlanks" dxfId="89" priority="2">
      <formula>LEN(TRIM(E262))=0</formula>
    </cfRule>
  </conditionalFormatting>
  <conditionalFormatting sqref="U34:AB34">
    <cfRule type="expression" dxfId="88" priority="29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FFC000"/>
  </sheetPr>
  <dimension ref="A2:AD264"/>
  <sheetViews>
    <sheetView tabSelected="1" topLeftCell="D242" zoomScale="70" zoomScaleNormal="70" workbookViewId="0">
      <selection activeCell="AB263" sqref="AB263"/>
    </sheetView>
  </sheetViews>
  <sheetFormatPr defaultRowHeight="13" x14ac:dyDescent="0.3"/>
  <cols>
    <col min="3" max="3" width="67.09765625" bestFit="1" customWidth="1"/>
    <col min="4" max="4" width="5.8984375" bestFit="1" customWidth="1"/>
    <col min="28" max="28" width="13.296875" customWidth="1"/>
  </cols>
  <sheetData>
    <row r="2" spans="1:28" x14ac:dyDescent="0.3">
      <c r="C2" s="44" t="s">
        <v>116</v>
      </c>
      <c r="D2" s="44" t="s">
        <v>240</v>
      </c>
    </row>
    <row r="3" spans="1:28" x14ac:dyDescent="0.3">
      <c r="C3" s="44" t="s">
        <v>117</v>
      </c>
      <c r="D3" s="44" t="s">
        <v>118</v>
      </c>
    </row>
    <row r="4" spans="1:28" x14ac:dyDescent="0.3">
      <c r="C4" s="44" t="s">
        <v>119</v>
      </c>
      <c r="D4" s="44" t="s">
        <v>120</v>
      </c>
    </row>
    <row r="5" spans="1:28" x14ac:dyDescent="0.3">
      <c r="C5" s="44"/>
      <c r="D5" s="44"/>
    </row>
    <row r="6" spans="1:28" x14ac:dyDescent="0.3">
      <c r="C6" s="44"/>
      <c r="D6" s="44"/>
    </row>
    <row r="7" spans="1:28" x14ac:dyDescent="0.3">
      <c r="C7" s="44"/>
      <c r="D7" s="44"/>
    </row>
    <row r="8" spans="1:28" x14ac:dyDescent="0.3">
      <c r="C8" s="44"/>
      <c r="D8" s="44"/>
    </row>
    <row r="9" spans="1:28" x14ac:dyDescent="0.3">
      <c r="C9" s="44" t="s">
        <v>121</v>
      </c>
      <c r="D9" s="44" t="s">
        <v>251</v>
      </c>
    </row>
    <row r="11" spans="1:28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8" x14ac:dyDescent="0.3">
      <c r="A12" s="5" t="s">
        <v>0</v>
      </c>
      <c r="B12" s="72" t="s">
        <v>1</v>
      </c>
      <c r="C12" s="85"/>
      <c r="D12" s="7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8" t="s">
        <v>115</v>
      </c>
    </row>
    <row r="13" spans="1:28" x14ac:dyDescent="0.3">
      <c r="A13" s="6" t="s">
        <v>2</v>
      </c>
      <c r="B13" s="93" t="s">
        <v>3</v>
      </c>
      <c r="C13" s="85"/>
      <c r="D13" s="7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109"/>
    </row>
    <row r="14" spans="1:28" x14ac:dyDescent="0.3">
      <c r="A14" s="7"/>
      <c r="B14" s="96" t="s">
        <v>22</v>
      </c>
      <c r="C14" s="84"/>
      <c r="D14" s="6" t="s">
        <v>23</v>
      </c>
      <c r="E14" s="6">
        <v>139</v>
      </c>
      <c r="F14" s="6">
        <v>131</v>
      </c>
      <c r="G14" s="6">
        <v>139</v>
      </c>
      <c r="H14" s="6">
        <v>147</v>
      </c>
      <c r="I14" s="6">
        <v>121</v>
      </c>
      <c r="J14" s="6">
        <v>145</v>
      </c>
      <c r="K14" s="6">
        <v>129</v>
      </c>
      <c r="L14" s="6">
        <v>152</v>
      </c>
      <c r="M14" s="6">
        <v>140</v>
      </c>
      <c r="N14" s="6">
        <v>130</v>
      </c>
      <c r="O14" s="6">
        <v>146</v>
      </c>
      <c r="P14" s="6">
        <v>129</v>
      </c>
      <c r="Q14" s="6">
        <v>122</v>
      </c>
      <c r="R14" s="6">
        <v>147</v>
      </c>
      <c r="S14" s="6">
        <v>147</v>
      </c>
      <c r="T14" s="6">
        <v>143</v>
      </c>
      <c r="U14" s="6">
        <v>120</v>
      </c>
      <c r="V14" s="6">
        <v>121</v>
      </c>
      <c r="W14" s="6">
        <v>113</v>
      </c>
      <c r="X14" s="6">
        <v>132</v>
      </c>
      <c r="Y14" s="6">
        <v>133</v>
      </c>
      <c r="Z14" s="6">
        <v>145</v>
      </c>
      <c r="AA14" s="6">
        <v>135</v>
      </c>
      <c r="AB14" s="5">
        <f>SUM(E14:AA14)</f>
        <v>3106</v>
      </c>
    </row>
    <row r="15" spans="1:28" x14ac:dyDescent="0.3">
      <c r="A15" s="7"/>
      <c r="B15" s="97"/>
      <c r="C15" s="90"/>
      <c r="D15" s="6" t="s">
        <v>24</v>
      </c>
      <c r="E15" s="6">
        <v>143</v>
      </c>
      <c r="F15" s="6">
        <v>156</v>
      </c>
      <c r="G15" s="6">
        <v>137</v>
      </c>
      <c r="H15" s="6">
        <v>150</v>
      </c>
      <c r="I15" s="6">
        <v>147</v>
      </c>
      <c r="J15" s="6">
        <v>148</v>
      </c>
      <c r="K15" s="6">
        <v>125</v>
      </c>
      <c r="L15" s="6">
        <v>136</v>
      </c>
      <c r="M15" s="6">
        <v>153</v>
      </c>
      <c r="N15" s="6">
        <v>136</v>
      </c>
      <c r="O15" s="6">
        <v>137</v>
      </c>
      <c r="P15" s="6">
        <v>143</v>
      </c>
      <c r="Q15" s="6">
        <v>131</v>
      </c>
      <c r="R15" s="6">
        <v>140</v>
      </c>
      <c r="S15" s="6">
        <v>144</v>
      </c>
      <c r="T15" s="6">
        <v>133</v>
      </c>
      <c r="U15" s="6">
        <v>130</v>
      </c>
      <c r="V15" s="6">
        <v>115</v>
      </c>
      <c r="W15" s="6">
        <v>115</v>
      </c>
      <c r="X15" s="6">
        <v>138</v>
      </c>
      <c r="Y15" s="6">
        <v>129</v>
      </c>
      <c r="Z15" s="6">
        <v>142</v>
      </c>
      <c r="AA15" s="6">
        <v>145</v>
      </c>
      <c r="AB15" s="5">
        <f>SUM(E15:AA15)</f>
        <v>3173</v>
      </c>
    </row>
    <row r="16" spans="1:28" x14ac:dyDescent="0.3">
      <c r="A16" s="8"/>
      <c r="B16" s="95"/>
      <c r="C16" s="91"/>
      <c r="D16" s="5" t="s">
        <v>25</v>
      </c>
      <c r="E16" s="5">
        <f t="shared" ref="E16:AA16" si="0">SUM(E14:E15)</f>
        <v>282</v>
      </c>
      <c r="F16" s="5">
        <f t="shared" si="0"/>
        <v>287</v>
      </c>
      <c r="G16" s="5">
        <f t="shared" si="0"/>
        <v>276</v>
      </c>
      <c r="H16" s="5">
        <f t="shared" si="0"/>
        <v>297</v>
      </c>
      <c r="I16" s="5">
        <f t="shared" si="0"/>
        <v>268</v>
      </c>
      <c r="J16" s="5">
        <f t="shared" si="0"/>
        <v>293</v>
      </c>
      <c r="K16" s="5">
        <f t="shared" si="0"/>
        <v>254</v>
      </c>
      <c r="L16" s="5">
        <f t="shared" si="0"/>
        <v>288</v>
      </c>
      <c r="M16" s="5">
        <f t="shared" si="0"/>
        <v>293</v>
      </c>
      <c r="N16" s="5">
        <f t="shared" si="0"/>
        <v>266</v>
      </c>
      <c r="O16" s="5">
        <f t="shared" si="0"/>
        <v>283</v>
      </c>
      <c r="P16" s="5">
        <f t="shared" si="0"/>
        <v>272</v>
      </c>
      <c r="Q16" s="5">
        <f t="shared" si="0"/>
        <v>253</v>
      </c>
      <c r="R16" s="5">
        <f t="shared" si="0"/>
        <v>287</v>
      </c>
      <c r="S16" s="5">
        <f t="shared" si="0"/>
        <v>291</v>
      </c>
      <c r="T16" s="5">
        <f t="shared" si="0"/>
        <v>276</v>
      </c>
      <c r="U16" s="5">
        <f t="shared" si="0"/>
        <v>250</v>
      </c>
      <c r="V16" s="5">
        <f t="shared" si="0"/>
        <v>236</v>
      </c>
      <c r="W16" s="5">
        <f t="shared" si="0"/>
        <v>228</v>
      </c>
      <c r="X16" s="5">
        <f t="shared" si="0"/>
        <v>270</v>
      </c>
      <c r="Y16" s="5">
        <f t="shared" si="0"/>
        <v>262</v>
      </c>
      <c r="Z16" s="5">
        <f t="shared" si="0"/>
        <v>287</v>
      </c>
      <c r="AA16" s="5">
        <f t="shared" si="0"/>
        <v>280</v>
      </c>
      <c r="AB16" s="5">
        <f>SUM(E16:AA16)</f>
        <v>6279</v>
      </c>
    </row>
    <row r="17" spans="1:28" x14ac:dyDescent="0.3">
      <c r="A17" s="77"/>
      <c r="B17" s="85"/>
      <c r="C17" s="85"/>
      <c r="D17" s="7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29"/>
    </row>
    <row r="18" spans="1:28" x14ac:dyDescent="0.3">
      <c r="A18" s="11" t="s">
        <v>26</v>
      </c>
      <c r="B18" s="93" t="s">
        <v>27</v>
      </c>
      <c r="C18" s="85"/>
      <c r="D18" s="76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29"/>
    </row>
    <row r="19" spans="1:28" x14ac:dyDescent="0.3">
      <c r="A19" s="11"/>
      <c r="B19" s="98" t="s">
        <v>28</v>
      </c>
      <c r="C19" s="99" t="s">
        <v>29</v>
      </c>
      <c r="D19" s="6" t="s">
        <v>23</v>
      </c>
      <c r="E19" s="6">
        <v>96</v>
      </c>
      <c r="F19" s="6">
        <v>104</v>
      </c>
      <c r="G19" s="6">
        <v>101</v>
      </c>
      <c r="H19" s="6">
        <v>128</v>
      </c>
      <c r="I19" s="6">
        <v>93</v>
      </c>
      <c r="J19" s="6">
        <v>103</v>
      </c>
      <c r="K19" s="6">
        <v>92</v>
      </c>
      <c r="L19" s="6">
        <v>105</v>
      </c>
      <c r="M19" s="6">
        <v>99</v>
      </c>
      <c r="N19" s="6">
        <v>86</v>
      </c>
      <c r="O19" s="6">
        <v>113</v>
      </c>
      <c r="P19" s="6">
        <v>104</v>
      </c>
      <c r="Q19" s="6">
        <v>94</v>
      </c>
      <c r="R19" s="6">
        <v>96</v>
      </c>
      <c r="S19" s="6">
        <v>110</v>
      </c>
      <c r="T19" s="6">
        <v>108</v>
      </c>
      <c r="U19" s="6">
        <v>91</v>
      </c>
      <c r="V19" s="6">
        <v>85</v>
      </c>
      <c r="W19" s="6">
        <v>78</v>
      </c>
      <c r="X19" s="6">
        <v>88</v>
      </c>
      <c r="Y19" s="6">
        <v>105</v>
      </c>
      <c r="Z19" s="6">
        <v>112</v>
      </c>
      <c r="AA19" s="6">
        <v>100</v>
      </c>
      <c r="AB19" s="5">
        <f t="shared" ref="AB19:AB30" si="1">SUM(E19:AA19)</f>
        <v>2291</v>
      </c>
    </row>
    <row r="20" spans="1:28" x14ac:dyDescent="0.3">
      <c r="A20" s="12"/>
      <c r="B20" s="90"/>
      <c r="C20" s="100"/>
      <c r="D20" s="6" t="s">
        <v>24</v>
      </c>
      <c r="E20" s="6">
        <v>111</v>
      </c>
      <c r="F20" s="6">
        <v>126</v>
      </c>
      <c r="G20" s="6">
        <v>110</v>
      </c>
      <c r="H20" s="6">
        <v>134</v>
      </c>
      <c r="I20" s="6">
        <v>122</v>
      </c>
      <c r="J20" s="6">
        <v>122</v>
      </c>
      <c r="K20" s="6">
        <v>94</v>
      </c>
      <c r="L20" s="6">
        <v>103</v>
      </c>
      <c r="M20" s="6">
        <v>115</v>
      </c>
      <c r="N20" s="6">
        <v>105</v>
      </c>
      <c r="O20" s="6">
        <v>108</v>
      </c>
      <c r="P20" s="6">
        <v>105</v>
      </c>
      <c r="Q20" s="6">
        <v>108</v>
      </c>
      <c r="R20" s="6">
        <v>108</v>
      </c>
      <c r="S20" s="6">
        <v>115</v>
      </c>
      <c r="T20" s="6">
        <v>110</v>
      </c>
      <c r="U20" s="6">
        <v>104</v>
      </c>
      <c r="V20" s="6">
        <v>88</v>
      </c>
      <c r="W20" s="6">
        <v>101</v>
      </c>
      <c r="X20" s="6">
        <v>114</v>
      </c>
      <c r="Y20" s="6">
        <v>114</v>
      </c>
      <c r="Z20" s="6">
        <v>118</v>
      </c>
      <c r="AA20" s="6">
        <v>107</v>
      </c>
      <c r="AB20" s="5">
        <f t="shared" si="1"/>
        <v>2542</v>
      </c>
    </row>
    <row r="21" spans="1:28" x14ac:dyDescent="0.3">
      <c r="A21" s="13"/>
      <c r="B21" s="91"/>
      <c r="C21" s="101"/>
      <c r="D21" s="5" t="s">
        <v>25</v>
      </c>
      <c r="E21" s="5">
        <f t="shared" ref="E21:AA21" si="2">SUM(E19:E20)</f>
        <v>207</v>
      </c>
      <c r="F21" s="5">
        <f t="shared" si="2"/>
        <v>230</v>
      </c>
      <c r="G21" s="5">
        <f t="shared" si="2"/>
        <v>211</v>
      </c>
      <c r="H21" s="5">
        <f t="shared" si="2"/>
        <v>262</v>
      </c>
      <c r="I21" s="5">
        <f t="shared" si="2"/>
        <v>215</v>
      </c>
      <c r="J21" s="5">
        <f t="shared" si="2"/>
        <v>225</v>
      </c>
      <c r="K21" s="5">
        <f t="shared" si="2"/>
        <v>186</v>
      </c>
      <c r="L21" s="5">
        <f t="shared" si="2"/>
        <v>208</v>
      </c>
      <c r="M21" s="5">
        <f t="shared" si="2"/>
        <v>214</v>
      </c>
      <c r="N21" s="5">
        <f t="shared" si="2"/>
        <v>191</v>
      </c>
      <c r="O21" s="5">
        <f t="shared" si="2"/>
        <v>221</v>
      </c>
      <c r="P21" s="5">
        <f t="shared" si="2"/>
        <v>209</v>
      </c>
      <c r="Q21" s="5">
        <f t="shared" si="2"/>
        <v>202</v>
      </c>
      <c r="R21" s="5">
        <f t="shared" si="2"/>
        <v>204</v>
      </c>
      <c r="S21" s="5">
        <f t="shared" si="2"/>
        <v>225</v>
      </c>
      <c r="T21" s="5">
        <f t="shared" si="2"/>
        <v>218</v>
      </c>
      <c r="U21" s="5">
        <f t="shared" si="2"/>
        <v>195</v>
      </c>
      <c r="V21" s="5">
        <f t="shared" si="2"/>
        <v>173</v>
      </c>
      <c r="W21" s="5">
        <f t="shared" si="2"/>
        <v>179</v>
      </c>
      <c r="X21" s="5">
        <f t="shared" si="2"/>
        <v>202</v>
      </c>
      <c r="Y21" s="5">
        <f t="shared" si="2"/>
        <v>219</v>
      </c>
      <c r="Z21" s="5">
        <f t="shared" si="2"/>
        <v>230</v>
      </c>
      <c r="AA21" s="5">
        <f t="shared" si="2"/>
        <v>207</v>
      </c>
      <c r="AB21" s="5">
        <f t="shared" si="1"/>
        <v>4833</v>
      </c>
    </row>
    <row r="22" spans="1:28" x14ac:dyDescent="0.3">
      <c r="A22" s="12"/>
      <c r="B22" s="98" t="s">
        <v>30</v>
      </c>
      <c r="C22" s="9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/>
      <c r="V22" s="6"/>
      <c r="W22" s="6"/>
      <c r="X22" s="6"/>
      <c r="Y22" s="6"/>
      <c r="Z22" s="6"/>
      <c r="AA22" s="6"/>
      <c r="AB22" s="5">
        <f t="shared" si="1"/>
        <v>0</v>
      </c>
    </row>
    <row r="23" spans="1:28" x14ac:dyDescent="0.3">
      <c r="A23" s="12"/>
      <c r="B23" s="90"/>
      <c r="C23" s="100"/>
      <c r="D23" s="6" t="s">
        <v>24</v>
      </c>
      <c r="E23" s="6">
        <v>0</v>
      </c>
      <c r="F23" s="6">
        <v>3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/>
      <c r="V23" s="6"/>
      <c r="W23" s="6"/>
      <c r="X23" s="6"/>
      <c r="Y23" s="6"/>
      <c r="Z23" s="6"/>
      <c r="AA23" s="6"/>
      <c r="AB23" s="5">
        <f t="shared" si="1"/>
        <v>3</v>
      </c>
    </row>
    <row r="24" spans="1:28" x14ac:dyDescent="0.3">
      <c r="A24" s="13"/>
      <c r="B24" s="91"/>
      <c r="C24" s="101"/>
      <c r="D24" s="5" t="s">
        <v>25</v>
      </c>
      <c r="E24" s="5">
        <f t="shared" ref="E24:AA24" si="3">SUM(E22:E23)</f>
        <v>0</v>
      </c>
      <c r="F24" s="5">
        <f t="shared" si="3"/>
        <v>3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3"/>
        <v>0</v>
      </c>
      <c r="S24" s="5">
        <f t="shared" si="3"/>
        <v>0</v>
      </c>
      <c r="T24" s="5">
        <f t="shared" si="3"/>
        <v>0</v>
      </c>
      <c r="U24" s="5">
        <f t="shared" si="3"/>
        <v>0</v>
      </c>
      <c r="V24" s="5">
        <f t="shared" si="3"/>
        <v>0</v>
      </c>
      <c r="W24" s="5">
        <f t="shared" si="3"/>
        <v>0</v>
      </c>
      <c r="X24" s="5">
        <f t="shared" si="3"/>
        <v>0</v>
      </c>
      <c r="Y24" s="5">
        <f t="shared" si="3"/>
        <v>0</v>
      </c>
      <c r="Z24" s="5">
        <f t="shared" si="3"/>
        <v>0</v>
      </c>
      <c r="AA24" s="5">
        <f t="shared" si="3"/>
        <v>0</v>
      </c>
      <c r="AB24" s="5">
        <f t="shared" si="1"/>
        <v>3</v>
      </c>
    </row>
    <row r="25" spans="1:28" x14ac:dyDescent="0.3">
      <c r="A25" s="12"/>
      <c r="B25" s="98" t="s">
        <v>32</v>
      </c>
      <c r="C25" s="99" t="s">
        <v>33</v>
      </c>
      <c r="D25" s="6" t="s">
        <v>23</v>
      </c>
      <c r="E25" s="6">
        <v>0</v>
      </c>
      <c r="F25" s="6">
        <v>0</v>
      </c>
      <c r="G25" s="6">
        <v>2</v>
      </c>
      <c r="H25" s="6">
        <v>0</v>
      </c>
      <c r="I25" s="6">
        <v>5</v>
      </c>
      <c r="J25" s="6">
        <v>0</v>
      </c>
      <c r="K25" s="6">
        <v>0</v>
      </c>
      <c r="L25" s="6">
        <v>1</v>
      </c>
      <c r="M25" s="6">
        <v>1</v>
      </c>
      <c r="N25" s="6">
        <v>1</v>
      </c>
      <c r="O25" s="6">
        <v>2</v>
      </c>
      <c r="P25" s="6">
        <v>0</v>
      </c>
      <c r="Q25" s="6">
        <v>1</v>
      </c>
      <c r="R25" s="6">
        <v>1</v>
      </c>
      <c r="S25" s="6">
        <v>2</v>
      </c>
      <c r="T25" s="6">
        <v>0</v>
      </c>
      <c r="U25" s="6">
        <v>0</v>
      </c>
      <c r="V25" s="6">
        <v>1</v>
      </c>
      <c r="W25" s="6">
        <v>0</v>
      </c>
      <c r="X25" s="6">
        <v>1</v>
      </c>
      <c r="Y25" s="6">
        <v>2</v>
      </c>
      <c r="Z25" s="6">
        <v>0</v>
      </c>
      <c r="AA25" s="6">
        <v>4</v>
      </c>
      <c r="AB25" s="5">
        <f t="shared" si="1"/>
        <v>24</v>
      </c>
    </row>
    <row r="26" spans="1:28" x14ac:dyDescent="0.3">
      <c r="A26" s="12"/>
      <c r="B26" s="90"/>
      <c r="C26" s="100"/>
      <c r="D26" s="6" t="s">
        <v>24</v>
      </c>
      <c r="E26" s="6">
        <v>0</v>
      </c>
      <c r="F26" s="6">
        <v>0</v>
      </c>
      <c r="G26" s="6">
        <v>1</v>
      </c>
      <c r="H26" s="6">
        <v>0</v>
      </c>
      <c r="I26" s="6">
        <v>6</v>
      </c>
      <c r="J26" s="6">
        <v>0</v>
      </c>
      <c r="K26" s="6">
        <v>0</v>
      </c>
      <c r="L26" s="6">
        <v>1</v>
      </c>
      <c r="M26" s="6">
        <v>0</v>
      </c>
      <c r="N26" s="6">
        <v>3</v>
      </c>
      <c r="O26" s="6">
        <v>3</v>
      </c>
      <c r="P26" s="6">
        <v>1</v>
      </c>
      <c r="Q26" s="6">
        <v>0</v>
      </c>
      <c r="R26" s="6">
        <v>0</v>
      </c>
      <c r="S26" s="6">
        <v>4</v>
      </c>
      <c r="T26" s="6">
        <v>0</v>
      </c>
      <c r="U26" s="6">
        <v>0</v>
      </c>
      <c r="V26" s="6">
        <v>1</v>
      </c>
      <c r="W26" s="6">
        <v>0</v>
      </c>
      <c r="X26" s="6">
        <v>1</v>
      </c>
      <c r="Y26" s="6">
        <v>2</v>
      </c>
      <c r="Z26" s="6">
        <v>0</v>
      </c>
      <c r="AA26" s="6">
        <v>3</v>
      </c>
      <c r="AB26" s="5">
        <f t="shared" si="1"/>
        <v>26</v>
      </c>
    </row>
    <row r="27" spans="1:28" x14ac:dyDescent="0.3">
      <c r="A27" s="13"/>
      <c r="B27" s="91"/>
      <c r="C27" s="101"/>
      <c r="D27" s="5" t="s">
        <v>25</v>
      </c>
      <c r="E27" s="5">
        <f t="shared" ref="E27:AA27" si="4">SUM(E25:E26)</f>
        <v>0</v>
      </c>
      <c r="F27" s="5">
        <f t="shared" si="4"/>
        <v>0</v>
      </c>
      <c r="G27" s="5">
        <f t="shared" si="4"/>
        <v>3</v>
      </c>
      <c r="H27" s="5">
        <f t="shared" si="4"/>
        <v>0</v>
      </c>
      <c r="I27" s="5">
        <f t="shared" si="4"/>
        <v>11</v>
      </c>
      <c r="J27" s="5">
        <f t="shared" si="4"/>
        <v>0</v>
      </c>
      <c r="K27" s="5">
        <f t="shared" si="4"/>
        <v>0</v>
      </c>
      <c r="L27" s="5">
        <f t="shared" si="4"/>
        <v>2</v>
      </c>
      <c r="M27" s="5">
        <f t="shared" si="4"/>
        <v>1</v>
      </c>
      <c r="N27" s="5">
        <f t="shared" si="4"/>
        <v>4</v>
      </c>
      <c r="O27" s="5">
        <f t="shared" si="4"/>
        <v>5</v>
      </c>
      <c r="P27" s="5">
        <f t="shared" si="4"/>
        <v>1</v>
      </c>
      <c r="Q27" s="5">
        <f t="shared" si="4"/>
        <v>1</v>
      </c>
      <c r="R27" s="5">
        <f t="shared" si="4"/>
        <v>1</v>
      </c>
      <c r="S27" s="5">
        <f t="shared" si="4"/>
        <v>6</v>
      </c>
      <c r="T27" s="5">
        <f t="shared" si="4"/>
        <v>0</v>
      </c>
      <c r="U27" s="5">
        <f t="shared" si="4"/>
        <v>0</v>
      </c>
      <c r="V27" s="5">
        <f t="shared" si="4"/>
        <v>2</v>
      </c>
      <c r="W27" s="5">
        <f t="shared" si="4"/>
        <v>0</v>
      </c>
      <c r="X27" s="5">
        <f t="shared" si="4"/>
        <v>2</v>
      </c>
      <c r="Y27" s="5">
        <f t="shared" si="4"/>
        <v>4</v>
      </c>
      <c r="Z27" s="5">
        <f t="shared" si="4"/>
        <v>0</v>
      </c>
      <c r="AA27" s="5">
        <f t="shared" si="4"/>
        <v>7</v>
      </c>
      <c r="AB27" s="5">
        <f t="shared" si="1"/>
        <v>50</v>
      </c>
    </row>
    <row r="28" spans="1:28" x14ac:dyDescent="0.3">
      <c r="A28" s="13"/>
      <c r="B28" s="102" t="s">
        <v>34</v>
      </c>
      <c r="C28" s="103" t="s">
        <v>35</v>
      </c>
      <c r="D28" s="5" t="s">
        <v>23</v>
      </c>
      <c r="E28" s="5">
        <f>SUM(E19,E22,E25)</f>
        <v>96</v>
      </c>
      <c r="F28" s="5">
        <f t="shared" ref="F28:AA29" si="5">SUM(F19,F22,F25)</f>
        <v>104</v>
      </c>
      <c r="G28" s="5">
        <f t="shared" si="5"/>
        <v>103</v>
      </c>
      <c r="H28" s="5">
        <f t="shared" si="5"/>
        <v>128</v>
      </c>
      <c r="I28" s="5">
        <f t="shared" si="5"/>
        <v>98</v>
      </c>
      <c r="J28" s="5">
        <f t="shared" si="5"/>
        <v>103</v>
      </c>
      <c r="K28" s="5">
        <f t="shared" si="5"/>
        <v>92</v>
      </c>
      <c r="L28" s="5">
        <f t="shared" si="5"/>
        <v>106</v>
      </c>
      <c r="M28" s="5">
        <f t="shared" si="5"/>
        <v>100</v>
      </c>
      <c r="N28" s="5">
        <f t="shared" si="5"/>
        <v>87</v>
      </c>
      <c r="O28" s="5">
        <f t="shared" si="5"/>
        <v>115</v>
      </c>
      <c r="P28" s="5">
        <f t="shared" si="5"/>
        <v>104</v>
      </c>
      <c r="Q28" s="5">
        <f t="shared" si="5"/>
        <v>95</v>
      </c>
      <c r="R28" s="5">
        <f t="shared" si="5"/>
        <v>97</v>
      </c>
      <c r="S28" s="5">
        <f t="shared" si="5"/>
        <v>112</v>
      </c>
      <c r="T28" s="5">
        <f t="shared" si="5"/>
        <v>108</v>
      </c>
      <c r="U28" s="5">
        <f t="shared" si="5"/>
        <v>91</v>
      </c>
      <c r="V28" s="5">
        <f t="shared" si="5"/>
        <v>86</v>
      </c>
      <c r="W28" s="5">
        <f t="shared" si="5"/>
        <v>78</v>
      </c>
      <c r="X28" s="5">
        <f t="shared" si="5"/>
        <v>89</v>
      </c>
      <c r="Y28" s="5">
        <f t="shared" si="5"/>
        <v>107</v>
      </c>
      <c r="Z28" s="5">
        <f t="shared" si="5"/>
        <v>112</v>
      </c>
      <c r="AA28" s="5">
        <f t="shared" si="5"/>
        <v>104</v>
      </c>
      <c r="AB28" s="5">
        <f t="shared" si="1"/>
        <v>2315</v>
      </c>
    </row>
    <row r="29" spans="1:28" x14ac:dyDescent="0.3">
      <c r="A29" s="13"/>
      <c r="B29" s="90"/>
      <c r="C29" s="100"/>
      <c r="D29" s="5" t="s">
        <v>24</v>
      </c>
      <c r="E29" s="5">
        <f>SUM(E20,E23,E26)</f>
        <v>111</v>
      </c>
      <c r="F29" s="5">
        <f t="shared" si="5"/>
        <v>129</v>
      </c>
      <c r="G29" s="5">
        <f t="shared" si="5"/>
        <v>111</v>
      </c>
      <c r="H29" s="5">
        <f t="shared" si="5"/>
        <v>134</v>
      </c>
      <c r="I29" s="5">
        <f t="shared" si="5"/>
        <v>128</v>
      </c>
      <c r="J29" s="5">
        <f t="shared" si="5"/>
        <v>122</v>
      </c>
      <c r="K29" s="5">
        <f t="shared" si="5"/>
        <v>94</v>
      </c>
      <c r="L29" s="5">
        <f t="shared" si="5"/>
        <v>104</v>
      </c>
      <c r="M29" s="5">
        <f t="shared" si="5"/>
        <v>115</v>
      </c>
      <c r="N29" s="5">
        <f t="shared" si="5"/>
        <v>108</v>
      </c>
      <c r="O29" s="5">
        <f t="shared" si="5"/>
        <v>111</v>
      </c>
      <c r="P29" s="5">
        <f t="shared" si="5"/>
        <v>106</v>
      </c>
      <c r="Q29" s="5">
        <f t="shared" si="5"/>
        <v>108</v>
      </c>
      <c r="R29" s="5">
        <f t="shared" si="5"/>
        <v>108</v>
      </c>
      <c r="S29" s="5">
        <f t="shared" si="5"/>
        <v>119</v>
      </c>
      <c r="T29" s="5">
        <f t="shared" si="5"/>
        <v>110</v>
      </c>
      <c r="U29" s="5">
        <f t="shared" si="5"/>
        <v>104</v>
      </c>
      <c r="V29" s="5">
        <f t="shared" si="5"/>
        <v>89</v>
      </c>
      <c r="W29" s="5">
        <f t="shared" si="5"/>
        <v>101</v>
      </c>
      <c r="X29" s="5">
        <f t="shared" si="5"/>
        <v>115</v>
      </c>
      <c r="Y29" s="5">
        <f t="shared" si="5"/>
        <v>116</v>
      </c>
      <c r="Z29" s="5">
        <f t="shared" si="5"/>
        <v>118</v>
      </c>
      <c r="AA29" s="5">
        <f t="shared" si="5"/>
        <v>110</v>
      </c>
      <c r="AB29" s="5">
        <f t="shared" si="1"/>
        <v>2571</v>
      </c>
    </row>
    <row r="30" spans="1:28" x14ac:dyDescent="0.3">
      <c r="A30" s="13"/>
      <c r="B30" s="91"/>
      <c r="C30" s="101"/>
      <c r="D30" s="5" t="s">
        <v>25</v>
      </c>
      <c r="E30" s="5">
        <f t="shared" ref="E30" si="6">SUM(E28:E29)</f>
        <v>207</v>
      </c>
      <c r="F30" s="5">
        <f t="shared" ref="F30:AA30" si="7">SUM(F28:F29)</f>
        <v>233</v>
      </c>
      <c r="G30" s="5">
        <f t="shared" si="7"/>
        <v>214</v>
      </c>
      <c r="H30" s="5">
        <f t="shared" si="7"/>
        <v>262</v>
      </c>
      <c r="I30" s="5">
        <f t="shared" si="7"/>
        <v>226</v>
      </c>
      <c r="J30" s="5">
        <f t="shared" si="7"/>
        <v>225</v>
      </c>
      <c r="K30" s="5">
        <f t="shared" si="7"/>
        <v>186</v>
      </c>
      <c r="L30" s="5">
        <f t="shared" si="7"/>
        <v>210</v>
      </c>
      <c r="M30" s="5">
        <f t="shared" si="7"/>
        <v>215</v>
      </c>
      <c r="N30" s="5">
        <f t="shared" si="7"/>
        <v>195</v>
      </c>
      <c r="O30" s="5">
        <f t="shared" si="7"/>
        <v>226</v>
      </c>
      <c r="P30" s="5">
        <f t="shared" si="7"/>
        <v>210</v>
      </c>
      <c r="Q30" s="5">
        <f t="shared" si="7"/>
        <v>203</v>
      </c>
      <c r="R30" s="5">
        <f t="shared" si="7"/>
        <v>205</v>
      </c>
      <c r="S30" s="5">
        <f t="shared" si="7"/>
        <v>231</v>
      </c>
      <c r="T30" s="5">
        <f t="shared" si="7"/>
        <v>218</v>
      </c>
      <c r="U30" s="5">
        <f t="shared" si="7"/>
        <v>195</v>
      </c>
      <c r="V30" s="5">
        <f t="shared" si="7"/>
        <v>175</v>
      </c>
      <c r="W30" s="5">
        <f t="shared" si="7"/>
        <v>179</v>
      </c>
      <c r="X30" s="5">
        <f t="shared" si="7"/>
        <v>204</v>
      </c>
      <c r="Y30" s="5">
        <f t="shared" si="7"/>
        <v>223</v>
      </c>
      <c r="Z30" s="5">
        <f t="shared" si="7"/>
        <v>230</v>
      </c>
      <c r="AA30" s="5">
        <f t="shared" si="7"/>
        <v>214</v>
      </c>
      <c r="AB30" s="5">
        <f t="shared" si="1"/>
        <v>4886</v>
      </c>
    </row>
    <row r="31" spans="1:28" x14ac:dyDescent="0.3">
      <c r="A31" s="77"/>
      <c r="B31" s="85"/>
      <c r="C31" s="85"/>
      <c r="D31" s="76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29"/>
    </row>
    <row r="32" spans="1:28" x14ac:dyDescent="0.3">
      <c r="A32" s="14" t="s">
        <v>36</v>
      </c>
      <c r="B32" s="72" t="s">
        <v>37</v>
      </c>
      <c r="C32" s="85"/>
      <c r="D32" s="76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29"/>
    </row>
    <row r="33" spans="1:28" x14ac:dyDescent="0.3">
      <c r="A33" s="6">
        <v>1</v>
      </c>
      <c r="B33" s="93" t="s">
        <v>38</v>
      </c>
      <c r="C33" s="85"/>
      <c r="D33" s="76"/>
      <c r="E33" s="6">
        <v>298</v>
      </c>
      <c r="F33" s="6">
        <v>293</v>
      </c>
      <c r="G33" s="6">
        <v>282</v>
      </c>
      <c r="H33" s="6">
        <v>303</v>
      </c>
      <c r="I33" s="6">
        <v>274</v>
      </c>
      <c r="J33" s="6">
        <v>299</v>
      </c>
      <c r="K33" s="6">
        <v>260</v>
      </c>
      <c r="L33" s="6">
        <v>294</v>
      </c>
      <c r="M33" s="6">
        <v>299</v>
      </c>
      <c r="N33" s="6">
        <v>272</v>
      </c>
      <c r="O33" s="6">
        <v>289</v>
      </c>
      <c r="P33" s="6">
        <v>278</v>
      </c>
      <c r="Q33" s="6">
        <v>259</v>
      </c>
      <c r="R33" s="6">
        <v>293</v>
      </c>
      <c r="S33" s="6">
        <v>287</v>
      </c>
      <c r="T33" s="6">
        <v>282</v>
      </c>
      <c r="U33" s="6">
        <v>255</v>
      </c>
      <c r="V33" s="6">
        <v>241</v>
      </c>
      <c r="W33" s="6">
        <v>233</v>
      </c>
      <c r="X33" s="6">
        <v>276</v>
      </c>
      <c r="Y33" s="6">
        <v>268</v>
      </c>
      <c r="Z33" s="6">
        <v>293</v>
      </c>
      <c r="AA33" s="6">
        <v>256</v>
      </c>
      <c r="AB33" s="5">
        <f>SUM(E33:AA33)</f>
        <v>6384</v>
      </c>
    </row>
    <row r="34" spans="1:28" x14ac:dyDescent="0.3">
      <c r="A34" s="6">
        <v>2</v>
      </c>
      <c r="B34" s="93" t="s">
        <v>39</v>
      </c>
      <c r="C34" s="85"/>
      <c r="D34" s="76"/>
      <c r="E34" s="5">
        <v>207</v>
      </c>
      <c r="F34" s="5">
        <v>233</v>
      </c>
      <c r="G34" s="5">
        <v>214</v>
      </c>
      <c r="H34" s="5">
        <v>262</v>
      </c>
      <c r="I34" s="5">
        <v>226</v>
      </c>
      <c r="J34" s="5">
        <v>225</v>
      </c>
      <c r="K34" s="5">
        <v>186</v>
      </c>
      <c r="L34" s="5">
        <v>210</v>
      </c>
      <c r="M34" s="5">
        <v>215</v>
      </c>
      <c r="N34" s="5">
        <v>195</v>
      </c>
      <c r="O34" s="5">
        <v>226</v>
      </c>
      <c r="P34" s="5">
        <v>210</v>
      </c>
      <c r="Q34" s="5">
        <v>203</v>
      </c>
      <c r="R34" s="5">
        <v>205</v>
      </c>
      <c r="S34" s="5">
        <v>231</v>
      </c>
      <c r="T34" s="5">
        <v>218</v>
      </c>
      <c r="U34" s="5">
        <v>195</v>
      </c>
      <c r="V34" s="5">
        <v>175</v>
      </c>
      <c r="W34" s="5">
        <v>179</v>
      </c>
      <c r="X34" s="5">
        <v>204</v>
      </c>
      <c r="Y34" s="5">
        <v>223</v>
      </c>
      <c r="Z34" s="5">
        <v>230</v>
      </c>
      <c r="AA34" s="5">
        <v>214</v>
      </c>
      <c r="AB34" s="5">
        <f>SUM(E34:AA34)</f>
        <v>4886</v>
      </c>
    </row>
    <row r="35" spans="1:28" x14ac:dyDescent="0.3">
      <c r="A35" s="6">
        <v>3</v>
      </c>
      <c r="B35" s="93" t="s">
        <v>40</v>
      </c>
      <c r="C35" s="85"/>
      <c r="D35" s="76"/>
      <c r="E35" s="6">
        <v>0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5">
        <f>SUM(E35:AA35)</f>
        <v>2</v>
      </c>
    </row>
    <row r="36" spans="1:28" x14ac:dyDescent="0.3">
      <c r="A36" s="6">
        <v>4</v>
      </c>
      <c r="B36" s="93" t="s">
        <v>41</v>
      </c>
      <c r="C36" s="85"/>
      <c r="D36" s="76"/>
      <c r="E36" s="5">
        <f t="shared" ref="E36:AA36" si="8">E33-(E34+E35)</f>
        <v>91</v>
      </c>
      <c r="F36" s="5">
        <f t="shared" si="8"/>
        <v>59</v>
      </c>
      <c r="G36" s="5">
        <f t="shared" si="8"/>
        <v>68</v>
      </c>
      <c r="H36" s="5">
        <f t="shared" si="8"/>
        <v>41</v>
      </c>
      <c r="I36" s="5">
        <f t="shared" si="8"/>
        <v>48</v>
      </c>
      <c r="J36" s="5">
        <f t="shared" si="8"/>
        <v>74</v>
      </c>
      <c r="K36" s="5">
        <f t="shared" si="8"/>
        <v>74</v>
      </c>
      <c r="L36" s="5">
        <f t="shared" si="8"/>
        <v>84</v>
      </c>
      <c r="M36" s="5">
        <f t="shared" si="8"/>
        <v>84</v>
      </c>
      <c r="N36" s="5">
        <f t="shared" si="8"/>
        <v>77</v>
      </c>
      <c r="O36" s="5">
        <f t="shared" si="8"/>
        <v>63</v>
      </c>
      <c r="P36" s="5">
        <f t="shared" si="8"/>
        <v>68</v>
      </c>
      <c r="Q36" s="5">
        <f t="shared" si="8"/>
        <v>56</v>
      </c>
      <c r="R36" s="5">
        <f t="shared" si="8"/>
        <v>88</v>
      </c>
      <c r="S36" s="5">
        <f t="shared" si="8"/>
        <v>56</v>
      </c>
      <c r="T36" s="5">
        <f t="shared" si="8"/>
        <v>64</v>
      </c>
      <c r="U36" s="5">
        <f t="shared" si="8"/>
        <v>59</v>
      </c>
      <c r="V36" s="5">
        <f t="shared" si="8"/>
        <v>66</v>
      </c>
      <c r="W36" s="5">
        <f t="shared" si="8"/>
        <v>54</v>
      </c>
      <c r="X36" s="5">
        <f t="shared" si="8"/>
        <v>72</v>
      </c>
      <c r="Y36" s="5">
        <f t="shared" si="8"/>
        <v>45</v>
      </c>
      <c r="Z36" s="5">
        <f t="shared" si="8"/>
        <v>63</v>
      </c>
      <c r="AA36" s="5">
        <f t="shared" si="8"/>
        <v>42</v>
      </c>
      <c r="AB36" s="5">
        <f>SUM(E36:AA36)</f>
        <v>1496</v>
      </c>
    </row>
    <row r="37" spans="1:28" x14ac:dyDescent="0.3">
      <c r="A37" s="77"/>
      <c r="B37" s="85"/>
      <c r="C37" s="85"/>
      <c r="D37" s="85"/>
      <c r="E37" s="77"/>
      <c r="F37" s="104"/>
      <c r="G37" s="104"/>
      <c r="H37" s="104"/>
      <c r="I37" s="105"/>
      <c r="J37" s="6"/>
      <c r="K37" s="6"/>
      <c r="L37" s="6"/>
      <c r="M37" s="6"/>
      <c r="N37" s="10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9"/>
    </row>
    <row r="38" spans="1:28" x14ac:dyDescent="0.3">
      <c r="A38" s="16" t="s">
        <v>42</v>
      </c>
      <c r="B38" s="72" t="s">
        <v>43</v>
      </c>
      <c r="C38" s="85"/>
      <c r="D38" s="76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29"/>
    </row>
    <row r="39" spans="1:28" x14ac:dyDescent="0.3">
      <c r="A39" s="11"/>
      <c r="B39" s="88" t="s">
        <v>44</v>
      </c>
      <c r="C39" s="84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</v>
      </c>
      <c r="R39" s="6"/>
      <c r="S39" s="6"/>
      <c r="T39" s="6">
        <v>0</v>
      </c>
      <c r="U39" s="6">
        <v>0</v>
      </c>
      <c r="V39" s="6">
        <v>1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5">
        <f>SUM(E39:AA39)</f>
        <v>3</v>
      </c>
    </row>
    <row r="40" spans="1:28" x14ac:dyDescent="0.3">
      <c r="A40" s="12"/>
      <c r="B40" s="89"/>
      <c r="C40" s="90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0</v>
      </c>
      <c r="U40" s="6">
        <v>0</v>
      </c>
      <c r="V40" s="6">
        <v>1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5">
        <f>SUM(E40:AA40)</f>
        <v>1</v>
      </c>
    </row>
    <row r="41" spans="1:28" x14ac:dyDescent="0.3">
      <c r="A41" s="14"/>
      <c r="B41" s="87"/>
      <c r="C41" s="91"/>
      <c r="D41" s="5" t="s">
        <v>25</v>
      </c>
      <c r="E41" s="5">
        <f t="shared" ref="E41:AA41" si="9">SUM(E39:E40)</f>
        <v>0</v>
      </c>
      <c r="F41" s="5">
        <f t="shared" si="9"/>
        <v>0</v>
      </c>
      <c r="G41" s="5">
        <f t="shared" si="9"/>
        <v>0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 t="shared" si="9"/>
        <v>0</v>
      </c>
      <c r="O41" s="5">
        <f t="shared" si="9"/>
        <v>0</v>
      </c>
      <c r="P41" s="5">
        <f t="shared" si="9"/>
        <v>0</v>
      </c>
      <c r="Q41" s="5">
        <f t="shared" si="9"/>
        <v>1</v>
      </c>
      <c r="R41" s="5">
        <f t="shared" si="9"/>
        <v>0</v>
      </c>
      <c r="S41" s="5">
        <f t="shared" si="9"/>
        <v>0</v>
      </c>
      <c r="T41" s="5">
        <f t="shared" si="9"/>
        <v>0</v>
      </c>
      <c r="U41" s="5">
        <f t="shared" si="9"/>
        <v>0</v>
      </c>
      <c r="V41" s="5">
        <f t="shared" si="9"/>
        <v>2</v>
      </c>
      <c r="W41" s="5">
        <f t="shared" si="9"/>
        <v>0</v>
      </c>
      <c r="X41" s="5">
        <f t="shared" si="9"/>
        <v>0</v>
      </c>
      <c r="Y41" s="5">
        <f t="shared" si="9"/>
        <v>0</v>
      </c>
      <c r="Z41" s="5">
        <f t="shared" si="9"/>
        <v>0</v>
      </c>
      <c r="AA41" s="5">
        <f t="shared" si="9"/>
        <v>1</v>
      </c>
      <c r="AB41" s="5">
        <f>SUM(E41:AA41)</f>
        <v>4</v>
      </c>
    </row>
    <row r="42" spans="1:28" x14ac:dyDescent="0.3">
      <c r="A42" s="86"/>
      <c r="B42" s="87"/>
      <c r="C42" s="87"/>
      <c r="D42" s="91"/>
      <c r="E42" s="77"/>
      <c r="F42" s="85"/>
      <c r="G42" s="85"/>
      <c r="H42" s="85"/>
      <c r="I42" s="76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6"/>
      <c r="Z42" s="10"/>
      <c r="AA42" s="6"/>
      <c r="AB42" s="5"/>
    </row>
    <row r="43" spans="1:28" ht="13.15" customHeight="1" x14ac:dyDescent="0.3">
      <c r="A43" s="16" t="s">
        <v>45</v>
      </c>
      <c r="B43" s="72" t="s">
        <v>46</v>
      </c>
      <c r="C43" s="85"/>
      <c r="D43" s="7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5"/>
      <c r="Z43" s="15"/>
      <c r="AA43" s="5"/>
      <c r="AB43" s="5"/>
    </row>
    <row r="44" spans="1:28" ht="13.15" customHeight="1" x14ac:dyDescent="0.3">
      <c r="A44" s="88" t="s">
        <v>47</v>
      </c>
      <c r="B44" s="92"/>
      <c r="C44" s="92"/>
      <c r="D44" s="8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6"/>
      <c r="Z44" s="10"/>
      <c r="AA44" s="6"/>
      <c r="AB44" s="5"/>
    </row>
    <row r="45" spans="1:28" x14ac:dyDescent="0.3">
      <c r="A45" s="11" t="s">
        <v>48</v>
      </c>
      <c r="B45" s="17" t="s">
        <v>28</v>
      </c>
      <c r="C45" s="75" t="s">
        <v>49</v>
      </c>
      <c r="D45" s="76"/>
      <c r="E45" s="6">
        <v>24</v>
      </c>
      <c r="F45" s="6">
        <v>6</v>
      </c>
      <c r="G45" s="6">
        <v>16</v>
      </c>
      <c r="H45" s="6">
        <v>8</v>
      </c>
      <c r="I45" s="6">
        <v>4</v>
      </c>
      <c r="J45" s="6">
        <v>6</v>
      </c>
      <c r="K45" s="6">
        <v>5</v>
      </c>
      <c r="L45" s="6">
        <v>7</v>
      </c>
      <c r="M45" s="6">
        <v>8</v>
      </c>
      <c r="N45" s="6">
        <v>8</v>
      </c>
      <c r="O45" s="6">
        <v>3</v>
      </c>
      <c r="P45" s="6">
        <v>2</v>
      </c>
      <c r="Q45" s="6">
        <v>7</v>
      </c>
      <c r="R45" s="6">
        <v>14</v>
      </c>
      <c r="S45" s="6">
        <v>9</v>
      </c>
      <c r="T45" s="6">
        <v>9</v>
      </c>
      <c r="U45" s="6">
        <v>4</v>
      </c>
      <c r="V45" s="6">
        <v>3</v>
      </c>
      <c r="W45" s="6">
        <v>1</v>
      </c>
      <c r="X45" s="6">
        <v>7</v>
      </c>
      <c r="Y45" s="6">
        <v>4</v>
      </c>
      <c r="Z45" s="6">
        <v>11</v>
      </c>
      <c r="AA45" s="6">
        <v>3</v>
      </c>
      <c r="AB45" s="5">
        <f t="shared" ref="AB45:AB55" si="10">SUM(E45:AA45)</f>
        <v>169</v>
      </c>
    </row>
    <row r="46" spans="1:28" x14ac:dyDescent="0.3">
      <c r="A46" s="11" t="s">
        <v>50</v>
      </c>
      <c r="B46" s="53"/>
      <c r="C46" s="24" t="s">
        <v>122</v>
      </c>
      <c r="D46" s="24"/>
      <c r="E46" s="6">
        <v>28</v>
      </c>
      <c r="F46" s="6">
        <v>77</v>
      </c>
      <c r="G46" s="6">
        <v>13</v>
      </c>
      <c r="H46" s="6">
        <v>17</v>
      </c>
      <c r="I46" s="6">
        <v>14</v>
      </c>
      <c r="J46" s="6">
        <v>19</v>
      </c>
      <c r="K46" s="6">
        <v>8</v>
      </c>
      <c r="L46" s="6">
        <v>13</v>
      </c>
      <c r="M46" s="6">
        <v>7</v>
      </c>
      <c r="N46" s="6">
        <v>34</v>
      </c>
      <c r="O46" s="6">
        <v>11</v>
      </c>
      <c r="P46" s="6">
        <v>5</v>
      </c>
      <c r="Q46" s="6">
        <v>3</v>
      </c>
      <c r="R46" s="6">
        <v>20</v>
      </c>
      <c r="S46" s="6">
        <v>17</v>
      </c>
      <c r="T46" s="6">
        <v>29</v>
      </c>
      <c r="U46" s="6">
        <v>14</v>
      </c>
      <c r="V46" s="6">
        <v>8</v>
      </c>
      <c r="W46" s="6">
        <v>5</v>
      </c>
      <c r="X46" s="6">
        <v>17</v>
      </c>
      <c r="Y46" s="6">
        <v>9</v>
      </c>
      <c r="Z46" s="6">
        <v>9</v>
      </c>
      <c r="AA46" s="6">
        <v>10</v>
      </c>
      <c r="AB46" s="5">
        <f t="shared" si="10"/>
        <v>387</v>
      </c>
    </row>
    <row r="47" spans="1:28" x14ac:dyDescent="0.3">
      <c r="A47" s="7"/>
      <c r="B47" s="54"/>
      <c r="C47" s="24" t="s">
        <v>123</v>
      </c>
      <c r="D47" s="24"/>
      <c r="E47" s="6">
        <v>2</v>
      </c>
      <c r="F47" s="6">
        <v>1</v>
      </c>
      <c r="G47" s="6">
        <v>3</v>
      </c>
      <c r="H47" s="6">
        <v>2</v>
      </c>
      <c r="I47" s="6">
        <v>15</v>
      </c>
      <c r="J47" s="6">
        <v>9</v>
      </c>
      <c r="K47" s="6">
        <v>2</v>
      </c>
      <c r="L47" s="6">
        <v>1</v>
      </c>
      <c r="M47" s="6">
        <v>6</v>
      </c>
      <c r="N47" s="6">
        <v>13</v>
      </c>
      <c r="O47" s="6">
        <v>0</v>
      </c>
      <c r="P47" s="6">
        <v>1</v>
      </c>
      <c r="Q47" s="6">
        <v>1</v>
      </c>
      <c r="R47" s="6">
        <v>4</v>
      </c>
      <c r="S47" s="6">
        <v>5</v>
      </c>
      <c r="T47" s="6">
        <v>3</v>
      </c>
      <c r="U47" s="6">
        <v>4</v>
      </c>
      <c r="V47" s="6">
        <v>0</v>
      </c>
      <c r="W47" s="6">
        <v>0</v>
      </c>
      <c r="X47" s="6">
        <v>2</v>
      </c>
      <c r="Y47" s="6">
        <v>1</v>
      </c>
      <c r="Z47" s="6">
        <v>2</v>
      </c>
      <c r="AA47" s="6">
        <v>0</v>
      </c>
      <c r="AB47" s="5">
        <f t="shared" si="10"/>
        <v>77</v>
      </c>
    </row>
    <row r="48" spans="1:28" x14ac:dyDescent="0.3">
      <c r="A48" s="7"/>
      <c r="B48" s="54"/>
      <c r="C48" s="24" t="s">
        <v>124</v>
      </c>
      <c r="D48" s="24"/>
      <c r="E48" s="6">
        <v>1</v>
      </c>
      <c r="F48" s="6">
        <v>0</v>
      </c>
      <c r="G48" s="6">
        <v>1</v>
      </c>
      <c r="H48" s="6">
        <v>0</v>
      </c>
      <c r="I48" s="6">
        <v>0</v>
      </c>
      <c r="J48" s="6">
        <v>3</v>
      </c>
      <c r="K48" s="6">
        <v>2</v>
      </c>
      <c r="L48" s="6">
        <v>0</v>
      </c>
      <c r="M48" s="6">
        <v>2</v>
      </c>
      <c r="N48" s="6">
        <v>2</v>
      </c>
      <c r="O48" s="6">
        <v>0</v>
      </c>
      <c r="P48" s="6">
        <v>0</v>
      </c>
      <c r="Q48" s="6">
        <v>0</v>
      </c>
      <c r="R48" s="6">
        <v>1</v>
      </c>
      <c r="S48" s="6">
        <v>1</v>
      </c>
      <c r="T48" s="6">
        <v>2</v>
      </c>
      <c r="U48" s="6">
        <v>3</v>
      </c>
      <c r="V48" s="6">
        <v>1</v>
      </c>
      <c r="W48" s="6">
        <v>1</v>
      </c>
      <c r="X48" s="6">
        <v>1</v>
      </c>
      <c r="Y48" s="6">
        <v>0</v>
      </c>
      <c r="Z48" s="6">
        <v>0</v>
      </c>
      <c r="AA48" s="6">
        <v>0</v>
      </c>
      <c r="AB48" s="5">
        <f t="shared" si="10"/>
        <v>21</v>
      </c>
    </row>
    <row r="49" spans="1:28" x14ac:dyDescent="0.3">
      <c r="A49" s="7"/>
      <c r="B49" s="54"/>
      <c r="C49" s="24" t="s">
        <v>125</v>
      </c>
      <c r="D49" s="24"/>
      <c r="E49" s="6">
        <v>0</v>
      </c>
      <c r="F49" s="6">
        <v>1</v>
      </c>
      <c r="G49" s="6">
        <v>1</v>
      </c>
      <c r="H49" s="6">
        <v>0</v>
      </c>
      <c r="I49" s="6">
        <v>2</v>
      </c>
      <c r="J49" s="6">
        <v>1</v>
      </c>
      <c r="K49" s="6">
        <v>0</v>
      </c>
      <c r="L49" s="6">
        <v>4</v>
      </c>
      <c r="M49" s="6">
        <v>2</v>
      </c>
      <c r="N49" s="6">
        <v>1</v>
      </c>
      <c r="O49" s="6">
        <v>0</v>
      </c>
      <c r="P49" s="6">
        <v>2</v>
      </c>
      <c r="Q49" s="6">
        <v>1</v>
      </c>
      <c r="R49" s="6">
        <v>4</v>
      </c>
      <c r="S49" s="6">
        <v>1</v>
      </c>
      <c r="T49" s="6">
        <v>2</v>
      </c>
      <c r="U49" s="6">
        <v>0</v>
      </c>
      <c r="V49" s="6">
        <v>0</v>
      </c>
      <c r="W49" s="6">
        <v>1</v>
      </c>
      <c r="X49" s="6">
        <v>2</v>
      </c>
      <c r="Y49" s="6">
        <v>2</v>
      </c>
      <c r="Z49" s="6">
        <v>1</v>
      </c>
      <c r="AA49" s="6">
        <v>1</v>
      </c>
      <c r="AB49" s="5">
        <f t="shared" si="10"/>
        <v>29</v>
      </c>
    </row>
    <row r="50" spans="1:28" x14ac:dyDescent="0.3">
      <c r="A50" s="7"/>
      <c r="B50" s="54"/>
      <c r="C50" s="24" t="s">
        <v>126</v>
      </c>
      <c r="D50" s="24"/>
      <c r="E50" s="6">
        <v>4</v>
      </c>
      <c r="F50" s="6">
        <v>0</v>
      </c>
      <c r="G50" s="6">
        <v>1</v>
      </c>
      <c r="H50" s="6">
        <v>0</v>
      </c>
      <c r="I50" s="6">
        <v>0</v>
      </c>
      <c r="J50" s="6">
        <v>3</v>
      </c>
      <c r="K50" s="6">
        <v>0</v>
      </c>
      <c r="L50" s="6">
        <v>13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3</v>
      </c>
      <c r="S50" s="6">
        <v>4</v>
      </c>
      <c r="T50" s="6">
        <v>0</v>
      </c>
      <c r="U50" s="6">
        <v>1</v>
      </c>
      <c r="V50" s="6">
        <v>0</v>
      </c>
      <c r="W50" s="6">
        <v>0</v>
      </c>
      <c r="X50" s="6">
        <v>1</v>
      </c>
      <c r="Y50" s="6">
        <v>2</v>
      </c>
      <c r="Z50" s="6">
        <v>1</v>
      </c>
      <c r="AA50" s="6">
        <v>3</v>
      </c>
      <c r="AB50" s="5">
        <f t="shared" si="10"/>
        <v>37</v>
      </c>
    </row>
    <row r="51" spans="1:28" x14ac:dyDescent="0.3">
      <c r="A51" s="7"/>
      <c r="B51" s="54"/>
      <c r="C51" s="24" t="s">
        <v>127</v>
      </c>
      <c r="D51" s="24"/>
      <c r="E51" s="6">
        <v>2</v>
      </c>
      <c r="F51" s="6">
        <v>3</v>
      </c>
      <c r="G51" s="6">
        <v>6</v>
      </c>
      <c r="H51" s="6">
        <v>2</v>
      </c>
      <c r="I51" s="6">
        <v>0</v>
      </c>
      <c r="J51" s="6">
        <v>1</v>
      </c>
      <c r="K51" s="6">
        <v>3</v>
      </c>
      <c r="L51" s="6">
        <v>2</v>
      </c>
      <c r="M51" s="6">
        <v>1</v>
      </c>
      <c r="N51" s="6">
        <v>2</v>
      </c>
      <c r="O51" s="6">
        <v>0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1</v>
      </c>
      <c r="V51" s="6">
        <v>0</v>
      </c>
      <c r="W51" s="6">
        <v>0</v>
      </c>
      <c r="X51" s="6">
        <v>3</v>
      </c>
      <c r="Y51" s="6">
        <v>0</v>
      </c>
      <c r="Z51" s="6">
        <v>3</v>
      </c>
      <c r="AA51" s="6">
        <v>2</v>
      </c>
      <c r="AB51" s="5">
        <f t="shared" si="10"/>
        <v>32</v>
      </c>
    </row>
    <row r="52" spans="1:28" ht="13.15" customHeight="1" x14ac:dyDescent="0.3">
      <c r="A52" s="7"/>
      <c r="B52" s="54"/>
      <c r="C52" s="24" t="s">
        <v>128</v>
      </c>
      <c r="D52" s="24"/>
      <c r="E52" s="6">
        <v>0</v>
      </c>
      <c r="F52" s="6">
        <v>0</v>
      </c>
      <c r="G52" s="6">
        <v>0</v>
      </c>
      <c r="H52" s="6">
        <v>1</v>
      </c>
      <c r="I52" s="6">
        <v>2</v>
      </c>
      <c r="J52" s="6">
        <v>1</v>
      </c>
      <c r="K52" s="6">
        <v>1</v>
      </c>
      <c r="L52" s="6">
        <v>1</v>
      </c>
      <c r="M52" s="6">
        <v>3</v>
      </c>
      <c r="N52" s="6">
        <v>1</v>
      </c>
      <c r="O52" s="6">
        <v>0</v>
      </c>
      <c r="P52" s="6">
        <v>1</v>
      </c>
      <c r="Q52" s="6">
        <v>1</v>
      </c>
      <c r="R52" s="6">
        <v>2</v>
      </c>
      <c r="S52" s="6">
        <v>1</v>
      </c>
      <c r="T52" s="6">
        <v>0</v>
      </c>
      <c r="U52" s="6">
        <v>3</v>
      </c>
      <c r="V52" s="6">
        <v>0</v>
      </c>
      <c r="W52" s="6">
        <v>0</v>
      </c>
      <c r="X52" s="6">
        <v>0</v>
      </c>
      <c r="Y52" s="6">
        <v>3</v>
      </c>
      <c r="Z52" s="6">
        <v>1</v>
      </c>
      <c r="AA52" s="6">
        <v>0</v>
      </c>
      <c r="AB52" s="5">
        <f t="shared" si="10"/>
        <v>22</v>
      </c>
    </row>
    <row r="53" spans="1:28" ht="13.15" customHeight="1" x14ac:dyDescent="0.3">
      <c r="A53" s="7"/>
      <c r="B53" s="54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2</v>
      </c>
      <c r="S53" s="6">
        <v>1</v>
      </c>
      <c r="T53" s="6">
        <v>0</v>
      </c>
      <c r="U53" s="6">
        <v>1</v>
      </c>
      <c r="V53" s="6">
        <v>0</v>
      </c>
      <c r="W53" s="6">
        <v>2</v>
      </c>
      <c r="X53" s="6">
        <v>0</v>
      </c>
      <c r="Y53" s="6">
        <v>0</v>
      </c>
      <c r="Z53" s="6">
        <v>1</v>
      </c>
      <c r="AA53" s="6">
        <v>0</v>
      </c>
      <c r="AB53" s="5">
        <f t="shared" si="10"/>
        <v>8</v>
      </c>
    </row>
    <row r="54" spans="1:28" ht="13.15" customHeight="1" x14ac:dyDescent="0.3">
      <c r="A54" s="7"/>
      <c r="B54" s="54"/>
      <c r="C54" s="24" t="s">
        <v>130</v>
      </c>
      <c r="D54" s="24"/>
      <c r="E54" s="6">
        <v>0</v>
      </c>
      <c r="F54" s="6">
        <v>0</v>
      </c>
      <c r="G54" s="6">
        <v>1</v>
      </c>
      <c r="H54" s="6">
        <v>4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1</v>
      </c>
      <c r="R54" s="6">
        <v>1</v>
      </c>
      <c r="S54" s="6">
        <v>2</v>
      </c>
      <c r="T54" s="6">
        <v>1</v>
      </c>
      <c r="U54" s="6">
        <v>1</v>
      </c>
      <c r="V54" s="6">
        <v>2</v>
      </c>
      <c r="W54" s="6">
        <v>0</v>
      </c>
      <c r="X54" s="6">
        <v>1</v>
      </c>
      <c r="Y54" s="6">
        <v>0</v>
      </c>
      <c r="Z54" s="6">
        <v>0</v>
      </c>
      <c r="AA54" s="6">
        <v>0</v>
      </c>
      <c r="AB54" s="5">
        <f t="shared" si="10"/>
        <v>16</v>
      </c>
    </row>
    <row r="55" spans="1:28" x14ac:dyDescent="0.3">
      <c r="A55" s="6" t="s">
        <v>26</v>
      </c>
      <c r="B55" s="69" t="s">
        <v>51</v>
      </c>
      <c r="C55" s="85"/>
      <c r="D55" s="76"/>
      <c r="E55" s="5">
        <f>SUM(E45:E54)</f>
        <v>61</v>
      </c>
      <c r="F55" s="5">
        <f t="shared" ref="F55:AB55" si="11">SUM(F45:F54)</f>
        <v>88</v>
      </c>
      <c r="G55" s="5">
        <f t="shared" si="11"/>
        <v>42</v>
      </c>
      <c r="H55" s="5">
        <f t="shared" si="11"/>
        <v>34</v>
      </c>
      <c r="I55" s="5">
        <f t="shared" si="11"/>
        <v>37</v>
      </c>
      <c r="J55" s="5">
        <f t="shared" si="11"/>
        <v>43</v>
      </c>
      <c r="K55" s="5">
        <f t="shared" si="11"/>
        <v>22</v>
      </c>
      <c r="L55" s="5">
        <f t="shared" si="11"/>
        <v>41</v>
      </c>
      <c r="M55" s="5">
        <f t="shared" si="11"/>
        <v>29</v>
      </c>
      <c r="N55" s="5">
        <f t="shared" si="11"/>
        <v>63</v>
      </c>
      <c r="O55" s="5">
        <f t="shared" si="11"/>
        <v>15</v>
      </c>
      <c r="P55" s="5">
        <f t="shared" si="11"/>
        <v>11</v>
      </c>
      <c r="Q55" s="5">
        <f t="shared" si="11"/>
        <v>14</v>
      </c>
      <c r="R55" s="5">
        <f t="shared" si="11"/>
        <v>52</v>
      </c>
      <c r="S55" s="5">
        <f t="shared" si="11"/>
        <v>41</v>
      </c>
      <c r="T55" s="5">
        <f t="shared" si="11"/>
        <v>46</v>
      </c>
      <c r="U55" s="5">
        <f t="shared" si="11"/>
        <v>32</v>
      </c>
      <c r="V55" s="5">
        <f t="shared" si="11"/>
        <v>14</v>
      </c>
      <c r="W55" s="5">
        <f t="shared" si="11"/>
        <v>10</v>
      </c>
      <c r="X55" s="5">
        <f t="shared" si="11"/>
        <v>34</v>
      </c>
      <c r="Y55" s="5">
        <f t="shared" si="11"/>
        <v>21</v>
      </c>
      <c r="Z55" s="5">
        <f t="shared" si="11"/>
        <v>29</v>
      </c>
      <c r="AA55" s="5">
        <f t="shared" si="11"/>
        <v>19</v>
      </c>
      <c r="AB55" s="5">
        <f t="shared" si="11"/>
        <v>798</v>
      </c>
    </row>
    <row r="56" spans="1:28" x14ac:dyDescent="0.3">
      <c r="A56" s="86"/>
      <c r="B56" s="87"/>
      <c r="C56" s="87"/>
      <c r="D56" s="87"/>
      <c r="E56" s="87"/>
      <c r="AB56" s="5"/>
    </row>
    <row r="57" spans="1:28" x14ac:dyDescent="0.3">
      <c r="A57" s="11" t="s">
        <v>48</v>
      </c>
      <c r="B57" s="17" t="s">
        <v>30</v>
      </c>
      <c r="C57" s="75" t="s">
        <v>52</v>
      </c>
      <c r="D57" s="76"/>
      <c r="E57" s="6">
        <v>11</v>
      </c>
      <c r="F57" s="6">
        <v>3</v>
      </c>
      <c r="G57" s="6">
        <v>6</v>
      </c>
      <c r="H57" s="6">
        <v>9</v>
      </c>
      <c r="I57" s="6">
        <v>8</v>
      </c>
      <c r="J57" s="6">
        <v>12</v>
      </c>
      <c r="K57" s="6">
        <v>7</v>
      </c>
      <c r="L57" s="6">
        <v>12</v>
      </c>
      <c r="M57" s="6">
        <v>6</v>
      </c>
      <c r="N57" s="6">
        <v>9</v>
      </c>
      <c r="O57" s="6">
        <v>16</v>
      </c>
      <c r="P57" s="6">
        <v>4</v>
      </c>
      <c r="Q57" s="6">
        <v>7</v>
      </c>
      <c r="R57" s="6">
        <v>9</v>
      </c>
      <c r="S57" s="6">
        <v>7</v>
      </c>
      <c r="T57" s="6">
        <v>4</v>
      </c>
      <c r="U57" s="6">
        <v>5</v>
      </c>
      <c r="V57" s="6">
        <v>8</v>
      </c>
      <c r="W57" s="6">
        <v>4</v>
      </c>
      <c r="X57" s="6">
        <v>16</v>
      </c>
      <c r="Y57" s="6">
        <v>8</v>
      </c>
      <c r="Z57" s="6">
        <v>6</v>
      </c>
      <c r="AA57" s="6">
        <v>14</v>
      </c>
      <c r="AB57" s="5">
        <f t="shared" ref="AB57:AB67" si="12">SUM(E57:AA57)</f>
        <v>191</v>
      </c>
    </row>
    <row r="58" spans="1:28" x14ac:dyDescent="0.3">
      <c r="A58" s="11" t="s">
        <v>50</v>
      </c>
      <c r="B58" s="54"/>
      <c r="C58" s="24" t="s">
        <v>131</v>
      </c>
      <c r="D58" s="55"/>
      <c r="E58" s="6">
        <v>2</v>
      </c>
      <c r="F58" s="6">
        <v>7</v>
      </c>
      <c r="G58" s="6">
        <v>11</v>
      </c>
      <c r="H58" s="6">
        <v>3</v>
      </c>
      <c r="I58" s="6">
        <v>7</v>
      </c>
      <c r="J58" s="6">
        <v>9</v>
      </c>
      <c r="K58" s="6">
        <v>4</v>
      </c>
      <c r="L58" s="6">
        <v>4</v>
      </c>
      <c r="M58" s="6">
        <v>6</v>
      </c>
      <c r="N58" s="6">
        <v>5</v>
      </c>
      <c r="O58" s="6">
        <v>9</v>
      </c>
      <c r="P58" s="6">
        <v>3</v>
      </c>
      <c r="Q58" s="6">
        <v>4</v>
      </c>
      <c r="R58" s="6">
        <v>7</v>
      </c>
      <c r="S58" s="6">
        <v>4</v>
      </c>
      <c r="T58" s="6">
        <v>15</v>
      </c>
      <c r="U58" s="6">
        <v>6</v>
      </c>
      <c r="V58" s="6">
        <v>3</v>
      </c>
      <c r="W58" s="6">
        <v>17</v>
      </c>
      <c r="X58" s="6">
        <v>16</v>
      </c>
      <c r="Y58" s="6">
        <v>12</v>
      </c>
      <c r="Z58" s="6">
        <v>11</v>
      </c>
      <c r="AA58" s="6">
        <v>7</v>
      </c>
      <c r="AB58" s="5">
        <f t="shared" si="12"/>
        <v>172</v>
      </c>
    </row>
    <row r="59" spans="1:28" x14ac:dyDescent="0.3">
      <c r="A59" s="7"/>
      <c r="B59" s="54"/>
      <c r="C59" s="24" t="s">
        <v>132</v>
      </c>
      <c r="D59" s="55"/>
      <c r="E59" s="6">
        <v>3</v>
      </c>
      <c r="F59" s="6">
        <v>4</v>
      </c>
      <c r="G59" s="6">
        <v>5</v>
      </c>
      <c r="H59" s="6">
        <v>5</v>
      </c>
      <c r="I59" s="6">
        <v>4</v>
      </c>
      <c r="J59" s="6">
        <v>5</v>
      </c>
      <c r="K59" s="6">
        <v>1</v>
      </c>
      <c r="L59" s="6">
        <v>28</v>
      </c>
      <c r="M59" s="6">
        <v>11</v>
      </c>
      <c r="N59" s="6">
        <v>5</v>
      </c>
      <c r="O59" s="6">
        <v>21</v>
      </c>
      <c r="P59" s="6">
        <v>4</v>
      </c>
      <c r="Q59" s="6">
        <v>4</v>
      </c>
      <c r="R59" s="6">
        <v>23</v>
      </c>
      <c r="S59" s="6">
        <v>3</v>
      </c>
      <c r="T59" s="6">
        <v>1</v>
      </c>
      <c r="U59" s="6">
        <v>2</v>
      </c>
      <c r="V59" s="6">
        <v>7</v>
      </c>
      <c r="W59" s="6">
        <v>13</v>
      </c>
      <c r="X59" s="6">
        <v>20</v>
      </c>
      <c r="Y59" s="6">
        <v>4</v>
      </c>
      <c r="Z59" s="6">
        <v>1</v>
      </c>
      <c r="AA59" s="6">
        <v>7</v>
      </c>
      <c r="AB59" s="5">
        <f t="shared" si="12"/>
        <v>181</v>
      </c>
    </row>
    <row r="60" spans="1:28" x14ac:dyDescent="0.3">
      <c r="A60" s="7"/>
      <c r="B60" s="54"/>
      <c r="C60" s="24" t="s">
        <v>133</v>
      </c>
      <c r="D60" s="55"/>
      <c r="E60" s="6">
        <v>1</v>
      </c>
      <c r="F60" s="6">
        <v>3</v>
      </c>
      <c r="G60" s="6">
        <v>0</v>
      </c>
      <c r="H60" s="6">
        <v>1</v>
      </c>
      <c r="I60" s="6">
        <v>1</v>
      </c>
      <c r="J60" s="6">
        <v>3</v>
      </c>
      <c r="K60" s="6">
        <v>3</v>
      </c>
      <c r="L60" s="6">
        <v>2</v>
      </c>
      <c r="M60" s="6">
        <v>1</v>
      </c>
      <c r="N60" s="6">
        <v>3</v>
      </c>
      <c r="O60" s="6">
        <v>1</v>
      </c>
      <c r="P60" s="6">
        <v>3</v>
      </c>
      <c r="Q60" s="6">
        <v>2</v>
      </c>
      <c r="R60" s="6">
        <v>4</v>
      </c>
      <c r="S60" s="6">
        <v>0</v>
      </c>
      <c r="T60" s="6">
        <v>3</v>
      </c>
      <c r="U60" s="6">
        <v>1</v>
      </c>
      <c r="V60" s="6">
        <v>1</v>
      </c>
      <c r="W60" s="6">
        <v>4</v>
      </c>
      <c r="X60" s="6">
        <v>0</v>
      </c>
      <c r="Y60" s="6">
        <v>4</v>
      </c>
      <c r="Z60" s="6">
        <v>2</v>
      </c>
      <c r="AA60" s="6">
        <v>5</v>
      </c>
      <c r="AB60" s="5">
        <f t="shared" si="12"/>
        <v>48</v>
      </c>
    </row>
    <row r="61" spans="1:28" x14ac:dyDescent="0.3">
      <c r="A61" s="7"/>
      <c r="B61" s="54"/>
      <c r="C61" s="24" t="s">
        <v>134</v>
      </c>
      <c r="D61" s="55"/>
      <c r="E61" s="6">
        <v>0</v>
      </c>
      <c r="F61" s="6">
        <v>2</v>
      </c>
      <c r="G61" s="6">
        <v>4</v>
      </c>
      <c r="H61" s="6">
        <v>2</v>
      </c>
      <c r="I61" s="6">
        <v>1</v>
      </c>
      <c r="J61" s="6">
        <v>3</v>
      </c>
      <c r="K61" s="6">
        <v>4</v>
      </c>
      <c r="L61" s="6">
        <v>4</v>
      </c>
      <c r="M61" s="6">
        <v>0</v>
      </c>
      <c r="N61" s="6">
        <v>1</v>
      </c>
      <c r="O61" s="6">
        <v>0</v>
      </c>
      <c r="P61" s="6">
        <v>1</v>
      </c>
      <c r="Q61" s="6">
        <v>3</v>
      </c>
      <c r="R61" s="6">
        <v>5</v>
      </c>
      <c r="S61" s="6">
        <v>5</v>
      </c>
      <c r="T61" s="6">
        <v>14</v>
      </c>
      <c r="U61" s="6">
        <v>29</v>
      </c>
      <c r="V61" s="6">
        <v>4</v>
      </c>
      <c r="W61" s="6">
        <v>1</v>
      </c>
      <c r="X61" s="6">
        <v>5</v>
      </c>
      <c r="Y61" s="6">
        <v>8</v>
      </c>
      <c r="Z61" s="6">
        <v>7</v>
      </c>
      <c r="AA61" s="6">
        <v>1</v>
      </c>
      <c r="AB61" s="5">
        <f t="shared" si="12"/>
        <v>104</v>
      </c>
    </row>
    <row r="62" spans="1:28" x14ac:dyDescent="0.3">
      <c r="A62" s="7"/>
      <c r="B62" s="54"/>
      <c r="C62" s="24" t="s">
        <v>135</v>
      </c>
      <c r="D62" s="55"/>
      <c r="E62" s="6">
        <v>1</v>
      </c>
      <c r="F62" s="6">
        <v>0</v>
      </c>
      <c r="G62" s="6">
        <v>3</v>
      </c>
      <c r="H62" s="6">
        <v>1</v>
      </c>
      <c r="I62" s="6">
        <v>0</v>
      </c>
      <c r="J62" s="6">
        <v>2</v>
      </c>
      <c r="K62" s="6">
        <v>2</v>
      </c>
      <c r="L62" s="6">
        <v>1</v>
      </c>
      <c r="M62" s="6">
        <v>2</v>
      </c>
      <c r="N62" s="6">
        <v>1</v>
      </c>
      <c r="O62" s="6">
        <v>0</v>
      </c>
      <c r="P62" s="6">
        <v>0</v>
      </c>
      <c r="Q62" s="6">
        <v>1</v>
      </c>
      <c r="R62" s="6">
        <v>1</v>
      </c>
      <c r="S62" s="6">
        <v>3</v>
      </c>
      <c r="T62" s="6">
        <v>2</v>
      </c>
      <c r="U62" s="6">
        <v>1</v>
      </c>
      <c r="V62" s="6">
        <v>1</v>
      </c>
      <c r="W62" s="6">
        <v>0</v>
      </c>
      <c r="X62" s="6">
        <v>0</v>
      </c>
      <c r="Y62" s="6">
        <v>2</v>
      </c>
      <c r="Z62" s="6">
        <v>0</v>
      </c>
      <c r="AA62" s="6">
        <v>0</v>
      </c>
      <c r="AB62" s="5">
        <f t="shared" si="12"/>
        <v>24</v>
      </c>
    </row>
    <row r="63" spans="1:28" ht="13.15" customHeight="1" x14ac:dyDescent="0.3">
      <c r="A63" s="7"/>
      <c r="B63" s="54"/>
      <c r="C63" s="24" t="s">
        <v>136</v>
      </c>
      <c r="D63" s="51"/>
      <c r="E63" s="6">
        <v>0</v>
      </c>
      <c r="F63" s="6">
        <v>0</v>
      </c>
      <c r="G63" s="6">
        <v>2</v>
      </c>
      <c r="H63" s="6">
        <v>1</v>
      </c>
      <c r="I63" s="6">
        <v>1</v>
      </c>
      <c r="J63" s="6">
        <v>0</v>
      </c>
      <c r="K63" s="6">
        <v>0</v>
      </c>
      <c r="L63" s="6">
        <v>2</v>
      </c>
      <c r="M63" s="6">
        <v>2</v>
      </c>
      <c r="N63" s="6">
        <v>0</v>
      </c>
      <c r="O63" s="6">
        <v>1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3</v>
      </c>
      <c r="X63" s="6">
        <v>0</v>
      </c>
      <c r="Y63" s="6">
        <v>1</v>
      </c>
      <c r="Z63" s="6">
        <v>0</v>
      </c>
      <c r="AA63" s="6">
        <v>1</v>
      </c>
      <c r="AB63" s="5">
        <f t="shared" si="12"/>
        <v>14</v>
      </c>
    </row>
    <row r="64" spans="1:28" x14ac:dyDescent="0.3">
      <c r="A64" s="7"/>
      <c r="B64" s="54"/>
      <c r="C64" s="24" t="s">
        <v>137</v>
      </c>
      <c r="D64" s="55"/>
      <c r="E64" s="6">
        <v>0</v>
      </c>
      <c r="F64" s="6">
        <v>0</v>
      </c>
      <c r="G64" s="6">
        <v>1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2</v>
      </c>
      <c r="T64" s="6">
        <v>0</v>
      </c>
      <c r="U64" s="6">
        <v>0</v>
      </c>
      <c r="V64" s="6">
        <v>0</v>
      </c>
      <c r="W64" s="6">
        <v>1</v>
      </c>
      <c r="X64" s="6">
        <v>0</v>
      </c>
      <c r="Y64" s="6">
        <v>0</v>
      </c>
      <c r="Z64" s="6">
        <v>0</v>
      </c>
      <c r="AA64" s="6">
        <v>1</v>
      </c>
      <c r="AB64" s="5">
        <f t="shared" si="12"/>
        <v>6</v>
      </c>
    </row>
    <row r="65" spans="1:28" x14ac:dyDescent="0.3">
      <c r="A65" s="7"/>
      <c r="B65" s="54"/>
      <c r="C65" s="24" t="s">
        <v>138</v>
      </c>
      <c r="D65" s="55"/>
      <c r="E65" s="6">
        <v>0</v>
      </c>
      <c r="F65" s="6">
        <v>0</v>
      </c>
      <c r="G65" s="6">
        <v>0</v>
      </c>
      <c r="H65" s="6">
        <v>1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1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5">
        <f t="shared" si="12"/>
        <v>3</v>
      </c>
    </row>
    <row r="66" spans="1:28" x14ac:dyDescent="0.3">
      <c r="A66" s="7"/>
      <c r="B66" s="54"/>
      <c r="C66" s="24" t="s">
        <v>139</v>
      </c>
      <c r="D66" s="55"/>
      <c r="E66" s="6">
        <v>1</v>
      </c>
      <c r="F66" s="6">
        <v>0</v>
      </c>
      <c r="G66" s="6">
        <v>0</v>
      </c>
      <c r="H66" s="6">
        <v>5</v>
      </c>
      <c r="I66" s="6">
        <v>2</v>
      </c>
      <c r="J66" s="6">
        <v>1</v>
      </c>
      <c r="K66" s="6">
        <v>0</v>
      </c>
      <c r="L66" s="6">
        <v>2</v>
      </c>
      <c r="M66" s="6">
        <v>1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1</v>
      </c>
      <c r="AB66" s="5">
        <f t="shared" si="12"/>
        <v>14</v>
      </c>
    </row>
    <row r="67" spans="1:28" x14ac:dyDescent="0.3">
      <c r="A67" s="6" t="s">
        <v>26</v>
      </c>
      <c r="B67" s="69" t="s">
        <v>51</v>
      </c>
      <c r="C67" s="85"/>
      <c r="D67" s="76"/>
      <c r="E67" s="5">
        <f>SUM(E57:E66)</f>
        <v>19</v>
      </c>
      <c r="F67" s="5">
        <f t="shared" ref="F67:AB67" si="13">SUM(F57:F66)</f>
        <v>19</v>
      </c>
      <c r="G67" s="5">
        <f t="shared" si="13"/>
        <v>32</v>
      </c>
      <c r="H67" s="5">
        <f t="shared" si="13"/>
        <v>28</v>
      </c>
      <c r="I67" s="5">
        <f t="shared" si="13"/>
        <v>25</v>
      </c>
      <c r="J67" s="5">
        <f t="shared" si="13"/>
        <v>36</v>
      </c>
      <c r="K67" s="5">
        <f t="shared" si="13"/>
        <v>21</v>
      </c>
      <c r="L67" s="5">
        <f t="shared" si="13"/>
        <v>55</v>
      </c>
      <c r="M67" s="5">
        <f t="shared" si="13"/>
        <v>29</v>
      </c>
      <c r="N67" s="5">
        <f t="shared" si="13"/>
        <v>25</v>
      </c>
      <c r="O67" s="5">
        <f t="shared" si="13"/>
        <v>48</v>
      </c>
      <c r="P67" s="5">
        <f t="shared" si="13"/>
        <v>16</v>
      </c>
      <c r="Q67" s="5">
        <f t="shared" si="13"/>
        <v>21</v>
      </c>
      <c r="R67" s="5">
        <f t="shared" si="13"/>
        <v>49</v>
      </c>
      <c r="S67" s="5">
        <f t="shared" si="13"/>
        <v>24</v>
      </c>
      <c r="T67" s="5">
        <f t="shared" si="13"/>
        <v>39</v>
      </c>
      <c r="U67" s="5">
        <f t="shared" si="13"/>
        <v>44</v>
      </c>
      <c r="V67" s="5">
        <f t="shared" si="13"/>
        <v>24</v>
      </c>
      <c r="W67" s="5">
        <f t="shared" si="13"/>
        <v>43</v>
      </c>
      <c r="X67" s="5">
        <f t="shared" si="13"/>
        <v>57</v>
      </c>
      <c r="Y67" s="5">
        <f t="shared" si="13"/>
        <v>39</v>
      </c>
      <c r="Z67" s="5">
        <f t="shared" si="13"/>
        <v>27</v>
      </c>
      <c r="AA67" s="5">
        <f t="shared" si="13"/>
        <v>37</v>
      </c>
      <c r="AB67" s="5">
        <f t="shared" si="13"/>
        <v>757</v>
      </c>
    </row>
    <row r="68" spans="1:28" x14ac:dyDescent="0.3">
      <c r="A68" s="86"/>
      <c r="B68" s="87"/>
      <c r="C68" s="87"/>
      <c r="D68" s="87"/>
      <c r="E68" s="87"/>
    </row>
    <row r="69" spans="1:28" x14ac:dyDescent="0.3">
      <c r="A69" s="11" t="s">
        <v>48</v>
      </c>
      <c r="B69" s="17" t="s">
        <v>32</v>
      </c>
      <c r="C69" s="75" t="s">
        <v>53</v>
      </c>
      <c r="D69" s="76"/>
      <c r="E69" s="6">
        <v>19</v>
      </c>
      <c r="F69" s="6">
        <v>3</v>
      </c>
      <c r="G69" s="6">
        <v>11</v>
      </c>
      <c r="H69" s="6">
        <v>15</v>
      </c>
      <c r="I69" s="6">
        <v>21</v>
      </c>
      <c r="J69" s="6">
        <v>10</v>
      </c>
      <c r="K69" s="6">
        <v>14</v>
      </c>
      <c r="L69" s="6">
        <v>8</v>
      </c>
      <c r="M69" s="6">
        <v>25</v>
      </c>
      <c r="N69" s="6">
        <v>16</v>
      </c>
      <c r="O69" s="6">
        <v>33</v>
      </c>
      <c r="P69" s="6">
        <v>24</v>
      </c>
      <c r="Q69" s="6">
        <v>17</v>
      </c>
      <c r="R69" s="6">
        <v>15</v>
      </c>
      <c r="S69" s="6">
        <v>19</v>
      </c>
      <c r="T69" s="6">
        <v>8</v>
      </c>
      <c r="U69" s="6">
        <v>13</v>
      </c>
      <c r="V69" s="6">
        <v>29</v>
      </c>
      <c r="W69" s="6">
        <v>11</v>
      </c>
      <c r="X69" s="6">
        <v>10</v>
      </c>
      <c r="Y69" s="6">
        <v>14</v>
      </c>
      <c r="Z69" s="6">
        <v>29</v>
      </c>
      <c r="AA69" s="6">
        <v>19</v>
      </c>
      <c r="AB69" s="5">
        <f>SUM(E69:AA69)</f>
        <v>383</v>
      </c>
    </row>
    <row r="70" spans="1:28" x14ac:dyDescent="0.3">
      <c r="A70" s="11" t="s">
        <v>50</v>
      </c>
      <c r="B70" s="54"/>
      <c r="C70" s="24" t="s">
        <v>140</v>
      </c>
      <c r="D70" s="51"/>
      <c r="E70" s="6">
        <v>9</v>
      </c>
      <c r="F70" s="6">
        <v>11</v>
      </c>
      <c r="G70" s="6">
        <v>7</v>
      </c>
      <c r="H70" s="6">
        <v>5</v>
      </c>
      <c r="I70" s="6">
        <v>13</v>
      </c>
      <c r="J70" s="6">
        <v>7</v>
      </c>
      <c r="K70" s="6">
        <v>11</v>
      </c>
      <c r="L70" s="6">
        <v>2</v>
      </c>
      <c r="M70" s="6">
        <v>15</v>
      </c>
      <c r="N70" s="6">
        <v>8</v>
      </c>
      <c r="O70" s="6">
        <v>16</v>
      </c>
      <c r="P70" s="6">
        <v>19</v>
      </c>
      <c r="Q70" s="6">
        <v>19</v>
      </c>
      <c r="R70" s="6">
        <v>2</v>
      </c>
      <c r="S70" s="6">
        <v>10</v>
      </c>
      <c r="T70" s="6">
        <v>14</v>
      </c>
      <c r="U70" s="6">
        <v>8</v>
      </c>
      <c r="V70" s="6">
        <v>14</v>
      </c>
      <c r="W70" s="6">
        <v>14</v>
      </c>
      <c r="X70" s="6">
        <v>14</v>
      </c>
      <c r="Y70" s="6">
        <v>17</v>
      </c>
      <c r="Z70" s="6">
        <v>18</v>
      </c>
      <c r="AA70" s="6">
        <v>16</v>
      </c>
      <c r="AB70" s="5">
        <f t="shared" ref="AB69:AB79" si="14">SUM(E70:AA70)</f>
        <v>269</v>
      </c>
    </row>
    <row r="71" spans="1:28" x14ac:dyDescent="0.3">
      <c r="A71" s="7"/>
      <c r="B71" s="54"/>
      <c r="C71" s="24" t="s">
        <v>141</v>
      </c>
      <c r="D71" s="51"/>
      <c r="E71" s="6">
        <v>5</v>
      </c>
      <c r="F71" s="6">
        <v>4</v>
      </c>
      <c r="G71" s="6">
        <v>7</v>
      </c>
      <c r="H71" s="6">
        <v>6</v>
      </c>
      <c r="I71" s="6">
        <v>2</v>
      </c>
      <c r="J71" s="6">
        <v>7</v>
      </c>
      <c r="K71" s="6">
        <v>0</v>
      </c>
      <c r="L71" s="6">
        <v>2</v>
      </c>
      <c r="M71" s="6">
        <v>6</v>
      </c>
      <c r="N71" s="6">
        <v>2</v>
      </c>
      <c r="O71" s="6">
        <v>13</v>
      </c>
      <c r="P71" s="6">
        <v>3</v>
      </c>
      <c r="Q71" s="6">
        <v>2</v>
      </c>
      <c r="R71" s="6">
        <v>1</v>
      </c>
      <c r="S71" s="6">
        <v>4</v>
      </c>
      <c r="T71" s="6">
        <v>1</v>
      </c>
      <c r="U71" s="6">
        <v>2</v>
      </c>
      <c r="V71" s="6">
        <v>6</v>
      </c>
      <c r="W71" s="6">
        <v>4</v>
      </c>
      <c r="X71" s="6">
        <v>3</v>
      </c>
      <c r="Y71" s="6">
        <v>6</v>
      </c>
      <c r="Z71" s="6">
        <v>5</v>
      </c>
      <c r="AA71" s="6">
        <v>2</v>
      </c>
      <c r="AB71" s="5">
        <f t="shared" si="14"/>
        <v>93</v>
      </c>
    </row>
    <row r="72" spans="1:28" x14ac:dyDescent="0.3">
      <c r="A72" s="7"/>
      <c r="B72" s="54"/>
      <c r="C72" s="24" t="s">
        <v>142</v>
      </c>
      <c r="D72" s="51"/>
      <c r="E72" s="6">
        <v>5</v>
      </c>
      <c r="F72" s="6">
        <v>2</v>
      </c>
      <c r="G72" s="6">
        <v>2</v>
      </c>
      <c r="H72" s="6">
        <v>9</v>
      </c>
      <c r="I72" s="6">
        <v>3</v>
      </c>
      <c r="J72" s="6">
        <v>3</v>
      </c>
      <c r="K72" s="6">
        <v>3</v>
      </c>
      <c r="L72" s="6">
        <v>1</v>
      </c>
      <c r="M72" s="6">
        <v>7</v>
      </c>
      <c r="N72" s="6">
        <v>2</v>
      </c>
      <c r="O72" s="6">
        <v>4</v>
      </c>
      <c r="P72" s="6">
        <v>6</v>
      </c>
      <c r="Q72" s="6">
        <v>4</v>
      </c>
      <c r="R72" s="6">
        <v>6</v>
      </c>
      <c r="S72" s="6">
        <v>4</v>
      </c>
      <c r="T72" s="6">
        <v>4</v>
      </c>
      <c r="U72" s="6">
        <v>7</v>
      </c>
      <c r="V72" s="6">
        <v>5</v>
      </c>
      <c r="W72" s="6">
        <v>8</v>
      </c>
      <c r="X72" s="6">
        <v>11</v>
      </c>
      <c r="Y72" s="6">
        <v>9</v>
      </c>
      <c r="Z72" s="6">
        <v>9</v>
      </c>
      <c r="AA72" s="6">
        <v>12</v>
      </c>
      <c r="AB72" s="5">
        <f t="shared" si="14"/>
        <v>126</v>
      </c>
    </row>
    <row r="73" spans="1:28" x14ac:dyDescent="0.3">
      <c r="A73" s="7"/>
      <c r="B73" s="54"/>
      <c r="C73" s="24" t="s">
        <v>143</v>
      </c>
      <c r="D73" s="51"/>
      <c r="E73" s="6">
        <v>2</v>
      </c>
      <c r="F73" s="6">
        <v>6</v>
      </c>
      <c r="G73" s="6">
        <v>3</v>
      </c>
      <c r="H73" s="6">
        <v>1</v>
      </c>
      <c r="I73" s="6">
        <v>3</v>
      </c>
      <c r="J73" s="6">
        <v>4</v>
      </c>
      <c r="K73" s="6">
        <v>1</v>
      </c>
      <c r="L73" s="6">
        <v>1</v>
      </c>
      <c r="M73" s="6">
        <v>2</v>
      </c>
      <c r="N73" s="6">
        <v>2</v>
      </c>
      <c r="O73" s="6">
        <v>5</v>
      </c>
      <c r="P73" s="6">
        <v>2</v>
      </c>
      <c r="Q73" s="6">
        <v>1</v>
      </c>
      <c r="R73" s="6">
        <v>2</v>
      </c>
      <c r="S73" s="6">
        <v>5</v>
      </c>
      <c r="T73" s="6">
        <v>0</v>
      </c>
      <c r="U73" s="6">
        <v>2</v>
      </c>
      <c r="V73" s="6">
        <v>0</v>
      </c>
      <c r="W73" s="6">
        <v>7</v>
      </c>
      <c r="X73" s="6">
        <v>1</v>
      </c>
      <c r="Y73" s="6">
        <v>4</v>
      </c>
      <c r="Z73" s="6">
        <v>3</v>
      </c>
      <c r="AA73" s="6">
        <v>5</v>
      </c>
      <c r="AB73" s="5">
        <f t="shared" si="14"/>
        <v>62</v>
      </c>
    </row>
    <row r="74" spans="1:28" ht="13.15" customHeight="1" x14ac:dyDescent="0.3">
      <c r="A74" s="7"/>
      <c r="B74" s="54"/>
      <c r="C74" s="24" t="s">
        <v>144</v>
      </c>
      <c r="D74" s="51"/>
      <c r="E74" s="6">
        <v>2</v>
      </c>
      <c r="F74" s="6">
        <v>0</v>
      </c>
      <c r="G74" s="6">
        <v>1</v>
      </c>
      <c r="H74" s="6">
        <v>1</v>
      </c>
      <c r="I74" s="6">
        <v>3</v>
      </c>
      <c r="J74" s="6">
        <v>1</v>
      </c>
      <c r="K74" s="6">
        <v>3</v>
      </c>
      <c r="L74" s="6">
        <v>4</v>
      </c>
      <c r="M74" s="6">
        <v>1</v>
      </c>
      <c r="N74" s="6">
        <v>1</v>
      </c>
      <c r="O74" s="6">
        <v>4</v>
      </c>
      <c r="P74" s="6">
        <v>1</v>
      </c>
      <c r="Q74" s="6">
        <v>0</v>
      </c>
      <c r="R74" s="6">
        <v>0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2</v>
      </c>
      <c r="Y74" s="6">
        <v>5</v>
      </c>
      <c r="Z74" s="6">
        <v>4</v>
      </c>
      <c r="AA74" s="6">
        <v>2</v>
      </c>
      <c r="AB74" s="5">
        <f t="shared" si="14"/>
        <v>40</v>
      </c>
    </row>
    <row r="75" spans="1:28" x14ac:dyDescent="0.3">
      <c r="A75" s="7"/>
      <c r="B75" s="54"/>
      <c r="C75" s="24" t="s">
        <v>145</v>
      </c>
      <c r="D75" s="51"/>
      <c r="E75" s="6">
        <v>2</v>
      </c>
      <c r="F75" s="6">
        <v>2</v>
      </c>
      <c r="G75" s="6">
        <v>6</v>
      </c>
      <c r="H75" s="6">
        <v>3</v>
      </c>
      <c r="I75" s="6">
        <v>4</v>
      </c>
      <c r="J75" s="6">
        <v>1</v>
      </c>
      <c r="K75" s="6">
        <v>5</v>
      </c>
      <c r="L75" s="6">
        <v>0</v>
      </c>
      <c r="M75" s="6">
        <v>3</v>
      </c>
      <c r="N75" s="6">
        <v>1</v>
      </c>
      <c r="O75" s="6">
        <v>1</v>
      </c>
      <c r="P75" s="6">
        <v>0</v>
      </c>
      <c r="Q75" s="6">
        <v>1</v>
      </c>
      <c r="R75" s="6">
        <v>0</v>
      </c>
      <c r="S75" s="6">
        <v>2</v>
      </c>
      <c r="T75" s="6">
        <v>0</v>
      </c>
      <c r="U75" s="6">
        <v>4</v>
      </c>
      <c r="V75" s="6">
        <v>2</v>
      </c>
      <c r="W75" s="6">
        <v>3</v>
      </c>
      <c r="X75" s="6">
        <v>1</v>
      </c>
      <c r="Y75" s="6">
        <v>6</v>
      </c>
      <c r="Z75" s="6">
        <v>4</v>
      </c>
      <c r="AA75" s="6">
        <v>2</v>
      </c>
      <c r="AB75" s="5">
        <f t="shared" si="14"/>
        <v>53</v>
      </c>
    </row>
    <row r="76" spans="1:28" x14ac:dyDescent="0.3">
      <c r="A76" s="7"/>
      <c r="B76" s="54"/>
      <c r="C76" s="24" t="s">
        <v>146</v>
      </c>
      <c r="D76" s="51"/>
      <c r="E76" s="6">
        <v>2</v>
      </c>
      <c r="F76" s="6">
        <v>0</v>
      </c>
      <c r="G76" s="6">
        <v>0</v>
      </c>
      <c r="H76" s="6">
        <v>2</v>
      </c>
      <c r="I76" s="6">
        <v>1</v>
      </c>
      <c r="J76" s="6">
        <v>0</v>
      </c>
      <c r="K76" s="6">
        <v>1</v>
      </c>
      <c r="L76" s="6">
        <v>1</v>
      </c>
      <c r="M76" s="6">
        <v>3</v>
      </c>
      <c r="N76" s="6">
        <v>1</v>
      </c>
      <c r="O76" s="6">
        <v>1</v>
      </c>
      <c r="P76" s="6">
        <v>2</v>
      </c>
      <c r="Q76" s="6">
        <v>0</v>
      </c>
      <c r="R76" s="6">
        <v>0</v>
      </c>
      <c r="S76" s="6">
        <v>2</v>
      </c>
      <c r="T76" s="6">
        <v>1</v>
      </c>
      <c r="U76" s="6">
        <v>7</v>
      </c>
      <c r="V76" s="6">
        <v>1</v>
      </c>
      <c r="W76" s="6">
        <v>0</v>
      </c>
      <c r="X76" s="6">
        <v>0</v>
      </c>
      <c r="Y76" s="6">
        <v>0</v>
      </c>
      <c r="Z76" s="6">
        <v>2</v>
      </c>
      <c r="AA76" s="6">
        <v>2</v>
      </c>
      <c r="AB76" s="5">
        <f t="shared" si="14"/>
        <v>29</v>
      </c>
    </row>
    <row r="77" spans="1:28" x14ac:dyDescent="0.3">
      <c r="A77" s="7"/>
      <c r="B77" s="54"/>
      <c r="C77" s="24" t="s">
        <v>147</v>
      </c>
      <c r="D77" s="51"/>
      <c r="E77" s="6">
        <v>1</v>
      </c>
      <c r="F77" s="6">
        <v>0</v>
      </c>
      <c r="G77" s="6">
        <v>2</v>
      </c>
      <c r="H77" s="6">
        <v>1</v>
      </c>
      <c r="I77" s="6">
        <v>0</v>
      </c>
      <c r="J77" s="6">
        <v>0</v>
      </c>
      <c r="K77" s="6">
        <v>1</v>
      </c>
      <c r="L77" s="6">
        <v>0</v>
      </c>
      <c r="M77" s="6">
        <v>1</v>
      </c>
      <c r="N77" s="6">
        <v>1</v>
      </c>
      <c r="O77" s="6">
        <v>1</v>
      </c>
      <c r="P77" s="6">
        <v>1</v>
      </c>
      <c r="Q77" s="6">
        <v>0</v>
      </c>
      <c r="R77" s="6">
        <v>0</v>
      </c>
      <c r="S77" s="6">
        <v>1</v>
      </c>
      <c r="T77" s="6">
        <v>1</v>
      </c>
      <c r="U77" s="6">
        <v>1</v>
      </c>
      <c r="V77" s="6">
        <v>0</v>
      </c>
      <c r="W77" s="6">
        <v>1</v>
      </c>
      <c r="X77" s="6">
        <v>0</v>
      </c>
      <c r="Y77" s="6">
        <v>0</v>
      </c>
      <c r="Z77" s="6">
        <v>3</v>
      </c>
      <c r="AA77" s="6">
        <v>0</v>
      </c>
      <c r="AB77" s="5">
        <f t="shared" si="14"/>
        <v>16</v>
      </c>
    </row>
    <row r="78" spans="1:28" x14ac:dyDescent="0.3">
      <c r="A78" s="7"/>
      <c r="B78" s="54"/>
      <c r="C78" s="24" t="s">
        <v>148</v>
      </c>
      <c r="D78" s="51"/>
      <c r="E78" s="6">
        <v>1</v>
      </c>
      <c r="F78" s="6">
        <v>1</v>
      </c>
      <c r="G78" s="6">
        <v>2</v>
      </c>
      <c r="H78" s="6">
        <v>2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0</v>
      </c>
      <c r="O78" s="6">
        <v>1</v>
      </c>
      <c r="P78" s="6">
        <v>0</v>
      </c>
      <c r="Q78" s="6">
        <v>1</v>
      </c>
      <c r="R78" s="6">
        <v>0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1</v>
      </c>
      <c r="Y78" s="6">
        <v>1</v>
      </c>
      <c r="Z78" s="6">
        <v>2</v>
      </c>
      <c r="AA78" s="6">
        <v>0</v>
      </c>
      <c r="AB78" s="5">
        <f t="shared" si="14"/>
        <v>14</v>
      </c>
    </row>
    <row r="79" spans="1:28" x14ac:dyDescent="0.3">
      <c r="A79" s="6" t="s">
        <v>26</v>
      </c>
      <c r="B79" s="69" t="s">
        <v>51</v>
      </c>
      <c r="C79" s="85"/>
      <c r="D79" s="76"/>
      <c r="E79" s="5">
        <f>SUM(E69:E78)</f>
        <v>48</v>
      </c>
      <c r="F79" s="5">
        <f t="shared" ref="F79:AB79" si="15">SUM(F69:F78)</f>
        <v>29</v>
      </c>
      <c r="G79" s="5">
        <f t="shared" si="15"/>
        <v>41</v>
      </c>
      <c r="H79" s="5">
        <f t="shared" si="15"/>
        <v>45</v>
      </c>
      <c r="I79" s="5">
        <f t="shared" si="15"/>
        <v>50</v>
      </c>
      <c r="J79" s="5">
        <f t="shared" si="15"/>
        <v>33</v>
      </c>
      <c r="K79" s="5">
        <f t="shared" si="15"/>
        <v>39</v>
      </c>
      <c r="L79" s="5">
        <f t="shared" si="15"/>
        <v>20</v>
      </c>
      <c r="M79" s="5">
        <f t="shared" si="15"/>
        <v>63</v>
      </c>
      <c r="N79" s="5">
        <f t="shared" si="15"/>
        <v>34</v>
      </c>
      <c r="O79" s="5">
        <f t="shared" si="15"/>
        <v>79</v>
      </c>
      <c r="P79" s="5">
        <f t="shared" si="15"/>
        <v>58</v>
      </c>
      <c r="Q79" s="5">
        <f t="shared" si="15"/>
        <v>45</v>
      </c>
      <c r="R79" s="5">
        <f t="shared" si="15"/>
        <v>26</v>
      </c>
      <c r="S79" s="5">
        <f t="shared" si="15"/>
        <v>49</v>
      </c>
      <c r="T79" s="5">
        <f t="shared" si="15"/>
        <v>30</v>
      </c>
      <c r="U79" s="5">
        <f t="shared" si="15"/>
        <v>45</v>
      </c>
      <c r="V79" s="5">
        <f t="shared" si="15"/>
        <v>58</v>
      </c>
      <c r="W79" s="5">
        <f t="shared" si="15"/>
        <v>49</v>
      </c>
      <c r="X79" s="5">
        <f t="shared" si="15"/>
        <v>43</v>
      </c>
      <c r="Y79" s="5">
        <f t="shared" si="15"/>
        <v>62</v>
      </c>
      <c r="Z79" s="5">
        <f t="shared" si="15"/>
        <v>79</v>
      </c>
      <c r="AA79" s="5">
        <f t="shared" si="15"/>
        <v>60</v>
      </c>
      <c r="AB79" s="5">
        <f t="shared" si="15"/>
        <v>1085</v>
      </c>
    </row>
    <row r="80" spans="1:28" x14ac:dyDescent="0.3">
      <c r="A80" s="86"/>
      <c r="B80" s="87"/>
      <c r="C80" s="87"/>
      <c r="D80" s="87"/>
      <c r="E80" s="87"/>
    </row>
    <row r="81" spans="1:28" x14ac:dyDescent="0.3">
      <c r="A81" s="11" t="s">
        <v>48</v>
      </c>
      <c r="B81" s="17" t="s">
        <v>34</v>
      </c>
      <c r="C81" s="75" t="s">
        <v>54</v>
      </c>
      <c r="D81" s="76"/>
      <c r="E81" s="6">
        <v>2</v>
      </c>
      <c r="F81" s="6">
        <v>4</v>
      </c>
      <c r="G81" s="6">
        <v>8</v>
      </c>
      <c r="H81" s="6">
        <v>4</v>
      </c>
      <c r="I81" s="6">
        <v>6</v>
      </c>
      <c r="J81" s="6">
        <v>4</v>
      </c>
      <c r="K81" s="6">
        <v>4</v>
      </c>
      <c r="L81" s="6">
        <v>2</v>
      </c>
      <c r="M81" s="6">
        <v>4</v>
      </c>
      <c r="N81" s="6">
        <v>4</v>
      </c>
      <c r="O81" s="6">
        <v>3</v>
      </c>
      <c r="P81" s="6">
        <v>5</v>
      </c>
      <c r="Q81" s="6">
        <v>3</v>
      </c>
      <c r="R81" s="6">
        <v>4</v>
      </c>
      <c r="S81" s="6">
        <v>0</v>
      </c>
      <c r="T81" s="6">
        <v>1</v>
      </c>
      <c r="U81" s="6">
        <v>0</v>
      </c>
      <c r="V81" s="6">
        <v>4</v>
      </c>
      <c r="W81" s="6">
        <v>8</v>
      </c>
      <c r="X81" s="6">
        <v>4</v>
      </c>
      <c r="Y81" s="6">
        <v>6</v>
      </c>
      <c r="Z81" s="6">
        <v>2</v>
      </c>
      <c r="AA81" s="6">
        <v>7</v>
      </c>
      <c r="AB81" s="5">
        <f>SUM(E81:AA81)</f>
        <v>89</v>
      </c>
    </row>
    <row r="82" spans="1:28" x14ac:dyDescent="0.3">
      <c r="A82" s="11" t="s">
        <v>50</v>
      </c>
      <c r="B82" s="54"/>
      <c r="C82" s="24" t="s">
        <v>149</v>
      </c>
      <c r="D82" s="51"/>
      <c r="E82" s="6">
        <v>1</v>
      </c>
      <c r="F82" s="6">
        <v>15</v>
      </c>
      <c r="G82" s="6">
        <v>8</v>
      </c>
      <c r="H82" s="6">
        <v>6</v>
      </c>
      <c r="I82" s="6">
        <v>8</v>
      </c>
      <c r="J82" s="6">
        <v>2</v>
      </c>
      <c r="K82" s="6">
        <v>14</v>
      </c>
      <c r="L82" s="6">
        <v>10</v>
      </c>
      <c r="M82" s="6">
        <v>6</v>
      </c>
      <c r="N82" s="6">
        <v>2</v>
      </c>
      <c r="O82" s="6">
        <v>4</v>
      </c>
      <c r="P82" s="6">
        <v>13</v>
      </c>
      <c r="Q82" s="6">
        <v>7</v>
      </c>
      <c r="R82" s="6">
        <v>3</v>
      </c>
      <c r="S82" s="6">
        <v>1</v>
      </c>
      <c r="T82" s="6">
        <v>2</v>
      </c>
      <c r="U82" s="6">
        <v>1</v>
      </c>
      <c r="V82" s="6">
        <v>1</v>
      </c>
      <c r="W82" s="6">
        <v>6</v>
      </c>
      <c r="X82" s="6">
        <v>3</v>
      </c>
      <c r="Y82" s="6">
        <v>14</v>
      </c>
      <c r="Z82" s="6">
        <v>0</v>
      </c>
      <c r="AA82" s="6">
        <v>8</v>
      </c>
      <c r="AB82" s="5">
        <f t="shared" ref="AB81:AB91" si="16">SUM(E82:AA82)</f>
        <v>135</v>
      </c>
    </row>
    <row r="83" spans="1:28" x14ac:dyDescent="0.3">
      <c r="A83" s="7"/>
      <c r="B83" s="54"/>
      <c r="C83" s="24" t="s">
        <v>150</v>
      </c>
      <c r="D83" s="51"/>
      <c r="E83" s="6">
        <v>3</v>
      </c>
      <c r="F83" s="6">
        <v>1</v>
      </c>
      <c r="G83" s="6">
        <v>2</v>
      </c>
      <c r="H83" s="6">
        <v>3</v>
      </c>
      <c r="I83" s="6">
        <v>1</v>
      </c>
      <c r="J83" s="6">
        <v>0</v>
      </c>
      <c r="K83" s="6">
        <v>3</v>
      </c>
      <c r="L83" s="6">
        <v>1</v>
      </c>
      <c r="M83" s="6">
        <v>1</v>
      </c>
      <c r="N83" s="6">
        <v>0</v>
      </c>
      <c r="O83" s="6">
        <v>3</v>
      </c>
      <c r="P83" s="6">
        <v>3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1</v>
      </c>
      <c r="X83" s="6">
        <v>2</v>
      </c>
      <c r="Y83" s="6">
        <v>3</v>
      </c>
      <c r="Z83" s="6">
        <v>1</v>
      </c>
      <c r="AA83" s="6">
        <v>1</v>
      </c>
      <c r="AB83" s="5">
        <f t="shared" si="16"/>
        <v>29</v>
      </c>
    </row>
    <row r="84" spans="1:28" x14ac:dyDescent="0.3">
      <c r="A84" s="7"/>
      <c r="B84" s="54"/>
      <c r="C84" s="24" t="s">
        <v>151</v>
      </c>
      <c r="D84" s="51"/>
      <c r="E84" s="6">
        <v>1</v>
      </c>
      <c r="F84" s="6">
        <v>2</v>
      </c>
      <c r="G84" s="6">
        <v>1</v>
      </c>
      <c r="H84" s="6">
        <v>0</v>
      </c>
      <c r="I84" s="6">
        <v>0</v>
      </c>
      <c r="J84" s="6">
        <v>1</v>
      </c>
      <c r="K84" s="6">
        <v>0</v>
      </c>
      <c r="L84" s="6">
        <v>1</v>
      </c>
      <c r="M84" s="6">
        <v>0</v>
      </c>
      <c r="N84" s="6">
        <v>0</v>
      </c>
      <c r="O84" s="6">
        <v>0</v>
      </c>
      <c r="P84" s="6">
        <v>1</v>
      </c>
      <c r="Q84" s="6">
        <v>1</v>
      </c>
      <c r="R84" s="6">
        <v>1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2</v>
      </c>
      <c r="Z84" s="6">
        <v>1</v>
      </c>
      <c r="AA84" s="6">
        <v>0</v>
      </c>
      <c r="AB84" s="5">
        <f t="shared" si="16"/>
        <v>12</v>
      </c>
    </row>
    <row r="85" spans="1:28" ht="13.15" customHeight="1" x14ac:dyDescent="0.3">
      <c r="A85" s="7"/>
      <c r="B85" s="54"/>
      <c r="C85" s="24" t="s">
        <v>152</v>
      </c>
      <c r="D85" s="51"/>
      <c r="E85" s="6">
        <v>1</v>
      </c>
      <c r="F85" s="6">
        <v>3</v>
      </c>
      <c r="G85" s="6">
        <v>3</v>
      </c>
      <c r="H85" s="6">
        <v>0</v>
      </c>
      <c r="I85" s="6">
        <v>0</v>
      </c>
      <c r="J85" s="6">
        <v>0</v>
      </c>
      <c r="K85" s="6">
        <v>6</v>
      </c>
      <c r="L85" s="6">
        <v>2</v>
      </c>
      <c r="M85" s="6">
        <v>1</v>
      </c>
      <c r="N85" s="6">
        <v>2</v>
      </c>
      <c r="O85" s="6">
        <v>0</v>
      </c>
      <c r="P85" s="6">
        <v>2</v>
      </c>
      <c r="Q85" s="6">
        <v>2</v>
      </c>
      <c r="R85" s="6">
        <v>0</v>
      </c>
      <c r="S85" s="6">
        <v>1</v>
      </c>
      <c r="T85" s="6">
        <v>1</v>
      </c>
      <c r="U85" s="6">
        <v>0</v>
      </c>
      <c r="V85" s="6">
        <v>0</v>
      </c>
      <c r="W85" s="6">
        <v>0</v>
      </c>
      <c r="X85" s="6">
        <v>1</v>
      </c>
      <c r="Y85" s="6">
        <v>1</v>
      </c>
      <c r="Z85" s="6">
        <v>2</v>
      </c>
      <c r="AA85" s="6">
        <v>0</v>
      </c>
      <c r="AB85" s="5">
        <f t="shared" si="16"/>
        <v>28</v>
      </c>
    </row>
    <row r="86" spans="1:28" x14ac:dyDescent="0.3">
      <c r="A86" s="7"/>
      <c r="B86" s="54"/>
      <c r="C86" s="24" t="s">
        <v>153</v>
      </c>
      <c r="D86" s="51"/>
      <c r="E86" s="6">
        <v>0</v>
      </c>
      <c r="F86" s="6">
        <v>1</v>
      </c>
      <c r="G86" s="6">
        <v>2</v>
      </c>
      <c r="H86" s="6">
        <v>2</v>
      </c>
      <c r="I86" s="6">
        <v>33</v>
      </c>
      <c r="J86" s="6">
        <v>24</v>
      </c>
      <c r="K86" s="6">
        <v>1</v>
      </c>
      <c r="L86" s="6">
        <v>3</v>
      </c>
      <c r="M86" s="6">
        <v>0</v>
      </c>
      <c r="N86" s="6">
        <v>0</v>
      </c>
      <c r="O86" s="6">
        <v>0</v>
      </c>
      <c r="P86" s="6">
        <v>1</v>
      </c>
      <c r="Q86" s="6">
        <v>0</v>
      </c>
      <c r="R86" s="6">
        <v>5</v>
      </c>
      <c r="S86" s="6">
        <v>3</v>
      </c>
      <c r="T86" s="6">
        <v>0</v>
      </c>
      <c r="U86" s="6">
        <v>0</v>
      </c>
      <c r="V86" s="6">
        <v>13</v>
      </c>
      <c r="W86" s="6">
        <v>5</v>
      </c>
      <c r="X86" s="6">
        <v>1</v>
      </c>
      <c r="Y86" s="6">
        <v>0</v>
      </c>
      <c r="Z86" s="6">
        <v>0</v>
      </c>
      <c r="AA86" s="6">
        <v>6</v>
      </c>
      <c r="AB86" s="5">
        <f t="shared" si="16"/>
        <v>100</v>
      </c>
    </row>
    <row r="87" spans="1:28" x14ac:dyDescent="0.3">
      <c r="A87" s="7"/>
      <c r="B87" s="54"/>
      <c r="C87" s="24" t="s">
        <v>154</v>
      </c>
      <c r="D87" s="51"/>
      <c r="E87" s="6">
        <v>0</v>
      </c>
      <c r="F87" s="6">
        <v>3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5">
        <f t="shared" si="16"/>
        <v>6</v>
      </c>
    </row>
    <row r="88" spans="1:28" x14ac:dyDescent="0.3">
      <c r="A88" s="7"/>
      <c r="B88" s="54"/>
      <c r="C88" s="24" t="s">
        <v>155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5">
        <f t="shared" si="16"/>
        <v>1</v>
      </c>
    </row>
    <row r="89" spans="1:28" x14ac:dyDescent="0.3">
      <c r="A89" s="7"/>
      <c r="B89" s="54"/>
      <c r="C89" s="24" t="s">
        <v>156</v>
      </c>
      <c r="D89" s="51"/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1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5">
        <f t="shared" si="16"/>
        <v>2</v>
      </c>
    </row>
    <row r="90" spans="1:28" x14ac:dyDescent="0.3">
      <c r="A90" s="7"/>
      <c r="B90" s="54"/>
      <c r="C90" s="24" t="s">
        <v>157</v>
      </c>
      <c r="D90" s="51"/>
      <c r="E90" s="6">
        <v>0</v>
      </c>
      <c r="F90" s="6">
        <v>0</v>
      </c>
      <c r="G90" s="6">
        <v>2</v>
      </c>
      <c r="H90" s="6">
        <v>1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1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1</v>
      </c>
      <c r="AB90" s="5">
        <f t="shared" si="16"/>
        <v>6</v>
      </c>
    </row>
    <row r="91" spans="1:28" x14ac:dyDescent="0.3">
      <c r="A91" s="6" t="s">
        <v>26</v>
      </c>
      <c r="B91" s="69" t="s">
        <v>51</v>
      </c>
      <c r="C91" s="85"/>
      <c r="D91" s="76"/>
      <c r="E91" s="5">
        <f>SUM(E81:E90)</f>
        <v>9</v>
      </c>
      <c r="F91" s="5">
        <f t="shared" ref="F91:AB91" si="17">SUM(F81:F90)</f>
        <v>29</v>
      </c>
      <c r="G91" s="5">
        <f t="shared" si="17"/>
        <v>26</v>
      </c>
      <c r="H91" s="5">
        <f t="shared" si="17"/>
        <v>16</v>
      </c>
      <c r="I91" s="5">
        <f t="shared" si="17"/>
        <v>48</v>
      </c>
      <c r="J91" s="5">
        <f t="shared" si="17"/>
        <v>31</v>
      </c>
      <c r="K91" s="5">
        <f t="shared" si="17"/>
        <v>30</v>
      </c>
      <c r="L91" s="5">
        <f t="shared" si="17"/>
        <v>19</v>
      </c>
      <c r="M91" s="5">
        <f t="shared" si="17"/>
        <v>12</v>
      </c>
      <c r="N91" s="5">
        <f t="shared" si="17"/>
        <v>8</v>
      </c>
      <c r="O91" s="5">
        <f t="shared" si="17"/>
        <v>12</v>
      </c>
      <c r="P91" s="5">
        <f t="shared" si="17"/>
        <v>26</v>
      </c>
      <c r="Q91" s="5">
        <f t="shared" si="17"/>
        <v>13</v>
      </c>
      <c r="R91" s="5">
        <f t="shared" si="17"/>
        <v>13</v>
      </c>
      <c r="S91" s="5">
        <f t="shared" si="17"/>
        <v>5</v>
      </c>
      <c r="T91" s="5">
        <f t="shared" si="17"/>
        <v>4</v>
      </c>
      <c r="U91" s="5">
        <f t="shared" si="17"/>
        <v>2</v>
      </c>
      <c r="V91" s="5">
        <f t="shared" si="17"/>
        <v>18</v>
      </c>
      <c r="W91" s="5">
        <f t="shared" si="17"/>
        <v>20</v>
      </c>
      <c r="X91" s="5">
        <f t="shared" si="17"/>
        <v>11</v>
      </c>
      <c r="Y91" s="5">
        <f t="shared" si="17"/>
        <v>26</v>
      </c>
      <c r="Z91" s="5">
        <f t="shared" si="17"/>
        <v>6</v>
      </c>
      <c r="AA91" s="5">
        <f t="shared" si="17"/>
        <v>24</v>
      </c>
      <c r="AB91" s="5">
        <f t="shared" si="17"/>
        <v>408</v>
      </c>
    </row>
    <row r="92" spans="1:28" x14ac:dyDescent="0.3">
      <c r="A92" s="86"/>
      <c r="B92" s="87"/>
      <c r="C92" s="87"/>
      <c r="D92" s="87"/>
      <c r="E92" s="87"/>
    </row>
    <row r="93" spans="1:28" x14ac:dyDescent="0.3">
      <c r="A93" s="11" t="s">
        <v>48</v>
      </c>
      <c r="B93" s="17" t="s">
        <v>55</v>
      </c>
      <c r="C93" s="75" t="s">
        <v>56</v>
      </c>
      <c r="D93" s="76"/>
      <c r="E93" s="6">
        <v>1</v>
      </c>
      <c r="F93" s="6">
        <v>0</v>
      </c>
      <c r="G93" s="6">
        <v>1</v>
      </c>
      <c r="H93" s="6">
        <v>3</v>
      </c>
      <c r="I93" s="6">
        <v>2</v>
      </c>
      <c r="J93" s="6">
        <v>1</v>
      </c>
      <c r="K93" s="6">
        <v>1</v>
      </c>
      <c r="L93" s="6">
        <v>7</v>
      </c>
      <c r="M93" s="6">
        <v>7</v>
      </c>
      <c r="N93" s="6">
        <v>11</v>
      </c>
      <c r="O93" s="6">
        <v>0</v>
      </c>
      <c r="P93" s="6">
        <v>5</v>
      </c>
      <c r="Q93" s="6">
        <v>0</v>
      </c>
      <c r="R93" s="6">
        <v>3</v>
      </c>
      <c r="S93" s="6">
        <v>1</v>
      </c>
      <c r="T93" s="6">
        <v>3</v>
      </c>
      <c r="U93" s="6">
        <v>0</v>
      </c>
      <c r="V93" s="6">
        <v>1</v>
      </c>
      <c r="W93" s="6">
        <v>3</v>
      </c>
      <c r="X93" s="6">
        <v>0</v>
      </c>
      <c r="Y93" s="6">
        <v>0</v>
      </c>
      <c r="Z93" s="6">
        <v>1</v>
      </c>
      <c r="AA93" s="6">
        <v>0</v>
      </c>
      <c r="AB93" s="5">
        <f>SUM(E93:AA93)</f>
        <v>51</v>
      </c>
    </row>
    <row r="94" spans="1:28" x14ac:dyDescent="0.3">
      <c r="A94" s="11" t="s">
        <v>50</v>
      </c>
      <c r="B94" s="54"/>
      <c r="C94" s="24" t="s">
        <v>158</v>
      </c>
      <c r="D94" s="51"/>
      <c r="E94" s="6">
        <v>5</v>
      </c>
      <c r="F94" s="6">
        <v>2</v>
      </c>
      <c r="G94" s="6">
        <v>2</v>
      </c>
      <c r="H94" s="6">
        <v>4</v>
      </c>
      <c r="I94" s="6">
        <v>2</v>
      </c>
      <c r="J94" s="6">
        <v>2</v>
      </c>
      <c r="K94" s="6">
        <v>7</v>
      </c>
      <c r="L94" s="6">
        <v>3</v>
      </c>
      <c r="M94" s="6">
        <v>4</v>
      </c>
      <c r="N94" s="6">
        <v>9</v>
      </c>
      <c r="O94" s="6">
        <v>2</v>
      </c>
      <c r="P94" s="6">
        <v>7</v>
      </c>
      <c r="Q94" s="6">
        <v>8</v>
      </c>
      <c r="R94" s="6">
        <v>5</v>
      </c>
      <c r="S94" s="6">
        <v>24</v>
      </c>
      <c r="T94" s="6">
        <v>33</v>
      </c>
      <c r="U94" s="6">
        <v>10</v>
      </c>
      <c r="V94" s="6">
        <v>15</v>
      </c>
      <c r="W94" s="6">
        <v>5</v>
      </c>
      <c r="X94" s="6">
        <v>1</v>
      </c>
      <c r="Y94" s="6">
        <v>3</v>
      </c>
      <c r="Z94" s="6">
        <v>2</v>
      </c>
      <c r="AA94" s="6">
        <v>1</v>
      </c>
      <c r="AB94" s="5">
        <f t="shared" ref="AB93:AB103" si="18">SUM(E94:AA94)</f>
        <v>156</v>
      </c>
    </row>
    <row r="95" spans="1:28" x14ac:dyDescent="0.3">
      <c r="A95" s="7"/>
      <c r="B95" s="54"/>
      <c r="C95" s="24" t="s">
        <v>159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1</v>
      </c>
      <c r="N95" s="6">
        <v>0</v>
      </c>
      <c r="O95" s="6">
        <v>0</v>
      </c>
      <c r="P95" s="6">
        <v>2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1</v>
      </c>
      <c r="W95" s="6">
        <v>0</v>
      </c>
      <c r="X95" s="6">
        <v>0</v>
      </c>
      <c r="Y95" s="6">
        <v>1</v>
      </c>
      <c r="Z95" s="6">
        <v>0</v>
      </c>
      <c r="AA95" s="6">
        <v>0</v>
      </c>
      <c r="AB95" s="5">
        <f t="shared" si="18"/>
        <v>7</v>
      </c>
    </row>
    <row r="96" spans="1:28" ht="13.15" customHeight="1" x14ac:dyDescent="0.3">
      <c r="A96" s="7"/>
      <c r="B96" s="54"/>
      <c r="C96" s="24" t="s">
        <v>160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</v>
      </c>
      <c r="Y96" s="6">
        <v>0</v>
      </c>
      <c r="Z96" s="6">
        <v>2</v>
      </c>
      <c r="AA96" s="6">
        <v>0</v>
      </c>
      <c r="AB96" s="5">
        <f t="shared" si="18"/>
        <v>5</v>
      </c>
    </row>
    <row r="97" spans="1:28" x14ac:dyDescent="0.3">
      <c r="A97" s="7"/>
      <c r="B97" s="54"/>
      <c r="C97" s="24" t="s">
        <v>161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1</v>
      </c>
      <c r="L97" s="6">
        <v>2</v>
      </c>
      <c r="M97" s="6">
        <v>1</v>
      </c>
      <c r="N97" s="6">
        <v>1</v>
      </c>
      <c r="O97" s="6">
        <v>1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5">
        <f t="shared" si="18"/>
        <v>8</v>
      </c>
    </row>
    <row r="98" spans="1:28" x14ac:dyDescent="0.3">
      <c r="A98" s="7"/>
      <c r="B98" s="54"/>
      <c r="C98" s="24" t="s">
        <v>162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2</v>
      </c>
      <c r="L98" s="6">
        <v>2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5">
        <f t="shared" si="18"/>
        <v>5</v>
      </c>
    </row>
    <row r="99" spans="1:28" x14ac:dyDescent="0.3">
      <c r="A99" s="7"/>
      <c r="B99" s="54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1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1</v>
      </c>
      <c r="AA99" s="6">
        <v>1</v>
      </c>
      <c r="AB99" s="5">
        <f t="shared" si="18"/>
        <v>4</v>
      </c>
    </row>
    <row r="100" spans="1:28" x14ac:dyDescent="0.3">
      <c r="A100" s="7"/>
      <c r="B100" s="54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1</v>
      </c>
      <c r="Y100" s="6">
        <v>0</v>
      </c>
      <c r="Z100" s="6">
        <v>0</v>
      </c>
      <c r="AA100" s="6">
        <v>0</v>
      </c>
      <c r="AB100" s="5">
        <f t="shared" si="18"/>
        <v>1</v>
      </c>
    </row>
    <row r="101" spans="1:28" x14ac:dyDescent="0.3">
      <c r="A101" s="7"/>
      <c r="B101" s="54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5">
        <f t="shared" si="18"/>
        <v>2</v>
      </c>
    </row>
    <row r="102" spans="1:28" x14ac:dyDescent="0.3">
      <c r="A102" s="7"/>
      <c r="B102" s="54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1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5">
        <f t="shared" si="18"/>
        <v>1</v>
      </c>
    </row>
    <row r="103" spans="1:28" x14ac:dyDescent="0.3">
      <c r="A103" s="6" t="s">
        <v>26</v>
      </c>
      <c r="B103" s="69" t="s">
        <v>51</v>
      </c>
      <c r="C103" s="85"/>
      <c r="D103" s="76"/>
      <c r="E103" s="5">
        <f>SUM(E93:E102)</f>
        <v>6</v>
      </c>
      <c r="F103" s="5">
        <f t="shared" ref="F103:AB103" si="19">SUM(F93:F102)</f>
        <v>2</v>
      </c>
      <c r="G103" s="5">
        <f t="shared" si="19"/>
        <v>3</v>
      </c>
      <c r="H103" s="5">
        <f t="shared" si="19"/>
        <v>7</v>
      </c>
      <c r="I103" s="5">
        <f t="shared" si="19"/>
        <v>6</v>
      </c>
      <c r="J103" s="5">
        <f t="shared" si="19"/>
        <v>3</v>
      </c>
      <c r="K103" s="5">
        <f t="shared" si="19"/>
        <v>12</v>
      </c>
      <c r="L103" s="5">
        <f t="shared" si="19"/>
        <v>14</v>
      </c>
      <c r="M103" s="5">
        <f t="shared" si="19"/>
        <v>13</v>
      </c>
      <c r="N103" s="5">
        <f t="shared" si="19"/>
        <v>23</v>
      </c>
      <c r="O103" s="5">
        <f t="shared" si="19"/>
        <v>3</v>
      </c>
      <c r="P103" s="5">
        <f t="shared" si="19"/>
        <v>16</v>
      </c>
      <c r="Q103" s="5">
        <f t="shared" si="19"/>
        <v>9</v>
      </c>
      <c r="R103" s="5">
        <f t="shared" si="19"/>
        <v>8</v>
      </c>
      <c r="S103" s="5">
        <f t="shared" si="19"/>
        <v>27</v>
      </c>
      <c r="T103" s="5">
        <f t="shared" si="19"/>
        <v>37</v>
      </c>
      <c r="U103" s="5">
        <f t="shared" si="19"/>
        <v>10</v>
      </c>
      <c r="V103" s="5">
        <f t="shared" si="19"/>
        <v>17</v>
      </c>
      <c r="W103" s="5">
        <f t="shared" si="19"/>
        <v>9</v>
      </c>
      <c r="X103" s="5">
        <f t="shared" si="19"/>
        <v>3</v>
      </c>
      <c r="Y103" s="5">
        <f t="shared" si="19"/>
        <v>4</v>
      </c>
      <c r="Z103" s="5">
        <f t="shared" si="19"/>
        <v>6</v>
      </c>
      <c r="AA103" s="5">
        <f t="shared" si="19"/>
        <v>2</v>
      </c>
      <c r="AB103" s="5">
        <f t="shared" si="19"/>
        <v>240</v>
      </c>
    </row>
    <row r="104" spans="1:28" x14ac:dyDescent="0.3">
      <c r="A104" s="86"/>
      <c r="B104" s="87"/>
      <c r="C104" s="87"/>
      <c r="D104" s="87"/>
      <c r="E104" s="8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x14ac:dyDescent="0.3">
      <c r="A105" s="11" t="s">
        <v>48</v>
      </c>
      <c r="B105" s="17" t="s">
        <v>57</v>
      </c>
      <c r="C105" s="75" t="s">
        <v>58</v>
      </c>
      <c r="D105" s="76"/>
      <c r="E105" s="6">
        <v>0</v>
      </c>
      <c r="F105" s="6">
        <v>1</v>
      </c>
      <c r="G105" s="6">
        <v>1</v>
      </c>
      <c r="H105" s="6">
        <v>7</v>
      </c>
      <c r="I105" s="6">
        <v>3</v>
      </c>
      <c r="J105" s="6">
        <v>2</v>
      </c>
      <c r="K105" s="6">
        <v>1</v>
      </c>
      <c r="L105" s="6">
        <v>1</v>
      </c>
      <c r="M105" s="6">
        <v>2</v>
      </c>
      <c r="N105" s="6">
        <v>1</v>
      </c>
      <c r="O105" s="6">
        <v>0</v>
      </c>
      <c r="P105" s="6">
        <v>1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1</v>
      </c>
      <c r="X105" s="6">
        <v>1</v>
      </c>
      <c r="Y105" s="6">
        <v>2</v>
      </c>
      <c r="Z105" s="6">
        <v>0</v>
      </c>
      <c r="AA105" s="6">
        <v>0</v>
      </c>
      <c r="AB105" s="5">
        <f>SUM(E105:AA105)</f>
        <v>25</v>
      </c>
    </row>
    <row r="106" spans="1:28" x14ac:dyDescent="0.3">
      <c r="A106" s="11" t="s">
        <v>50</v>
      </c>
      <c r="B106" s="54"/>
      <c r="C106" s="24" t="s">
        <v>167</v>
      </c>
      <c r="D106" s="5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1</v>
      </c>
      <c r="R106" s="6">
        <v>1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5">
        <f>SUM(E106:AA106)</f>
        <v>4</v>
      </c>
    </row>
    <row r="107" spans="1:28" ht="13.15" customHeight="1" x14ac:dyDescent="0.3">
      <c r="A107" s="7"/>
      <c r="B107" s="54"/>
      <c r="C107" s="24" t="s">
        <v>168</v>
      </c>
      <c r="D107" s="51"/>
      <c r="E107" s="6">
        <v>0</v>
      </c>
      <c r="F107" s="6">
        <v>0</v>
      </c>
      <c r="G107" s="6">
        <v>0</v>
      </c>
      <c r="H107" s="6">
        <v>0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5">
        <f>SUM(E107:AA107)</f>
        <v>2</v>
      </c>
    </row>
    <row r="108" spans="1:28" x14ac:dyDescent="0.3">
      <c r="A108" s="7"/>
      <c r="B108" s="46"/>
      <c r="C108" s="47"/>
      <c r="D108" s="49"/>
      <c r="E108" s="6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50"/>
    </row>
    <row r="109" spans="1:28" x14ac:dyDescent="0.3">
      <c r="A109" s="7"/>
      <c r="B109" s="46"/>
      <c r="C109" s="47"/>
      <c r="D109" s="49"/>
      <c r="E109" s="6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50"/>
    </row>
    <row r="110" spans="1:28" x14ac:dyDescent="0.3">
      <c r="A110" s="7"/>
      <c r="B110" s="46"/>
      <c r="C110" s="47"/>
      <c r="D110" s="49"/>
      <c r="E110" s="6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50"/>
    </row>
    <row r="111" spans="1:28" x14ac:dyDescent="0.3">
      <c r="A111" s="7"/>
      <c r="B111" s="46"/>
      <c r="C111" s="47"/>
      <c r="D111" s="49"/>
      <c r="E111" s="6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50"/>
    </row>
    <row r="112" spans="1:28" x14ac:dyDescent="0.3">
      <c r="A112" s="7"/>
      <c r="B112" s="46"/>
      <c r="C112" s="47"/>
      <c r="D112" s="49"/>
      <c r="E112" s="6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50"/>
    </row>
    <row r="113" spans="1:30" x14ac:dyDescent="0.3">
      <c r="A113" s="7"/>
      <c r="B113" s="46"/>
      <c r="C113" s="47"/>
      <c r="D113" s="49"/>
      <c r="E113" s="6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50"/>
    </row>
    <row r="114" spans="1:30" x14ac:dyDescent="0.3">
      <c r="A114" s="7"/>
      <c r="B114" s="46"/>
      <c r="C114" s="47"/>
      <c r="D114" s="49"/>
      <c r="E114" s="6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50"/>
    </row>
    <row r="115" spans="1:30" ht="13.15" customHeight="1" x14ac:dyDescent="0.3">
      <c r="A115" s="6" t="s">
        <v>26</v>
      </c>
      <c r="B115" s="69" t="s">
        <v>51</v>
      </c>
      <c r="C115" s="70"/>
      <c r="D115" s="71"/>
      <c r="E115" s="5">
        <f>SUM(E105:E114)</f>
        <v>0</v>
      </c>
      <c r="F115" s="5">
        <f t="shared" ref="F115:AB115" si="20">SUM(F105:F114)</f>
        <v>1</v>
      </c>
      <c r="G115" s="5">
        <f t="shared" si="20"/>
        <v>1</v>
      </c>
      <c r="H115" s="5">
        <f t="shared" si="20"/>
        <v>7</v>
      </c>
      <c r="I115" s="5">
        <f t="shared" si="20"/>
        <v>4</v>
      </c>
      <c r="J115" s="5">
        <f t="shared" si="20"/>
        <v>3</v>
      </c>
      <c r="K115" s="5">
        <f t="shared" si="20"/>
        <v>1</v>
      </c>
      <c r="L115" s="5">
        <f t="shared" si="20"/>
        <v>1</v>
      </c>
      <c r="M115" s="5">
        <f t="shared" si="20"/>
        <v>2</v>
      </c>
      <c r="N115" s="5">
        <f t="shared" si="20"/>
        <v>1</v>
      </c>
      <c r="O115" s="5">
        <f t="shared" si="20"/>
        <v>1</v>
      </c>
      <c r="P115" s="5">
        <f t="shared" si="20"/>
        <v>1</v>
      </c>
      <c r="Q115" s="5">
        <f t="shared" si="20"/>
        <v>2</v>
      </c>
      <c r="R115" s="5">
        <f t="shared" si="20"/>
        <v>1</v>
      </c>
      <c r="S115" s="5">
        <f t="shared" si="20"/>
        <v>0</v>
      </c>
      <c r="T115" s="5">
        <f t="shared" si="20"/>
        <v>0</v>
      </c>
      <c r="U115" s="5">
        <f t="shared" si="20"/>
        <v>0</v>
      </c>
      <c r="V115" s="5">
        <f t="shared" si="20"/>
        <v>0</v>
      </c>
      <c r="W115" s="5">
        <f t="shared" si="20"/>
        <v>1</v>
      </c>
      <c r="X115" s="5">
        <f t="shared" si="20"/>
        <v>2</v>
      </c>
      <c r="Y115" s="5">
        <f t="shared" si="20"/>
        <v>2</v>
      </c>
      <c r="Z115" s="5">
        <f t="shared" si="20"/>
        <v>0</v>
      </c>
      <c r="AA115" s="5">
        <f t="shared" si="20"/>
        <v>0</v>
      </c>
      <c r="AB115" s="5">
        <f t="shared" si="20"/>
        <v>31</v>
      </c>
    </row>
    <row r="116" spans="1:30" x14ac:dyDescent="0.3">
      <c r="A116" s="77"/>
      <c r="B116" s="78"/>
      <c r="C116" s="78"/>
      <c r="D116" s="78"/>
      <c r="E116" s="7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AB116" s="5"/>
    </row>
    <row r="117" spans="1:30" x14ac:dyDescent="0.3">
      <c r="A117" s="11" t="s">
        <v>48</v>
      </c>
      <c r="B117" s="17" t="s">
        <v>59</v>
      </c>
      <c r="C117" s="75" t="s">
        <v>60</v>
      </c>
      <c r="D117" s="76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2</v>
      </c>
      <c r="K117" s="6">
        <v>0</v>
      </c>
      <c r="L117" s="6">
        <v>1</v>
      </c>
      <c r="M117" s="6">
        <v>0</v>
      </c>
      <c r="N117" s="6">
        <v>0</v>
      </c>
      <c r="O117" s="6">
        <v>1</v>
      </c>
      <c r="P117" s="6">
        <v>1</v>
      </c>
      <c r="Q117" s="6">
        <v>1</v>
      </c>
      <c r="R117" s="6">
        <v>0</v>
      </c>
      <c r="S117" s="6">
        <v>2</v>
      </c>
      <c r="T117" s="6">
        <v>1</v>
      </c>
      <c r="U117" s="6">
        <v>0</v>
      </c>
      <c r="V117" s="6">
        <v>2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5">
        <f>SUM(E117:AA117)</f>
        <v>11</v>
      </c>
      <c r="AC117" s="20"/>
      <c r="AD117" s="20"/>
    </row>
    <row r="118" spans="1:30" x14ac:dyDescent="0.3">
      <c r="A118" s="11" t="s">
        <v>50</v>
      </c>
      <c r="B118" s="54"/>
      <c r="C118" s="24" t="s">
        <v>169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2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6">
        <v>1</v>
      </c>
      <c r="W118" s="6">
        <v>1</v>
      </c>
      <c r="X118" s="6">
        <v>0</v>
      </c>
      <c r="Y118" s="6">
        <v>0</v>
      </c>
      <c r="Z118" s="6">
        <v>1</v>
      </c>
      <c r="AA118" s="6">
        <v>1</v>
      </c>
      <c r="AB118" s="5">
        <f t="shared" ref="AB117:AB122" si="21">SUM(E118:AA118)</f>
        <v>7</v>
      </c>
      <c r="AC118" s="20"/>
      <c r="AD118" s="20"/>
    </row>
    <row r="119" spans="1:30" x14ac:dyDescent="0.3">
      <c r="A119" s="7"/>
      <c r="B119" s="54"/>
      <c r="C119" s="24" t="s">
        <v>170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1</v>
      </c>
      <c r="AB119" s="5">
        <f t="shared" si="21"/>
        <v>2</v>
      </c>
      <c r="AC119" s="20"/>
      <c r="AD119" s="20"/>
    </row>
    <row r="120" spans="1:30" x14ac:dyDescent="0.3">
      <c r="A120" s="7"/>
      <c r="B120" s="54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0</v>
      </c>
      <c r="P120" s="6">
        <v>0</v>
      </c>
      <c r="Q120" s="6">
        <v>1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5">
        <f t="shared" si="21"/>
        <v>2</v>
      </c>
      <c r="AC120" s="20"/>
      <c r="AD120" s="20"/>
    </row>
    <row r="121" spans="1:30" x14ac:dyDescent="0.3">
      <c r="A121" s="7"/>
      <c r="B121" s="54"/>
      <c r="C121" s="24" t="s">
        <v>172</v>
      </c>
      <c r="D121" s="51"/>
      <c r="E121" s="6">
        <v>0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5">
        <f t="shared" si="21"/>
        <v>2</v>
      </c>
      <c r="AC121" s="20"/>
      <c r="AD121" s="20"/>
    </row>
    <row r="122" spans="1:30" x14ac:dyDescent="0.3">
      <c r="A122" s="7"/>
      <c r="B122" s="54"/>
      <c r="C122" s="24" t="s">
        <v>173</v>
      </c>
      <c r="D122" s="51"/>
      <c r="E122" s="6">
        <v>0</v>
      </c>
      <c r="F122" s="6">
        <v>1</v>
      </c>
      <c r="G122" s="6">
        <v>1</v>
      </c>
      <c r="H122" s="6">
        <v>0</v>
      </c>
      <c r="I122" s="6">
        <v>0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5">
        <f t="shared" si="21"/>
        <v>3</v>
      </c>
      <c r="AC122" s="20"/>
      <c r="AD122" s="20"/>
    </row>
    <row r="123" spans="1:30" x14ac:dyDescent="0.3">
      <c r="A123" s="7"/>
      <c r="B123" s="46"/>
      <c r="C123" s="47"/>
      <c r="D123" s="49"/>
      <c r="E123" s="62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50"/>
      <c r="AC123" s="20"/>
      <c r="AD123" s="20"/>
    </row>
    <row r="124" spans="1:30" x14ac:dyDescent="0.3">
      <c r="A124" s="7"/>
      <c r="B124" s="46"/>
      <c r="C124" s="47"/>
      <c r="D124" s="49"/>
      <c r="E124" s="62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50"/>
      <c r="AC124" s="20"/>
      <c r="AD124" s="20"/>
    </row>
    <row r="125" spans="1:30" x14ac:dyDescent="0.3">
      <c r="A125" s="7"/>
      <c r="B125" s="46"/>
      <c r="C125" s="47"/>
      <c r="D125" s="49"/>
      <c r="E125" s="62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50"/>
      <c r="AC125" s="20"/>
      <c r="AD125" s="20"/>
    </row>
    <row r="126" spans="1:30" x14ac:dyDescent="0.3">
      <c r="A126" s="7"/>
      <c r="B126" s="46"/>
      <c r="C126" s="47"/>
      <c r="D126" s="49"/>
      <c r="E126" s="62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50"/>
      <c r="AC126" s="20"/>
      <c r="AD126" s="20"/>
    </row>
    <row r="127" spans="1:30" x14ac:dyDescent="0.3">
      <c r="A127" s="6" t="s">
        <v>26</v>
      </c>
      <c r="B127" s="69" t="s">
        <v>51</v>
      </c>
      <c r="C127" s="70"/>
      <c r="D127" s="71"/>
      <c r="E127" s="5">
        <f>SUM(E117:E126)</f>
        <v>0</v>
      </c>
      <c r="F127" s="5">
        <f t="shared" ref="F127:AB127" si="22">SUM(F117:F126)</f>
        <v>2</v>
      </c>
      <c r="G127" s="5">
        <f t="shared" si="22"/>
        <v>1</v>
      </c>
      <c r="H127" s="5">
        <f t="shared" si="22"/>
        <v>0</v>
      </c>
      <c r="I127" s="5">
        <f t="shared" si="22"/>
        <v>0</v>
      </c>
      <c r="J127" s="5">
        <f t="shared" si="22"/>
        <v>5</v>
      </c>
      <c r="K127" s="5">
        <f t="shared" si="22"/>
        <v>0</v>
      </c>
      <c r="L127" s="5">
        <f t="shared" si="22"/>
        <v>3</v>
      </c>
      <c r="M127" s="5">
        <f t="shared" si="22"/>
        <v>1</v>
      </c>
      <c r="N127" s="5">
        <f t="shared" si="22"/>
        <v>0</v>
      </c>
      <c r="O127" s="5">
        <f t="shared" si="22"/>
        <v>1</v>
      </c>
      <c r="P127" s="5">
        <f t="shared" si="22"/>
        <v>1</v>
      </c>
      <c r="Q127" s="5">
        <f t="shared" si="22"/>
        <v>2</v>
      </c>
      <c r="R127" s="5">
        <f t="shared" si="22"/>
        <v>0</v>
      </c>
      <c r="S127" s="5">
        <f t="shared" si="22"/>
        <v>2</v>
      </c>
      <c r="T127" s="5">
        <f t="shared" si="22"/>
        <v>2</v>
      </c>
      <c r="U127" s="5">
        <f t="shared" si="22"/>
        <v>0</v>
      </c>
      <c r="V127" s="5">
        <f t="shared" si="22"/>
        <v>3</v>
      </c>
      <c r="W127" s="5">
        <f t="shared" si="22"/>
        <v>1</v>
      </c>
      <c r="X127" s="5">
        <f t="shared" si="22"/>
        <v>0</v>
      </c>
      <c r="Y127" s="5">
        <f t="shared" si="22"/>
        <v>0</v>
      </c>
      <c r="Z127" s="5">
        <f t="shared" si="22"/>
        <v>1</v>
      </c>
      <c r="AA127" s="5">
        <f t="shared" si="22"/>
        <v>2</v>
      </c>
      <c r="AB127" s="5">
        <f t="shared" si="22"/>
        <v>27</v>
      </c>
      <c r="AC127" s="20"/>
      <c r="AD127" s="20"/>
    </row>
    <row r="128" spans="1:30" x14ac:dyDescent="0.3">
      <c r="A128" s="77"/>
      <c r="B128" s="78"/>
      <c r="C128" s="78"/>
      <c r="D128" s="78"/>
      <c r="E128" s="7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0"/>
      <c r="AD128" s="20"/>
    </row>
    <row r="129" spans="1:30" x14ac:dyDescent="0.3">
      <c r="A129" s="11" t="s">
        <v>48</v>
      </c>
      <c r="B129" s="17" t="s">
        <v>61</v>
      </c>
      <c r="C129" s="75" t="s">
        <v>62</v>
      </c>
      <c r="D129" s="76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1</v>
      </c>
      <c r="L129" s="6">
        <v>0</v>
      </c>
      <c r="M129" s="6">
        <v>1</v>
      </c>
      <c r="N129" s="6">
        <v>0</v>
      </c>
      <c r="O129" s="6">
        <v>0</v>
      </c>
      <c r="P129" s="6">
        <v>0</v>
      </c>
      <c r="Q129" s="6">
        <v>0</v>
      </c>
      <c r="R129" s="6">
        <v>1</v>
      </c>
      <c r="S129" s="6">
        <v>1</v>
      </c>
      <c r="T129" s="6">
        <v>2</v>
      </c>
      <c r="U129" s="6">
        <v>0</v>
      </c>
      <c r="V129" s="6">
        <v>0</v>
      </c>
      <c r="W129" s="6">
        <v>0</v>
      </c>
      <c r="X129" s="6">
        <v>0</v>
      </c>
      <c r="Y129" s="6">
        <v>2</v>
      </c>
      <c r="Z129" s="6">
        <v>0</v>
      </c>
      <c r="AA129" s="6">
        <v>2</v>
      </c>
      <c r="AB129" s="5">
        <f>SUM(E129:AA129)</f>
        <v>11</v>
      </c>
      <c r="AC129" s="20"/>
      <c r="AD129" s="20"/>
    </row>
    <row r="130" spans="1:30" ht="13.15" customHeight="1" x14ac:dyDescent="0.3">
      <c r="A130" s="11" t="s">
        <v>50</v>
      </c>
      <c r="B130" s="54"/>
      <c r="C130" s="24" t="s">
        <v>174</v>
      </c>
      <c r="D130" s="55"/>
      <c r="E130" s="6">
        <v>0</v>
      </c>
      <c r="F130" s="6">
        <v>1</v>
      </c>
      <c r="G130" s="6">
        <v>0</v>
      </c>
      <c r="H130" s="6">
        <v>0</v>
      </c>
      <c r="I130" s="6">
        <v>0</v>
      </c>
      <c r="J130" s="6">
        <v>1</v>
      </c>
      <c r="K130" s="6">
        <v>3</v>
      </c>
      <c r="L130" s="6">
        <v>0</v>
      </c>
      <c r="M130" s="6">
        <v>0</v>
      </c>
      <c r="N130" s="6">
        <v>0</v>
      </c>
      <c r="O130" s="6">
        <v>3</v>
      </c>
      <c r="P130" s="6">
        <v>1</v>
      </c>
      <c r="Q130" s="6">
        <v>0</v>
      </c>
      <c r="R130" s="6">
        <v>2</v>
      </c>
      <c r="S130" s="6">
        <v>0</v>
      </c>
      <c r="T130" s="6">
        <v>0</v>
      </c>
      <c r="U130" s="6">
        <v>1</v>
      </c>
      <c r="V130" s="6">
        <v>1</v>
      </c>
      <c r="W130" s="6">
        <v>1</v>
      </c>
      <c r="X130" s="6">
        <v>2</v>
      </c>
      <c r="Y130" s="6">
        <v>7</v>
      </c>
      <c r="Z130" s="6">
        <v>7</v>
      </c>
      <c r="AA130" s="6">
        <v>8</v>
      </c>
      <c r="AB130" s="5">
        <f t="shared" ref="AB129:AB139" si="23">SUM(E130:AA130)</f>
        <v>38</v>
      </c>
      <c r="AC130" s="1"/>
      <c r="AD130" s="1"/>
    </row>
    <row r="131" spans="1:30" x14ac:dyDescent="0.3">
      <c r="A131" s="7"/>
      <c r="B131" s="54"/>
      <c r="C131" s="24" t="s">
        <v>175</v>
      </c>
      <c r="D131" s="55"/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5">
        <f t="shared" si="23"/>
        <v>3</v>
      </c>
      <c r="AC131" s="28"/>
      <c r="AD131" s="28"/>
    </row>
    <row r="132" spans="1:30" x14ac:dyDescent="0.3">
      <c r="A132" s="7"/>
      <c r="B132" s="54"/>
      <c r="C132" s="24" t="s">
        <v>176</v>
      </c>
      <c r="D132" s="5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5">
        <f t="shared" si="23"/>
        <v>0</v>
      </c>
      <c r="AC132" s="20"/>
      <c r="AD132" s="20"/>
    </row>
    <row r="133" spans="1:30" x14ac:dyDescent="0.3">
      <c r="A133" s="7"/>
      <c r="B133" s="54"/>
      <c r="C133" s="24" t="s">
        <v>177</v>
      </c>
      <c r="D133" s="5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5">
        <f t="shared" si="23"/>
        <v>1</v>
      </c>
      <c r="AC133" s="20"/>
      <c r="AD133" s="20"/>
    </row>
    <row r="134" spans="1:30" x14ac:dyDescent="0.3">
      <c r="A134" s="7"/>
      <c r="B134" s="54"/>
      <c r="C134" s="24" t="s">
        <v>178</v>
      </c>
      <c r="D134" s="55"/>
      <c r="E134" s="6">
        <v>0</v>
      </c>
      <c r="F134" s="6">
        <v>0</v>
      </c>
      <c r="G134" s="6">
        <v>0</v>
      </c>
      <c r="H134" s="6">
        <v>0</v>
      </c>
      <c r="I134" s="6">
        <v>3</v>
      </c>
      <c r="J134" s="6">
        <v>0</v>
      </c>
      <c r="K134" s="6">
        <v>0</v>
      </c>
      <c r="L134" s="6">
        <v>0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1</v>
      </c>
      <c r="Z134" s="6">
        <v>1</v>
      </c>
      <c r="AA134" s="6">
        <v>0</v>
      </c>
      <c r="AB134" s="5">
        <f t="shared" si="23"/>
        <v>6</v>
      </c>
      <c r="AC134" s="20"/>
      <c r="AD134" s="20"/>
    </row>
    <row r="135" spans="1:30" x14ac:dyDescent="0.3">
      <c r="A135" s="7"/>
      <c r="B135" s="54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1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</v>
      </c>
      <c r="Y135" s="6">
        <v>0</v>
      </c>
      <c r="Z135" s="6">
        <v>0</v>
      </c>
      <c r="AA135" s="6">
        <v>0</v>
      </c>
      <c r="AB135" s="5">
        <f t="shared" si="23"/>
        <v>2</v>
      </c>
      <c r="AC135" s="20"/>
      <c r="AD135" s="20"/>
    </row>
    <row r="136" spans="1:30" x14ac:dyDescent="0.3">
      <c r="A136" s="7"/>
      <c r="B136" s="54"/>
      <c r="C136" s="24" t="s">
        <v>180</v>
      </c>
      <c r="D136" s="55"/>
      <c r="E136" s="6">
        <v>0</v>
      </c>
      <c r="F136" s="6">
        <v>2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5">
        <f t="shared" si="23"/>
        <v>3</v>
      </c>
      <c r="AC136" s="20"/>
      <c r="AD136" s="20"/>
    </row>
    <row r="137" spans="1:30" x14ac:dyDescent="0.3">
      <c r="A137" s="7"/>
      <c r="B137" s="54"/>
      <c r="C137" s="24" t="s">
        <v>181</v>
      </c>
      <c r="D137" s="55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5">
        <f t="shared" si="23"/>
        <v>0</v>
      </c>
      <c r="AC137" s="20"/>
      <c r="AD137" s="20"/>
    </row>
    <row r="138" spans="1:30" x14ac:dyDescent="0.3">
      <c r="A138" s="7"/>
      <c r="B138" s="54"/>
      <c r="C138" s="24" t="s">
        <v>182</v>
      </c>
      <c r="D138" s="55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2</v>
      </c>
      <c r="Y138" s="6">
        <v>0</v>
      </c>
      <c r="Z138" s="6">
        <v>0</v>
      </c>
      <c r="AA138" s="6">
        <v>0</v>
      </c>
      <c r="AB138" s="5">
        <f t="shared" si="23"/>
        <v>2</v>
      </c>
      <c r="AC138" s="20"/>
      <c r="AD138" s="20"/>
    </row>
    <row r="139" spans="1:30" x14ac:dyDescent="0.3">
      <c r="A139" s="6" t="s">
        <v>26</v>
      </c>
      <c r="B139" s="69" t="s">
        <v>51</v>
      </c>
      <c r="C139" s="70"/>
      <c r="D139" s="71"/>
      <c r="E139" s="5">
        <f>SUM(E129:E138)</f>
        <v>0</v>
      </c>
      <c r="F139" s="5">
        <f t="shared" ref="F139:AB139" si="24">SUM(F129:F138)</f>
        <v>4</v>
      </c>
      <c r="G139" s="5">
        <f t="shared" si="24"/>
        <v>0</v>
      </c>
      <c r="H139" s="5">
        <f t="shared" si="24"/>
        <v>0</v>
      </c>
      <c r="I139" s="5">
        <f t="shared" si="24"/>
        <v>3</v>
      </c>
      <c r="J139" s="5">
        <f t="shared" si="24"/>
        <v>3</v>
      </c>
      <c r="K139" s="5">
        <f t="shared" si="24"/>
        <v>4</v>
      </c>
      <c r="L139" s="5">
        <f t="shared" si="24"/>
        <v>2</v>
      </c>
      <c r="M139" s="5">
        <f t="shared" si="24"/>
        <v>2</v>
      </c>
      <c r="N139" s="5">
        <f t="shared" si="24"/>
        <v>1</v>
      </c>
      <c r="O139" s="5">
        <f t="shared" si="24"/>
        <v>3</v>
      </c>
      <c r="P139" s="5">
        <f t="shared" si="24"/>
        <v>1</v>
      </c>
      <c r="Q139" s="5">
        <f t="shared" si="24"/>
        <v>0</v>
      </c>
      <c r="R139" s="5">
        <f t="shared" si="24"/>
        <v>3</v>
      </c>
      <c r="S139" s="5">
        <f t="shared" si="24"/>
        <v>1</v>
      </c>
      <c r="T139" s="5">
        <f t="shared" si="24"/>
        <v>2</v>
      </c>
      <c r="U139" s="5">
        <f t="shared" si="24"/>
        <v>2</v>
      </c>
      <c r="V139" s="5">
        <f t="shared" si="24"/>
        <v>1</v>
      </c>
      <c r="W139" s="5">
        <f t="shared" si="24"/>
        <v>1</v>
      </c>
      <c r="X139" s="5">
        <f t="shared" si="24"/>
        <v>5</v>
      </c>
      <c r="Y139" s="5">
        <f t="shared" si="24"/>
        <v>10</v>
      </c>
      <c r="Z139" s="5">
        <f t="shared" si="24"/>
        <v>8</v>
      </c>
      <c r="AA139" s="5">
        <f t="shared" si="24"/>
        <v>10</v>
      </c>
      <c r="AB139" s="5">
        <f t="shared" si="24"/>
        <v>66</v>
      </c>
      <c r="AC139" s="20"/>
      <c r="AD139" s="20"/>
    </row>
    <row r="140" spans="1:30" x14ac:dyDescent="0.3">
      <c r="A140" s="77"/>
      <c r="B140" s="78"/>
      <c r="C140" s="78"/>
      <c r="D140" s="78"/>
      <c r="E140" s="7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20"/>
      <c r="AD140" s="20"/>
    </row>
    <row r="141" spans="1:30" ht="13.15" customHeight="1" x14ac:dyDescent="0.3">
      <c r="A141" s="11" t="s">
        <v>48</v>
      </c>
      <c r="B141" s="17" t="s">
        <v>63</v>
      </c>
      <c r="C141" s="75" t="s">
        <v>64</v>
      </c>
      <c r="D141" s="76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1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1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5">
        <f>SUM(E141:AA141)</f>
        <v>2</v>
      </c>
      <c r="AC141" s="1"/>
      <c r="AD141" s="1"/>
    </row>
    <row r="142" spans="1:30" x14ac:dyDescent="0.3">
      <c r="A142" s="11" t="s">
        <v>50</v>
      </c>
      <c r="B142" s="54"/>
      <c r="C142" s="24" t="s">
        <v>183</v>
      </c>
      <c r="D142" s="51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5">
        <f>SUM(E142:AA142)</f>
        <v>1</v>
      </c>
      <c r="AC142" s="28"/>
      <c r="AD142" s="28"/>
    </row>
    <row r="143" spans="1:30" x14ac:dyDescent="0.3">
      <c r="A143" s="7"/>
      <c r="B143" s="54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1</v>
      </c>
      <c r="Y143" s="6">
        <v>0</v>
      </c>
      <c r="Z143" s="6">
        <v>0</v>
      </c>
      <c r="AA143" s="6">
        <v>0</v>
      </c>
      <c r="AB143" s="5">
        <f>SUM(E143:AA143)</f>
        <v>1</v>
      </c>
      <c r="AC143" s="20"/>
      <c r="AD143" s="20"/>
    </row>
    <row r="144" spans="1:30" x14ac:dyDescent="0.3">
      <c r="A144" s="7"/>
      <c r="B144" s="54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5">
        <f>SUM(E144:AA144)</f>
        <v>0</v>
      </c>
      <c r="AC144" s="20"/>
      <c r="AD144" s="20"/>
    </row>
    <row r="145" spans="1:30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50"/>
      <c r="AC145" s="20"/>
      <c r="AD145" s="20"/>
    </row>
    <row r="146" spans="1:30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50"/>
      <c r="AC146" s="20"/>
      <c r="AD146" s="20"/>
    </row>
    <row r="147" spans="1:30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50"/>
      <c r="AC147" s="20"/>
      <c r="AD147" s="20"/>
    </row>
    <row r="148" spans="1:30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50"/>
      <c r="AC148" s="20"/>
      <c r="AD148" s="20"/>
    </row>
    <row r="149" spans="1:30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0"/>
      <c r="AC149" s="20"/>
      <c r="AD149" s="20"/>
    </row>
    <row r="150" spans="1:30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0"/>
      <c r="AC150" s="20"/>
      <c r="AD150" s="20"/>
    </row>
    <row r="151" spans="1:30" ht="13.15" customHeight="1" x14ac:dyDescent="0.3">
      <c r="A151" s="6" t="s">
        <v>26</v>
      </c>
      <c r="B151" s="69" t="s">
        <v>51</v>
      </c>
      <c r="C151" s="70"/>
      <c r="D151" s="71"/>
      <c r="E151" s="5">
        <f>SUM(E141:E150)</f>
        <v>0</v>
      </c>
      <c r="F151" s="5">
        <f t="shared" ref="F151:AB151" si="25">SUM(F141:F150)</f>
        <v>0</v>
      </c>
      <c r="G151" s="5">
        <f t="shared" si="25"/>
        <v>0</v>
      </c>
      <c r="H151" s="5">
        <f t="shared" si="25"/>
        <v>0</v>
      </c>
      <c r="I151" s="5">
        <f t="shared" si="25"/>
        <v>0</v>
      </c>
      <c r="J151" s="5">
        <f t="shared" si="25"/>
        <v>0</v>
      </c>
      <c r="K151" s="5">
        <f t="shared" si="25"/>
        <v>0</v>
      </c>
      <c r="L151" s="5">
        <f t="shared" si="25"/>
        <v>0</v>
      </c>
      <c r="M151" s="5">
        <f t="shared" si="25"/>
        <v>0</v>
      </c>
      <c r="N151" s="5">
        <f t="shared" si="25"/>
        <v>1</v>
      </c>
      <c r="O151" s="5">
        <f t="shared" si="25"/>
        <v>0</v>
      </c>
      <c r="P151" s="5">
        <f t="shared" si="25"/>
        <v>1</v>
      </c>
      <c r="Q151" s="5">
        <f t="shared" si="25"/>
        <v>0</v>
      </c>
      <c r="R151" s="5">
        <f t="shared" si="25"/>
        <v>0</v>
      </c>
      <c r="S151" s="5">
        <f t="shared" si="25"/>
        <v>0</v>
      </c>
      <c r="T151" s="5">
        <f t="shared" si="25"/>
        <v>1</v>
      </c>
      <c r="U151" s="5">
        <f t="shared" si="25"/>
        <v>0</v>
      </c>
      <c r="V151" s="5">
        <f t="shared" si="25"/>
        <v>0</v>
      </c>
      <c r="W151" s="5">
        <f t="shared" si="25"/>
        <v>0</v>
      </c>
      <c r="X151" s="5">
        <f t="shared" si="25"/>
        <v>1</v>
      </c>
      <c r="Y151" s="5">
        <f t="shared" si="25"/>
        <v>0</v>
      </c>
      <c r="Z151" s="5">
        <f t="shared" si="25"/>
        <v>0</v>
      </c>
      <c r="AA151" s="5">
        <f t="shared" si="25"/>
        <v>0</v>
      </c>
      <c r="AB151" s="5">
        <f t="shared" si="25"/>
        <v>4</v>
      </c>
      <c r="AC151" s="1"/>
      <c r="AD151" s="1"/>
    </row>
    <row r="152" spans="1:30" x14ac:dyDescent="0.3">
      <c r="A152" s="77"/>
      <c r="B152" s="78"/>
      <c r="C152" s="78"/>
      <c r="D152" s="78"/>
      <c r="E152" s="7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5"/>
      <c r="AC152" s="28"/>
      <c r="AD152" s="28"/>
    </row>
    <row r="153" spans="1:30" x14ac:dyDescent="0.3">
      <c r="A153" s="11" t="s">
        <v>48</v>
      </c>
      <c r="B153" s="45" t="s">
        <v>65</v>
      </c>
      <c r="C153" s="83" t="s">
        <v>66</v>
      </c>
      <c r="D153" s="84"/>
      <c r="E153" s="6">
        <v>0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5">
        <f>SUM(E153:AA153)</f>
        <v>1</v>
      </c>
      <c r="AC153" s="20"/>
      <c r="AD153" s="20"/>
    </row>
    <row r="154" spans="1:30" x14ac:dyDescent="0.3">
      <c r="A154" s="56" t="s">
        <v>50</v>
      </c>
      <c r="B154" s="58"/>
      <c r="C154" s="24" t="s">
        <v>186</v>
      </c>
      <c r="D154" s="59"/>
      <c r="E154" s="57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3</v>
      </c>
      <c r="M154" s="6">
        <v>1</v>
      </c>
      <c r="N154" s="6">
        <v>0</v>
      </c>
      <c r="O154" s="6">
        <v>0</v>
      </c>
      <c r="P154" s="6">
        <v>0</v>
      </c>
      <c r="Q154" s="6">
        <v>1</v>
      </c>
      <c r="R154" s="6">
        <v>0</v>
      </c>
      <c r="S154" s="6">
        <v>0</v>
      </c>
      <c r="T154" s="6">
        <v>2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5">
        <f t="shared" ref="AB154:AB160" si="26">SUM(E154:AA154)</f>
        <v>8</v>
      </c>
      <c r="AC154" s="20"/>
      <c r="AD154" s="20"/>
    </row>
    <row r="155" spans="1:30" x14ac:dyDescent="0.3">
      <c r="A155" s="7"/>
      <c r="B155" s="58"/>
      <c r="C155" s="24" t="s">
        <v>187</v>
      </c>
      <c r="D155" s="59"/>
      <c r="E155" s="57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5">
        <f t="shared" si="26"/>
        <v>0</v>
      </c>
      <c r="AC155" s="20"/>
      <c r="AD155" s="20"/>
    </row>
    <row r="156" spans="1:30" x14ac:dyDescent="0.3">
      <c r="A156" s="7"/>
      <c r="B156" s="58"/>
      <c r="C156" s="24" t="s">
        <v>188</v>
      </c>
      <c r="D156" s="59"/>
      <c r="E156" s="57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1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5">
        <f t="shared" si="26"/>
        <v>1</v>
      </c>
      <c r="AC156" s="20"/>
      <c r="AD156" s="20"/>
    </row>
    <row r="157" spans="1:30" x14ac:dyDescent="0.3">
      <c r="A157" s="7"/>
      <c r="B157" s="58"/>
      <c r="C157" s="24" t="s">
        <v>189</v>
      </c>
      <c r="D157" s="59"/>
      <c r="E157" s="57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5">
        <f t="shared" si="26"/>
        <v>0</v>
      </c>
      <c r="AC157" s="20"/>
      <c r="AD157" s="20"/>
    </row>
    <row r="158" spans="1:30" x14ac:dyDescent="0.3">
      <c r="A158" s="7"/>
      <c r="B158" s="58"/>
      <c r="C158" s="24" t="s">
        <v>190</v>
      </c>
      <c r="D158" s="59"/>
      <c r="E158" s="57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5">
        <f t="shared" si="26"/>
        <v>0</v>
      </c>
      <c r="AC158" s="20"/>
      <c r="AD158" s="20"/>
    </row>
    <row r="159" spans="1:30" x14ac:dyDescent="0.3">
      <c r="A159" s="7"/>
      <c r="B159" s="58"/>
      <c r="C159" s="24" t="s">
        <v>191</v>
      </c>
      <c r="D159" s="59"/>
      <c r="E159" s="57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5">
        <f t="shared" si="26"/>
        <v>0</v>
      </c>
      <c r="AC159" s="20"/>
      <c r="AD159" s="20"/>
    </row>
    <row r="160" spans="1:30" x14ac:dyDescent="0.3">
      <c r="A160" s="7"/>
      <c r="B160" s="58"/>
      <c r="C160" s="24" t="s">
        <v>192</v>
      </c>
      <c r="D160" s="59"/>
      <c r="E160" s="57">
        <v>0</v>
      </c>
      <c r="F160" s="6">
        <v>0</v>
      </c>
      <c r="G160" s="6">
        <v>0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1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5">
        <f t="shared" si="26"/>
        <v>2</v>
      </c>
      <c r="AC160" s="20"/>
      <c r="AD160" s="20"/>
    </row>
    <row r="161" spans="1:30" x14ac:dyDescent="0.3">
      <c r="A161" s="7"/>
      <c r="B161" s="63"/>
      <c r="C161" s="64"/>
      <c r="D161" s="65"/>
      <c r="E161" s="5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50"/>
      <c r="AC161" s="20"/>
      <c r="AD161" s="20"/>
    </row>
    <row r="162" spans="1:30" x14ac:dyDescent="0.3">
      <c r="A162" s="7"/>
      <c r="B162" s="63"/>
      <c r="C162" s="64"/>
      <c r="D162" s="65"/>
      <c r="E162" s="5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50"/>
      <c r="AC162" s="20"/>
      <c r="AD162" s="20"/>
    </row>
    <row r="163" spans="1:30" x14ac:dyDescent="0.3">
      <c r="A163" s="6" t="s">
        <v>26</v>
      </c>
      <c r="B163" s="80" t="s">
        <v>51</v>
      </c>
      <c r="C163" s="81"/>
      <c r="D163" s="82"/>
      <c r="E163" s="5">
        <f>SUM(E153:E162)</f>
        <v>0</v>
      </c>
      <c r="F163" s="5">
        <f t="shared" ref="F163:AB163" si="27">SUM(F153:F162)</f>
        <v>0</v>
      </c>
      <c r="G163" s="5">
        <f t="shared" si="27"/>
        <v>0</v>
      </c>
      <c r="H163" s="5">
        <f t="shared" si="27"/>
        <v>2</v>
      </c>
      <c r="I163" s="5">
        <f t="shared" si="27"/>
        <v>0</v>
      </c>
      <c r="J163" s="5">
        <f t="shared" si="27"/>
        <v>0</v>
      </c>
      <c r="K163" s="5">
        <f t="shared" si="27"/>
        <v>1</v>
      </c>
      <c r="L163" s="5">
        <f t="shared" si="27"/>
        <v>4</v>
      </c>
      <c r="M163" s="5">
        <f t="shared" si="27"/>
        <v>1</v>
      </c>
      <c r="N163" s="5">
        <f t="shared" si="27"/>
        <v>0</v>
      </c>
      <c r="O163" s="5">
        <f t="shared" si="27"/>
        <v>0</v>
      </c>
      <c r="P163" s="5">
        <f t="shared" si="27"/>
        <v>0</v>
      </c>
      <c r="Q163" s="5">
        <f t="shared" si="27"/>
        <v>2</v>
      </c>
      <c r="R163" s="5">
        <f t="shared" si="27"/>
        <v>0</v>
      </c>
      <c r="S163" s="5">
        <f t="shared" si="27"/>
        <v>0</v>
      </c>
      <c r="T163" s="5">
        <f t="shared" si="27"/>
        <v>2</v>
      </c>
      <c r="U163" s="5">
        <f t="shared" si="27"/>
        <v>0</v>
      </c>
      <c r="V163" s="5">
        <f t="shared" si="27"/>
        <v>0</v>
      </c>
      <c r="W163" s="5">
        <f t="shared" si="27"/>
        <v>0</v>
      </c>
      <c r="X163" s="5">
        <f t="shared" si="27"/>
        <v>0</v>
      </c>
      <c r="Y163" s="5">
        <f t="shared" si="27"/>
        <v>0</v>
      </c>
      <c r="Z163" s="5">
        <f t="shared" si="27"/>
        <v>0</v>
      </c>
      <c r="AA163" s="5">
        <f t="shared" si="27"/>
        <v>0</v>
      </c>
      <c r="AB163" s="5">
        <f t="shared" si="27"/>
        <v>12</v>
      </c>
      <c r="AC163" s="20"/>
      <c r="AD163" s="20"/>
    </row>
    <row r="164" spans="1:30" x14ac:dyDescent="0.3">
      <c r="A164" s="77"/>
      <c r="B164" s="78"/>
      <c r="C164" s="78"/>
      <c r="D164" s="78"/>
      <c r="E164" s="7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20"/>
      <c r="AD164" s="20"/>
    </row>
    <row r="165" spans="1:30" ht="13.15" customHeight="1" x14ac:dyDescent="0.3">
      <c r="A165" s="11" t="s">
        <v>48</v>
      </c>
      <c r="B165" s="17" t="s">
        <v>67</v>
      </c>
      <c r="C165" s="75" t="s">
        <v>68</v>
      </c>
      <c r="D165" s="76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1</v>
      </c>
      <c r="P165" s="6">
        <v>0</v>
      </c>
      <c r="Q165" s="6">
        <v>0</v>
      </c>
      <c r="R165" s="6">
        <v>1</v>
      </c>
      <c r="S165" s="6">
        <v>3</v>
      </c>
      <c r="T165" s="6">
        <v>1</v>
      </c>
      <c r="U165" s="6">
        <v>0</v>
      </c>
      <c r="V165" s="6">
        <v>0</v>
      </c>
      <c r="W165" s="6">
        <v>1</v>
      </c>
      <c r="X165" s="6">
        <v>1</v>
      </c>
      <c r="Y165" s="6">
        <v>0</v>
      </c>
      <c r="Z165" s="6">
        <v>0</v>
      </c>
      <c r="AA165" s="6">
        <v>0</v>
      </c>
      <c r="AB165" s="5">
        <f>SUM(E165:AA165)</f>
        <v>8</v>
      </c>
      <c r="AC165" s="1"/>
      <c r="AD165" s="1"/>
    </row>
    <row r="166" spans="1:30" x14ac:dyDescent="0.3">
      <c r="A166" s="11" t="s">
        <v>50</v>
      </c>
      <c r="B166" s="54"/>
      <c r="C166" s="24" t="s">
        <v>193</v>
      </c>
      <c r="D166" s="51"/>
      <c r="E166" s="6">
        <v>2</v>
      </c>
      <c r="F166" s="6">
        <v>1</v>
      </c>
      <c r="G166" s="6">
        <v>2</v>
      </c>
      <c r="H166" s="6">
        <v>1</v>
      </c>
      <c r="I166" s="6">
        <v>2</v>
      </c>
      <c r="J166" s="6">
        <v>0</v>
      </c>
      <c r="K166" s="6">
        <v>0</v>
      </c>
      <c r="L166" s="6">
        <v>1</v>
      </c>
      <c r="M166" s="6">
        <v>0</v>
      </c>
      <c r="N166" s="6">
        <v>0</v>
      </c>
      <c r="O166" s="6">
        <v>0</v>
      </c>
      <c r="P166" s="6">
        <v>2</v>
      </c>
      <c r="Q166" s="6">
        <v>1</v>
      </c>
      <c r="R166" s="6">
        <v>0</v>
      </c>
      <c r="S166" s="6">
        <v>0</v>
      </c>
      <c r="T166" s="6">
        <v>1</v>
      </c>
      <c r="U166" s="6">
        <v>0</v>
      </c>
      <c r="V166" s="6">
        <v>0</v>
      </c>
      <c r="W166" s="6">
        <v>0</v>
      </c>
      <c r="X166" s="6">
        <v>0</v>
      </c>
      <c r="Y166" s="6">
        <v>1</v>
      </c>
      <c r="Z166" s="6">
        <v>0</v>
      </c>
      <c r="AA166" s="6">
        <v>2</v>
      </c>
      <c r="AB166" s="5">
        <f>SUM(E166:AA166)</f>
        <v>16</v>
      </c>
      <c r="AC166" s="28"/>
      <c r="AD166" s="28"/>
    </row>
    <row r="167" spans="1:30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50"/>
      <c r="AC167" s="20"/>
      <c r="AD167" s="20"/>
    </row>
    <row r="168" spans="1:30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50"/>
      <c r="AC168" s="20"/>
      <c r="AD168" s="20"/>
    </row>
    <row r="169" spans="1:30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50"/>
      <c r="AC169" s="20"/>
      <c r="AD169" s="20"/>
    </row>
    <row r="170" spans="1:30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50"/>
      <c r="AC170" s="20"/>
      <c r="AD170" s="20"/>
    </row>
    <row r="171" spans="1:30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50"/>
      <c r="AC171" s="20"/>
      <c r="AD171" s="20"/>
    </row>
    <row r="172" spans="1:30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50"/>
      <c r="AC172" s="20"/>
      <c r="AD172" s="20"/>
    </row>
    <row r="173" spans="1:30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50"/>
      <c r="AC173" s="20"/>
      <c r="AD173" s="20"/>
    </row>
    <row r="174" spans="1:30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50"/>
      <c r="AC174" s="20"/>
      <c r="AD174" s="20"/>
    </row>
    <row r="175" spans="1:30" x14ac:dyDescent="0.3">
      <c r="A175" s="6" t="s">
        <v>26</v>
      </c>
      <c r="B175" s="69" t="s">
        <v>51</v>
      </c>
      <c r="C175" s="70"/>
      <c r="D175" s="71"/>
      <c r="E175" s="5">
        <f>SUM(E165:E174)</f>
        <v>2</v>
      </c>
      <c r="F175" s="5">
        <f t="shared" ref="F175:AB175" si="28">SUM(F165:F174)</f>
        <v>1</v>
      </c>
      <c r="G175" s="5">
        <f t="shared" si="28"/>
        <v>2</v>
      </c>
      <c r="H175" s="5">
        <f t="shared" si="28"/>
        <v>1</v>
      </c>
      <c r="I175" s="5">
        <f t="shared" si="28"/>
        <v>2</v>
      </c>
      <c r="J175" s="5">
        <f t="shared" si="28"/>
        <v>0</v>
      </c>
      <c r="K175" s="5">
        <f t="shared" si="28"/>
        <v>0</v>
      </c>
      <c r="L175" s="5">
        <f t="shared" si="28"/>
        <v>1</v>
      </c>
      <c r="M175" s="5">
        <f t="shared" si="28"/>
        <v>0</v>
      </c>
      <c r="N175" s="5">
        <f t="shared" si="28"/>
        <v>0</v>
      </c>
      <c r="O175" s="5">
        <f t="shared" si="28"/>
        <v>1</v>
      </c>
      <c r="P175" s="5">
        <f t="shared" si="28"/>
        <v>2</v>
      </c>
      <c r="Q175" s="5">
        <f t="shared" si="28"/>
        <v>1</v>
      </c>
      <c r="R175" s="5">
        <f t="shared" si="28"/>
        <v>1</v>
      </c>
      <c r="S175" s="5">
        <f t="shared" si="28"/>
        <v>3</v>
      </c>
      <c r="T175" s="5">
        <f t="shared" si="28"/>
        <v>2</v>
      </c>
      <c r="U175" s="5">
        <f t="shared" si="28"/>
        <v>0</v>
      </c>
      <c r="V175" s="5">
        <f t="shared" si="28"/>
        <v>0</v>
      </c>
      <c r="W175" s="5">
        <f t="shared" si="28"/>
        <v>1</v>
      </c>
      <c r="X175" s="5">
        <f t="shared" si="28"/>
        <v>1</v>
      </c>
      <c r="Y175" s="5">
        <f t="shared" si="28"/>
        <v>1</v>
      </c>
      <c r="Z175" s="5">
        <f t="shared" si="28"/>
        <v>0</v>
      </c>
      <c r="AA175" s="5">
        <f t="shared" si="28"/>
        <v>2</v>
      </c>
      <c r="AB175" s="5">
        <f t="shared" si="28"/>
        <v>24</v>
      </c>
      <c r="AC175" s="20"/>
      <c r="AD175" s="20"/>
    </row>
    <row r="176" spans="1:30" ht="13.15" customHeight="1" x14ac:dyDescent="0.3">
      <c r="A176" s="77"/>
      <c r="B176" s="78"/>
      <c r="C176" s="78"/>
      <c r="D176" s="78"/>
      <c r="E176" s="7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"/>
      <c r="AD176" s="1"/>
    </row>
    <row r="177" spans="1:30" x14ac:dyDescent="0.3">
      <c r="A177" s="11" t="s">
        <v>48</v>
      </c>
      <c r="B177" s="17" t="s">
        <v>69</v>
      </c>
      <c r="C177" s="75" t="s">
        <v>70</v>
      </c>
      <c r="D177" s="76"/>
      <c r="E177" s="6">
        <v>2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6">
        <v>1</v>
      </c>
      <c r="O177" s="6">
        <v>0</v>
      </c>
      <c r="P177" s="6">
        <v>0</v>
      </c>
      <c r="Q177" s="6">
        <v>1</v>
      </c>
      <c r="R177" s="6">
        <v>0</v>
      </c>
      <c r="S177" s="6">
        <v>1</v>
      </c>
      <c r="T177" s="6">
        <v>1</v>
      </c>
      <c r="U177" s="6">
        <v>1</v>
      </c>
      <c r="V177" s="6">
        <v>0</v>
      </c>
      <c r="W177" s="6">
        <v>1</v>
      </c>
      <c r="X177" s="6">
        <v>0</v>
      </c>
      <c r="Y177" s="6">
        <v>0</v>
      </c>
      <c r="Z177" s="6">
        <v>1</v>
      </c>
      <c r="AA177" s="6">
        <v>1</v>
      </c>
      <c r="AB177" s="5">
        <f t="shared" ref="AB177:AB187" si="29">SUM(E177:AA177)</f>
        <v>11</v>
      </c>
    </row>
    <row r="178" spans="1:30" x14ac:dyDescent="0.3">
      <c r="A178" s="11" t="s">
        <v>50</v>
      </c>
      <c r="B178" s="54"/>
      <c r="C178" s="24" t="s">
        <v>194</v>
      </c>
      <c r="D178" s="51"/>
      <c r="E178" s="6">
        <v>0</v>
      </c>
      <c r="F178" s="6">
        <v>0</v>
      </c>
      <c r="G178" s="6">
        <v>1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2</v>
      </c>
      <c r="Q178" s="6">
        <v>0</v>
      </c>
      <c r="R178" s="6">
        <v>0</v>
      </c>
      <c r="S178" s="6">
        <v>0</v>
      </c>
      <c r="T178" s="6">
        <v>1</v>
      </c>
      <c r="U178" s="6">
        <v>0</v>
      </c>
      <c r="V178" s="6">
        <v>0</v>
      </c>
      <c r="W178" s="6">
        <v>0</v>
      </c>
      <c r="X178" s="6">
        <v>2</v>
      </c>
      <c r="Y178" s="6">
        <v>9</v>
      </c>
      <c r="Z178" s="6">
        <v>2</v>
      </c>
      <c r="AA178" s="6">
        <v>1</v>
      </c>
      <c r="AB178" s="5">
        <f t="shared" si="29"/>
        <v>19</v>
      </c>
      <c r="AC178" s="20"/>
      <c r="AD178" s="20"/>
    </row>
    <row r="179" spans="1:30" x14ac:dyDescent="0.3">
      <c r="A179" s="7"/>
      <c r="B179" s="54"/>
      <c r="C179" s="24" t="s">
        <v>195</v>
      </c>
      <c r="D179" s="51"/>
      <c r="E179" s="6">
        <v>0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5">
        <f t="shared" si="29"/>
        <v>3</v>
      </c>
      <c r="AC179" s="20"/>
      <c r="AD179" s="20"/>
    </row>
    <row r="180" spans="1:30" x14ac:dyDescent="0.3">
      <c r="A180" s="7"/>
      <c r="B180" s="54"/>
      <c r="C180" s="24" t="s">
        <v>196</v>
      </c>
      <c r="D180" s="51"/>
      <c r="E180" s="6">
        <v>0</v>
      </c>
      <c r="F180" s="6">
        <v>1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0</v>
      </c>
      <c r="T180" s="6">
        <v>0</v>
      </c>
      <c r="U180" s="6">
        <v>1</v>
      </c>
      <c r="V180" s="6">
        <v>0</v>
      </c>
      <c r="W180" s="6">
        <v>1</v>
      </c>
      <c r="X180" s="6">
        <v>0</v>
      </c>
      <c r="Y180" s="6">
        <v>1</v>
      </c>
      <c r="Z180" s="6">
        <v>0</v>
      </c>
      <c r="AA180" s="6">
        <v>1</v>
      </c>
      <c r="AB180" s="5">
        <f t="shared" si="29"/>
        <v>6</v>
      </c>
      <c r="AC180" s="20"/>
      <c r="AD180" s="20"/>
    </row>
    <row r="181" spans="1:30" x14ac:dyDescent="0.3">
      <c r="A181" s="7"/>
      <c r="B181" s="54"/>
      <c r="C181" s="24" t="s">
        <v>197</v>
      </c>
      <c r="D181" s="51"/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1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5">
        <f t="shared" si="29"/>
        <v>3</v>
      </c>
      <c r="AC181" s="20"/>
      <c r="AD181" s="20"/>
    </row>
    <row r="182" spans="1:30" x14ac:dyDescent="0.3">
      <c r="A182" s="7"/>
      <c r="B182" s="54"/>
      <c r="C182" s="24" t="s">
        <v>198</v>
      </c>
      <c r="D182" s="51"/>
      <c r="E182" s="6">
        <v>1</v>
      </c>
      <c r="F182" s="6">
        <v>0</v>
      </c>
      <c r="G182" s="6">
        <v>0</v>
      </c>
      <c r="H182" s="6">
        <v>0</v>
      </c>
      <c r="I182" s="6">
        <v>2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5">
        <f t="shared" si="29"/>
        <v>3</v>
      </c>
      <c r="AC182" s="20"/>
      <c r="AD182" s="20"/>
    </row>
    <row r="183" spans="1:30" x14ac:dyDescent="0.3">
      <c r="A183" s="7"/>
      <c r="B183" s="54"/>
      <c r="C183" s="24" t="s">
        <v>199</v>
      </c>
      <c r="D183" s="51"/>
      <c r="E183" s="6">
        <v>0</v>
      </c>
      <c r="F183" s="6">
        <v>1</v>
      </c>
      <c r="G183" s="6">
        <v>0</v>
      </c>
      <c r="H183" s="6">
        <v>1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5">
        <f t="shared" si="29"/>
        <v>4</v>
      </c>
      <c r="AC183" s="20"/>
      <c r="AD183" s="20"/>
    </row>
    <row r="184" spans="1:30" x14ac:dyDescent="0.3">
      <c r="A184" s="7"/>
      <c r="B184" s="54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5">
        <f t="shared" si="29"/>
        <v>1</v>
      </c>
      <c r="AC184" s="20"/>
      <c r="AD184" s="20"/>
    </row>
    <row r="185" spans="1:30" x14ac:dyDescent="0.3">
      <c r="A185" s="7"/>
      <c r="B185" s="54"/>
      <c r="C185" s="24" t="s">
        <v>201</v>
      </c>
      <c r="D185" s="51"/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2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5">
        <f t="shared" si="29"/>
        <v>3</v>
      </c>
      <c r="AC185" s="20"/>
      <c r="AD185" s="20"/>
    </row>
    <row r="186" spans="1:30" x14ac:dyDescent="0.3">
      <c r="A186" s="7"/>
      <c r="B186" s="54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1</v>
      </c>
      <c r="Z186" s="6">
        <v>0</v>
      </c>
      <c r="AA186" s="6">
        <v>0</v>
      </c>
      <c r="AB186" s="5">
        <f t="shared" si="29"/>
        <v>1</v>
      </c>
      <c r="AC186" s="20"/>
      <c r="AD186" s="20"/>
    </row>
    <row r="187" spans="1:30" ht="13.15" customHeight="1" x14ac:dyDescent="0.3">
      <c r="A187" s="6" t="s">
        <v>26</v>
      </c>
      <c r="B187" s="69" t="s">
        <v>51</v>
      </c>
      <c r="C187" s="70"/>
      <c r="D187" s="71"/>
      <c r="E187" s="5">
        <f>SUM(E177:E186)</f>
        <v>5</v>
      </c>
      <c r="F187" s="5">
        <f t="shared" ref="F187:AB187" si="30">SUM(F177:F186)</f>
        <v>2</v>
      </c>
      <c r="G187" s="5">
        <f t="shared" si="30"/>
        <v>1</v>
      </c>
      <c r="H187" s="5">
        <f t="shared" si="30"/>
        <v>2</v>
      </c>
      <c r="I187" s="5">
        <f t="shared" si="30"/>
        <v>3</v>
      </c>
      <c r="J187" s="5">
        <f t="shared" si="30"/>
        <v>2</v>
      </c>
      <c r="K187" s="5">
        <f t="shared" si="30"/>
        <v>0</v>
      </c>
      <c r="L187" s="5">
        <f t="shared" si="30"/>
        <v>0</v>
      </c>
      <c r="M187" s="5">
        <f t="shared" si="30"/>
        <v>1</v>
      </c>
      <c r="N187" s="5">
        <f t="shared" si="30"/>
        <v>1</v>
      </c>
      <c r="O187" s="5">
        <f t="shared" si="30"/>
        <v>2</v>
      </c>
      <c r="P187" s="5">
        <f t="shared" si="30"/>
        <v>2</v>
      </c>
      <c r="Q187" s="5">
        <f t="shared" si="30"/>
        <v>4</v>
      </c>
      <c r="R187" s="5">
        <f t="shared" si="30"/>
        <v>2</v>
      </c>
      <c r="S187" s="5">
        <f t="shared" si="30"/>
        <v>1</v>
      </c>
      <c r="T187" s="5">
        <f t="shared" si="30"/>
        <v>3</v>
      </c>
      <c r="U187" s="5">
        <f t="shared" si="30"/>
        <v>2</v>
      </c>
      <c r="V187" s="5">
        <f t="shared" si="30"/>
        <v>0</v>
      </c>
      <c r="W187" s="5">
        <f t="shared" si="30"/>
        <v>2</v>
      </c>
      <c r="X187" s="5">
        <f t="shared" si="30"/>
        <v>2</v>
      </c>
      <c r="Y187" s="5">
        <f t="shared" si="30"/>
        <v>11</v>
      </c>
      <c r="Z187" s="5">
        <f t="shared" si="30"/>
        <v>3</v>
      </c>
      <c r="AA187" s="5">
        <f t="shared" si="30"/>
        <v>3</v>
      </c>
      <c r="AB187" s="5">
        <f t="shared" si="30"/>
        <v>54</v>
      </c>
      <c r="AC187" s="1"/>
      <c r="AD187" s="1"/>
    </row>
    <row r="188" spans="1:30" x14ac:dyDescent="0.3">
      <c r="A188" s="77"/>
      <c r="B188" s="78"/>
      <c r="C188" s="78"/>
      <c r="D188" s="78"/>
      <c r="E188" s="79"/>
      <c r="F188" s="18"/>
      <c r="G188" s="18"/>
      <c r="H188" s="18"/>
      <c r="I188" s="18"/>
      <c r="J188" s="18"/>
      <c r="K188" s="18"/>
      <c r="L188" s="18"/>
      <c r="M188" s="18"/>
      <c r="N188" s="18"/>
      <c r="AB188" s="5"/>
    </row>
    <row r="189" spans="1:30" x14ac:dyDescent="0.3">
      <c r="A189" s="11" t="s">
        <v>48</v>
      </c>
      <c r="B189" s="17" t="s">
        <v>71</v>
      </c>
      <c r="C189" s="75" t="s">
        <v>72</v>
      </c>
      <c r="D189" s="76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1</v>
      </c>
      <c r="AA189" s="6">
        <v>0</v>
      </c>
      <c r="AB189" s="5">
        <f>SUM(E189:AA189)</f>
        <v>3</v>
      </c>
      <c r="AC189" s="20"/>
      <c r="AD189" s="20"/>
    </row>
    <row r="190" spans="1:30" x14ac:dyDescent="0.3">
      <c r="A190" s="11" t="s">
        <v>50</v>
      </c>
      <c r="B190" s="54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1</v>
      </c>
      <c r="U190" s="6">
        <v>0</v>
      </c>
      <c r="V190" s="6">
        <v>1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5">
        <f t="shared" ref="AB189:AB199" si="31">SUM(E190:AA190)</f>
        <v>2</v>
      </c>
      <c r="AC190" s="20"/>
      <c r="AD190" s="20"/>
    </row>
    <row r="191" spans="1:30" x14ac:dyDescent="0.3">
      <c r="A191" s="7"/>
      <c r="B191" s="54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5">
        <f t="shared" si="31"/>
        <v>0</v>
      </c>
      <c r="AC191" s="20"/>
      <c r="AD191" s="20"/>
    </row>
    <row r="192" spans="1:30" x14ac:dyDescent="0.3">
      <c r="A192" s="7"/>
      <c r="B192" s="54"/>
      <c r="C192" s="24" t="s">
        <v>205</v>
      </c>
      <c r="D192" s="51"/>
      <c r="E192" s="6">
        <v>0</v>
      </c>
      <c r="F192" s="6">
        <v>1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5">
        <f t="shared" si="31"/>
        <v>1</v>
      </c>
      <c r="AC192" s="20"/>
      <c r="AD192" s="20"/>
    </row>
    <row r="193" spans="1:30" x14ac:dyDescent="0.3">
      <c r="A193" s="7"/>
      <c r="B193" s="54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1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5">
        <f t="shared" si="31"/>
        <v>1</v>
      </c>
      <c r="AC193" s="20"/>
      <c r="AD193" s="20"/>
    </row>
    <row r="194" spans="1:30" x14ac:dyDescent="0.3">
      <c r="A194" s="7"/>
      <c r="B194" s="54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5">
        <f t="shared" si="31"/>
        <v>0</v>
      </c>
      <c r="AC194" s="20"/>
      <c r="AD194" s="20"/>
    </row>
    <row r="195" spans="1:30" x14ac:dyDescent="0.3">
      <c r="A195" s="7"/>
      <c r="B195" s="54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5">
        <f t="shared" si="31"/>
        <v>0</v>
      </c>
      <c r="AC195" s="20"/>
      <c r="AD195" s="20"/>
    </row>
    <row r="196" spans="1:30" ht="13.15" customHeight="1" x14ac:dyDescent="0.3">
      <c r="A196" s="7"/>
      <c r="B196" s="54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5">
        <f t="shared" si="31"/>
        <v>0</v>
      </c>
      <c r="AC196" s="1"/>
      <c r="AD196" s="1"/>
    </row>
    <row r="197" spans="1:30" ht="13.15" customHeight="1" x14ac:dyDescent="0.3">
      <c r="A197" s="7"/>
      <c r="B197" s="54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5">
        <f t="shared" si="31"/>
        <v>0</v>
      </c>
      <c r="AC197" s="1"/>
      <c r="AD197" s="1"/>
    </row>
    <row r="198" spans="1:30" ht="13.15" customHeight="1" x14ac:dyDescent="0.3">
      <c r="A198" s="7"/>
      <c r="B198" s="54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5">
        <f t="shared" si="31"/>
        <v>0</v>
      </c>
      <c r="AC198" s="1"/>
      <c r="AD198" s="1"/>
    </row>
    <row r="199" spans="1:30" x14ac:dyDescent="0.3">
      <c r="A199" s="6" t="s">
        <v>26</v>
      </c>
      <c r="B199" s="69" t="s">
        <v>51</v>
      </c>
      <c r="C199" s="70"/>
      <c r="D199" s="71"/>
      <c r="E199" s="5">
        <f>SUM(E189:E198)</f>
        <v>0</v>
      </c>
      <c r="F199" s="5">
        <f t="shared" ref="F199:AB199" si="32">SUM(F189:F198)</f>
        <v>1</v>
      </c>
      <c r="G199" s="5">
        <f t="shared" si="32"/>
        <v>0</v>
      </c>
      <c r="H199" s="5">
        <f t="shared" si="32"/>
        <v>0</v>
      </c>
      <c r="I199" s="5">
        <f t="shared" si="32"/>
        <v>0</v>
      </c>
      <c r="J199" s="5">
        <f t="shared" si="32"/>
        <v>0</v>
      </c>
      <c r="K199" s="5">
        <f t="shared" si="32"/>
        <v>1</v>
      </c>
      <c r="L199" s="5">
        <f t="shared" si="32"/>
        <v>1</v>
      </c>
      <c r="M199" s="5">
        <f t="shared" si="32"/>
        <v>0</v>
      </c>
      <c r="N199" s="5">
        <f t="shared" si="32"/>
        <v>0</v>
      </c>
      <c r="O199" s="5">
        <f t="shared" si="32"/>
        <v>0</v>
      </c>
      <c r="P199" s="5">
        <f t="shared" si="32"/>
        <v>0</v>
      </c>
      <c r="Q199" s="5">
        <f t="shared" si="32"/>
        <v>0</v>
      </c>
      <c r="R199" s="5">
        <f t="shared" si="32"/>
        <v>0</v>
      </c>
      <c r="S199" s="5">
        <f t="shared" si="32"/>
        <v>1</v>
      </c>
      <c r="T199" s="5">
        <f t="shared" si="32"/>
        <v>1</v>
      </c>
      <c r="U199" s="5">
        <f t="shared" si="32"/>
        <v>0</v>
      </c>
      <c r="V199" s="5">
        <f t="shared" si="32"/>
        <v>1</v>
      </c>
      <c r="W199" s="5">
        <f t="shared" si="32"/>
        <v>0</v>
      </c>
      <c r="X199" s="5">
        <f t="shared" si="32"/>
        <v>0</v>
      </c>
      <c r="Y199" s="5">
        <f t="shared" si="32"/>
        <v>0</v>
      </c>
      <c r="Z199" s="5">
        <f t="shared" si="32"/>
        <v>1</v>
      </c>
      <c r="AA199" s="5">
        <f t="shared" si="32"/>
        <v>0</v>
      </c>
      <c r="AB199" s="5">
        <f t="shared" si="32"/>
        <v>7</v>
      </c>
      <c r="AC199" s="28"/>
      <c r="AD199" s="28"/>
    </row>
    <row r="200" spans="1:30" x14ac:dyDescent="0.3">
      <c r="A200" s="77"/>
      <c r="B200" s="78"/>
      <c r="C200" s="78"/>
      <c r="D200" s="78"/>
      <c r="E200" s="7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20"/>
      <c r="AD200" s="20"/>
    </row>
    <row r="201" spans="1:30" x14ac:dyDescent="0.3">
      <c r="A201" s="11" t="s">
        <v>48</v>
      </c>
      <c r="B201" s="17" t="s">
        <v>73</v>
      </c>
      <c r="C201" s="75" t="s">
        <v>74</v>
      </c>
      <c r="D201" s="76"/>
      <c r="E201" s="6">
        <v>7</v>
      </c>
      <c r="F201" s="6">
        <v>2</v>
      </c>
      <c r="G201" s="6">
        <v>5</v>
      </c>
      <c r="H201" s="6">
        <v>10</v>
      </c>
      <c r="I201" s="6">
        <v>3</v>
      </c>
      <c r="J201" s="6">
        <v>8</v>
      </c>
      <c r="K201" s="6">
        <v>5</v>
      </c>
      <c r="L201" s="6">
        <v>1</v>
      </c>
      <c r="M201" s="6">
        <v>5</v>
      </c>
      <c r="N201" s="6">
        <v>1</v>
      </c>
      <c r="O201" s="6">
        <v>4</v>
      </c>
      <c r="P201" s="6">
        <v>7</v>
      </c>
      <c r="Q201" s="6">
        <v>11</v>
      </c>
      <c r="R201" s="6">
        <v>9</v>
      </c>
      <c r="S201" s="6">
        <v>7</v>
      </c>
      <c r="T201" s="6">
        <v>3</v>
      </c>
      <c r="U201" s="6">
        <v>2</v>
      </c>
      <c r="V201" s="6">
        <v>3</v>
      </c>
      <c r="W201" s="6">
        <v>4</v>
      </c>
      <c r="X201" s="6">
        <v>8</v>
      </c>
      <c r="Y201" s="6">
        <v>1</v>
      </c>
      <c r="Z201" s="6">
        <v>5</v>
      </c>
      <c r="AA201" s="6">
        <v>3</v>
      </c>
      <c r="AB201" s="5">
        <f>SUM(E201:AA201)</f>
        <v>114</v>
      </c>
      <c r="AC201" s="20"/>
      <c r="AD201" s="20"/>
    </row>
    <row r="202" spans="1:30" x14ac:dyDescent="0.3">
      <c r="A202" s="11" t="s">
        <v>50</v>
      </c>
      <c r="B202" s="54"/>
      <c r="C202" s="24" t="s">
        <v>212</v>
      </c>
      <c r="D202" s="51"/>
      <c r="E202" s="6">
        <v>7</v>
      </c>
      <c r="F202" s="6">
        <v>5</v>
      </c>
      <c r="G202" s="6">
        <v>11</v>
      </c>
      <c r="H202" s="6">
        <v>18</v>
      </c>
      <c r="I202" s="6">
        <v>12</v>
      </c>
      <c r="J202" s="6">
        <v>13</v>
      </c>
      <c r="K202" s="6">
        <v>9</v>
      </c>
      <c r="L202" s="6">
        <v>17</v>
      </c>
      <c r="M202" s="6">
        <v>7</v>
      </c>
      <c r="N202" s="6">
        <v>7</v>
      </c>
      <c r="O202" s="6">
        <v>6</v>
      </c>
      <c r="P202" s="6">
        <v>17</v>
      </c>
      <c r="Q202" s="6">
        <v>13</v>
      </c>
      <c r="R202" s="6">
        <v>11</v>
      </c>
      <c r="S202" s="6">
        <v>11</v>
      </c>
      <c r="T202" s="6">
        <v>11</v>
      </c>
      <c r="U202" s="6">
        <v>15</v>
      </c>
      <c r="V202" s="6">
        <v>13</v>
      </c>
      <c r="W202" s="6">
        <v>11</v>
      </c>
      <c r="X202" s="6">
        <v>7</v>
      </c>
      <c r="Y202" s="6">
        <v>12</v>
      </c>
      <c r="Z202" s="6">
        <v>8</v>
      </c>
      <c r="AA202" s="6">
        <v>11</v>
      </c>
      <c r="AB202" s="5">
        <f t="shared" ref="AB201:AB211" si="33">SUM(E202:AA202)</f>
        <v>252</v>
      </c>
      <c r="AC202" s="20"/>
      <c r="AD202" s="20"/>
    </row>
    <row r="203" spans="1:30" x14ac:dyDescent="0.3">
      <c r="A203" s="7"/>
      <c r="B203" s="54"/>
      <c r="C203" s="24" t="s">
        <v>213</v>
      </c>
      <c r="D203" s="51"/>
      <c r="E203" s="6">
        <v>0</v>
      </c>
      <c r="F203" s="6">
        <v>0</v>
      </c>
      <c r="G203" s="6">
        <v>1</v>
      </c>
      <c r="H203" s="6">
        <v>3</v>
      </c>
      <c r="I203" s="6">
        <v>0</v>
      </c>
      <c r="J203" s="6">
        <v>1</v>
      </c>
      <c r="K203" s="6">
        <v>2</v>
      </c>
      <c r="L203" s="6">
        <v>1</v>
      </c>
      <c r="M203" s="6">
        <v>1</v>
      </c>
      <c r="N203" s="6">
        <v>1</v>
      </c>
      <c r="O203" s="6">
        <v>2</v>
      </c>
      <c r="P203" s="6">
        <v>3</v>
      </c>
      <c r="Q203" s="6">
        <v>0</v>
      </c>
      <c r="R203" s="6">
        <v>1</v>
      </c>
      <c r="S203" s="6">
        <v>1</v>
      </c>
      <c r="T203" s="6">
        <v>0</v>
      </c>
      <c r="U203" s="6">
        <v>1</v>
      </c>
      <c r="V203" s="6">
        <v>1</v>
      </c>
      <c r="W203" s="6">
        <v>0</v>
      </c>
      <c r="X203" s="6">
        <v>0</v>
      </c>
      <c r="Y203" s="6">
        <v>0</v>
      </c>
      <c r="Z203" s="6">
        <v>1</v>
      </c>
      <c r="AA203" s="6">
        <v>1</v>
      </c>
      <c r="AB203" s="5">
        <f t="shared" si="33"/>
        <v>21</v>
      </c>
      <c r="AC203" s="20"/>
      <c r="AD203" s="20"/>
    </row>
    <row r="204" spans="1:30" x14ac:dyDescent="0.3">
      <c r="A204" s="7"/>
      <c r="B204" s="54"/>
      <c r="C204" s="24" t="s">
        <v>214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2</v>
      </c>
      <c r="J204" s="6">
        <v>1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2</v>
      </c>
      <c r="Q204" s="6">
        <v>0</v>
      </c>
      <c r="R204" s="6">
        <v>1</v>
      </c>
      <c r="S204" s="6">
        <v>0</v>
      </c>
      <c r="T204" s="6">
        <v>1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1</v>
      </c>
      <c r="AA204" s="6">
        <v>0</v>
      </c>
      <c r="AB204" s="5">
        <f t="shared" si="33"/>
        <v>9</v>
      </c>
      <c r="AC204" s="20"/>
      <c r="AD204" s="20"/>
    </row>
    <row r="205" spans="1:30" x14ac:dyDescent="0.3">
      <c r="A205" s="7"/>
      <c r="B205" s="54"/>
      <c r="C205" s="24" t="s">
        <v>215</v>
      </c>
      <c r="D205" s="51"/>
      <c r="E205" s="6">
        <v>1</v>
      </c>
      <c r="F205" s="6">
        <v>0</v>
      </c>
      <c r="G205" s="6">
        <v>0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2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1</v>
      </c>
      <c r="Z205" s="6">
        <v>0</v>
      </c>
      <c r="AA205" s="6">
        <v>0</v>
      </c>
      <c r="AB205" s="5">
        <f t="shared" si="33"/>
        <v>5</v>
      </c>
      <c r="AC205" s="20"/>
      <c r="AD205" s="20"/>
    </row>
    <row r="206" spans="1:30" x14ac:dyDescent="0.3">
      <c r="A206" s="7"/>
      <c r="B206" s="54"/>
      <c r="C206" s="24" t="s">
        <v>216</v>
      </c>
      <c r="D206" s="51"/>
      <c r="E206" s="6">
        <v>0</v>
      </c>
      <c r="F206" s="6">
        <v>1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0</v>
      </c>
      <c r="T206" s="6">
        <v>1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5">
        <f t="shared" si="33"/>
        <v>3</v>
      </c>
      <c r="AC206" s="20"/>
      <c r="AD206" s="20"/>
    </row>
    <row r="207" spans="1:30" ht="13.15" customHeight="1" x14ac:dyDescent="0.3">
      <c r="A207" s="7"/>
      <c r="B207" s="54"/>
      <c r="C207" s="24" t="s">
        <v>217</v>
      </c>
      <c r="D207" s="51"/>
      <c r="E207" s="6">
        <v>0</v>
      </c>
      <c r="F207" s="6">
        <v>1</v>
      </c>
      <c r="G207" s="6">
        <v>1</v>
      </c>
      <c r="H207" s="6">
        <v>5</v>
      </c>
      <c r="I207" s="6">
        <v>0</v>
      </c>
      <c r="J207" s="6">
        <v>3</v>
      </c>
      <c r="K207" s="6">
        <v>2</v>
      </c>
      <c r="L207" s="6">
        <v>0</v>
      </c>
      <c r="M207" s="6">
        <v>0</v>
      </c>
      <c r="N207" s="6">
        <v>1</v>
      </c>
      <c r="O207" s="6">
        <v>1</v>
      </c>
      <c r="P207" s="6">
        <v>0</v>
      </c>
      <c r="Q207" s="6">
        <v>2</v>
      </c>
      <c r="R207" s="6">
        <v>3</v>
      </c>
      <c r="S207" s="6">
        <v>0</v>
      </c>
      <c r="T207" s="6">
        <v>0</v>
      </c>
      <c r="U207" s="6">
        <v>1</v>
      </c>
      <c r="V207" s="6">
        <v>0</v>
      </c>
      <c r="W207" s="6">
        <v>0</v>
      </c>
      <c r="X207" s="6">
        <v>0</v>
      </c>
      <c r="Y207" s="6">
        <v>0</v>
      </c>
      <c r="Z207" s="6">
        <v>1</v>
      </c>
      <c r="AA207" s="6">
        <v>2</v>
      </c>
      <c r="AB207" s="5">
        <f t="shared" si="33"/>
        <v>23</v>
      </c>
      <c r="AC207" s="1"/>
      <c r="AD207" s="1"/>
    </row>
    <row r="208" spans="1:30" x14ac:dyDescent="0.3">
      <c r="A208" s="7"/>
      <c r="B208" s="54"/>
      <c r="C208" s="24" t="s">
        <v>218</v>
      </c>
      <c r="D208" s="51"/>
      <c r="E208" s="6">
        <v>0</v>
      </c>
      <c r="F208" s="6">
        <v>0</v>
      </c>
      <c r="G208" s="6">
        <v>0</v>
      </c>
      <c r="H208" s="6">
        <v>1</v>
      </c>
      <c r="I208" s="6">
        <v>2</v>
      </c>
      <c r="J208" s="6">
        <v>1</v>
      </c>
      <c r="K208" s="6">
        <v>2</v>
      </c>
      <c r="L208" s="6">
        <v>0</v>
      </c>
      <c r="M208" s="6">
        <v>1</v>
      </c>
      <c r="N208" s="6">
        <v>0</v>
      </c>
      <c r="O208" s="6">
        <v>0</v>
      </c>
      <c r="P208" s="6">
        <v>2</v>
      </c>
      <c r="Q208" s="6">
        <v>1</v>
      </c>
      <c r="R208" s="6">
        <v>0</v>
      </c>
      <c r="S208" s="6">
        <v>0</v>
      </c>
      <c r="T208" s="6">
        <v>1</v>
      </c>
      <c r="U208" s="6">
        <v>1</v>
      </c>
      <c r="V208" s="6">
        <v>2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5">
        <f t="shared" si="33"/>
        <v>14</v>
      </c>
      <c r="AC208" s="28"/>
      <c r="AD208" s="28"/>
    </row>
    <row r="209" spans="1:30" x14ac:dyDescent="0.3">
      <c r="A209" s="7"/>
      <c r="B209" s="54"/>
      <c r="C209" s="24" t="s">
        <v>219</v>
      </c>
      <c r="D209" s="51"/>
      <c r="E209" s="6">
        <v>1</v>
      </c>
      <c r="F209" s="6">
        <v>0</v>
      </c>
      <c r="G209" s="6">
        <v>0</v>
      </c>
      <c r="H209" s="6">
        <v>2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5">
        <f t="shared" si="33"/>
        <v>3</v>
      </c>
      <c r="AC209" s="28"/>
      <c r="AD209" s="28"/>
    </row>
    <row r="210" spans="1:30" x14ac:dyDescent="0.3">
      <c r="A210" s="7"/>
      <c r="B210" s="54"/>
      <c r="C210" s="24" t="s">
        <v>220</v>
      </c>
      <c r="D210" s="51"/>
      <c r="E210" s="6">
        <v>1</v>
      </c>
      <c r="F210" s="6">
        <v>0</v>
      </c>
      <c r="G210" s="6">
        <v>2</v>
      </c>
      <c r="H210" s="6">
        <v>1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1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1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5">
        <f t="shared" si="33"/>
        <v>8</v>
      </c>
      <c r="AC210" s="28"/>
      <c r="AD210" s="28"/>
    </row>
    <row r="211" spans="1:30" x14ac:dyDescent="0.3">
      <c r="A211" s="6" t="s">
        <v>26</v>
      </c>
      <c r="B211" s="69" t="s">
        <v>51</v>
      </c>
      <c r="C211" s="70"/>
      <c r="D211" s="71"/>
      <c r="E211" s="5">
        <f>SUM(E201:E210)</f>
        <v>17</v>
      </c>
      <c r="F211" s="5">
        <f t="shared" ref="F211:AB211" si="34">SUM(F201:F210)</f>
        <v>9</v>
      </c>
      <c r="G211" s="5">
        <f t="shared" si="34"/>
        <v>20</v>
      </c>
      <c r="H211" s="5">
        <f t="shared" si="34"/>
        <v>41</v>
      </c>
      <c r="I211" s="5">
        <f t="shared" si="34"/>
        <v>20</v>
      </c>
      <c r="J211" s="5">
        <f t="shared" si="34"/>
        <v>28</v>
      </c>
      <c r="K211" s="5">
        <f t="shared" si="34"/>
        <v>21</v>
      </c>
      <c r="L211" s="5">
        <f t="shared" si="34"/>
        <v>19</v>
      </c>
      <c r="M211" s="5">
        <f t="shared" si="34"/>
        <v>14</v>
      </c>
      <c r="N211" s="5">
        <f t="shared" si="34"/>
        <v>10</v>
      </c>
      <c r="O211" s="5">
        <f t="shared" si="34"/>
        <v>13</v>
      </c>
      <c r="P211" s="5">
        <f t="shared" si="34"/>
        <v>32</v>
      </c>
      <c r="Q211" s="5">
        <f t="shared" si="34"/>
        <v>28</v>
      </c>
      <c r="R211" s="5">
        <f t="shared" si="34"/>
        <v>27</v>
      </c>
      <c r="S211" s="5">
        <f t="shared" si="34"/>
        <v>19</v>
      </c>
      <c r="T211" s="5">
        <f t="shared" si="34"/>
        <v>17</v>
      </c>
      <c r="U211" s="5">
        <f t="shared" si="34"/>
        <v>20</v>
      </c>
      <c r="V211" s="5">
        <f t="shared" si="34"/>
        <v>20</v>
      </c>
      <c r="W211" s="5">
        <f t="shared" si="34"/>
        <v>15</v>
      </c>
      <c r="X211" s="5">
        <f t="shared" si="34"/>
        <v>15</v>
      </c>
      <c r="Y211" s="5">
        <f t="shared" si="34"/>
        <v>14</v>
      </c>
      <c r="Z211" s="5">
        <f t="shared" si="34"/>
        <v>16</v>
      </c>
      <c r="AA211" s="5">
        <f t="shared" si="34"/>
        <v>17</v>
      </c>
      <c r="AB211" s="5">
        <f t="shared" si="34"/>
        <v>452</v>
      </c>
      <c r="AC211" s="20"/>
      <c r="AD211" s="20"/>
    </row>
    <row r="212" spans="1:30" x14ac:dyDescent="0.3">
      <c r="A212" s="77"/>
      <c r="B212" s="78"/>
      <c r="C212" s="78"/>
      <c r="D212" s="78"/>
      <c r="E212" s="7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20"/>
      <c r="AD212" s="20"/>
    </row>
    <row r="213" spans="1:30" x14ac:dyDescent="0.3">
      <c r="A213" s="11" t="s">
        <v>48</v>
      </c>
      <c r="B213" s="17" t="s">
        <v>75</v>
      </c>
      <c r="C213" s="75" t="s">
        <v>76</v>
      </c>
      <c r="D213" s="76"/>
      <c r="E213" s="6">
        <v>11</v>
      </c>
      <c r="F213" s="6">
        <v>2</v>
      </c>
      <c r="G213" s="6">
        <v>0</v>
      </c>
      <c r="H213" s="6">
        <v>2</v>
      </c>
      <c r="I213" s="6">
        <v>2</v>
      </c>
      <c r="J213" s="6">
        <v>7</v>
      </c>
      <c r="K213" s="6">
        <v>3</v>
      </c>
      <c r="L213" s="6">
        <v>0</v>
      </c>
      <c r="M213" s="6">
        <v>3</v>
      </c>
      <c r="N213" s="6">
        <v>1</v>
      </c>
      <c r="O213" s="6">
        <v>4</v>
      </c>
      <c r="P213" s="6">
        <v>1</v>
      </c>
      <c r="Q213" s="6">
        <v>2</v>
      </c>
      <c r="R213" s="6">
        <v>2</v>
      </c>
      <c r="S213" s="6">
        <v>1</v>
      </c>
      <c r="T213" s="6">
        <v>1</v>
      </c>
      <c r="U213" s="6">
        <v>0</v>
      </c>
      <c r="V213" s="6">
        <v>1</v>
      </c>
      <c r="W213" s="6">
        <v>1</v>
      </c>
      <c r="X213" s="6">
        <v>4</v>
      </c>
      <c r="Y213" s="6">
        <v>3</v>
      </c>
      <c r="Z213" s="6">
        <v>3</v>
      </c>
      <c r="AA213" s="6">
        <v>4</v>
      </c>
      <c r="AB213" s="5">
        <f>SUM(E213:AA213)</f>
        <v>58</v>
      </c>
      <c r="AC213" s="20"/>
      <c r="AD213" s="20"/>
    </row>
    <row r="214" spans="1:30" x14ac:dyDescent="0.3">
      <c r="A214" s="11" t="s">
        <v>50</v>
      </c>
      <c r="B214" s="54"/>
      <c r="C214" s="24" t="s">
        <v>221</v>
      </c>
      <c r="D214" s="55"/>
      <c r="E214" s="6">
        <v>3</v>
      </c>
      <c r="F214" s="6">
        <v>1</v>
      </c>
      <c r="G214" s="6">
        <v>1</v>
      </c>
      <c r="H214" s="6">
        <v>1</v>
      </c>
      <c r="I214" s="6">
        <v>4</v>
      </c>
      <c r="J214" s="6">
        <v>0</v>
      </c>
      <c r="K214" s="6">
        <v>1</v>
      </c>
      <c r="L214" s="6">
        <v>0</v>
      </c>
      <c r="M214" s="6">
        <v>1</v>
      </c>
      <c r="N214" s="6">
        <v>0</v>
      </c>
      <c r="O214" s="6">
        <v>3</v>
      </c>
      <c r="P214" s="6">
        <v>0</v>
      </c>
      <c r="Q214" s="6">
        <v>3</v>
      </c>
      <c r="R214" s="6">
        <v>1</v>
      </c>
      <c r="S214" s="6">
        <v>0</v>
      </c>
      <c r="T214" s="6">
        <v>1</v>
      </c>
      <c r="U214" s="6">
        <v>0</v>
      </c>
      <c r="V214" s="6">
        <v>1</v>
      </c>
      <c r="W214" s="6">
        <v>0</v>
      </c>
      <c r="X214" s="6">
        <v>1</v>
      </c>
      <c r="Y214" s="6">
        <v>0</v>
      </c>
      <c r="Z214" s="6">
        <v>5</v>
      </c>
      <c r="AA214" s="6">
        <v>3</v>
      </c>
      <c r="AB214" s="5">
        <f>SUM(E214:AA214)</f>
        <v>30</v>
      </c>
      <c r="AC214" s="20"/>
      <c r="AD214" s="20"/>
    </row>
    <row r="215" spans="1:30" x14ac:dyDescent="0.3">
      <c r="A215" s="7"/>
      <c r="B215" s="54"/>
      <c r="C215" s="24" t="s">
        <v>222</v>
      </c>
      <c r="D215" s="55"/>
      <c r="E215" s="6">
        <v>1</v>
      </c>
      <c r="F215" s="6">
        <v>1</v>
      </c>
      <c r="G215" s="6">
        <v>2</v>
      </c>
      <c r="H215" s="6">
        <v>2</v>
      </c>
      <c r="I215" s="6">
        <v>1</v>
      </c>
      <c r="J215" s="6">
        <v>1</v>
      </c>
      <c r="K215" s="6">
        <v>1</v>
      </c>
      <c r="L215" s="6">
        <v>2</v>
      </c>
      <c r="M215" s="6">
        <v>6</v>
      </c>
      <c r="N215" s="6">
        <v>3</v>
      </c>
      <c r="O215" s="6">
        <v>1</v>
      </c>
      <c r="P215" s="6">
        <v>3</v>
      </c>
      <c r="Q215" s="6">
        <v>1</v>
      </c>
      <c r="R215" s="6">
        <v>0</v>
      </c>
      <c r="S215" s="6">
        <v>1</v>
      </c>
      <c r="T215" s="6">
        <v>0</v>
      </c>
      <c r="U215" s="6">
        <v>1</v>
      </c>
      <c r="V215" s="6">
        <v>1</v>
      </c>
      <c r="W215" s="6">
        <v>4</v>
      </c>
      <c r="X215" s="6">
        <v>0</v>
      </c>
      <c r="Y215" s="6">
        <v>0</v>
      </c>
      <c r="Z215" s="6">
        <v>3</v>
      </c>
      <c r="AA215" s="6">
        <v>2</v>
      </c>
      <c r="AB215" s="5">
        <f>SUM(E215:AA215)</f>
        <v>37</v>
      </c>
      <c r="AC215" s="20"/>
      <c r="AD215" s="20"/>
    </row>
    <row r="216" spans="1:30" x14ac:dyDescent="0.3">
      <c r="A216" s="7"/>
      <c r="B216" s="54"/>
      <c r="C216" s="24" t="s">
        <v>223</v>
      </c>
      <c r="E216" s="6">
        <v>2</v>
      </c>
      <c r="F216" s="6">
        <v>0</v>
      </c>
      <c r="G216" s="6">
        <v>0</v>
      </c>
      <c r="H216" s="6">
        <v>1</v>
      </c>
      <c r="I216" s="6">
        <v>1</v>
      </c>
      <c r="J216" s="6">
        <v>1</v>
      </c>
      <c r="K216" s="6">
        <v>1</v>
      </c>
      <c r="L216" s="6">
        <v>0</v>
      </c>
      <c r="M216" s="6">
        <v>0</v>
      </c>
      <c r="N216" s="6">
        <v>1</v>
      </c>
      <c r="O216" s="6">
        <v>0</v>
      </c>
      <c r="P216" s="6">
        <v>1</v>
      </c>
      <c r="Q216" s="6">
        <v>0</v>
      </c>
      <c r="R216" s="6">
        <v>1</v>
      </c>
      <c r="S216" s="6">
        <v>1</v>
      </c>
      <c r="T216" s="6">
        <v>0</v>
      </c>
      <c r="U216" s="6">
        <v>0</v>
      </c>
      <c r="V216" s="6">
        <v>1</v>
      </c>
      <c r="W216" s="6">
        <v>1</v>
      </c>
      <c r="X216" s="6">
        <v>0</v>
      </c>
      <c r="Y216" s="6">
        <v>0</v>
      </c>
      <c r="Z216" s="6">
        <v>0</v>
      </c>
      <c r="AA216" s="6">
        <v>1</v>
      </c>
      <c r="AB216" s="5">
        <f>SUM(E216:AA216)</f>
        <v>13</v>
      </c>
      <c r="AC216" s="20"/>
      <c r="AD216" s="20"/>
    </row>
    <row r="217" spans="1:30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50"/>
      <c r="AC217" s="20"/>
      <c r="AD217" s="20"/>
    </row>
    <row r="218" spans="1:30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50"/>
      <c r="AC218" s="1"/>
      <c r="AD218" s="1"/>
    </row>
    <row r="219" spans="1:30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50"/>
      <c r="AC219" s="28"/>
      <c r="AD219" s="28"/>
    </row>
    <row r="220" spans="1:30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50"/>
      <c r="AC220" s="20"/>
      <c r="AD220" s="20"/>
    </row>
    <row r="221" spans="1:30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50"/>
      <c r="AC221" s="20"/>
      <c r="AD221" s="20"/>
    </row>
    <row r="222" spans="1:30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50"/>
      <c r="AC222" s="20"/>
      <c r="AD222" s="20"/>
    </row>
    <row r="223" spans="1:30" x14ac:dyDescent="0.3">
      <c r="A223" s="6" t="s">
        <v>26</v>
      </c>
      <c r="B223" s="69" t="s">
        <v>51</v>
      </c>
      <c r="C223" s="70"/>
      <c r="D223" s="71"/>
      <c r="E223" s="5">
        <f>SUM(E213:E222)</f>
        <v>17</v>
      </c>
      <c r="F223" s="5">
        <f t="shared" ref="F223:AB223" si="35">SUM(F213:F222)</f>
        <v>4</v>
      </c>
      <c r="G223" s="5">
        <f t="shared" si="35"/>
        <v>3</v>
      </c>
      <c r="H223" s="5">
        <f t="shared" si="35"/>
        <v>6</v>
      </c>
      <c r="I223" s="5">
        <f t="shared" si="35"/>
        <v>8</v>
      </c>
      <c r="J223" s="5">
        <f t="shared" si="35"/>
        <v>9</v>
      </c>
      <c r="K223" s="5">
        <f t="shared" si="35"/>
        <v>6</v>
      </c>
      <c r="L223" s="5">
        <f t="shared" si="35"/>
        <v>2</v>
      </c>
      <c r="M223" s="5">
        <f t="shared" si="35"/>
        <v>10</v>
      </c>
      <c r="N223" s="5">
        <f t="shared" si="35"/>
        <v>5</v>
      </c>
      <c r="O223" s="5">
        <f t="shared" si="35"/>
        <v>8</v>
      </c>
      <c r="P223" s="5">
        <f t="shared" si="35"/>
        <v>5</v>
      </c>
      <c r="Q223" s="5">
        <f t="shared" si="35"/>
        <v>6</v>
      </c>
      <c r="R223" s="5">
        <f t="shared" si="35"/>
        <v>4</v>
      </c>
      <c r="S223" s="5">
        <f t="shared" si="35"/>
        <v>3</v>
      </c>
      <c r="T223" s="5">
        <f t="shared" si="35"/>
        <v>2</v>
      </c>
      <c r="U223" s="5">
        <f t="shared" si="35"/>
        <v>1</v>
      </c>
      <c r="V223" s="5">
        <f t="shared" si="35"/>
        <v>4</v>
      </c>
      <c r="W223" s="5">
        <f t="shared" si="35"/>
        <v>6</v>
      </c>
      <c r="X223" s="5">
        <f t="shared" si="35"/>
        <v>5</v>
      </c>
      <c r="Y223" s="5">
        <f t="shared" si="35"/>
        <v>3</v>
      </c>
      <c r="Z223" s="5">
        <f t="shared" si="35"/>
        <v>11</v>
      </c>
      <c r="AA223" s="5">
        <f t="shared" si="35"/>
        <v>10</v>
      </c>
      <c r="AB223" s="5">
        <f t="shared" si="35"/>
        <v>138</v>
      </c>
      <c r="AC223" s="20"/>
      <c r="AD223" s="20"/>
    </row>
    <row r="224" spans="1:30" x14ac:dyDescent="0.3">
      <c r="A224" s="77"/>
      <c r="B224" s="78"/>
      <c r="C224" s="78"/>
      <c r="D224" s="78"/>
      <c r="E224" s="7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20"/>
      <c r="AD224" s="20"/>
    </row>
    <row r="225" spans="1:30" x14ac:dyDescent="0.3">
      <c r="A225" s="11" t="s">
        <v>48</v>
      </c>
      <c r="B225" s="17" t="s">
        <v>77</v>
      </c>
      <c r="C225" s="75" t="s">
        <v>78</v>
      </c>
      <c r="D225" s="76"/>
      <c r="E225" s="6">
        <v>0</v>
      </c>
      <c r="F225" s="6">
        <v>0</v>
      </c>
      <c r="G225" s="6">
        <v>0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1</v>
      </c>
      <c r="W225" s="6">
        <v>0</v>
      </c>
      <c r="X225" s="6">
        <v>0</v>
      </c>
      <c r="Y225" s="6">
        <v>1</v>
      </c>
      <c r="Z225" s="6">
        <v>0</v>
      </c>
      <c r="AA225" s="6">
        <v>1</v>
      </c>
      <c r="AB225" s="5">
        <f>SUM(E225:AA225)</f>
        <v>6</v>
      </c>
      <c r="AC225" s="20"/>
      <c r="AD225" s="20"/>
    </row>
    <row r="226" spans="1:30" x14ac:dyDescent="0.3">
      <c r="A226" s="11" t="s">
        <v>50</v>
      </c>
      <c r="B226" s="54"/>
      <c r="C226" s="24" t="s">
        <v>224</v>
      </c>
      <c r="D226" s="51"/>
      <c r="E226" s="6">
        <v>2</v>
      </c>
      <c r="F226" s="6">
        <v>0</v>
      </c>
      <c r="G226" s="6">
        <v>0</v>
      </c>
      <c r="H226" s="6">
        <v>0</v>
      </c>
      <c r="I226" s="6">
        <v>5</v>
      </c>
      <c r="J226" s="6">
        <v>0</v>
      </c>
      <c r="K226" s="6">
        <v>6</v>
      </c>
      <c r="L226" s="6">
        <v>1</v>
      </c>
      <c r="M226" s="6">
        <v>3</v>
      </c>
      <c r="N226" s="6">
        <v>0</v>
      </c>
      <c r="O226" s="6">
        <v>0</v>
      </c>
      <c r="P226" s="6">
        <v>1</v>
      </c>
      <c r="Q226" s="6">
        <v>1</v>
      </c>
      <c r="R226" s="6">
        <v>0</v>
      </c>
      <c r="S226" s="6">
        <v>2</v>
      </c>
      <c r="T226" s="6">
        <v>1</v>
      </c>
      <c r="U226" s="6">
        <v>0</v>
      </c>
      <c r="V226" s="6">
        <v>0</v>
      </c>
      <c r="W226" s="6">
        <v>1</v>
      </c>
      <c r="X226" s="6">
        <v>1</v>
      </c>
      <c r="Y226" s="6">
        <v>2</v>
      </c>
      <c r="Z226" s="6">
        <v>0</v>
      </c>
      <c r="AA226" s="6">
        <v>0</v>
      </c>
      <c r="AB226" s="5">
        <f>SUM(E226:AA226)</f>
        <v>26</v>
      </c>
      <c r="AC226" s="20"/>
      <c r="AD226" s="20"/>
    </row>
    <row r="227" spans="1:30" x14ac:dyDescent="0.3">
      <c r="A227" s="7"/>
      <c r="B227" s="54"/>
      <c r="C227" s="24" t="s">
        <v>225</v>
      </c>
      <c r="D227" s="51"/>
      <c r="E227" s="6">
        <v>0</v>
      </c>
      <c r="F227" s="6">
        <v>1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1</v>
      </c>
      <c r="AB227" s="5">
        <f>SUM(E227:AA227)</f>
        <v>3</v>
      </c>
      <c r="AC227" s="20"/>
      <c r="AD227" s="20"/>
    </row>
    <row r="228" spans="1:30" x14ac:dyDescent="0.3">
      <c r="A228" s="7"/>
      <c r="B228" s="54"/>
      <c r="C228" s="24" t="s">
        <v>226</v>
      </c>
      <c r="D228" s="51"/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1</v>
      </c>
      <c r="AB228" s="5">
        <f>SUM(E228:AA228)</f>
        <v>2</v>
      </c>
      <c r="AC228" s="20"/>
      <c r="AD228" s="20"/>
    </row>
    <row r="229" spans="1:30" ht="13.15" customHeight="1" x14ac:dyDescent="0.3">
      <c r="A229" s="7"/>
      <c r="B229" s="54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1</v>
      </c>
      <c r="I229" s="6">
        <v>1</v>
      </c>
      <c r="J229" s="6">
        <v>0</v>
      </c>
      <c r="K229" s="6">
        <v>0</v>
      </c>
      <c r="L229" s="6">
        <v>1</v>
      </c>
      <c r="M229" s="6">
        <v>1</v>
      </c>
      <c r="N229" s="6">
        <v>0</v>
      </c>
      <c r="O229" s="6">
        <v>1</v>
      </c>
      <c r="P229" s="6">
        <v>1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5">
        <f>SUM(E229:AA229)</f>
        <v>6</v>
      </c>
      <c r="AC229" s="1"/>
      <c r="AD229" s="1"/>
    </row>
    <row r="230" spans="1:30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50"/>
      <c r="AC230" s="28"/>
      <c r="AD230" s="28"/>
    </row>
    <row r="231" spans="1:30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50"/>
      <c r="AC231" s="20"/>
      <c r="AD231" s="20"/>
    </row>
    <row r="232" spans="1:30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50"/>
      <c r="AC232" s="20"/>
      <c r="AD232" s="20"/>
    </row>
    <row r="233" spans="1:30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50"/>
      <c r="AC233" s="20"/>
      <c r="AD233" s="20"/>
    </row>
    <row r="234" spans="1:30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50"/>
      <c r="AC234" s="20"/>
      <c r="AD234" s="20"/>
    </row>
    <row r="235" spans="1:30" x14ac:dyDescent="0.3">
      <c r="A235" s="6" t="s">
        <v>26</v>
      </c>
      <c r="B235" s="69" t="s">
        <v>51</v>
      </c>
      <c r="C235" s="70"/>
      <c r="D235" s="71"/>
      <c r="E235" s="5">
        <f>SUM(E225:E234)</f>
        <v>3</v>
      </c>
      <c r="F235" s="5">
        <f t="shared" ref="F235:AB235" si="36">SUM(F225:F234)</f>
        <v>1</v>
      </c>
      <c r="G235" s="5">
        <f t="shared" si="36"/>
        <v>1</v>
      </c>
      <c r="H235" s="5">
        <f t="shared" si="36"/>
        <v>2</v>
      </c>
      <c r="I235" s="5">
        <f t="shared" si="36"/>
        <v>6</v>
      </c>
      <c r="J235" s="5">
        <f t="shared" si="36"/>
        <v>0</v>
      </c>
      <c r="K235" s="5">
        <f t="shared" si="36"/>
        <v>6</v>
      </c>
      <c r="L235" s="5">
        <f t="shared" si="36"/>
        <v>2</v>
      </c>
      <c r="M235" s="5">
        <f t="shared" si="36"/>
        <v>4</v>
      </c>
      <c r="N235" s="5">
        <f t="shared" si="36"/>
        <v>2</v>
      </c>
      <c r="O235" s="5">
        <f t="shared" si="36"/>
        <v>1</v>
      </c>
      <c r="P235" s="5">
        <f t="shared" si="36"/>
        <v>2</v>
      </c>
      <c r="Q235" s="5">
        <f t="shared" si="36"/>
        <v>1</v>
      </c>
      <c r="R235" s="5">
        <f t="shared" si="36"/>
        <v>0</v>
      </c>
      <c r="S235" s="5">
        <f t="shared" si="36"/>
        <v>2</v>
      </c>
      <c r="T235" s="5">
        <f t="shared" si="36"/>
        <v>1</v>
      </c>
      <c r="U235" s="5">
        <f t="shared" si="36"/>
        <v>0</v>
      </c>
      <c r="V235" s="5">
        <f t="shared" si="36"/>
        <v>1</v>
      </c>
      <c r="W235" s="5">
        <f t="shared" si="36"/>
        <v>1</v>
      </c>
      <c r="X235" s="5">
        <f t="shared" si="36"/>
        <v>1</v>
      </c>
      <c r="Y235" s="5">
        <f t="shared" si="36"/>
        <v>3</v>
      </c>
      <c r="Z235" s="5">
        <f t="shared" si="36"/>
        <v>0</v>
      </c>
      <c r="AA235" s="5">
        <f t="shared" si="36"/>
        <v>3</v>
      </c>
      <c r="AB235" s="5">
        <f t="shared" si="36"/>
        <v>43</v>
      </c>
      <c r="AC235" s="20"/>
      <c r="AD235" s="20"/>
    </row>
    <row r="236" spans="1:30" x14ac:dyDescent="0.3">
      <c r="A236" s="77"/>
      <c r="B236" s="78"/>
      <c r="C236" s="78"/>
      <c r="D236" s="78"/>
      <c r="E236" s="7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20"/>
      <c r="AD236" s="20"/>
    </row>
    <row r="237" spans="1:30" x14ac:dyDescent="0.3">
      <c r="A237" s="11" t="s">
        <v>48</v>
      </c>
      <c r="B237" s="17" t="s">
        <v>79</v>
      </c>
      <c r="C237" s="75" t="s">
        <v>80</v>
      </c>
      <c r="D237" s="76"/>
      <c r="E237" s="6">
        <v>1</v>
      </c>
      <c r="F237" s="6">
        <v>0</v>
      </c>
      <c r="G237" s="6">
        <v>0</v>
      </c>
      <c r="H237" s="6">
        <v>0</v>
      </c>
      <c r="I237" s="6">
        <v>2</v>
      </c>
      <c r="J237" s="6">
        <v>0</v>
      </c>
      <c r="K237" s="6">
        <v>0</v>
      </c>
      <c r="L237" s="6">
        <v>1</v>
      </c>
      <c r="M237" s="6">
        <v>1</v>
      </c>
      <c r="N237" s="6">
        <v>1</v>
      </c>
      <c r="O237" s="6">
        <v>0</v>
      </c>
      <c r="P237" s="6">
        <v>2</v>
      </c>
      <c r="Q237" s="6">
        <v>0</v>
      </c>
      <c r="R237" s="6">
        <v>0</v>
      </c>
      <c r="S237" s="6">
        <v>7</v>
      </c>
      <c r="T237" s="6">
        <v>5</v>
      </c>
      <c r="U237" s="6">
        <v>2</v>
      </c>
      <c r="V237" s="6">
        <v>1</v>
      </c>
      <c r="W237" s="6">
        <v>0</v>
      </c>
      <c r="X237" s="6">
        <v>0</v>
      </c>
      <c r="Y237" s="6">
        <v>0</v>
      </c>
      <c r="Z237" s="6">
        <v>2</v>
      </c>
      <c r="AA237" s="6">
        <v>0</v>
      </c>
      <c r="AB237" s="5">
        <f>SUM(E237:AA237)</f>
        <v>25</v>
      </c>
      <c r="AC237" s="20"/>
      <c r="AD237" s="20"/>
    </row>
    <row r="238" spans="1:30" x14ac:dyDescent="0.3">
      <c r="A238" s="11" t="s">
        <v>50</v>
      </c>
      <c r="B238" s="54"/>
      <c r="C238" s="24" t="s">
        <v>228</v>
      </c>
      <c r="D238" s="51"/>
      <c r="E238" s="6">
        <v>0</v>
      </c>
      <c r="F238" s="6">
        <v>1</v>
      </c>
      <c r="G238" s="6">
        <v>0</v>
      </c>
      <c r="H238" s="6">
        <v>1</v>
      </c>
      <c r="I238" s="6">
        <v>0</v>
      </c>
      <c r="J238" s="6">
        <v>0</v>
      </c>
      <c r="K238" s="6">
        <v>0</v>
      </c>
      <c r="L238" s="6">
        <v>3</v>
      </c>
      <c r="M238" s="6">
        <v>0</v>
      </c>
      <c r="N238" s="6">
        <v>0</v>
      </c>
      <c r="O238" s="6">
        <v>2</v>
      </c>
      <c r="P238" s="6">
        <v>1</v>
      </c>
      <c r="Q238" s="6">
        <v>0</v>
      </c>
      <c r="R238" s="6">
        <v>0</v>
      </c>
      <c r="S238" s="6">
        <v>3</v>
      </c>
      <c r="T238" s="6">
        <v>3</v>
      </c>
      <c r="U238" s="6">
        <v>1</v>
      </c>
      <c r="V238" s="6">
        <v>0</v>
      </c>
      <c r="W238" s="6">
        <v>0</v>
      </c>
      <c r="X238" s="6">
        <v>0</v>
      </c>
      <c r="Y238" s="6">
        <v>0</v>
      </c>
      <c r="Z238" s="6">
        <v>3</v>
      </c>
      <c r="AA238" s="6">
        <v>0</v>
      </c>
      <c r="AB238" s="5">
        <f t="shared" ref="AB237:AB247" si="37">SUM(E238:AA238)</f>
        <v>18</v>
      </c>
      <c r="AC238" s="20"/>
      <c r="AD238" s="20"/>
    </row>
    <row r="239" spans="1:30" x14ac:dyDescent="0.3">
      <c r="A239" s="7"/>
      <c r="B239" s="54"/>
      <c r="C239" s="24" t="s">
        <v>229</v>
      </c>
      <c r="D239" s="51"/>
      <c r="E239" s="6">
        <v>0</v>
      </c>
      <c r="F239" s="6">
        <v>1</v>
      </c>
      <c r="G239" s="6">
        <v>1</v>
      </c>
      <c r="H239" s="6">
        <v>0</v>
      </c>
      <c r="I239" s="6">
        <v>0</v>
      </c>
      <c r="J239" s="6">
        <v>1</v>
      </c>
      <c r="K239" s="6">
        <v>0</v>
      </c>
      <c r="L239" s="6">
        <v>1</v>
      </c>
      <c r="M239" s="6">
        <v>0</v>
      </c>
      <c r="N239" s="6">
        <v>0</v>
      </c>
      <c r="O239" s="6">
        <v>0</v>
      </c>
      <c r="P239" s="6">
        <v>1</v>
      </c>
      <c r="Q239" s="6">
        <v>0</v>
      </c>
      <c r="R239" s="6">
        <v>0</v>
      </c>
      <c r="S239" s="6">
        <v>0</v>
      </c>
      <c r="T239" s="6">
        <v>2</v>
      </c>
      <c r="U239" s="6">
        <v>2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5">
        <f t="shared" si="37"/>
        <v>9</v>
      </c>
      <c r="AC239" s="20"/>
      <c r="AD239" s="20"/>
    </row>
    <row r="240" spans="1:30" ht="13.15" customHeight="1" x14ac:dyDescent="0.3">
      <c r="A240" s="7"/>
      <c r="B240" s="54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1</v>
      </c>
      <c r="P240" s="6">
        <v>0</v>
      </c>
      <c r="Q240" s="6">
        <v>0</v>
      </c>
      <c r="R240" s="6">
        <v>0</v>
      </c>
      <c r="S240" s="6">
        <v>2</v>
      </c>
      <c r="T240" s="6">
        <v>1</v>
      </c>
      <c r="U240" s="6">
        <v>0</v>
      </c>
      <c r="V240" s="6">
        <v>0</v>
      </c>
      <c r="W240" s="6">
        <v>0</v>
      </c>
      <c r="X240" s="6">
        <v>1</v>
      </c>
      <c r="Y240" s="6">
        <v>0</v>
      </c>
      <c r="Z240" s="6">
        <v>0</v>
      </c>
      <c r="AA240" s="6">
        <v>0</v>
      </c>
      <c r="AB240" s="5">
        <f t="shared" si="37"/>
        <v>5</v>
      </c>
      <c r="AC240" s="1"/>
      <c r="AD240" s="1"/>
    </row>
    <row r="241" spans="1:28" x14ac:dyDescent="0.3">
      <c r="A241" s="7"/>
      <c r="B241" s="54"/>
      <c r="C241" s="24" t="s">
        <v>231</v>
      </c>
      <c r="D241" s="51"/>
      <c r="E241" s="6">
        <v>0</v>
      </c>
      <c r="F241" s="6">
        <v>0</v>
      </c>
      <c r="G241" s="6">
        <v>0</v>
      </c>
      <c r="H241" s="6">
        <v>1</v>
      </c>
      <c r="I241" s="6">
        <v>0</v>
      </c>
      <c r="J241" s="6">
        <v>0</v>
      </c>
      <c r="K241" s="6">
        <v>0</v>
      </c>
      <c r="L241" s="6">
        <v>1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1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5">
        <f t="shared" si="37"/>
        <v>3</v>
      </c>
    </row>
    <row r="242" spans="1:28" ht="12.75" customHeight="1" x14ac:dyDescent="0.3">
      <c r="A242" s="7"/>
      <c r="B242" s="54"/>
      <c r="C242" s="24" t="s">
        <v>232</v>
      </c>
      <c r="D242" s="51"/>
      <c r="E242" s="6">
        <v>1</v>
      </c>
      <c r="F242" s="6">
        <v>2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1</v>
      </c>
      <c r="T242" s="6">
        <v>0</v>
      </c>
      <c r="U242" s="6">
        <v>2</v>
      </c>
      <c r="V242" s="6">
        <v>0</v>
      </c>
      <c r="W242" s="6">
        <v>1</v>
      </c>
      <c r="X242" s="6">
        <v>0</v>
      </c>
      <c r="Y242" s="6">
        <v>0</v>
      </c>
      <c r="Z242" s="6">
        <v>0</v>
      </c>
      <c r="AA242" s="6">
        <v>0</v>
      </c>
      <c r="AB242" s="5">
        <f t="shared" si="37"/>
        <v>7</v>
      </c>
    </row>
    <row r="243" spans="1:28" x14ac:dyDescent="0.3">
      <c r="A243" s="7"/>
      <c r="B243" s="54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2</v>
      </c>
      <c r="T243" s="6">
        <v>1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5">
        <f t="shared" si="37"/>
        <v>4</v>
      </c>
    </row>
    <row r="244" spans="1:28" x14ac:dyDescent="0.3">
      <c r="A244" s="7"/>
      <c r="B244" s="54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1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5">
        <f t="shared" si="37"/>
        <v>1</v>
      </c>
    </row>
    <row r="245" spans="1:28" x14ac:dyDescent="0.3">
      <c r="A245" s="7"/>
      <c r="B245" s="54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1</v>
      </c>
      <c r="Q245" s="6">
        <v>0</v>
      </c>
      <c r="R245" s="6">
        <v>0</v>
      </c>
      <c r="S245" s="6">
        <v>0</v>
      </c>
      <c r="T245" s="6">
        <v>0</v>
      </c>
      <c r="U245" s="6">
        <v>1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5">
        <f t="shared" si="37"/>
        <v>2</v>
      </c>
    </row>
    <row r="246" spans="1:28" x14ac:dyDescent="0.3">
      <c r="A246" s="7"/>
      <c r="B246" s="54"/>
      <c r="C246" s="24" t="s">
        <v>236</v>
      </c>
      <c r="D246" s="51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1</v>
      </c>
      <c r="N246" s="6">
        <v>0</v>
      </c>
      <c r="O246" s="6">
        <v>0</v>
      </c>
      <c r="P246" s="6">
        <v>1</v>
      </c>
      <c r="Q246" s="6">
        <v>0</v>
      </c>
      <c r="R246" s="6">
        <v>0</v>
      </c>
      <c r="S246" s="6">
        <v>1</v>
      </c>
      <c r="T246" s="6">
        <v>0</v>
      </c>
      <c r="U246" s="6">
        <v>1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5">
        <f t="shared" si="37"/>
        <v>4</v>
      </c>
    </row>
    <row r="247" spans="1:28" ht="12.75" customHeight="1" x14ac:dyDescent="0.3">
      <c r="A247" s="6" t="s">
        <v>26</v>
      </c>
      <c r="B247" s="69" t="s">
        <v>51</v>
      </c>
      <c r="C247" s="70"/>
      <c r="D247" s="71"/>
      <c r="E247" s="5">
        <f>SUM(E237:E246)</f>
        <v>2</v>
      </c>
      <c r="F247" s="5">
        <f t="shared" ref="F247:AB247" si="38">SUM(F237:F246)</f>
        <v>4</v>
      </c>
      <c r="G247" s="5">
        <f t="shared" si="38"/>
        <v>1</v>
      </c>
      <c r="H247" s="5">
        <f t="shared" si="38"/>
        <v>2</v>
      </c>
      <c r="I247" s="5">
        <f t="shared" si="38"/>
        <v>2</v>
      </c>
      <c r="J247" s="5">
        <f t="shared" si="38"/>
        <v>3</v>
      </c>
      <c r="K247" s="5">
        <f t="shared" si="38"/>
        <v>0</v>
      </c>
      <c r="L247" s="5">
        <f t="shared" si="38"/>
        <v>6</v>
      </c>
      <c r="M247" s="5">
        <f t="shared" si="38"/>
        <v>2</v>
      </c>
      <c r="N247" s="5">
        <f t="shared" si="38"/>
        <v>1</v>
      </c>
      <c r="O247" s="5">
        <f t="shared" si="38"/>
        <v>3</v>
      </c>
      <c r="P247" s="5">
        <f t="shared" si="38"/>
        <v>6</v>
      </c>
      <c r="Q247" s="5">
        <f t="shared" si="38"/>
        <v>0</v>
      </c>
      <c r="R247" s="5">
        <f t="shared" si="38"/>
        <v>0</v>
      </c>
      <c r="S247" s="5">
        <f t="shared" si="38"/>
        <v>16</v>
      </c>
      <c r="T247" s="5">
        <f t="shared" si="38"/>
        <v>13</v>
      </c>
      <c r="U247" s="5">
        <f t="shared" si="38"/>
        <v>9</v>
      </c>
      <c r="V247" s="5">
        <f t="shared" si="38"/>
        <v>1</v>
      </c>
      <c r="W247" s="5">
        <f t="shared" si="38"/>
        <v>1</v>
      </c>
      <c r="X247" s="5">
        <f t="shared" si="38"/>
        <v>1</v>
      </c>
      <c r="Y247" s="5">
        <f t="shared" si="38"/>
        <v>0</v>
      </c>
      <c r="Z247" s="5">
        <f t="shared" si="38"/>
        <v>5</v>
      </c>
      <c r="AA247" s="5">
        <f t="shared" si="38"/>
        <v>0</v>
      </c>
      <c r="AB247" s="5">
        <f t="shared" si="38"/>
        <v>78</v>
      </c>
    </row>
    <row r="248" spans="1:28" x14ac:dyDescent="0.3">
      <c r="A248" s="77"/>
      <c r="B248" s="78"/>
      <c r="C248" s="78"/>
      <c r="D248" s="78"/>
      <c r="E248" s="79"/>
    </row>
    <row r="249" spans="1:28" x14ac:dyDescent="0.3">
      <c r="A249" s="11" t="s">
        <v>48</v>
      </c>
      <c r="B249" s="17" t="s">
        <v>81</v>
      </c>
      <c r="C249" s="75" t="s">
        <v>82</v>
      </c>
      <c r="D249" s="76"/>
      <c r="E249" s="6">
        <v>1</v>
      </c>
      <c r="F249" s="6">
        <v>0</v>
      </c>
      <c r="G249" s="6">
        <v>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1</v>
      </c>
      <c r="P249" s="6">
        <v>0</v>
      </c>
      <c r="Q249" s="6">
        <v>0</v>
      </c>
      <c r="R249" s="6">
        <v>2</v>
      </c>
      <c r="S249" s="6">
        <v>1</v>
      </c>
      <c r="T249" s="6">
        <v>1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5">
        <f>SUM(E249:AA249)</f>
        <v>8</v>
      </c>
    </row>
    <row r="250" spans="1:28" x14ac:dyDescent="0.3">
      <c r="A250" s="11" t="s">
        <v>50</v>
      </c>
      <c r="B250" s="54"/>
      <c r="C250" s="24" t="s">
        <v>237</v>
      </c>
      <c r="D250" s="51"/>
      <c r="E250" s="6">
        <v>0</v>
      </c>
      <c r="F250" s="6">
        <v>2</v>
      </c>
      <c r="G250" s="6">
        <v>9</v>
      </c>
      <c r="H250" s="6">
        <v>1</v>
      </c>
      <c r="I250" s="6">
        <v>1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3</v>
      </c>
      <c r="Q250" s="6">
        <v>0</v>
      </c>
      <c r="R250" s="6">
        <v>1</v>
      </c>
      <c r="S250" s="6">
        <v>4</v>
      </c>
      <c r="T250" s="6">
        <v>1</v>
      </c>
      <c r="U250" s="6">
        <v>0</v>
      </c>
      <c r="V250" s="6">
        <v>0</v>
      </c>
      <c r="W250" s="6">
        <v>0</v>
      </c>
      <c r="X250" s="6">
        <v>1</v>
      </c>
      <c r="Y250" s="6">
        <v>1</v>
      </c>
      <c r="Z250" s="6">
        <v>5</v>
      </c>
      <c r="AA250" s="6">
        <v>5</v>
      </c>
      <c r="AB250" s="5">
        <f>SUM(E250:AA250)</f>
        <v>34</v>
      </c>
    </row>
    <row r="251" spans="1:28" x14ac:dyDescent="0.3">
      <c r="A251" s="7"/>
      <c r="B251" s="54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1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5">
        <f>SUM(E251:AA251)</f>
        <v>1</v>
      </c>
    </row>
    <row r="252" spans="1:28" x14ac:dyDescent="0.3">
      <c r="A252" s="7"/>
      <c r="B252" s="54"/>
      <c r="C252" s="24" t="s">
        <v>239</v>
      </c>
      <c r="D252" s="51"/>
      <c r="E252" s="6">
        <v>0</v>
      </c>
      <c r="F252" s="6">
        <v>0</v>
      </c>
      <c r="G252" s="6">
        <v>1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3</v>
      </c>
      <c r="S252" s="6">
        <v>9</v>
      </c>
      <c r="T252" s="6">
        <v>2</v>
      </c>
      <c r="U252" s="6">
        <v>2</v>
      </c>
      <c r="V252" s="6">
        <v>2</v>
      </c>
      <c r="W252" s="6">
        <v>0</v>
      </c>
      <c r="X252" s="6">
        <v>0</v>
      </c>
      <c r="Y252" s="6">
        <v>0</v>
      </c>
      <c r="Z252" s="6">
        <v>1</v>
      </c>
      <c r="AA252" s="6">
        <v>0</v>
      </c>
      <c r="AB252" s="5">
        <f>SUM(E252:AA252)</f>
        <v>20</v>
      </c>
    </row>
    <row r="253" spans="1:28" x14ac:dyDescent="0.3">
      <c r="A253" s="7"/>
      <c r="B253" s="46"/>
      <c r="C253" s="66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50"/>
    </row>
    <row r="254" spans="1:28" x14ac:dyDescent="0.3">
      <c r="A254" s="7"/>
      <c r="B254" s="46"/>
      <c r="C254" s="66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50"/>
    </row>
    <row r="255" spans="1:28" x14ac:dyDescent="0.3">
      <c r="A255" s="7"/>
      <c r="B255" s="46"/>
      <c r="C255" s="66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50"/>
    </row>
    <row r="256" spans="1:28" x14ac:dyDescent="0.3">
      <c r="A256" s="7"/>
      <c r="B256" s="46"/>
      <c r="C256" s="66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50"/>
    </row>
    <row r="257" spans="1:28" x14ac:dyDescent="0.3">
      <c r="A257" s="7"/>
      <c r="B257" s="46"/>
      <c r="C257" s="66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50"/>
    </row>
    <row r="258" spans="1:28" x14ac:dyDescent="0.3">
      <c r="A258" s="7"/>
      <c r="B258" s="46"/>
      <c r="C258" s="66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50"/>
    </row>
    <row r="259" spans="1:28" x14ac:dyDescent="0.3">
      <c r="A259" s="6" t="s">
        <v>26</v>
      </c>
      <c r="B259" s="69" t="s">
        <v>51</v>
      </c>
      <c r="C259" s="70"/>
      <c r="D259" s="71"/>
      <c r="E259" s="5">
        <f>SUM(E249:E258)</f>
        <v>1</v>
      </c>
      <c r="F259" s="5">
        <f t="shared" ref="F259:AB259" si="39">SUM(F249:F258)</f>
        <v>2</v>
      </c>
      <c r="G259" s="5">
        <f t="shared" si="39"/>
        <v>11</v>
      </c>
      <c r="H259" s="5">
        <f t="shared" si="39"/>
        <v>1</v>
      </c>
      <c r="I259" s="5">
        <f t="shared" si="39"/>
        <v>1</v>
      </c>
      <c r="J259" s="5">
        <f t="shared" si="39"/>
        <v>0</v>
      </c>
      <c r="K259" s="5">
        <f t="shared" si="39"/>
        <v>1</v>
      </c>
      <c r="L259" s="5">
        <f t="shared" si="39"/>
        <v>0</v>
      </c>
      <c r="M259" s="5">
        <f t="shared" si="39"/>
        <v>1</v>
      </c>
      <c r="N259" s="5">
        <f t="shared" si="39"/>
        <v>0</v>
      </c>
      <c r="O259" s="5">
        <f t="shared" si="39"/>
        <v>1</v>
      </c>
      <c r="P259" s="5">
        <f t="shared" si="39"/>
        <v>3</v>
      </c>
      <c r="Q259" s="5">
        <f t="shared" si="39"/>
        <v>0</v>
      </c>
      <c r="R259" s="5">
        <f t="shared" si="39"/>
        <v>6</v>
      </c>
      <c r="S259" s="5">
        <f t="shared" si="39"/>
        <v>14</v>
      </c>
      <c r="T259" s="5">
        <f t="shared" si="39"/>
        <v>4</v>
      </c>
      <c r="U259" s="5">
        <f t="shared" si="39"/>
        <v>2</v>
      </c>
      <c r="V259" s="5">
        <f t="shared" si="39"/>
        <v>2</v>
      </c>
      <c r="W259" s="5">
        <f t="shared" si="39"/>
        <v>0</v>
      </c>
      <c r="X259" s="5">
        <f t="shared" si="39"/>
        <v>1</v>
      </c>
      <c r="Y259" s="5">
        <f t="shared" si="39"/>
        <v>1</v>
      </c>
      <c r="Z259" s="5">
        <f t="shared" si="39"/>
        <v>6</v>
      </c>
      <c r="AA259" s="5">
        <f t="shared" si="39"/>
        <v>5</v>
      </c>
      <c r="AB259" s="5">
        <f t="shared" si="39"/>
        <v>63</v>
      </c>
    </row>
    <row r="261" spans="1:28" x14ac:dyDescent="0.3">
      <c r="A261" s="16" t="s">
        <v>83</v>
      </c>
      <c r="B261" s="72" t="s">
        <v>84</v>
      </c>
      <c r="C261" s="73"/>
      <c r="D261" s="74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5"/>
    </row>
    <row r="262" spans="1:28" x14ac:dyDescent="0.3">
      <c r="A262" s="16"/>
      <c r="B262" s="19" t="s">
        <v>85</v>
      </c>
      <c r="C262" s="67" t="s">
        <v>86</v>
      </c>
      <c r="D262" s="68"/>
      <c r="E262" s="6">
        <f>E55+E67+E79+E91+E103+E115+E127+E139+E151+E163+E175+E187+E199+E211+E223+E235+E247+E259</f>
        <v>190</v>
      </c>
      <c r="F262" s="6">
        <f t="shared" ref="F262:AA262" si="40">F55+F67+F79+F91+F103+F115+F127+F139+F151+F163+F175+F187+F199+F211+F223+F235+F247+F259</f>
        <v>198</v>
      </c>
      <c r="G262" s="6">
        <f t="shared" si="40"/>
        <v>185</v>
      </c>
      <c r="H262" s="6">
        <f t="shared" si="40"/>
        <v>194</v>
      </c>
      <c r="I262" s="6">
        <f t="shared" si="40"/>
        <v>215</v>
      </c>
      <c r="J262" s="6">
        <f t="shared" si="40"/>
        <v>199</v>
      </c>
      <c r="K262" s="6">
        <f t="shared" si="40"/>
        <v>165</v>
      </c>
      <c r="L262" s="6">
        <f t="shared" si="40"/>
        <v>190</v>
      </c>
      <c r="M262" s="6">
        <f t="shared" si="40"/>
        <v>184</v>
      </c>
      <c r="N262" s="6">
        <f t="shared" si="40"/>
        <v>175</v>
      </c>
      <c r="O262" s="6">
        <f t="shared" si="40"/>
        <v>191</v>
      </c>
      <c r="P262" s="6">
        <f t="shared" si="40"/>
        <v>183</v>
      </c>
      <c r="Q262" s="6">
        <f t="shared" si="40"/>
        <v>148</v>
      </c>
      <c r="R262" s="6">
        <f t="shared" si="40"/>
        <v>192</v>
      </c>
      <c r="S262" s="6">
        <f t="shared" si="40"/>
        <v>208</v>
      </c>
      <c r="T262" s="6">
        <f t="shared" si="40"/>
        <v>206</v>
      </c>
      <c r="U262" s="6">
        <f t="shared" si="40"/>
        <v>169</v>
      </c>
      <c r="V262" s="6">
        <f t="shared" si="40"/>
        <v>164</v>
      </c>
      <c r="W262" s="6">
        <f t="shared" si="40"/>
        <v>160</v>
      </c>
      <c r="X262" s="6">
        <f t="shared" si="40"/>
        <v>182</v>
      </c>
      <c r="Y262" s="6">
        <f t="shared" si="40"/>
        <v>197</v>
      </c>
      <c r="Z262" s="6">
        <f t="shared" si="40"/>
        <v>198</v>
      </c>
      <c r="AA262" s="6">
        <f t="shared" si="40"/>
        <v>194</v>
      </c>
      <c r="AB262" s="5">
        <f>SUM(E262:AA262)</f>
        <v>4287</v>
      </c>
    </row>
    <row r="263" spans="1:28" x14ac:dyDescent="0.3">
      <c r="A263" s="13"/>
      <c r="B263" s="19" t="s">
        <v>87</v>
      </c>
      <c r="C263" s="67" t="s">
        <v>88</v>
      </c>
      <c r="D263" s="68"/>
      <c r="E263" s="6">
        <v>17</v>
      </c>
      <c r="F263" s="6">
        <v>35</v>
      </c>
      <c r="G263" s="6">
        <v>29</v>
      </c>
      <c r="H263" s="6">
        <v>68</v>
      </c>
      <c r="I263" s="6">
        <v>11</v>
      </c>
      <c r="J263" s="6">
        <v>26</v>
      </c>
      <c r="K263" s="6">
        <v>21</v>
      </c>
      <c r="L263" s="6">
        <v>20</v>
      </c>
      <c r="M263" s="6">
        <v>31</v>
      </c>
      <c r="N263" s="6">
        <v>20</v>
      </c>
      <c r="O263" s="6">
        <v>35</v>
      </c>
      <c r="P263" s="6">
        <v>27</v>
      </c>
      <c r="Q263" s="6">
        <v>55</v>
      </c>
      <c r="R263" s="6">
        <v>13</v>
      </c>
      <c r="S263" s="6">
        <v>23</v>
      </c>
      <c r="T263" s="6">
        <v>12</v>
      </c>
      <c r="U263" s="6">
        <v>26</v>
      </c>
      <c r="V263" s="6">
        <v>11</v>
      </c>
      <c r="W263" s="6">
        <v>19</v>
      </c>
      <c r="X263" s="6">
        <v>22</v>
      </c>
      <c r="Y263" s="6">
        <v>26</v>
      </c>
      <c r="Z263" s="6">
        <v>32</v>
      </c>
      <c r="AA263" s="6">
        <v>20</v>
      </c>
      <c r="AB263" s="5">
        <f>SUM(E263:AA263)</f>
        <v>599</v>
      </c>
    </row>
    <row r="264" spans="1:28" x14ac:dyDescent="0.3">
      <c r="A264" s="14"/>
      <c r="B264" s="19" t="s">
        <v>89</v>
      </c>
      <c r="C264" s="67" t="s">
        <v>90</v>
      </c>
      <c r="D264" s="68"/>
      <c r="E264" s="5">
        <f>SUM(E262:E263)</f>
        <v>207</v>
      </c>
      <c r="F264" s="5">
        <f t="shared" ref="F264:AA264" si="41">SUM(F262:F263)</f>
        <v>233</v>
      </c>
      <c r="G264" s="5">
        <f t="shared" si="41"/>
        <v>214</v>
      </c>
      <c r="H264" s="5">
        <f t="shared" si="41"/>
        <v>262</v>
      </c>
      <c r="I264" s="5">
        <f t="shared" si="41"/>
        <v>226</v>
      </c>
      <c r="J264" s="5">
        <f t="shared" si="41"/>
        <v>225</v>
      </c>
      <c r="K264" s="5">
        <f t="shared" si="41"/>
        <v>186</v>
      </c>
      <c r="L264" s="5">
        <f t="shared" si="41"/>
        <v>210</v>
      </c>
      <c r="M264" s="5">
        <f t="shared" si="41"/>
        <v>215</v>
      </c>
      <c r="N264" s="5">
        <f t="shared" si="41"/>
        <v>195</v>
      </c>
      <c r="O264" s="5">
        <f t="shared" si="41"/>
        <v>226</v>
      </c>
      <c r="P264" s="5">
        <f t="shared" si="41"/>
        <v>210</v>
      </c>
      <c r="Q264" s="5">
        <f t="shared" si="41"/>
        <v>203</v>
      </c>
      <c r="R264" s="5">
        <f t="shared" si="41"/>
        <v>205</v>
      </c>
      <c r="S264" s="5">
        <f t="shared" si="41"/>
        <v>231</v>
      </c>
      <c r="T264" s="5">
        <f t="shared" si="41"/>
        <v>218</v>
      </c>
      <c r="U264" s="5">
        <f t="shared" si="41"/>
        <v>195</v>
      </c>
      <c r="V264" s="5">
        <f t="shared" si="41"/>
        <v>175</v>
      </c>
      <c r="W264" s="5">
        <f t="shared" si="41"/>
        <v>179</v>
      </c>
      <c r="X264" s="5">
        <f t="shared" si="41"/>
        <v>204</v>
      </c>
      <c r="Y264" s="5">
        <f t="shared" si="41"/>
        <v>223</v>
      </c>
      <c r="Z264" s="5">
        <f t="shared" si="41"/>
        <v>230</v>
      </c>
      <c r="AA264" s="5">
        <f t="shared" si="41"/>
        <v>214</v>
      </c>
      <c r="AB264" s="5">
        <f>SUM(E264:AA264)</f>
        <v>4886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A12"/>
    <mergeCell ref="AB12:AB13"/>
    <mergeCell ref="B13:D13"/>
    <mergeCell ref="B14:C16"/>
  </mergeCells>
  <conditionalFormatting sqref="E34:T34">
    <cfRule type="expression" dxfId="87" priority="29">
      <formula>E34&lt;&gt;E64</formula>
    </cfRule>
  </conditionalFormatting>
  <conditionalFormatting sqref="E14:AA15">
    <cfRule type="containsBlanks" dxfId="86" priority="20">
      <formula>LEN(TRIM(E14))=0</formula>
    </cfRule>
  </conditionalFormatting>
  <conditionalFormatting sqref="E19:AA20">
    <cfRule type="containsBlanks" dxfId="85" priority="23">
      <formula>LEN(TRIM(E19))=0</formula>
    </cfRule>
  </conditionalFormatting>
  <conditionalFormatting sqref="E22:AA23 E25:AA26 E33:AA33 E35:AA35 E39:AA40">
    <cfRule type="containsBlanks" dxfId="84" priority="24">
      <formula>LEN(TRIM(E22))=0</formula>
    </cfRule>
  </conditionalFormatting>
  <conditionalFormatting sqref="E30:AA30">
    <cfRule type="expression" dxfId="83" priority="25">
      <formula>E30&lt;&gt;E47</formula>
    </cfRule>
    <cfRule type="expression" dxfId="82" priority="26">
      <formula>E30&lt;&gt;E34</formula>
    </cfRule>
  </conditionalFormatting>
  <conditionalFormatting sqref="E34:AA34">
    <cfRule type="expression" dxfId="81" priority="21">
      <formula>E30&lt;&gt;E34</formula>
    </cfRule>
    <cfRule type="expression" dxfId="80" priority="22">
      <formula>E30=E34</formula>
    </cfRule>
    <cfRule type="expression" dxfId="79" priority="27">
      <formula>E34&lt;&gt;E30</formula>
    </cfRule>
  </conditionalFormatting>
  <conditionalFormatting sqref="E45:AA54">
    <cfRule type="containsBlanks" dxfId="78" priority="19">
      <formula>LEN(TRIM(E45))=0</formula>
    </cfRule>
  </conditionalFormatting>
  <conditionalFormatting sqref="E57:AA66">
    <cfRule type="containsBlanks" dxfId="77" priority="18">
      <formula>LEN(TRIM(E57))=0</formula>
    </cfRule>
  </conditionalFormatting>
  <conditionalFormatting sqref="E69:AA78">
    <cfRule type="containsBlanks" dxfId="76" priority="17">
      <formula>LEN(TRIM(E69))=0</formula>
    </cfRule>
  </conditionalFormatting>
  <conditionalFormatting sqref="E81:AA90">
    <cfRule type="containsBlanks" dxfId="75" priority="16">
      <formula>LEN(TRIM(E81))=0</formula>
    </cfRule>
  </conditionalFormatting>
  <conditionalFormatting sqref="E93:AA102">
    <cfRule type="containsBlanks" dxfId="74" priority="15">
      <formula>LEN(TRIM(E93))=0</formula>
    </cfRule>
  </conditionalFormatting>
  <conditionalFormatting sqref="E105:AA114">
    <cfRule type="containsBlanks" dxfId="73" priority="14">
      <formula>LEN(TRIM(E105))=0</formula>
    </cfRule>
  </conditionalFormatting>
  <conditionalFormatting sqref="E117:AA126">
    <cfRule type="containsBlanks" dxfId="72" priority="1">
      <formula>LEN(TRIM(E117))=0</formula>
    </cfRule>
  </conditionalFormatting>
  <conditionalFormatting sqref="E129:AA138">
    <cfRule type="containsBlanks" dxfId="71" priority="13">
      <formula>LEN(TRIM(E129))=0</formula>
    </cfRule>
  </conditionalFormatting>
  <conditionalFormatting sqref="E141:AA150">
    <cfRule type="containsBlanks" dxfId="70" priority="12">
      <formula>LEN(TRIM(E141))=0</formula>
    </cfRule>
  </conditionalFormatting>
  <conditionalFormatting sqref="E153:AA162">
    <cfRule type="containsBlanks" dxfId="69" priority="3">
      <formula>LEN(TRIM(E153))=0</formula>
    </cfRule>
  </conditionalFormatting>
  <conditionalFormatting sqref="E165:AA174">
    <cfRule type="containsBlanks" dxfId="68" priority="11">
      <formula>LEN(TRIM(E165))=0</formula>
    </cfRule>
  </conditionalFormatting>
  <conditionalFormatting sqref="E177:AA186">
    <cfRule type="containsBlanks" dxfId="67" priority="10">
      <formula>LEN(TRIM(E177))=0</formula>
    </cfRule>
  </conditionalFormatting>
  <conditionalFormatting sqref="E189:AA198">
    <cfRule type="containsBlanks" dxfId="66" priority="9">
      <formula>LEN(TRIM(E189))=0</formula>
    </cfRule>
  </conditionalFormatting>
  <conditionalFormatting sqref="E201:AA210">
    <cfRule type="containsBlanks" dxfId="65" priority="8">
      <formula>LEN(TRIM(E201))=0</formula>
    </cfRule>
  </conditionalFormatting>
  <conditionalFormatting sqref="E213:AA222">
    <cfRule type="containsBlanks" dxfId="64" priority="7">
      <formula>LEN(TRIM(E213))=0</formula>
    </cfRule>
  </conditionalFormatting>
  <conditionalFormatting sqref="E225:AA234">
    <cfRule type="containsBlanks" dxfId="63" priority="6">
      <formula>LEN(TRIM(E225))=0</formula>
    </cfRule>
  </conditionalFormatting>
  <conditionalFormatting sqref="E237:AA246">
    <cfRule type="containsBlanks" dxfId="62" priority="5">
      <formula>LEN(TRIM(E237))=0</formula>
    </cfRule>
  </conditionalFormatting>
  <conditionalFormatting sqref="E249:AA258">
    <cfRule type="containsBlanks" dxfId="61" priority="4">
      <formula>LEN(TRIM(E249))=0</formula>
    </cfRule>
  </conditionalFormatting>
  <conditionalFormatting sqref="E262:AA263">
    <cfRule type="containsBlanks" dxfId="60" priority="2">
      <formula>LEN(TRIM(E262))=0</formula>
    </cfRule>
  </conditionalFormatting>
  <conditionalFormatting sqref="U34:AA34">
    <cfRule type="expression" dxfId="59" priority="28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FFC000"/>
  </sheetPr>
  <dimension ref="A2:Z264"/>
  <sheetViews>
    <sheetView topLeftCell="A245" zoomScale="70" zoomScaleNormal="70" workbookViewId="0">
      <selection activeCell="X263" sqref="X263"/>
    </sheetView>
  </sheetViews>
  <sheetFormatPr defaultRowHeight="13" x14ac:dyDescent="0.3"/>
  <cols>
    <col min="3" max="3" width="67.09765625" bestFit="1" customWidth="1"/>
    <col min="4" max="4" width="5.8984375" bestFit="1" customWidth="1"/>
    <col min="24" max="24" width="13.296875" customWidth="1"/>
  </cols>
  <sheetData>
    <row r="2" spans="1:24" x14ac:dyDescent="0.3">
      <c r="C2" s="44" t="s">
        <v>116</v>
      </c>
      <c r="D2" s="44" t="s">
        <v>240</v>
      </c>
    </row>
    <row r="3" spans="1:24" x14ac:dyDescent="0.3">
      <c r="C3" s="44" t="s">
        <v>117</v>
      </c>
      <c r="D3" s="44" t="s">
        <v>118</v>
      </c>
    </row>
    <row r="4" spans="1:24" x14ac:dyDescent="0.3">
      <c r="C4" s="44" t="s">
        <v>119</v>
      </c>
      <c r="D4" s="44" t="s">
        <v>120</v>
      </c>
    </row>
    <row r="5" spans="1:24" x14ac:dyDescent="0.3">
      <c r="C5" s="44"/>
      <c r="D5" s="44"/>
    </row>
    <row r="6" spans="1:24" x14ac:dyDescent="0.3">
      <c r="C6" s="44"/>
      <c r="D6" s="44"/>
    </row>
    <row r="7" spans="1:24" x14ac:dyDescent="0.3">
      <c r="C7" s="44"/>
      <c r="D7" s="44"/>
    </row>
    <row r="8" spans="1:24" x14ac:dyDescent="0.3">
      <c r="C8" s="44"/>
      <c r="D8" s="44"/>
    </row>
    <row r="9" spans="1:24" x14ac:dyDescent="0.3">
      <c r="C9" s="44" t="s">
        <v>121</v>
      </c>
      <c r="D9" s="44" t="s">
        <v>249</v>
      </c>
    </row>
    <row r="11" spans="1:24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4" x14ac:dyDescent="0.3">
      <c r="A12" s="5" t="s">
        <v>0</v>
      </c>
      <c r="B12" s="72" t="s">
        <v>1</v>
      </c>
      <c r="C12" s="85"/>
      <c r="D12" s="7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8" t="s">
        <v>115</v>
      </c>
    </row>
    <row r="13" spans="1:24" x14ac:dyDescent="0.3">
      <c r="A13" s="6" t="s">
        <v>2</v>
      </c>
      <c r="B13" s="93" t="s">
        <v>3</v>
      </c>
      <c r="C13" s="85"/>
      <c r="D13" s="7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109"/>
    </row>
    <row r="14" spans="1:24" x14ac:dyDescent="0.3">
      <c r="A14" s="7"/>
      <c r="B14" s="96" t="s">
        <v>22</v>
      </c>
      <c r="C14" s="84"/>
      <c r="D14" s="6" t="s">
        <v>23</v>
      </c>
      <c r="E14" s="6">
        <v>151</v>
      </c>
      <c r="F14" s="6">
        <v>137</v>
      </c>
      <c r="G14" s="6">
        <v>138</v>
      </c>
      <c r="H14" s="6">
        <v>147</v>
      </c>
      <c r="I14" s="6">
        <v>148</v>
      </c>
      <c r="J14" s="6">
        <v>147</v>
      </c>
      <c r="K14" s="6">
        <v>144</v>
      </c>
      <c r="L14" s="6">
        <v>126</v>
      </c>
      <c r="M14" s="6">
        <v>145</v>
      </c>
      <c r="N14" s="6">
        <v>153</v>
      </c>
      <c r="O14" s="6">
        <v>152</v>
      </c>
      <c r="P14" s="6">
        <v>108</v>
      </c>
      <c r="Q14" s="6">
        <v>139</v>
      </c>
      <c r="R14" s="6">
        <v>106</v>
      </c>
      <c r="S14" s="6">
        <v>135</v>
      </c>
      <c r="T14" s="6">
        <v>127</v>
      </c>
      <c r="U14" s="6">
        <v>101</v>
      </c>
      <c r="V14" s="6">
        <v>119</v>
      </c>
      <c r="W14" s="6">
        <v>119</v>
      </c>
      <c r="X14" s="5">
        <f>SUM(E14:W14)</f>
        <v>2542</v>
      </c>
    </row>
    <row r="15" spans="1:24" x14ac:dyDescent="0.3">
      <c r="A15" s="7"/>
      <c r="B15" s="97"/>
      <c r="C15" s="90"/>
      <c r="D15" s="6" t="s">
        <v>24</v>
      </c>
      <c r="E15" s="6">
        <v>142</v>
      </c>
      <c r="F15" s="6">
        <v>156</v>
      </c>
      <c r="G15" s="6">
        <v>150</v>
      </c>
      <c r="H15" s="6">
        <v>146</v>
      </c>
      <c r="I15" s="6">
        <v>136</v>
      </c>
      <c r="J15" s="6">
        <v>150</v>
      </c>
      <c r="K15" s="6">
        <v>151</v>
      </c>
      <c r="L15" s="6">
        <v>126</v>
      </c>
      <c r="M15" s="6">
        <v>148</v>
      </c>
      <c r="N15" s="6">
        <v>143</v>
      </c>
      <c r="O15" s="6">
        <v>134</v>
      </c>
      <c r="P15" s="6">
        <v>106</v>
      </c>
      <c r="Q15" s="6">
        <v>141</v>
      </c>
      <c r="R15" s="6">
        <v>110</v>
      </c>
      <c r="S15" s="6">
        <v>135</v>
      </c>
      <c r="T15" s="6">
        <v>140</v>
      </c>
      <c r="U15" s="6">
        <v>108</v>
      </c>
      <c r="V15" s="6">
        <v>110</v>
      </c>
      <c r="W15" s="6">
        <v>124</v>
      </c>
      <c r="X15" s="5">
        <f>SUM(E15:W15)</f>
        <v>2556</v>
      </c>
    </row>
    <row r="16" spans="1:24" x14ac:dyDescent="0.3">
      <c r="A16" s="8"/>
      <c r="B16" s="95"/>
      <c r="C16" s="91"/>
      <c r="D16" s="5" t="s">
        <v>25</v>
      </c>
      <c r="E16" s="5">
        <f t="shared" ref="E16:W16" si="0">SUM(E14:E15)</f>
        <v>293</v>
      </c>
      <c r="F16" s="5">
        <f t="shared" si="0"/>
        <v>293</v>
      </c>
      <c r="G16" s="5">
        <f t="shared" si="0"/>
        <v>288</v>
      </c>
      <c r="H16" s="5">
        <f t="shared" si="0"/>
        <v>293</v>
      </c>
      <c r="I16" s="5">
        <f t="shared" si="0"/>
        <v>284</v>
      </c>
      <c r="J16" s="5">
        <f t="shared" si="0"/>
        <v>297</v>
      </c>
      <c r="K16" s="5">
        <f t="shared" si="0"/>
        <v>295</v>
      </c>
      <c r="L16" s="5">
        <f t="shared" si="0"/>
        <v>252</v>
      </c>
      <c r="M16" s="5">
        <f t="shared" si="0"/>
        <v>293</v>
      </c>
      <c r="N16" s="5">
        <f t="shared" si="0"/>
        <v>296</v>
      </c>
      <c r="O16" s="5">
        <f t="shared" si="0"/>
        <v>286</v>
      </c>
      <c r="P16" s="5">
        <f t="shared" si="0"/>
        <v>214</v>
      </c>
      <c r="Q16" s="5">
        <f t="shared" si="0"/>
        <v>280</v>
      </c>
      <c r="R16" s="5">
        <f t="shared" si="0"/>
        <v>216</v>
      </c>
      <c r="S16" s="5">
        <f t="shared" si="0"/>
        <v>270</v>
      </c>
      <c r="T16" s="5">
        <f t="shared" si="0"/>
        <v>267</v>
      </c>
      <c r="U16" s="5">
        <f t="shared" si="0"/>
        <v>209</v>
      </c>
      <c r="V16" s="5">
        <f t="shared" si="0"/>
        <v>229</v>
      </c>
      <c r="W16" s="5">
        <f t="shared" si="0"/>
        <v>243</v>
      </c>
      <c r="X16" s="5">
        <f>SUM(E16:W16)</f>
        <v>5098</v>
      </c>
    </row>
    <row r="17" spans="1:24" x14ac:dyDescent="0.3">
      <c r="A17" s="77"/>
      <c r="B17" s="85"/>
      <c r="C17" s="85"/>
      <c r="D17" s="7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29"/>
    </row>
    <row r="18" spans="1:24" x14ac:dyDescent="0.3">
      <c r="A18" s="11" t="s">
        <v>26</v>
      </c>
      <c r="B18" s="93" t="s">
        <v>27</v>
      </c>
      <c r="C18" s="85"/>
      <c r="D18" s="76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29"/>
    </row>
    <row r="19" spans="1:24" x14ac:dyDescent="0.3">
      <c r="A19" s="11"/>
      <c r="B19" s="98" t="s">
        <v>28</v>
      </c>
      <c r="C19" s="99" t="s">
        <v>29</v>
      </c>
      <c r="D19" s="6" t="s">
        <v>23</v>
      </c>
      <c r="E19" s="6">
        <v>112</v>
      </c>
      <c r="F19" s="6">
        <v>105</v>
      </c>
      <c r="G19" s="6">
        <v>106</v>
      </c>
      <c r="H19" s="6">
        <v>112</v>
      </c>
      <c r="I19" s="6">
        <v>104</v>
      </c>
      <c r="J19" s="6">
        <v>100</v>
      </c>
      <c r="K19" s="6">
        <v>104</v>
      </c>
      <c r="L19" s="6">
        <v>91</v>
      </c>
      <c r="M19" s="6">
        <v>119</v>
      </c>
      <c r="N19" s="6">
        <v>105</v>
      </c>
      <c r="O19" s="6">
        <v>108</v>
      </c>
      <c r="P19" s="6">
        <v>97</v>
      </c>
      <c r="Q19" s="6">
        <v>106</v>
      </c>
      <c r="R19" s="6">
        <v>74</v>
      </c>
      <c r="S19" s="6">
        <v>97</v>
      </c>
      <c r="T19" s="6">
        <v>98</v>
      </c>
      <c r="U19" s="6">
        <v>84</v>
      </c>
      <c r="V19" s="6">
        <v>89</v>
      </c>
      <c r="W19" s="6">
        <v>95</v>
      </c>
      <c r="X19" s="5">
        <f t="shared" ref="X19:X30" si="1">SUM(E19:W19)</f>
        <v>1906</v>
      </c>
    </row>
    <row r="20" spans="1:24" x14ac:dyDescent="0.3">
      <c r="A20" s="12"/>
      <c r="B20" s="90"/>
      <c r="C20" s="100"/>
      <c r="D20" s="6" t="s">
        <v>24</v>
      </c>
      <c r="E20" s="6">
        <v>106</v>
      </c>
      <c r="F20" s="6">
        <v>126</v>
      </c>
      <c r="G20" s="6">
        <v>126</v>
      </c>
      <c r="H20" s="6">
        <v>119</v>
      </c>
      <c r="I20" s="6">
        <v>106</v>
      </c>
      <c r="J20" s="6">
        <v>124</v>
      </c>
      <c r="K20" s="6">
        <v>119</v>
      </c>
      <c r="L20" s="6">
        <v>104</v>
      </c>
      <c r="M20" s="6">
        <v>111</v>
      </c>
      <c r="N20" s="6">
        <v>109</v>
      </c>
      <c r="O20" s="6">
        <v>95</v>
      </c>
      <c r="P20" s="6">
        <v>86</v>
      </c>
      <c r="Q20" s="6">
        <v>112</v>
      </c>
      <c r="R20" s="6">
        <v>77</v>
      </c>
      <c r="S20" s="6">
        <v>110</v>
      </c>
      <c r="T20" s="6">
        <v>107</v>
      </c>
      <c r="U20" s="6">
        <v>89</v>
      </c>
      <c r="V20" s="6">
        <v>87</v>
      </c>
      <c r="W20" s="6">
        <v>87</v>
      </c>
      <c r="X20" s="5">
        <f t="shared" si="1"/>
        <v>2000</v>
      </c>
    </row>
    <row r="21" spans="1:24" x14ac:dyDescent="0.3">
      <c r="A21" s="13"/>
      <c r="B21" s="91"/>
      <c r="C21" s="101"/>
      <c r="D21" s="5" t="s">
        <v>25</v>
      </c>
      <c r="E21" s="5">
        <f t="shared" ref="E21:W21" si="2">SUM(E19:E20)</f>
        <v>218</v>
      </c>
      <c r="F21" s="5">
        <f t="shared" si="2"/>
        <v>231</v>
      </c>
      <c r="G21" s="5">
        <f t="shared" si="2"/>
        <v>232</v>
      </c>
      <c r="H21" s="5">
        <f t="shared" si="2"/>
        <v>231</v>
      </c>
      <c r="I21" s="5">
        <f t="shared" si="2"/>
        <v>210</v>
      </c>
      <c r="J21" s="5">
        <f t="shared" si="2"/>
        <v>224</v>
      </c>
      <c r="K21" s="5">
        <f t="shared" si="2"/>
        <v>223</v>
      </c>
      <c r="L21" s="5">
        <f t="shared" si="2"/>
        <v>195</v>
      </c>
      <c r="M21" s="5">
        <f t="shared" si="2"/>
        <v>230</v>
      </c>
      <c r="N21" s="5">
        <f t="shared" si="2"/>
        <v>214</v>
      </c>
      <c r="O21" s="5">
        <f t="shared" si="2"/>
        <v>203</v>
      </c>
      <c r="P21" s="5">
        <f t="shared" si="2"/>
        <v>183</v>
      </c>
      <c r="Q21" s="5">
        <f t="shared" si="2"/>
        <v>218</v>
      </c>
      <c r="R21" s="5">
        <f t="shared" si="2"/>
        <v>151</v>
      </c>
      <c r="S21" s="5">
        <f t="shared" si="2"/>
        <v>207</v>
      </c>
      <c r="T21" s="5">
        <f t="shared" si="2"/>
        <v>205</v>
      </c>
      <c r="U21" s="5">
        <f t="shared" si="2"/>
        <v>173</v>
      </c>
      <c r="V21" s="5">
        <f t="shared" si="2"/>
        <v>176</v>
      </c>
      <c r="W21" s="5">
        <f t="shared" si="2"/>
        <v>182</v>
      </c>
      <c r="X21" s="5">
        <f t="shared" si="1"/>
        <v>3906</v>
      </c>
    </row>
    <row r="22" spans="1:24" x14ac:dyDescent="0.3">
      <c r="A22" s="12"/>
      <c r="B22" s="98" t="s">
        <v>30</v>
      </c>
      <c r="C22" s="99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5">
        <f t="shared" si="1"/>
        <v>0</v>
      </c>
    </row>
    <row r="23" spans="1:24" x14ac:dyDescent="0.3">
      <c r="A23" s="12"/>
      <c r="B23" s="90"/>
      <c r="C23" s="100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5">
        <f t="shared" si="1"/>
        <v>0</v>
      </c>
    </row>
    <row r="24" spans="1:24" x14ac:dyDescent="0.3">
      <c r="A24" s="13"/>
      <c r="B24" s="91"/>
      <c r="C24" s="101"/>
      <c r="D24" s="5" t="s">
        <v>25</v>
      </c>
      <c r="E24" s="5">
        <f t="shared" ref="E24:W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3"/>
        <v>0</v>
      </c>
      <c r="S24" s="5">
        <f t="shared" si="3"/>
        <v>0</v>
      </c>
      <c r="T24" s="5">
        <f t="shared" si="3"/>
        <v>0</v>
      </c>
      <c r="U24" s="5">
        <f t="shared" si="3"/>
        <v>0</v>
      </c>
      <c r="V24" s="5">
        <f t="shared" si="3"/>
        <v>0</v>
      </c>
      <c r="W24" s="5">
        <f t="shared" si="3"/>
        <v>0</v>
      </c>
      <c r="X24" s="5">
        <f t="shared" si="1"/>
        <v>0</v>
      </c>
    </row>
    <row r="25" spans="1:24" x14ac:dyDescent="0.3">
      <c r="A25" s="12"/>
      <c r="B25" s="98" t="s">
        <v>32</v>
      </c>
      <c r="C25" s="99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0</v>
      </c>
      <c r="I25" s="6">
        <v>1</v>
      </c>
      <c r="J25" s="6">
        <v>2</v>
      </c>
      <c r="K25" s="6">
        <v>1</v>
      </c>
      <c r="L25" s="6">
        <v>0</v>
      </c>
      <c r="M25" s="6">
        <v>2</v>
      </c>
      <c r="N25" s="6">
        <v>1</v>
      </c>
      <c r="O25" s="6">
        <v>3</v>
      </c>
      <c r="P25" s="6">
        <v>0</v>
      </c>
      <c r="Q25" s="6">
        <v>1</v>
      </c>
      <c r="R25" s="6">
        <v>12</v>
      </c>
      <c r="S25" s="6">
        <v>2</v>
      </c>
      <c r="T25" s="6">
        <v>0</v>
      </c>
      <c r="U25" s="6">
        <v>11</v>
      </c>
      <c r="V25" s="6">
        <v>3</v>
      </c>
      <c r="W25" s="6">
        <v>1</v>
      </c>
      <c r="X25" s="5">
        <f t="shared" si="1"/>
        <v>41</v>
      </c>
    </row>
    <row r="26" spans="1:24" x14ac:dyDescent="0.3">
      <c r="A26" s="12"/>
      <c r="B26" s="90"/>
      <c r="C26" s="100"/>
      <c r="D26" s="6" t="s">
        <v>24</v>
      </c>
      <c r="E26" s="6">
        <v>1</v>
      </c>
      <c r="F26" s="6">
        <v>0</v>
      </c>
      <c r="G26" s="6">
        <v>0</v>
      </c>
      <c r="H26" s="6">
        <v>5</v>
      </c>
      <c r="I26" s="6">
        <v>0</v>
      </c>
      <c r="J26" s="6">
        <v>1</v>
      </c>
      <c r="K26" s="6">
        <v>1</v>
      </c>
      <c r="L26" s="6">
        <v>0</v>
      </c>
      <c r="M26" s="6">
        <v>1</v>
      </c>
      <c r="N26" s="6">
        <v>3</v>
      </c>
      <c r="O26" s="6">
        <v>2</v>
      </c>
      <c r="P26" s="6">
        <v>2</v>
      </c>
      <c r="Q26" s="6">
        <v>1</v>
      </c>
      <c r="R26" s="6">
        <v>12</v>
      </c>
      <c r="S26" s="6">
        <v>1</v>
      </c>
      <c r="T26" s="6">
        <v>0</v>
      </c>
      <c r="U26" s="6">
        <v>14</v>
      </c>
      <c r="V26" s="6">
        <v>2</v>
      </c>
      <c r="W26" s="6">
        <v>3</v>
      </c>
      <c r="X26" s="5">
        <f t="shared" si="1"/>
        <v>49</v>
      </c>
    </row>
    <row r="27" spans="1:24" x14ac:dyDescent="0.3">
      <c r="A27" s="13"/>
      <c r="B27" s="91"/>
      <c r="C27" s="101"/>
      <c r="D27" s="5" t="s">
        <v>25</v>
      </c>
      <c r="E27" s="5">
        <f t="shared" ref="E27:W27" si="4">SUM(E25:E26)</f>
        <v>2</v>
      </c>
      <c r="F27" s="5">
        <f t="shared" si="4"/>
        <v>0</v>
      </c>
      <c r="G27" s="5">
        <f t="shared" si="4"/>
        <v>0</v>
      </c>
      <c r="H27" s="5">
        <f t="shared" si="4"/>
        <v>5</v>
      </c>
      <c r="I27" s="5">
        <f t="shared" si="4"/>
        <v>1</v>
      </c>
      <c r="J27" s="5">
        <f t="shared" si="4"/>
        <v>3</v>
      </c>
      <c r="K27" s="5">
        <f t="shared" si="4"/>
        <v>2</v>
      </c>
      <c r="L27" s="5">
        <f t="shared" si="4"/>
        <v>0</v>
      </c>
      <c r="M27" s="5">
        <f t="shared" si="4"/>
        <v>3</v>
      </c>
      <c r="N27" s="5">
        <f t="shared" si="4"/>
        <v>4</v>
      </c>
      <c r="O27" s="5">
        <f t="shared" si="4"/>
        <v>5</v>
      </c>
      <c r="P27" s="5">
        <f t="shared" si="4"/>
        <v>2</v>
      </c>
      <c r="Q27" s="5">
        <f t="shared" si="4"/>
        <v>2</v>
      </c>
      <c r="R27" s="5">
        <f t="shared" si="4"/>
        <v>24</v>
      </c>
      <c r="S27" s="5">
        <f t="shared" si="4"/>
        <v>3</v>
      </c>
      <c r="T27" s="5">
        <f t="shared" si="4"/>
        <v>0</v>
      </c>
      <c r="U27" s="5">
        <f t="shared" si="4"/>
        <v>25</v>
      </c>
      <c r="V27" s="5">
        <f t="shared" si="4"/>
        <v>5</v>
      </c>
      <c r="W27" s="5">
        <f t="shared" si="4"/>
        <v>4</v>
      </c>
      <c r="X27" s="5">
        <f t="shared" si="1"/>
        <v>90</v>
      </c>
    </row>
    <row r="28" spans="1:24" x14ac:dyDescent="0.3">
      <c r="A28" s="13"/>
      <c r="B28" s="102" t="s">
        <v>34</v>
      </c>
      <c r="C28" s="103" t="s">
        <v>35</v>
      </c>
      <c r="D28" s="5" t="s">
        <v>23</v>
      </c>
      <c r="E28" s="5">
        <f>SUM(E19,E22,E25)</f>
        <v>113</v>
      </c>
      <c r="F28" s="5">
        <f t="shared" ref="F28:W29" si="5">SUM(F19,F22,F25)</f>
        <v>105</v>
      </c>
      <c r="G28" s="5">
        <f t="shared" si="5"/>
        <v>106</v>
      </c>
      <c r="H28" s="5">
        <f t="shared" si="5"/>
        <v>112</v>
      </c>
      <c r="I28" s="5">
        <f t="shared" si="5"/>
        <v>105</v>
      </c>
      <c r="J28" s="5">
        <f t="shared" si="5"/>
        <v>102</v>
      </c>
      <c r="K28" s="5">
        <f t="shared" si="5"/>
        <v>105</v>
      </c>
      <c r="L28" s="5">
        <f t="shared" si="5"/>
        <v>91</v>
      </c>
      <c r="M28" s="5">
        <f t="shared" si="5"/>
        <v>121</v>
      </c>
      <c r="N28" s="5">
        <f t="shared" si="5"/>
        <v>106</v>
      </c>
      <c r="O28" s="5">
        <f t="shared" si="5"/>
        <v>111</v>
      </c>
      <c r="P28" s="5">
        <f t="shared" si="5"/>
        <v>97</v>
      </c>
      <c r="Q28" s="5">
        <f t="shared" si="5"/>
        <v>107</v>
      </c>
      <c r="R28" s="5">
        <f t="shared" si="5"/>
        <v>86</v>
      </c>
      <c r="S28" s="5">
        <f t="shared" si="5"/>
        <v>99</v>
      </c>
      <c r="T28" s="5">
        <f t="shared" si="5"/>
        <v>98</v>
      </c>
      <c r="U28" s="5">
        <f t="shared" si="5"/>
        <v>95</v>
      </c>
      <c r="V28" s="5">
        <f t="shared" si="5"/>
        <v>92</v>
      </c>
      <c r="W28" s="5">
        <f t="shared" si="5"/>
        <v>96</v>
      </c>
      <c r="X28" s="5">
        <f t="shared" si="1"/>
        <v>1947</v>
      </c>
    </row>
    <row r="29" spans="1:24" x14ac:dyDescent="0.3">
      <c r="A29" s="13"/>
      <c r="B29" s="90"/>
      <c r="C29" s="100"/>
      <c r="D29" s="5" t="s">
        <v>24</v>
      </c>
      <c r="E29" s="5">
        <f>SUM(E20,E23,E26)</f>
        <v>107</v>
      </c>
      <c r="F29" s="5">
        <f t="shared" si="5"/>
        <v>126</v>
      </c>
      <c r="G29" s="5">
        <f t="shared" si="5"/>
        <v>126</v>
      </c>
      <c r="H29" s="5">
        <f t="shared" si="5"/>
        <v>124</v>
      </c>
      <c r="I29" s="5">
        <f t="shared" si="5"/>
        <v>106</v>
      </c>
      <c r="J29" s="5">
        <f t="shared" si="5"/>
        <v>125</v>
      </c>
      <c r="K29" s="5">
        <f t="shared" si="5"/>
        <v>120</v>
      </c>
      <c r="L29" s="5">
        <f t="shared" si="5"/>
        <v>104</v>
      </c>
      <c r="M29" s="5">
        <f t="shared" si="5"/>
        <v>112</v>
      </c>
      <c r="N29" s="5">
        <f t="shared" si="5"/>
        <v>112</v>
      </c>
      <c r="O29" s="5">
        <f t="shared" si="5"/>
        <v>97</v>
      </c>
      <c r="P29" s="5">
        <f t="shared" si="5"/>
        <v>88</v>
      </c>
      <c r="Q29" s="5">
        <f t="shared" si="5"/>
        <v>113</v>
      </c>
      <c r="R29" s="5">
        <f t="shared" si="5"/>
        <v>89</v>
      </c>
      <c r="S29" s="5">
        <f t="shared" si="5"/>
        <v>111</v>
      </c>
      <c r="T29" s="5">
        <f t="shared" si="5"/>
        <v>107</v>
      </c>
      <c r="U29" s="5">
        <f t="shared" si="5"/>
        <v>103</v>
      </c>
      <c r="V29" s="5">
        <f t="shared" si="5"/>
        <v>89</v>
      </c>
      <c r="W29" s="5">
        <f t="shared" si="5"/>
        <v>90</v>
      </c>
      <c r="X29" s="5">
        <f t="shared" si="1"/>
        <v>2049</v>
      </c>
    </row>
    <row r="30" spans="1:24" x14ac:dyDescent="0.3">
      <c r="A30" s="13"/>
      <c r="B30" s="91"/>
      <c r="C30" s="101"/>
      <c r="D30" s="5" t="s">
        <v>25</v>
      </c>
      <c r="E30" s="5">
        <f t="shared" ref="E30" si="6">SUM(E28:E29)</f>
        <v>220</v>
      </c>
      <c r="F30" s="5">
        <f t="shared" ref="F30:W30" si="7">SUM(F28:F29)</f>
        <v>231</v>
      </c>
      <c r="G30" s="5">
        <f t="shared" si="7"/>
        <v>232</v>
      </c>
      <c r="H30" s="5">
        <f t="shared" si="7"/>
        <v>236</v>
      </c>
      <c r="I30" s="5">
        <f t="shared" si="7"/>
        <v>211</v>
      </c>
      <c r="J30" s="5">
        <f t="shared" si="7"/>
        <v>227</v>
      </c>
      <c r="K30" s="5">
        <f t="shared" si="7"/>
        <v>225</v>
      </c>
      <c r="L30" s="5">
        <f t="shared" si="7"/>
        <v>195</v>
      </c>
      <c r="M30" s="5">
        <f t="shared" si="7"/>
        <v>233</v>
      </c>
      <c r="N30" s="5">
        <f t="shared" si="7"/>
        <v>218</v>
      </c>
      <c r="O30" s="5">
        <f t="shared" si="7"/>
        <v>208</v>
      </c>
      <c r="P30" s="5">
        <f t="shared" si="7"/>
        <v>185</v>
      </c>
      <c r="Q30" s="5">
        <f t="shared" si="7"/>
        <v>220</v>
      </c>
      <c r="R30" s="5">
        <f t="shared" si="7"/>
        <v>175</v>
      </c>
      <c r="S30" s="5">
        <f t="shared" si="7"/>
        <v>210</v>
      </c>
      <c r="T30" s="5">
        <f t="shared" si="7"/>
        <v>205</v>
      </c>
      <c r="U30" s="5">
        <f t="shared" si="7"/>
        <v>198</v>
      </c>
      <c r="V30" s="5">
        <f t="shared" si="7"/>
        <v>181</v>
      </c>
      <c r="W30" s="5">
        <f t="shared" si="7"/>
        <v>186</v>
      </c>
      <c r="X30" s="5">
        <f t="shared" si="1"/>
        <v>3996</v>
      </c>
    </row>
    <row r="31" spans="1:24" x14ac:dyDescent="0.3">
      <c r="A31" s="77"/>
      <c r="B31" s="85"/>
      <c r="C31" s="85"/>
      <c r="D31" s="76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29"/>
    </row>
    <row r="32" spans="1:24" x14ac:dyDescent="0.3">
      <c r="A32" s="14" t="s">
        <v>36</v>
      </c>
      <c r="B32" s="72" t="s">
        <v>37</v>
      </c>
      <c r="C32" s="85"/>
      <c r="D32" s="76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29"/>
    </row>
    <row r="33" spans="1:24" x14ac:dyDescent="0.3">
      <c r="A33" s="6">
        <v>1</v>
      </c>
      <c r="B33" s="93" t="s">
        <v>38</v>
      </c>
      <c r="C33" s="85"/>
      <c r="D33" s="76"/>
      <c r="E33" s="6">
        <v>299</v>
      </c>
      <c r="F33" s="6">
        <v>299</v>
      </c>
      <c r="G33" s="6">
        <v>294</v>
      </c>
      <c r="H33" s="6">
        <v>300</v>
      </c>
      <c r="I33" s="6">
        <v>290</v>
      </c>
      <c r="J33" s="6">
        <v>303</v>
      </c>
      <c r="K33" s="6">
        <v>301</v>
      </c>
      <c r="L33" s="6">
        <v>258</v>
      </c>
      <c r="M33" s="6">
        <v>299</v>
      </c>
      <c r="N33" s="6">
        <v>302</v>
      </c>
      <c r="O33" s="6">
        <v>292</v>
      </c>
      <c r="P33" s="6">
        <v>219</v>
      </c>
      <c r="Q33" s="6">
        <v>286</v>
      </c>
      <c r="R33" s="6">
        <v>221</v>
      </c>
      <c r="S33" s="6">
        <v>276</v>
      </c>
      <c r="T33" s="6">
        <v>273</v>
      </c>
      <c r="U33" s="6">
        <v>214</v>
      </c>
      <c r="V33" s="6">
        <v>234</v>
      </c>
      <c r="W33" s="6">
        <v>248</v>
      </c>
      <c r="X33" s="5">
        <f>SUM(E33:W33)</f>
        <v>5208</v>
      </c>
    </row>
    <row r="34" spans="1:24" x14ac:dyDescent="0.3">
      <c r="A34" s="6">
        <v>2</v>
      </c>
      <c r="B34" s="93" t="s">
        <v>39</v>
      </c>
      <c r="C34" s="85"/>
      <c r="D34" s="76"/>
      <c r="E34" s="5">
        <v>220</v>
      </c>
      <c r="F34" s="5">
        <v>231</v>
      </c>
      <c r="G34" s="5">
        <v>232</v>
      </c>
      <c r="H34" s="5">
        <v>236</v>
      </c>
      <c r="I34" s="5">
        <v>211</v>
      </c>
      <c r="J34" s="5">
        <v>227</v>
      </c>
      <c r="K34" s="5">
        <v>225</v>
      </c>
      <c r="L34" s="5">
        <v>195</v>
      </c>
      <c r="M34" s="5">
        <v>233</v>
      </c>
      <c r="N34" s="5">
        <v>218</v>
      </c>
      <c r="O34" s="5">
        <v>208</v>
      </c>
      <c r="P34" s="5">
        <v>185</v>
      </c>
      <c r="Q34" s="5">
        <v>220</v>
      </c>
      <c r="R34" s="5">
        <v>175</v>
      </c>
      <c r="S34" s="5">
        <v>210</v>
      </c>
      <c r="T34" s="5">
        <v>205</v>
      </c>
      <c r="U34" s="5">
        <v>198</v>
      </c>
      <c r="V34" s="5">
        <v>181</v>
      </c>
      <c r="W34" s="5">
        <v>186</v>
      </c>
      <c r="X34" s="5">
        <f>SUM(E34:W34)</f>
        <v>3996</v>
      </c>
    </row>
    <row r="35" spans="1:24" x14ac:dyDescent="0.3">
      <c r="A35" s="6">
        <v>3</v>
      </c>
      <c r="B35" s="93" t="s">
        <v>40</v>
      </c>
      <c r="C35" s="85"/>
      <c r="D35" s="76"/>
      <c r="E35" s="6">
        <v>0</v>
      </c>
      <c r="F35" s="6">
        <v>0</v>
      </c>
      <c r="G35" s="6">
        <v>0</v>
      </c>
      <c r="H35" s="6">
        <v>1</v>
      </c>
      <c r="I35" s="6">
        <v>1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5">
        <f>SUM(E35:W35)</f>
        <v>4</v>
      </c>
    </row>
    <row r="36" spans="1:24" x14ac:dyDescent="0.3">
      <c r="A36" s="6">
        <v>4</v>
      </c>
      <c r="B36" s="93" t="s">
        <v>41</v>
      </c>
      <c r="C36" s="85"/>
      <c r="D36" s="76"/>
      <c r="E36" s="5">
        <f t="shared" ref="E36:W36" si="8">E33-(E34+E35)</f>
        <v>79</v>
      </c>
      <c r="F36" s="5">
        <f t="shared" si="8"/>
        <v>68</v>
      </c>
      <c r="G36" s="5">
        <f t="shared" si="8"/>
        <v>62</v>
      </c>
      <c r="H36" s="5">
        <f t="shared" si="8"/>
        <v>63</v>
      </c>
      <c r="I36" s="5">
        <f t="shared" si="8"/>
        <v>78</v>
      </c>
      <c r="J36" s="5">
        <f t="shared" si="8"/>
        <v>76</v>
      </c>
      <c r="K36" s="5">
        <f t="shared" si="8"/>
        <v>76</v>
      </c>
      <c r="L36" s="5">
        <f t="shared" si="8"/>
        <v>63</v>
      </c>
      <c r="M36" s="5">
        <f t="shared" si="8"/>
        <v>65</v>
      </c>
      <c r="N36" s="5">
        <f t="shared" si="8"/>
        <v>84</v>
      </c>
      <c r="O36" s="5">
        <f t="shared" si="8"/>
        <v>84</v>
      </c>
      <c r="P36" s="5">
        <f t="shared" si="8"/>
        <v>34</v>
      </c>
      <c r="Q36" s="5">
        <f t="shared" si="8"/>
        <v>65</v>
      </c>
      <c r="R36" s="5">
        <f t="shared" si="8"/>
        <v>46</v>
      </c>
      <c r="S36" s="5">
        <f t="shared" si="8"/>
        <v>66</v>
      </c>
      <c r="T36" s="5">
        <f t="shared" si="8"/>
        <v>68</v>
      </c>
      <c r="U36" s="5">
        <f t="shared" si="8"/>
        <v>16</v>
      </c>
      <c r="V36" s="5">
        <f t="shared" si="8"/>
        <v>53</v>
      </c>
      <c r="W36" s="5">
        <f t="shared" si="8"/>
        <v>62</v>
      </c>
      <c r="X36" s="5">
        <f>SUM(E36:W36)</f>
        <v>1208</v>
      </c>
    </row>
    <row r="37" spans="1:24" x14ac:dyDescent="0.3">
      <c r="A37" s="77"/>
      <c r="B37" s="85"/>
      <c r="C37" s="85"/>
      <c r="D37" s="85"/>
      <c r="E37" s="77"/>
      <c r="F37" s="104"/>
      <c r="G37" s="104"/>
      <c r="H37" s="104"/>
      <c r="I37" s="105"/>
      <c r="J37" s="6"/>
      <c r="K37" s="6"/>
      <c r="L37" s="6"/>
      <c r="M37" s="6"/>
      <c r="N37" s="10"/>
      <c r="O37" s="27"/>
      <c r="P37" s="27"/>
      <c r="Q37" s="27"/>
      <c r="R37" s="27"/>
      <c r="S37" s="27"/>
      <c r="T37" s="27"/>
      <c r="U37" s="27"/>
      <c r="V37" s="27"/>
      <c r="W37" s="27"/>
      <c r="X37" s="29"/>
    </row>
    <row r="38" spans="1:24" x14ac:dyDescent="0.3">
      <c r="A38" s="16" t="s">
        <v>42</v>
      </c>
      <c r="B38" s="72" t="s">
        <v>43</v>
      </c>
      <c r="C38" s="85"/>
      <c r="D38" s="76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29"/>
    </row>
    <row r="39" spans="1:24" x14ac:dyDescent="0.3">
      <c r="A39" s="11"/>
      <c r="B39" s="88" t="s">
        <v>44</v>
      </c>
      <c r="C39" s="84"/>
      <c r="D39" s="6" t="s">
        <v>23</v>
      </c>
      <c r="E39" s="6">
        <v>0</v>
      </c>
      <c r="F39" s="6">
        <v>0</v>
      </c>
      <c r="G39" s="6">
        <v>5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/>
      <c r="U39" s="6"/>
      <c r="V39" s="6">
        <v>4</v>
      </c>
      <c r="W39" s="6"/>
      <c r="X39" s="5">
        <f>SUM(E39:W39)</f>
        <v>9</v>
      </c>
    </row>
    <row r="40" spans="1:24" x14ac:dyDescent="0.3">
      <c r="A40" s="12"/>
      <c r="B40" s="89"/>
      <c r="C40" s="90"/>
      <c r="D40" s="6" t="s">
        <v>24</v>
      </c>
      <c r="E40" s="6">
        <v>0</v>
      </c>
      <c r="F40" s="6">
        <v>0</v>
      </c>
      <c r="G40" s="6">
        <v>5</v>
      </c>
      <c r="H40" s="6">
        <v>5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2</v>
      </c>
      <c r="Q40" s="6">
        <v>0</v>
      </c>
      <c r="R40" s="6">
        <v>2</v>
      </c>
      <c r="S40" s="6">
        <v>0</v>
      </c>
      <c r="T40" s="6"/>
      <c r="U40" s="6"/>
      <c r="V40" s="6">
        <v>2</v>
      </c>
      <c r="W40" s="6"/>
      <c r="X40" s="5">
        <f>SUM(E40:W40)</f>
        <v>16</v>
      </c>
    </row>
    <row r="41" spans="1:24" x14ac:dyDescent="0.3">
      <c r="A41" s="14"/>
      <c r="B41" s="87"/>
      <c r="C41" s="91"/>
      <c r="D41" s="5" t="s">
        <v>25</v>
      </c>
      <c r="E41" s="5">
        <f t="shared" ref="E41:W41" si="9">SUM(E39:E40)</f>
        <v>0</v>
      </c>
      <c r="F41" s="5">
        <f t="shared" si="9"/>
        <v>0</v>
      </c>
      <c r="G41" s="5">
        <f t="shared" si="9"/>
        <v>10</v>
      </c>
      <c r="H41" s="5">
        <f t="shared" si="9"/>
        <v>5</v>
      </c>
      <c r="I41" s="5">
        <f t="shared" si="9"/>
        <v>0</v>
      </c>
      <c r="J41" s="5">
        <f t="shared" si="9"/>
        <v>0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 t="shared" si="9"/>
        <v>0</v>
      </c>
      <c r="O41" s="5">
        <f t="shared" si="9"/>
        <v>0</v>
      </c>
      <c r="P41" s="5">
        <f t="shared" si="9"/>
        <v>2</v>
      </c>
      <c r="Q41" s="5">
        <f t="shared" si="9"/>
        <v>0</v>
      </c>
      <c r="R41" s="5">
        <f t="shared" si="9"/>
        <v>2</v>
      </c>
      <c r="S41" s="5">
        <f t="shared" si="9"/>
        <v>0</v>
      </c>
      <c r="T41" s="5">
        <f t="shared" si="9"/>
        <v>0</v>
      </c>
      <c r="U41" s="5">
        <f t="shared" si="9"/>
        <v>0</v>
      </c>
      <c r="V41" s="5">
        <f t="shared" si="9"/>
        <v>6</v>
      </c>
      <c r="W41" s="5">
        <f t="shared" si="9"/>
        <v>0</v>
      </c>
      <c r="X41" s="5">
        <f>SUM(E41:W41)</f>
        <v>25</v>
      </c>
    </row>
    <row r="42" spans="1:24" x14ac:dyDescent="0.3">
      <c r="A42" s="86"/>
      <c r="B42" s="87"/>
      <c r="C42" s="87"/>
      <c r="D42" s="91"/>
      <c r="E42" s="77"/>
      <c r="F42" s="85"/>
      <c r="G42" s="85"/>
      <c r="H42" s="85"/>
      <c r="I42" s="76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5"/>
    </row>
    <row r="43" spans="1:24" ht="13.15" customHeight="1" x14ac:dyDescent="0.3">
      <c r="A43" s="16" t="s">
        <v>45</v>
      </c>
      <c r="B43" s="72" t="s">
        <v>46</v>
      </c>
      <c r="C43" s="85"/>
      <c r="D43" s="7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5"/>
    </row>
    <row r="44" spans="1:24" ht="13.15" customHeight="1" x14ac:dyDescent="0.3">
      <c r="A44" s="88" t="s">
        <v>47</v>
      </c>
      <c r="B44" s="92"/>
      <c r="C44" s="92"/>
      <c r="D44" s="8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5"/>
    </row>
    <row r="45" spans="1:24" x14ac:dyDescent="0.3">
      <c r="A45" s="11" t="s">
        <v>48</v>
      </c>
      <c r="B45" s="17" t="s">
        <v>28</v>
      </c>
      <c r="C45" s="75" t="s">
        <v>49</v>
      </c>
      <c r="D45" s="76"/>
      <c r="E45" s="6">
        <v>5</v>
      </c>
      <c r="F45" s="6">
        <v>7</v>
      </c>
      <c r="G45" s="6">
        <v>7</v>
      </c>
      <c r="H45" s="6">
        <v>12</v>
      </c>
      <c r="I45" s="6">
        <v>8</v>
      </c>
      <c r="J45" s="6">
        <v>11</v>
      </c>
      <c r="K45" s="6">
        <v>6</v>
      </c>
      <c r="L45" s="6">
        <v>6</v>
      </c>
      <c r="M45" s="6">
        <v>13</v>
      </c>
      <c r="N45" s="6">
        <v>4</v>
      </c>
      <c r="O45" s="6">
        <v>8</v>
      </c>
      <c r="P45" s="6">
        <v>2</v>
      </c>
      <c r="Q45" s="6">
        <v>7</v>
      </c>
      <c r="R45" s="6">
        <v>3</v>
      </c>
      <c r="S45" s="6">
        <v>13</v>
      </c>
      <c r="T45" s="6">
        <v>4</v>
      </c>
      <c r="U45" s="6">
        <v>2</v>
      </c>
      <c r="V45" s="6">
        <v>2</v>
      </c>
      <c r="W45" s="6">
        <v>4</v>
      </c>
      <c r="X45" s="5">
        <f t="shared" ref="X45:X55" si="10">SUM(E45:W45)</f>
        <v>124</v>
      </c>
    </row>
    <row r="46" spans="1:24" x14ac:dyDescent="0.3">
      <c r="A46" s="11" t="s">
        <v>50</v>
      </c>
      <c r="B46" s="53"/>
      <c r="C46" s="24" t="s">
        <v>122</v>
      </c>
      <c r="D46" s="24"/>
      <c r="E46" s="6">
        <v>17</v>
      </c>
      <c r="F46" s="6">
        <v>18</v>
      </c>
      <c r="G46" s="6">
        <v>32</v>
      </c>
      <c r="H46" s="6">
        <v>14</v>
      </c>
      <c r="I46" s="6">
        <v>8</v>
      </c>
      <c r="J46" s="6">
        <v>17</v>
      </c>
      <c r="K46" s="6">
        <v>8</v>
      </c>
      <c r="L46" s="6">
        <v>19</v>
      </c>
      <c r="M46" s="6">
        <v>28</v>
      </c>
      <c r="N46" s="6">
        <v>24</v>
      </c>
      <c r="O46" s="6">
        <v>21</v>
      </c>
      <c r="P46" s="6">
        <v>4</v>
      </c>
      <c r="Q46" s="6">
        <v>24</v>
      </c>
      <c r="R46" s="6">
        <v>19</v>
      </c>
      <c r="S46" s="6">
        <v>22</v>
      </c>
      <c r="T46" s="6">
        <v>31</v>
      </c>
      <c r="U46" s="6">
        <v>8</v>
      </c>
      <c r="V46" s="6">
        <v>14</v>
      </c>
      <c r="W46" s="6">
        <v>4</v>
      </c>
      <c r="X46" s="5">
        <f t="shared" si="10"/>
        <v>332</v>
      </c>
    </row>
    <row r="47" spans="1:24" x14ac:dyDescent="0.3">
      <c r="A47" s="7"/>
      <c r="B47" s="54"/>
      <c r="C47" s="24" t="s">
        <v>123</v>
      </c>
      <c r="D47" s="24"/>
      <c r="E47" s="6">
        <v>0</v>
      </c>
      <c r="F47" s="6">
        <v>1</v>
      </c>
      <c r="G47" s="6">
        <v>5</v>
      </c>
      <c r="H47" s="6">
        <v>8</v>
      </c>
      <c r="I47" s="6">
        <v>3</v>
      </c>
      <c r="J47" s="6">
        <v>4</v>
      </c>
      <c r="K47" s="6">
        <v>5</v>
      </c>
      <c r="L47" s="6">
        <v>7</v>
      </c>
      <c r="M47" s="6">
        <v>2</v>
      </c>
      <c r="N47" s="6">
        <v>1</v>
      </c>
      <c r="O47" s="6">
        <v>2</v>
      </c>
      <c r="P47" s="6">
        <v>2</v>
      </c>
      <c r="Q47" s="6">
        <v>0</v>
      </c>
      <c r="R47" s="6">
        <v>6</v>
      </c>
      <c r="S47" s="6">
        <v>12</v>
      </c>
      <c r="T47" s="6">
        <v>3</v>
      </c>
      <c r="U47" s="6">
        <v>0</v>
      </c>
      <c r="V47" s="6">
        <v>0</v>
      </c>
      <c r="W47" s="6">
        <v>0</v>
      </c>
      <c r="X47" s="5">
        <f t="shared" si="10"/>
        <v>61</v>
      </c>
    </row>
    <row r="48" spans="1:24" x14ac:dyDescent="0.3">
      <c r="A48" s="7"/>
      <c r="B48" s="54"/>
      <c r="C48" s="24" t="s">
        <v>124</v>
      </c>
      <c r="D48" s="24"/>
      <c r="E48" s="6">
        <v>0</v>
      </c>
      <c r="F48" s="6">
        <v>1</v>
      </c>
      <c r="G48" s="6">
        <v>2</v>
      </c>
      <c r="H48" s="6">
        <v>0</v>
      </c>
      <c r="I48" s="6">
        <v>0</v>
      </c>
      <c r="J48" s="6">
        <v>1</v>
      </c>
      <c r="K48" s="6">
        <v>0</v>
      </c>
      <c r="L48" s="6">
        <v>2</v>
      </c>
      <c r="M48" s="6">
        <v>4</v>
      </c>
      <c r="N48" s="6">
        <v>1</v>
      </c>
      <c r="O48" s="6">
        <v>0</v>
      </c>
      <c r="P48" s="6">
        <v>0</v>
      </c>
      <c r="Q48" s="6">
        <v>3</v>
      </c>
      <c r="R48" s="6">
        <v>1</v>
      </c>
      <c r="S48" s="6">
        <v>2</v>
      </c>
      <c r="T48" s="6">
        <v>1</v>
      </c>
      <c r="U48" s="6">
        <v>0</v>
      </c>
      <c r="V48" s="6">
        <v>0</v>
      </c>
      <c r="W48" s="6">
        <v>1</v>
      </c>
      <c r="X48" s="5">
        <f t="shared" si="10"/>
        <v>19</v>
      </c>
    </row>
    <row r="49" spans="1:24" x14ac:dyDescent="0.3">
      <c r="A49" s="7"/>
      <c r="B49" s="54"/>
      <c r="C49" s="24" t="s">
        <v>125</v>
      </c>
      <c r="D49" s="24"/>
      <c r="E49" s="6">
        <v>3</v>
      </c>
      <c r="F49" s="6">
        <v>1</v>
      </c>
      <c r="G49" s="6">
        <v>0</v>
      </c>
      <c r="H49" s="6">
        <v>1</v>
      </c>
      <c r="I49" s="6">
        <v>4</v>
      </c>
      <c r="J49" s="6">
        <v>2</v>
      </c>
      <c r="K49" s="6">
        <v>1</v>
      </c>
      <c r="L49" s="6">
        <v>1</v>
      </c>
      <c r="M49" s="6">
        <v>1</v>
      </c>
      <c r="N49" s="6">
        <v>3</v>
      </c>
      <c r="O49" s="6">
        <v>0</v>
      </c>
      <c r="P49" s="6">
        <v>0</v>
      </c>
      <c r="Q49" s="6">
        <v>3</v>
      </c>
      <c r="R49" s="6">
        <v>0</v>
      </c>
      <c r="S49" s="6">
        <v>3</v>
      </c>
      <c r="T49" s="6">
        <v>2</v>
      </c>
      <c r="U49" s="6">
        <v>1</v>
      </c>
      <c r="V49" s="6">
        <v>1</v>
      </c>
      <c r="W49" s="6">
        <v>1</v>
      </c>
      <c r="X49" s="5">
        <f t="shared" si="10"/>
        <v>28</v>
      </c>
    </row>
    <row r="50" spans="1:24" x14ac:dyDescent="0.3">
      <c r="A50" s="7"/>
      <c r="B50" s="54"/>
      <c r="C50" s="24" t="s">
        <v>126</v>
      </c>
      <c r="D50" s="24"/>
      <c r="E50" s="6">
        <v>0</v>
      </c>
      <c r="F50" s="6">
        <v>0</v>
      </c>
      <c r="G50" s="6">
        <v>1</v>
      </c>
      <c r="H50" s="6">
        <v>0</v>
      </c>
      <c r="I50" s="6">
        <v>3</v>
      </c>
      <c r="J50" s="6">
        <v>2</v>
      </c>
      <c r="K50" s="6">
        <v>5</v>
      </c>
      <c r="L50" s="6">
        <v>0</v>
      </c>
      <c r="M50" s="6">
        <v>0</v>
      </c>
      <c r="N50" s="6">
        <v>1</v>
      </c>
      <c r="O50" s="6">
        <v>0</v>
      </c>
      <c r="P50" s="6">
        <v>1</v>
      </c>
      <c r="Q50" s="6">
        <v>0</v>
      </c>
      <c r="R50" s="6">
        <v>3</v>
      </c>
      <c r="S50" s="6">
        <v>1</v>
      </c>
      <c r="T50" s="6">
        <v>2</v>
      </c>
      <c r="U50" s="6">
        <v>2</v>
      </c>
      <c r="V50" s="6">
        <v>2</v>
      </c>
      <c r="W50" s="6">
        <v>2</v>
      </c>
      <c r="X50" s="5">
        <f t="shared" si="10"/>
        <v>25</v>
      </c>
    </row>
    <row r="51" spans="1:24" x14ac:dyDescent="0.3">
      <c r="A51" s="7"/>
      <c r="B51" s="54"/>
      <c r="C51" s="24" t="s">
        <v>127</v>
      </c>
      <c r="D51" s="24"/>
      <c r="E51" s="6">
        <v>0</v>
      </c>
      <c r="F51" s="6">
        <v>0</v>
      </c>
      <c r="G51" s="6">
        <v>1</v>
      </c>
      <c r="H51" s="6">
        <v>0</v>
      </c>
      <c r="I51" s="6">
        <v>1</v>
      </c>
      <c r="J51" s="6">
        <v>2</v>
      </c>
      <c r="K51" s="6">
        <v>0</v>
      </c>
      <c r="L51" s="6">
        <v>3</v>
      </c>
      <c r="M51" s="6">
        <v>2</v>
      </c>
      <c r="N51" s="6">
        <v>1</v>
      </c>
      <c r="O51" s="6">
        <v>3</v>
      </c>
      <c r="P51" s="6">
        <v>0</v>
      </c>
      <c r="Q51" s="6">
        <v>3</v>
      </c>
      <c r="R51" s="6">
        <v>4</v>
      </c>
      <c r="S51" s="6">
        <v>2</v>
      </c>
      <c r="T51" s="6">
        <v>1</v>
      </c>
      <c r="U51" s="6">
        <v>1</v>
      </c>
      <c r="V51" s="6">
        <v>3</v>
      </c>
      <c r="W51" s="6">
        <v>0</v>
      </c>
      <c r="X51" s="5">
        <f t="shared" si="10"/>
        <v>27</v>
      </c>
    </row>
    <row r="52" spans="1:24" ht="13.15" customHeight="1" x14ac:dyDescent="0.3">
      <c r="A52" s="7"/>
      <c r="B52" s="54"/>
      <c r="C52" s="24" t="s">
        <v>128</v>
      </c>
      <c r="D52" s="24"/>
      <c r="E52" s="6">
        <v>0</v>
      </c>
      <c r="F52" s="6">
        <v>2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>
        <v>0</v>
      </c>
      <c r="O52" s="6">
        <v>2</v>
      </c>
      <c r="P52" s="6">
        <v>0</v>
      </c>
      <c r="Q52" s="6">
        <v>1</v>
      </c>
      <c r="R52" s="6">
        <v>0</v>
      </c>
      <c r="S52" s="6">
        <v>0</v>
      </c>
      <c r="T52" s="6">
        <v>0</v>
      </c>
      <c r="U52" s="6">
        <v>0</v>
      </c>
      <c r="V52" s="6">
        <v>1</v>
      </c>
      <c r="W52" s="6">
        <v>0</v>
      </c>
      <c r="X52" s="5">
        <f t="shared" si="10"/>
        <v>7</v>
      </c>
    </row>
    <row r="53" spans="1:24" ht="13.15" customHeight="1" x14ac:dyDescent="0.3">
      <c r="A53" s="7"/>
      <c r="B53" s="54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2</v>
      </c>
      <c r="R53" s="6">
        <v>0</v>
      </c>
      <c r="S53" s="6">
        <v>0</v>
      </c>
      <c r="T53" s="6">
        <v>1</v>
      </c>
      <c r="U53" s="6">
        <v>1</v>
      </c>
      <c r="V53" s="6">
        <v>0</v>
      </c>
      <c r="W53" s="6">
        <v>0</v>
      </c>
      <c r="X53" s="5">
        <f t="shared" si="10"/>
        <v>6</v>
      </c>
    </row>
    <row r="54" spans="1:24" ht="13.15" customHeight="1" x14ac:dyDescent="0.3">
      <c r="A54" s="7"/>
      <c r="B54" s="54"/>
      <c r="C54" s="24" t="s">
        <v>130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0</v>
      </c>
      <c r="L54" s="6">
        <v>2</v>
      </c>
      <c r="M54" s="6">
        <v>0</v>
      </c>
      <c r="N54" s="6">
        <v>1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</v>
      </c>
      <c r="W54" s="6">
        <v>0</v>
      </c>
      <c r="X54" s="5">
        <f t="shared" si="10"/>
        <v>7</v>
      </c>
    </row>
    <row r="55" spans="1:24" x14ac:dyDescent="0.3">
      <c r="A55" s="6" t="s">
        <v>26</v>
      </c>
      <c r="B55" s="69" t="s">
        <v>51</v>
      </c>
      <c r="C55" s="85"/>
      <c r="D55" s="76"/>
      <c r="E55" s="5">
        <f>SUM(E45:E54)</f>
        <v>26</v>
      </c>
      <c r="F55" s="5">
        <f t="shared" ref="F55:X55" si="11">SUM(F45:F54)</f>
        <v>30</v>
      </c>
      <c r="G55" s="5">
        <f t="shared" si="11"/>
        <v>48</v>
      </c>
      <c r="H55" s="5">
        <f t="shared" si="11"/>
        <v>35</v>
      </c>
      <c r="I55" s="5">
        <f t="shared" si="11"/>
        <v>28</v>
      </c>
      <c r="J55" s="5">
        <f t="shared" si="11"/>
        <v>41</v>
      </c>
      <c r="K55" s="5">
        <f t="shared" si="11"/>
        <v>26</v>
      </c>
      <c r="L55" s="5">
        <f t="shared" si="11"/>
        <v>40</v>
      </c>
      <c r="M55" s="5">
        <f t="shared" si="11"/>
        <v>50</v>
      </c>
      <c r="N55" s="5">
        <f t="shared" si="11"/>
        <v>36</v>
      </c>
      <c r="O55" s="5">
        <f t="shared" si="11"/>
        <v>37</v>
      </c>
      <c r="P55" s="5">
        <f t="shared" si="11"/>
        <v>9</v>
      </c>
      <c r="Q55" s="5">
        <f t="shared" si="11"/>
        <v>43</v>
      </c>
      <c r="R55" s="5">
        <f t="shared" si="11"/>
        <v>36</v>
      </c>
      <c r="S55" s="5">
        <f t="shared" si="11"/>
        <v>55</v>
      </c>
      <c r="T55" s="5">
        <f t="shared" si="11"/>
        <v>45</v>
      </c>
      <c r="U55" s="5">
        <f t="shared" si="11"/>
        <v>15</v>
      </c>
      <c r="V55" s="5">
        <f t="shared" si="11"/>
        <v>24</v>
      </c>
      <c r="W55" s="5">
        <f t="shared" si="11"/>
        <v>12</v>
      </c>
      <c r="X55" s="5">
        <f t="shared" si="11"/>
        <v>636</v>
      </c>
    </row>
    <row r="56" spans="1:24" x14ac:dyDescent="0.3">
      <c r="A56" s="86"/>
      <c r="B56" s="87"/>
      <c r="C56" s="87"/>
      <c r="D56" s="87"/>
      <c r="E56" s="87"/>
      <c r="X56" s="5"/>
    </row>
    <row r="57" spans="1:24" x14ac:dyDescent="0.3">
      <c r="A57" s="11" t="s">
        <v>48</v>
      </c>
      <c r="B57" s="17" t="s">
        <v>30</v>
      </c>
      <c r="C57" s="75" t="s">
        <v>52</v>
      </c>
      <c r="D57" s="76"/>
      <c r="E57" s="6">
        <v>13</v>
      </c>
      <c r="F57" s="6">
        <v>13</v>
      </c>
      <c r="G57" s="6">
        <v>17</v>
      </c>
      <c r="H57" s="6">
        <v>10</v>
      </c>
      <c r="I57" s="6">
        <v>16</v>
      </c>
      <c r="J57" s="6">
        <v>15</v>
      </c>
      <c r="K57" s="6">
        <v>20</v>
      </c>
      <c r="L57" s="6">
        <v>14</v>
      </c>
      <c r="M57" s="6">
        <v>19</v>
      </c>
      <c r="N57" s="6">
        <v>14</v>
      </c>
      <c r="O57" s="6">
        <v>11</v>
      </c>
      <c r="P57" s="6">
        <v>11</v>
      </c>
      <c r="Q57" s="6">
        <v>9</v>
      </c>
      <c r="R57" s="6">
        <v>7</v>
      </c>
      <c r="S57" s="6">
        <v>18</v>
      </c>
      <c r="T57" s="6">
        <v>16</v>
      </c>
      <c r="U57" s="6">
        <v>11</v>
      </c>
      <c r="V57" s="6">
        <v>9</v>
      </c>
      <c r="W57" s="6">
        <v>5</v>
      </c>
      <c r="X57" s="5">
        <f t="shared" ref="X57:X67" si="12">SUM(E57:W57)</f>
        <v>248</v>
      </c>
    </row>
    <row r="58" spans="1:24" x14ac:dyDescent="0.3">
      <c r="A58" s="11" t="s">
        <v>50</v>
      </c>
      <c r="B58" s="54"/>
      <c r="C58" s="24" t="s">
        <v>131</v>
      </c>
      <c r="D58" s="55"/>
      <c r="E58" s="6">
        <v>21</v>
      </c>
      <c r="F58" s="6">
        <v>79</v>
      </c>
      <c r="G58" s="6">
        <v>57</v>
      </c>
      <c r="H58" s="6">
        <v>54</v>
      </c>
      <c r="I58" s="6">
        <v>7</v>
      </c>
      <c r="J58" s="6">
        <v>17</v>
      </c>
      <c r="K58" s="6">
        <v>6</v>
      </c>
      <c r="L58" s="6">
        <v>11</v>
      </c>
      <c r="M58" s="6">
        <v>18</v>
      </c>
      <c r="N58" s="6">
        <v>29</v>
      </c>
      <c r="O58" s="6">
        <v>18</v>
      </c>
      <c r="P58" s="6">
        <v>6</v>
      </c>
      <c r="Q58" s="6">
        <v>7</v>
      </c>
      <c r="R58" s="6">
        <v>5</v>
      </c>
      <c r="S58" s="6">
        <v>11</v>
      </c>
      <c r="T58" s="6">
        <v>14</v>
      </c>
      <c r="U58" s="6">
        <v>8</v>
      </c>
      <c r="V58" s="6">
        <v>5</v>
      </c>
      <c r="W58" s="6">
        <v>2</v>
      </c>
      <c r="X58" s="5">
        <f t="shared" si="12"/>
        <v>375</v>
      </c>
    </row>
    <row r="59" spans="1:24" x14ac:dyDescent="0.3">
      <c r="A59" s="7"/>
      <c r="B59" s="54"/>
      <c r="C59" s="24" t="s">
        <v>132</v>
      </c>
      <c r="D59" s="55"/>
      <c r="E59" s="6">
        <v>17</v>
      </c>
      <c r="F59" s="6">
        <v>25</v>
      </c>
      <c r="G59" s="6">
        <v>6</v>
      </c>
      <c r="H59" s="6">
        <v>6</v>
      </c>
      <c r="I59" s="6">
        <v>31</v>
      </c>
      <c r="J59" s="6">
        <v>36</v>
      </c>
      <c r="K59" s="6">
        <v>44</v>
      </c>
      <c r="L59" s="6">
        <v>8</v>
      </c>
      <c r="M59" s="6">
        <v>21</v>
      </c>
      <c r="N59" s="6">
        <v>28</v>
      </c>
      <c r="O59" s="6">
        <v>18</v>
      </c>
      <c r="P59" s="6">
        <v>4</v>
      </c>
      <c r="Q59" s="6">
        <v>6</v>
      </c>
      <c r="R59" s="6">
        <v>9</v>
      </c>
      <c r="S59" s="6">
        <v>5</v>
      </c>
      <c r="T59" s="6">
        <v>5</v>
      </c>
      <c r="U59" s="6">
        <v>19</v>
      </c>
      <c r="V59" s="6">
        <v>11</v>
      </c>
      <c r="W59" s="6">
        <v>2</v>
      </c>
      <c r="X59" s="5">
        <f t="shared" si="12"/>
        <v>301</v>
      </c>
    </row>
    <row r="60" spans="1:24" x14ac:dyDescent="0.3">
      <c r="A60" s="7"/>
      <c r="B60" s="54"/>
      <c r="C60" s="24" t="s">
        <v>133</v>
      </c>
      <c r="D60" s="55"/>
      <c r="E60" s="6">
        <v>1</v>
      </c>
      <c r="F60" s="6">
        <v>3</v>
      </c>
      <c r="G60" s="6">
        <v>1</v>
      </c>
      <c r="H60" s="6">
        <v>3</v>
      </c>
      <c r="I60" s="6">
        <v>2</v>
      </c>
      <c r="J60" s="6">
        <v>4</v>
      </c>
      <c r="K60" s="6">
        <v>4</v>
      </c>
      <c r="L60" s="6">
        <v>2</v>
      </c>
      <c r="M60" s="6">
        <v>4</v>
      </c>
      <c r="N60" s="6">
        <v>4</v>
      </c>
      <c r="O60" s="6">
        <v>4</v>
      </c>
      <c r="P60" s="6">
        <v>2</v>
      </c>
      <c r="Q60" s="6">
        <v>2</v>
      </c>
      <c r="R60" s="6">
        <v>1</v>
      </c>
      <c r="S60" s="6">
        <v>5</v>
      </c>
      <c r="T60" s="6">
        <v>5</v>
      </c>
      <c r="U60" s="6">
        <v>2</v>
      </c>
      <c r="V60" s="6">
        <v>1</v>
      </c>
      <c r="W60" s="6">
        <v>4</v>
      </c>
      <c r="X60" s="5">
        <f t="shared" si="12"/>
        <v>54</v>
      </c>
    </row>
    <row r="61" spans="1:24" x14ac:dyDescent="0.3">
      <c r="A61" s="7"/>
      <c r="B61" s="54"/>
      <c r="C61" s="24" t="s">
        <v>134</v>
      </c>
      <c r="D61" s="55"/>
      <c r="E61" s="6">
        <v>29</v>
      </c>
      <c r="F61" s="6">
        <v>8</v>
      </c>
      <c r="G61" s="6">
        <v>6</v>
      </c>
      <c r="H61" s="6">
        <v>2</v>
      </c>
      <c r="I61" s="6">
        <v>2</v>
      </c>
      <c r="J61" s="6">
        <v>0</v>
      </c>
      <c r="K61" s="6">
        <v>2</v>
      </c>
      <c r="L61" s="6">
        <v>7</v>
      </c>
      <c r="M61" s="6">
        <v>10</v>
      </c>
      <c r="N61" s="6">
        <v>7</v>
      </c>
      <c r="O61" s="6">
        <v>4</v>
      </c>
      <c r="P61" s="6">
        <v>0</v>
      </c>
      <c r="Q61" s="6">
        <v>4</v>
      </c>
      <c r="R61" s="6">
        <v>1</v>
      </c>
      <c r="S61" s="6">
        <v>1</v>
      </c>
      <c r="T61" s="6">
        <v>1</v>
      </c>
      <c r="U61" s="6">
        <v>2</v>
      </c>
      <c r="V61" s="6">
        <v>2</v>
      </c>
      <c r="W61" s="6">
        <v>0</v>
      </c>
      <c r="X61" s="5">
        <f t="shared" si="12"/>
        <v>88</v>
      </c>
    </row>
    <row r="62" spans="1:24" x14ac:dyDescent="0.3">
      <c r="A62" s="7"/>
      <c r="B62" s="54"/>
      <c r="C62" s="24" t="s">
        <v>135</v>
      </c>
      <c r="D62" s="55"/>
      <c r="E62" s="6">
        <v>1</v>
      </c>
      <c r="F62" s="6">
        <v>0</v>
      </c>
      <c r="G62" s="6">
        <v>3</v>
      </c>
      <c r="H62" s="6">
        <v>1</v>
      </c>
      <c r="I62" s="6">
        <v>0</v>
      </c>
      <c r="J62" s="6">
        <v>4</v>
      </c>
      <c r="K62" s="6">
        <v>2</v>
      </c>
      <c r="L62" s="6">
        <v>3</v>
      </c>
      <c r="M62" s="6">
        <v>2</v>
      </c>
      <c r="N62" s="6">
        <v>1</v>
      </c>
      <c r="O62" s="6">
        <v>1</v>
      </c>
      <c r="P62" s="6">
        <v>1</v>
      </c>
      <c r="Q62" s="6">
        <v>4</v>
      </c>
      <c r="R62" s="6">
        <v>2</v>
      </c>
      <c r="S62" s="6">
        <v>2</v>
      </c>
      <c r="T62" s="6">
        <v>4</v>
      </c>
      <c r="U62" s="6">
        <v>0</v>
      </c>
      <c r="V62" s="6">
        <v>1</v>
      </c>
      <c r="W62" s="6">
        <v>0</v>
      </c>
      <c r="X62" s="5">
        <f t="shared" si="12"/>
        <v>32</v>
      </c>
    </row>
    <row r="63" spans="1:24" ht="13.15" customHeight="1" x14ac:dyDescent="0.3">
      <c r="A63" s="7"/>
      <c r="B63" s="54"/>
      <c r="C63" s="24" t="s">
        <v>136</v>
      </c>
      <c r="D63" s="51"/>
      <c r="E63" s="6">
        <v>0</v>
      </c>
      <c r="F63" s="6">
        <v>0</v>
      </c>
      <c r="G63" s="6">
        <v>1</v>
      </c>
      <c r="H63" s="6">
        <v>1</v>
      </c>
      <c r="I63" s="6">
        <v>0</v>
      </c>
      <c r="J63" s="6">
        <v>0</v>
      </c>
      <c r="K63" s="6">
        <v>1</v>
      </c>
      <c r="L63" s="6">
        <v>2</v>
      </c>
      <c r="M63" s="6">
        <v>0</v>
      </c>
      <c r="N63" s="6">
        <v>0</v>
      </c>
      <c r="O63" s="6">
        <v>1</v>
      </c>
      <c r="P63" s="6">
        <v>1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0</v>
      </c>
      <c r="W63" s="6">
        <v>0</v>
      </c>
      <c r="X63" s="5">
        <f t="shared" si="12"/>
        <v>8</v>
      </c>
    </row>
    <row r="64" spans="1:24" x14ac:dyDescent="0.3">
      <c r="A64" s="7"/>
      <c r="B64" s="54"/>
      <c r="C64" s="24" t="s">
        <v>137</v>
      </c>
      <c r="D64" s="55"/>
      <c r="E64" s="6">
        <v>0</v>
      </c>
      <c r="F64" s="6">
        <v>1</v>
      </c>
      <c r="G64" s="6">
        <v>1</v>
      </c>
      <c r="H64" s="6">
        <v>1</v>
      </c>
      <c r="I64" s="6">
        <v>0</v>
      </c>
      <c r="J64" s="6">
        <v>0</v>
      </c>
      <c r="K64" s="6">
        <v>1</v>
      </c>
      <c r="L64" s="6">
        <v>0</v>
      </c>
      <c r="M64" s="6">
        <v>2</v>
      </c>
      <c r="N64" s="6">
        <v>0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1</v>
      </c>
      <c r="U64" s="6">
        <v>0</v>
      </c>
      <c r="V64" s="6">
        <v>0</v>
      </c>
      <c r="W64" s="6">
        <v>0</v>
      </c>
      <c r="X64" s="5">
        <f t="shared" si="12"/>
        <v>8</v>
      </c>
    </row>
    <row r="65" spans="1:24" x14ac:dyDescent="0.3">
      <c r="A65" s="7"/>
      <c r="B65" s="54"/>
      <c r="C65" s="24" t="s">
        <v>138</v>
      </c>
      <c r="D65" s="55"/>
      <c r="E65" s="6">
        <v>0</v>
      </c>
      <c r="F65" s="6">
        <v>0</v>
      </c>
      <c r="G65" s="6">
        <v>0</v>
      </c>
      <c r="H65" s="6">
        <v>0</v>
      </c>
      <c r="I65" s="6">
        <v>2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1</v>
      </c>
      <c r="W65" s="6">
        <v>1</v>
      </c>
      <c r="X65" s="5">
        <f t="shared" si="12"/>
        <v>7</v>
      </c>
    </row>
    <row r="66" spans="1:24" x14ac:dyDescent="0.3">
      <c r="A66" s="7"/>
      <c r="B66" s="54"/>
      <c r="C66" s="24" t="s">
        <v>139</v>
      </c>
      <c r="D66" s="55"/>
      <c r="E66" s="6">
        <v>0</v>
      </c>
      <c r="F66" s="6">
        <v>0</v>
      </c>
      <c r="G66" s="6">
        <v>1</v>
      </c>
      <c r="H66" s="6">
        <v>0</v>
      </c>
      <c r="I66" s="6">
        <v>1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1</v>
      </c>
      <c r="R66" s="6">
        <v>0</v>
      </c>
      <c r="S66" s="6">
        <v>0</v>
      </c>
      <c r="T66" s="6">
        <v>1</v>
      </c>
      <c r="U66" s="6">
        <v>0</v>
      </c>
      <c r="V66" s="6">
        <v>1</v>
      </c>
      <c r="W66" s="6">
        <v>0</v>
      </c>
      <c r="X66" s="5">
        <f t="shared" si="12"/>
        <v>6</v>
      </c>
    </row>
    <row r="67" spans="1:24" x14ac:dyDescent="0.3">
      <c r="A67" s="6" t="s">
        <v>26</v>
      </c>
      <c r="B67" s="69" t="s">
        <v>51</v>
      </c>
      <c r="C67" s="85"/>
      <c r="D67" s="76"/>
      <c r="E67" s="5">
        <f>SUM(E57:E66)</f>
        <v>82</v>
      </c>
      <c r="F67" s="5">
        <f t="shared" ref="F67:X67" si="13">SUM(F57:F66)</f>
        <v>129</v>
      </c>
      <c r="G67" s="5">
        <f t="shared" si="13"/>
        <v>93</v>
      </c>
      <c r="H67" s="5">
        <f t="shared" si="13"/>
        <v>78</v>
      </c>
      <c r="I67" s="5">
        <f t="shared" si="13"/>
        <v>61</v>
      </c>
      <c r="J67" s="5">
        <f t="shared" si="13"/>
        <v>76</v>
      </c>
      <c r="K67" s="5">
        <f t="shared" si="13"/>
        <v>81</v>
      </c>
      <c r="L67" s="5">
        <f t="shared" si="13"/>
        <v>48</v>
      </c>
      <c r="M67" s="5">
        <f t="shared" si="13"/>
        <v>76</v>
      </c>
      <c r="N67" s="5">
        <f t="shared" si="13"/>
        <v>83</v>
      </c>
      <c r="O67" s="5">
        <f t="shared" si="13"/>
        <v>58</v>
      </c>
      <c r="P67" s="5">
        <f t="shared" si="13"/>
        <v>25</v>
      </c>
      <c r="Q67" s="5">
        <f t="shared" si="13"/>
        <v>35</v>
      </c>
      <c r="R67" s="5">
        <f t="shared" si="13"/>
        <v>25</v>
      </c>
      <c r="S67" s="5">
        <f t="shared" si="13"/>
        <v>42</v>
      </c>
      <c r="T67" s="5">
        <f t="shared" si="13"/>
        <v>47</v>
      </c>
      <c r="U67" s="5">
        <f t="shared" si="13"/>
        <v>43</v>
      </c>
      <c r="V67" s="5">
        <f t="shared" si="13"/>
        <v>31</v>
      </c>
      <c r="W67" s="5">
        <f t="shared" si="13"/>
        <v>14</v>
      </c>
      <c r="X67" s="5">
        <f t="shared" si="13"/>
        <v>1127</v>
      </c>
    </row>
    <row r="68" spans="1:24" x14ac:dyDescent="0.3">
      <c r="A68" s="86"/>
      <c r="B68" s="87"/>
      <c r="C68" s="87"/>
      <c r="D68" s="87"/>
      <c r="E68" s="87"/>
    </row>
    <row r="69" spans="1:24" x14ac:dyDescent="0.3">
      <c r="A69" s="11" t="s">
        <v>48</v>
      </c>
      <c r="B69" s="17" t="s">
        <v>32</v>
      </c>
      <c r="C69" s="75" t="s">
        <v>53</v>
      </c>
      <c r="D69" s="76"/>
      <c r="E69" s="6">
        <v>9</v>
      </c>
      <c r="F69" s="6">
        <v>5</v>
      </c>
      <c r="G69" s="6">
        <v>9</v>
      </c>
      <c r="H69" s="6">
        <v>8</v>
      </c>
      <c r="I69" s="6">
        <v>18</v>
      </c>
      <c r="J69" s="6">
        <v>13</v>
      </c>
      <c r="K69" s="6">
        <v>13</v>
      </c>
      <c r="L69" s="6">
        <v>17</v>
      </c>
      <c r="M69" s="6">
        <v>15</v>
      </c>
      <c r="N69" s="6">
        <v>11</v>
      </c>
      <c r="O69" s="6">
        <v>11</v>
      </c>
      <c r="P69" s="6">
        <v>41</v>
      </c>
      <c r="Q69" s="6">
        <v>18</v>
      </c>
      <c r="R69" s="6">
        <v>18</v>
      </c>
      <c r="S69" s="6">
        <v>10</v>
      </c>
      <c r="T69" s="6">
        <v>12</v>
      </c>
      <c r="U69" s="6">
        <v>19</v>
      </c>
      <c r="V69" s="6">
        <v>14</v>
      </c>
      <c r="W69" s="6">
        <v>10</v>
      </c>
      <c r="X69" s="5">
        <f>SUM(E69:W69)</f>
        <v>271</v>
      </c>
    </row>
    <row r="70" spans="1:24" x14ac:dyDescent="0.3">
      <c r="A70" s="11" t="s">
        <v>50</v>
      </c>
      <c r="B70" s="54"/>
      <c r="C70" s="24" t="s">
        <v>140</v>
      </c>
      <c r="D70" s="51"/>
      <c r="E70" s="6">
        <v>19</v>
      </c>
      <c r="F70" s="6">
        <v>4</v>
      </c>
      <c r="G70" s="6">
        <v>13</v>
      </c>
      <c r="H70" s="6">
        <v>27</v>
      </c>
      <c r="I70" s="6">
        <v>12</v>
      </c>
      <c r="J70" s="6">
        <v>16</v>
      </c>
      <c r="K70" s="6">
        <v>6</v>
      </c>
      <c r="L70" s="6">
        <v>14</v>
      </c>
      <c r="M70" s="6">
        <v>5</v>
      </c>
      <c r="N70" s="6">
        <v>11</v>
      </c>
      <c r="O70" s="6">
        <v>4</v>
      </c>
      <c r="P70" s="6">
        <v>19</v>
      </c>
      <c r="Q70" s="6">
        <v>10</v>
      </c>
      <c r="R70" s="6">
        <v>14</v>
      </c>
      <c r="S70" s="6">
        <v>6</v>
      </c>
      <c r="T70" s="6">
        <v>5</v>
      </c>
      <c r="U70" s="6">
        <v>23</v>
      </c>
      <c r="V70" s="6">
        <v>26</v>
      </c>
      <c r="W70" s="6">
        <v>20</v>
      </c>
      <c r="X70" s="5">
        <f t="shared" ref="X69:X79" si="14">SUM(E70:W70)</f>
        <v>254</v>
      </c>
    </row>
    <row r="71" spans="1:24" x14ac:dyDescent="0.3">
      <c r="A71" s="7"/>
      <c r="B71" s="54"/>
      <c r="C71" s="24" t="s">
        <v>141</v>
      </c>
      <c r="D71" s="51"/>
      <c r="E71" s="6">
        <v>4</v>
      </c>
      <c r="F71" s="6">
        <v>2</v>
      </c>
      <c r="G71" s="6">
        <v>4</v>
      </c>
      <c r="H71" s="6">
        <v>0</v>
      </c>
      <c r="I71" s="6">
        <v>6</v>
      </c>
      <c r="J71" s="6">
        <v>9</v>
      </c>
      <c r="K71" s="6">
        <v>5</v>
      </c>
      <c r="L71" s="6">
        <v>2</v>
      </c>
      <c r="M71" s="6">
        <v>5</v>
      </c>
      <c r="N71" s="6">
        <v>2</v>
      </c>
      <c r="O71" s="6">
        <v>3</v>
      </c>
      <c r="P71" s="6">
        <v>7</v>
      </c>
      <c r="Q71" s="6">
        <v>4</v>
      </c>
      <c r="R71" s="6">
        <v>7</v>
      </c>
      <c r="S71" s="6">
        <v>8</v>
      </c>
      <c r="T71" s="6">
        <v>4</v>
      </c>
      <c r="U71" s="6">
        <v>7</v>
      </c>
      <c r="V71" s="6">
        <v>9</v>
      </c>
      <c r="W71" s="6">
        <v>7</v>
      </c>
      <c r="X71" s="5">
        <f t="shared" si="14"/>
        <v>95</v>
      </c>
    </row>
    <row r="72" spans="1:24" x14ac:dyDescent="0.3">
      <c r="A72" s="7"/>
      <c r="B72" s="54"/>
      <c r="C72" s="24" t="s">
        <v>142</v>
      </c>
      <c r="D72" s="51"/>
      <c r="E72" s="6">
        <v>5</v>
      </c>
      <c r="F72" s="6">
        <v>10</v>
      </c>
      <c r="G72" s="6">
        <v>5</v>
      </c>
      <c r="H72" s="6">
        <v>2</v>
      </c>
      <c r="I72" s="6">
        <v>6</v>
      </c>
      <c r="J72" s="6">
        <v>7</v>
      </c>
      <c r="K72" s="6">
        <v>14</v>
      </c>
      <c r="L72" s="6">
        <v>5</v>
      </c>
      <c r="M72" s="6">
        <v>8</v>
      </c>
      <c r="N72" s="6">
        <v>3</v>
      </c>
      <c r="O72" s="6">
        <v>4</v>
      </c>
      <c r="P72" s="6">
        <v>17</v>
      </c>
      <c r="Q72" s="6">
        <v>6</v>
      </c>
      <c r="R72" s="6">
        <v>4</v>
      </c>
      <c r="S72" s="6">
        <v>3</v>
      </c>
      <c r="T72" s="6">
        <v>4</v>
      </c>
      <c r="U72" s="6">
        <v>5</v>
      </c>
      <c r="V72" s="6">
        <v>3</v>
      </c>
      <c r="W72" s="6">
        <v>7</v>
      </c>
      <c r="X72" s="5">
        <f t="shared" si="14"/>
        <v>118</v>
      </c>
    </row>
    <row r="73" spans="1:24" x14ac:dyDescent="0.3">
      <c r="A73" s="7"/>
      <c r="B73" s="54"/>
      <c r="C73" s="24" t="s">
        <v>143</v>
      </c>
      <c r="D73" s="51"/>
      <c r="E73" s="6">
        <v>4</v>
      </c>
      <c r="F73" s="6">
        <v>1</v>
      </c>
      <c r="G73" s="6">
        <v>1</v>
      </c>
      <c r="H73" s="6">
        <v>0</v>
      </c>
      <c r="I73" s="6">
        <v>1</v>
      </c>
      <c r="J73" s="6">
        <v>0</v>
      </c>
      <c r="K73" s="6">
        <v>1</v>
      </c>
      <c r="L73" s="6">
        <v>3</v>
      </c>
      <c r="M73" s="6">
        <v>4</v>
      </c>
      <c r="N73" s="6">
        <v>10</v>
      </c>
      <c r="O73" s="6">
        <v>18</v>
      </c>
      <c r="P73" s="6">
        <v>2</v>
      </c>
      <c r="Q73" s="6">
        <v>6</v>
      </c>
      <c r="R73" s="6">
        <v>4</v>
      </c>
      <c r="S73" s="6">
        <v>0</v>
      </c>
      <c r="T73" s="6">
        <v>2</v>
      </c>
      <c r="U73" s="6">
        <v>4</v>
      </c>
      <c r="V73" s="6">
        <v>3</v>
      </c>
      <c r="W73" s="6">
        <v>4</v>
      </c>
      <c r="X73" s="5">
        <f t="shared" si="14"/>
        <v>68</v>
      </c>
    </row>
    <row r="74" spans="1:24" ht="13.15" customHeight="1" x14ac:dyDescent="0.3">
      <c r="A74" s="7"/>
      <c r="B74" s="54"/>
      <c r="C74" s="24" t="s">
        <v>144</v>
      </c>
      <c r="D74" s="51"/>
      <c r="E74" s="6">
        <v>1</v>
      </c>
      <c r="F74" s="6">
        <v>1</v>
      </c>
      <c r="G74" s="6">
        <v>0</v>
      </c>
      <c r="H74" s="6">
        <v>5</v>
      </c>
      <c r="I74" s="6">
        <v>2</v>
      </c>
      <c r="J74" s="6">
        <v>3</v>
      </c>
      <c r="K74" s="6">
        <v>1</v>
      </c>
      <c r="L74" s="6">
        <v>2</v>
      </c>
      <c r="M74" s="6">
        <v>1</v>
      </c>
      <c r="N74" s="6">
        <v>0</v>
      </c>
      <c r="O74" s="6">
        <v>1</v>
      </c>
      <c r="P74" s="6">
        <v>3</v>
      </c>
      <c r="Q74" s="6">
        <v>1</v>
      </c>
      <c r="R74" s="6">
        <v>0</v>
      </c>
      <c r="S74" s="6">
        <v>0</v>
      </c>
      <c r="T74" s="6">
        <v>3</v>
      </c>
      <c r="U74" s="6">
        <v>2</v>
      </c>
      <c r="V74" s="6">
        <v>0</v>
      </c>
      <c r="W74" s="6">
        <v>1</v>
      </c>
      <c r="X74" s="5">
        <f t="shared" si="14"/>
        <v>27</v>
      </c>
    </row>
    <row r="75" spans="1:24" x14ac:dyDescent="0.3">
      <c r="A75" s="7"/>
      <c r="B75" s="54"/>
      <c r="C75" s="24" t="s">
        <v>145</v>
      </c>
      <c r="D75" s="51"/>
      <c r="E75" s="6">
        <v>1</v>
      </c>
      <c r="F75" s="6">
        <v>0</v>
      </c>
      <c r="G75" s="6">
        <v>1</v>
      </c>
      <c r="H75" s="6">
        <v>0</v>
      </c>
      <c r="I75" s="6">
        <v>1</v>
      </c>
      <c r="J75" s="6">
        <v>1</v>
      </c>
      <c r="K75" s="6">
        <v>1</v>
      </c>
      <c r="L75" s="6">
        <v>0</v>
      </c>
      <c r="M75" s="6">
        <v>3</v>
      </c>
      <c r="N75" s="6">
        <v>1</v>
      </c>
      <c r="O75" s="6">
        <v>0</v>
      </c>
      <c r="P75" s="6">
        <v>4</v>
      </c>
      <c r="Q75" s="6">
        <v>2</v>
      </c>
      <c r="R75" s="6">
        <v>2</v>
      </c>
      <c r="S75" s="6">
        <v>1</v>
      </c>
      <c r="T75" s="6">
        <v>1</v>
      </c>
      <c r="U75" s="6">
        <v>1</v>
      </c>
      <c r="V75" s="6">
        <v>4</v>
      </c>
      <c r="W75" s="6">
        <v>1</v>
      </c>
      <c r="X75" s="5">
        <f t="shared" si="14"/>
        <v>25</v>
      </c>
    </row>
    <row r="76" spans="1:24" x14ac:dyDescent="0.3">
      <c r="A76" s="7"/>
      <c r="B76" s="54"/>
      <c r="C76" s="24" t="s">
        <v>146</v>
      </c>
      <c r="D76" s="51"/>
      <c r="E76" s="6">
        <v>1</v>
      </c>
      <c r="F76" s="6">
        <v>0</v>
      </c>
      <c r="G76" s="6">
        <v>0</v>
      </c>
      <c r="H76" s="6">
        <v>0</v>
      </c>
      <c r="I76" s="6">
        <v>2</v>
      </c>
      <c r="J76" s="6">
        <v>0</v>
      </c>
      <c r="K76" s="6">
        <v>1</v>
      </c>
      <c r="L76" s="6">
        <v>0</v>
      </c>
      <c r="M76" s="6">
        <v>0</v>
      </c>
      <c r="N76" s="6">
        <v>1</v>
      </c>
      <c r="O76" s="6">
        <v>2</v>
      </c>
      <c r="P76" s="6">
        <v>0</v>
      </c>
      <c r="Q76" s="6">
        <v>1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6">
        <v>1</v>
      </c>
      <c r="X76" s="5">
        <f t="shared" si="14"/>
        <v>10</v>
      </c>
    </row>
    <row r="77" spans="1:24" x14ac:dyDescent="0.3">
      <c r="A77" s="7"/>
      <c r="B77" s="54"/>
      <c r="C77" s="24" t="s">
        <v>147</v>
      </c>
      <c r="D77" s="51"/>
      <c r="E77" s="6">
        <v>1</v>
      </c>
      <c r="F77" s="6">
        <v>0</v>
      </c>
      <c r="G77" s="6">
        <v>1</v>
      </c>
      <c r="H77" s="6">
        <v>0</v>
      </c>
      <c r="I77" s="6">
        <v>1</v>
      </c>
      <c r="J77" s="6">
        <v>0</v>
      </c>
      <c r="K77" s="6">
        <v>1</v>
      </c>
      <c r="L77" s="6">
        <v>2</v>
      </c>
      <c r="M77" s="6">
        <v>0</v>
      </c>
      <c r="N77" s="6">
        <v>2</v>
      </c>
      <c r="O77" s="6">
        <v>1</v>
      </c>
      <c r="P77" s="6">
        <v>1</v>
      </c>
      <c r="Q77" s="6">
        <v>3</v>
      </c>
      <c r="R77" s="6">
        <v>1</v>
      </c>
      <c r="S77" s="6">
        <v>2</v>
      </c>
      <c r="T77" s="6">
        <v>3</v>
      </c>
      <c r="U77" s="6">
        <v>0</v>
      </c>
      <c r="V77" s="6">
        <v>1</v>
      </c>
      <c r="W77" s="6">
        <v>1</v>
      </c>
      <c r="X77" s="5">
        <f t="shared" si="14"/>
        <v>21</v>
      </c>
    </row>
    <row r="78" spans="1:24" x14ac:dyDescent="0.3">
      <c r="A78" s="7"/>
      <c r="B78" s="54"/>
      <c r="C78" s="24" t="s">
        <v>148</v>
      </c>
      <c r="D78" s="51"/>
      <c r="E78" s="6">
        <v>1</v>
      </c>
      <c r="F78" s="6">
        <v>0</v>
      </c>
      <c r="G78" s="6">
        <v>2</v>
      </c>
      <c r="H78" s="6">
        <v>0</v>
      </c>
      <c r="I78" s="6">
        <v>0</v>
      </c>
      <c r="J78" s="6">
        <v>1</v>
      </c>
      <c r="K78" s="6">
        <v>2</v>
      </c>
      <c r="L78" s="6">
        <v>0</v>
      </c>
      <c r="M78" s="6">
        <v>1</v>
      </c>
      <c r="N78" s="6">
        <v>0</v>
      </c>
      <c r="O78" s="6">
        <v>1</v>
      </c>
      <c r="P78" s="6">
        <v>0</v>
      </c>
      <c r="Q78" s="6">
        <v>0</v>
      </c>
      <c r="R78" s="6">
        <v>0</v>
      </c>
      <c r="S78" s="6">
        <v>2</v>
      </c>
      <c r="T78" s="6">
        <v>0</v>
      </c>
      <c r="U78" s="6">
        <v>1</v>
      </c>
      <c r="V78" s="6">
        <v>1</v>
      </c>
      <c r="W78" s="6">
        <v>0</v>
      </c>
      <c r="X78" s="5">
        <f t="shared" si="14"/>
        <v>12</v>
      </c>
    </row>
    <row r="79" spans="1:24" x14ac:dyDescent="0.3">
      <c r="A79" s="6" t="s">
        <v>26</v>
      </c>
      <c r="B79" s="69" t="s">
        <v>51</v>
      </c>
      <c r="C79" s="85"/>
      <c r="D79" s="76"/>
      <c r="E79" s="5">
        <f>SUM(E69:E78)</f>
        <v>46</v>
      </c>
      <c r="F79" s="5">
        <f t="shared" ref="F79:X79" si="15">SUM(F69:F78)</f>
        <v>23</v>
      </c>
      <c r="G79" s="5">
        <f t="shared" si="15"/>
        <v>36</v>
      </c>
      <c r="H79" s="5">
        <f t="shared" si="15"/>
        <v>42</v>
      </c>
      <c r="I79" s="5">
        <f t="shared" si="15"/>
        <v>49</v>
      </c>
      <c r="J79" s="5">
        <f t="shared" si="15"/>
        <v>50</v>
      </c>
      <c r="K79" s="5">
        <f t="shared" si="15"/>
        <v>45</v>
      </c>
      <c r="L79" s="5">
        <f t="shared" si="15"/>
        <v>45</v>
      </c>
      <c r="M79" s="5">
        <f t="shared" si="15"/>
        <v>42</v>
      </c>
      <c r="N79" s="5">
        <f t="shared" si="15"/>
        <v>41</v>
      </c>
      <c r="O79" s="5">
        <f t="shared" si="15"/>
        <v>45</v>
      </c>
      <c r="P79" s="5">
        <f t="shared" si="15"/>
        <v>94</v>
      </c>
      <c r="Q79" s="5">
        <f t="shared" si="15"/>
        <v>51</v>
      </c>
      <c r="R79" s="5">
        <f t="shared" si="15"/>
        <v>50</v>
      </c>
      <c r="S79" s="5">
        <f t="shared" si="15"/>
        <v>32</v>
      </c>
      <c r="T79" s="5">
        <f t="shared" si="15"/>
        <v>34</v>
      </c>
      <c r="U79" s="5">
        <f t="shared" si="15"/>
        <v>62</v>
      </c>
      <c r="V79" s="5">
        <f t="shared" si="15"/>
        <v>62</v>
      </c>
      <c r="W79" s="5">
        <f t="shared" si="15"/>
        <v>52</v>
      </c>
      <c r="X79" s="5">
        <f t="shared" si="15"/>
        <v>901</v>
      </c>
    </row>
    <row r="80" spans="1:24" x14ac:dyDescent="0.3">
      <c r="A80" s="86"/>
      <c r="B80" s="87"/>
      <c r="C80" s="87"/>
      <c r="D80" s="87"/>
      <c r="E80" s="87"/>
    </row>
    <row r="81" spans="1:24" x14ac:dyDescent="0.3">
      <c r="A81" s="11" t="s">
        <v>48</v>
      </c>
      <c r="B81" s="17" t="s">
        <v>34</v>
      </c>
      <c r="C81" s="75" t="s">
        <v>54</v>
      </c>
      <c r="D81" s="76"/>
      <c r="E81" s="6">
        <v>3</v>
      </c>
      <c r="F81" s="6">
        <v>2</v>
      </c>
      <c r="G81" s="6">
        <v>2</v>
      </c>
      <c r="H81" s="6">
        <v>3</v>
      </c>
      <c r="I81" s="6">
        <v>2</v>
      </c>
      <c r="J81" s="6">
        <v>1</v>
      </c>
      <c r="K81" s="6">
        <v>3</v>
      </c>
      <c r="L81" s="6">
        <v>2</v>
      </c>
      <c r="M81" s="6">
        <v>0</v>
      </c>
      <c r="N81" s="6">
        <v>1</v>
      </c>
      <c r="O81" s="6">
        <v>3</v>
      </c>
      <c r="P81" s="6">
        <v>6</v>
      </c>
      <c r="Q81" s="6">
        <v>3</v>
      </c>
      <c r="R81" s="6">
        <v>0</v>
      </c>
      <c r="S81" s="6">
        <v>1</v>
      </c>
      <c r="T81" s="6">
        <v>4</v>
      </c>
      <c r="U81" s="6">
        <v>6</v>
      </c>
      <c r="V81" s="6">
        <v>4</v>
      </c>
      <c r="W81" s="6">
        <v>5</v>
      </c>
      <c r="X81" s="5">
        <f>SUM(E81:W81)</f>
        <v>51</v>
      </c>
    </row>
    <row r="82" spans="1:24" x14ac:dyDescent="0.3">
      <c r="A82" s="11" t="s">
        <v>50</v>
      </c>
      <c r="B82" s="54"/>
      <c r="C82" s="24" t="s">
        <v>149</v>
      </c>
      <c r="D82" s="51"/>
      <c r="E82" s="6">
        <v>0</v>
      </c>
      <c r="F82" s="6">
        <v>1</v>
      </c>
      <c r="G82" s="6">
        <v>1</v>
      </c>
      <c r="H82" s="6">
        <v>0</v>
      </c>
      <c r="I82" s="6">
        <v>2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>
        <v>1</v>
      </c>
      <c r="P82" s="6">
        <v>0</v>
      </c>
      <c r="Q82" s="6">
        <v>0</v>
      </c>
      <c r="R82" s="6">
        <v>2</v>
      </c>
      <c r="S82" s="6">
        <v>1</v>
      </c>
      <c r="T82" s="6">
        <v>3</v>
      </c>
      <c r="U82" s="6">
        <v>1</v>
      </c>
      <c r="V82" s="6">
        <v>6</v>
      </c>
      <c r="W82" s="6">
        <v>2</v>
      </c>
      <c r="X82" s="5">
        <f t="shared" ref="X81:X91" si="16">SUM(E82:W82)</f>
        <v>21</v>
      </c>
    </row>
    <row r="83" spans="1:24" x14ac:dyDescent="0.3">
      <c r="A83" s="7"/>
      <c r="B83" s="54"/>
      <c r="C83" s="24" t="s">
        <v>150</v>
      </c>
      <c r="D83" s="51"/>
      <c r="E83" s="6">
        <v>0</v>
      </c>
      <c r="F83" s="6">
        <v>1</v>
      </c>
      <c r="G83" s="6">
        <v>0</v>
      </c>
      <c r="H83" s="6">
        <v>0</v>
      </c>
      <c r="I83" s="6">
        <v>1</v>
      </c>
      <c r="J83" s="6">
        <v>1</v>
      </c>
      <c r="K83" s="6">
        <v>1</v>
      </c>
      <c r="L83" s="6">
        <v>2</v>
      </c>
      <c r="M83" s="6">
        <v>2</v>
      </c>
      <c r="N83" s="6">
        <v>0</v>
      </c>
      <c r="O83" s="6">
        <v>2</v>
      </c>
      <c r="P83" s="6">
        <v>1</v>
      </c>
      <c r="Q83" s="6">
        <v>1</v>
      </c>
      <c r="R83" s="6">
        <v>0</v>
      </c>
      <c r="S83" s="6">
        <v>0</v>
      </c>
      <c r="T83" s="6">
        <v>2</v>
      </c>
      <c r="U83" s="6">
        <v>0</v>
      </c>
      <c r="V83" s="6">
        <v>3</v>
      </c>
      <c r="W83" s="6">
        <v>0</v>
      </c>
      <c r="X83" s="5">
        <f t="shared" si="16"/>
        <v>17</v>
      </c>
    </row>
    <row r="84" spans="1:24" x14ac:dyDescent="0.3">
      <c r="A84" s="7"/>
      <c r="B84" s="54"/>
      <c r="C84" s="24" t="s">
        <v>151</v>
      </c>
      <c r="D84" s="51"/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2</v>
      </c>
      <c r="R84" s="6">
        <v>0</v>
      </c>
      <c r="S84" s="6">
        <v>1</v>
      </c>
      <c r="T84" s="6">
        <v>0</v>
      </c>
      <c r="U84" s="6">
        <v>1</v>
      </c>
      <c r="V84" s="6">
        <v>0</v>
      </c>
      <c r="W84" s="6">
        <v>0</v>
      </c>
      <c r="X84" s="5">
        <f t="shared" si="16"/>
        <v>7</v>
      </c>
    </row>
    <row r="85" spans="1:24" ht="13.15" customHeight="1" x14ac:dyDescent="0.3">
      <c r="A85" s="7"/>
      <c r="B85" s="54"/>
      <c r="C85" s="24" t="s">
        <v>152</v>
      </c>
      <c r="D85" s="51"/>
      <c r="E85" s="6">
        <v>1</v>
      </c>
      <c r="F85" s="6">
        <v>1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1</v>
      </c>
      <c r="N85" s="6">
        <v>0</v>
      </c>
      <c r="O85" s="6">
        <v>1</v>
      </c>
      <c r="P85" s="6">
        <v>2</v>
      </c>
      <c r="Q85" s="6">
        <v>1</v>
      </c>
      <c r="R85" s="6">
        <v>3</v>
      </c>
      <c r="S85" s="6">
        <v>0</v>
      </c>
      <c r="T85" s="6">
        <v>2</v>
      </c>
      <c r="U85" s="6">
        <v>1</v>
      </c>
      <c r="V85" s="6">
        <v>1</v>
      </c>
      <c r="W85" s="6">
        <v>1</v>
      </c>
      <c r="X85" s="5">
        <f t="shared" si="16"/>
        <v>16</v>
      </c>
    </row>
    <row r="86" spans="1:24" x14ac:dyDescent="0.3">
      <c r="A86" s="7"/>
      <c r="B86" s="54"/>
      <c r="C86" s="24" t="s">
        <v>153</v>
      </c>
      <c r="D86" s="51"/>
      <c r="E86" s="6">
        <v>0</v>
      </c>
      <c r="F86" s="6">
        <v>2</v>
      </c>
      <c r="G86" s="6">
        <v>0</v>
      </c>
      <c r="H86" s="6">
        <v>0</v>
      </c>
      <c r="I86" s="6">
        <v>0</v>
      </c>
      <c r="J86" s="6">
        <v>0</v>
      </c>
      <c r="K86" s="6">
        <v>2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2</v>
      </c>
      <c r="R86" s="6">
        <v>0</v>
      </c>
      <c r="S86" s="6">
        <v>1</v>
      </c>
      <c r="T86" s="6">
        <v>1</v>
      </c>
      <c r="U86" s="6">
        <v>0</v>
      </c>
      <c r="V86" s="6">
        <v>6</v>
      </c>
      <c r="W86" s="6">
        <v>5</v>
      </c>
      <c r="X86" s="5">
        <f t="shared" si="16"/>
        <v>19</v>
      </c>
    </row>
    <row r="87" spans="1:24" x14ac:dyDescent="0.3">
      <c r="A87" s="7"/>
      <c r="B87" s="54"/>
      <c r="C87" s="24" t="s">
        <v>154</v>
      </c>
      <c r="D87" s="51"/>
      <c r="E87" s="6">
        <v>1</v>
      </c>
      <c r="F87" s="6">
        <v>1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1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2</v>
      </c>
      <c r="X87" s="5">
        <f t="shared" si="16"/>
        <v>7</v>
      </c>
    </row>
    <row r="88" spans="1:24" x14ac:dyDescent="0.3">
      <c r="A88" s="7"/>
      <c r="B88" s="54"/>
      <c r="C88" s="24" t="s">
        <v>155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1</v>
      </c>
      <c r="R88" s="6">
        <v>0</v>
      </c>
      <c r="S88" s="6">
        <v>0</v>
      </c>
      <c r="T88" s="6">
        <v>0</v>
      </c>
      <c r="U88" s="6">
        <v>1</v>
      </c>
      <c r="V88" s="6">
        <v>0</v>
      </c>
      <c r="W88" s="6">
        <v>0</v>
      </c>
      <c r="X88" s="5">
        <f t="shared" si="16"/>
        <v>3</v>
      </c>
    </row>
    <row r="89" spans="1:24" x14ac:dyDescent="0.3">
      <c r="A89" s="7"/>
      <c r="B89" s="54"/>
      <c r="C89" s="24" t="s">
        <v>156</v>
      </c>
      <c r="D89" s="51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5">
        <f t="shared" si="16"/>
        <v>0</v>
      </c>
    </row>
    <row r="90" spans="1:24" x14ac:dyDescent="0.3">
      <c r="A90" s="7"/>
      <c r="B90" s="54"/>
      <c r="C90" s="24" t="s">
        <v>157</v>
      </c>
      <c r="D90" s="51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2</v>
      </c>
      <c r="U90" s="6">
        <v>0</v>
      </c>
      <c r="V90" s="6">
        <v>2</v>
      </c>
      <c r="W90" s="6">
        <v>0</v>
      </c>
      <c r="X90" s="5">
        <f t="shared" si="16"/>
        <v>6</v>
      </c>
    </row>
    <row r="91" spans="1:24" x14ac:dyDescent="0.3">
      <c r="A91" s="6" t="s">
        <v>26</v>
      </c>
      <c r="B91" s="69" t="s">
        <v>51</v>
      </c>
      <c r="C91" s="85"/>
      <c r="D91" s="76"/>
      <c r="E91" s="5">
        <f>SUM(E81:E90)</f>
        <v>5</v>
      </c>
      <c r="F91" s="5">
        <f t="shared" ref="F91:X91" si="17">SUM(F81:F90)</f>
        <v>8</v>
      </c>
      <c r="G91" s="5">
        <f t="shared" si="17"/>
        <v>4</v>
      </c>
      <c r="H91" s="5">
        <f t="shared" si="17"/>
        <v>4</v>
      </c>
      <c r="I91" s="5">
        <f t="shared" si="17"/>
        <v>5</v>
      </c>
      <c r="J91" s="5">
        <f t="shared" si="17"/>
        <v>4</v>
      </c>
      <c r="K91" s="5">
        <f t="shared" si="17"/>
        <v>6</v>
      </c>
      <c r="L91" s="5">
        <f t="shared" si="17"/>
        <v>5</v>
      </c>
      <c r="M91" s="5">
        <f t="shared" si="17"/>
        <v>3</v>
      </c>
      <c r="N91" s="5">
        <f t="shared" si="17"/>
        <v>4</v>
      </c>
      <c r="O91" s="5">
        <f t="shared" si="17"/>
        <v>8</v>
      </c>
      <c r="P91" s="5">
        <f t="shared" si="17"/>
        <v>10</v>
      </c>
      <c r="Q91" s="5">
        <f t="shared" si="17"/>
        <v>11</v>
      </c>
      <c r="R91" s="5">
        <f t="shared" si="17"/>
        <v>5</v>
      </c>
      <c r="S91" s="5">
        <f t="shared" si="17"/>
        <v>4</v>
      </c>
      <c r="T91" s="5">
        <f t="shared" si="17"/>
        <v>14</v>
      </c>
      <c r="U91" s="5">
        <f t="shared" si="17"/>
        <v>10</v>
      </c>
      <c r="V91" s="5">
        <f t="shared" si="17"/>
        <v>22</v>
      </c>
      <c r="W91" s="5">
        <f t="shared" si="17"/>
        <v>15</v>
      </c>
      <c r="X91" s="5">
        <f t="shared" si="17"/>
        <v>147</v>
      </c>
    </row>
    <row r="92" spans="1:24" x14ac:dyDescent="0.3">
      <c r="A92" s="86"/>
      <c r="B92" s="87"/>
      <c r="C92" s="87"/>
      <c r="D92" s="87"/>
      <c r="E92" s="87"/>
    </row>
    <row r="93" spans="1:24" x14ac:dyDescent="0.3">
      <c r="A93" s="11" t="s">
        <v>48</v>
      </c>
      <c r="B93" s="17" t="s">
        <v>55</v>
      </c>
      <c r="C93" s="75" t="s">
        <v>56</v>
      </c>
      <c r="D93" s="76"/>
      <c r="E93" s="6">
        <v>2</v>
      </c>
      <c r="F93" s="6">
        <v>0</v>
      </c>
      <c r="G93" s="6">
        <v>1</v>
      </c>
      <c r="H93" s="6">
        <v>2</v>
      </c>
      <c r="I93" s="6">
        <v>0</v>
      </c>
      <c r="J93" s="6">
        <v>1</v>
      </c>
      <c r="K93" s="6">
        <v>1</v>
      </c>
      <c r="L93" s="6">
        <v>3</v>
      </c>
      <c r="M93" s="6">
        <v>0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2</v>
      </c>
      <c r="T93" s="6">
        <v>0</v>
      </c>
      <c r="U93" s="6">
        <v>1</v>
      </c>
      <c r="V93" s="6">
        <v>0</v>
      </c>
      <c r="W93" s="6">
        <v>1</v>
      </c>
      <c r="X93" s="5">
        <f>SUM(E93:W93)</f>
        <v>15</v>
      </c>
    </row>
    <row r="94" spans="1:24" x14ac:dyDescent="0.3">
      <c r="A94" s="11" t="s">
        <v>50</v>
      </c>
      <c r="B94" s="54"/>
      <c r="C94" s="24" t="s">
        <v>158</v>
      </c>
      <c r="D94" s="51"/>
      <c r="E94" s="6">
        <v>2</v>
      </c>
      <c r="F94" s="6">
        <v>4</v>
      </c>
      <c r="G94" s="6">
        <v>2</v>
      </c>
      <c r="H94" s="6">
        <v>0</v>
      </c>
      <c r="I94" s="6">
        <v>1</v>
      </c>
      <c r="J94" s="6">
        <v>3</v>
      </c>
      <c r="K94" s="6">
        <v>1</v>
      </c>
      <c r="L94" s="6">
        <v>2</v>
      </c>
      <c r="M94" s="6">
        <v>0</v>
      </c>
      <c r="N94" s="6">
        <v>1</v>
      </c>
      <c r="O94" s="6">
        <v>0</v>
      </c>
      <c r="P94" s="6">
        <v>0</v>
      </c>
      <c r="Q94" s="6">
        <v>15</v>
      </c>
      <c r="R94" s="6">
        <v>8</v>
      </c>
      <c r="S94" s="6">
        <v>4</v>
      </c>
      <c r="T94" s="6">
        <v>6</v>
      </c>
      <c r="U94" s="6">
        <v>3</v>
      </c>
      <c r="V94" s="6">
        <v>1</v>
      </c>
      <c r="W94" s="6">
        <v>0</v>
      </c>
      <c r="X94" s="5">
        <f t="shared" ref="X93:X103" si="18">SUM(E94:W94)</f>
        <v>53</v>
      </c>
    </row>
    <row r="95" spans="1:24" x14ac:dyDescent="0.3">
      <c r="A95" s="7"/>
      <c r="B95" s="54"/>
      <c r="C95" s="24" t="s">
        <v>159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1</v>
      </c>
      <c r="W95" s="6">
        <v>0</v>
      </c>
      <c r="X95" s="5">
        <f t="shared" si="18"/>
        <v>2</v>
      </c>
    </row>
    <row r="96" spans="1:24" ht="13.15" customHeight="1" x14ac:dyDescent="0.3">
      <c r="A96" s="7"/>
      <c r="B96" s="54"/>
      <c r="C96" s="24" t="s">
        <v>160</v>
      </c>
      <c r="D96" s="51"/>
      <c r="E96" s="6">
        <v>0</v>
      </c>
      <c r="F96" s="6">
        <v>0</v>
      </c>
      <c r="G96" s="6">
        <v>0</v>
      </c>
      <c r="H96" s="6">
        <v>1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1</v>
      </c>
      <c r="W96" s="6">
        <v>0</v>
      </c>
      <c r="X96" s="5">
        <f t="shared" si="18"/>
        <v>3</v>
      </c>
    </row>
    <row r="97" spans="1:24" x14ac:dyDescent="0.3">
      <c r="A97" s="7"/>
      <c r="B97" s="54"/>
      <c r="C97" s="24" t="s">
        <v>161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6">
        <v>0</v>
      </c>
      <c r="W97" s="6">
        <v>0</v>
      </c>
      <c r="X97" s="5">
        <f t="shared" si="18"/>
        <v>1</v>
      </c>
    </row>
    <row r="98" spans="1:24" x14ac:dyDescent="0.3">
      <c r="A98" s="7"/>
      <c r="B98" s="54"/>
      <c r="C98" s="24" t="s">
        <v>162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5">
        <f t="shared" si="18"/>
        <v>1</v>
      </c>
    </row>
    <row r="99" spans="1:24" x14ac:dyDescent="0.3">
      <c r="A99" s="7"/>
      <c r="B99" s="54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1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5">
        <f t="shared" si="18"/>
        <v>1</v>
      </c>
    </row>
    <row r="100" spans="1:24" x14ac:dyDescent="0.3">
      <c r="A100" s="7"/>
      <c r="B100" s="54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5">
        <f t="shared" si="18"/>
        <v>0</v>
      </c>
    </row>
    <row r="101" spans="1:24" x14ac:dyDescent="0.3">
      <c r="A101" s="7"/>
      <c r="B101" s="54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5">
        <f t="shared" si="18"/>
        <v>0</v>
      </c>
    </row>
    <row r="102" spans="1:24" x14ac:dyDescent="0.3">
      <c r="A102" s="7"/>
      <c r="B102" s="54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5">
        <f t="shared" si="18"/>
        <v>0</v>
      </c>
    </row>
    <row r="103" spans="1:24" x14ac:dyDescent="0.3">
      <c r="A103" s="6" t="s">
        <v>26</v>
      </c>
      <c r="B103" s="69" t="s">
        <v>51</v>
      </c>
      <c r="C103" s="85"/>
      <c r="D103" s="76"/>
      <c r="E103" s="5">
        <f>SUM(E93:E102)</f>
        <v>4</v>
      </c>
      <c r="F103" s="5">
        <f t="shared" ref="F103:X103" si="19">SUM(F93:F102)</f>
        <v>4</v>
      </c>
      <c r="G103" s="5">
        <f t="shared" si="19"/>
        <v>3</v>
      </c>
      <c r="H103" s="5">
        <f t="shared" si="19"/>
        <v>3</v>
      </c>
      <c r="I103" s="5">
        <f t="shared" si="19"/>
        <v>2</v>
      </c>
      <c r="J103" s="5">
        <f t="shared" si="19"/>
        <v>5</v>
      </c>
      <c r="K103" s="5">
        <f t="shared" si="19"/>
        <v>2</v>
      </c>
      <c r="L103" s="5">
        <f t="shared" si="19"/>
        <v>5</v>
      </c>
      <c r="M103" s="5">
        <f t="shared" si="19"/>
        <v>0</v>
      </c>
      <c r="N103" s="5">
        <f t="shared" si="19"/>
        <v>3</v>
      </c>
      <c r="O103" s="5">
        <f t="shared" si="19"/>
        <v>0</v>
      </c>
      <c r="P103" s="5">
        <f t="shared" si="19"/>
        <v>0</v>
      </c>
      <c r="Q103" s="5">
        <f t="shared" si="19"/>
        <v>16</v>
      </c>
      <c r="R103" s="5">
        <f t="shared" si="19"/>
        <v>8</v>
      </c>
      <c r="S103" s="5">
        <f t="shared" si="19"/>
        <v>7</v>
      </c>
      <c r="T103" s="5">
        <f t="shared" si="19"/>
        <v>6</v>
      </c>
      <c r="U103" s="5">
        <f t="shared" si="19"/>
        <v>4</v>
      </c>
      <c r="V103" s="5">
        <f t="shared" si="19"/>
        <v>3</v>
      </c>
      <c r="W103" s="5">
        <f t="shared" si="19"/>
        <v>1</v>
      </c>
      <c r="X103" s="5">
        <f t="shared" si="19"/>
        <v>76</v>
      </c>
    </row>
    <row r="104" spans="1:24" x14ac:dyDescent="0.3">
      <c r="A104" s="86"/>
      <c r="B104" s="87"/>
      <c r="C104" s="87"/>
      <c r="D104" s="87"/>
      <c r="E104" s="8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x14ac:dyDescent="0.3">
      <c r="A105" s="11" t="s">
        <v>48</v>
      </c>
      <c r="B105" s="17" t="s">
        <v>57</v>
      </c>
      <c r="C105" s="75" t="s">
        <v>58</v>
      </c>
      <c r="D105" s="76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1</v>
      </c>
      <c r="T105" s="6">
        <v>0</v>
      </c>
      <c r="U105" s="6">
        <v>3</v>
      </c>
      <c r="V105" s="6">
        <v>0</v>
      </c>
      <c r="W105" s="6">
        <v>1</v>
      </c>
      <c r="X105" s="5">
        <f>SUM(E105:W105)</f>
        <v>8</v>
      </c>
    </row>
    <row r="106" spans="1:24" x14ac:dyDescent="0.3">
      <c r="A106" s="11" t="s">
        <v>50</v>
      </c>
      <c r="B106" s="54"/>
      <c r="C106" s="24" t="s">
        <v>167</v>
      </c>
      <c r="D106" s="5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2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2</v>
      </c>
      <c r="X106" s="5">
        <f>SUM(E106:W106)</f>
        <v>5</v>
      </c>
    </row>
    <row r="107" spans="1:24" ht="13.15" customHeight="1" x14ac:dyDescent="0.3">
      <c r="A107" s="7"/>
      <c r="B107" s="54"/>
      <c r="C107" s="24" t="s">
        <v>168</v>
      </c>
      <c r="D107" s="51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1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1</v>
      </c>
      <c r="T107" s="6">
        <v>0</v>
      </c>
      <c r="U107" s="6">
        <v>0</v>
      </c>
      <c r="V107" s="6">
        <v>0</v>
      </c>
      <c r="W107" s="6">
        <v>0</v>
      </c>
      <c r="X107" s="5">
        <f>SUM(E107:W107)</f>
        <v>2</v>
      </c>
    </row>
    <row r="108" spans="1:24" x14ac:dyDescent="0.3">
      <c r="A108" s="7"/>
      <c r="B108" s="46"/>
      <c r="C108" s="47"/>
      <c r="D108" s="49"/>
      <c r="E108" s="6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50"/>
    </row>
    <row r="109" spans="1:24" x14ac:dyDescent="0.3">
      <c r="A109" s="7"/>
      <c r="B109" s="46"/>
      <c r="C109" s="47"/>
      <c r="D109" s="49"/>
      <c r="E109" s="6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50"/>
    </row>
    <row r="110" spans="1:24" x14ac:dyDescent="0.3">
      <c r="A110" s="7"/>
      <c r="B110" s="46"/>
      <c r="C110" s="47"/>
      <c r="D110" s="49"/>
      <c r="E110" s="6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50"/>
    </row>
    <row r="111" spans="1:24" x14ac:dyDescent="0.3">
      <c r="A111" s="7"/>
      <c r="B111" s="46"/>
      <c r="C111" s="47"/>
      <c r="D111" s="49"/>
      <c r="E111" s="6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50"/>
    </row>
    <row r="112" spans="1:24" x14ac:dyDescent="0.3">
      <c r="A112" s="7"/>
      <c r="B112" s="46"/>
      <c r="C112" s="47"/>
      <c r="D112" s="49"/>
      <c r="E112" s="6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50"/>
    </row>
    <row r="113" spans="1:26" x14ac:dyDescent="0.3">
      <c r="A113" s="7"/>
      <c r="B113" s="46"/>
      <c r="C113" s="47"/>
      <c r="D113" s="49"/>
      <c r="E113" s="6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50"/>
    </row>
    <row r="114" spans="1:26" x14ac:dyDescent="0.3">
      <c r="A114" s="7"/>
      <c r="B114" s="46"/>
      <c r="C114" s="47"/>
      <c r="D114" s="49"/>
      <c r="E114" s="6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50"/>
    </row>
    <row r="115" spans="1:26" ht="13.15" customHeight="1" x14ac:dyDescent="0.3">
      <c r="A115" s="6" t="s">
        <v>26</v>
      </c>
      <c r="B115" s="69" t="s">
        <v>51</v>
      </c>
      <c r="C115" s="70"/>
      <c r="D115" s="71"/>
      <c r="E115" s="5">
        <f>SUM(E105:E114)</f>
        <v>1</v>
      </c>
      <c r="F115" s="5">
        <f t="shared" ref="F115:X115" si="20">SUM(F105:F114)</f>
        <v>0</v>
      </c>
      <c r="G115" s="5">
        <f t="shared" si="20"/>
        <v>0</v>
      </c>
      <c r="H115" s="5">
        <f t="shared" si="20"/>
        <v>0</v>
      </c>
      <c r="I115" s="5">
        <f t="shared" si="20"/>
        <v>0</v>
      </c>
      <c r="J115" s="5">
        <f t="shared" si="20"/>
        <v>2</v>
      </c>
      <c r="K115" s="5">
        <f t="shared" si="20"/>
        <v>1</v>
      </c>
      <c r="L115" s="5">
        <f t="shared" si="20"/>
        <v>0</v>
      </c>
      <c r="M115" s="5">
        <f t="shared" si="20"/>
        <v>1</v>
      </c>
      <c r="N115" s="5">
        <f t="shared" si="20"/>
        <v>0</v>
      </c>
      <c r="O115" s="5">
        <f t="shared" si="20"/>
        <v>1</v>
      </c>
      <c r="P115" s="5">
        <f t="shared" si="20"/>
        <v>1</v>
      </c>
      <c r="Q115" s="5">
        <f t="shared" si="20"/>
        <v>0</v>
      </c>
      <c r="R115" s="5">
        <f t="shared" si="20"/>
        <v>0</v>
      </c>
      <c r="S115" s="5">
        <f t="shared" si="20"/>
        <v>2</v>
      </c>
      <c r="T115" s="5">
        <f t="shared" si="20"/>
        <v>0</v>
      </c>
      <c r="U115" s="5">
        <f t="shared" si="20"/>
        <v>3</v>
      </c>
      <c r="V115" s="5">
        <f t="shared" si="20"/>
        <v>0</v>
      </c>
      <c r="W115" s="5">
        <f t="shared" si="20"/>
        <v>3</v>
      </c>
      <c r="X115" s="5">
        <f t="shared" si="20"/>
        <v>15</v>
      </c>
    </row>
    <row r="116" spans="1:26" x14ac:dyDescent="0.3">
      <c r="A116" s="77"/>
      <c r="B116" s="78"/>
      <c r="C116" s="78"/>
      <c r="D116" s="78"/>
      <c r="E116" s="7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X116" s="5"/>
    </row>
    <row r="117" spans="1:26" x14ac:dyDescent="0.3">
      <c r="A117" s="11" t="s">
        <v>48</v>
      </c>
      <c r="B117" s="17" t="s">
        <v>59</v>
      </c>
      <c r="C117" s="75" t="s">
        <v>60</v>
      </c>
      <c r="D117" s="76"/>
      <c r="E117" s="6">
        <v>0</v>
      </c>
      <c r="F117" s="6">
        <v>1</v>
      </c>
      <c r="G117" s="6">
        <v>0</v>
      </c>
      <c r="H117" s="6">
        <v>0</v>
      </c>
      <c r="I117" s="6">
        <v>2</v>
      </c>
      <c r="J117" s="6">
        <v>1</v>
      </c>
      <c r="K117" s="6">
        <v>1</v>
      </c>
      <c r="L117" s="6">
        <v>1</v>
      </c>
      <c r="M117" s="6">
        <v>0</v>
      </c>
      <c r="N117" s="6">
        <v>0</v>
      </c>
      <c r="O117" s="6">
        <v>0</v>
      </c>
      <c r="P117" s="6">
        <v>1</v>
      </c>
      <c r="Q117" s="6">
        <v>2</v>
      </c>
      <c r="R117" s="6">
        <v>1</v>
      </c>
      <c r="S117" s="6">
        <v>0</v>
      </c>
      <c r="T117" s="6">
        <v>1</v>
      </c>
      <c r="U117" s="6">
        <v>2</v>
      </c>
      <c r="V117" s="6">
        <v>0</v>
      </c>
      <c r="W117" s="6">
        <v>1</v>
      </c>
      <c r="X117" s="5">
        <f t="shared" ref="X117:X122" si="21">SUM(E117:W117)</f>
        <v>14</v>
      </c>
      <c r="Y117" s="20"/>
      <c r="Z117" s="20"/>
    </row>
    <row r="118" spans="1:26" x14ac:dyDescent="0.3">
      <c r="A118" s="11" t="s">
        <v>50</v>
      </c>
      <c r="B118" s="54"/>
      <c r="C118" s="24" t="s">
        <v>169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1</v>
      </c>
      <c r="J118" s="6">
        <v>1</v>
      </c>
      <c r="K118" s="6">
        <v>0</v>
      </c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5">
        <f t="shared" si="21"/>
        <v>3</v>
      </c>
      <c r="Y118" s="20"/>
      <c r="Z118" s="20"/>
    </row>
    <row r="119" spans="1:26" x14ac:dyDescent="0.3">
      <c r="A119" s="7"/>
      <c r="B119" s="54"/>
      <c r="C119" s="24" t="s">
        <v>170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>
        <v>1</v>
      </c>
      <c r="L119" s="6">
        <v>0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6">
        <v>0</v>
      </c>
      <c r="W119" s="6">
        <v>0</v>
      </c>
      <c r="X119" s="5">
        <f t="shared" si="21"/>
        <v>4</v>
      </c>
      <c r="Y119" s="20"/>
      <c r="Z119" s="20"/>
    </row>
    <row r="120" spans="1:26" x14ac:dyDescent="0.3">
      <c r="A120" s="7"/>
      <c r="B120" s="54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5">
        <f t="shared" si="21"/>
        <v>1</v>
      </c>
      <c r="Y120" s="20"/>
      <c r="Z120" s="20"/>
    </row>
    <row r="121" spans="1:26" x14ac:dyDescent="0.3">
      <c r="A121" s="7"/>
      <c r="B121" s="54"/>
      <c r="C121" s="24" t="s">
        <v>172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5">
        <f t="shared" si="21"/>
        <v>0</v>
      </c>
      <c r="Y121" s="20"/>
      <c r="Z121" s="20"/>
    </row>
    <row r="122" spans="1:26" x14ac:dyDescent="0.3">
      <c r="A122" s="7"/>
      <c r="B122" s="54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5">
        <f t="shared" si="21"/>
        <v>1</v>
      </c>
      <c r="Y122" s="20"/>
      <c r="Z122" s="20"/>
    </row>
    <row r="123" spans="1:26" x14ac:dyDescent="0.3">
      <c r="A123" s="7"/>
      <c r="B123" s="46"/>
      <c r="C123" s="47"/>
      <c r="D123" s="49"/>
      <c r="E123" s="62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50"/>
      <c r="Y123" s="20"/>
      <c r="Z123" s="20"/>
    </row>
    <row r="124" spans="1:26" x14ac:dyDescent="0.3">
      <c r="A124" s="7"/>
      <c r="B124" s="46"/>
      <c r="C124" s="47"/>
      <c r="D124" s="49"/>
      <c r="E124" s="62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50"/>
      <c r="Y124" s="20"/>
      <c r="Z124" s="20"/>
    </row>
    <row r="125" spans="1:26" x14ac:dyDescent="0.3">
      <c r="A125" s="7"/>
      <c r="B125" s="46"/>
      <c r="C125" s="47"/>
      <c r="D125" s="49"/>
      <c r="E125" s="62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50"/>
      <c r="Y125" s="20"/>
      <c r="Z125" s="20"/>
    </row>
    <row r="126" spans="1:26" x14ac:dyDescent="0.3">
      <c r="A126" s="7"/>
      <c r="B126" s="46"/>
      <c r="C126" s="47"/>
      <c r="D126" s="49"/>
      <c r="E126" s="62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50"/>
      <c r="Y126" s="20"/>
      <c r="Z126" s="20"/>
    </row>
    <row r="127" spans="1:26" x14ac:dyDescent="0.3">
      <c r="A127" s="6" t="s">
        <v>26</v>
      </c>
      <c r="B127" s="69" t="s">
        <v>51</v>
      </c>
      <c r="C127" s="70"/>
      <c r="D127" s="71"/>
      <c r="E127" s="5">
        <f>SUM(E117:E126)</f>
        <v>0</v>
      </c>
      <c r="F127" s="5">
        <f t="shared" ref="F127:X127" si="22">SUM(F117:F126)</f>
        <v>1</v>
      </c>
      <c r="G127" s="5">
        <f t="shared" si="22"/>
        <v>0</v>
      </c>
      <c r="H127" s="5">
        <f t="shared" si="22"/>
        <v>0</v>
      </c>
      <c r="I127" s="5">
        <f t="shared" si="22"/>
        <v>5</v>
      </c>
      <c r="J127" s="5">
        <f t="shared" si="22"/>
        <v>2</v>
      </c>
      <c r="K127" s="5">
        <f t="shared" si="22"/>
        <v>2</v>
      </c>
      <c r="L127" s="5">
        <f t="shared" si="22"/>
        <v>2</v>
      </c>
      <c r="M127" s="5">
        <f t="shared" si="22"/>
        <v>1</v>
      </c>
      <c r="N127" s="5">
        <f t="shared" si="22"/>
        <v>1</v>
      </c>
      <c r="O127" s="5">
        <f t="shared" si="22"/>
        <v>0</v>
      </c>
      <c r="P127" s="5">
        <f t="shared" si="22"/>
        <v>1</v>
      </c>
      <c r="Q127" s="5">
        <f t="shared" si="22"/>
        <v>2</v>
      </c>
      <c r="R127" s="5">
        <f t="shared" si="22"/>
        <v>1</v>
      </c>
      <c r="S127" s="5">
        <f t="shared" si="22"/>
        <v>0</v>
      </c>
      <c r="T127" s="5">
        <f t="shared" si="22"/>
        <v>2</v>
      </c>
      <c r="U127" s="5">
        <f t="shared" si="22"/>
        <v>2</v>
      </c>
      <c r="V127" s="5">
        <f t="shared" si="22"/>
        <v>0</v>
      </c>
      <c r="W127" s="5">
        <f t="shared" si="22"/>
        <v>1</v>
      </c>
      <c r="X127" s="5">
        <f t="shared" si="22"/>
        <v>23</v>
      </c>
      <c r="Y127" s="20"/>
      <c r="Z127" s="20"/>
    </row>
    <row r="128" spans="1:26" x14ac:dyDescent="0.3">
      <c r="A128" s="77"/>
      <c r="B128" s="78"/>
      <c r="C128" s="78"/>
      <c r="D128" s="78"/>
      <c r="E128" s="7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20"/>
      <c r="Z128" s="20"/>
    </row>
    <row r="129" spans="1:26" x14ac:dyDescent="0.3">
      <c r="A129" s="11" t="s">
        <v>48</v>
      </c>
      <c r="B129" s="17" t="s">
        <v>61</v>
      </c>
      <c r="C129" s="75" t="s">
        <v>62</v>
      </c>
      <c r="D129" s="76"/>
      <c r="E129" s="6">
        <v>2</v>
      </c>
      <c r="F129" s="6">
        <v>2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3</v>
      </c>
      <c r="M129" s="6">
        <v>0</v>
      </c>
      <c r="N129" s="6">
        <v>3</v>
      </c>
      <c r="O129" s="6">
        <v>0</v>
      </c>
      <c r="P129" s="6">
        <v>0</v>
      </c>
      <c r="Q129" s="6">
        <v>2</v>
      </c>
      <c r="R129" s="6">
        <v>0</v>
      </c>
      <c r="S129" s="6">
        <v>2</v>
      </c>
      <c r="T129" s="6">
        <v>0</v>
      </c>
      <c r="U129" s="6">
        <v>0</v>
      </c>
      <c r="V129" s="6">
        <v>1</v>
      </c>
      <c r="W129" s="6">
        <v>0</v>
      </c>
      <c r="X129" s="5">
        <f t="shared" ref="X129:X139" si="23">SUM(E129:W129)</f>
        <v>15</v>
      </c>
      <c r="Y129" s="20"/>
      <c r="Z129" s="20"/>
    </row>
    <row r="130" spans="1:26" ht="13.15" customHeight="1" x14ac:dyDescent="0.3">
      <c r="A130" s="11" t="s">
        <v>50</v>
      </c>
      <c r="B130" s="54"/>
      <c r="C130" s="24" t="s">
        <v>174</v>
      </c>
      <c r="D130" s="55"/>
      <c r="E130" s="6">
        <v>1</v>
      </c>
      <c r="F130" s="6">
        <v>0</v>
      </c>
      <c r="G130" s="6">
        <v>1</v>
      </c>
      <c r="H130" s="6">
        <v>1</v>
      </c>
      <c r="I130" s="6">
        <v>1</v>
      </c>
      <c r="J130" s="6">
        <v>0</v>
      </c>
      <c r="K130" s="6">
        <v>0</v>
      </c>
      <c r="L130" s="6">
        <v>1</v>
      </c>
      <c r="M130" s="6">
        <v>1</v>
      </c>
      <c r="N130" s="6">
        <v>1</v>
      </c>
      <c r="O130" s="6">
        <v>0</v>
      </c>
      <c r="P130" s="6">
        <v>4</v>
      </c>
      <c r="Q130" s="6">
        <v>1</v>
      </c>
      <c r="R130" s="6">
        <v>1</v>
      </c>
      <c r="S130" s="6">
        <v>0</v>
      </c>
      <c r="T130" s="6">
        <v>0</v>
      </c>
      <c r="U130" s="6">
        <v>1</v>
      </c>
      <c r="V130" s="6">
        <v>2</v>
      </c>
      <c r="W130" s="6">
        <v>1</v>
      </c>
      <c r="X130" s="5">
        <f t="shared" si="23"/>
        <v>17</v>
      </c>
      <c r="Y130" s="1"/>
      <c r="Z130" s="1"/>
    </row>
    <row r="131" spans="1:26" x14ac:dyDescent="0.3">
      <c r="A131" s="7"/>
      <c r="B131" s="54"/>
      <c r="C131" s="24" t="s">
        <v>175</v>
      </c>
      <c r="D131" s="5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5">
        <f t="shared" si="23"/>
        <v>1</v>
      </c>
      <c r="Y131" s="28"/>
      <c r="Z131" s="28"/>
    </row>
    <row r="132" spans="1:26" x14ac:dyDescent="0.3">
      <c r="A132" s="7"/>
      <c r="B132" s="54"/>
      <c r="C132" s="24" t="s">
        <v>176</v>
      </c>
      <c r="D132" s="55"/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5">
        <f t="shared" si="23"/>
        <v>1</v>
      </c>
      <c r="Y132" s="20"/>
      <c r="Z132" s="20"/>
    </row>
    <row r="133" spans="1:26" x14ac:dyDescent="0.3">
      <c r="A133" s="7"/>
      <c r="B133" s="54"/>
      <c r="C133" s="24" t="s">
        <v>177</v>
      </c>
      <c r="D133" s="5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5">
        <f t="shared" si="23"/>
        <v>1</v>
      </c>
      <c r="Y133" s="20"/>
      <c r="Z133" s="20"/>
    </row>
    <row r="134" spans="1:26" x14ac:dyDescent="0.3">
      <c r="A134" s="7"/>
      <c r="B134" s="54"/>
      <c r="C134" s="24" t="s">
        <v>178</v>
      </c>
      <c r="D134" s="55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5">
        <f t="shared" si="23"/>
        <v>0</v>
      </c>
      <c r="Y134" s="20"/>
      <c r="Z134" s="20"/>
    </row>
    <row r="135" spans="1:26" x14ac:dyDescent="0.3">
      <c r="A135" s="7"/>
      <c r="B135" s="54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1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5">
        <f t="shared" si="23"/>
        <v>2</v>
      </c>
      <c r="Y135" s="20"/>
      <c r="Z135" s="20"/>
    </row>
    <row r="136" spans="1:26" x14ac:dyDescent="0.3">
      <c r="A136" s="7"/>
      <c r="B136" s="54"/>
      <c r="C136" s="24" t="s">
        <v>180</v>
      </c>
      <c r="D136" s="55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5">
        <f t="shared" si="23"/>
        <v>0</v>
      </c>
      <c r="Y136" s="20"/>
      <c r="Z136" s="20"/>
    </row>
    <row r="137" spans="1:26" x14ac:dyDescent="0.3">
      <c r="A137" s="7"/>
      <c r="B137" s="54"/>
      <c r="C137" s="24" t="s">
        <v>181</v>
      </c>
      <c r="D137" s="55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5">
        <f t="shared" si="23"/>
        <v>0</v>
      </c>
      <c r="Y137" s="20"/>
      <c r="Z137" s="20"/>
    </row>
    <row r="138" spans="1:26" x14ac:dyDescent="0.3">
      <c r="A138" s="7"/>
      <c r="B138" s="54"/>
      <c r="C138" s="24" t="s">
        <v>182</v>
      </c>
      <c r="D138" s="55"/>
      <c r="E138" s="6">
        <v>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5">
        <f t="shared" si="23"/>
        <v>1</v>
      </c>
      <c r="Y138" s="20"/>
      <c r="Z138" s="20"/>
    </row>
    <row r="139" spans="1:26" x14ac:dyDescent="0.3">
      <c r="A139" s="6" t="s">
        <v>26</v>
      </c>
      <c r="B139" s="69" t="s">
        <v>51</v>
      </c>
      <c r="C139" s="70"/>
      <c r="D139" s="71"/>
      <c r="E139" s="5">
        <f>SUM(E129:E138)</f>
        <v>4</v>
      </c>
      <c r="F139" s="5">
        <f t="shared" ref="F139:X139" si="24">SUM(F129:F138)</f>
        <v>2</v>
      </c>
      <c r="G139" s="5">
        <f t="shared" si="24"/>
        <v>1</v>
      </c>
      <c r="H139" s="5">
        <f t="shared" si="24"/>
        <v>2</v>
      </c>
      <c r="I139" s="5">
        <f t="shared" si="24"/>
        <v>2</v>
      </c>
      <c r="J139" s="5">
        <f t="shared" si="24"/>
        <v>1</v>
      </c>
      <c r="K139" s="5">
        <f t="shared" si="24"/>
        <v>0</v>
      </c>
      <c r="L139" s="5">
        <f t="shared" si="24"/>
        <v>4</v>
      </c>
      <c r="M139" s="5">
        <f t="shared" si="24"/>
        <v>2</v>
      </c>
      <c r="N139" s="5">
        <f t="shared" si="24"/>
        <v>4</v>
      </c>
      <c r="O139" s="5">
        <f t="shared" si="24"/>
        <v>0</v>
      </c>
      <c r="P139" s="5">
        <f t="shared" si="24"/>
        <v>4</v>
      </c>
      <c r="Q139" s="5">
        <f t="shared" si="24"/>
        <v>3</v>
      </c>
      <c r="R139" s="5">
        <f t="shared" si="24"/>
        <v>2</v>
      </c>
      <c r="S139" s="5">
        <f t="shared" si="24"/>
        <v>2</v>
      </c>
      <c r="T139" s="5">
        <f t="shared" si="24"/>
        <v>0</v>
      </c>
      <c r="U139" s="5">
        <f t="shared" si="24"/>
        <v>1</v>
      </c>
      <c r="V139" s="5">
        <f t="shared" si="24"/>
        <v>3</v>
      </c>
      <c r="W139" s="5">
        <f t="shared" si="24"/>
        <v>1</v>
      </c>
      <c r="X139" s="5">
        <f t="shared" si="24"/>
        <v>38</v>
      </c>
      <c r="Y139" s="20"/>
      <c r="Z139" s="20"/>
    </row>
    <row r="140" spans="1:26" x14ac:dyDescent="0.3">
      <c r="A140" s="77"/>
      <c r="B140" s="78"/>
      <c r="C140" s="78"/>
      <c r="D140" s="78"/>
      <c r="E140" s="7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20"/>
      <c r="Z140" s="20"/>
    </row>
    <row r="141" spans="1:26" ht="13.15" customHeight="1" x14ac:dyDescent="0.3">
      <c r="A141" s="11" t="s">
        <v>48</v>
      </c>
      <c r="B141" s="17" t="s">
        <v>63</v>
      </c>
      <c r="C141" s="75" t="s">
        <v>64</v>
      </c>
      <c r="D141" s="76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/>
      <c r="V141" s="6"/>
      <c r="W141" s="6"/>
      <c r="X141" s="5">
        <f>SUM(E141:W141)</f>
        <v>0</v>
      </c>
      <c r="Y141" s="1"/>
      <c r="Z141" s="1"/>
    </row>
    <row r="142" spans="1:26" x14ac:dyDescent="0.3">
      <c r="A142" s="11" t="s">
        <v>50</v>
      </c>
      <c r="B142" s="54"/>
      <c r="C142" s="24" t="s">
        <v>183</v>
      </c>
      <c r="D142" s="51"/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/>
      <c r="U142" s="6"/>
      <c r="V142" s="6"/>
      <c r="W142" s="6"/>
      <c r="X142" s="5">
        <f>SUM(E142:W142)</f>
        <v>1</v>
      </c>
      <c r="Y142" s="28"/>
      <c r="Z142" s="28"/>
    </row>
    <row r="143" spans="1:26" x14ac:dyDescent="0.3">
      <c r="A143" s="7"/>
      <c r="B143" s="54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/>
      <c r="V143" s="6"/>
      <c r="W143" s="6"/>
      <c r="X143" s="5">
        <f>SUM(E143:W143)</f>
        <v>0</v>
      </c>
      <c r="Y143" s="20"/>
      <c r="Z143" s="20"/>
    </row>
    <row r="144" spans="1:26" x14ac:dyDescent="0.3">
      <c r="A144" s="7"/>
      <c r="B144" s="54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/>
      <c r="U144" s="6"/>
      <c r="V144" s="6"/>
      <c r="W144" s="6"/>
      <c r="X144" s="5">
        <f>SUM(E144:W144)</f>
        <v>0</v>
      </c>
      <c r="Y144" s="20"/>
      <c r="Z144" s="20"/>
    </row>
    <row r="145" spans="1:26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50"/>
      <c r="Y145" s="20"/>
      <c r="Z145" s="20"/>
    </row>
    <row r="146" spans="1:26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50"/>
      <c r="Y146" s="20"/>
      <c r="Z146" s="20"/>
    </row>
    <row r="147" spans="1:26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50"/>
      <c r="Y147" s="20"/>
      <c r="Z147" s="20"/>
    </row>
    <row r="148" spans="1:26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50"/>
      <c r="Y148" s="20"/>
      <c r="Z148" s="20"/>
    </row>
    <row r="149" spans="1:26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50"/>
      <c r="Y149" s="20"/>
      <c r="Z149" s="20"/>
    </row>
    <row r="150" spans="1:26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50"/>
      <c r="Y150" s="20"/>
      <c r="Z150" s="20"/>
    </row>
    <row r="151" spans="1:26" ht="13.15" customHeight="1" x14ac:dyDescent="0.3">
      <c r="A151" s="6" t="s">
        <v>26</v>
      </c>
      <c r="B151" s="69" t="s">
        <v>51</v>
      </c>
      <c r="C151" s="70"/>
      <c r="D151" s="71"/>
      <c r="E151" s="5">
        <f>SUM(E141:E150)</f>
        <v>1</v>
      </c>
      <c r="F151" s="5">
        <f t="shared" ref="F151:X151" si="25">SUM(F141:F150)</f>
        <v>0</v>
      </c>
      <c r="G151" s="5">
        <f t="shared" si="25"/>
        <v>0</v>
      </c>
      <c r="H151" s="5">
        <f t="shared" si="25"/>
        <v>0</v>
      </c>
      <c r="I151" s="5">
        <f t="shared" si="25"/>
        <v>0</v>
      </c>
      <c r="J151" s="5">
        <f t="shared" si="25"/>
        <v>0</v>
      </c>
      <c r="K151" s="5">
        <f t="shared" si="25"/>
        <v>0</v>
      </c>
      <c r="L151" s="5">
        <f t="shared" si="25"/>
        <v>0</v>
      </c>
      <c r="M151" s="5">
        <f t="shared" si="25"/>
        <v>0</v>
      </c>
      <c r="N151" s="5">
        <f t="shared" si="25"/>
        <v>0</v>
      </c>
      <c r="O151" s="5">
        <f t="shared" si="25"/>
        <v>0</v>
      </c>
      <c r="P151" s="5">
        <f t="shared" si="25"/>
        <v>0</v>
      </c>
      <c r="Q151" s="5">
        <f t="shared" si="25"/>
        <v>0</v>
      </c>
      <c r="R151" s="5">
        <f t="shared" si="25"/>
        <v>0</v>
      </c>
      <c r="S151" s="5">
        <f t="shared" si="25"/>
        <v>0</v>
      </c>
      <c r="T151" s="5">
        <f t="shared" si="25"/>
        <v>0</v>
      </c>
      <c r="U151" s="5">
        <f t="shared" si="25"/>
        <v>0</v>
      </c>
      <c r="V151" s="5">
        <f t="shared" si="25"/>
        <v>0</v>
      </c>
      <c r="W151" s="5">
        <f t="shared" si="25"/>
        <v>0</v>
      </c>
      <c r="X151" s="5">
        <f t="shared" si="25"/>
        <v>1</v>
      </c>
      <c r="Y151" s="1"/>
      <c r="Z151" s="1"/>
    </row>
    <row r="152" spans="1:26" x14ac:dyDescent="0.3">
      <c r="A152" s="77"/>
      <c r="B152" s="78"/>
      <c r="C152" s="78"/>
      <c r="D152" s="78"/>
      <c r="E152" s="7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5"/>
      <c r="Y152" s="28"/>
      <c r="Z152" s="28"/>
    </row>
    <row r="153" spans="1:26" x14ac:dyDescent="0.3">
      <c r="A153" s="11" t="s">
        <v>48</v>
      </c>
      <c r="B153" s="45" t="s">
        <v>65</v>
      </c>
      <c r="C153" s="83" t="s">
        <v>66</v>
      </c>
      <c r="D153" s="84"/>
      <c r="E153" s="6">
        <v>0</v>
      </c>
      <c r="F153" s="6">
        <v>0</v>
      </c>
      <c r="G153" s="6">
        <v>0</v>
      </c>
      <c r="H153" s="6">
        <v>0</v>
      </c>
      <c r="I153" s="6">
        <v>1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1</v>
      </c>
      <c r="X153" s="5">
        <f>SUM(E153:W153)</f>
        <v>4</v>
      </c>
      <c r="Y153" s="20"/>
      <c r="Z153" s="20"/>
    </row>
    <row r="154" spans="1:26" x14ac:dyDescent="0.3">
      <c r="A154" s="56" t="s">
        <v>50</v>
      </c>
      <c r="B154" s="58"/>
      <c r="C154" s="24" t="s">
        <v>186</v>
      </c>
      <c r="D154" s="59"/>
      <c r="E154" s="57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5">
        <f t="shared" ref="X154:X160" si="26">SUM(E154:W154)</f>
        <v>0</v>
      </c>
      <c r="Y154" s="20"/>
      <c r="Z154" s="20"/>
    </row>
    <row r="155" spans="1:26" x14ac:dyDescent="0.3">
      <c r="A155" s="7"/>
      <c r="B155" s="58"/>
      <c r="C155" s="24" t="s">
        <v>187</v>
      </c>
      <c r="D155" s="59"/>
      <c r="E155" s="57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5">
        <f t="shared" si="26"/>
        <v>0</v>
      </c>
      <c r="Y155" s="20"/>
      <c r="Z155" s="20"/>
    </row>
    <row r="156" spans="1:26" x14ac:dyDescent="0.3">
      <c r="A156" s="7"/>
      <c r="B156" s="58"/>
      <c r="C156" s="24" t="s">
        <v>188</v>
      </c>
      <c r="D156" s="59"/>
      <c r="E156" s="57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1</v>
      </c>
      <c r="X156" s="5">
        <f t="shared" si="26"/>
        <v>1</v>
      </c>
      <c r="Y156" s="20"/>
      <c r="Z156" s="20"/>
    </row>
    <row r="157" spans="1:26" x14ac:dyDescent="0.3">
      <c r="A157" s="7"/>
      <c r="B157" s="58"/>
      <c r="C157" s="24" t="s">
        <v>189</v>
      </c>
      <c r="D157" s="59"/>
      <c r="E157" s="57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5">
        <f t="shared" si="26"/>
        <v>0</v>
      </c>
      <c r="Y157" s="20"/>
      <c r="Z157" s="20"/>
    </row>
    <row r="158" spans="1:26" x14ac:dyDescent="0.3">
      <c r="A158" s="7"/>
      <c r="B158" s="58"/>
      <c r="C158" s="24" t="s">
        <v>190</v>
      </c>
      <c r="D158" s="59"/>
      <c r="E158" s="57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5">
        <f t="shared" si="26"/>
        <v>0</v>
      </c>
      <c r="Y158" s="20"/>
      <c r="Z158" s="20"/>
    </row>
    <row r="159" spans="1:26" x14ac:dyDescent="0.3">
      <c r="A159" s="7"/>
      <c r="B159" s="58"/>
      <c r="C159" s="24" t="s">
        <v>191</v>
      </c>
      <c r="D159" s="59"/>
      <c r="E159" s="57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1</v>
      </c>
      <c r="V159" s="6">
        <v>0</v>
      </c>
      <c r="W159" s="6">
        <v>0</v>
      </c>
      <c r="X159" s="5">
        <f t="shared" si="26"/>
        <v>1</v>
      </c>
      <c r="Y159" s="20"/>
      <c r="Z159" s="20"/>
    </row>
    <row r="160" spans="1:26" x14ac:dyDescent="0.3">
      <c r="A160" s="7"/>
      <c r="B160" s="58"/>
      <c r="C160" s="24" t="s">
        <v>192</v>
      </c>
      <c r="D160" s="59"/>
      <c r="E160" s="57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5">
        <f t="shared" si="26"/>
        <v>0</v>
      </c>
      <c r="Y160" s="20"/>
      <c r="Z160" s="20"/>
    </row>
    <row r="161" spans="1:26" x14ac:dyDescent="0.3">
      <c r="A161" s="7"/>
      <c r="B161" s="63"/>
      <c r="C161" s="64"/>
      <c r="D161" s="65"/>
      <c r="E161" s="5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50"/>
      <c r="Y161" s="20"/>
      <c r="Z161" s="20"/>
    </row>
    <row r="162" spans="1:26" x14ac:dyDescent="0.3">
      <c r="A162" s="7"/>
      <c r="B162" s="63"/>
      <c r="C162" s="64"/>
      <c r="D162" s="65"/>
      <c r="E162" s="5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50"/>
      <c r="Y162" s="20"/>
      <c r="Z162" s="20"/>
    </row>
    <row r="163" spans="1:26" x14ac:dyDescent="0.3">
      <c r="A163" s="6" t="s">
        <v>26</v>
      </c>
      <c r="B163" s="80" t="s">
        <v>51</v>
      </c>
      <c r="C163" s="81"/>
      <c r="D163" s="82"/>
      <c r="E163" s="5">
        <f>SUM(E153:E162)</f>
        <v>0</v>
      </c>
      <c r="F163" s="5">
        <f t="shared" ref="F163:X163" si="27">SUM(F153:F162)</f>
        <v>0</v>
      </c>
      <c r="G163" s="5">
        <f t="shared" si="27"/>
        <v>0</v>
      </c>
      <c r="H163" s="5">
        <f t="shared" si="27"/>
        <v>0</v>
      </c>
      <c r="I163" s="5">
        <f t="shared" si="27"/>
        <v>1</v>
      </c>
      <c r="J163" s="5">
        <f t="shared" si="27"/>
        <v>1</v>
      </c>
      <c r="K163" s="5">
        <f t="shared" si="27"/>
        <v>0</v>
      </c>
      <c r="L163" s="5">
        <f t="shared" si="27"/>
        <v>0</v>
      </c>
      <c r="M163" s="5">
        <f t="shared" si="27"/>
        <v>0</v>
      </c>
      <c r="N163" s="5">
        <f t="shared" si="27"/>
        <v>0</v>
      </c>
      <c r="O163" s="5">
        <f t="shared" si="27"/>
        <v>1</v>
      </c>
      <c r="P163" s="5">
        <f t="shared" si="27"/>
        <v>0</v>
      </c>
      <c r="Q163" s="5">
        <f t="shared" si="27"/>
        <v>0</v>
      </c>
      <c r="R163" s="5">
        <f t="shared" si="27"/>
        <v>0</v>
      </c>
      <c r="S163" s="5">
        <f t="shared" si="27"/>
        <v>0</v>
      </c>
      <c r="T163" s="5">
        <f t="shared" si="27"/>
        <v>0</v>
      </c>
      <c r="U163" s="5">
        <f t="shared" si="27"/>
        <v>1</v>
      </c>
      <c r="V163" s="5">
        <f t="shared" si="27"/>
        <v>0</v>
      </c>
      <c r="W163" s="5">
        <f t="shared" si="27"/>
        <v>2</v>
      </c>
      <c r="X163" s="5">
        <f t="shared" si="27"/>
        <v>6</v>
      </c>
      <c r="Y163" s="20"/>
      <c r="Z163" s="20"/>
    </row>
    <row r="164" spans="1:26" x14ac:dyDescent="0.3">
      <c r="A164" s="77"/>
      <c r="B164" s="78"/>
      <c r="C164" s="78"/>
      <c r="D164" s="78"/>
      <c r="E164" s="7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20"/>
      <c r="Z164" s="20"/>
    </row>
    <row r="165" spans="1:26" ht="13.15" customHeight="1" x14ac:dyDescent="0.3">
      <c r="A165" s="11" t="s">
        <v>48</v>
      </c>
      <c r="B165" s="17" t="s">
        <v>67</v>
      </c>
      <c r="C165" s="75" t="s">
        <v>68</v>
      </c>
      <c r="D165" s="76"/>
      <c r="E165" s="6">
        <v>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2</v>
      </c>
      <c r="R165" s="6">
        <v>0</v>
      </c>
      <c r="S165" s="6">
        <v>0</v>
      </c>
      <c r="T165" s="6">
        <v>3</v>
      </c>
      <c r="U165" s="6"/>
      <c r="V165" s="6"/>
      <c r="W165" s="6"/>
      <c r="X165" s="5">
        <f>SUM(E165:W165)</f>
        <v>6</v>
      </c>
      <c r="Y165" s="1"/>
      <c r="Z165" s="1"/>
    </row>
    <row r="166" spans="1:26" x14ac:dyDescent="0.3">
      <c r="A166" s="11" t="s">
        <v>50</v>
      </c>
      <c r="B166" s="54"/>
      <c r="C166" s="24" t="s">
        <v>193</v>
      </c>
      <c r="D166" s="51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2</v>
      </c>
      <c r="P166" s="6">
        <v>0</v>
      </c>
      <c r="Q166" s="6">
        <v>0</v>
      </c>
      <c r="R166" s="6">
        <v>0</v>
      </c>
      <c r="S166" s="6">
        <v>0</v>
      </c>
      <c r="T166" s="6"/>
      <c r="U166" s="6"/>
      <c r="V166" s="6"/>
      <c r="W166" s="6"/>
      <c r="X166" s="5">
        <f>SUM(E166:W166)</f>
        <v>3</v>
      </c>
      <c r="Y166" s="28"/>
      <c r="Z166" s="28"/>
    </row>
    <row r="167" spans="1:26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50"/>
      <c r="Y167" s="20"/>
      <c r="Z167" s="20"/>
    </row>
    <row r="168" spans="1:26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50"/>
      <c r="Y168" s="20"/>
      <c r="Z168" s="20"/>
    </row>
    <row r="169" spans="1:26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50"/>
      <c r="Y169" s="20"/>
      <c r="Z169" s="20"/>
    </row>
    <row r="170" spans="1:26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50"/>
      <c r="Y170" s="20"/>
      <c r="Z170" s="20"/>
    </row>
    <row r="171" spans="1:26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50"/>
      <c r="Y171" s="20"/>
      <c r="Z171" s="20"/>
    </row>
    <row r="172" spans="1:26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50"/>
      <c r="Y172" s="20"/>
      <c r="Z172" s="20"/>
    </row>
    <row r="173" spans="1:26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50"/>
      <c r="Y173" s="20"/>
      <c r="Z173" s="20"/>
    </row>
    <row r="174" spans="1:26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50"/>
      <c r="Y174" s="20"/>
      <c r="Z174" s="20"/>
    </row>
    <row r="175" spans="1:26" x14ac:dyDescent="0.3">
      <c r="A175" s="6" t="s">
        <v>26</v>
      </c>
      <c r="B175" s="69" t="s">
        <v>51</v>
      </c>
      <c r="C175" s="70"/>
      <c r="D175" s="71"/>
      <c r="E175" s="5">
        <f>SUM(E165:E174)</f>
        <v>0</v>
      </c>
      <c r="F175" s="5">
        <f t="shared" ref="F175:X175" si="28">SUM(F165:F174)</f>
        <v>1</v>
      </c>
      <c r="G175" s="5">
        <f t="shared" si="28"/>
        <v>0</v>
      </c>
      <c r="H175" s="5">
        <f t="shared" si="28"/>
        <v>0</v>
      </c>
      <c r="I175" s="5">
        <f t="shared" si="28"/>
        <v>0</v>
      </c>
      <c r="J175" s="5">
        <f t="shared" si="28"/>
        <v>1</v>
      </c>
      <c r="K175" s="5">
        <f t="shared" si="28"/>
        <v>0</v>
      </c>
      <c r="L175" s="5">
        <f t="shared" si="28"/>
        <v>0</v>
      </c>
      <c r="M175" s="5">
        <f t="shared" si="28"/>
        <v>0</v>
      </c>
      <c r="N175" s="5">
        <f t="shared" si="28"/>
        <v>0</v>
      </c>
      <c r="O175" s="5">
        <f t="shared" si="28"/>
        <v>2</v>
      </c>
      <c r="P175" s="5">
        <f t="shared" si="28"/>
        <v>0</v>
      </c>
      <c r="Q175" s="5">
        <f t="shared" si="28"/>
        <v>2</v>
      </c>
      <c r="R175" s="5">
        <f t="shared" si="28"/>
        <v>0</v>
      </c>
      <c r="S175" s="5">
        <f t="shared" si="28"/>
        <v>0</v>
      </c>
      <c r="T175" s="5">
        <f t="shared" si="28"/>
        <v>3</v>
      </c>
      <c r="U175" s="5">
        <f t="shared" si="28"/>
        <v>0</v>
      </c>
      <c r="V175" s="5">
        <f t="shared" si="28"/>
        <v>0</v>
      </c>
      <c r="W175" s="5">
        <f t="shared" si="28"/>
        <v>0</v>
      </c>
      <c r="X175" s="5">
        <f t="shared" si="28"/>
        <v>9</v>
      </c>
      <c r="Y175" s="20"/>
      <c r="Z175" s="20"/>
    </row>
    <row r="176" spans="1:26" ht="13.15" customHeight="1" x14ac:dyDescent="0.3">
      <c r="A176" s="77"/>
      <c r="B176" s="78"/>
      <c r="C176" s="78"/>
      <c r="D176" s="78"/>
      <c r="E176" s="7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"/>
      <c r="Z176" s="1"/>
    </row>
    <row r="177" spans="1:26" x14ac:dyDescent="0.3">
      <c r="A177" s="11" t="s">
        <v>48</v>
      </c>
      <c r="B177" s="17" t="s">
        <v>69</v>
      </c>
      <c r="C177" s="75" t="s">
        <v>70</v>
      </c>
      <c r="D177" s="76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2</v>
      </c>
      <c r="K177" s="6">
        <v>0</v>
      </c>
      <c r="L177" s="6">
        <v>1</v>
      </c>
      <c r="M177" s="6">
        <v>0</v>
      </c>
      <c r="N177" s="6">
        <v>1</v>
      </c>
      <c r="O177" s="6">
        <v>0</v>
      </c>
      <c r="P177" s="6">
        <v>0</v>
      </c>
      <c r="Q177" s="6">
        <v>1</v>
      </c>
      <c r="R177" s="6">
        <v>1</v>
      </c>
      <c r="S177" s="6">
        <v>2</v>
      </c>
      <c r="T177" s="6">
        <v>0</v>
      </c>
      <c r="U177" s="6">
        <v>1</v>
      </c>
      <c r="V177" s="6">
        <v>0</v>
      </c>
      <c r="W177" s="6">
        <v>0</v>
      </c>
      <c r="X177" s="5">
        <f>SUM(E177:W177)</f>
        <v>9</v>
      </c>
    </row>
    <row r="178" spans="1:26" x14ac:dyDescent="0.3">
      <c r="A178" s="11" t="s">
        <v>50</v>
      </c>
      <c r="B178" s="54"/>
      <c r="C178" s="24" t="s">
        <v>194</v>
      </c>
      <c r="D178" s="51"/>
      <c r="E178" s="6">
        <v>1</v>
      </c>
      <c r="F178" s="6">
        <v>1</v>
      </c>
      <c r="G178" s="6">
        <v>1</v>
      </c>
      <c r="H178" s="6">
        <v>0</v>
      </c>
      <c r="I178" s="6">
        <v>0</v>
      </c>
      <c r="J178" s="6">
        <v>0</v>
      </c>
      <c r="K178" s="6">
        <v>1</v>
      </c>
      <c r="L178" s="6">
        <v>3</v>
      </c>
      <c r="M178" s="6">
        <v>2</v>
      </c>
      <c r="N178" s="6">
        <v>0</v>
      </c>
      <c r="O178" s="6">
        <v>1</v>
      </c>
      <c r="P178" s="6">
        <v>0</v>
      </c>
      <c r="Q178" s="6">
        <v>2</v>
      </c>
      <c r="R178" s="6">
        <v>1</v>
      </c>
      <c r="S178" s="6">
        <v>3</v>
      </c>
      <c r="T178" s="6">
        <v>2</v>
      </c>
      <c r="U178" s="6">
        <v>2</v>
      </c>
      <c r="V178" s="6">
        <v>0</v>
      </c>
      <c r="W178" s="6">
        <v>0</v>
      </c>
      <c r="X178" s="5">
        <f t="shared" ref="X177:X187" si="29">SUM(E178:W178)</f>
        <v>20</v>
      </c>
      <c r="Y178" s="20"/>
      <c r="Z178" s="20"/>
    </row>
    <row r="179" spans="1:26" x14ac:dyDescent="0.3">
      <c r="A179" s="7"/>
      <c r="B179" s="54"/>
      <c r="C179" s="24" t="s">
        <v>195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1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5">
        <f t="shared" si="29"/>
        <v>3</v>
      </c>
      <c r="Y179" s="20"/>
      <c r="Z179" s="20"/>
    </row>
    <row r="180" spans="1:26" x14ac:dyDescent="0.3">
      <c r="A180" s="7"/>
      <c r="B180" s="54"/>
      <c r="C180" s="24" t="s">
        <v>196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3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2</v>
      </c>
      <c r="U180" s="6">
        <v>0</v>
      </c>
      <c r="V180" s="6">
        <v>0</v>
      </c>
      <c r="W180" s="6">
        <v>0</v>
      </c>
      <c r="X180" s="5">
        <f t="shared" si="29"/>
        <v>5</v>
      </c>
      <c r="Y180" s="20"/>
      <c r="Z180" s="20"/>
    </row>
    <row r="181" spans="1:26" x14ac:dyDescent="0.3">
      <c r="A181" s="7"/>
      <c r="B181" s="54"/>
      <c r="C181" s="24" t="s">
        <v>197</v>
      </c>
      <c r="D181" s="51"/>
      <c r="E181" s="6">
        <v>0</v>
      </c>
      <c r="F181" s="6">
        <v>1</v>
      </c>
      <c r="G181" s="6">
        <v>0</v>
      </c>
      <c r="H181" s="6">
        <v>0</v>
      </c>
      <c r="I181" s="6">
        <v>0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5">
        <f t="shared" si="29"/>
        <v>2</v>
      </c>
      <c r="Y181" s="20"/>
      <c r="Z181" s="20"/>
    </row>
    <row r="182" spans="1:26" x14ac:dyDescent="0.3">
      <c r="A182" s="7"/>
      <c r="B182" s="54"/>
      <c r="C182" s="24" t="s">
        <v>198</v>
      </c>
      <c r="D182" s="51"/>
      <c r="E182" s="6">
        <v>0</v>
      </c>
      <c r="F182" s="6">
        <v>1</v>
      </c>
      <c r="G182" s="6">
        <v>1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1</v>
      </c>
      <c r="S182" s="6">
        <v>0</v>
      </c>
      <c r="T182" s="6">
        <v>0</v>
      </c>
      <c r="U182" s="6">
        <v>0</v>
      </c>
      <c r="V182" s="6">
        <v>0</v>
      </c>
      <c r="W182" s="6">
        <v>1</v>
      </c>
      <c r="X182" s="5">
        <f t="shared" si="29"/>
        <v>4</v>
      </c>
      <c r="Y182" s="20"/>
      <c r="Z182" s="20"/>
    </row>
    <row r="183" spans="1:26" x14ac:dyDescent="0.3">
      <c r="A183" s="7"/>
      <c r="B183" s="54"/>
      <c r="C183" s="24" t="s">
        <v>199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2</v>
      </c>
      <c r="W183" s="6">
        <v>0</v>
      </c>
      <c r="X183" s="5">
        <f t="shared" si="29"/>
        <v>2</v>
      </c>
      <c r="Y183" s="20"/>
      <c r="Z183" s="20"/>
    </row>
    <row r="184" spans="1:26" x14ac:dyDescent="0.3">
      <c r="A184" s="7"/>
      <c r="B184" s="54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5">
        <f t="shared" si="29"/>
        <v>0</v>
      </c>
      <c r="Y184" s="20"/>
      <c r="Z184" s="20"/>
    </row>
    <row r="185" spans="1:26" x14ac:dyDescent="0.3">
      <c r="A185" s="7"/>
      <c r="B185" s="54"/>
      <c r="C185" s="24" t="s">
        <v>201</v>
      </c>
      <c r="D185" s="51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2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5">
        <f t="shared" si="29"/>
        <v>2</v>
      </c>
      <c r="Y185" s="20"/>
      <c r="Z185" s="20"/>
    </row>
    <row r="186" spans="1:26" x14ac:dyDescent="0.3">
      <c r="A186" s="7"/>
      <c r="B186" s="54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1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5">
        <f t="shared" si="29"/>
        <v>1</v>
      </c>
      <c r="Y186" s="20"/>
      <c r="Z186" s="20"/>
    </row>
    <row r="187" spans="1:26" ht="13.15" customHeight="1" x14ac:dyDescent="0.3">
      <c r="A187" s="6" t="s">
        <v>26</v>
      </c>
      <c r="B187" s="69" t="s">
        <v>51</v>
      </c>
      <c r="C187" s="70"/>
      <c r="D187" s="71"/>
      <c r="E187" s="5">
        <f>SUM(E177:E186)</f>
        <v>1</v>
      </c>
      <c r="F187" s="5">
        <f t="shared" ref="F187:X187" si="30">SUM(F177:F186)</f>
        <v>3</v>
      </c>
      <c r="G187" s="5">
        <f t="shared" si="30"/>
        <v>2</v>
      </c>
      <c r="H187" s="5">
        <f t="shared" si="30"/>
        <v>1</v>
      </c>
      <c r="I187" s="5">
        <f t="shared" si="30"/>
        <v>1</v>
      </c>
      <c r="J187" s="5">
        <f t="shared" si="30"/>
        <v>3</v>
      </c>
      <c r="K187" s="5">
        <f t="shared" si="30"/>
        <v>1</v>
      </c>
      <c r="L187" s="5">
        <f t="shared" si="30"/>
        <v>4</v>
      </c>
      <c r="M187" s="5">
        <f t="shared" si="30"/>
        <v>2</v>
      </c>
      <c r="N187" s="5">
        <f t="shared" si="30"/>
        <v>5</v>
      </c>
      <c r="O187" s="5">
        <f t="shared" si="30"/>
        <v>3</v>
      </c>
      <c r="P187" s="5">
        <f t="shared" si="30"/>
        <v>1</v>
      </c>
      <c r="Q187" s="5">
        <f t="shared" si="30"/>
        <v>3</v>
      </c>
      <c r="R187" s="5">
        <f t="shared" si="30"/>
        <v>3</v>
      </c>
      <c r="S187" s="5">
        <f t="shared" si="30"/>
        <v>5</v>
      </c>
      <c r="T187" s="5">
        <f t="shared" si="30"/>
        <v>4</v>
      </c>
      <c r="U187" s="5">
        <f t="shared" si="30"/>
        <v>3</v>
      </c>
      <c r="V187" s="5">
        <f t="shared" si="30"/>
        <v>2</v>
      </c>
      <c r="W187" s="5">
        <f t="shared" si="30"/>
        <v>1</v>
      </c>
      <c r="X187" s="5">
        <f t="shared" si="30"/>
        <v>48</v>
      </c>
      <c r="Y187" s="1"/>
      <c r="Z187" s="1"/>
    </row>
    <row r="188" spans="1:26" x14ac:dyDescent="0.3">
      <c r="A188" s="77"/>
      <c r="B188" s="78"/>
      <c r="C188" s="78"/>
      <c r="D188" s="78"/>
      <c r="E188" s="79"/>
      <c r="F188" s="18"/>
      <c r="G188" s="18"/>
      <c r="H188" s="18"/>
      <c r="I188" s="18"/>
      <c r="J188" s="18"/>
      <c r="K188" s="18"/>
      <c r="L188" s="18"/>
      <c r="M188" s="18"/>
      <c r="N188" s="18"/>
      <c r="X188" s="5"/>
    </row>
    <row r="189" spans="1:26" x14ac:dyDescent="0.3">
      <c r="A189" s="11" t="s">
        <v>48</v>
      </c>
      <c r="B189" s="17" t="s">
        <v>71</v>
      </c>
      <c r="C189" s="75" t="s">
        <v>72</v>
      </c>
      <c r="D189" s="76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5">
        <f t="shared" ref="X189:X199" si="31">SUM(E189:W189)</f>
        <v>1</v>
      </c>
      <c r="Y189" s="20"/>
      <c r="Z189" s="20"/>
    </row>
    <row r="190" spans="1:26" x14ac:dyDescent="0.3">
      <c r="A190" s="11" t="s">
        <v>50</v>
      </c>
      <c r="B190" s="54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5">
        <f t="shared" si="31"/>
        <v>0</v>
      </c>
      <c r="Y190" s="20"/>
      <c r="Z190" s="20"/>
    </row>
    <row r="191" spans="1:26" x14ac:dyDescent="0.3">
      <c r="A191" s="7"/>
      <c r="B191" s="54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5">
        <f t="shared" si="31"/>
        <v>0</v>
      </c>
      <c r="Y191" s="20"/>
      <c r="Z191" s="20"/>
    </row>
    <row r="192" spans="1:26" x14ac:dyDescent="0.3">
      <c r="A192" s="7"/>
      <c r="B192" s="54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5">
        <f t="shared" si="31"/>
        <v>0</v>
      </c>
      <c r="Y192" s="20"/>
      <c r="Z192" s="20"/>
    </row>
    <row r="193" spans="1:26" x14ac:dyDescent="0.3">
      <c r="A193" s="7"/>
      <c r="B193" s="54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1</v>
      </c>
      <c r="U193" s="6">
        <v>0</v>
      </c>
      <c r="V193" s="6">
        <v>1</v>
      </c>
      <c r="W193" s="6">
        <v>0</v>
      </c>
      <c r="X193" s="5">
        <f t="shared" si="31"/>
        <v>2</v>
      </c>
      <c r="Y193" s="20"/>
      <c r="Z193" s="20"/>
    </row>
    <row r="194" spans="1:26" x14ac:dyDescent="0.3">
      <c r="A194" s="7"/>
      <c r="B194" s="54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5">
        <f t="shared" si="31"/>
        <v>0</v>
      </c>
      <c r="Y194" s="20"/>
      <c r="Z194" s="20"/>
    </row>
    <row r="195" spans="1:26" x14ac:dyDescent="0.3">
      <c r="A195" s="7"/>
      <c r="B195" s="54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5">
        <f t="shared" si="31"/>
        <v>0</v>
      </c>
      <c r="Y195" s="20"/>
      <c r="Z195" s="20"/>
    </row>
    <row r="196" spans="1:26" ht="13.15" customHeight="1" x14ac:dyDescent="0.3">
      <c r="A196" s="7"/>
      <c r="B196" s="54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1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5">
        <f t="shared" si="31"/>
        <v>1</v>
      </c>
      <c r="Y196" s="1"/>
      <c r="Z196" s="1"/>
    </row>
    <row r="197" spans="1:26" ht="13.15" customHeight="1" x14ac:dyDescent="0.3">
      <c r="A197" s="7"/>
      <c r="B197" s="54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5">
        <f t="shared" si="31"/>
        <v>0</v>
      </c>
      <c r="Y197" s="1"/>
      <c r="Z197" s="1"/>
    </row>
    <row r="198" spans="1:26" ht="13.15" customHeight="1" x14ac:dyDescent="0.3">
      <c r="A198" s="7"/>
      <c r="B198" s="54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1</v>
      </c>
      <c r="W198" s="6">
        <v>0</v>
      </c>
      <c r="X198" s="5">
        <f t="shared" si="31"/>
        <v>1</v>
      </c>
      <c r="Y198" s="1"/>
      <c r="Z198" s="1"/>
    </row>
    <row r="199" spans="1:26" x14ac:dyDescent="0.3">
      <c r="A199" s="6" t="s">
        <v>26</v>
      </c>
      <c r="B199" s="69" t="s">
        <v>51</v>
      </c>
      <c r="C199" s="70"/>
      <c r="D199" s="71"/>
      <c r="E199" s="5">
        <f>SUM(E189:E198)</f>
        <v>0</v>
      </c>
      <c r="F199" s="5">
        <f t="shared" ref="F199:X199" si="32">SUM(F189:F198)</f>
        <v>0</v>
      </c>
      <c r="G199" s="5">
        <f t="shared" si="32"/>
        <v>0</v>
      </c>
      <c r="H199" s="5">
        <f t="shared" si="32"/>
        <v>0</v>
      </c>
      <c r="I199" s="5">
        <f t="shared" si="32"/>
        <v>0</v>
      </c>
      <c r="J199" s="5">
        <f t="shared" si="32"/>
        <v>0</v>
      </c>
      <c r="K199" s="5">
        <f t="shared" si="32"/>
        <v>1</v>
      </c>
      <c r="L199" s="5">
        <f t="shared" si="32"/>
        <v>0</v>
      </c>
      <c r="M199" s="5">
        <f t="shared" si="32"/>
        <v>1</v>
      </c>
      <c r="N199" s="5">
        <f t="shared" si="32"/>
        <v>0</v>
      </c>
      <c r="O199" s="5">
        <f t="shared" si="32"/>
        <v>0</v>
      </c>
      <c r="P199" s="5">
        <f t="shared" si="32"/>
        <v>0</v>
      </c>
      <c r="Q199" s="5">
        <f t="shared" si="32"/>
        <v>0</v>
      </c>
      <c r="R199" s="5">
        <f t="shared" si="32"/>
        <v>0</v>
      </c>
      <c r="S199" s="5">
        <f t="shared" si="32"/>
        <v>0</v>
      </c>
      <c r="T199" s="5">
        <f t="shared" si="32"/>
        <v>1</v>
      </c>
      <c r="U199" s="5">
        <f t="shared" si="32"/>
        <v>0</v>
      </c>
      <c r="V199" s="5">
        <f t="shared" si="32"/>
        <v>2</v>
      </c>
      <c r="W199" s="5">
        <f t="shared" si="32"/>
        <v>0</v>
      </c>
      <c r="X199" s="5">
        <f t="shared" si="32"/>
        <v>5</v>
      </c>
      <c r="Y199" s="28"/>
      <c r="Z199" s="28"/>
    </row>
    <row r="200" spans="1:26" x14ac:dyDescent="0.3">
      <c r="A200" s="77"/>
      <c r="B200" s="78"/>
      <c r="C200" s="78"/>
      <c r="D200" s="78"/>
      <c r="E200" s="7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20"/>
      <c r="Z200" s="20"/>
    </row>
    <row r="201" spans="1:26" x14ac:dyDescent="0.3">
      <c r="A201" s="11" t="s">
        <v>48</v>
      </c>
      <c r="B201" s="17" t="s">
        <v>73</v>
      </c>
      <c r="C201" s="75" t="s">
        <v>74</v>
      </c>
      <c r="D201" s="76"/>
      <c r="E201" s="6">
        <v>8</v>
      </c>
      <c r="F201" s="6">
        <v>3</v>
      </c>
      <c r="G201" s="6">
        <v>4</v>
      </c>
      <c r="H201" s="6">
        <v>12</v>
      </c>
      <c r="I201" s="6">
        <v>3</v>
      </c>
      <c r="J201" s="6">
        <v>2</v>
      </c>
      <c r="K201" s="6">
        <v>3</v>
      </c>
      <c r="L201" s="6">
        <v>6</v>
      </c>
      <c r="M201" s="6">
        <v>6</v>
      </c>
      <c r="N201" s="6">
        <v>2</v>
      </c>
      <c r="O201" s="6">
        <v>3</v>
      </c>
      <c r="P201" s="6">
        <v>3</v>
      </c>
      <c r="Q201" s="6">
        <v>5</v>
      </c>
      <c r="R201" s="6">
        <v>3</v>
      </c>
      <c r="S201" s="6">
        <v>4</v>
      </c>
      <c r="T201" s="6">
        <v>2</v>
      </c>
      <c r="U201" s="6">
        <v>8</v>
      </c>
      <c r="V201" s="6">
        <v>3</v>
      </c>
      <c r="W201" s="6">
        <v>17</v>
      </c>
      <c r="X201" s="5">
        <f t="shared" ref="X201:X211" si="33">SUM(E201:W201)</f>
        <v>97</v>
      </c>
      <c r="Y201" s="20"/>
      <c r="Z201" s="20"/>
    </row>
    <row r="202" spans="1:26" x14ac:dyDescent="0.3">
      <c r="A202" s="11" t="s">
        <v>50</v>
      </c>
      <c r="B202" s="54"/>
      <c r="C202" s="24" t="s">
        <v>212</v>
      </c>
      <c r="D202" s="51"/>
      <c r="E202" s="6">
        <v>6</v>
      </c>
      <c r="F202" s="6">
        <v>2</v>
      </c>
      <c r="G202" s="6">
        <v>6</v>
      </c>
      <c r="H202" s="6">
        <v>16</v>
      </c>
      <c r="I202" s="6">
        <v>11</v>
      </c>
      <c r="J202" s="6">
        <v>2</v>
      </c>
      <c r="K202" s="6">
        <v>8</v>
      </c>
      <c r="L202" s="6">
        <v>5</v>
      </c>
      <c r="M202" s="6">
        <v>5</v>
      </c>
      <c r="N202" s="6">
        <v>8</v>
      </c>
      <c r="O202" s="6">
        <v>6</v>
      </c>
      <c r="P202" s="6">
        <v>4</v>
      </c>
      <c r="Q202" s="6">
        <v>9</v>
      </c>
      <c r="R202" s="6">
        <v>7</v>
      </c>
      <c r="S202" s="6">
        <v>6</v>
      </c>
      <c r="T202" s="6">
        <v>16</v>
      </c>
      <c r="U202" s="6">
        <v>7</v>
      </c>
      <c r="V202" s="6">
        <v>3</v>
      </c>
      <c r="W202" s="6">
        <v>7</v>
      </c>
      <c r="X202" s="5">
        <f t="shared" si="33"/>
        <v>134</v>
      </c>
      <c r="Y202" s="20"/>
      <c r="Z202" s="20"/>
    </row>
    <row r="203" spans="1:26" x14ac:dyDescent="0.3">
      <c r="A203" s="7"/>
      <c r="B203" s="54"/>
      <c r="C203" s="24" t="s">
        <v>213</v>
      </c>
      <c r="D203" s="51"/>
      <c r="E203" s="6">
        <v>3</v>
      </c>
      <c r="F203" s="6">
        <v>0</v>
      </c>
      <c r="G203" s="6">
        <v>3</v>
      </c>
      <c r="H203" s="6">
        <v>1</v>
      </c>
      <c r="I203" s="6">
        <v>2</v>
      </c>
      <c r="J203" s="6">
        <v>0</v>
      </c>
      <c r="K203" s="6">
        <v>2</v>
      </c>
      <c r="L203" s="6">
        <v>0</v>
      </c>
      <c r="M203" s="6">
        <v>3</v>
      </c>
      <c r="N203" s="6">
        <v>0</v>
      </c>
      <c r="O203" s="6">
        <v>0</v>
      </c>
      <c r="P203" s="6">
        <v>1</v>
      </c>
      <c r="Q203" s="6">
        <v>1</v>
      </c>
      <c r="R203" s="6">
        <v>0</v>
      </c>
      <c r="S203" s="6">
        <v>0</v>
      </c>
      <c r="T203" s="6">
        <v>1</v>
      </c>
      <c r="U203" s="6">
        <v>1</v>
      </c>
      <c r="V203" s="6">
        <v>0</v>
      </c>
      <c r="W203" s="6">
        <v>5</v>
      </c>
      <c r="X203" s="5">
        <f t="shared" si="33"/>
        <v>23</v>
      </c>
      <c r="Y203" s="20"/>
      <c r="Z203" s="20"/>
    </row>
    <row r="204" spans="1:26" x14ac:dyDescent="0.3">
      <c r="A204" s="7"/>
      <c r="B204" s="54"/>
      <c r="C204" s="24" t="s">
        <v>214</v>
      </c>
      <c r="D204" s="51"/>
      <c r="E204" s="6">
        <v>0</v>
      </c>
      <c r="F204" s="6">
        <v>4</v>
      </c>
      <c r="G204" s="6">
        <v>1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1</v>
      </c>
      <c r="N204" s="6">
        <v>0</v>
      </c>
      <c r="O204" s="6">
        <v>1</v>
      </c>
      <c r="P204" s="6">
        <v>1</v>
      </c>
      <c r="Q204" s="6">
        <v>1</v>
      </c>
      <c r="R204" s="6">
        <v>0</v>
      </c>
      <c r="S204" s="6">
        <v>0</v>
      </c>
      <c r="T204" s="6">
        <v>4</v>
      </c>
      <c r="U204" s="6">
        <v>0</v>
      </c>
      <c r="V204" s="6">
        <v>1</v>
      </c>
      <c r="W204" s="6">
        <v>0</v>
      </c>
      <c r="X204" s="5">
        <f t="shared" si="33"/>
        <v>15</v>
      </c>
      <c r="Y204" s="20"/>
      <c r="Z204" s="20"/>
    </row>
    <row r="205" spans="1:26" x14ac:dyDescent="0.3">
      <c r="A205" s="7"/>
      <c r="B205" s="54"/>
      <c r="C205" s="24" t="s">
        <v>215</v>
      </c>
      <c r="D205" s="51"/>
      <c r="E205" s="6">
        <v>2</v>
      </c>
      <c r="F205" s="6">
        <v>1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0</v>
      </c>
      <c r="P205" s="6">
        <v>0</v>
      </c>
      <c r="Q205" s="6">
        <v>1</v>
      </c>
      <c r="R205" s="6">
        <v>0</v>
      </c>
      <c r="S205" s="6">
        <v>0</v>
      </c>
      <c r="T205" s="6">
        <v>3</v>
      </c>
      <c r="U205" s="6">
        <v>0</v>
      </c>
      <c r="V205" s="6">
        <v>0</v>
      </c>
      <c r="W205" s="6">
        <v>1</v>
      </c>
      <c r="X205" s="5">
        <f t="shared" si="33"/>
        <v>10</v>
      </c>
      <c r="Y205" s="20"/>
      <c r="Z205" s="20"/>
    </row>
    <row r="206" spans="1:26" x14ac:dyDescent="0.3">
      <c r="A206" s="7"/>
      <c r="B206" s="54"/>
      <c r="C206" s="24" t="s">
        <v>216</v>
      </c>
      <c r="D206" s="51"/>
      <c r="E206" s="6">
        <v>1</v>
      </c>
      <c r="F206" s="6">
        <v>1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1</v>
      </c>
      <c r="U206" s="6">
        <v>0</v>
      </c>
      <c r="V206" s="6">
        <v>0</v>
      </c>
      <c r="W206" s="6">
        <v>0</v>
      </c>
      <c r="X206" s="5">
        <f t="shared" si="33"/>
        <v>3</v>
      </c>
      <c r="Y206" s="20"/>
      <c r="Z206" s="20"/>
    </row>
    <row r="207" spans="1:26" ht="13.15" customHeight="1" x14ac:dyDescent="0.3">
      <c r="A207" s="7"/>
      <c r="B207" s="54"/>
      <c r="C207" s="24" t="s">
        <v>217</v>
      </c>
      <c r="D207" s="51"/>
      <c r="E207" s="6">
        <v>3</v>
      </c>
      <c r="F207" s="6">
        <v>0</v>
      </c>
      <c r="G207" s="6">
        <v>1</v>
      </c>
      <c r="H207" s="6">
        <v>2</v>
      </c>
      <c r="I207" s="6">
        <v>0</v>
      </c>
      <c r="J207" s="6">
        <v>0</v>
      </c>
      <c r="K207" s="6">
        <v>1</v>
      </c>
      <c r="L207" s="6">
        <v>1</v>
      </c>
      <c r="M207" s="6">
        <v>2</v>
      </c>
      <c r="N207" s="6">
        <v>1</v>
      </c>
      <c r="O207" s="6">
        <v>1</v>
      </c>
      <c r="P207" s="6">
        <v>1</v>
      </c>
      <c r="Q207" s="6">
        <v>0</v>
      </c>
      <c r="R207" s="6">
        <v>0</v>
      </c>
      <c r="S207" s="6">
        <v>0</v>
      </c>
      <c r="T207" s="6">
        <v>1</v>
      </c>
      <c r="U207" s="6">
        <v>0</v>
      </c>
      <c r="V207" s="6">
        <v>3</v>
      </c>
      <c r="W207" s="6">
        <v>2</v>
      </c>
      <c r="X207" s="5">
        <f t="shared" si="33"/>
        <v>19</v>
      </c>
      <c r="Y207" s="1"/>
      <c r="Z207" s="1"/>
    </row>
    <row r="208" spans="1:26" x14ac:dyDescent="0.3">
      <c r="A208" s="7"/>
      <c r="B208" s="54"/>
      <c r="C208" s="24" t="s">
        <v>218</v>
      </c>
      <c r="D208" s="51"/>
      <c r="E208" s="6">
        <v>0</v>
      </c>
      <c r="F208" s="6">
        <v>0</v>
      </c>
      <c r="G208" s="6">
        <v>0</v>
      </c>
      <c r="H208" s="6">
        <v>1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3</v>
      </c>
      <c r="X208" s="5">
        <f t="shared" si="33"/>
        <v>6</v>
      </c>
      <c r="Y208" s="28"/>
      <c r="Z208" s="28"/>
    </row>
    <row r="209" spans="1:26" x14ac:dyDescent="0.3">
      <c r="A209" s="7"/>
      <c r="B209" s="54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5">
        <f t="shared" si="33"/>
        <v>0</v>
      </c>
      <c r="Y209" s="28"/>
      <c r="Z209" s="28"/>
    </row>
    <row r="210" spans="1:26" x14ac:dyDescent="0.3">
      <c r="A210" s="7"/>
      <c r="B210" s="54"/>
      <c r="C210" s="24" t="s">
        <v>220</v>
      </c>
      <c r="D210" s="51"/>
      <c r="E210" s="6">
        <v>1</v>
      </c>
      <c r="F210" s="6">
        <v>0</v>
      </c>
      <c r="G210" s="6">
        <v>1</v>
      </c>
      <c r="H210" s="6">
        <v>0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6">
        <v>0</v>
      </c>
      <c r="W210" s="6">
        <v>3</v>
      </c>
      <c r="X210" s="5">
        <f t="shared" si="33"/>
        <v>8</v>
      </c>
      <c r="Y210" s="28"/>
      <c r="Z210" s="28"/>
    </row>
    <row r="211" spans="1:26" x14ac:dyDescent="0.3">
      <c r="A211" s="6" t="s">
        <v>26</v>
      </c>
      <c r="B211" s="69" t="s">
        <v>51</v>
      </c>
      <c r="C211" s="70"/>
      <c r="D211" s="71"/>
      <c r="E211" s="5">
        <f>SUM(E201:E210)</f>
        <v>24</v>
      </c>
      <c r="F211" s="5">
        <f t="shared" ref="F211:X211" si="34">SUM(F201:F210)</f>
        <v>11</v>
      </c>
      <c r="G211" s="5">
        <f t="shared" si="34"/>
        <v>16</v>
      </c>
      <c r="H211" s="5">
        <f t="shared" si="34"/>
        <v>33</v>
      </c>
      <c r="I211" s="5">
        <f t="shared" si="34"/>
        <v>19</v>
      </c>
      <c r="J211" s="5">
        <f t="shared" si="34"/>
        <v>5</v>
      </c>
      <c r="K211" s="5">
        <f t="shared" si="34"/>
        <v>14</v>
      </c>
      <c r="L211" s="5">
        <f t="shared" si="34"/>
        <v>12</v>
      </c>
      <c r="M211" s="5">
        <f t="shared" si="34"/>
        <v>17</v>
      </c>
      <c r="N211" s="5">
        <f t="shared" si="34"/>
        <v>12</v>
      </c>
      <c r="O211" s="5">
        <f t="shared" si="34"/>
        <v>12</v>
      </c>
      <c r="P211" s="5">
        <f t="shared" si="34"/>
        <v>10</v>
      </c>
      <c r="Q211" s="5">
        <f t="shared" si="34"/>
        <v>17</v>
      </c>
      <c r="R211" s="5">
        <f t="shared" si="34"/>
        <v>10</v>
      </c>
      <c r="S211" s="5">
        <f t="shared" si="34"/>
        <v>10</v>
      </c>
      <c r="T211" s="5">
        <f t="shared" si="34"/>
        <v>29</v>
      </c>
      <c r="U211" s="5">
        <f t="shared" si="34"/>
        <v>16</v>
      </c>
      <c r="V211" s="5">
        <f t="shared" si="34"/>
        <v>10</v>
      </c>
      <c r="W211" s="5">
        <f t="shared" si="34"/>
        <v>38</v>
      </c>
      <c r="X211" s="5">
        <f t="shared" si="34"/>
        <v>315</v>
      </c>
      <c r="Y211" s="20"/>
      <c r="Z211" s="20"/>
    </row>
    <row r="212" spans="1:26" x14ac:dyDescent="0.3">
      <c r="A212" s="77"/>
      <c r="B212" s="78"/>
      <c r="C212" s="78"/>
      <c r="D212" s="78"/>
      <c r="E212" s="7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20"/>
      <c r="Z212" s="20"/>
    </row>
    <row r="213" spans="1:26" x14ac:dyDescent="0.3">
      <c r="A213" s="11" t="s">
        <v>48</v>
      </c>
      <c r="B213" s="17" t="s">
        <v>75</v>
      </c>
      <c r="C213" s="75" t="s">
        <v>76</v>
      </c>
      <c r="D213" s="76"/>
      <c r="E213" s="6">
        <v>2</v>
      </c>
      <c r="F213" s="6">
        <v>2</v>
      </c>
      <c r="G213" s="6">
        <v>2</v>
      </c>
      <c r="H213" s="6">
        <v>3</v>
      </c>
      <c r="I213" s="6">
        <v>1</v>
      </c>
      <c r="J213" s="6">
        <v>1</v>
      </c>
      <c r="K213" s="6">
        <v>1</v>
      </c>
      <c r="L213" s="6">
        <v>1</v>
      </c>
      <c r="M213" s="6">
        <v>2</v>
      </c>
      <c r="N213" s="6">
        <v>1</v>
      </c>
      <c r="O213" s="6">
        <v>1</v>
      </c>
      <c r="P213" s="6">
        <v>1</v>
      </c>
      <c r="Q213" s="6">
        <v>6</v>
      </c>
      <c r="R213" s="6">
        <v>0</v>
      </c>
      <c r="S213" s="6">
        <v>5</v>
      </c>
      <c r="T213" s="6">
        <v>1</v>
      </c>
      <c r="U213" s="6">
        <v>5</v>
      </c>
      <c r="V213" s="6">
        <v>0</v>
      </c>
      <c r="W213" s="6">
        <v>0</v>
      </c>
      <c r="X213" s="5">
        <f>SUM(E213:W213)</f>
        <v>35</v>
      </c>
      <c r="Y213" s="20"/>
      <c r="Z213" s="20"/>
    </row>
    <row r="214" spans="1:26" x14ac:dyDescent="0.3">
      <c r="A214" s="11" t="s">
        <v>50</v>
      </c>
      <c r="B214" s="54"/>
      <c r="C214" s="24" t="s">
        <v>221</v>
      </c>
      <c r="D214" s="55"/>
      <c r="E214" s="6">
        <v>2</v>
      </c>
      <c r="F214" s="6">
        <v>0</v>
      </c>
      <c r="G214" s="6">
        <v>2</v>
      </c>
      <c r="H214" s="6">
        <v>5</v>
      </c>
      <c r="I214" s="6">
        <v>2</v>
      </c>
      <c r="J214" s="6">
        <v>0</v>
      </c>
      <c r="K214" s="6">
        <v>4</v>
      </c>
      <c r="L214" s="6">
        <v>0</v>
      </c>
      <c r="M214" s="6">
        <v>1</v>
      </c>
      <c r="N214" s="6">
        <v>2</v>
      </c>
      <c r="O214" s="6">
        <v>1</v>
      </c>
      <c r="P214" s="6">
        <v>1</v>
      </c>
      <c r="Q214" s="6">
        <v>3</v>
      </c>
      <c r="R214" s="6">
        <v>0</v>
      </c>
      <c r="S214" s="6">
        <v>2</v>
      </c>
      <c r="T214" s="6">
        <v>1</v>
      </c>
      <c r="U214" s="6">
        <v>2</v>
      </c>
      <c r="V214" s="6">
        <v>0</v>
      </c>
      <c r="W214" s="6">
        <v>1</v>
      </c>
      <c r="X214" s="5">
        <f>SUM(E214:W214)</f>
        <v>29</v>
      </c>
      <c r="Y214" s="20"/>
      <c r="Z214" s="20"/>
    </row>
    <row r="215" spans="1:26" x14ac:dyDescent="0.3">
      <c r="A215" s="7"/>
      <c r="B215" s="54"/>
      <c r="C215" s="24" t="s">
        <v>222</v>
      </c>
      <c r="D215" s="55"/>
      <c r="E215" s="6">
        <v>0</v>
      </c>
      <c r="F215" s="6">
        <v>0</v>
      </c>
      <c r="G215" s="6">
        <v>1</v>
      </c>
      <c r="H215" s="6">
        <v>1</v>
      </c>
      <c r="I215" s="6">
        <v>1</v>
      </c>
      <c r="J215" s="6">
        <v>0</v>
      </c>
      <c r="K215" s="6">
        <v>3</v>
      </c>
      <c r="L215" s="6">
        <v>0</v>
      </c>
      <c r="M215" s="6">
        <v>1</v>
      </c>
      <c r="N215" s="6">
        <v>0</v>
      </c>
      <c r="O215" s="6">
        <v>2</v>
      </c>
      <c r="P215" s="6">
        <v>1</v>
      </c>
      <c r="Q215" s="6">
        <v>2</v>
      </c>
      <c r="R215" s="6">
        <v>2</v>
      </c>
      <c r="S215" s="6">
        <v>2</v>
      </c>
      <c r="T215" s="6">
        <v>1</v>
      </c>
      <c r="U215" s="6">
        <v>1</v>
      </c>
      <c r="V215" s="6">
        <v>0</v>
      </c>
      <c r="W215" s="6">
        <v>0</v>
      </c>
      <c r="X215" s="5">
        <f>SUM(E215:W215)</f>
        <v>18</v>
      </c>
      <c r="Y215" s="20"/>
      <c r="Z215" s="20"/>
    </row>
    <row r="216" spans="1:26" x14ac:dyDescent="0.3">
      <c r="A216" s="7"/>
      <c r="B216" s="54"/>
      <c r="C216" s="24" t="s">
        <v>223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2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5">
        <f>SUM(E216:W216)</f>
        <v>3</v>
      </c>
      <c r="Y216" s="20"/>
      <c r="Z216" s="20"/>
    </row>
    <row r="217" spans="1:26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50"/>
      <c r="Y217" s="20"/>
      <c r="Z217" s="20"/>
    </row>
    <row r="218" spans="1:26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50"/>
      <c r="Y218" s="1"/>
      <c r="Z218" s="1"/>
    </row>
    <row r="219" spans="1:26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50"/>
      <c r="Y219" s="28"/>
      <c r="Z219" s="28"/>
    </row>
    <row r="220" spans="1:26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50"/>
      <c r="Y220" s="20"/>
      <c r="Z220" s="20"/>
    </row>
    <row r="221" spans="1:26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50"/>
      <c r="Y221" s="20"/>
      <c r="Z221" s="20"/>
    </row>
    <row r="222" spans="1:26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50"/>
      <c r="Y222" s="20"/>
      <c r="Z222" s="20"/>
    </row>
    <row r="223" spans="1:26" x14ac:dyDescent="0.3">
      <c r="A223" s="6" t="s">
        <v>26</v>
      </c>
      <c r="B223" s="69" t="s">
        <v>51</v>
      </c>
      <c r="C223" s="70"/>
      <c r="D223" s="71"/>
      <c r="E223" s="5">
        <f>SUM(E213:E222)</f>
        <v>4</v>
      </c>
      <c r="F223" s="5">
        <f t="shared" ref="F223:X223" si="35">SUM(F213:F222)</f>
        <v>2</v>
      </c>
      <c r="G223" s="5">
        <f t="shared" si="35"/>
        <v>5</v>
      </c>
      <c r="H223" s="5">
        <f t="shared" si="35"/>
        <v>9</v>
      </c>
      <c r="I223" s="5">
        <f t="shared" si="35"/>
        <v>4</v>
      </c>
      <c r="J223" s="5">
        <f t="shared" si="35"/>
        <v>1</v>
      </c>
      <c r="K223" s="5">
        <f t="shared" si="35"/>
        <v>8</v>
      </c>
      <c r="L223" s="5">
        <f t="shared" si="35"/>
        <v>1</v>
      </c>
      <c r="M223" s="5">
        <f t="shared" si="35"/>
        <v>4</v>
      </c>
      <c r="N223" s="5">
        <f t="shared" si="35"/>
        <v>4</v>
      </c>
      <c r="O223" s="5">
        <f t="shared" si="35"/>
        <v>4</v>
      </c>
      <c r="P223" s="5">
        <f t="shared" si="35"/>
        <v>3</v>
      </c>
      <c r="Q223" s="5">
        <f t="shared" si="35"/>
        <v>13</v>
      </c>
      <c r="R223" s="5">
        <f t="shared" si="35"/>
        <v>2</v>
      </c>
      <c r="S223" s="5">
        <f t="shared" si="35"/>
        <v>9</v>
      </c>
      <c r="T223" s="5">
        <f t="shared" si="35"/>
        <v>3</v>
      </c>
      <c r="U223" s="5">
        <f t="shared" si="35"/>
        <v>8</v>
      </c>
      <c r="V223" s="5">
        <f t="shared" si="35"/>
        <v>0</v>
      </c>
      <c r="W223" s="5">
        <f t="shared" si="35"/>
        <v>1</v>
      </c>
      <c r="X223" s="5">
        <f t="shared" si="35"/>
        <v>85</v>
      </c>
      <c r="Y223" s="20"/>
      <c r="Z223" s="20"/>
    </row>
    <row r="224" spans="1:26" x14ac:dyDescent="0.3">
      <c r="A224" s="77"/>
      <c r="B224" s="78"/>
      <c r="C224" s="78"/>
      <c r="D224" s="78"/>
      <c r="E224" s="7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20"/>
      <c r="Z224" s="20"/>
    </row>
    <row r="225" spans="1:26" x14ac:dyDescent="0.3">
      <c r="A225" s="11" t="s">
        <v>48</v>
      </c>
      <c r="B225" s="17" t="s">
        <v>77</v>
      </c>
      <c r="C225" s="75" t="s">
        <v>78</v>
      </c>
      <c r="D225" s="76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1</v>
      </c>
      <c r="K225" s="6">
        <v>0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2</v>
      </c>
      <c r="T225" s="6">
        <v>0</v>
      </c>
      <c r="U225" s="6">
        <v>1</v>
      </c>
      <c r="V225" s="6">
        <v>0</v>
      </c>
      <c r="W225" s="6">
        <v>0</v>
      </c>
      <c r="X225" s="5">
        <f>SUM(E225:W225)</f>
        <v>5</v>
      </c>
      <c r="Y225" s="20"/>
      <c r="Z225" s="20"/>
    </row>
    <row r="226" spans="1:26" x14ac:dyDescent="0.3">
      <c r="A226" s="11" t="s">
        <v>50</v>
      </c>
      <c r="B226" s="54"/>
      <c r="C226" s="24" t="s">
        <v>224</v>
      </c>
      <c r="D226" s="51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2</v>
      </c>
      <c r="L226" s="6">
        <v>0</v>
      </c>
      <c r="M226" s="6">
        <v>1</v>
      </c>
      <c r="N226" s="6">
        <v>0</v>
      </c>
      <c r="O226" s="6">
        <v>2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3</v>
      </c>
      <c r="V226" s="6">
        <v>0</v>
      </c>
      <c r="W226" s="6">
        <v>0</v>
      </c>
      <c r="X226" s="5">
        <f>SUM(E226:W226)</f>
        <v>8</v>
      </c>
      <c r="Y226" s="20"/>
      <c r="Z226" s="20"/>
    </row>
    <row r="227" spans="1:26" x14ac:dyDescent="0.3">
      <c r="A227" s="7"/>
      <c r="B227" s="54"/>
      <c r="C227" s="24" t="s">
        <v>225</v>
      </c>
      <c r="D227" s="51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1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5">
        <f>SUM(E227:W227)</f>
        <v>1</v>
      </c>
      <c r="Y227" s="20"/>
      <c r="Z227" s="20"/>
    </row>
    <row r="228" spans="1:26" x14ac:dyDescent="0.3">
      <c r="A228" s="7"/>
      <c r="B228" s="54"/>
      <c r="C228" s="24" t="s">
        <v>226</v>
      </c>
      <c r="D228" s="51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5">
        <f>SUM(E228:W228)</f>
        <v>0</v>
      </c>
      <c r="Y228" s="20"/>
      <c r="Z228" s="20"/>
    </row>
    <row r="229" spans="1:26" ht="13.15" customHeight="1" x14ac:dyDescent="0.3">
      <c r="A229" s="7"/>
      <c r="B229" s="54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5">
        <f>SUM(E229:W229)</f>
        <v>0</v>
      </c>
      <c r="Y229" s="1"/>
      <c r="Z229" s="1"/>
    </row>
    <row r="230" spans="1:26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50"/>
      <c r="Y230" s="28"/>
      <c r="Z230" s="28"/>
    </row>
    <row r="231" spans="1:26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50"/>
      <c r="Y231" s="20"/>
      <c r="Z231" s="20"/>
    </row>
    <row r="232" spans="1:26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50"/>
      <c r="Y232" s="20"/>
      <c r="Z232" s="20"/>
    </row>
    <row r="233" spans="1:26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50"/>
      <c r="Y233" s="20"/>
      <c r="Z233" s="20"/>
    </row>
    <row r="234" spans="1:26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50"/>
      <c r="Y234" s="20"/>
      <c r="Z234" s="20"/>
    </row>
    <row r="235" spans="1:26" x14ac:dyDescent="0.3">
      <c r="A235" s="6" t="s">
        <v>26</v>
      </c>
      <c r="B235" s="69" t="s">
        <v>51</v>
      </c>
      <c r="C235" s="70"/>
      <c r="D235" s="71"/>
      <c r="E235" s="5">
        <f>SUM(E225:E234)</f>
        <v>0</v>
      </c>
      <c r="F235" s="5">
        <f t="shared" ref="F235:X235" si="36">SUM(F225:F234)</f>
        <v>0</v>
      </c>
      <c r="G235" s="5">
        <f t="shared" si="36"/>
        <v>0</v>
      </c>
      <c r="H235" s="5">
        <f t="shared" si="36"/>
        <v>0</v>
      </c>
      <c r="I235" s="5">
        <f t="shared" si="36"/>
        <v>0</v>
      </c>
      <c r="J235" s="5">
        <f t="shared" si="36"/>
        <v>1</v>
      </c>
      <c r="K235" s="5">
        <f t="shared" si="36"/>
        <v>2</v>
      </c>
      <c r="L235" s="5">
        <f t="shared" si="36"/>
        <v>0</v>
      </c>
      <c r="M235" s="5">
        <f t="shared" si="36"/>
        <v>2</v>
      </c>
      <c r="N235" s="5">
        <f t="shared" si="36"/>
        <v>0</v>
      </c>
      <c r="O235" s="5">
        <f t="shared" si="36"/>
        <v>2</v>
      </c>
      <c r="P235" s="5">
        <f t="shared" si="36"/>
        <v>0</v>
      </c>
      <c r="Q235" s="5">
        <f t="shared" si="36"/>
        <v>0</v>
      </c>
      <c r="R235" s="5">
        <f t="shared" si="36"/>
        <v>1</v>
      </c>
      <c r="S235" s="5">
        <f t="shared" si="36"/>
        <v>2</v>
      </c>
      <c r="T235" s="5">
        <f t="shared" si="36"/>
        <v>0</v>
      </c>
      <c r="U235" s="5">
        <f t="shared" si="36"/>
        <v>4</v>
      </c>
      <c r="V235" s="5">
        <f t="shared" si="36"/>
        <v>0</v>
      </c>
      <c r="W235" s="5">
        <f t="shared" si="36"/>
        <v>0</v>
      </c>
      <c r="X235" s="5">
        <f t="shared" si="36"/>
        <v>14</v>
      </c>
      <c r="Y235" s="20"/>
      <c r="Z235" s="20"/>
    </row>
    <row r="236" spans="1:26" x14ac:dyDescent="0.3">
      <c r="A236" s="77"/>
      <c r="B236" s="78"/>
      <c r="C236" s="78"/>
      <c r="D236" s="78"/>
      <c r="E236" s="7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20"/>
      <c r="Z236" s="20"/>
    </row>
    <row r="237" spans="1:26" x14ac:dyDescent="0.3">
      <c r="A237" s="11" t="s">
        <v>48</v>
      </c>
      <c r="B237" s="17" t="s">
        <v>79</v>
      </c>
      <c r="C237" s="75" t="s">
        <v>80</v>
      </c>
      <c r="D237" s="76"/>
      <c r="E237" s="6">
        <v>1</v>
      </c>
      <c r="F237" s="6">
        <v>2</v>
      </c>
      <c r="G237" s="6">
        <v>0</v>
      </c>
      <c r="H237" s="6">
        <v>1</v>
      </c>
      <c r="I237" s="6">
        <v>1</v>
      </c>
      <c r="J237" s="6">
        <v>1</v>
      </c>
      <c r="K237" s="6">
        <v>1</v>
      </c>
      <c r="L237" s="6">
        <v>0</v>
      </c>
      <c r="M237" s="6">
        <v>0</v>
      </c>
      <c r="N237" s="6">
        <v>1</v>
      </c>
      <c r="O237" s="6">
        <v>0</v>
      </c>
      <c r="P237" s="6">
        <v>0</v>
      </c>
      <c r="Q237" s="6">
        <v>0</v>
      </c>
      <c r="R237" s="6">
        <v>1</v>
      </c>
      <c r="S237" s="6">
        <v>2</v>
      </c>
      <c r="T237" s="6">
        <v>1</v>
      </c>
      <c r="U237" s="6">
        <v>0</v>
      </c>
      <c r="V237" s="6">
        <v>0</v>
      </c>
      <c r="W237" s="6">
        <v>1</v>
      </c>
      <c r="X237" s="5">
        <f t="shared" ref="X237:X247" si="37">SUM(E237:W237)</f>
        <v>13</v>
      </c>
      <c r="Y237" s="20"/>
      <c r="Z237" s="20"/>
    </row>
    <row r="238" spans="1:26" x14ac:dyDescent="0.3">
      <c r="A238" s="11" t="s">
        <v>50</v>
      </c>
      <c r="B238" s="54"/>
      <c r="C238" s="24" t="s">
        <v>228</v>
      </c>
      <c r="D238" s="51"/>
      <c r="E238" s="6">
        <v>5</v>
      </c>
      <c r="F238" s="6">
        <v>0</v>
      </c>
      <c r="G238" s="6">
        <v>1</v>
      </c>
      <c r="H238" s="6">
        <v>2</v>
      </c>
      <c r="I238" s="6">
        <v>1</v>
      </c>
      <c r="J238" s="6">
        <v>1</v>
      </c>
      <c r="K238" s="6">
        <v>0</v>
      </c>
      <c r="L238" s="6">
        <v>2</v>
      </c>
      <c r="M238" s="6">
        <v>1</v>
      </c>
      <c r="N238" s="6">
        <v>0</v>
      </c>
      <c r="O238" s="6">
        <v>0</v>
      </c>
      <c r="P238" s="6">
        <v>1</v>
      </c>
      <c r="Q238" s="6">
        <v>0</v>
      </c>
      <c r="R238" s="6">
        <v>1</v>
      </c>
      <c r="S238" s="6">
        <v>2</v>
      </c>
      <c r="T238" s="6">
        <v>0</v>
      </c>
      <c r="U238" s="6">
        <v>0</v>
      </c>
      <c r="V238" s="6">
        <v>2</v>
      </c>
      <c r="W238" s="6">
        <v>0</v>
      </c>
      <c r="X238" s="5">
        <f t="shared" si="37"/>
        <v>19</v>
      </c>
      <c r="Y238" s="20"/>
      <c r="Z238" s="20"/>
    </row>
    <row r="239" spans="1:26" x14ac:dyDescent="0.3">
      <c r="A239" s="7"/>
      <c r="B239" s="54"/>
      <c r="C239" s="24" t="s">
        <v>229</v>
      </c>
      <c r="D239" s="51"/>
      <c r="E239" s="6">
        <v>0</v>
      </c>
      <c r="F239" s="6">
        <v>1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  <c r="L239" s="6">
        <v>1</v>
      </c>
      <c r="M239" s="6">
        <v>0</v>
      </c>
      <c r="N239" s="6">
        <v>1</v>
      </c>
      <c r="O239" s="6">
        <v>1</v>
      </c>
      <c r="P239" s="6">
        <v>0</v>
      </c>
      <c r="Q239" s="6">
        <v>0</v>
      </c>
      <c r="R239" s="6">
        <v>1</v>
      </c>
      <c r="S239" s="6">
        <v>1</v>
      </c>
      <c r="T239" s="6">
        <v>0</v>
      </c>
      <c r="U239" s="6">
        <v>1</v>
      </c>
      <c r="V239" s="6">
        <v>0</v>
      </c>
      <c r="W239" s="6">
        <v>4</v>
      </c>
      <c r="X239" s="5">
        <f t="shared" si="37"/>
        <v>12</v>
      </c>
      <c r="Y239" s="20"/>
      <c r="Z239" s="20"/>
    </row>
    <row r="240" spans="1:26" ht="13.15" customHeight="1" x14ac:dyDescent="0.3">
      <c r="A240" s="7"/>
      <c r="B240" s="54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1</v>
      </c>
      <c r="T240" s="6">
        <v>1</v>
      </c>
      <c r="U240" s="6">
        <v>0</v>
      </c>
      <c r="V240" s="6">
        <v>0</v>
      </c>
      <c r="W240" s="6">
        <v>0</v>
      </c>
      <c r="X240" s="5">
        <f t="shared" si="37"/>
        <v>2</v>
      </c>
      <c r="Y240" s="1"/>
      <c r="Z240" s="1"/>
    </row>
    <row r="241" spans="1:24" x14ac:dyDescent="0.3">
      <c r="A241" s="7"/>
      <c r="B241" s="54"/>
      <c r="C241" s="24" t="s">
        <v>231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1</v>
      </c>
      <c r="S241" s="6">
        <v>1</v>
      </c>
      <c r="T241" s="6">
        <v>0</v>
      </c>
      <c r="U241" s="6">
        <v>0</v>
      </c>
      <c r="V241" s="6">
        <v>0</v>
      </c>
      <c r="W241" s="6">
        <v>0</v>
      </c>
      <c r="X241" s="5">
        <f t="shared" si="37"/>
        <v>2</v>
      </c>
    </row>
    <row r="242" spans="1:24" ht="12.75" customHeight="1" x14ac:dyDescent="0.3">
      <c r="A242" s="7"/>
      <c r="B242" s="54"/>
      <c r="C242" s="24" t="s">
        <v>232</v>
      </c>
      <c r="D242" s="51"/>
      <c r="E242" s="6">
        <v>1</v>
      </c>
      <c r="F242" s="6">
        <v>1</v>
      </c>
      <c r="G242" s="6">
        <v>4</v>
      </c>
      <c r="H242" s="6">
        <v>1</v>
      </c>
      <c r="I242" s="6">
        <v>1</v>
      </c>
      <c r="J242" s="6">
        <v>0</v>
      </c>
      <c r="K242" s="6">
        <v>7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5">
        <f t="shared" si="37"/>
        <v>16</v>
      </c>
    </row>
    <row r="243" spans="1:24" x14ac:dyDescent="0.3">
      <c r="A243" s="7"/>
      <c r="B243" s="54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5">
        <f t="shared" si="37"/>
        <v>0</v>
      </c>
    </row>
    <row r="244" spans="1:24" x14ac:dyDescent="0.3">
      <c r="A244" s="7"/>
      <c r="B244" s="54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5">
        <f t="shared" si="37"/>
        <v>0</v>
      </c>
    </row>
    <row r="245" spans="1:24" x14ac:dyDescent="0.3">
      <c r="A245" s="7"/>
      <c r="B245" s="54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5">
        <f t="shared" si="37"/>
        <v>0</v>
      </c>
    </row>
    <row r="246" spans="1:24" x14ac:dyDescent="0.3">
      <c r="A246" s="7"/>
      <c r="B246" s="54"/>
      <c r="C246" s="24" t="s">
        <v>236</v>
      </c>
      <c r="D246" s="51"/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1</v>
      </c>
      <c r="W246" s="6">
        <v>0</v>
      </c>
      <c r="X246" s="5">
        <f t="shared" si="37"/>
        <v>2</v>
      </c>
    </row>
    <row r="247" spans="1:24" ht="12.75" customHeight="1" x14ac:dyDescent="0.3">
      <c r="A247" s="6" t="s">
        <v>26</v>
      </c>
      <c r="B247" s="69" t="s">
        <v>51</v>
      </c>
      <c r="C247" s="70"/>
      <c r="D247" s="71"/>
      <c r="E247" s="5">
        <f>SUM(E237:E246)</f>
        <v>8</v>
      </c>
      <c r="F247" s="5">
        <f t="shared" ref="F247:X247" si="38">SUM(F237:F246)</f>
        <v>4</v>
      </c>
      <c r="G247" s="5">
        <f t="shared" si="38"/>
        <v>5</v>
      </c>
      <c r="H247" s="5">
        <f t="shared" si="38"/>
        <v>4</v>
      </c>
      <c r="I247" s="5">
        <f t="shared" si="38"/>
        <v>3</v>
      </c>
      <c r="J247" s="5">
        <f t="shared" si="38"/>
        <v>2</v>
      </c>
      <c r="K247" s="5">
        <f t="shared" si="38"/>
        <v>9</v>
      </c>
      <c r="L247" s="5">
        <f t="shared" si="38"/>
        <v>3</v>
      </c>
      <c r="M247" s="5">
        <f t="shared" si="38"/>
        <v>1</v>
      </c>
      <c r="N247" s="5">
        <f t="shared" si="38"/>
        <v>3</v>
      </c>
      <c r="O247" s="5">
        <f t="shared" si="38"/>
        <v>1</v>
      </c>
      <c r="P247" s="5">
        <f t="shared" si="38"/>
        <v>1</v>
      </c>
      <c r="Q247" s="5">
        <f t="shared" si="38"/>
        <v>0</v>
      </c>
      <c r="R247" s="5">
        <f t="shared" si="38"/>
        <v>4</v>
      </c>
      <c r="S247" s="5">
        <f t="shared" si="38"/>
        <v>7</v>
      </c>
      <c r="T247" s="5">
        <f t="shared" si="38"/>
        <v>2</v>
      </c>
      <c r="U247" s="5">
        <f t="shared" si="38"/>
        <v>1</v>
      </c>
      <c r="V247" s="5">
        <f t="shared" si="38"/>
        <v>3</v>
      </c>
      <c r="W247" s="5">
        <f t="shared" si="38"/>
        <v>5</v>
      </c>
      <c r="X247" s="5">
        <f t="shared" si="38"/>
        <v>66</v>
      </c>
    </row>
    <row r="248" spans="1:24" x14ac:dyDescent="0.3">
      <c r="A248" s="77"/>
      <c r="B248" s="78"/>
      <c r="C248" s="78"/>
      <c r="D248" s="78"/>
      <c r="E248" s="79"/>
    </row>
    <row r="249" spans="1:24" x14ac:dyDescent="0.3">
      <c r="A249" s="11" t="s">
        <v>48</v>
      </c>
      <c r="B249" s="17" t="s">
        <v>81</v>
      </c>
      <c r="C249" s="75" t="s">
        <v>82</v>
      </c>
      <c r="D249" s="76"/>
      <c r="E249" s="6">
        <v>0</v>
      </c>
      <c r="F249" s="6">
        <v>0</v>
      </c>
      <c r="G249" s="6">
        <v>0</v>
      </c>
      <c r="H249" s="6">
        <v>0</v>
      </c>
      <c r="I249" s="6">
        <v>2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5">
        <f>SUM(E249:W249)</f>
        <v>2</v>
      </c>
    </row>
    <row r="250" spans="1:24" x14ac:dyDescent="0.3">
      <c r="A250" s="11" t="s">
        <v>50</v>
      </c>
      <c r="B250" s="54"/>
      <c r="C250" s="24" t="s">
        <v>237</v>
      </c>
      <c r="D250" s="51"/>
      <c r="E250" s="6">
        <v>5</v>
      </c>
      <c r="F250" s="6">
        <v>1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1</v>
      </c>
      <c r="Q250" s="6">
        <v>2</v>
      </c>
      <c r="R250" s="6">
        <v>4</v>
      </c>
      <c r="S250" s="6">
        <v>0</v>
      </c>
      <c r="T250" s="6">
        <v>0</v>
      </c>
      <c r="U250" s="6">
        <v>1</v>
      </c>
      <c r="V250" s="6">
        <v>0</v>
      </c>
      <c r="W250" s="6">
        <v>0</v>
      </c>
      <c r="X250" s="5">
        <f>SUM(E250:W250)</f>
        <v>15</v>
      </c>
    </row>
    <row r="251" spans="1:24" x14ac:dyDescent="0.3">
      <c r="A251" s="7"/>
      <c r="B251" s="54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5">
        <f>SUM(E251:W251)</f>
        <v>0</v>
      </c>
    </row>
    <row r="252" spans="1:24" x14ac:dyDescent="0.3">
      <c r="A252" s="7"/>
      <c r="B252" s="54"/>
      <c r="C252" s="24" t="s">
        <v>239</v>
      </c>
      <c r="D252" s="51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1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5">
        <f>SUM(E252:W252)</f>
        <v>1</v>
      </c>
    </row>
    <row r="253" spans="1:24" x14ac:dyDescent="0.3">
      <c r="A253" s="7"/>
      <c r="B253" s="46"/>
      <c r="C253" s="66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50"/>
    </row>
    <row r="254" spans="1:24" x14ac:dyDescent="0.3">
      <c r="A254" s="7"/>
      <c r="B254" s="46"/>
      <c r="C254" s="66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50"/>
    </row>
    <row r="255" spans="1:24" x14ac:dyDescent="0.3">
      <c r="A255" s="7"/>
      <c r="B255" s="46"/>
      <c r="C255" s="66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50"/>
    </row>
    <row r="256" spans="1:24" x14ac:dyDescent="0.3">
      <c r="A256" s="7"/>
      <c r="B256" s="46"/>
      <c r="C256" s="66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50"/>
    </row>
    <row r="257" spans="1:24" x14ac:dyDescent="0.3">
      <c r="A257" s="7"/>
      <c r="B257" s="46"/>
      <c r="C257" s="66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50"/>
    </row>
    <row r="258" spans="1:24" x14ac:dyDescent="0.3">
      <c r="A258" s="7"/>
      <c r="B258" s="46"/>
      <c r="C258" s="66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50"/>
    </row>
    <row r="259" spans="1:24" x14ac:dyDescent="0.3">
      <c r="A259" s="6" t="s">
        <v>26</v>
      </c>
      <c r="B259" s="69" t="s">
        <v>51</v>
      </c>
      <c r="C259" s="70"/>
      <c r="D259" s="71"/>
      <c r="E259" s="5">
        <f>SUM(E249:E258)</f>
        <v>5</v>
      </c>
      <c r="F259" s="5">
        <f t="shared" ref="F259:X259" si="39">SUM(F249:F258)</f>
        <v>1</v>
      </c>
      <c r="G259" s="5">
        <f t="shared" si="39"/>
        <v>1</v>
      </c>
      <c r="H259" s="5">
        <f t="shared" si="39"/>
        <v>0</v>
      </c>
      <c r="I259" s="5">
        <f t="shared" si="39"/>
        <v>2</v>
      </c>
      <c r="J259" s="5">
        <f t="shared" si="39"/>
        <v>0</v>
      </c>
      <c r="K259" s="5">
        <f t="shared" si="39"/>
        <v>0</v>
      </c>
      <c r="L259" s="5">
        <f t="shared" si="39"/>
        <v>0</v>
      </c>
      <c r="M259" s="5">
        <f t="shared" si="39"/>
        <v>0</v>
      </c>
      <c r="N259" s="5">
        <f t="shared" si="39"/>
        <v>0</v>
      </c>
      <c r="O259" s="5">
        <f t="shared" si="39"/>
        <v>1</v>
      </c>
      <c r="P259" s="5">
        <f t="shared" si="39"/>
        <v>1</v>
      </c>
      <c r="Q259" s="5">
        <f t="shared" si="39"/>
        <v>2</v>
      </c>
      <c r="R259" s="5">
        <f t="shared" si="39"/>
        <v>4</v>
      </c>
      <c r="S259" s="5">
        <f t="shared" si="39"/>
        <v>0</v>
      </c>
      <c r="T259" s="5">
        <f t="shared" si="39"/>
        <v>0</v>
      </c>
      <c r="U259" s="5">
        <f t="shared" si="39"/>
        <v>1</v>
      </c>
      <c r="V259" s="5">
        <f t="shared" si="39"/>
        <v>0</v>
      </c>
      <c r="W259" s="5">
        <f t="shared" si="39"/>
        <v>0</v>
      </c>
      <c r="X259" s="5">
        <f t="shared" si="39"/>
        <v>18</v>
      </c>
    </row>
    <row r="261" spans="1:24" x14ac:dyDescent="0.3">
      <c r="A261" s="16" t="s">
        <v>83</v>
      </c>
      <c r="B261" s="72" t="s">
        <v>84</v>
      </c>
      <c r="C261" s="73"/>
      <c r="D261" s="74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5"/>
    </row>
    <row r="262" spans="1:24" x14ac:dyDescent="0.3">
      <c r="A262" s="16"/>
      <c r="B262" s="19" t="s">
        <v>85</v>
      </c>
      <c r="C262" s="67" t="s">
        <v>86</v>
      </c>
      <c r="D262" s="68"/>
      <c r="E262" s="6">
        <f>E55+E67+E79+E91+E103+E115+E127+E139+E151+E163+E175+E187+E199+E211+E223+E235+E247+E259</f>
        <v>211</v>
      </c>
      <c r="F262" s="6">
        <f t="shared" ref="F262:W262" si="40">F55+F67+F79+F91+F103+F115+F127+F139+F151+F163+F175+F187+F199+F211+F223+F235+F247+F259</f>
        <v>219</v>
      </c>
      <c r="G262" s="6">
        <f t="shared" si="40"/>
        <v>214</v>
      </c>
      <c r="H262" s="6">
        <f t="shared" si="40"/>
        <v>211</v>
      </c>
      <c r="I262" s="6">
        <f t="shared" si="40"/>
        <v>182</v>
      </c>
      <c r="J262" s="6">
        <f t="shared" si="40"/>
        <v>195</v>
      </c>
      <c r="K262" s="6">
        <f t="shared" si="40"/>
        <v>198</v>
      </c>
      <c r="L262" s="6">
        <f t="shared" si="40"/>
        <v>169</v>
      </c>
      <c r="M262" s="6">
        <f t="shared" si="40"/>
        <v>202</v>
      </c>
      <c r="N262" s="6">
        <f t="shared" si="40"/>
        <v>196</v>
      </c>
      <c r="O262" s="6">
        <f t="shared" si="40"/>
        <v>175</v>
      </c>
      <c r="P262" s="6">
        <f t="shared" si="40"/>
        <v>160</v>
      </c>
      <c r="Q262" s="6">
        <f t="shared" si="40"/>
        <v>198</v>
      </c>
      <c r="R262" s="6">
        <f t="shared" si="40"/>
        <v>151</v>
      </c>
      <c r="S262" s="6">
        <f t="shared" si="40"/>
        <v>177</v>
      </c>
      <c r="T262" s="6">
        <f t="shared" si="40"/>
        <v>190</v>
      </c>
      <c r="U262" s="6">
        <f t="shared" si="40"/>
        <v>174</v>
      </c>
      <c r="V262" s="6">
        <f t="shared" si="40"/>
        <v>162</v>
      </c>
      <c r="W262" s="6">
        <f t="shared" si="40"/>
        <v>146</v>
      </c>
      <c r="X262" s="5">
        <f>SUM(E262:W262)</f>
        <v>3530</v>
      </c>
    </row>
    <row r="263" spans="1:24" x14ac:dyDescent="0.3">
      <c r="A263" s="13"/>
      <c r="B263" s="19" t="s">
        <v>87</v>
      </c>
      <c r="C263" s="67" t="s">
        <v>88</v>
      </c>
      <c r="D263" s="68"/>
      <c r="E263" s="6">
        <v>9</v>
      </c>
      <c r="F263" s="6">
        <v>12</v>
      </c>
      <c r="G263" s="6">
        <v>18</v>
      </c>
      <c r="H263" s="6">
        <v>25</v>
      </c>
      <c r="I263" s="6">
        <v>29</v>
      </c>
      <c r="J263" s="6">
        <v>32</v>
      </c>
      <c r="K263" s="6">
        <v>27</v>
      </c>
      <c r="L263" s="6">
        <v>26</v>
      </c>
      <c r="M263" s="6">
        <v>31</v>
      </c>
      <c r="N263" s="6">
        <v>22</v>
      </c>
      <c r="O263" s="6">
        <v>33</v>
      </c>
      <c r="P263" s="6">
        <v>25</v>
      </c>
      <c r="Q263" s="6">
        <v>22</v>
      </c>
      <c r="R263" s="6">
        <v>24</v>
      </c>
      <c r="S263" s="6">
        <v>33</v>
      </c>
      <c r="T263" s="6">
        <v>15</v>
      </c>
      <c r="U263" s="6">
        <v>24</v>
      </c>
      <c r="V263" s="6">
        <v>19</v>
      </c>
      <c r="W263" s="6">
        <v>40</v>
      </c>
      <c r="X263" s="5">
        <f>SUM(E263:W263)</f>
        <v>466</v>
      </c>
    </row>
    <row r="264" spans="1:24" x14ac:dyDescent="0.3">
      <c r="A264" s="14"/>
      <c r="B264" s="19" t="s">
        <v>89</v>
      </c>
      <c r="C264" s="67" t="s">
        <v>90</v>
      </c>
      <c r="D264" s="68"/>
      <c r="E264" s="5">
        <f>SUM(E262:E263)</f>
        <v>220</v>
      </c>
      <c r="F264" s="5">
        <f t="shared" ref="F264:W264" si="41">SUM(F262:F263)</f>
        <v>231</v>
      </c>
      <c r="G264" s="5">
        <f t="shared" si="41"/>
        <v>232</v>
      </c>
      <c r="H264" s="5">
        <f t="shared" si="41"/>
        <v>236</v>
      </c>
      <c r="I264" s="5">
        <f t="shared" si="41"/>
        <v>211</v>
      </c>
      <c r="J264" s="5">
        <f t="shared" si="41"/>
        <v>227</v>
      </c>
      <c r="K264" s="5">
        <f t="shared" si="41"/>
        <v>225</v>
      </c>
      <c r="L264" s="5">
        <f t="shared" si="41"/>
        <v>195</v>
      </c>
      <c r="M264" s="5">
        <f t="shared" si="41"/>
        <v>233</v>
      </c>
      <c r="N264" s="5">
        <f t="shared" si="41"/>
        <v>218</v>
      </c>
      <c r="O264" s="5">
        <f t="shared" si="41"/>
        <v>208</v>
      </c>
      <c r="P264" s="5">
        <f t="shared" si="41"/>
        <v>185</v>
      </c>
      <c r="Q264" s="5">
        <f t="shared" si="41"/>
        <v>220</v>
      </c>
      <c r="R264" s="5">
        <f t="shared" si="41"/>
        <v>175</v>
      </c>
      <c r="S264" s="5">
        <f t="shared" si="41"/>
        <v>210</v>
      </c>
      <c r="T264" s="5">
        <f t="shared" si="41"/>
        <v>205</v>
      </c>
      <c r="U264" s="5">
        <f t="shared" si="41"/>
        <v>198</v>
      </c>
      <c r="V264" s="5">
        <f t="shared" si="41"/>
        <v>181</v>
      </c>
      <c r="W264" s="5">
        <f t="shared" si="41"/>
        <v>186</v>
      </c>
      <c r="X264" s="5">
        <f>SUM(E264:W264)</f>
        <v>3996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W12"/>
    <mergeCell ref="X12:X13"/>
    <mergeCell ref="B13:D13"/>
    <mergeCell ref="B14:C16"/>
  </mergeCells>
  <conditionalFormatting sqref="E34:T34">
    <cfRule type="expression" dxfId="58" priority="29">
      <formula>E34&lt;&gt;E64</formula>
    </cfRule>
  </conditionalFormatting>
  <conditionalFormatting sqref="E14:W15">
    <cfRule type="containsBlanks" dxfId="57" priority="20">
      <formula>LEN(TRIM(E14))=0</formula>
    </cfRule>
  </conditionalFormatting>
  <conditionalFormatting sqref="E19:W20">
    <cfRule type="containsBlanks" dxfId="56" priority="23">
      <formula>LEN(TRIM(E19))=0</formula>
    </cfRule>
  </conditionalFormatting>
  <conditionalFormatting sqref="E22:W23 E25:W26 E33:W33 E35:W35 E39:W40">
    <cfRule type="containsBlanks" dxfId="55" priority="24">
      <formula>LEN(TRIM(E22))=0</formula>
    </cfRule>
  </conditionalFormatting>
  <conditionalFormatting sqref="E30:W30">
    <cfRule type="expression" dxfId="54" priority="25">
      <formula>E30&lt;&gt;E47</formula>
    </cfRule>
    <cfRule type="expression" dxfId="53" priority="26">
      <formula>E30&lt;&gt;E34</formula>
    </cfRule>
  </conditionalFormatting>
  <conditionalFormatting sqref="E34:W34">
    <cfRule type="expression" dxfId="52" priority="21">
      <formula>E30&lt;&gt;E34</formula>
    </cfRule>
    <cfRule type="expression" dxfId="51" priority="22">
      <formula>E30=E34</formula>
    </cfRule>
    <cfRule type="expression" dxfId="50" priority="27">
      <formula>E34&lt;&gt;E30</formula>
    </cfRule>
  </conditionalFormatting>
  <conditionalFormatting sqref="E45:W54">
    <cfRule type="containsBlanks" dxfId="49" priority="19">
      <formula>LEN(TRIM(E45))=0</formula>
    </cfRule>
  </conditionalFormatting>
  <conditionalFormatting sqref="E57:W66">
    <cfRule type="containsBlanks" dxfId="48" priority="18">
      <formula>LEN(TRIM(E57))=0</formula>
    </cfRule>
  </conditionalFormatting>
  <conditionalFormatting sqref="E69:W78">
    <cfRule type="containsBlanks" dxfId="47" priority="17">
      <formula>LEN(TRIM(E69))=0</formula>
    </cfRule>
  </conditionalFormatting>
  <conditionalFormatting sqref="E81:W90">
    <cfRule type="containsBlanks" dxfId="46" priority="16">
      <formula>LEN(TRIM(E81))=0</formula>
    </cfRule>
  </conditionalFormatting>
  <conditionalFormatting sqref="E93:W102">
    <cfRule type="containsBlanks" dxfId="45" priority="15">
      <formula>LEN(TRIM(E93))=0</formula>
    </cfRule>
  </conditionalFormatting>
  <conditionalFormatting sqref="E105:W114">
    <cfRule type="containsBlanks" dxfId="44" priority="14">
      <formula>LEN(TRIM(E105))=0</formula>
    </cfRule>
  </conditionalFormatting>
  <conditionalFormatting sqref="E117:W126">
    <cfRule type="containsBlanks" dxfId="43" priority="1">
      <formula>LEN(TRIM(E117))=0</formula>
    </cfRule>
  </conditionalFormatting>
  <conditionalFormatting sqref="E129:W138">
    <cfRule type="containsBlanks" dxfId="42" priority="13">
      <formula>LEN(TRIM(E129))=0</formula>
    </cfRule>
  </conditionalFormatting>
  <conditionalFormatting sqref="E141:W150">
    <cfRule type="containsBlanks" dxfId="41" priority="12">
      <formula>LEN(TRIM(E141))=0</formula>
    </cfRule>
  </conditionalFormatting>
  <conditionalFormatting sqref="E153:W162">
    <cfRule type="containsBlanks" dxfId="40" priority="3">
      <formula>LEN(TRIM(E153))=0</formula>
    </cfRule>
  </conditionalFormatting>
  <conditionalFormatting sqref="E165:W174">
    <cfRule type="containsBlanks" dxfId="39" priority="11">
      <formula>LEN(TRIM(E165))=0</formula>
    </cfRule>
  </conditionalFormatting>
  <conditionalFormatting sqref="E177:W186">
    <cfRule type="containsBlanks" dxfId="38" priority="10">
      <formula>LEN(TRIM(E177))=0</formula>
    </cfRule>
  </conditionalFormatting>
  <conditionalFormatting sqref="E189:W198">
    <cfRule type="containsBlanks" dxfId="37" priority="9">
      <formula>LEN(TRIM(E189))=0</formula>
    </cfRule>
  </conditionalFormatting>
  <conditionalFormatting sqref="E201:W210">
    <cfRule type="containsBlanks" dxfId="36" priority="8">
      <formula>LEN(TRIM(E201))=0</formula>
    </cfRule>
  </conditionalFormatting>
  <conditionalFormatting sqref="E213:W222">
    <cfRule type="containsBlanks" dxfId="35" priority="7">
      <formula>LEN(TRIM(E213))=0</formula>
    </cfRule>
  </conditionalFormatting>
  <conditionalFormatting sqref="E225:W234">
    <cfRule type="containsBlanks" dxfId="34" priority="6">
      <formula>LEN(TRIM(E225))=0</formula>
    </cfRule>
  </conditionalFormatting>
  <conditionalFormatting sqref="E237:W246">
    <cfRule type="containsBlanks" dxfId="33" priority="5">
      <formula>LEN(TRIM(E237))=0</formula>
    </cfRule>
  </conditionalFormatting>
  <conditionalFormatting sqref="E249:W258">
    <cfRule type="containsBlanks" dxfId="32" priority="4">
      <formula>LEN(TRIM(E249))=0</formula>
    </cfRule>
  </conditionalFormatting>
  <conditionalFormatting sqref="E262:W263">
    <cfRule type="containsBlanks" dxfId="31" priority="2">
      <formula>LEN(TRIM(E262))=0</formula>
    </cfRule>
  </conditionalFormatting>
  <conditionalFormatting sqref="U34:W34">
    <cfRule type="expression" dxfId="30" priority="28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sheetPr>
    <tabColor rgb="FFFFC000"/>
  </sheetPr>
  <dimension ref="A2:AR264"/>
  <sheetViews>
    <sheetView topLeftCell="P251" zoomScale="70" zoomScaleNormal="70" workbookViewId="0">
      <selection activeCell="AP263" sqref="AP263"/>
    </sheetView>
  </sheetViews>
  <sheetFormatPr defaultRowHeight="13" x14ac:dyDescent="0.3"/>
  <cols>
    <col min="3" max="3" width="67.09765625" bestFit="1" customWidth="1"/>
    <col min="4" max="4" width="5.8984375" bestFit="1" customWidth="1"/>
    <col min="42" max="42" width="13.296875" customWidth="1"/>
  </cols>
  <sheetData>
    <row r="2" spans="1:42" x14ac:dyDescent="0.3">
      <c r="C2" s="44" t="s">
        <v>116</v>
      </c>
      <c r="D2" s="44" t="s">
        <v>240</v>
      </c>
    </row>
    <row r="3" spans="1:42" x14ac:dyDescent="0.3">
      <c r="C3" s="44" t="s">
        <v>117</v>
      </c>
      <c r="D3" s="44" t="s">
        <v>118</v>
      </c>
    </row>
    <row r="4" spans="1:42" x14ac:dyDescent="0.3">
      <c r="C4" s="44" t="s">
        <v>119</v>
      </c>
      <c r="D4" s="44" t="s">
        <v>120</v>
      </c>
    </row>
    <row r="5" spans="1:42" x14ac:dyDescent="0.3">
      <c r="C5" s="44"/>
      <c r="D5" s="44"/>
    </row>
    <row r="6" spans="1:42" x14ac:dyDescent="0.3">
      <c r="C6" s="44"/>
      <c r="D6" s="44"/>
    </row>
    <row r="7" spans="1:42" x14ac:dyDescent="0.3">
      <c r="C7" s="44"/>
      <c r="D7" s="44"/>
    </row>
    <row r="8" spans="1:42" x14ac:dyDescent="0.3">
      <c r="C8" s="44"/>
      <c r="D8" s="44"/>
    </row>
    <row r="9" spans="1:42" x14ac:dyDescent="0.3">
      <c r="C9" s="44" t="s">
        <v>121</v>
      </c>
      <c r="D9" s="44" t="s">
        <v>250</v>
      </c>
    </row>
    <row r="11" spans="1:42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AB11" s="3"/>
    </row>
    <row r="12" spans="1:42" x14ac:dyDescent="0.3">
      <c r="A12" s="5" t="s">
        <v>0</v>
      </c>
      <c r="B12" s="72" t="s">
        <v>1</v>
      </c>
      <c r="C12" s="85"/>
      <c r="D12" s="7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 t="s">
        <v>115</v>
      </c>
    </row>
    <row r="13" spans="1:42" x14ac:dyDescent="0.3">
      <c r="A13" s="6" t="s">
        <v>2</v>
      </c>
      <c r="B13" s="93" t="s">
        <v>3</v>
      </c>
      <c r="C13" s="85"/>
      <c r="D13" s="76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109"/>
    </row>
    <row r="14" spans="1:42" x14ac:dyDescent="0.3">
      <c r="A14" s="7"/>
      <c r="B14" s="96" t="s">
        <v>22</v>
      </c>
      <c r="C14" s="84"/>
      <c r="D14" s="6" t="s">
        <v>23</v>
      </c>
      <c r="E14" s="6">
        <v>140</v>
      </c>
      <c r="F14" s="6">
        <v>142</v>
      </c>
      <c r="G14" s="6">
        <v>114</v>
      </c>
      <c r="H14" s="6">
        <v>129</v>
      </c>
      <c r="I14" s="6">
        <v>133</v>
      </c>
      <c r="J14" s="6">
        <v>103</v>
      </c>
      <c r="K14" s="6">
        <v>111</v>
      </c>
      <c r="L14" s="6">
        <v>97</v>
      </c>
      <c r="M14" s="6">
        <v>146</v>
      </c>
      <c r="N14" s="6">
        <v>140</v>
      </c>
      <c r="O14" s="6">
        <v>143</v>
      </c>
      <c r="P14" s="6">
        <v>89</v>
      </c>
      <c r="Q14" s="6">
        <v>139</v>
      </c>
      <c r="R14" s="6">
        <v>117</v>
      </c>
      <c r="S14" s="6">
        <v>137</v>
      </c>
      <c r="T14" s="6">
        <v>122</v>
      </c>
      <c r="U14" s="6">
        <v>123</v>
      </c>
      <c r="V14" s="6">
        <v>143</v>
      </c>
      <c r="W14" s="6">
        <v>142</v>
      </c>
      <c r="X14" s="6">
        <v>147</v>
      </c>
      <c r="Y14" s="6">
        <v>133</v>
      </c>
      <c r="Z14" s="6">
        <v>143</v>
      </c>
      <c r="AA14" s="6">
        <v>142</v>
      </c>
      <c r="AB14" s="6">
        <v>140</v>
      </c>
      <c r="AC14" s="6">
        <v>138</v>
      </c>
      <c r="AD14" s="6">
        <v>136</v>
      </c>
      <c r="AE14" s="6">
        <v>136</v>
      </c>
      <c r="AF14" s="6">
        <v>152</v>
      </c>
      <c r="AG14" s="6">
        <v>123</v>
      </c>
      <c r="AH14" s="6">
        <v>133</v>
      </c>
      <c r="AI14" s="6">
        <v>134</v>
      </c>
      <c r="AJ14" s="6">
        <v>143</v>
      </c>
      <c r="AK14" s="6">
        <v>135</v>
      </c>
      <c r="AL14" s="6">
        <v>127</v>
      </c>
      <c r="AM14" s="6">
        <v>143</v>
      </c>
      <c r="AN14" s="6">
        <v>119</v>
      </c>
      <c r="AO14" s="6">
        <v>124</v>
      </c>
      <c r="AP14" s="5">
        <f>SUM(E14:AO14)</f>
        <v>4858</v>
      </c>
    </row>
    <row r="15" spans="1:42" x14ac:dyDescent="0.3">
      <c r="A15" s="7"/>
      <c r="B15" s="97"/>
      <c r="C15" s="90"/>
      <c r="D15" s="6" t="s">
        <v>24</v>
      </c>
      <c r="E15" s="6">
        <v>138</v>
      </c>
      <c r="F15" s="6">
        <v>140</v>
      </c>
      <c r="G15" s="6">
        <v>121</v>
      </c>
      <c r="H15" s="6">
        <v>126</v>
      </c>
      <c r="I15" s="6">
        <v>147</v>
      </c>
      <c r="J15" s="6">
        <v>118</v>
      </c>
      <c r="K15" s="6">
        <v>110</v>
      </c>
      <c r="L15" s="6">
        <v>103</v>
      </c>
      <c r="M15" s="6">
        <v>152</v>
      </c>
      <c r="N15" s="6">
        <v>153</v>
      </c>
      <c r="O15" s="6">
        <v>147</v>
      </c>
      <c r="P15" s="6">
        <v>113</v>
      </c>
      <c r="Q15" s="6">
        <v>137</v>
      </c>
      <c r="R15" s="6">
        <v>135</v>
      </c>
      <c r="S15" s="6">
        <v>134</v>
      </c>
      <c r="T15" s="6">
        <v>119</v>
      </c>
      <c r="U15" s="6">
        <v>133</v>
      </c>
      <c r="V15" s="6">
        <v>140</v>
      </c>
      <c r="W15" s="6">
        <v>138</v>
      </c>
      <c r="X15" s="6">
        <v>143</v>
      </c>
      <c r="Y15" s="6">
        <v>144</v>
      </c>
      <c r="Z15" s="6">
        <v>132</v>
      </c>
      <c r="AA15" s="6">
        <v>127</v>
      </c>
      <c r="AB15" s="6">
        <v>137</v>
      </c>
      <c r="AC15" s="6">
        <v>137</v>
      </c>
      <c r="AD15" s="6">
        <v>143</v>
      </c>
      <c r="AE15" s="6">
        <v>134</v>
      </c>
      <c r="AF15" s="6">
        <v>137</v>
      </c>
      <c r="AG15" s="6">
        <v>141</v>
      </c>
      <c r="AH15" s="6">
        <v>144</v>
      </c>
      <c r="AI15" s="6">
        <v>150</v>
      </c>
      <c r="AJ15" s="6">
        <v>143</v>
      </c>
      <c r="AK15" s="6">
        <v>132</v>
      </c>
      <c r="AL15" s="6">
        <v>117</v>
      </c>
      <c r="AM15" s="6">
        <v>154</v>
      </c>
      <c r="AN15" s="6">
        <v>129</v>
      </c>
      <c r="AO15" s="6">
        <v>121</v>
      </c>
      <c r="AP15" s="5">
        <f>SUM(E15:AO15)</f>
        <v>4969</v>
      </c>
    </row>
    <row r="16" spans="1:42" x14ac:dyDescent="0.3">
      <c r="A16" s="8"/>
      <c r="B16" s="95"/>
      <c r="C16" s="91"/>
      <c r="D16" s="5" t="s">
        <v>25</v>
      </c>
      <c r="E16" s="5">
        <f t="shared" ref="E16:AO16" si="0">SUM(E14:E15)</f>
        <v>278</v>
      </c>
      <c r="F16" s="5">
        <f t="shared" si="0"/>
        <v>282</v>
      </c>
      <c r="G16" s="5">
        <f t="shared" si="0"/>
        <v>235</v>
      </c>
      <c r="H16" s="5">
        <f t="shared" si="0"/>
        <v>255</v>
      </c>
      <c r="I16" s="5">
        <f t="shared" si="0"/>
        <v>280</v>
      </c>
      <c r="J16" s="5">
        <f t="shared" si="0"/>
        <v>221</v>
      </c>
      <c r="K16" s="5">
        <f t="shared" si="0"/>
        <v>221</v>
      </c>
      <c r="L16" s="5">
        <f t="shared" si="0"/>
        <v>200</v>
      </c>
      <c r="M16" s="5">
        <f t="shared" si="0"/>
        <v>298</v>
      </c>
      <c r="N16" s="5">
        <f t="shared" ref="N16:AA16" si="1">SUM(N14:N15)</f>
        <v>293</v>
      </c>
      <c r="O16" s="5">
        <f t="shared" si="1"/>
        <v>290</v>
      </c>
      <c r="P16" s="5">
        <f t="shared" si="1"/>
        <v>202</v>
      </c>
      <c r="Q16" s="5">
        <f t="shared" si="1"/>
        <v>276</v>
      </c>
      <c r="R16" s="5">
        <f t="shared" si="1"/>
        <v>252</v>
      </c>
      <c r="S16" s="5">
        <f t="shared" si="1"/>
        <v>271</v>
      </c>
      <c r="T16" s="5">
        <f t="shared" si="1"/>
        <v>241</v>
      </c>
      <c r="U16" s="5">
        <f t="shared" si="1"/>
        <v>256</v>
      </c>
      <c r="V16" s="5">
        <f t="shared" si="1"/>
        <v>283</v>
      </c>
      <c r="W16" s="5">
        <f t="shared" si="1"/>
        <v>280</v>
      </c>
      <c r="X16" s="5">
        <f t="shared" si="1"/>
        <v>290</v>
      </c>
      <c r="Y16" s="5">
        <f t="shared" si="1"/>
        <v>277</v>
      </c>
      <c r="Z16" s="5">
        <f t="shared" si="1"/>
        <v>275</v>
      </c>
      <c r="AA16" s="5">
        <f t="shared" si="1"/>
        <v>269</v>
      </c>
      <c r="AB16" s="5">
        <f t="shared" si="0"/>
        <v>277</v>
      </c>
      <c r="AC16" s="5">
        <f t="shared" si="0"/>
        <v>275</v>
      </c>
      <c r="AD16" s="5">
        <f t="shared" si="0"/>
        <v>279</v>
      </c>
      <c r="AE16" s="5">
        <f t="shared" si="0"/>
        <v>270</v>
      </c>
      <c r="AF16" s="5">
        <f t="shared" si="0"/>
        <v>289</v>
      </c>
      <c r="AG16" s="5">
        <f t="shared" si="0"/>
        <v>264</v>
      </c>
      <c r="AH16" s="5">
        <f t="shared" si="0"/>
        <v>277</v>
      </c>
      <c r="AI16" s="5">
        <f t="shared" si="0"/>
        <v>284</v>
      </c>
      <c r="AJ16" s="5">
        <f t="shared" si="0"/>
        <v>286</v>
      </c>
      <c r="AK16" s="5">
        <f t="shared" si="0"/>
        <v>267</v>
      </c>
      <c r="AL16" s="5">
        <f t="shared" si="0"/>
        <v>244</v>
      </c>
      <c r="AM16" s="5">
        <f t="shared" si="0"/>
        <v>297</v>
      </c>
      <c r="AN16" s="5">
        <f t="shared" si="0"/>
        <v>248</v>
      </c>
      <c r="AO16" s="5">
        <f t="shared" si="0"/>
        <v>245</v>
      </c>
      <c r="AP16" s="5">
        <f>SUM(E16:AO16)</f>
        <v>9827</v>
      </c>
    </row>
    <row r="17" spans="1:42" x14ac:dyDescent="0.3">
      <c r="A17" s="77"/>
      <c r="B17" s="85"/>
      <c r="C17" s="85"/>
      <c r="D17" s="7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29"/>
    </row>
    <row r="18" spans="1:42" x14ac:dyDescent="0.3">
      <c r="A18" s="11" t="s">
        <v>26</v>
      </c>
      <c r="B18" s="93" t="s">
        <v>27</v>
      </c>
      <c r="C18" s="85"/>
      <c r="D18" s="76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29"/>
    </row>
    <row r="19" spans="1:42" x14ac:dyDescent="0.3">
      <c r="A19" s="11"/>
      <c r="B19" s="98" t="s">
        <v>28</v>
      </c>
      <c r="C19" s="99" t="s">
        <v>29</v>
      </c>
      <c r="D19" s="6" t="s">
        <v>23</v>
      </c>
      <c r="E19" s="6">
        <v>106</v>
      </c>
      <c r="F19" s="6">
        <v>100</v>
      </c>
      <c r="G19" s="6">
        <v>86</v>
      </c>
      <c r="H19" s="6">
        <v>104</v>
      </c>
      <c r="I19" s="6">
        <v>102</v>
      </c>
      <c r="J19" s="6">
        <v>79</v>
      </c>
      <c r="K19" s="6">
        <v>90</v>
      </c>
      <c r="L19" s="6">
        <v>74</v>
      </c>
      <c r="M19" s="6">
        <v>105</v>
      </c>
      <c r="N19" s="6">
        <v>109</v>
      </c>
      <c r="O19" s="6">
        <v>89</v>
      </c>
      <c r="P19" s="6">
        <v>75</v>
      </c>
      <c r="Q19" s="6">
        <v>107</v>
      </c>
      <c r="R19" s="6">
        <v>87</v>
      </c>
      <c r="S19" s="6">
        <v>110</v>
      </c>
      <c r="T19" s="6">
        <v>85</v>
      </c>
      <c r="U19" s="6">
        <v>91</v>
      </c>
      <c r="V19" s="6">
        <v>108</v>
      </c>
      <c r="W19" s="6">
        <v>95</v>
      </c>
      <c r="X19" s="6">
        <v>112</v>
      </c>
      <c r="Y19" s="6">
        <v>87</v>
      </c>
      <c r="Z19" s="6">
        <v>99</v>
      </c>
      <c r="AA19" s="6">
        <v>97</v>
      </c>
      <c r="AB19" s="6">
        <v>101</v>
      </c>
      <c r="AC19" s="6">
        <v>102</v>
      </c>
      <c r="AD19" s="6">
        <v>104</v>
      </c>
      <c r="AE19" s="6">
        <v>93</v>
      </c>
      <c r="AF19" s="6">
        <v>117</v>
      </c>
      <c r="AG19" s="6">
        <v>64</v>
      </c>
      <c r="AH19" s="6">
        <v>98</v>
      </c>
      <c r="AI19" s="6">
        <v>107</v>
      </c>
      <c r="AJ19" s="6">
        <v>113</v>
      </c>
      <c r="AK19" s="6">
        <v>105</v>
      </c>
      <c r="AL19" s="6">
        <v>89</v>
      </c>
      <c r="AM19" s="6">
        <v>103</v>
      </c>
      <c r="AN19" s="6">
        <v>98</v>
      </c>
      <c r="AO19" s="6">
        <v>104</v>
      </c>
      <c r="AP19" s="5">
        <f t="shared" ref="AP19:AP30" si="2">SUM(E19:AO19)</f>
        <v>3595</v>
      </c>
    </row>
    <row r="20" spans="1:42" x14ac:dyDescent="0.3">
      <c r="A20" s="12"/>
      <c r="B20" s="90"/>
      <c r="C20" s="100"/>
      <c r="D20" s="6" t="s">
        <v>24</v>
      </c>
      <c r="E20" s="6">
        <v>113</v>
      </c>
      <c r="F20" s="6">
        <v>107</v>
      </c>
      <c r="G20" s="6">
        <v>93</v>
      </c>
      <c r="H20" s="6">
        <v>104</v>
      </c>
      <c r="I20" s="6">
        <v>114</v>
      </c>
      <c r="J20" s="6">
        <v>94</v>
      </c>
      <c r="K20" s="6">
        <v>91</v>
      </c>
      <c r="L20" s="6">
        <v>83</v>
      </c>
      <c r="M20" s="6">
        <v>122</v>
      </c>
      <c r="N20" s="6">
        <v>121</v>
      </c>
      <c r="O20" s="6">
        <v>115</v>
      </c>
      <c r="P20" s="6">
        <v>101</v>
      </c>
      <c r="Q20" s="6">
        <v>113</v>
      </c>
      <c r="R20" s="6">
        <v>99</v>
      </c>
      <c r="S20" s="6">
        <v>102</v>
      </c>
      <c r="T20" s="6">
        <v>94</v>
      </c>
      <c r="U20" s="6">
        <v>95</v>
      </c>
      <c r="V20" s="6">
        <v>108</v>
      </c>
      <c r="W20" s="6">
        <v>109</v>
      </c>
      <c r="X20" s="6">
        <v>113</v>
      </c>
      <c r="Y20" s="6">
        <v>116</v>
      </c>
      <c r="Z20" s="6">
        <v>99</v>
      </c>
      <c r="AA20" s="6">
        <v>98</v>
      </c>
      <c r="AB20" s="6">
        <v>103</v>
      </c>
      <c r="AC20" s="6">
        <v>110</v>
      </c>
      <c r="AD20" s="6">
        <v>108</v>
      </c>
      <c r="AE20" s="6">
        <v>95</v>
      </c>
      <c r="AF20" s="6">
        <v>112</v>
      </c>
      <c r="AG20" s="6">
        <v>140</v>
      </c>
      <c r="AH20" s="6">
        <v>112</v>
      </c>
      <c r="AI20" s="6">
        <v>114</v>
      </c>
      <c r="AJ20" s="6">
        <v>117</v>
      </c>
      <c r="AK20" s="6">
        <v>92</v>
      </c>
      <c r="AL20" s="6">
        <v>92</v>
      </c>
      <c r="AM20" s="6">
        <v>107</v>
      </c>
      <c r="AN20" s="6">
        <v>106</v>
      </c>
      <c r="AO20" s="6">
        <v>104</v>
      </c>
      <c r="AP20" s="5">
        <f t="shared" si="2"/>
        <v>3916</v>
      </c>
    </row>
    <row r="21" spans="1:42" x14ac:dyDescent="0.3">
      <c r="A21" s="13"/>
      <c r="B21" s="91"/>
      <c r="C21" s="101"/>
      <c r="D21" s="5" t="s">
        <v>25</v>
      </c>
      <c r="E21" s="5">
        <f t="shared" ref="E21:AO21" si="3">SUM(E19:E20)</f>
        <v>219</v>
      </c>
      <c r="F21" s="5">
        <f t="shared" si="3"/>
        <v>207</v>
      </c>
      <c r="G21" s="5">
        <f t="shared" si="3"/>
        <v>179</v>
      </c>
      <c r="H21" s="5">
        <f t="shared" si="3"/>
        <v>208</v>
      </c>
      <c r="I21" s="5">
        <f t="shared" si="3"/>
        <v>216</v>
      </c>
      <c r="J21" s="5">
        <f t="shared" si="3"/>
        <v>173</v>
      </c>
      <c r="K21" s="5">
        <f t="shared" si="3"/>
        <v>181</v>
      </c>
      <c r="L21" s="5">
        <f t="shared" si="3"/>
        <v>157</v>
      </c>
      <c r="M21" s="5">
        <f t="shared" si="3"/>
        <v>227</v>
      </c>
      <c r="N21" s="5">
        <f t="shared" ref="N21:AA21" si="4">SUM(N19:N20)</f>
        <v>230</v>
      </c>
      <c r="O21" s="5">
        <f t="shared" si="4"/>
        <v>204</v>
      </c>
      <c r="P21" s="5">
        <f t="shared" si="4"/>
        <v>176</v>
      </c>
      <c r="Q21" s="5">
        <f t="shared" si="4"/>
        <v>220</v>
      </c>
      <c r="R21" s="5">
        <f t="shared" si="4"/>
        <v>186</v>
      </c>
      <c r="S21" s="5">
        <f t="shared" si="4"/>
        <v>212</v>
      </c>
      <c r="T21" s="5">
        <f t="shared" si="4"/>
        <v>179</v>
      </c>
      <c r="U21" s="5">
        <f t="shared" si="4"/>
        <v>186</v>
      </c>
      <c r="V21" s="5">
        <f t="shared" si="4"/>
        <v>216</v>
      </c>
      <c r="W21" s="5">
        <f t="shared" si="4"/>
        <v>204</v>
      </c>
      <c r="X21" s="5">
        <f t="shared" si="4"/>
        <v>225</v>
      </c>
      <c r="Y21" s="5">
        <f t="shared" si="4"/>
        <v>203</v>
      </c>
      <c r="Z21" s="5">
        <f t="shared" si="4"/>
        <v>198</v>
      </c>
      <c r="AA21" s="5">
        <f t="shared" si="4"/>
        <v>195</v>
      </c>
      <c r="AB21" s="5">
        <f t="shared" si="3"/>
        <v>204</v>
      </c>
      <c r="AC21" s="5">
        <f t="shared" si="3"/>
        <v>212</v>
      </c>
      <c r="AD21" s="5">
        <f t="shared" si="3"/>
        <v>212</v>
      </c>
      <c r="AE21" s="5">
        <f t="shared" si="3"/>
        <v>188</v>
      </c>
      <c r="AF21" s="5">
        <f t="shared" si="3"/>
        <v>229</v>
      </c>
      <c r="AG21" s="5">
        <f t="shared" si="3"/>
        <v>204</v>
      </c>
      <c r="AH21" s="5">
        <f t="shared" si="3"/>
        <v>210</v>
      </c>
      <c r="AI21" s="5">
        <f t="shared" si="3"/>
        <v>221</v>
      </c>
      <c r="AJ21" s="5">
        <f t="shared" si="3"/>
        <v>230</v>
      </c>
      <c r="AK21" s="5">
        <f t="shared" si="3"/>
        <v>197</v>
      </c>
      <c r="AL21" s="5">
        <f t="shared" si="3"/>
        <v>181</v>
      </c>
      <c r="AM21" s="5">
        <f t="shared" si="3"/>
        <v>210</v>
      </c>
      <c r="AN21" s="5">
        <f t="shared" si="3"/>
        <v>204</v>
      </c>
      <c r="AO21" s="5">
        <f t="shared" si="3"/>
        <v>208</v>
      </c>
      <c r="AP21" s="5">
        <f t="shared" si="2"/>
        <v>7511</v>
      </c>
    </row>
    <row r="22" spans="1:42" x14ac:dyDescent="0.3">
      <c r="A22" s="12"/>
      <c r="B22" s="98" t="s">
        <v>30</v>
      </c>
      <c r="C22" s="9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1</v>
      </c>
      <c r="V22" s="6">
        <v>0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/>
      <c r="AJ22" s="6"/>
      <c r="AK22" s="6"/>
      <c r="AL22" s="6"/>
      <c r="AM22" s="6"/>
      <c r="AN22" s="6"/>
      <c r="AO22" s="6"/>
      <c r="AP22" s="5">
        <f t="shared" si="2"/>
        <v>3</v>
      </c>
    </row>
    <row r="23" spans="1:42" x14ac:dyDescent="0.3">
      <c r="A23" s="12"/>
      <c r="B23" s="90"/>
      <c r="C23" s="10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/>
      <c r="AJ23" s="6"/>
      <c r="AK23" s="6"/>
      <c r="AL23" s="6"/>
      <c r="AM23" s="6"/>
      <c r="AN23" s="6"/>
      <c r="AO23" s="6"/>
      <c r="AP23" s="5">
        <f t="shared" si="2"/>
        <v>1</v>
      </c>
    </row>
    <row r="24" spans="1:42" x14ac:dyDescent="0.3">
      <c r="A24" s="13"/>
      <c r="B24" s="91"/>
      <c r="C24" s="101"/>
      <c r="D24" s="5" t="s">
        <v>25</v>
      </c>
      <c r="E24" s="5">
        <f t="shared" ref="E24:AO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1</v>
      </c>
      <c r="M24" s="5">
        <f t="shared" si="5"/>
        <v>0</v>
      </c>
      <c r="N24" s="5">
        <f t="shared" ref="N24:AA24" si="6">SUM(N22:N23)</f>
        <v>0</v>
      </c>
      <c r="O24" s="5">
        <f t="shared" si="6"/>
        <v>0</v>
      </c>
      <c r="P24" s="5">
        <f t="shared" si="6"/>
        <v>0</v>
      </c>
      <c r="Q24" s="5">
        <f t="shared" si="6"/>
        <v>0</v>
      </c>
      <c r="R24" s="5">
        <f t="shared" si="6"/>
        <v>0</v>
      </c>
      <c r="S24" s="5">
        <f t="shared" si="6"/>
        <v>0</v>
      </c>
      <c r="T24" s="5">
        <f t="shared" si="6"/>
        <v>0</v>
      </c>
      <c r="U24" s="5">
        <f t="shared" si="6"/>
        <v>2</v>
      </c>
      <c r="V24" s="5">
        <f t="shared" si="6"/>
        <v>0</v>
      </c>
      <c r="W24" s="5">
        <f t="shared" si="6"/>
        <v>1</v>
      </c>
      <c r="X24" s="5">
        <f t="shared" si="6"/>
        <v>0</v>
      </c>
      <c r="Y24" s="5">
        <f t="shared" si="6"/>
        <v>0</v>
      </c>
      <c r="Z24" s="5">
        <f t="shared" si="6"/>
        <v>0</v>
      </c>
      <c r="AA24" s="5">
        <f t="shared" si="6"/>
        <v>0</v>
      </c>
      <c r="AB24" s="5">
        <f t="shared" si="5"/>
        <v>0</v>
      </c>
      <c r="AC24" s="5">
        <f t="shared" si="5"/>
        <v>0</v>
      </c>
      <c r="AD24" s="5">
        <f t="shared" si="5"/>
        <v>0</v>
      </c>
      <c r="AE24" s="5">
        <f t="shared" si="5"/>
        <v>0</v>
      </c>
      <c r="AF24" s="5">
        <f t="shared" si="5"/>
        <v>0</v>
      </c>
      <c r="AG24" s="5">
        <f t="shared" si="5"/>
        <v>0</v>
      </c>
      <c r="AH24" s="5">
        <f t="shared" si="5"/>
        <v>0</v>
      </c>
      <c r="AI24" s="5">
        <f t="shared" si="5"/>
        <v>0</v>
      </c>
      <c r="AJ24" s="5">
        <f t="shared" si="5"/>
        <v>0</v>
      </c>
      <c r="AK24" s="5">
        <f t="shared" si="5"/>
        <v>0</v>
      </c>
      <c r="AL24" s="5">
        <f t="shared" si="5"/>
        <v>0</v>
      </c>
      <c r="AM24" s="5">
        <f t="shared" si="5"/>
        <v>0</v>
      </c>
      <c r="AN24" s="5">
        <f t="shared" si="5"/>
        <v>0</v>
      </c>
      <c r="AO24" s="5">
        <f t="shared" si="5"/>
        <v>0</v>
      </c>
      <c r="AP24" s="5">
        <f t="shared" si="2"/>
        <v>4</v>
      </c>
    </row>
    <row r="25" spans="1:42" x14ac:dyDescent="0.3">
      <c r="A25" s="12"/>
      <c r="B25" s="98" t="s">
        <v>32</v>
      </c>
      <c r="C25" s="99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2</v>
      </c>
      <c r="I25" s="6">
        <v>1</v>
      </c>
      <c r="J25" s="6">
        <v>1</v>
      </c>
      <c r="K25" s="6">
        <v>0</v>
      </c>
      <c r="L25" s="6">
        <v>1</v>
      </c>
      <c r="M25" s="6">
        <v>1</v>
      </c>
      <c r="N25" s="6">
        <v>1</v>
      </c>
      <c r="O25" s="6">
        <v>1</v>
      </c>
      <c r="P25" s="6">
        <v>0</v>
      </c>
      <c r="Q25" s="6">
        <v>1</v>
      </c>
      <c r="R25" s="6">
        <v>0</v>
      </c>
      <c r="S25" s="6">
        <v>0</v>
      </c>
      <c r="T25" s="6">
        <v>1</v>
      </c>
      <c r="U25" s="6">
        <v>0</v>
      </c>
      <c r="V25" s="6">
        <v>3</v>
      </c>
      <c r="W25" s="6">
        <v>0</v>
      </c>
      <c r="X25" s="6">
        <v>1</v>
      </c>
      <c r="Y25" s="6">
        <v>0</v>
      </c>
      <c r="Z25" s="6">
        <v>1</v>
      </c>
      <c r="AA25" s="6">
        <v>5</v>
      </c>
      <c r="AB25" s="6">
        <v>2</v>
      </c>
      <c r="AC25" s="6">
        <v>0</v>
      </c>
      <c r="AD25" s="6">
        <v>1</v>
      </c>
      <c r="AE25" s="6">
        <v>1</v>
      </c>
      <c r="AF25" s="6">
        <v>0</v>
      </c>
      <c r="AG25" s="6">
        <v>0</v>
      </c>
      <c r="AH25" s="6">
        <v>1</v>
      </c>
      <c r="AI25" s="6">
        <v>0</v>
      </c>
      <c r="AJ25" s="6">
        <v>2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5">
        <f t="shared" si="2"/>
        <v>27</v>
      </c>
    </row>
    <row r="26" spans="1:42" x14ac:dyDescent="0.3">
      <c r="A26" s="12"/>
      <c r="B26" s="90"/>
      <c r="C26" s="100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0</v>
      </c>
      <c r="M26" s="6">
        <v>2</v>
      </c>
      <c r="N26" s="6">
        <v>3</v>
      </c>
      <c r="O26" s="6">
        <v>0</v>
      </c>
      <c r="P26" s="6">
        <v>0</v>
      </c>
      <c r="Q26" s="6">
        <v>1</v>
      </c>
      <c r="R26" s="6">
        <v>0</v>
      </c>
      <c r="S26" s="6">
        <v>2</v>
      </c>
      <c r="T26" s="6">
        <v>2</v>
      </c>
      <c r="U26" s="6">
        <v>0</v>
      </c>
      <c r="V26" s="6">
        <v>0</v>
      </c>
      <c r="W26" s="6">
        <v>1</v>
      </c>
      <c r="X26" s="6">
        <v>0</v>
      </c>
      <c r="Y26" s="6">
        <v>0</v>
      </c>
      <c r="Z26" s="6">
        <v>1</v>
      </c>
      <c r="AA26" s="6">
        <v>1</v>
      </c>
      <c r="AB26" s="6">
        <v>3</v>
      </c>
      <c r="AC26" s="6">
        <v>0</v>
      </c>
      <c r="AD26" s="6">
        <v>1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1</v>
      </c>
      <c r="AK26" s="6">
        <v>1</v>
      </c>
      <c r="AL26" s="6">
        <v>0</v>
      </c>
      <c r="AM26" s="6">
        <v>3</v>
      </c>
      <c r="AN26" s="6">
        <v>0</v>
      </c>
      <c r="AO26" s="6">
        <v>0</v>
      </c>
      <c r="AP26" s="5">
        <f t="shared" si="2"/>
        <v>23</v>
      </c>
    </row>
    <row r="27" spans="1:42" x14ac:dyDescent="0.3">
      <c r="A27" s="13"/>
      <c r="B27" s="91"/>
      <c r="C27" s="101"/>
      <c r="D27" s="5" t="s">
        <v>25</v>
      </c>
      <c r="E27" s="5">
        <f t="shared" ref="E27:AO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2</v>
      </c>
      <c r="I27" s="5">
        <f t="shared" si="7"/>
        <v>2</v>
      </c>
      <c r="J27" s="5">
        <f t="shared" si="7"/>
        <v>1</v>
      </c>
      <c r="K27" s="5">
        <f t="shared" si="7"/>
        <v>0</v>
      </c>
      <c r="L27" s="5">
        <f t="shared" si="7"/>
        <v>1</v>
      </c>
      <c r="M27" s="5">
        <f t="shared" si="7"/>
        <v>3</v>
      </c>
      <c r="N27" s="5">
        <f t="shared" ref="N27:AA27" si="8">SUM(N25:N26)</f>
        <v>4</v>
      </c>
      <c r="O27" s="5">
        <f t="shared" si="8"/>
        <v>1</v>
      </c>
      <c r="P27" s="5">
        <f t="shared" si="8"/>
        <v>0</v>
      </c>
      <c r="Q27" s="5">
        <f t="shared" si="8"/>
        <v>2</v>
      </c>
      <c r="R27" s="5">
        <f t="shared" si="8"/>
        <v>0</v>
      </c>
      <c r="S27" s="5">
        <f t="shared" si="8"/>
        <v>2</v>
      </c>
      <c r="T27" s="5">
        <f t="shared" si="8"/>
        <v>3</v>
      </c>
      <c r="U27" s="5">
        <f t="shared" si="8"/>
        <v>0</v>
      </c>
      <c r="V27" s="5">
        <f t="shared" si="8"/>
        <v>3</v>
      </c>
      <c r="W27" s="5">
        <f t="shared" si="8"/>
        <v>1</v>
      </c>
      <c r="X27" s="5">
        <f t="shared" si="8"/>
        <v>1</v>
      </c>
      <c r="Y27" s="5">
        <f t="shared" si="8"/>
        <v>0</v>
      </c>
      <c r="Z27" s="5">
        <f t="shared" si="8"/>
        <v>2</v>
      </c>
      <c r="AA27" s="5">
        <f t="shared" si="8"/>
        <v>6</v>
      </c>
      <c r="AB27" s="5">
        <f t="shared" si="7"/>
        <v>5</v>
      </c>
      <c r="AC27" s="5">
        <f t="shared" si="7"/>
        <v>0</v>
      </c>
      <c r="AD27" s="5">
        <f t="shared" si="7"/>
        <v>2</v>
      </c>
      <c r="AE27" s="5">
        <f t="shared" si="7"/>
        <v>1</v>
      </c>
      <c r="AF27" s="5">
        <f t="shared" si="7"/>
        <v>0</v>
      </c>
      <c r="AG27" s="5">
        <f t="shared" si="7"/>
        <v>0</v>
      </c>
      <c r="AH27" s="5">
        <f t="shared" si="7"/>
        <v>1</v>
      </c>
      <c r="AI27" s="5">
        <f t="shared" si="7"/>
        <v>0</v>
      </c>
      <c r="AJ27" s="5">
        <f t="shared" si="7"/>
        <v>3</v>
      </c>
      <c r="AK27" s="5">
        <f t="shared" si="7"/>
        <v>1</v>
      </c>
      <c r="AL27" s="5">
        <f t="shared" si="7"/>
        <v>0</v>
      </c>
      <c r="AM27" s="5">
        <f t="shared" si="7"/>
        <v>3</v>
      </c>
      <c r="AN27" s="5">
        <f t="shared" si="7"/>
        <v>0</v>
      </c>
      <c r="AO27" s="5">
        <f t="shared" si="7"/>
        <v>0</v>
      </c>
      <c r="AP27" s="5">
        <f t="shared" si="2"/>
        <v>50</v>
      </c>
    </row>
    <row r="28" spans="1:42" x14ac:dyDescent="0.3">
      <c r="A28" s="13"/>
      <c r="B28" s="102" t="s">
        <v>34</v>
      </c>
      <c r="C28" s="103" t="s">
        <v>35</v>
      </c>
      <c r="D28" s="5" t="s">
        <v>23</v>
      </c>
      <c r="E28" s="5">
        <f>SUM(E19,E22,E25)</f>
        <v>106</v>
      </c>
      <c r="F28" s="5">
        <f t="shared" ref="F28:AO29" si="9">SUM(F19,F22,F25)</f>
        <v>100</v>
      </c>
      <c r="G28" s="5">
        <f t="shared" si="9"/>
        <v>86</v>
      </c>
      <c r="H28" s="5">
        <f t="shared" si="9"/>
        <v>106</v>
      </c>
      <c r="I28" s="5">
        <f t="shared" si="9"/>
        <v>103</v>
      </c>
      <c r="J28" s="5">
        <f t="shared" si="9"/>
        <v>80</v>
      </c>
      <c r="K28" s="5">
        <f t="shared" si="9"/>
        <v>90</v>
      </c>
      <c r="L28" s="5">
        <f t="shared" si="9"/>
        <v>76</v>
      </c>
      <c r="M28" s="5">
        <f t="shared" si="9"/>
        <v>106</v>
      </c>
      <c r="N28" s="5">
        <f t="shared" ref="N28:AA28" si="10">SUM(N19,N22,N25)</f>
        <v>110</v>
      </c>
      <c r="O28" s="5">
        <f t="shared" si="10"/>
        <v>90</v>
      </c>
      <c r="P28" s="5">
        <f t="shared" si="10"/>
        <v>75</v>
      </c>
      <c r="Q28" s="5">
        <f t="shared" si="10"/>
        <v>108</v>
      </c>
      <c r="R28" s="5">
        <f t="shared" si="10"/>
        <v>87</v>
      </c>
      <c r="S28" s="5">
        <f t="shared" si="10"/>
        <v>110</v>
      </c>
      <c r="T28" s="5">
        <f t="shared" si="10"/>
        <v>86</v>
      </c>
      <c r="U28" s="5">
        <f t="shared" si="10"/>
        <v>92</v>
      </c>
      <c r="V28" s="5">
        <f t="shared" si="10"/>
        <v>111</v>
      </c>
      <c r="W28" s="5">
        <f t="shared" si="10"/>
        <v>96</v>
      </c>
      <c r="X28" s="5">
        <f t="shared" si="10"/>
        <v>113</v>
      </c>
      <c r="Y28" s="5">
        <f t="shared" si="10"/>
        <v>87</v>
      </c>
      <c r="Z28" s="5">
        <f t="shared" si="10"/>
        <v>100</v>
      </c>
      <c r="AA28" s="5">
        <f t="shared" si="10"/>
        <v>102</v>
      </c>
      <c r="AB28" s="5">
        <f t="shared" si="9"/>
        <v>103</v>
      </c>
      <c r="AC28" s="5">
        <f t="shared" si="9"/>
        <v>102</v>
      </c>
      <c r="AD28" s="5">
        <f t="shared" si="9"/>
        <v>105</v>
      </c>
      <c r="AE28" s="5">
        <f t="shared" si="9"/>
        <v>94</v>
      </c>
      <c r="AF28" s="5">
        <f t="shared" si="9"/>
        <v>117</v>
      </c>
      <c r="AG28" s="5">
        <f t="shared" si="9"/>
        <v>64</v>
      </c>
      <c r="AH28" s="5">
        <f t="shared" si="9"/>
        <v>99</v>
      </c>
      <c r="AI28" s="5">
        <f t="shared" si="9"/>
        <v>107</v>
      </c>
      <c r="AJ28" s="5">
        <f t="shared" si="9"/>
        <v>115</v>
      </c>
      <c r="AK28" s="5">
        <f t="shared" si="9"/>
        <v>105</v>
      </c>
      <c r="AL28" s="5">
        <f t="shared" si="9"/>
        <v>89</v>
      </c>
      <c r="AM28" s="5">
        <f t="shared" si="9"/>
        <v>103</v>
      </c>
      <c r="AN28" s="5">
        <f t="shared" si="9"/>
        <v>98</v>
      </c>
      <c r="AO28" s="5">
        <f t="shared" si="9"/>
        <v>104</v>
      </c>
      <c r="AP28" s="5">
        <f t="shared" si="2"/>
        <v>3625</v>
      </c>
    </row>
    <row r="29" spans="1:42" x14ac:dyDescent="0.3">
      <c r="A29" s="13"/>
      <c r="B29" s="90"/>
      <c r="C29" s="100"/>
      <c r="D29" s="5" t="s">
        <v>24</v>
      </c>
      <c r="E29" s="5">
        <f>SUM(E20,E23,E26)</f>
        <v>113</v>
      </c>
      <c r="F29" s="5">
        <f t="shared" si="9"/>
        <v>107</v>
      </c>
      <c r="G29" s="5">
        <f t="shared" si="9"/>
        <v>93</v>
      </c>
      <c r="H29" s="5">
        <f t="shared" si="9"/>
        <v>104</v>
      </c>
      <c r="I29" s="5">
        <f t="shared" si="9"/>
        <v>115</v>
      </c>
      <c r="J29" s="5">
        <f t="shared" si="9"/>
        <v>94</v>
      </c>
      <c r="K29" s="5">
        <f t="shared" si="9"/>
        <v>91</v>
      </c>
      <c r="L29" s="5">
        <f t="shared" si="9"/>
        <v>83</v>
      </c>
      <c r="M29" s="5">
        <f t="shared" si="9"/>
        <v>124</v>
      </c>
      <c r="N29" s="5">
        <f t="shared" ref="N29:AA29" si="11">SUM(N20,N23,N26)</f>
        <v>124</v>
      </c>
      <c r="O29" s="5">
        <f t="shared" si="11"/>
        <v>115</v>
      </c>
      <c r="P29" s="5">
        <f t="shared" si="11"/>
        <v>101</v>
      </c>
      <c r="Q29" s="5">
        <f t="shared" si="11"/>
        <v>114</v>
      </c>
      <c r="R29" s="5">
        <f t="shared" si="11"/>
        <v>99</v>
      </c>
      <c r="S29" s="5">
        <f t="shared" si="11"/>
        <v>104</v>
      </c>
      <c r="T29" s="5">
        <f t="shared" si="11"/>
        <v>96</v>
      </c>
      <c r="U29" s="5">
        <f t="shared" si="11"/>
        <v>96</v>
      </c>
      <c r="V29" s="5">
        <f t="shared" si="11"/>
        <v>108</v>
      </c>
      <c r="W29" s="5">
        <f t="shared" si="11"/>
        <v>110</v>
      </c>
      <c r="X29" s="5">
        <f t="shared" si="11"/>
        <v>113</v>
      </c>
      <c r="Y29" s="5">
        <f t="shared" si="11"/>
        <v>116</v>
      </c>
      <c r="Z29" s="5">
        <f t="shared" si="11"/>
        <v>100</v>
      </c>
      <c r="AA29" s="5">
        <f t="shared" si="11"/>
        <v>99</v>
      </c>
      <c r="AB29" s="5">
        <f t="shared" si="9"/>
        <v>106</v>
      </c>
      <c r="AC29" s="5">
        <f t="shared" si="9"/>
        <v>110</v>
      </c>
      <c r="AD29" s="5">
        <f t="shared" si="9"/>
        <v>109</v>
      </c>
      <c r="AE29" s="5">
        <f t="shared" si="9"/>
        <v>95</v>
      </c>
      <c r="AF29" s="5">
        <f t="shared" si="9"/>
        <v>112</v>
      </c>
      <c r="AG29" s="5">
        <f t="shared" si="9"/>
        <v>140</v>
      </c>
      <c r="AH29" s="5">
        <f t="shared" si="9"/>
        <v>112</v>
      </c>
      <c r="AI29" s="5">
        <f t="shared" si="9"/>
        <v>114</v>
      </c>
      <c r="AJ29" s="5">
        <f t="shared" si="9"/>
        <v>118</v>
      </c>
      <c r="AK29" s="5">
        <f t="shared" si="9"/>
        <v>93</v>
      </c>
      <c r="AL29" s="5">
        <f t="shared" si="9"/>
        <v>92</v>
      </c>
      <c r="AM29" s="5">
        <f t="shared" si="9"/>
        <v>110</v>
      </c>
      <c r="AN29" s="5">
        <f t="shared" si="9"/>
        <v>106</v>
      </c>
      <c r="AO29" s="5">
        <f t="shared" si="9"/>
        <v>104</v>
      </c>
      <c r="AP29" s="5">
        <f t="shared" si="2"/>
        <v>3940</v>
      </c>
    </row>
    <row r="30" spans="1:42" x14ac:dyDescent="0.3">
      <c r="A30" s="13"/>
      <c r="B30" s="91"/>
      <c r="C30" s="101"/>
      <c r="D30" s="5" t="s">
        <v>25</v>
      </c>
      <c r="E30" s="5">
        <f t="shared" ref="E30" si="12">SUM(E28:E29)</f>
        <v>219</v>
      </c>
      <c r="F30" s="5">
        <f t="shared" ref="F30:AO30" si="13">SUM(F28:F29)</f>
        <v>207</v>
      </c>
      <c r="G30" s="5">
        <f t="shared" si="13"/>
        <v>179</v>
      </c>
      <c r="H30" s="5">
        <f t="shared" si="13"/>
        <v>210</v>
      </c>
      <c r="I30" s="5">
        <f t="shared" si="13"/>
        <v>218</v>
      </c>
      <c r="J30" s="5">
        <f t="shared" si="13"/>
        <v>174</v>
      </c>
      <c r="K30" s="5">
        <f t="shared" si="13"/>
        <v>181</v>
      </c>
      <c r="L30" s="5">
        <f t="shared" si="13"/>
        <v>159</v>
      </c>
      <c r="M30" s="5">
        <f t="shared" si="13"/>
        <v>230</v>
      </c>
      <c r="N30" s="5">
        <f t="shared" ref="N30:AA30" si="14">SUM(N28:N29)</f>
        <v>234</v>
      </c>
      <c r="O30" s="5">
        <f t="shared" si="14"/>
        <v>205</v>
      </c>
      <c r="P30" s="5">
        <f t="shared" si="14"/>
        <v>176</v>
      </c>
      <c r="Q30" s="5">
        <f t="shared" si="14"/>
        <v>222</v>
      </c>
      <c r="R30" s="5">
        <f t="shared" si="14"/>
        <v>186</v>
      </c>
      <c r="S30" s="5">
        <f t="shared" si="14"/>
        <v>214</v>
      </c>
      <c r="T30" s="5">
        <f t="shared" si="14"/>
        <v>182</v>
      </c>
      <c r="U30" s="5">
        <f t="shared" si="14"/>
        <v>188</v>
      </c>
      <c r="V30" s="5">
        <f t="shared" si="14"/>
        <v>219</v>
      </c>
      <c r="W30" s="5">
        <f t="shared" si="14"/>
        <v>206</v>
      </c>
      <c r="X30" s="5">
        <f t="shared" si="14"/>
        <v>226</v>
      </c>
      <c r="Y30" s="5">
        <f t="shared" si="14"/>
        <v>203</v>
      </c>
      <c r="Z30" s="5">
        <f t="shared" si="14"/>
        <v>200</v>
      </c>
      <c r="AA30" s="5">
        <f t="shared" si="14"/>
        <v>201</v>
      </c>
      <c r="AB30" s="5">
        <f t="shared" si="13"/>
        <v>209</v>
      </c>
      <c r="AC30" s="5">
        <f t="shared" si="13"/>
        <v>212</v>
      </c>
      <c r="AD30" s="5">
        <f t="shared" si="13"/>
        <v>214</v>
      </c>
      <c r="AE30" s="5">
        <f t="shared" si="13"/>
        <v>189</v>
      </c>
      <c r="AF30" s="5">
        <f t="shared" si="13"/>
        <v>229</v>
      </c>
      <c r="AG30" s="5">
        <f t="shared" si="13"/>
        <v>204</v>
      </c>
      <c r="AH30" s="5">
        <f t="shared" si="13"/>
        <v>211</v>
      </c>
      <c r="AI30" s="5">
        <f t="shared" si="13"/>
        <v>221</v>
      </c>
      <c r="AJ30" s="5">
        <f t="shared" si="13"/>
        <v>233</v>
      </c>
      <c r="AK30" s="5">
        <f t="shared" si="13"/>
        <v>198</v>
      </c>
      <c r="AL30" s="5">
        <f t="shared" si="13"/>
        <v>181</v>
      </c>
      <c r="AM30" s="5">
        <f t="shared" si="13"/>
        <v>213</v>
      </c>
      <c r="AN30" s="5">
        <f t="shared" si="13"/>
        <v>204</v>
      </c>
      <c r="AO30" s="5">
        <f t="shared" si="13"/>
        <v>208</v>
      </c>
      <c r="AP30" s="5">
        <f t="shared" si="2"/>
        <v>7565</v>
      </c>
    </row>
    <row r="31" spans="1:42" x14ac:dyDescent="0.3">
      <c r="A31" s="77"/>
      <c r="B31" s="85"/>
      <c r="C31" s="85"/>
      <c r="D31" s="76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29"/>
    </row>
    <row r="32" spans="1:42" x14ac:dyDescent="0.3">
      <c r="A32" s="14" t="s">
        <v>36</v>
      </c>
      <c r="B32" s="72" t="s">
        <v>37</v>
      </c>
      <c r="C32" s="85"/>
      <c r="D32" s="76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29"/>
    </row>
    <row r="33" spans="1:42" x14ac:dyDescent="0.3">
      <c r="A33" s="6">
        <v>1</v>
      </c>
      <c r="B33" s="93" t="s">
        <v>38</v>
      </c>
      <c r="C33" s="85"/>
      <c r="D33" s="76"/>
      <c r="E33" s="6">
        <v>282</v>
      </c>
      <c r="F33" s="6">
        <v>298</v>
      </c>
      <c r="G33" s="6">
        <v>240</v>
      </c>
      <c r="H33" s="6">
        <v>261</v>
      </c>
      <c r="I33" s="6">
        <v>287</v>
      </c>
      <c r="J33" s="6">
        <v>225</v>
      </c>
      <c r="K33" s="6">
        <v>226</v>
      </c>
      <c r="L33" s="6">
        <v>204</v>
      </c>
      <c r="M33" s="6">
        <v>306</v>
      </c>
      <c r="N33" s="6">
        <v>299</v>
      </c>
      <c r="O33" s="6">
        <v>296</v>
      </c>
      <c r="P33" s="6">
        <v>207</v>
      </c>
      <c r="Q33" s="6">
        <v>282</v>
      </c>
      <c r="R33" s="6">
        <v>258</v>
      </c>
      <c r="S33" s="6">
        <v>277</v>
      </c>
      <c r="T33" s="6">
        <v>246</v>
      </c>
      <c r="U33" s="6">
        <v>252</v>
      </c>
      <c r="V33" s="6">
        <v>290</v>
      </c>
      <c r="W33" s="6">
        <v>286</v>
      </c>
      <c r="X33" s="6">
        <v>296</v>
      </c>
      <c r="Y33" s="6">
        <v>283</v>
      </c>
      <c r="Z33" s="6">
        <v>281</v>
      </c>
      <c r="AA33" s="6">
        <v>275</v>
      </c>
      <c r="AB33" s="6">
        <v>283</v>
      </c>
      <c r="AC33" s="6">
        <v>281</v>
      </c>
      <c r="AD33" s="6">
        <v>285</v>
      </c>
      <c r="AE33" s="6">
        <v>276</v>
      </c>
      <c r="AF33" s="6">
        <v>295</v>
      </c>
      <c r="AG33" s="6">
        <v>270</v>
      </c>
      <c r="AH33" s="6">
        <v>283</v>
      </c>
      <c r="AI33" s="6">
        <v>291</v>
      </c>
      <c r="AJ33" s="6">
        <v>292</v>
      </c>
      <c r="AK33" s="6">
        <v>273</v>
      </c>
      <c r="AL33" s="6">
        <v>249</v>
      </c>
      <c r="AM33" s="6">
        <v>304</v>
      </c>
      <c r="AN33" s="6">
        <v>253</v>
      </c>
      <c r="AO33" s="6">
        <v>250</v>
      </c>
      <c r="AP33" s="5">
        <f>SUM(E33:AO33)</f>
        <v>10042</v>
      </c>
    </row>
    <row r="34" spans="1:42" x14ac:dyDescent="0.3">
      <c r="A34" s="6">
        <v>2</v>
      </c>
      <c r="B34" s="93" t="s">
        <v>39</v>
      </c>
      <c r="C34" s="85"/>
      <c r="D34" s="76"/>
      <c r="E34" s="5">
        <v>219</v>
      </c>
      <c r="F34" s="5">
        <v>207</v>
      </c>
      <c r="G34" s="5">
        <v>179</v>
      </c>
      <c r="H34" s="5">
        <v>210</v>
      </c>
      <c r="I34" s="5">
        <v>218</v>
      </c>
      <c r="J34" s="5">
        <v>174</v>
      </c>
      <c r="K34" s="5">
        <v>181</v>
      </c>
      <c r="L34" s="5">
        <v>159</v>
      </c>
      <c r="M34" s="5">
        <v>230</v>
      </c>
      <c r="N34" s="5">
        <v>234</v>
      </c>
      <c r="O34" s="5">
        <v>205</v>
      </c>
      <c r="P34" s="5">
        <v>176</v>
      </c>
      <c r="Q34" s="5">
        <v>222</v>
      </c>
      <c r="R34" s="5">
        <v>186</v>
      </c>
      <c r="S34" s="5">
        <v>214</v>
      </c>
      <c r="T34" s="5">
        <v>182</v>
      </c>
      <c r="U34" s="5">
        <v>188</v>
      </c>
      <c r="V34" s="5">
        <v>219</v>
      </c>
      <c r="W34" s="5">
        <v>206</v>
      </c>
      <c r="X34" s="5">
        <v>226</v>
      </c>
      <c r="Y34" s="5">
        <v>203</v>
      </c>
      <c r="Z34" s="5">
        <v>200</v>
      </c>
      <c r="AA34" s="5">
        <v>201</v>
      </c>
      <c r="AB34" s="5">
        <v>209</v>
      </c>
      <c r="AC34" s="5">
        <v>212</v>
      </c>
      <c r="AD34" s="5">
        <v>214</v>
      </c>
      <c r="AE34" s="5">
        <v>189</v>
      </c>
      <c r="AF34" s="5">
        <v>229</v>
      </c>
      <c r="AG34" s="5">
        <v>204</v>
      </c>
      <c r="AH34" s="5">
        <v>211</v>
      </c>
      <c r="AI34" s="5">
        <v>221</v>
      </c>
      <c r="AJ34" s="5">
        <v>233</v>
      </c>
      <c r="AK34" s="5">
        <v>198</v>
      </c>
      <c r="AL34" s="5">
        <v>181</v>
      </c>
      <c r="AM34" s="5">
        <v>213</v>
      </c>
      <c r="AN34" s="5">
        <v>204</v>
      </c>
      <c r="AO34" s="5">
        <v>208</v>
      </c>
      <c r="AP34" s="5">
        <f>SUM(E34:AO34)</f>
        <v>7565</v>
      </c>
    </row>
    <row r="35" spans="1:42" x14ac:dyDescent="0.3">
      <c r="A35" s="6">
        <v>3</v>
      </c>
      <c r="B35" s="93" t="s">
        <v>40</v>
      </c>
      <c r="C35" s="85"/>
      <c r="D35" s="76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2</v>
      </c>
      <c r="V35" s="6">
        <v>0</v>
      </c>
      <c r="W35" s="6">
        <v>0</v>
      </c>
      <c r="X35" s="6">
        <v>0</v>
      </c>
      <c r="Y35" s="6">
        <v>1</v>
      </c>
      <c r="Z35" s="6">
        <v>0</v>
      </c>
      <c r="AA35" s="6">
        <v>1</v>
      </c>
      <c r="AB35" s="6">
        <v>0</v>
      </c>
      <c r="AC35" s="6">
        <v>0</v>
      </c>
      <c r="AD35" s="6">
        <v>3</v>
      </c>
      <c r="AE35" s="6">
        <v>1</v>
      </c>
      <c r="AF35" s="6">
        <v>0</v>
      </c>
      <c r="AG35" s="6">
        <v>1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5">
        <f>SUM(E35:AO35)</f>
        <v>10</v>
      </c>
    </row>
    <row r="36" spans="1:42" x14ac:dyDescent="0.3">
      <c r="A36" s="6">
        <v>4</v>
      </c>
      <c r="B36" s="93" t="s">
        <v>41</v>
      </c>
      <c r="C36" s="85"/>
      <c r="D36" s="76"/>
      <c r="E36" s="5">
        <f t="shared" ref="E36:AO36" si="15">E33-(E34+E35)</f>
        <v>63</v>
      </c>
      <c r="F36" s="5">
        <f t="shared" si="15"/>
        <v>91</v>
      </c>
      <c r="G36" s="5">
        <f t="shared" si="15"/>
        <v>61</v>
      </c>
      <c r="H36" s="5">
        <f t="shared" si="15"/>
        <v>51</v>
      </c>
      <c r="I36" s="5">
        <f t="shared" si="15"/>
        <v>69</v>
      </c>
      <c r="J36" s="5">
        <f t="shared" si="15"/>
        <v>51</v>
      </c>
      <c r="K36" s="5">
        <f t="shared" si="15"/>
        <v>45</v>
      </c>
      <c r="L36" s="5">
        <f t="shared" si="15"/>
        <v>45</v>
      </c>
      <c r="M36" s="5">
        <f t="shared" si="15"/>
        <v>76</v>
      </c>
      <c r="N36" s="5">
        <f t="shared" ref="N36:AA36" si="16">N33-(N34+N35)</f>
        <v>65</v>
      </c>
      <c r="O36" s="5">
        <f t="shared" si="16"/>
        <v>91</v>
      </c>
      <c r="P36" s="5">
        <f t="shared" si="16"/>
        <v>31</v>
      </c>
      <c r="Q36" s="5">
        <f t="shared" si="16"/>
        <v>60</v>
      </c>
      <c r="R36" s="5">
        <f t="shared" si="16"/>
        <v>72</v>
      </c>
      <c r="S36" s="5">
        <f t="shared" si="16"/>
        <v>63</v>
      </c>
      <c r="T36" s="5">
        <f t="shared" si="16"/>
        <v>64</v>
      </c>
      <c r="U36" s="5">
        <f t="shared" si="16"/>
        <v>62</v>
      </c>
      <c r="V36" s="5">
        <f t="shared" si="16"/>
        <v>71</v>
      </c>
      <c r="W36" s="5">
        <f t="shared" si="16"/>
        <v>80</v>
      </c>
      <c r="X36" s="5">
        <f t="shared" si="16"/>
        <v>70</v>
      </c>
      <c r="Y36" s="5">
        <f t="shared" si="16"/>
        <v>79</v>
      </c>
      <c r="Z36" s="5">
        <f t="shared" si="16"/>
        <v>81</v>
      </c>
      <c r="AA36" s="5">
        <f t="shared" si="16"/>
        <v>73</v>
      </c>
      <c r="AB36" s="5">
        <f t="shared" si="15"/>
        <v>74</v>
      </c>
      <c r="AC36" s="5">
        <f t="shared" si="15"/>
        <v>69</v>
      </c>
      <c r="AD36" s="5">
        <f t="shared" si="15"/>
        <v>68</v>
      </c>
      <c r="AE36" s="5">
        <f t="shared" si="15"/>
        <v>86</v>
      </c>
      <c r="AF36" s="5">
        <f t="shared" si="15"/>
        <v>66</v>
      </c>
      <c r="AG36" s="5">
        <f t="shared" si="15"/>
        <v>65</v>
      </c>
      <c r="AH36" s="5">
        <f t="shared" si="15"/>
        <v>71</v>
      </c>
      <c r="AI36" s="5">
        <f t="shared" si="15"/>
        <v>70</v>
      </c>
      <c r="AJ36" s="5">
        <f t="shared" si="15"/>
        <v>59</v>
      </c>
      <c r="AK36" s="5">
        <f t="shared" si="15"/>
        <v>75</v>
      </c>
      <c r="AL36" s="5">
        <f t="shared" si="15"/>
        <v>68</v>
      </c>
      <c r="AM36" s="5">
        <f t="shared" si="15"/>
        <v>91</v>
      </c>
      <c r="AN36" s="5">
        <f t="shared" si="15"/>
        <v>49</v>
      </c>
      <c r="AO36" s="5">
        <f t="shared" si="15"/>
        <v>42</v>
      </c>
      <c r="AP36" s="5">
        <f>SUM(E36:AO36)</f>
        <v>2467</v>
      </c>
    </row>
    <row r="37" spans="1:42" x14ac:dyDescent="0.3">
      <c r="A37" s="77"/>
      <c r="B37" s="85"/>
      <c r="C37" s="85"/>
      <c r="D37" s="85"/>
      <c r="E37" s="77"/>
      <c r="F37" s="104"/>
      <c r="G37" s="104"/>
      <c r="H37" s="104"/>
      <c r="I37" s="105"/>
      <c r="J37" s="6"/>
      <c r="K37" s="6"/>
      <c r="L37" s="6"/>
      <c r="M37" s="6"/>
      <c r="N37" s="10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10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9"/>
    </row>
    <row r="38" spans="1:42" x14ac:dyDescent="0.3">
      <c r="A38" s="16" t="s">
        <v>42</v>
      </c>
      <c r="B38" s="72" t="s">
        <v>43</v>
      </c>
      <c r="C38" s="85"/>
      <c r="D38" s="76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29"/>
    </row>
    <row r="39" spans="1:42" x14ac:dyDescent="0.3">
      <c r="A39" s="11"/>
      <c r="B39" s="88" t="s">
        <v>44</v>
      </c>
      <c r="C39" s="84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/>
      <c r="AJ39" s="6"/>
      <c r="AK39" s="6">
        <v>1</v>
      </c>
      <c r="AL39" s="6"/>
      <c r="AM39" s="6"/>
      <c r="AN39" s="6"/>
      <c r="AO39" s="6"/>
      <c r="AP39" s="5">
        <f>SUM(E39:AO39)</f>
        <v>3</v>
      </c>
    </row>
    <row r="40" spans="1:42" x14ac:dyDescent="0.3">
      <c r="A40" s="12"/>
      <c r="B40" s="89"/>
      <c r="C40" s="90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1</v>
      </c>
      <c r="AE40" s="6">
        <v>0</v>
      </c>
      <c r="AF40" s="6">
        <v>0</v>
      </c>
      <c r="AG40" s="6">
        <v>0</v>
      </c>
      <c r="AH40" s="6">
        <v>0</v>
      </c>
      <c r="AI40" s="6"/>
      <c r="AJ40" s="6"/>
      <c r="AK40" s="6"/>
      <c r="AL40" s="6"/>
      <c r="AM40" s="6"/>
      <c r="AN40" s="6"/>
      <c r="AO40" s="6"/>
      <c r="AP40" s="5">
        <f>SUM(E40:AO40)</f>
        <v>1</v>
      </c>
    </row>
    <row r="41" spans="1:42" x14ac:dyDescent="0.3">
      <c r="A41" s="14"/>
      <c r="B41" s="87"/>
      <c r="C41" s="91"/>
      <c r="D41" s="5" t="s">
        <v>25</v>
      </c>
      <c r="E41" s="5">
        <f t="shared" ref="E41:AO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1</v>
      </c>
      <c r="L41" s="5">
        <f t="shared" si="17"/>
        <v>0</v>
      </c>
      <c r="M41" s="5">
        <f t="shared" si="17"/>
        <v>0</v>
      </c>
      <c r="N41" s="5">
        <f t="shared" ref="N41:AA41" si="18">SUM(N39:N40)</f>
        <v>0</v>
      </c>
      <c r="O41" s="5">
        <f t="shared" si="18"/>
        <v>0</v>
      </c>
      <c r="P41" s="5">
        <f t="shared" si="18"/>
        <v>0</v>
      </c>
      <c r="Q41" s="5">
        <f t="shared" si="18"/>
        <v>0</v>
      </c>
      <c r="R41" s="5">
        <f t="shared" si="18"/>
        <v>0</v>
      </c>
      <c r="S41" s="5">
        <f t="shared" si="18"/>
        <v>0</v>
      </c>
      <c r="T41" s="5">
        <f t="shared" si="18"/>
        <v>0</v>
      </c>
      <c r="U41" s="5">
        <f t="shared" si="18"/>
        <v>0</v>
      </c>
      <c r="V41" s="5">
        <f t="shared" si="18"/>
        <v>0</v>
      </c>
      <c r="W41" s="5">
        <f t="shared" si="18"/>
        <v>0</v>
      </c>
      <c r="X41" s="5">
        <f t="shared" si="18"/>
        <v>0</v>
      </c>
      <c r="Y41" s="5">
        <f t="shared" si="18"/>
        <v>0</v>
      </c>
      <c r="Z41" s="5">
        <f t="shared" si="18"/>
        <v>0</v>
      </c>
      <c r="AA41" s="5">
        <f t="shared" si="18"/>
        <v>1</v>
      </c>
      <c r="AB41" s="5">
        <f t="shared" si="17"/>
        <v>0</v>
      </c>
      <c r="AC41" s="5">
        <f t="shared" si="17"/>
        <v>0</v>
      </c>
      <c r="AD41" s="5">
        <f t="shared" si="17"/>
        <v>1</v>
      </c>
      <c r="AE41" s="5">
        <f t="shared" si="17"/>
        <v>0</v>
      </c>
      <c r="AF41" s="5">
        <f t="shared" si="17"/>
        <v>0</v>
      </c>
      <c r="AG41" s="5">
        <f t="shared" si="17"/>
        <v>0</v>
      </c>
      <c r="AH41" s="5">
        <f t="shared" si="17"/>
        <v>0</v>
      </c>
      <c r="AI41" s="5">
        <f t="shared" si="17"/>
        <v>0</v>
      </c>
      <c r="AJ41" s="5">
        <f t="shared" si="17"/>
        <v>0</v>
      </c>
      <c r="AK41" s="5">
        <f t="shared" si="17"/>
        <v>1</v>
      </c>
      <c r="AL41" s="5">
        <f t="shared" si="17"/>
        <v>0</v>
      </c>
      <c r="AM41" s="5">
        <f t="shared" si="17"/>
        <v>0</v>
      </c>
      <c r="AN41" s="5">
        <f t="shared" si="17"/>
        <v>0</v>
      </c>
      <c r="AO41" s="5">
        <f t="shared" si="17"/>
        <v>0</v>
      </c>
      <c r="AP41" s="5">
        <f>SUM(E41:AO41)</f>
        <v>4</v>
      </c>
    </row>
    <row r="42" spans="1:42" x14ac:dyDescent="0.3">
      <c r="A42" s="86"/>
      <c r="B42" s="87"/>
      <c r="C42" s="87"/>
      <c r="D42" s="91"/>
      <c r="E42" s="77"/>
      <c r="F42" s="85"/>
      <c r="G42" s="85"/>
      <c r="H42" s="85"/>
      <c r="I42" s="76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6"/>
      <c r="Z42" s="10"/>
      <c r="AA42" s="6"/>
      <c r="AB42" s="10"/>
      <c r="AC42" s="6"/>
      <c r="AD42" s="10"/>
      <c r="AE42" s="6"/>
      <c r="AF42" s="10"/>
      <c r="AG42" s="6"/>
      <c r="AH42" s="10"/>
      <c r="AI42" s="6"/>
      <c r="AJ42" s="10"/>
      <c r="AK42" s="6"/>
      <c r="AL42" s="10"/>
      <c r="AM42" s="6"/>
      <c r="AN42" s="10"/>
      <c r="AO42" s="6"/>
      <c r="AP42" s="5"/>
    </row>
    <row r="43" spans="1:42" ht="13.15" customHeight="1" x14ac:dyDescent="0.3">
      <c r="A43" s="16" t="s">
        <v>45</v>
      </c>
      <c r="B43" s="72" t="s">
        <v>46</v>
      </c>
      <c r="C43" s="85"/>
      <c r="D43" s="76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5"/>
      <c r="Z43" s="15"/>
      <c r="AA43" s="5"/>
      <c r="AB43" s="15"/>
      <c r="AC43" s="5"/>
      <c r="AD43" s="15"/>
      <c r="AE43" s="5"/>
      <c r="AF43" s="15"/>
      <c r="AG43" s="5"/>
      <c r="AH43" s="15"/>
      <c r="AI43" s="5"/>
      <c r="AJ43" s="15"/>
      <c r="AK43" s="5"/>
      <c r="AL43" s="15"/>
      <c r="AM43" s="5"/>
      <c r="AN43" s="15"/>
      <c r="AO43" s="5"/>
      <c r="AP43" s="5"/>
    </row>
    <row r="44" spans="1:42" ht="13.15" customHeight="1" x14ac:dyDescent="0.3">
      <c r="A44" s="88" t="s">
        <v>47</v>
      </c>
      <c r="B44" s="92"/>
      <c r="C44" s="92"/>
      <c r="D44" s="8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6"/>
      <c r="Z44" s="10"/>
      <c r="AA44" s="6"/>
      <c r="AB44" s="10"/>
      <c r="AC44" s="6"/>
      <c r="AD44" s="10"/>
      <c r="AE44" s="6"/>
      <c r="AF44" s="10"/>
      <c r="AG44" s="6"/>
      <c r="AH44" s="10"/>
      <c r="AI44" s="6"/>
      <c r="AJ44" s="10"/>
      <c r="AK44" s="6"/>
      <c r="AL44" s="10"/>
      <c r="AM44" s="6"/>
      <c r="AN44" s="10"/>
      <c r="AO44" s="6"/>
      <c r="AP44" s="5"/>
    </row>
    <row r="45" spans="1:42" x14ac:dyDescent="0.3">
      <c r="A45" s="11" t="s">
        <v>48</v>
      </c>
      <c r="B45" s="17" t="s">
        <v>28</v>
      </c>
      <c r="C45" s="75" t="s">
        <v>49</v>
      </c>
      <c r="D45" s="76"/>
      <c r="E45" s="6">
        <v>9</v>
      </c>
      <c r="F45" s="6">
        <v>5</v>
      </c>
      <c r="G45" s="6">
        <v>11</v>
      </c>
      <c r="H45" s="6">
        <v>1</v>
      </c>
      <c r="I45" s="6">
        <v>10</v>
      </c>
      <c r="J45" s="6">
        <v>9</v>
      </c>
      <c r="K45" s="6">
        <v>6</v>
      </c>
      <c r="L45" s="6">
        <v>14</v>
      </c>
      <c r="M45" s="6">
        <v>4</v>
      </c>
      <c r="N45" s="6">
        <v>5</v>
      </c>
      <c r="O45" s="6">
        <v>1</v>
      </c>
      <c r="P45" s="6">
        <v>2</v>
      </c>
      <c r="Q45" s="6">
        <v>3</v>
      </c>
      <c r="R45" s="6">
        <v>5</v>
      </c>
      <c r="S45" s="6">
        <v>2</v>
      </c>
      <c r="T45" s="6">
        <v>4</v>
      </c>
      <c r="U45" s="6">
        <v>5</v>
      </c>
      <c r="V45" s="6">
        <v>2</v>
      </c>
      <c r="W45" s="6">
        <v>4</v>
      </c>
      <c r="X45" s="6">
        <v>6</v>
      </c>
      <c r="Y45" s="6">
        <v>8</v>
      </c>
      <c r="Z45" s="6">
        <v>8</v>
      </c>
      <c r="AA45" s="6">
        <v>4</v>
      </c>
      <c r="AB45" s="6">
        <v>11</v>
      </c>
      <c r="AC45" s="6">
        <v>8</v>
      </c>
      <c r="AD45" s="6">
        <v>9</v>
      </c>
      <c r="AE45" s="6">
        <v>4</v>
      </c>
      <c r="AF45" s="6">
        <v>3</v>
      </c>
      <c r="AG45" s="6">
        <v>7</v>
      </c>
      <c r="AH45" s="6">
        <v>1</v>
      </c>
      <c r="AI45" s="6">
        <v>10</v>
      </c>
      <c r="AJ45" s="6">
        <v>4</v>
      </c>
      <c r="AK45" s="6">
        <v>4</v>
      </c>
      <c r="AL45" s="6">
        <v>8</v>
      </c>
      <c r="AM45" s="6">
        <v>4</v>
      </c>
      <c r="AN45" s="6">
        <v>2</v>
      </c>
      <c r="AO45" s="6">
        <v>3</v>
      </c>
      <c r="AP45" s="5">
        <f>SUM(E45:AO45)</f>
        <v>206</v>
      </c>
    </row>
    <row r="46" spans="1:42" x14ac:dyDescent="0.3">
      <c r="A46" s="11" t="s">
        <v>50</v>
      </c>
      <c r="B46" s="53"/>
      <c r="C46" s="24" t="s">
        <v>122</v>
      </c>
      <c r="D46" s="24"/>
      <c r="E46" s="6">
        <v>20</v>
      </c>
      <c r="F46" s="6">
        <v>19</v>
      </c>
      <c r="G46" s="6">
        <v>7</v>
      </c>
      <c r="H46" s="6">
        <v>16</v>
      </c>
      <c r="I46" s="6">
        <v>15</v>
      </c>
      <c r="J46" s="6">
        <v>12</v>
      </c>
      <c r="K46" s="6">
        <v>15</v>
      </c>
      <c r="L46" s="6">
        <v>22</v>
      </c>
      <c r="M46" s="6">
        <v>1</v>
      </c>
      <c r="N46" s="6">
        <v>14</v>
      </c>
      <c r="O46" s="6">
        <v>10</v>
      </c>
      <c r="P46" s="6">
        <v>5</v>
      </c>
      <c r="Q46" s="6">
        <v>5</v>
      </c>
      <c r="R46" s="6">
        <v>5</v>
      </c>
      <c r="S46" s="6">
        <v>4</v>
      </c>
      <c r="T46" s="6">
        <v>5</v>
      </c>
      <c r="U46" s="6">
        <v>1</v>
      </c>
      <c r="V46" s="6">
        <v>2</v>
      </c>
      <c r="W46" s="6">
        <v>4</v>
      </c>
      <c r="X46" s="6">
        <v>9</v>
      </c>
      <c r="Y46" s="6">
        <v>14</v>
      </c>
      <c r="Z46" s="6">
        <v>10</v>
      </c>
      <c r="AA46" s="6">
        <v>11</v>
      </c>
      <c r="AB46" s="6">
        <v>7</v>
      </c>
      <c r="AC46" s="6">
        <v>3</v>
      </c>
      <c r="AD46" s="6">
        <v>11</v>
      </c>
      <c r="AE46" s="6">
        <v>4</v>
      </c>
      <c r="AF46" s="6">
        <v>7</v>
      </c>
      <c r="AG46" s="6">
        <v>8</v>
      </c>
      <c r="AH46" s="6">
        <v>4</v>
      </c>
      <c r="AI46" s="6">
        <v>35</v>
      </c>
      <c r="AJ46" s="6">
        <v>7</v>
      </c>
      <c r="AK46" s="6">
        <v>5</v>
      </c>
      <c r="AL46" s="6">
        <v>5</v>
      </c>
      <c r="AM46" s="6">
        <v>7</v>
      </c>
      <c r="AN46" s="6">
        <v>0</v>
      </c>
      <c r="AO46" s="6">
        <v>2</v>
      </c>
      <c r="AP46" s="5">
        <f t="shared" ref="AP46:AP54" si="19">SUM(E46:AO46)</f>
        <v>331</v>
      </c>
    </row>
    <row r="47" spans="1:42" x14ac:dyDescent="0.3">
      <c r="A47" s="7"/>
      <c r="B47" s="54"/>
      <c r="C47" s="24" t="s">
        <v>123</v>
      </c>
      <c r="D47" s="24"/>
      <c r="E47" s="6">
        <v>7</v>
      </c>
      <c r="F47" s="6">
        <v>9</v>
      </c>
      <c r="G47" s="6">
        <v>0</v>
      </c>
      <c r="H47" s="6">
        <v>1</v>
      </c>
      <c r="I47" s="6">
        <v>1</v>
      </c>
      <c r="J47" s="6">
        <v>2</v>
      </c>
      <c r="K47" s="6">
        <v>0</v>
      </c>
      <c r="L47" s="6">
        <v>5</v>
      </c>
      <c r="M47" s="6">
        <v>0</v>
      </c>
      <c r="N47" s="6">
        <v>0</v>
      </c>
      <c r="O47" s="6">
        <v>1</v>
      </c>
      <c r="P47" s="6">
        <v>2</v>
      </c>
      <c r="Q47" s="6">
        <v>1</v>
      </c>
      <c r="R47" s="6">
        <v>1</v>
      </c>
      <c r="S47" s="6">
        <v>2</v>
      </c>
      <c r="T47" s="6">
        <v>4</v>
      </c>
      <c r="U47" s="6">
        <v>0</v>
      </c>
      <c r="V47" s="6">
        <v>2</v>
      </c>
      <c r="W47" s="6">
        <v>9</v>
      </c>
      <c r="X47" s="6">
        <v>1</v>
      </c>
      <c r="Y47" s="6">
        <v>2</v>
      </c>
      <c r="Z47" s="6">
        <v>2</v>
      </c>
      <c r="AA47" s="6">
        <v>2</v>
      </c>
      <c r="AB47" s="6">
        <v>4</v>
      </c>
      <c r="AC47" s="6">
        <v>17</v>
      </c>
      <c r="AD47" s="6">
        <v>4</v>
      </c>
      <c r="AE47" s="6">
        <v>2</v>
      </c>
      <c r="AF47" s="6">
        <v>1</v>
      </c>
      <c r="AG47" s="6">
        <v>0</v>
      </c>
      <c r="AH47" s="6">
        <v>3</v>
      </c>
      <c r="AI47" s="6">
        <v>2</v>
      </c>
      <c r="AJ47" s="6">
        <v>1</v>
      </c>
      <c r="AK47" s="6">
        <v>0</v>
      </c>
      <c r="AL47" s="6">
        <v>2</v>
      </c>
      <c r="AM47" s="6">
        <v>0</v>
      </c>
      <c r="AN47" s="6">
        <v>1</v>
      </c>
      <c r="AO47" s="6">
        <v>2</v>
      </c>
      <c r="AP47" s="5">
        <f t="shared" si="19"/>
        <v>93</v>
      </c>
    </row>
    <row r="48" spans="1:42" x14ac:dyDescent="0.3">
      <c r="A48" s="7"/>
      <c r="B48" s="54"/>
      <c r="C48" s="24" t="s">
        <v>124</v>
      </c>
      <c r="D48" s="24"/>
      <c r="E48" s="6">
        <v>3</v>
      </c>
      <c r="F48" s="6">
        <v>0</v>
      </c>
      <c r="G48" s="6">
        <v>0</v>
      </c>
      <c r="H48" s="6">
        <v>2</v>
      </c>
      <c r="I48" s="6">
        <v>1</v>
      </c>
      <c r="J48" s="6">
        <v>0</v>
      </c>
      <c r="K48" s="6">
        <v>0</v>
      </c>
      <c r="L48" s="6">
        <v>0</v>
      </c>
      <c r="M48" s="6">
        <v>2</v>
      </c>
      <c r="N48" s="6">
        <v>1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2</v>
      </c>
      <c r="AA48" s="6">
        <v>0</v>
      </c>
      <c r="AB48" s="6">
        <v>0</v>
      </c>
      <c r="AC48" s="6">
        <v>2</v>
      </c>
      <c r="AD48" s="6">
        <v>2</v>
      </c>
      <c r="AE48" s="6">
        <v>2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0</v>
      </c>
      <c r="AL48" s="6">
        <v>3</v>
      </c>
      <c r="AM48" s="6">
        <v>0</v>
      </c>
      <c r="AN48" s="6">
        <v>2</v>
      </c>
      <c r="AO48" s="6">
        <v>0</v>
      </c>
      <c r="AP48" s="5">
        <f t="shared" si="19"/>
        <v>24</v>
      </c>
    </row>
    <row r="49" spans="1:42" x14ac:dyDescent="0.3">
      <c r="A49" s="7"/>
      <c r="B49" s="54"/>
      <c r="C49" s="24" t="s">
        <v>125</v>
      </c>
      <c r="D49" s="24"/>
      <c r="E49" s="6">
        <v>3</v>
      </c>
      <c r="F49" s="6">
        <v>2</v>
      </c>
      <c r="G49" s="6">
        <v>0</v>
      </c>
      <c r="H49" s="6">
        <v>1</v>
      </c>
      <c r="I49" s="6">
        <v>0</v>
      </c>
      <c r="J49" s="6">
        <v>0</v>
      </c>
      <c r="K49" s="6">
        <v>4</v>
      </c>
      <c r="L49" s="6">
        <v>5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1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1</v>
      </c>
      <c r="Y49" s="6">
        <v>1</v>
      </c>
      <c r="Z49" s="6">
        <v>3</v>
      </c>
      <c r="AA49" s="6">
        <v>2</v>
      </c>
      <c r="AB49" s="6">
        <v>1</v>
      </c>
      <c r="AC49" s="6">
        <v>3</v>
      </c>
      <c r="AD49" s="6">
        <v>1</v>
      </c>
      <c r="AE49" s="6">
        <v>1</v>
      </c>
      <c r="AF49" s="6">
        <v>2</v>
      </c>
      <c r="AG49" s="6">
        <v>0</v>
      </c>
      <c r="AH49" s="6">
        <v>0</v>
      </c>
      <c r="AI49" s="6">
        <v>0</v>
      </c>
      <c r="AJ49" s="6">
        <v>0</v>
      </c>
      <c r="AK49" s="6">
        <v>1</v>
      </c>
      <c r="AL49" s="6">
        <v>0</v>
      </c>
      <c r="AM49" s="6">
        <v>1</v>
      </c>
      <c r="AN49" s="6">
        <v>1</v>
      </c>
      <c r="AO49" s="6">
        <v>1</v>
      </c>
      <c r="AP49" s="5">
        <f t="shared" si="19"/>
        <v>36</v>
      </c>
    </row>
    <row r="50" spans="1:42" x14ac:dyDescent="0.3">
      <c r="A50" s="7"/>
      <c r="B50" s="54"/>
      <c r="C50" s="24" t="s">
        <v>126</v>
      </c>
      <c r="D50" s="24"/>
      <c r="E50" s="6">
        <v>1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1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1</v>
      </c>
      <c r="T50" s="6">
        <v>1</v>
      </c>
      <c r="U50" s="6">
        <v>0</v>
      </c>
      <c r="V50" s="6">
        <v>0</v>
      </c>
      <c r="W50" s="6">
        <v>0</v>
      </c>
      <c r="X50" s="6">
        <v>0</v>
      </c>
      <c r="Y50" s="6">
        <v>1</v>
      </c>
      <c r="Z50" s="6">
        <v>2</v>
      </c>
      <c r="AA50" s="6">
        <v>0</v>
      </c>
      <c r="AB50" s="6">
        <v>1</v>
      </c>
      <c r="AC50" s="6">
        <v>0</v>
      </c>
      <c r="AD50" s="6">
        <v>0</v>
      </c>
      <c r="AE50" s="6">
        <v>2</v>
      </c>
      <c r="AF50" s="6">
        <v>2</v>
      </c>
      <c r="AG50" s="6">
        <v>1</v>
      </c>
      <c r="AH50" s="6">
        <v>0</v>
      </c>
      <c r="AI50" s="6">
        <v>0</v>
      </c>
      <c r="AJ50" s="6">
        <v>1</v>
      </c>
      <c r="AK50" s="6">
        <v>8</v>
      </c>
      <c r="AL50" s="6">
        <v>2</v>
      </c>
      <c r="AM50" s="6">
        <v>2</v>
      </c>
      <c r="AN50" s="6">
        <v>0</v>
      </c>
      <c r="AO50" s="6">
        <v>8</v>
      </c>
      <c r="AP50" s="5">
        <f t="shared" si="19"/>
        <v>37</v>
      </c>
    </row>
    <row r="51" spans="1:42" x14ac:dyDescent="0.3">
      <c r="A51" s="7"/>
      <c r="B51" s="54"/>
      <c r="C51" s="24" t="s">
        <v>127</v>
      </c>
      <c r="D51" s="24"/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2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0</v>
      </c>
      <c r="X51" s="6">
        <v>3</v>
      </c>
      <c r="Y51" s="6">
        <v>0</v>
      </c>
      <c r="Z51" s="6">
        <v>1</v>
      </c>
      <c r="AA51" s="6">
        <v>1</v>
      </c>
      <c r="AB51" s="6">
        <v>0</v>
      </c>
      <c r="AC51" s="6">
        <v>1</v>
      </c>
      <c r="AD51" s="6">
        <v>0</v>
      </c>
      <c r="AE51" s="6">
        <v>0</v>
      </c>
      <c r="AF51" s="6">
        <v>1</v>
      </c>
      <c r="AG51" s="6">
        <v>1</v>
      </c>
      <c r="AH51" s="6">
        <v>0</v>
      </c>
      <c r="AI51" s="6">
        <v>2</v>
      </c>
      <c r="AJ51" s="6">
        <v>0</v>
      </c>
      <c r="AK51" s="6">
        <v>3</v>
      </c>
      <c r="AL51" s="6">
        <v>0</v>
      </c>
      <c r="AM51" s="6">
        <v>1</v>
      </c>
      <c r="AN51" s="6">
        <v>0</v>
      </c>
      <c r="AO51" s="6">
        <v>0</v>
      </c>
      <c r="AP51" s="5">
        <f t="shared" si="19"/>
        <v>19</v>
      </c>
    </row>
    <row r="52" spans="1:42" ht="13.15" customHeight="1" x14ac:dyDescent="0.3">
      <c r="A52" s="7"/>
      <c r="B52" s="54"/>
      <c r="C52" s="24" t="s">
        <v>128</v>
      </c>
      <c r="D52" s="24"/>
      <c r="E52" s="6">
        <v>0</v>
      </c>
      <c r="F52" s="6">
        <v>1</v>
      </c>
      <c r="G52" s="6">
        <v>0</v>
      </c>
      <c r="H52" s="6">
        <v>0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2</v>
      </c>
      <c r="X52" s="6">
        <v>3</v>
      </c>
      <c r="Y52" s="6">
        <v>1</v>
      </c>
      <c r="Z52" s="6">
        <v>0</v>
      </c>
      <c r="AA52" s="6">
        <v>0</v>
      </c>
      <c r="AB52" s="6">
        <v>0</v>
      </c>
      <c r="AC52" s="6">
        <v>3</v>
      </c>
      <c r="AD52" s="6">
        <v>0</v>
      </c>
      <c r="AE52" s="6">
        <v>0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5">
        <f t="shared" si="19"/>
        <v>13</v>
      </c>
    </row>
    <row r="53" spans="1:42" ht="13.15" customHeight="1" x14ac:dyDescent="0.3">
      <c r="A53" s="7"/>
      <c r="B53" s="54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2</v>
      </c>
      <c r="X53" s="6">
        <v>0</v>
      </c>
      <c r="Y53" s="6">
        <v>0</v>
      </c>
      <c r="Z53" s="6">
        <v>1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6">
        <v>0</v>
      </c>
      <c r="AO53" s="6">
        <v>0</v>
      </c>
      <c r="AP53" s="5">
        <f t="shared" si="19"/>
        <v>5</v>
      </c>
    </row>
    <row r="54" spans="1:42" ht="13.15" customHeight="1" x14ac:dyDescent="0.3">
      <c r="A54" s="7"/>
      <c r="B54" s="54"/>
      <c r="C54" s="24" t="s">
        <v>130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1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2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0</v>
      </c>
      <c r="V54" s="6">
        <v>0</v>
      </c>
      <c r="W54" s="6">
        <v>0</v>
      </c>
      <c r="X54" s="6">
        <v>1</v>
      </c>
      <c r="Y54" s="6">
        <v>0</v>
      </c>
      <c r="Z54" s="6">
        <v>0</v>
      </c>
      <c r="AA54" s="6">
        <v>1</v>
      </c>
      <c r="AB54" s="6">
        <v>0</v>
      </c>
      <c r="AC54" s="6">
        <v>1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5">
        <f t="shared" si="19"/>
        <v>8</v>
      </c>
    </row>
    <row r="55" spans="1:42" x14ac:dyDescent="0.3">
      <c r="A55" s="6" t="s">
        <v>26</v>
      </c>
      <c r="B55" s="69" t="s">
        <v>51</v>
      </c>
      <c r="C55" s="85"/>
      <c r="D55" s="76"/>
      <c r="E55" s="5">
        <f>SUM(E45:E54)</f>
        <v>43</v>
      </c>
      <c r="F55" s="5">
        <f t="shared" ref="F55:AP55" si="20">SUM(F45:F54)</f>
        <v>37</v>
      </c>
      <c r="G55" s="5">
        <f t="shared" si="20"/>
        <v>19</v>
      </c>
      <c r="H55" s="5">
        <f t="shared" si="20"/>
        <v>22</v>
      </c>
      <c r="I55" s="5">
        <f t="shared" si="20"/>
        <v>29</v>
      </c>
      <c r="J55" s="5">
        <f t="shared" si="20"/>
        <v>23</v>
      </c>
      <c r="K55" s="5">
        <f t="shared" si="20"/>
        <v>27</v>
      </c>
      <c r="L55" s="5">
        <f t="shared" si="20"/>
        <v>48</v>
      </c>
      <c r="M55" s="5">
        <f t="shared" si="20"/>
        <v>7</v>
      </c>
      <c r="N55" s="5">
        <f t="shared" si="20"/>
        <v>22</v>
      </c>
      <c r="O55" s="5">
        <f t="shared" si="20"/>
        <v>16</v>
      </c>
      <c r="P55" s="5">
        <f t="shared" si="20"/>
        <v>10</v>
      </c>
      <c r="Q55" s="5">
        <f t="shared" si="20"/>
        <v>10</v>
      </c>
      <c r="R55" s="5">
        <f t="shared" si="20"/>
        <v>12</v>
      </c>
      <c r="S55" s="5">
        <f t="shared" si="20"/>
        <v>9</v>
      </c>
      <c r="T55" s="5">
        <f t="shared" si="20"/>
        <v>15</v>
      </c>
      <c r="U55" s="5">
        <f t="shared" si="20"/>
        <v>6</v>
      </c>
      <c r="V55" s="5">
        <f t="shared" si="20"/>
        <v>7</v>
      </c>
      <c r="W55" s="5">
        <f t="shared" si="20"/>
        <v>21</v>
      </c>
      <c r="X55" s="5">
        <f t="shared" si="20"/>
        <v>24</v>
      </c>
      <c r="Y55" s="5">
        <f t="shared" si="20"/>
        <v>27</v>
      </c>
      <c r="Z55" s="5">
        <f t="shared" si="20"/>
        <v>29</v>
      </c>
      <c r="AA55" s="5">
        <f t="shared" si="20"/>
        <v>21</v>
      </c>
      <c r="AB55" s="5">
        <f t="shared" si="20"/>
        <v>24</v>
      </c>
      <c r="AC55" s="5">
        <f t="shared" si="20"/>
        <v>38</v>
      </c>
      <c r="AD55" s="5">
        <f t="shared" si="20"/>
        <v>27</v>
      </c>
      <c r="AE55" s="5">
        <f t="shared" si="20"/>
        <v>15</v>
      </c>
      <c r="AF55" s="5">
        <f t="shared" si="20"/>
        <v>17</v>
      </c>
      <c r="AG55" s="5">
        <f t="shared" si="20"/>
        <v>17</v>
      </c>
      <c r="AH55" s="5">
        <f t="shared" si="20"/>
        <v>9</v>
      </c>
      <c r="AI55" s="5">
        <f t="shared" si="20"/>
        <v>49</v>
      </c>
      <c r="AJ55" s="5">
        <f t="shared" si="20"/>
        <v>13</v>
      </c>
      <c r="AK55" s="5">
        <f t="shared" si="20"/>
        <v>21</v>
      </c>
      <c r="AL55" s="5">
        <f t="shared" si="20"/>
        <v>21</v>
      </c>
      <c r="AM55" s="5">
        <f t="shared" si="20"/>
        <v>15</v>
      </c>
      <c r="AN55" s="5">
        <f t="shared" si="20"/>
        <v>6</v>
      </c>
      <c r="AO55" s="5">
        <f t="shared" si="20"/>
        <v>16</v>
      </c>
      <c r="AP55" s="5">
        <f t="shared" si="20"/>
        <v>772</v>
      </c>
    </row>
    <row r="56" spans="1:42" x14ac:dyDescent="0.3">
      <c r="A56" s="86"/>
      <c r="B56" s="87"/>
      <c r="C56" s="87"/>
      <c r="D56" s="87"/>
      <c r="E56" s="87"/>
      <c r="AP56" s="5"/>
    </row>
    <row r="57" spans="1:42" x14ac:dyDescent="0.3">
      <c r="A57" s="11" t="s">
        <v>48</v>
      </c>
      <c r="B57" s="17" t="s">
        <v>30</v>
      </c>
      <c r="C57" s="75" t="s">
        <v>52</v>
      </c>
      <c r="D57" s="76"/>
      <c r="E57" s="6">
        <v>11</v>
      </c>
      <c r="F57" s="6">
        <v>9</v>
      </c>
      <c r="G57" s="6">
        <v>5</v>
      </c>
      <c r="H57" s="6">
        <v>6</v>
      </c>
      <c r="I57" s="6">
        <v>6</v>
      </c>
      <c r="J57" s="6">
        <v>9</v>
      </c>
      <c r="K57" s="6">
        <v>10</v>
      </c>
      <c r="L57" s="6">
        <v>11</v>
      </c>
      <c r="M57" s="6">
        <v>16</v>
      </c>
      <c r="N57" s="6">
        <v>10</v>
      </c>
      <c r="O57" s="6">
        <v>16</v>
      </c>
      <c r="P57" s="6">
        <v>0</v>
      </c>
      <c r="Q57" s="6">
        <v>12</v>
      </c>
      <c r="R57" s="6">
        <v>6</v>
      </c>
      <c r="S57" s="6">
        <v>5</v>
      </c>
      <c r="T57" s="6">
        <v>10</v>
      </c>
      <c r="U57" s="6">
        <v>5</v>
      </c>
      <c r="V57" s="6">
        <v>11</v>
      </c>
      <c r="W57" s="6">
        <v>17</v>
      </c>
      <c r="X57" s="6">
        <v>6</v>
      </c>
      <c r="Y57" s="6">
        <v>7</v>
      </c>
      <c r="Z57" s="6">
        <v>11</v>
      </c>
      <c r="AA57" s="6">
        <v>17</v>
      </c>
      <c r="AB57" s="6">
        <v>7</v>
      </c>
      <c r="AC57" s="6">
        <v>12</v>
      </c>
      <c r="AD57" s="6">
        <v>13</v>
      </c>
      <c r="AE57" s="6">
        <v>11</v>
      </c>
      <c r="AF57" s="6">
        <v>9</v>
      </c>
      <c r="AG57" s="6">
        <v>6</v>
      </c>
      <c r="AH57" s="6">
        <v>1</v>
      </c>
      <c r="AI57" s="6">
        <v>6</v>
      </c>
      <c r="AJ57" s="6">
        <v>10</v>
      </c>
      <c r="AK57" s="6">
        <v>11</v>
      </c>
      <c r="AL57" s="6">
        <v>10</v>
      </c>
      <c r="AM57" s="6">
        <v>10</v>
      </c>
      <c r="AN57" s="6">
        <v>7</v>
      </c>
      <c r="AO57" s="6">
        <v>9</v>
      </c>
      <c r="AP57" s="5">
        <f>SUM(E57:AO57)</f>
        <v>338</v>
      </c>
    </row>
    <row r="58" spans="1:42" x14ac:dyDescent="0.3">
      <c r="A58" s="11" t="s">
        <v>50</v>
      </c>
      <c r="B58" s="54"/>
      <c r="C58" s="24" t="s">
        <v>131</v>
      </c>
      <c r="D58" s="55"/>
      <c r="E58" s="6">
        <v>4</v>
      </c>
      <c r="F58" s="6">
        <v>9</v>
      </c>
      <c r="G58" s="6">
        <v>1</v>
      </c>
      <c r="H58" s="6">
        <v>3</v>
      </c>
      <c r="I58" s="6">
        <v>5</v>
      </c>
      <c r="J58" s="6">
        <v>3</v>
      </c>
      <c r="K58" s="6">
        <v>1</v>
      </c>
      <c r="L58" s="6">
        <v>6</v>
      </c>
      <c r="M58" s="6">
        <v>5</v>
      </c>
      <c r="N58" s="6">
        <v>6</v>
      </c>
      <c r="O58" s="6">
        <v>3</v>
      </c>
      <c r="P58" s="6">
        <v>3</v>
      </c>
      <c r="Q58" s="6">
        <v>6</v>
      </c>
      <c r="R58" s="6">
        <v>7</v>
      </c>
      <c r="S58" s="6">
        <v>4</v>
      </c>
      <c r="T58" s="6">
        <v>1</v>
      </c>
      <c r="U58" s="6">
        <v>6</v>
      </c>
      <c r="V58" s="6">
        <v>2</v>
      </c>
      <c r="W58" s="6">
        <v>19</v>
      </c>
      <c r="X58" s="6">
        <v>7</v>
      </c>
      <c r="Y58" s="6">
        <v>12</v>
      </c>
      <c r="Z58" s="6">
        <v>5</v>
      </c>
      <c r="AA58" s="6">
        <v>3</v>
      </c>
      <c r="AB58" s="6">
        <v>6</v>
      </c>
      <c r="AC58" s="6">
        <v>18</v>
      </c>
      <c r="AD58" s="6">
        <v>6</v>
      </c>
      <c r="AE58" s="6">
        <v>11</v>
      </c>
      <c r="AF58" s="6">
        <v>8</v>
      </c>
      <c r="AG58" s="6">
        <v>5</v>
      </c>
      <c r="AH58" s="6">
        <v>2</v>
      </c>
      <c r="AI58" s="6">
        <v>7</v>
      </c>
      <c r="AJ58" s="6">
        <v>4</v>
      </c>
      <c r="AK58" s="6">
        <v>5</v>
      </c>
      <c r="AL58" s="6">
        <v>1</v>
      </c>
      <c r="AM58" s="6">
        <v>6</v>
      </c>
      <c r="AN58" s="6">
        <v>3</v>
      </c>
      <c r="AO58" s="6">
        <v>3</v>
      </c>
      <c r="AP58" s="5">
        <f t="shared" ref="AP58:AP66" si="21">SUM(E58:AO58)</f>
        <v>206</v>
      </c>
    </row>
    <row r="59" spans="1:42" x14ac:dyDescent="0.3">
      <c r="A59" s="7"/>
      <c r="B59" s="54"/>
      <c r="C59" s="24" t="s">
        <v>132</v>
      </c>
      <c r="D59" s="55"/>
      <c r="E59" s="6">
        <v>11</v>
      </c>
      <c r="F59" s="6">
        <v>9</v>
      </c>
      <c r="G59" s="6">
        <v>6</v>
      </c>
      <c r="H59" s="6">
        <v>5</v>
      </c>
      <c r="I59" s="6">
        <v>1</v>
      </c>
      <c r="J59" s="6">
        <v>8</v>
      </c>
      <c r="K59" s="6">
        <v>14</v>
      </c>
      <c r="L59" s="6">
        <v>19</v>
      </c>
      <c r="M59" s="6">
        <v>2</v>
      </c>
      <c r="N59" s="6">
        <v>1</v>
      </c>
      <c r="O59" s="6">
        <v>6</v>
      </c>
      <c r="P59" s="6">
        <v>6</v>
      </c>
      <c r="Q59" s="6">
        <v>100</v>
      </c>
      <c r="R59" s="6">
        <v>2</v>
      </c>
      <c r="S59" s="6">
        <v>3</v>
      </c>
      <c r="T59" s="6">
        <v>2</v>
      </c>
      <c r="U59" s="6">
        <v>1</v>
      </c>
      <c r="V59" s="6">
        <v>5</v>
      </c>
      <c r="W59" s="6">
        <v>12</v>
      </c>
      <c r="X59" s="6">
        <v>2</v>
      </c>
      <c r="Y59" s="6">
        <v>6</v>
      </c>
      <c r="Z59" s="6">
        <v>2</v>
      </c>
      <c r="AA59" s="6">
        <v>10</v>
      </c>
      <c r="AB59" s="6">
        <v>10</v>
      </c>
      <c r="AC59" s="6">
        <v>2</v>
      </c>
      <c r="AD59" s="6">
        <v>3</v>
      </c>
      <c r="AE59" s="6">
        <v>4</v>
      </c>
      <c r="AF59" s="6">
        <v>4</v>
      </c>
      <c r="AG59" s="6">
        <v>14</v>
      </c>
      <c r="AH59" s="6">
        <v>1</v>
      </c>
      <c r="AI59" s="6">
        <v>1</v>
      </c>
      <c r="AJ59" s="6">
        <v>0</v>
      </c>
      <c r="AK59" s="6">
        <v>2</v>
      </c>
      <c r="AL59" s="6">
        <v>1</v>
      </c>
      <c r="AM59" s="6">
        <v>3</v>
      </c>
      <c r="AN59" s="6">
        <v>4</v>
      </c>
      <c r="AO59" s="6">
        <v>3</v>
      </c>
      <c r="AP59" s="5">
        <f t="shared" si="21"/>
        <v>285</v>
      </c>
    </row>
    <row r="60" spans="1:42" x14ac:dyDescent="0.3">
      <c r="A60" s="7"/>
      <c r="B60" s="54"/>
      <c r="C60" s="24" t="s">
        <v>133</v>
      </c>
      <c r="D60" s="55"/>
      <c r="E60" s="6">
        <v>2</v>
      </c>
      <c r="F60" s="6">
        <v>2</v>
      </c>
      <c r="G60" s="6">
        <v>1</v>
      </c>
      <c r="H60" s="6">
        <v>2</v>
      </c>
      <c r="I60" s="6">
        <v>0</v>
      </c>
      <c r="J60" s="6">
        <v>1</v>
      </c>
      <c r="K60" s="6">
        <v>0</v>
      </c>
      <c r="L60" s="6">
        <v>1</v>
      </c>
      <c r="M60" s="6">
        <v>5</v>
      </c>
      <c r="N60" s="6">
        <v>2</v>
      </c>
      <c r="O60" s="6">
        <v>0</v>
      </c>
      <c r="P60" s="6">
        <v>3</v>
      </c>
      <c r="Q60" s="6">
        <v>1</v>
      </c>
      <c r="R60" s="6">
        <v>1</v>
      </c>
      <c r="S60" s="6">
        <v>2</v>
      </c>
      <c r="T60" s="6">
        <v>1</v>
      </c>
      <c r="U60" s="6">
        <v>0</v>
      </c>
      <c r="V60" s="6">
        <v>0</v>
      </c>
      <c r="W60" s="6">
        <v>6</v>
      </c>
      <c r="X60" s="6">
        <v>2</v>
      </c>
      <c r="Y60" s="6">
        <v>4</v>
      </c>
      <c r="Z60" s="6">
        <v>3</v>
      </c>
      <c r="AA60" s="6">
        <v>4</v>
      </c>
      <c r="AB60" s="6">
        <v>1</v>
      </c>
      <c r="AC60" s="6">
        <v>1</v>
      </c>
      <c r="AD60" s="6">
        <v>3</v>
      </c>
      <c r="AE60" s="6">
        <v>5</v>
      </c>
      <c r="AF60" s="6">
        <v>3</v>
      </c>
      <c r="AG60" s="6">
        <v>1</v>
      </c>
      <c r="AH60" s="6">
        <v>2</v>
      </c>
      <c r="AI60" s="6">
        <v>0</v>
      </c>
      <c r="AJ60" s="6">
        <v>0</v>
      </c>
      <c r="AK60" s="6">
        <v>6</v>
      </c>
      <c r="AL60" s="6">
        <v>4</v>
      </c>
      <c r="AM60" s="6">
        <v>3</v>
      </c>
      <c r="AN60" s="6">
        <v>6</v>
      </c>
      <c r="AO60" s="6">
        <v>1</v>
      </c>
      <c r="AP60" s="5">
        <f t="shared" si="21"/>
        <v>79</v>
      </c>
    </row>
    <row r="61" spans="1:42" x14ac:dyDescent="0.3">
      <c r="A61" s="7"/>
      <c r="B61" s="54"/>
      <c r="C61" s="24" t="s">
        <v>134</v>
      </c>
      <c r="D61" s="55"/>
      <c r="E61" s="6">
        <v>2</v>
      </c>
      <c r="F61" s="6">
        <v>5</v>
      </c>
      <c r="G61" s="6">
        <v>2</v>
      </c>
      <c r="H61" s="6">
        <v>0</v>
      </c>
      <c r="I61" s="6">
        <v>1</v>
      </c>
      <c r="J61" s="6">
        <v>47</v>
      </c>
      <c r="K61" s="6">
        <v>16</v>
      </c>
      <c r="L61" s="6">
        <v>2</v>
      </c>
      <c r="M61" s="6">
        <v>3</v>
      </c>
      <c r="N61" s="6">
        <v>3</v>
      </c>
      <c r="O61" s="6">
        <v>0</v>
      </c>
      <c r="P61" s="6">
        <v>1</v>
      </c>
      <c r="Q61" s="6">
        <v>0</v>
      </c>
      <c r="R61" s="6">
        <v>1</v>
      </c>
      <c r="S61" s="6">
        <v>0</v>
      </c>
      <c r="T61" s="6">
        <v>1</v>
      </c>
      <c r="U61" s="6">
        <v>2</v>
      </c>
      <c r="V61" s="6">
        <v>1</v>
      </c>
      <c r="W61" s="6">
        <v>2</v>
      </c>
      <c r="X61" s="6">
        <v>1</v>
      </c>
      <c r="Y61" s="6">
        <v>3</v>
      </c>
      <c r="Z61" s="6">
        <v>3</v>
      </c>
      <c r="AA61" s="6">
        <v>2</v>
      </c>
      <c r="AB61" s="6">
        <v>4</v>
      </c>
      <c r="AC61" s="6">
        <v>4</v>
      </c>
      <c r="AD61" s="6">
        <v>2</v>
      </c>
      <c r="AE61" s="6">
        <v>2</v>
      </c>
      <c r="AF61" s="6">
        <v>4</v>
      </c>
      <c r="AG61" s="6">
        <v>0</v>
      </c>
      <c r="AH61" s="6">
        <v>0</v>
      </c>
      <c r="AI61" s="6">
        <v>2</v>
      </c>
      <c r="AJ61" s="6">
        <v>1</v>
      </c>
      <c r="AK61" s="6">
        <v>5</v>
      </c>
      <c r="AL61" s="6">
        <v>8</v>
      </c>
      <c r="AM61" s="6">
        <v>2</v>
      </c>
      <c r="AN61" s="6">
        <v>3</v>
      </c>
      <c r="AO61" s="6">
        <v>1</v>
      </c>
      <c r="AP61" s="5">
        <f t="shared" si="21"/>
        <v>136</v>
      </c>
    </row>
    <row r="62" spans="1:42" x14ac:dyDescent="0.3">
      <c r="A62" s="7"/>
      <c r="B62" s="54"/>
      <c r="C62" s="24" t="s">
        <v>135</v>
      </c>
      <c r="D62" s="55"/>
      <c r="E62" s="6">
        <v>2</v>
      </c>
      <c r="F62" s="6">
        <v>0</v>
      </c>
      <c r="G62" s="6">
        <v>1</v>
      </c>
      <c r="H62" s="6">
        <v>1</v>
      </c>
      <c r="I62" s="6">
        <v>2</v>
      </c>
      <c r="J62" s="6">
        <v>2</v>
      </c>
      <c r="K62" s="6">
        <v>2</v>
      </c>
      <c r="L62" s="6">
        <v>1</v>
      </c>
      <c r="M62" s="6">
        <v>1</v>
      </c>
      <c r="N62" s="6">
        <v>0</v>
      </c>
      <c r="O62" s="6">
        <v>1</v>
      </c>
      <c r="P62" s="6">
        <v>1</v>
      </c>
      <c r="Q62" s="6">
        <v>1</v>
      </c>
      <c r="R62" s="6">
        <v>0</v>
      </c>
      <c r="S62" s="6">
        <v>0</v>
      </c>
      <c r="T62" s="6">
        <v>2</v>
      </c>
      <c r="U62" s="6">
        <v>1</v>
      </c>
      <c r="V62" s="6">
        <v>1</v>
      </c>
      <c r="W62" s="6">
        <v>2</v>
      </c>
      <c r="X62" s="6">
        <v>0</v>
      </c>
      <c r="Y62" s="6">
        <v>0</v>
      </c>
      <c r="Z62" s="6">
        <v>1</v>
      </c>
      <c r="AA62" s="6">
        <v>3</v>
      </c>
      <c r="AB62" s="6">
        <v>3</v>
      </c>
      <c r="AC62" s="6">
        <v>0</v>
      </c>
      <c r="AD62" s="6">
        <v>2</v>
      </c>
      <c r="AE62" s="6">
        <v>1</v>
      </c>
      <c r="AF62" s="6">
        <v>1</v>
      </c>
      <c r="AG62" s="6">
        <v>2</v>
      </c>
      <c r="AH62" s="6">
        <v>0</v>
      </c>
      <c r="AI62" s="6">
        <v>1</v>
      </c>
      <c r="AJ62" s="6">
        <v>0</v>
      </c>
      <c r="AK62" s="6">
        <v>3</v>
      </c>
      <c r="AL62" s="6">
        <v>4</v>
      </c>
      <c r="AM62" s="6">
        <v>3</v>
      </c>
      <c r="AN62" s="6">
        <v>2</v>
      </c>
      <c r="AO62" s="6">
        <v>0</v>
      </c>
      <c r="AP62" s="5">
        <f t="shared" si="21"/>
        <v>47</v>
      </c>
    </row>
    <row r="63" spans="1:42" ht="13.15" customHeight="1" x14ac:dyDescent="0.3">
      <c r="A63" s="7"/>
      <c r="B63" s="54"/>
      <c r="C63" s="24" t="s">
        <v>136</v>
      </c>
      <c r="D63" s="51"/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1</v>
      </c>
      <c r="K63" s="6">
        <v>1</v>
      </c>
      <c r="L63" s="6">
        <v>0</v>
      </c>
      <c r="M63" s="6">
        <v>0</v>
      </c>
      <c r="N63" s="6">
        <v>0</v>
      </c>
      <c r="O63" s="6">
        <v>2</v>
      </c>
      <c r="P63" s="6">
        <v>0</v>
      </c>
      <c r="Q63" s="6">
        <v>1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2</v>
      </c>
      <c r="Y63" s="6">
        <v>0</v>
      </c>
      <c r="Z63" s="6">
        <v>0</v>
      </c>
      <c r="AA63" s="6">
        <v>1</v>
      </c>
      <c r="AB63" s="6">
        <v>0</v>
      </c>
      <c r="AC63" s="6">
        <v>0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1</v>
      </c>
      <c r="AL63" s="6">
        <v>0</v>
      </c>
      <c r="AM63" s="6">
        <v>1</v>
      </c>
      <c r="AN63" s="6">
        <v>0</v>
      </c>
      <c r="AO63" s="6">
        <v>1</v>
      </c>
      <c r="AP63" s="5">
        <f t="shared" si="21"/>
        <v>13</v>
      </c>
    </row>
    <row r="64" spans="1:42" x14ac:dyDescent="0.3">
      <c r="A64" s="7"/>
      <c r="B64" s="54"/>
      <c r="C64" s="24" t="s">
        <v>137</v>
      </c>
      <c r="D64" s="55"/>
      <c r="E64" s="6">
        <v>1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>
        <v>0</v>
      </c>
      <c r="O64" s="6">
        <v>1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6">
        <v>0</v>
      </c>
      <c r="W64" s="6">
        <v>1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1</v>
      </c>
      <c r="AD64" s="6">
        <v>1</v>
      </c>
      <c r="AE64" s="6">
        <v>2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1</v>
      </c>
      <c r="AM64" s="6">
        <v>2</v>
      </c>
      <c r="AN64" s="6">
        <v>0</v>
      </c>
      <c r="AO64" s="6">
        <v>1</v>
      </c>
      <c r="AP64" s="5">
        <f t="shared" si="21"/>
        <v>14</v>
      </c>
    </row>
    <row r="65" spans="1:42" x14ac:dyDescent="0.3">
      <c r="A65" s="7"/>
      <c r="B65" s="54"/>
      <c r="C65" s="24" t="s">
        <v>138</v>
      </c>
      <c r="D65" s="55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1</v>
      </c>
      <c r="Q65" s="6">
        <v>0</v>
      </c>
      <c r="R65" s="6">
        <v>0</v>
      </c>
      <c r="S65" s="6">
        <v>0</v>
      </c>
      <c r="T65" s="6">
        <v>2</v>
      </c>
      <c r="U65" s="6">
        <v>0</v>
      </c>
      <c r="V65" s="6">
        <v>0</v>
      </c>
      <c r="W65" s="6">
        <v>0</v>
      </c>
      <c r="X65" s="6">
        <v>0</v>
      </c>
      <c r="Y65" s="6">
        <v>1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1</v>
      </c>
      <c r="AL65" s="6">
        <v>1</v>
      </c>
      <c r="AM65" s="6">
        <v>0</v>
      </c>
      <c r="AN65" s="6">
        <v>0</v>
      </c>
      <c r="AO65" s="6">
        <v>0</v>
      </c>
      <c r="AP65" s="5">
        <f t="shared" si="21"/>
        <v>6</v>
      </c>
    </row>
    <row r="66" spans="1:42" x14ac:dyDescent="0.3">
      <c r="A66" s="7"/>
      <c r="B66" s="54"/>
      <c r="C66" s="24" t="s">
        <v>139</v>
      </c>
      <c r="D66" s="55"/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2</v>
      </c>
      <c r="N66" s="6">
        <v>1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1</v>
      </c>
      <c r="U66" s="6">
        <v>0</v>
      </c>
      <c r="V66" s="6">
        <v>2</v>
      </c>
      <c r="W66" s="6">
        <v>0</v>
      </c>
      <c r="X66" s="6">
        <v>0</v>
      </c>
      <c r="Y66" s="6">
        <v>1</v>
      </c>
      <c r="Z66" s="6">
        <v>2</v>
      </c>
      <c r="AA66" s="6">
        <v>0</v>
      </c>
      <c r="AB66" s="6">
        <v>2</v>
      </c>
      <c r="AC66" s="6">
        <v>1</v>
      </c>
      <c r="AD66" s="6">
        <v>1</v>
      </c>
      <c r="AE66" s="6">
        <v>0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1</v>
      </c>
      <c r="AM66" s="6">
        <v>1</v>
      </c>
      <c r="AN66" s="6">
        <v>0</v>
      </c>
      <c r="AO66" s="6">
        <v>1</v>
      </c>
      <c r="AP66" s="5">
        <f t="shared" si="21"/>
        <v>20</v>
      </c>
    </row>
    <row r="67" spans="1:42" x14ac:dyDescent="0.3">
      <c r="A67" s="6" t="s">
        <v>26</v>
      </c>
      <c r="B67" s="69" t="s">
        <v>51</v>
      </c>
      <c r="C67" s="85"/>
      <c r="D67" s="76"/>
      <c r="E67" s="5">
        <f>SUM(E57:E66)</f>
        <v>34</v>
      </c>
      <c r="F67" s="5">
        <f t="shared" ref="F67:AP67" si="22">SUM(F57:F66)</f>
        <v>35</v>
      </c>
      <c r="G67" s="5">
        <f t="shared" si="22"/>
        <v>17</v>
      </c>
      <c r="H67" s="5">
        <f t="shared" si="22"/>
        <v>17</v>
      </c>
      <c r="I67" s="5">
        <f t="shared" si="22"/>
        <v>15</v>
      </c>
      <c r="J67" s="5">
        <f t="shared" si="22"/>
        <v>71</v>
      </c>
      <c r="K67" s="5">
        <f t="shared" si="22"/>
        <v>46</v>
      </c>
      <c r="L67" s="5">
        <f t="shared" si="22"/>
        <v>40</v>
      </c>
      <c r="M67" s="5">
        <f t="shared" si="22"/>
        <v>34</v>
      </c>
      <c r="N67" s="5">
        <f t="shared" si="22"/>
        <v>23</v>
      </c>
      <c r="O67" s="5">
        <f t="shared" si="22"/>
        <v>30</v>
      </c>
      <c r="P67" s="5">
        <f t="shared" si="22"/>
        <v>15</v>
      </c>
      <c r="Q67" s="5">
        <f t="shared" si="22"/>
        <v>121</v>
      </c>
      <c r="R67" s="5">
        <f t="shared" si="22"/>
        <v>18</v>
      </c>
      <c r="S67" s="5">
        <f t="shared" si="22"/>
        <v>14</v>
      </c>
      <c r="T67" s="5">
        <f t="shared" si="22"/>
        <v>20</v>
      </c>
      <c r="U67" s="5">
        <f t="shared" si="22"/>
        <v>15</v>
      </c>
      <c r="V67" s="5">
        <f t="shared" si="22"/>
        <v>22</v>
      </c>
      <c r="W67" s="5">
        <f t="shared" si="22"/>
        <v>59</v>
      </c>
      <c r="X67" s="5">
        <f t="shared" si="22"/>
        <v>20</v>
      </c>
      <c r="Y67" s="5">
        <f t="shared" si="22"/>
        <v>34</v>
      </c>
      <c r="Z67" s="5">
        <f t="shared" si="22"/>
        <v>27</v>
      </c>
      <c r="AA67" s="5">
        <f t="shared" si="22"/>
        <v>40</v>
      </c>
      <c r="AB67" s="5">
        <f t="shared" si="22"/>
        <v>33</v>
      </c>
      <c r="AC67" s="5">
        <f t="shared" si="22"/>
        <v>39</v>
      </c>
      <c r="AD67" s="5">
        <f t="shared" si="22"/>
        <v>32</v>
      </c>
      <c r="AE67" s="5">
        <f t="shared" si="22"/>
        <v>36</v>
      </c>
      <c r="AF67" s="5">
        <f t="shared" si="22"/>
        <v>29</v>
      </c>
      <c r="AG67" s="5">
        <f t="shared" si="22"/>
        <v>28</v>
      </c>
      <c r="AH67" s="5">
        <f t="shared" si="22"/>
        <v>7</v>
      </c>
      <c r="AI67" s="5">
        <f t="shared" si="22"/>
        <v>17</v>
      </c>
      <c r="AJ67" s="5">
        <f t="shared" si="22"/>
        <v>15</v>
      </c>
      <c r="AK67" s="5">
        <f t="shared" si="22"/>
        <v>34</v>
      </c>
      <c r="AL67" s="5">
        <f t="shared" si="22"/>
        <v>31</v>
      </c>
      <c r="AM67" s="5">
        <f t="shared" si="22"/>
        <v>31</v>
      </c>
      <c r="AN67" s="5">
        <f t="shared" si="22"/>
        <v>25</v>
      </c>
      <c r="AO67" s="5">
        <f t="shared" si="22"/>
        <v>20</v>
      </c>
      <c r="AP67" s="5">
        <f t="shared" si="22"/>
        <v>1144</v>
      </c>
    </row>
    <row r="68" spans="1:42" x14ac:dyDescent="0.3">
      <c r="A68" s="86"/>
      <c r="B68" s="87"/>
      <c r="C68" s="87"/>
      <c r="D68" s="87"/>
      <c r="E68" s="87"/>
    </row>
    <row r="69" spans="1:42" x14ac:dyDescent="0.3">
      <c r="A69" s="11" t="s">
        <v>48</v>
      </c>
      <c r="B69" s="17" t="s">
        <v>32</v>
      </c>
      <c r="C69" s="75" t="s">
        <v>53</v>
      </c>
      <c r="D69" s="76"/>
      <c r="E69" s="6">
        <v>14</v>
      </c>
      <c r="F69" s="6">
        <v>8</v>
      </c>
      <c r="G69" s="6">
        <v>6</v>
      </c>
      <c r="H69" s="6">
        <v>10</v>
      </c>
      <c r="I69" s="6">
        <v>9</v>
      </c>
      <c r="J69" s="6">
        <v>3</v>
      </c>
      <c r="K69" s="6">
        <v>5</v>
      </c>
      <c r="L69" s="6">
        <v>10</v>
      </c>
      <c r="M69" s="6">
        <v>30</v>
      </c>
      <c r="N69" s="6">
        <v>29</v>
      </c>
      <c r="O69" s="6">
        <v>17</v>
      </c>
      <c r="P69" s="6">
        <v>12</v>
      </c>
      <c r="Q69" s="6">
        <v>8</v>
      </c>
      <c r="R69" s="6">
        <v>16</v>
      </c>
      <c r="S69" s="6">
        <v>14</v>
      </c>
      <c r="T69" s="6">
        <v>10</v>
      </c>
      <c r="U69" s="6">
        <v>21</v>
      </c>
      <c r="V69" s="6">
        <v>12</v>
      </c>
      <c r="W69" s="6">
        <v>9</v>
      </c>
      <c r="X69" s="6">
        <v>13</v>
      </c>
      <c r="Y69" s="6">
        <v>8</v>
      </c>
      <c r="Z69" s="6">
        <v>15</v>
      </c>
      <c r="AA69" s="6">
        <v>5</v>
      </c>
      <c r="AB69" s="6">
        <v>10</v>
      </c>
      <c r="AC69" s="6">
        <v>8</v>
      </c>
      <c r="AD69" s="6">
        <v>21</v>
      </c>
      <c r="AE69" s="6">
        <v>11</v>
      </c>
      <c r="AF69" s="6">
        <v>36</v>
      </c>
      <c r="AG69" s="6">
        <v>30</v>
      </c>
      <c r="AH69" s="6">
        <v>8</v>
      </c>
      <c r="AI69" s="6">
        <v>11</v>
      </c>
      <c r="AJ69" s="6">
        <v>18</v>
      </c>
      <c r="AK69" s="6">
        <v>18</v>
      </c>
      <c r="AL69" s="6">
        <v>17</v>
      </c>
      <c r="AM69" s="6">
        <v>24</v>
      </c>
      <c r="AN69" s="6">
        <v>26</v>
      </c>
      <c r="AO69" s="6">
        <v>24</v>
      </c>
      <c r="AP69" s="5">
        <f t="shared" ref="AP69:AP78" si="23">SUM(E69:AO69)</f>
        <v>546</v>
      </c>
    </row>
    <row r="70" spans="1:42" x14ac:dyDescent="0.3">
      <c r="A70" s="11" t="s">
        <v>50</v>
      </c>
      <c r="B70" s="54"/>
      <c r="C70" s="24" t="s">
        <v>140</v>
      </c>
      <c r="D70" s="51"/>
      <c r="E70" s="6">
        <v>9</v>
      </c>
      <c r="F70" s="6">
        <v>7</v>
      </c>
      <c r="G70" s="6">
        <v>1</v>
      </c>
      <c r="H70" s="6">
        <v>6</v>
      </c>
      <c r="I70" s="6">
        <v>7</v>
      </c>
      <c r="J70" s="6">
        <v>1</v>
      </c>
      <c r="K70" s="6">
        <v>2</v>
      </c>
      <c r="L70" s="6">
        <v>5</v>
      </c>
      <c r="M70" s="6">
        <v>12</v>
      </c>
      <c r="N70" s="6">
        <v>11</v>
      </c>
      <c r="O70" s="6">
        <v>15</v>
      </c>
      <c r="P70" s="6">
        <v>12</v>
      </c>
      <c r="Q70" s="6">
        <v>31</v>
      </c>
      <c r="R70" s="6">
        <v>19</v>
      </c>
      <c r="S70" s="6">
        <v>22</v>
      </c>
      <c r="T70" s="6">
        <v>22</v>
      </c>
      <c r="U70" s="6">
        <v>79</v>
      </c>
      <c r="V70" s="6">
        <v>8</v>
      </c>
      <c r="W70" s="6">
        <v>3</v>
      </c>
      <c r="X70" s="6">
        <v>6</v>
      </c>
      <c r="Y70" s="6">
        <v>2</v>
      </c>
      <c r="Z70" s="6">
        <v>3</v>
      </c>
      <c r="AA70" s="6">
        <v>6</v>
      </c>
      <c r="AB70" s="6">
        <v>8</v>
      </c>
      <c r="AC70" s="6">
        <v>4</v>
      </c>
      <c r="AD70" s="6">
        <v>9</v>
      </c>
      <c r="AE70" s="6">
        <v>18</v>
      </c>
      <c r="AF70" s="6">
        <v>28</v>
      </c>
      <c r="AG70" s="6">
        <v>15</v>
      </c>
      <c r="AH70" s="6">
        <v>9</v>
      </c>
      <c r="AI70" s="6">
        <v>5</v>
      </c>
      <c r="AJ70" s="6">
        <v>7</v>
      </c>
      <c r="AK70" s="6">
        <v>10</v>
      </c>
      <c r="AL70" s="6">
        <v>5</v>
      </c>
      <c r="AM70" s="6">
        <v>17</v>
      </c>
      <c r="AN70" s="6">
        <v>9</v>
      </c>
      <c r="AO70" s="6">
        <v>10</v>
      </c>
      <c r="AP70" s="5">
        <f t="shared" si="23"/>
        <v>443</v>
      </c>
    </row>
    <row r="71" spans="1:42" x14ac:dyDescent="0.3">
      <c r="A71" s="7"/>
      <c r="B71" s="54"/>
      <c r="C71" s="24" t="s">
        <v>141</v>
      </c>
      <c r="D71" s="51"/>
      <c r="E71" s="6">
        <v>6</v>
      </c>
      <c r="F71" s="6">
        <v>3</v>
      </c>
      <c r="G71" s="6">
        <v>3</v>
      </c>
      <c r="H71" s="6">
        <v>3</v>
      </c>
      <c r="I71" s="6">
        <v>1</v>
      </c>
      <c r="J71" s="6">
        <v>1</v>
      </c>
      <c r="K71" s="6">
        <v>9</v>
      </c>
      <c r="L71" s="6">
        <v>1</v>
      </c>
      <c r="M71" s="6">
        <v>7</v>
      </c>
      <c r="N71" s="6">
        <v>8</v>
      </c>
      <c r="O71" s="6">
        <v>3</v>
      </c>
      <c r="P71" s="6">
        <v>0</v>
      </c>
      <c r="Q71" s="6">
        <v>1</v>
      </c>
      <c r="R71" s="6">
        <v>2</v>
      </c>
      <c r="S71" s="6">
        <v>1</v>
      </c>
      <c r="T71" s="6">
        <v>3</v>
      </c>
      <c r="U71" s="6">
        <v>4</v>
      </c>
      <c r="V71" s="6">
        <v>6</v>
      </c>
      <c r="W71" s="6">
        <v>4</v>
      </c>
      <c r="X71" s="6">
        <v>0</v>
      </c>
      <c r="Y71" s="6">
        <v>0</v>
      </c>
      <c r="Z71" s="6">
        <v>2</v>
      </c>
      <c r="AA71" s="6">
        <v>1</v>
      </c>
      <c r="AB71" s="6">
        <v>3</v>
      </c>
      <c r="AC71" s="6">
        <v>4</v>
      </c>
      <c r="AD71" s="6">
        <v>3</v>
      </c>
      <c r="AE71" s="6">
        <v>1</v>
      </c>
      <c r="AF71" s="6">
        <v>2</v>
      </c>
      <c r="AG71" s="6">
        <v>4</v>
      </c>
      <c r="AH71" s="6">
        <v>5</v>
      </c>
      <c r="AI71" s="6">
        <v>4</v>
      </c>
      <c r="AJ71" s="6">
        <v>9</v>
      </c>
      <c r="AK71" s="6">
        <v>7</v>
      </c>
      <c r="AL71" s="6">
        <v>3</v>
      </c>
      <c r="AM71" s="6">
        <v>5</v>
      </c>
      <c r="AN71" s="6">
        <v>6</v>
      </c>
      <c r="AO71" s="6">
        <v>10</v>
      </c>
      <c r="AP71" s="5">
        <f t="shared" si="23"/>
        <v>135</v>
      </c>
    </row>
    <row r="72" spans="1:42" x14ac:dyDescent="0.3">
      <c r="A72" s="7"/>
      <c r="B72" s="54"/>
      <c r="C72" s="24" t="s">
        <v>142</v>
      </c>
      <c r="D72" s="51"/>
      <c r="E72" s="6">
        <v>6</v>
      </c>
      <c r="F72" s="6">
        <v>3</v>
      </c>
      <c r="G72" s="6">
        <v>4</v>
      </c>
      <c r="H72" s="6">
        <v>2</v>
      </c>
      <c r="I72" s="6">
        <v>3</v>
      </c>
      <c r="J72" s="6">
        <v>1</v>
      </c>
      <c r="K72" s="6">
        <v>4</v>
      </c>
      <c r="L72" s="6">
        <v>4</v>
      </c>
      <c r="M72" s="6">
        <v>16</v>
      </c>
      <c r="N72" s="6">
        <v>13</v>
      </c>
      <c r="O72" s="6">
        <v>4</v>
      </c>
      <c r="P72" s="6">
        <v>2</v>
      </c>
      <c r="Q72" s="6">
        <v>3</v>
      </c>
      <c r="R72" s="6">
        <v>2</v>
      </c>
      <c r="S72" s="6">
        <v>8</v>
      </c>
      <c r="T72" s="6">
        <v>8</v>
      </c>
      <c r="U72" s="6">
        <v>3</v>
      </c>
      <c r="V72" s="6">
        <v>4</v>
      </c>
      <c r="W72" s="6">
        <v>4</v>
      </c>
      <c r="X72" s="6">
        <v>0</v>
      </c>
      <c r="Y72" s="6">
        <v>3</v>
      </c>
      <c r="Z72" s="6">
        <v>9</v>
      </c>
      <c r="AA72" s="6">
        <v>5</v>
      </c>
      <c r="AB72" s="6">
        <v>5</v>
      </c>
      <c r="AC72" s="6">
        <v>3</v>
      </c>
      <c r="AD72" s="6">
        <v>13</v>
      </c>
      <c r="AE72" s="6">
        <v>5</v>
      </c>
      <c r="AF72" s="6">
        <v>10</v>
      </c>
      <c r="AG72" s="6">
        <v>8</v>
      </c>
      <c r="AH72" s="6">
        <v>3</v>
      </c>
      <c r="AI72" s="6">
        <v>2</v>
      </c>
      <c r="AJ72" s="6">
        <v>4</v>
      </c>
      <c r="AK72" s="6">
        <v>14</v>
      </c>
      <c r="AL72" s="6">
        <v>11</v>
      </c>
      <c r="AM72" s="6">
        <v>15</v>
      </c>
      <c r="AN72" s="6">
        <v>3</v>
      </c>
      <c r="AO72" s="6">
        <v>9</v>
      </c>
      <c r="AP72" s="5">
        <f t="shared" si="23"/>
        <v>216</v>
      </c>
    </row>
    <row r="73" spans="1:42" x14ac:dyDescent="0.3">
      <c r="A73" s="7"/>
      <c r="B73" s="54"/>
      <c r="C73" s="24" t="s">
        <v>143</v>
      </c>
      <c r="D73" s="51"/>
      <c r="E73" s="6">
        <v>6</v>
      </c>
      <c r="F73" s="6">
        <v>0</v>
      </c>
      <c r="G73" s="6">
        <v>1</v>
      </c>
      <c r="H73" s="6">
        <v>0</v>
      </c>
      <c r="I73" s="6">
        <v>1</v>
      </c>
      <c r="J73" s="6">
        <v>2</v>
      </c>
      <c r="K73" s="6">
        <v>17</v>
      </c>
      <c r="L73" s="6">
        <v>1</v>
      </c>
      <c r="M73" s="6">
        <v>4</v>
      </c>
      <c r="N73" s="6">
        <v>6</v>
      </c>
      <c r="O73" s="6">
        <v>3</v>
      </c>
      <c r="P73" s="6">
        <v>1</v>
      </c>
      <c r="Q73" s="6">
        <v>1</v>
      </c>
      <c r="R73" s="6">
        <v>1</v>
      </c>
      <c r="S73" s="6">
        <v>1</v>
      </c>
      <c r="T73" s="6">
        <v>2</v>
      </c>
      <c r="U73" s="6">
        <v>2</v>
      </c>
      <c r="V73" s="6">
        <v>10</v>
      </c>
      <c r="W73" s="6">
        <v>5</v>
      </c>
      <c r="X73" s="6">
        <v>4</v>
      </c>
      <c r="Y73" s="6">
        <v>0</v>
      </c>
      <c r="Z73" s="6">
        <v>2</v>
      </c>
      <c r="AA73" s="6">
        <v>2</v>
      </c>
      <c r="AB73" s="6">
        <v>1</v>
      </c>
      <c r="AC73" s="6">
        <v>0</v>
      </c>
      <c r="AD73" s="6">
        <v>1</v>
      </c>
      <c r="AE73" s="6">
        <v>3</v>
      </c>
      <c r="AF73" s="6">
        <v>3</v>
      </c>
      <c r="AG73" s="6">
        <v>1</v>
      </c>
      <c r="AH73" s="6">
        <v>2</v>
      </c>
      <c r="AI73" s="6">
        <v>3</v>
      </c>
      <c r="AJ73" s="6">
        <v>2</v>
      </c>
      <c r="AK73" s="6">
        <v>2</v>
      </c>
      <c r="AL73" s="6">
        <v>2</v>
      </c>
      <c r="AM73" s="6">
        <v>4</v>
      </c>
      <c r="AN73" s="6">
        <v>4</v>
      </c>
      <c r="AO73" s="6">
        <v>3</v>
      </c>
      <c r="AP73" s="5">
        <f t="shared" si="23"/>
        <v>103</v>
      </c>
    </row>
    <row r="74" spans="1:42" ht="13.15" customHeight="1" x14ac:dyDescent="0.3">
      <c r="A74" s="7"/>
      <c r="B74" s="54"/>
      <c r="C74" s="24" t="s">
        <v>144</v>
      </c>
      <c r="D74" s="51"/>
      <c r="E74" s="6">
        <v>0</v>
      </c>
      <c r="F74" s="6">
        <v>0</v>
      </c>
      <c r="G74" s="6">
        <v>1</v>
      </c>
      <c r="H74" s="6">
        <v>0</v>
      </c>
      <c r="I74" s="6">
        <v>2</v>
      </c>
      <c r="J74" s="6">
        <v>0</v>
      </c>
      <c r="K74" s="6">
        <v>3</v>
      </c>
      <c r="L74" s="6">
        <v>1</v>
      </c>
      <c r="M74" s="6">
        <v>1</v>
      </c>
      <c r="N74" s="6">
        <v>1</v>
      </c>
      <c r="O74" s="6">
        <v>0</v>
      </c>
      <c r="P74" s="6">
        <v>1</v>
      </c>
      <c r="Q74" s="6">
        <v>0</v>
      </c>
      <c r="R74" s="6">
        <v>2</v>
      </c>
      <c r="S74" s="6">
        <v>2</v>
      </c>
      <c r="T74" s="6">
        <v>0</v>
      </c>
      <c r="U74" s="6">
        <v>1</v>
      </c>
      <c r="V74" s="6">
        <v>3</v>
      </c>
      <c r="W74" s="6">
        <v>1</v>
      </c>
      <c r="X74" s="6">
        <v>7</v>
      </c>
      <c r="Y74" s="6">
        <v>2</v>
      </c>
      <c r="Z74" s="6">
        <v>2</v>
      </c>
      <c r="AA74" s="6">
        <v>0</v>
      </c>
      <c r="AB74" s="6">
        <v>2</v>
      </c>
      <c r="AC74" s="6">
        <v>0</v>
      </c>
      <c r="AD74" s="6">
        <v>2</v>
      </c>
      <c r="AE74" s="6">
        <v>0</v>
      </c>
      <c r="AF74" s="6">
        <v>3</v>
      </c>
      <c r="AG74" s="6">
        <v>2</v>
      </c>
      <c r="AH74" s="6">
        <v>1</v>
      </c>
      <c r="AI74" s="6">
        <v>0</v>
      </c>
      <c r="AJ74" s="6">
        <v>0</v>
      </c>
      <c r="AK74" s="6">
        <v>3</v>
      </c>
      <c r="AL74" s="6">
        <v>0</v>
      </c>
      <c r="AM74" s="6">
        <v>0</v>
      </c>
      <c r="AN74" s="6">
        <v>0</v>
      </c>
      <c r="AO74" s="6">
        <v>1</v>
      </c>
      <c r="AP74" s="5">
        <f t="shared" si="23"/>
        <v>44</v>
      </c>
    </row>
    <row r="75" spans="1:42" x14ac:dyDescent="0.3">
      <c r="A75" s="7"/>
      <c r="B75" s="54"/>
      <c r="C75" s="24" t="s">
        <v>145</v>
      </c>
      <c r="D75" s="51"/>
      <c r="E75" s="6">
        <v>0</v>
      </c>
      <c r="F75" s="6">
        <v>1</v>
      </c>
      <c r="G75" s="6">
        <v>0</v>
      </c>
      <c r="H75" s="6">
        <v>0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0</v>
      </c>
      <c r="Q75" s="6">
        <v>0</v>
      </c>
      <c r="R75" s="6">
        <v>0</v>
      </c>
      <c r="S75" s="6">
        <v>0</v>
      </c>
      <c r="T75" s="6">
        <v>2</v>
      </c>
      <c r="U75" s="6">
        <v>1</v>
      </c>
      <c r="V75" s="6">
        <v>1</v>
      </c>
      <c r="W75" s="6">
        <v>1</v>
      </c>
      <c r="X75" s="6">
        <v>0</v>
      </c>
      <c r="Y75" s="6">
        <v>1</v>
      </c>
      <c r="Z75" s="6">
        <v>0</v>
      </c>
      <c r="AA75" s="6">
        <v>1</v>
      </c>
      <c r="AB75" s="6">
        <v>2</v>
      </c>
      <c r="AC75" s="6">
        <v>2</v>
      </c>
      <c r="AD75" s="6">
        <v>4</v>
      </c>
      <c r="AE75" s="6">
        <v>2</v>
      </c>
      <c r="AF75" s="6">
        <v>7</v>
      </c>
      <c r="AG75" s="6">
        <v>3</v>
      </c>
      <c r="AH75" s="6">
        <v>3</v>
      </c>
      <c r="AI75" s="6">
        <v>3</v>
      </c>
      <c r="AJ75" s="6">
        <v>0</v>
      </c>
      <c r="AK75" s="6">
        <v>3</v>
      </c>
      <c r="AL75" s="6">
        <v>2</v>
      </c>
      <c r="AM75" s="6">
        <v>1</v>
      </c>
      <c r="AN75" s="6">
        <v>1</v>
      </c>
      <c r="AO75" s="6">
        <v>4</v>
      </c>
      <c r="AP75" s="5">
        <f t="shared" si="23"/>
        <v>52</v>
      </c>
    </row>
    <row r="76" spans="1:42" x14ac:dyDescent="0.3">
      <c r="A76" s="7"/>
      <c r="B76" s="54"/>
      <c r="C76" s="24" t="s">
        <v>146</v>
      </c>
      <c r="D76" s="51"/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1</v>
      </c>
      <c r="N76" s="6">
        <v>2</v>
      </c>
      <c r="O76" s="6">
        <v>0</v>
      </c>
      <c r="P76" s="6">
        <v>1</v>
      </c>
      <c r="Q76" s="6">
        <v>0</v>
      </c>
      <c r="R76" s="6">
        <v>2</v>
      </c>
      <c r="S76" s="6">
        <v>1</v>
      </c>
      <c r="T76" s="6">
        <v>0</v>
      </c>
      <c r="U76" s="6">
        <v>1</v>
      </c>
      <c r="V76" s="6">
        <v>2</v>
      </c>
      <c r="W76" s="6">
        <v>1</v>
      </c>
      <c r="X76" s="6">
        <v>0</v>
      </c>
      <c r="Y76" s="6">
        <v>0</v>
      </c>
      <c r="Z76" s="6">
        <v>2</v>
      </c>
      <c r="AA76" s="6">
        <v>0</v>
      </c>
      <c r="AB76" s="6">
        <v>0</v>
      </c>
      <c r="AC76" s="6">
        <v>1</v>
      </c>
      <c r="AD76" s="6">
        <v>0</v>
      </c>
      <c r="AE76" s="6">
        <v>2</v>
      </c>
      <c r="AF76" s="6">
        <v>2</v>
      </c>
      <c r="AG76" s="6">
        <v>1</v>
      </c>
      <c r="AH76" s="6">
        <v>0</v>
      </c>
      <c r="AI76" s="6">
        <v>1</v>
      </c>
      <c r="AJ76" s="6">
        <v>0</v>
      </c>
      <c r="AK76" s="6">
        <v>2</v>
      </c>
      <c r="AL76" s="6">
        <v>0</v>
      </c>
      <c r="AM76" s="6">
        <v>0</v>
      </c>
      <c r="AN76" s="6">
        <v>0</v>
      </c>
      <c r="AO76" s="6">
        <v>1</v>
      </c>
      <c r="AP76" s="5">
        <f t="shared" si="23"/>
        <v>24</v>
      </c>
    </row>
    <row r="77" spans="1:42" x14ac:dyDescent="0.3">
      <c r="A77" s="7"/>
      <c r="B77" s="54"/>
      <c r="C77" s="24" t="s">
        <v>147</v>
      </c>
      <c r="D77" s="51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2</v>
      </c>
      <c r="L77" s="6">
        <v>2</v>
      </c>
      <c r="M77" s="6">
        <v>1</v>
      </c>
      <c r="N77" s="6">
        <v>2</v>
      </c>
      <c r="O77" s="6">
        <v>1</v>
      </c>
      <c r="P77" s="6">
        <v>1</v>
      </c>
      <c r="Q77" s="6">
        <v>0</v>
      </c>
      <c r="R77" s="6">
        <v>1</v>
      </c>
      <c r="S77" s="6">
        <v>0</v>
      </c>
      <c r="T77" s="6">
        <v>0</v>
      </c>
      <c r="U77" s="6">
        <v>1</v>
      </c>
      <c r="V77" s="6">
        <v>0</v>
      </c>
      <c r="W77" s="6">
        <v>1</v>
      </c>
      <c r="X77" s="6">
        <v>0</v>
      </c>
      <c r="Y77" s="6">
        <v>0</v>
      </c>
      <c r="Z77" s="6">
        <v>0</v>
      </c>
      <c r="AA77" s="6">
        <v>0</v>
      </c>
      <c r="AB77" s="6">
        <v>2</v>
      </c>
      <c r="AC77" s="6">
        <v>0</v>
      </c>
      <c r="AD77" s="6">
        <v>2</v>
      </c>
      <c r="AE77" s="6">
        <v>1</v>
      </c>
      <c r="AF77" s="6">
        <v>1</v>
      </c>
      <c r="AG77" s="6">
        <v>0</v>
      </c>
      <c r="AH77" s="6">
        <v>0</v>
      </c>
      <c r="AI77" s="6">
        <v>1</v>
      </c>
      <c r="AJ77" s="6">
        <v>2</v>
      </c>
      <c r="AK77" s="6">
        <v>1</v>
      </c>
      <c r="AL77" s="6">
        <v>2</v>
      </c>
      <c r="AM77" s="6">
        <v>0</v>
      </c>
      <c r="AN77" s="6">
        <v>1</v>
      </c>
      <c r="AO77" s="6">
        <v>4</v>
      </c>
      <c r="AP77" s="5">
        <f t="shared" si="23"/>
        <v>29</v>
      </c>
    </row>
    <row r="78" spans="1:42" x14ac:dyDescent="0.3">
      <c r="A78" s="7"/>
      <c r="B78" s="54"/>
      <c r="C78" s="24" t="s">
        <v>148</v>
      </c>
      <c r="D78" s="51"/>
      <c r="E78" s="6">
        <v>0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2</v>
      </c>
      <c r="N78" s="6">
        <v>7</v>
      </c>
      <c r="O78" s="6">
        <v>0</v>
      </c>
      <c r="P78" s="6">
        <v>0</v>
      </c>
      <c r="Q78" s="6">
        <v>0</v>
      </c>
      <c r="R78" s="6">
        <v>2</v>
      </c>
      <c r="S78" s="6">
        <v>2</v>
      </c>
      <c r="T78" s="6">
        <v>0</v>
      </c>
      <c r="U78" s="6">
        <v>1</v>
      </c>
      <c r="V78" s="6">
        <v>1</v>
      </c>
      <c r="W78" s="6">
        <v>2</v>
      </c>
      <c r="X78" s="6">
        <v>2</v>
      </c>
      <c r="Y78" s="6">
        <v>0</v>
      </c>
      <c r="Z78" s="6">
        <v>1</v>
      </c>
      <c r="AA78" s="6">
        <v>1</v>
      </c>
      <c r="AB78" s="6">
        <v>1</v>
      </c>
      <c r="AC78" s="6">
        <v>0</v>
      </c>
      <c r="AD78" s="6">
        <v>1</v>
      </c>
      <c r="AE78" s="6">
        <v>4</v>
      </c>
      <c r="AF78" s="6">
        <v>2</v>
      </c>
      <c r="AG78" s="6">
        <v>1</v>
      </c>
      <c r="AH78" s="6">
        <v>3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6">
        <v>1</v>
      </c>
      <c r="AO78" s="6">
        <v>2</v>
      </c>
      <c r="AP78" s="5">
        <f t="shared" si="23"/>
        <v>38</v>
      </c>
    </row>
    <row r="79" spans="1:42" x14ac:dyDescent="0.3">
      <c r="A79" s="6" t="s">
        <v>26</v>
      </c>
      <c r="B79" s="69" t="s">
        <v>51</v>
      </c>
      <c r="C79" s="85"/>
      <c r="D79" s="76"/>
      <c r="E79" s="5">
        <f>SUM(E69:E78)</f>
        <v>42</v>
      </c>
      <c r="F79" s="5">
        <f t="shared" ref="F79:AP79" si="24">SUM(F69:F78)</f>
        <v>22</v>
      </c>
      <c r="G79" s="5">
        <f t="shared" si="24"/>
        <v>17</v>
      </c>
      <c r="H79" s="5">
        <f t="shared" si="24"/>
        <v>21</v>
      </c>
      <c r="I79" s="5">
        <f t="shared" si="24"/>
        <v>24</v>
      </c>
      <c r="J79" s="5">
        <f t="shared" si="24"/>
        <v>9</v>
      </c>
      <c r="K79" s="5">
        <f t="shared" si="24"/>
        <v>43</v>
      </c>
      <c r="L79" s="5">
        <f t="shared" si="24"/>
        <v>25</v>
      </c>
      <c r="M79" s="5">
        <f t="shared" si="24"/>
        <v>75</v>
      </c>
      <c r="N79" s="5">
        <f t="shared" si="24"/>
        <v>80</v>
      </c>
      <c r="O79" s="5">
        <f t="shared" si="24"/>
        <v>44</v>
      </c>
      <c r="P79" s="5">
        <f t="shared" si="24"/>
        <v>30</v>
      </c>
      <c r="Q79" s="5">
        <f t="shared" si="24"/>
        <v>44</v>
      </c>
      <c r="R79" s="5">
        <f t="shared" si="24"/>
        <v>47</v>
      </c>
      <c r="S79" s="5">
        <f t="shared" si="24"/>
        <v>51</v>
      </c>
      <c r="T79" s="5">
        <f t="shared" si="24"/>
        <v>47</v>
      </c>
      <c r="U79" s="5">
        <f t="shared" si="24"/>
        <v>114</v>
      </c>
      <c r="V79" s="5">
        <f t="shared" si="24"/>
        <v>47</v>
      </c>
      <c r="W79" s="5">
        <f t="shared" si="24"/>
        <v>31</v>
      </c>
      <c r="X79" s="5">
        <f t="shared" si="24"/>
        <v>32</v>
      </c>
      <c r="Y79" s="5">
        <f t="shared" si="24"/>
        <v>16</v>
      </c>
      <c r="Z79" s="5">
        <f t="shared" si="24"/>
        <v>36</v>
      </c>
      <c r="AA79" s="5">
        <f t="shared" si="24"/>
        <v>21</v>
      </c>
      <c r="AB79" s="5">
        <f t="shared" si="24"/>
        <v>34</v>
      </c>
      <c r="AC79" s="5">
        <f t="shared" si="24"/>
        <v>22</v>
      </c>
      <c r="AD79" s="5">
        <f t="shared" si="24"/>
        <v>56</v>
      </c>
      <c r="AE79" s="5">
        <f t="shared" si="24"/>
        <v>47</v>
      </c>
      <c r="AF79" s="5">
        <f t="shared" si="24"/>
        <v>94</v>
      </c>
      <c r="AG79" s="5">
        <f t="shared" si="24"/>
        <v>65</v>
      </c>
      <c r="AH79" s="5">
        <f t="shared" si="24"/>
        <v>34</v>
      </c>
      <c r="AI79" s="5">
        <f t="shared" si="24"/>
        <v>30</v>
      </c>
      <c r="AJ79" s="5">
        <f t="shared" si="24"/>
        <v>43</v>
      </c>
      <c r="AK79" s="5">
        <f t="shared" si="24"/>
        <v>60</v>
      </c>
      <c r="AL79" s="5">
        <f t="shared" si="24"/>
        <v>42</v>
      </c>
      <c r="AM79" s="5">
        <f t="shared" si="24"/>
        <v>66</v>
      </c>
      <c r="AN79" s="5">
        <f t="shared" si="24"/>
        <v>51</v>
      </c>
      <c r="AO79" s="5">
        <f t="shared" si="24"/>
        <v>68</v>
      </c>
      <c r="AP79" s="5">
        <f t="shared" si="24"/>
        <v>1630</v>
      </c>
    </row>
    <row r="80" spans="1:42" x14ac:dyDescent="0.3">
      <c r="A80" s="86"/>
      <c r="B80" s="87"/>
      <c r="C80" s="87"/>
      <c r="D80" s="87"/>
      <c r="E80" s="87"/>
    </row>
    <row r="81" spans="1:42" x14ac:dyDescent="0.3">
      <c r="A81" s="11" t="s">
        <v>48</v>
      </c>
      <c r="B81" s="17" t="s">
        <v>34</v>
      </c>
      <c r="C81" s="75" t="s">
        <v>54</v>
      </c>
      <c r="D81" s="76"/>
      <c r="E81" s="6">
        <v>4</v>
      </c>
      <c r="F81" s="6">
        <v>5</v>
      </c>
      <c r="G81" s="6">
        <v>11</v>
      </c>
      <c r="H81" s="6">
        <v>7</v>
      </c>
      <c r="I81" s="6">
        <v>6</v>
      </c>
      <c r="J81" s="6">
        <v>3</v>
      </c>
      <c r="K81" s="6">
        <v>1</v>
      </c>
      <c r="L81" s="6">
        <v>1</v>
      </c>
      <c r="M81" s="6">
        <v>7</v>
      </c>
      <c r="N81" s="6">
        <v>4</v>
      </c>
      <c r="O81" s="6">
        <v>5</v>
      </c>
      <c r="P81" s="6">
        <v>9</v>
      </c>
      <c r="Q81" s="6">
        <v>0</v>
      </c>
      <c r="R81" s="6">
        <v>2</v>
      </c>
      <c r="S81" s="6">
        <v>4</v>
      </c>
      <c r="T81" s="6">
        <v>0</v>
      </c>
      <c r="U81" s="6">
        <v>2</v>
      </c>
      <c r="V81" s="6">
        <v>1</v>
      </c>
      <c r="W81" s="6">
        <v>6</v>
      </c>
      <c r="X81" s="6">
        <v>14</v>
      </c>
      <c r="Y81" s="6">
        <v>3</v>
      </c>
      <c r="Z81" s="6">
        <v>3</v>
      </c>
      <c r="AA81" s="6">
        <v>7</v>
      </c>
      <c r="AB81" s="6">
        <v>5</v>
      </c>
      <c r="AC81" s="6">
        <v>8</v>
      </c>
      <c r="AD81" s="6">
        <v>4</v>
      </c>
      <c r="AE81" s="6">
        <v>3</v>
      </c>
      <c r="AF81" s="6">
        <v>3</v>
      </c>
      <c r="AG81" s="6">
        <v>9</v>
      </c>
      <c r="AH81" s="6">
        <v>7</v>
      </c>
      <c r="AI81" s="6">
        <v>6</v>
      </c>
      <c r="AJ81" s="6">
        <v>8</v>
      </c>
      <c r="AK81" s="6">
        <v>3</v>
      </c>
      <c r="AL81" s="6">
        <v>8</v>
      </c>
      <c r="AM81" s="6">
        <v>6</v>
      </c>
      <c r="AN81" s="6">
        <v>10</v>
      </c>
      <c r="AO81" s="6">
        <v>4</v>
      </c>
      <c r="AP81" s="5">
        <f t="shared" ref="AP81:AP90" si="25">SUM(E81:AO81)</f>
        <v>189</v>
      </c>
    </row>
    <row r="82" spans="1:42" x14ac:dyDescent="0.3">
      <c r="A82" s="11" t="s">
        <v>50</v>
      </c>
      <c r="B82" s="54"/>
      <c r="C82" s="24" t="s">
        <v>149</v>
      </c>
      <c r="D82" s="51"/>
      <c r="E82" s="6">
        <v>14</v>
      </c>
      <c r="F82" s="6">
        <v>24</v>
      </c>
      <c r="G82" s="6">
        <v>57</v>
      </c>
      <c r="H82" s="6">
        <v>87</v>
      </c>
      <c r="I82" s="6">
        <v>98</v>
      </c>
      <c r="J82" s="6">
        <v>5</v>
      </c>
      <c r="K82" s="6">
        <v>5</v>
      </c>
      <c r="L82" s="6">
        <v>2</v>
      </c>
      <c r="M82" s="6">
        <v>4</v>
      </c>
      <c r="N82" s="6">
        <v>9</v>
      </c>
      <c r="O82" s="6">
        <v>3</v>
      </c>
      <c r="P82" s="6">
        <v>6</v>
      </c>
      <c r="Q82" s="6">
        <v>1</v>
      </c>
      <c r="R82" s="6">
        <v>4</v>
      </c>
      <c r="S82" s="6">
        <v>7</v>
      </c>
      <c r="T82" s="6">
        <v>0</v>
      </c>
      <c r="U82" s="6">
        <v>2</v>
      </c>
      <c r="V82" s="6">
        <v>11</v>
      </c>
      <c r="W82" s="6">
        <v>2</v>
      </c>
      <c r="X82" s="6">
        <v>6</v>
      </c>
      <c r="Y82" s="6">
        <v>4</v>
      </c>
      <c r="Z82" s="6">
        <v>3</v>
      </c>
      <c r="AA82" s="6">
        <v>7</v>
      </c>
      <c r="AB82" s="6">
        <v>22</v>
      </c>
      <c r="AC82" s="6">
        <v>3</v>
      </c>
      <c r="AD82" s="6">
        <v>8</v>
      </c>
      <c r="AE82" s="6">
        <v>15</v>
      </c>
      <c r="AF82" s="6">
        <v>9</v>
      </c>
      <c r="AG82" s="6">
        <v>31</v>
      </c>
      <c r="AH82" s="6">
        <v>21</v>
      </c>
      <c r="AI82" s="6">
        <v>8</v>
      </c>
      <c r="AJ82" s="6">
        <v>45</v>
      </c>
      <c r="AK82" s="6">
        <v>31</v>
      </c>
      <c r="AL82" s="6">
        <v>16</v>
      </c>
      <c r="AM82" s="6">
        <v>15</v>
      </c>
      <c r="AN82" s="6">
        <v>15</v>
      </c>
      <c r="AO82" s="6">
        <v>2</v>
      </c>
      <c r="AP82" s="5">
        <f t="shared" si="25"/>
        <v>602</v>
      </c>
    </row>
    <row r="83" spans="1:42" x14ac:dyDescent="0.3">
      <c r="A83" s="7"/>
      <c r="B83" s="54"/>
      <c r="C83" s="24" t="s">
        <v>150</v>
      </c>
      <c r="D83" s="51"/>
      <c r="E83" s="6">
        <v>1</v>
      </c>
      <c r="F83" s="6">
        <v>0</v>
      </c>
      <c r="G83" s="6">
        <v>3</v>
      </c>
      <c r="H83" s="6">
        <v>1</v>
      </c>
      <c r="I83" s="6">
        <v>0</v>
      </c>
      <c r="J83" s="6">
        <v>0</v>
      </c>
      <c r="K83" s="6">
        <v>0</v>
      </c>
      <c r="L83" s="6">
        <v>2</v>
      </c>
      <c r="M83" s="6">
        <v>2</v>
      </c>
      <c r="N83" s="6">
        <v>3</v>
      </c>
      <c r="O83" s="6">
        <v>0</v>
      </c>
      <c r="P83" s="6">
        <v>1</v>
      </c>
      <c r="Q83" s="6">
        <v>0</v>
      </c>
      <c r="R83" s="6">
        <v>1</v>
      </c>
      <c r="S83" s="6">
        <v>1</v>
      </c>
      <c r="T83" s="6">
        <v>1</v>
      </c>
      <c r="U83" s="6">
        <v>0</v>
      </c>
      <c r="V83" s="6">
        <v>1</v>
      </c>
      <c r="W83" s="6">
        <v>0</v>
      </c>
      <c r="X83" s="6">
        <v>1</v>
      </c>
      <c r="Y83" s="6">
        <v>2</v>
      </c>
      <c r="Z83" s="6">
        <v>0</v>
      </c>
      <c r="AA83" s="6">
        <v>1</v>
      </c>
      <c r="AB83" s="6">
        <v>0</v>
      </c>
      <c r="AC83" s="6">
        <v>6</v>
      </c>
      <c r="AD83" s="6">
        <v>2</v>
      </c>
      <c r="AE83" s="6">
        <v>0</v>
      </c>
      <c r="AF83" s="6">
        <v>1</v>
      </c>
      <c r="AG83" s="6">
        <v>0</v>
      </c>
      <c r="AH83" s="6">
        <v>4</v>
      </c>
      <c r="AI83" s="6">
        <v>0</v>
      </c>
      <c r="AJ83" s="6">
        <v>6</v>
      </c>
      <c r="AK83" s="6">
        <v>2</v>
      </c>
      <c r="AL83" s="6">
        <v>0</v>
      </c>
      <c r="AM83" s="6">
        <v>2</v>
      </c>
      <c r="AN83" s="6">
        <v>5</v>
      </c>
      <c r="AO83" s="6">
        <v>3</v>
      </c>
      <c r="AP83" s="5">
        <f t="shared" si="25"/>
        <v>52</v>
      </c>
    </row>
    <row r="84" spans="1:42" x14ac:dyDescent="0.3">
      <c r="A84" s="7"/>
      <c r="B84" s="54"/>
      <c r="C84" s="24" t="s">
        <v>151</v>
      </c>
      <c r="D84" s="51"/>
      <c r="E84" s="6">
        <v>0</v>
      </c>
      <c r="F84" s="6">
        <v>0</v>
      </c>
      <c r="G84" s="6">
        <v>5</v>
      </c>
      <c r="H84" s="6">
        <v>1</v>
      </c>
      <c r="I84" s="6">
        <v>0</v>
      </c>
      <c r="J84" s="6">
        <v>1</v>
      </c>
      <c r="K84" s="6">
        <v>0</v>
      </c>
      <c r="L84" s="6">
        <v>0</v>
      </c>
      <c r="M84" s="6">
        <v>2</v>
      </c>
      <c r="N84" s="6">
        <v>1</v>
      </c>
      <c r="O84" s="6">
        <v>3</v>
      </c>
      <c r="P84" s="6">
        <v>0</v>
      </c>
      <c r="Q84" s="6">
        <v>0</v>
      </c>
      <c r="R84" s="6">
        <v>0</v>
      </c>
      <c r="S84" s="6">
        <v>1</v>
      </c>
      <c r="T84" s="6">
        <v>1</v>
      </c>
      <c r="U84" s="6">
        <v>1</v>
      </c>
      <c r="V84" s="6">
        <v>0</v>
      </c>
      <c r="W84" s="6">
        <v>0</v>
      </c>
      <c r="X84" s="6">
        <v>0</v>
      </c>
      <c r="Y84" s="6">
        <v>2</v>
      </c>
      <c r="Z84" s="6">
        <v>2</v>
      </c>
      <c r="AA84" s="6">
        <v>0</v>
      </c>
      <c r="AB84" s="6">
        <v>1</v>
      </c>
      <c r="AC84" s="6">
        <v>0</v>
      </c>
      <c r="AD84" s="6">
        <v>2</v>
      </c>
      <c r="AE84" s="6">
        <v>1</v>
      </c>
      <c r="AF84" s="6">
        <v>0</v>
      </c>
      <c r="AG84" s="6">
        <v>0</v>
      </c>
      <c r="AH84" s="6">
        <v>0</v>
      </c>
      <c r="AI84" s="6">
        <v>1</v>
      </c>
      <c r="AJ84" s="6">
        <v>1</v>
      </c>
      <c r="AK84" s="6">
        <v>1</v>
      </c>
      <c r="AL84" s="6">
        <v>0</v>
      </c>
      <c r="AM84" s="6">
        <v>2</v>
      </c>
      <c r="AN84" s="6">
        <v>3</v>
      </c>
      <c r="AO84" s="6">
        <v>1</v>
      </c>
      <c r="AP84" s="5">
        <f t="shared" si="25"/>
        <v>33</v>
      </c>
    </row>
    <row r="85" spans="1:42" ht="13.15" customHeight="1" x14ac:dyDescent="0.3">
      <c r="A85" s="7"/>
      <c r="B85" s="54"/>
      <c r="C85" s="24" t="s">
        <v>152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1</v>
      </c>
      <c r="J85" s="6">
        <v>0</v>
      </c>
      <c r="K85" s="6">
        <v>2</v>
      </c>
      <c r="L85" s="6">
        <v>0</v>
      </c>
      <c r="M85" s="6">
        <v>1</v>
      </c>
      <c r="N85" s="6">
        <v>0</v>
      </c>
      <c r="O85" s="6">
        <v>1</v>
      </c>
      <c r="P85" s="6">
        <v>1</v>
      </c>
      <c r="Q85" s="6">
        <v>0</v>
      </c>
      <c r="R85" s="6">
        <v>0</v>
      </c>
      <c r="S85" s="6">
        <v>1</v>
      </c>
      <c r="T85" s="6">
        <v>1</v>
      </c>
      <c r="U85" s="6">
        <v>1</v>
      </c>
      <c r="V85" s="6">
        <v>0</v>
      </c>
      <c r="W85" s="6">
        <v>0</v>
      </c>
      <c r="X85" s="6">
        <v>4</v>
      </c>
      <c r="Y85" s="6">
        <v>0</v>
      </c>
      <c r="Z85" s="6">
        <v>1</v>
      </c>
      <c r="AA85" s="6">
        <v>0</v>
      </c>
      <c r="AB85" s="6">
        <v>2</v>
      </c>
      <c r="AC85" s="6">
        <v>1</v>
      </c>
      <c r="AD85" s="6">
        <v>0</v>
      </c>
      <c r="AE85" s="6">
        <v>1</v>
      </c>
      <c r="AF85" s="6">
        <v>4</v>
      </c>
      <c r="AG85" s="6">
        <v>1</v>
      </c>
      <c r="AH85" s="6">
        <v>2</v>
      </c>
      <c r="AI85" s="6">
        <v>0</v>
      </c>
      <c r="AJ85" s="6">
        <v>2</v>
      </c>
      <c r="AK85" s="6">
        <v>1</v>
      </c>
      <c r="AL85" s="6">
        <v>3</v>
      </c>
      <c r="AM85" s="6">
        <v>3</v>
      </c>
      <c r="AN85" s="6">
        <v>5</v>
      </c>
      <c r="AO85" s="6">
        <v>2</v>
      </c>
      <c r="AP85" s="5">
        <f t="shared" si="25"/>
        <v>41</v>
      </c>
    </row>
    <row r="86" spans="1:42" x14ac:dyDescent="0.3">
      <c r="A86" s="7"/>
      <c r="B86" s="54"/>
      <c r="C86" s="24" t="s">
        <v>153</v>
      </c>
      <c r="D86" s="51"/>
      <c r="E86" s="6">
        <v>1</v>
      </c>
      <c r="F86" s="6">
        <v>1</v>
      </c>
      <c r="G86" s="6">
        <v>2</v>
      </c>
      <c r="H86" s="6">
        <v>2</v>
      </c>
      <c r="I86" s="6">
        <v>1</v>
      </c>
      <c r="J86" s="6">
        <v>0</v>
      </c>
      <c r="K86" s="6">
        <v>1</v>
      </c>
      <c r="L86" s="6">
        <v>0</v>
      </c>
      <c r="M86" s="6">
        <v>6</v>
      </c>
      <c r="N86" s="6">
        <v>1</v>
      </c>
      <c r="O86" s="6">
        <v>1</v>
      </c>
      <c r="P86" s="6">
        <v>17</v>
      </c>
      <c r="Q86" s="6">
        <v>1</v>
      </c>
      <c r="R86" s="6">
        <v>1</v>
      </c>
      <c r="S86" s="6">
        <v>4</v>
      </c>
      <c r="T86" s="6">
        <v>4</v>
      </c>
      <c r="U86" s="6">
        <v>0</v>
      </c>
      <c r="V86" s="6">
        <v>3</v>
      </c>
      <c r="W86" s="6">
        <v>1</v>
      </c>
      <c r="X86" s="6">
        <v>26</v>
      </c>
      <c r="Y86" s="6">
        <v>7</v>
      </c>
      <c r="Z86" s="6">
        <v>8</v>
      </c>
      <c r="AA86" s="6">
        <v>9</v>
      </c>
      <c r="AB86" s="6">
        <v>2</v>
      </c>
      <c r="AC86" s="6">
        <v>1</v>
      </c>
      <c r="AD86" s="6">
        <v>11</v>
      </c>
      <c r="AE86" s="6">
        <v>1</v>
      </c>
      <c r="AF86" s="6">
        <v>0</v>
      </c>
      <c r="AG86" s="6">
        <v>0</v>
      </c>
      <c r="AH86" s="6">
        <v>39</v>
      </c>
      <c r="AI86" s="6">
        <v>43</v>
      </c>
      <c r="AJ86" s="6">
        <v>18</v>
      </c>
      <c r="AK86" s="6">
        <v>1</v>
      </c>
      <c r="AL86" s="6">
        <v>1</v>
      </c>
      <c r="AM86" s="6">
        <v>1</v>
      </c>
      <c r="AN86" s="6">
        <v>10</v>
      </c>
      <c r="AO86" s="6">
        <v>1</v>
      </c>
      <c r="AP86" s="5">
        <f t="shared" si="25"/>
        <v>226</v>
      </c>
    </row>
    <row r="87" spans="1:42" x14ac:dyDescent="0.3">
      <c r="A87" s="7"/>
      <c r="B87" s="54"/>
      <c r="C87" s="24" t="s">
        <v>154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1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1</v>
      </c>
      <c r="Y87" s="6">
        <v>0</v>
      </c>
      <c r="Z87" s="6">
        <v>0</v>
      </c>
      <c r="AA87" s="6">
        <v>0</v>
      </c>
      <c r="AB87" s="6">
        <v>0</v>
      </c>
      <c r="AC87" s="6">
        <v>1</v>
      </c>
      <c r="AD87" s="6">
        <v>3</v>
      </c>
      <c r="AE87" s="6">
        <v>0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0</v>
      </c>
      <c r="AL87" s="6">
        <v>1</v>
      </c>
      <c r="AM87" s="6">
        <v>0</v>
      </c>
      <c r="AN87" s="6">
        <v>0</v>
      </c>
      <c r="AO87" s="6">
        <v>0</v>
      </c>
      <c r="AP87" s="5">
        <f t="shared" si="25"/>
        <v>10</v>
      </c>
    </row>
    <row r="88" spans="1:42" x14ac:dyDescent="0.3">
      <c r="A88" s="7"/>
      <c r="B88" s="54"/>
      <c r="C88" s="24" t="s">
        <v>155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1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6">
        <v>0</v>
      </c>
      <c r="AO88" s="6">
        <v>0</v>
      </c>
      <c r="AP88" s="5">
        <f t="shared" si="25"/>
        <v>3</v>
      </c>
    </row>
    <row r="89" spans="1:42" x14ac:dyDescent="0.3">
      <c r="A89" s="7"/>
      <c r="B89" s="54"/>
      <c r="C89" s="24" t="s">
        <v>156</v>
      </c>
      <c r="D89" s="51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1</v>
      </c>
      <c r="N89" s="6">
        <v>0</v>
      </c>
      <c r="O89" s="6">
        <v>0</v>
      </c>
      <c r="P89" s="6">
        <v>1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5">
        <f t="shared" si="25"/>
        <v>2</v>
      </c>
    </row>
    <row r="90" spans="1:42" x14ac:dyDescent="0.3">
      <c r="A90" s="7"/>
      <c r="B90" s="54"/>
      <c r="C90" s="24" t="s">
        <v>157</v>
      </c>
      <c r="D90" s="51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2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1</v>
      </c>
      <c r="AA90" s="6">
        <v>0</v>
      </c>
      <c r="AB90" s="6">
        <v>1</v>
      </c>
      <c r="AC90" s="6">
        <v>0</v>
      </c>
      <c r="AD90" s="6">
        <v>0</v>
      </c>
      <c r="AE90" s="6">
        <v>0</v>
      </c>
      <c r="AF90" s="6">
        <v>0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5">
        <f t="shared" si="25"/>
        <v>6</v>
      </c>
    </row>
    <row r="91" spans="1:42" x14ac:dyDescent="0.3">
      <c r="A91" s="6" t="s">
        <v>26</v>
      </c>
      <c r="B91" s="69" t="s">
        <v>51</v>
      </c>
      <c r="C91" s="85"/>
      <c r="D91" s="76"/>
      <c r="E91" s="5">
        <f>SUM(E81:E90)</f>
        <v>20</v>
      </c>
      <c r="F91" s="5">
        <f t="shared" ref="F91:AP91" si="26">SUM(F81:F90)</f>
        <v>30</v>
      </c>
      <c r="G91" s="5">
        <f t="shared" si="26"/>
        <v>78</v>
      </c>
      <c r="H91" s="5">
        <f t="shared" si="26"/>
        <v>98</v>
      </c>
      <c r="I91" s="5">
        <f t="shared" si="26"/>
        <v>107</v>
      </c>
      <c r="J91" s="5">
        <f t="shared" si="26"/>
        <v>9</v>
      </c>
      <c r="K91" s="5">
        <f t="shared" si="26"/>
        <v>9</v>
      </c>
      <c r="L91" s="5">
        <f t="shared" si="26"/>
        <v>5</v>
      </c>
      <c r="M91" s="5">
        <f t="shared" si="26"/>
        <v>23</v>
      </c>
      <c r="N91" s="5">
        <f t="shared" si="26"/>
        <v>19</v>
      </c>
      <c r="O91" s="5">
        <f t="shared" si="26"/>
        <v>13</v>
      </c>
      <c r="P91" s="5">
        <f t="shared" si="26"/>
        <v>35</v>
      </c>
      <c r="Q91" s="5">
        <f t="shared" si="26"/>
        <v>3</v>
      </c>
      <c r="R91" s="5">
        <f t="shared" si="26"/>
        <v>8</v>
      </c>
      <c r="S91" s="5">
        <f t="shared" si="26"/>
        <v>18</v>
      </c>
      <c r="T91" s="5">
        <f t="shared" si="26"/>
        <v>9</v>
      </c>
      <c r="U91" s="5">
        <f t="shared" si="26"/>
        <v>6</v>
      </c>
      <c r="V91" s="5">
        <f t="shared" si="26"/>
        <v>16</v>
      </c>
      <c r="W91" s="5">
        <f t="shared" si="26"/>
        <v>9</v>
      </c>
      <c r="X91" s="5">
        <f t="shared" si="26"/>
        <v>52</v>
      </c>
      <c r="Y91" s="5">
        <f t="shared" si="26"/>
        <v>19</v>
      </c>
      <c r="Z91" s="5">
        <f t="shared" si="26"/>
        <v>18</v>
      </c>
      <c r="AA91" s="5">
        <f t="shared" si="26"/>
        <v>24</v>
      </c>
      <c r="AB91" s="5">
        <f t="shared" si="26"/>
        <v>33</v>
      </c>
      <c r="AC91" s="5">
        <f t="shared" si="26"/>
        <v>21</v>
      </c>
      <c r="AD91" s="5">
        <f t="shared" si="26"/>
        <v>30</v>
      </c>
      <c r="AE91" s="5">
        <f t="shared" si="26"/>
        <v>21</v>
      </c>
      <c r="AF91" s="5">
        <f t="shared" si="26"/>
        <v>17</v>
      </c>
      <c r="AG91" s="5">
        <f t="shared" si="26"/>
        <v>42</v>
      </c>
      <c r="AH91" s="5">
        <f t="shared" si="26"/>
        <v>73</v>
      </c>
      <c r="AI91" s="5">
        <f t="shared" si="26"/>
        <v>60</v>
      </c>
      <c r="AJ91" s="5">
        <f t="shared" si="26"/>
        <v>80</v>
      </c>
      <c r="AK91" s="5">
        <f t="shared" si="26"/>
        <v>39</v>
      </c>
      <c r="AL91" s="5">
        <f t="shared" si="26"/>
        <v>30</v>
      </c>
      <c r="AM91" s="5">
        <f t="shared" si="26"/>
        <v>29</v>
      </c>
      <c r="AN91" s="5">
        <f t="shared" si="26"/>
        <v>48</v>
      </c>
      <c r="AO91" s="5">
        <f t="shared" si="26"/>
        <v>13</v>
      </c>
      <c r="AP91" s="5">
        <f t="shared" si="26"/>
        <v>1164</v>
      </c>
    </row>
    <row r="92" spans="1:42" x14ac:dyDescent="0.3">
      <c r="A92" s="86"/>
      <c r="B92" s="87"/>
      <c r="C92" s="87"/>
      <c r="D92" s="87"/>
      <c r="E92" s="87"/>
    </row>
    <row r="93" spans="1:42" x14ac:dyDescent="0.3">
      <c r="A93" s="11" t="s">
        <v>48</v>
      </c>
      <c r="B93" s="17" t="s">
        <v>55</v>
      </c>
      <c r="C93" s="75" t="s">
        <v>56</v>
      </c>
      <c r="D93" s="76"/>
      <c r="E93" s="6">
        <v>0</v>
      </c>
      <c r="F93" s="6">
        <v>1</v>
      </c>
      <c r="G93" s="6">
        <v>1</v>
      </c>
      <c r="H93" s="6">
        <v>1</v>
      </c>
      <c r="I93" s="6">
        <v>0</v>
      </c>
      <c r="J93" s="6">
        <v>1</v>
      </c>
      <c r="K93" s="6">
        <v>1</v>
      </c>
      <c r="L93" s="6">
        <v>1</v>
      </c>
      <c r="M93" s="6">
        <v>0</v>
      </c>
      <c r="N93" s="6">
        <v>4</v>
      </c>
      <c r="O93" s="6">
        <v>1</v>
      </c>
      <c r="P93" s="6">
        <v>1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1</v>
      </c>
      <c r="X93" s="6">
        <v>3</v>
      </c>
      <c r="Y93" s="6">
        <v>4</v>
      </c>
      <c r="Z93" s="6">
        <v>1</v>
      </c>
      <c r="AA93" s="6">
        <v>0</v>
      </c>
      <c r="AB93" s="6">
        <v>1</v>
      </c>
      <c r="AC93" s="6">
        <v>1</v>
      </c>
      <c r="AD93" s="6">
        <v>1</v>
      </c>
      <c r="AE93" s="6">
        <v>3</v>
      </c>
      <c r="AF93" s="6">
        <v>3</v>
      </c>
      <c r="AG93" s="6">
        <v>1</v>
      </c>
      <c r="AH93" s="6">
        <v>1</v>
      </c>
      <c r="AI93" s="6">
        <v>0</v>
      </c>
      <c r="AJ93" s="6">
        <v>0</v>
      </c>
      <c r="AK93" s="6">
        <v>0</v>
      </c>
      <c r="AL93" s="6">
        <v>2</v>
      </c>
      <c r="AM93" s="6">
        <v>0</v>
      </c>
      <c r="AN93" s="6">
        <v>0</v>
      </c>
      <c r="AO93" s="6">
        <v>0</v>
      </c>
      <c r="AP93" s="5">
        <f>SUM(E93:AO93)</f>
        <v>34</v>
      </c>
    </row>
    <row r="94" spans="1:42" x14ac:dyDescent="0.3">
      <c r="A94" s="11" t="s">
        <v>50</v>
      </c>
      <c r="B94" s="54"/>
      <c r="C94" s="24" t="s">
        <v>158</v>
      </c>
      <c r="D94" s="51"/>
      <c r="E94" s="6">
        <v>0</v>
      </c>
      <c r="F94" s="6">
        <v>1</v>
      </c>
      <c r="G94" s="6">
        <v>0</v>
      </c>
      <c r="H94" s="6">
        <v>2</v>
      </c>
      <c r="I94" s="6">
        <v>1</v>
      </c>
      <c r="J94" s="6">
        <v>1</v>
      </c>
      <c r="K94" s="6">
        <v>0</v>
      </c>
      <c r="L94" s="6">
        <v>2</v>
      </c>
      <c r="M94" s="6">
        <v>1</v>
      </c>
      <c r="N94" s="6">
        <v>1</v>
      </c>
      <c r="O94" s="6">
        <v>1</v>
      </c>
      <c r="P94" s="6">
        <v>3</v>
      </c>
      <c r="Q94" s="6">
        <v>0</v>
      </c>
      <c r="R94" s="6">
        <v>2</v>
      </c>
      <c r="S94" s="6">
        <v>2</v>
      </c>
      <c r="T94" s="6">
        <v>0</v>
      </c>
      <c r="U94" s="6">
        <v>0</v>
      </c>
      <c r="V94" s="6">
        <v>9</v>
      </c>
      <c r="W94" s="6">
        <v>0</v>
      </c>
      <c r="X94" s="6">
        <v>1</v>
      </c>
      <c r="Y94" s="6">
        <v>3</v>
      </c>
      <c r="Z94" s="6">
        <v>4</v>
      </c>
      <c r="AA94" s="6">
        <v>4</v>
      </c>
      <c r="AB94" s="6">
        <v>12</v>
      </c>
      <c r="AC94" s="6">
        <v>3</v>
      </c>
      <c r="AD94" s="6">
        <v>3</v>
      </c>
      <c r="AE94" s="6">
        <v>2</v>
      </c>
      <c r="AF94" s="6">
        <v>9</v>
      </c>
      <c r="AG94" s="6">
        <v>0</v>
      </c>
      <c r="AH94" s="6">
        <v>0</v>
      </c>
      <c r="AI94" s="6">
        <v>1</v>
      </c>
      <c r="AJ94" s="6">
        <v>0</v>
      </c>
      <c r="AK94" s="6">
        <v>0</v>
      </c>
      <c r="AL94" s="6">
        <v>1</v>
      </c>
      <c r="AM94" s="6">
        <v>1</v>
      </c>
      <c r="AN94" s="6">
        <v>0</v>
      </c>
      <c r="AO94" s="6">
        <v>1</v>
      </c>
      <c r="AP94" s="5">
        <f t="shared" ref="AP94:AP102" si="27">SUM(E94:AO94)</f>
        <v>71</v>
      </c>
    </row>
    <row r="95" spans="1:42" x14ac:dyDescent="0.3">
      <c r="A95" s="7"/>
      <c r="B95" s="54"/>
      <c r="C95" s="24" t="s">
        <v>159</v>
      </c>
      <c r="D95" s="51"/>
      <c r="E95" s="6">
        <v>1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1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1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2</v>
      </c>
      <c r="AE95" s="6">
        <v>0</v>
      </c>
      <c r="AF95" s="6">
        <v>0</v>
      </c>
      <c r="AG95" s="6">
        <v>0</v>
      </c>
      <c r="AH95" s="6">
        <v>2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5">
        <f t="shared" si="27"/>
        <v>8</v>
      </c>
    </row>
    <row r="96" spans="1:42" ht="13.15" customHeight="1" x14ac:dyDescent="0.3">
      <c r="A96" s="7"/>
      <c r="B96" s="54"/>
      <c r="C96" s="24" t="s">
        <v>160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5">
        <f t="shared" si="27"/>
        <v>0</v>
      </c>
    </row>
    <row r="97" spans="1:42" x14ac:dyDescent="0.3">
      <c r="A97" s="7"/>
      <c r="B97" s="54"/>
      <c r="C97" s="24" t="s">
        <v>161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1</v>
      </c>
      <c r="N97" s="6">
        <v>1</v>
      </c>
      <c r="O97" s="6">
        <v>0</v>
      </c>
      <c r="P97" s="6">
        <v>0</v>
      </c>
      <c r="Q97" s="6">
        <v>0</v>
      </c>
      <c r="R97" s="6">
        <v>1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1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5">
        <f t="shared" si="27"/>
        <v>4</v>
      </c>
    </row>
    <row r="98" spans="1:42" x14ac:dyDescent="0.3">
      <c r="A98" s="7"/>
      <c r="B98" s="54"/>
      <c r="C98" s="24" t="s">
        <v>162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1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5">
        <f t="shared" si="27"/>
        <v>3</v>
      </c>
    </row>
    <row r="99" spans="1:42" x14ac:dyDescent="0.3">
      <c r="A99" s="7"/>
      <c r="B99" s="54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5">
        <f t="shared" si="27"/>
        <v>0</v>
      </c>
    </row>
    <row r="100" spans="1:42" x14ac:dyDescent="0.3">
      <c r="A100" s="7"/>
      <c r="B100" s="54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5">
        <f t="shared" si="27"/>
        <v>0</v>
      </c>
    </row>
    <row r="101" spans="1:42" x14ac:dyDescent="0.3">
      <c r="A101" s="7"/>
      <c r="B101" s="54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5">
        <f t="shared" si="27"/>
        <v>0</v>
      </c>
    </row>
    <row r="102" spans="1:42" x14ac:dyDescent="0.3">
      <c r="A102" s="7"/>
      <c r="B102" s="54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5">
        <f t="shared" si="27"/>
        <v>0</v>
      </c>
    </row>
    <row r="103" spans="1:42" x14ac:dyDescent="0.3">
      <c r="A103" s="6" t="s">
        <v>26</v>
      </c>
      <c r="B103" s="69" t="s">
        <v>51</v>
      </c>
      <c r="C103" s="85"/>
      <c r="D103" s="76"/>
      <c r="E103" s="5">
        <f>SUM(E93:E102)</f>
        <v>1</v>
      </c>
      <c r="F103" s="5">
        <f t="shared" ref="F103:AP103" si="28">SUM(F93:F102)</f>
        <v>2</v>
      </c>
      <c r="G103" s="5">
        <f t="shared" si="28"/>
        <v>1</v>
      </c>
      <c r="H103" s="5">
        <f t="shared" si="28"/>
        <v>3</v>
      </c>
      <c r="I103" s="5">
        <f t="shared" si="28"/>
        <v>1</v>
      </c>
      <c r="J103" s="5">
        <f t="shared" si="28"/>
        <v>3</v>
      </c>
      <c r="K103" s="5">
        <f t="shared" si="28"/>
        <v>2</v>
      </c>
      <c r="L103" s="5">
        <f t="shared" si="28"/>
        <v>3</v>
      </c>
      <c r="M103" s="5">
        <f t="shared" si="28"/>
        <v>3</v>
      </c>
      <c r="N103" s="5">
        <f t="shared" si="28"/>
        <v>6</v>
      </c>
      <c r="O103" s="5">
        <f t="shared" si="28"/>
        <v>2</v>
      </c>
      <c r="P103" s="5">
        <f t="shared" si="28"/>
        <v>4</v>
      </c>
      <c r="Q103" s="5">
        <f t="shared" si="28"/>
        <v>1</v>
      </c>
      <c r="R103" s="5">
        <f t="shared" si="28"/>
        <v>3</v>
      </c>
      <c r="S103" s="5">
        <f t="shared" si="28"/>
        <v>2</v>
      </c>
      <c r="T103" s="5">
        <f t="shared" si="28"/>
        <v>0</v>
      </c>
      <c r="U103" s="5">
        <f t="shared" si="28"/>
        <v>0</v>
      </c>
      <c r="V103" s="5">
        <f t="shared" si="28"/>
        <v>9</v>
      </c>
      <c r="W103" s="5">
        <f t="shared" si="28"/>
        <v>1</v>
      </c>
      <c r="X103" s="5">
        <f t="shared" si="28"/>
        <v>6</v>
      </c>
      <c r="Y103" s="5">
        <f t="shared" si="28"/>
        <v>7</v>
      </c>
      <c r="Z103" s="5">
        <f t="shared" si="28"/>
        <v>5</v>
      </c>
      <c r="AA103" s="5">
        <f t="shared" si="28"/>
        <v>4</v>
      </c>
      <c r="AB103" s="5">
        <f t="shared" si="28"/>
        <v>14</v>
      </c>
      <c r="AC103" s="5">
        <f t="shared" si="28"/>
        <v>4</v>
      </c>
      <c r="AD103" s="5">
        <f t="shared" si="28"/>
        <v>6</v>
      </c>
      <c r="AE103" s="5">
        <f t="shared" si="28"/>
        <v>5</v>
      </c>
      <c r="AF103" s="5">
        <f t="shared" si="28"/>
        <v>12</v>
      </c>
      <c r="AG103" s="5">
        <f t="shared" si="28"/>
        <v>1</v>
      </c>
      <c r="AH103" s="5">
        <f t="shared" si="28"/>
        <v>3</v>
      </c>
      <c r="AI103" s="5">
        <f t="shared" si="28"/>
        <v>1</v>
      </c>
      <c r="AJ103" s="5">
        <f t="shared" si="28"/>
        <v>0</v>
      </c>
      <c r="AK103" s="5">
        <f t="shared" si="28"/>
        <v>0</v>
      </c>
      <c r="AL103" s="5">
        <f t="shared" si="28"/>
        <v>3</v>
      </c>
      <c r="AM103" s="5">
        <f t="shared" si="28"/>
        <v>1</v>
      </c>
      <c r="AN103" s="5">
        <f t="shared" si="28"/>
        <v>0</v>
      </c>
      <c r="AO103" s="5">
        <f t="shared" si="28"/>
        <v>1</v>
      </c>
      <c r="AP103" s="5">
        <f t="shared" si="28"/>
        <v>120</v>
      </c>
    </row>
    <row r="104" spans="1:42" x14ac:dyDescent="0.3">
      <c r="A104" s="86"/>
      <c r="B104" s="87"/>
      <c r="C104" s="87"/>
      <c r="D104" s="87"/>
      <c r="E104" s="8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 spans="1:42" x14ac:dyDescent="0.3">
      <c r="A105" s="11" t="s">
        <v>48</v>
      </c>
      <c r="B105" s="17" t="s">
        <v>57</v>
      </c>
      <c r="C105" s="75" t="s">
        <v>58</v>
      </c>
      <c r="D105" s="76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2</v>
      </c>
      <c r="K105" s="6">
        <v>0</v>
      </c>
      <c r="L105" s="6">
        <v>0</v>
      </c>
      <c r="M105" s="6">
        <v>2</v>
      </c>
      <c r="N105" s="6">
        <v>1</v>
      </c>
      <c r="O105" s="6">
        <v>2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2</v>
      </c>
      <c r="W105" s="6">
        <v>0</v>
      </c>
      <c r="X105" s="6">
        <v>3</v>
      </c>
      <c r="Y105" s="6">
        <v>2</v>
      </c>
      <c r="Z105" s="6">
        <v>8</v>
      </c>
      <c r="AA105" s="6">
        <v>0</v>
      </c>
      <c r="AB105" s="6">
        <v>0</v>
      </c>
      <c r="AC105" s="6">
        <v>3</v>
      </c>
      <c r="AD105" s="6">
        <v>1</v>
      </c>
      <c r="AE105" s="6">
        <v>1</v>
      </c>
      <c r="AF105" s="6">
        <v>0</v>
      </c>
      <c r="AG105" s="6">
        <v>3</v>
      </c>
      <c r="AH105" s="6">
        <v>0</v>
      </c>
      <c r="AI105" s="6">
        <v>0</v>
      </c>
      <c r="AJ105" s="6">
        <v>0</v>
      </c>
      <c r="AK105" s="6">
        <v>0</v>
      </c>
      <c r="AL105" s="6">
        <v>1</v>
      </c>
      <c r="AM105" s="6">
        <v>0</v>
      </c>
      <c r="AN105" s="6">
        <v>0</v>
      </c>
      <c r="AO105" s="6">
        <v>1</v>
      </c>
      <c r="AP105" s="5">
        <f>SUM(E105:AO105)</f>
        <v>33</v>
      </c>
    </row>
    <row r="106" spans="1:42" x14ac:dyDescent="0.3">
      <c r="A106" s="11" t="s">
        <v>50</v>
      </c>
      <c r="B106" s="54"/>
      <c r="C106" s="24" t="s">
        <v>167</v>
      </c>
      <c r="D106" s="5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2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2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>
        <v>1</v>
      </c>
      <c r="AJ106" s="6">
        <v>1</v>
      </c>
      <c r="AK106" s="6">
        <v>0</v>
      </c>
      <c r="AL106" s="6">
        <v>0</v>
      </c>
      <c r="AM106" s="6">
        <v>0</v>
      </c>
      <c r="AN106" s="6">
        <v>2</v>
      </c>
      <c r="AO106" s="6">
        <v>0</v>
      </c>
      <c r="AP106" s="5">
        <f>SUM(E106:AO106)</f>
        <v>10</v>
      </c>
    </row>
    <row r="107" spans="1:42" ht="13.15" customHeight="1" x14ac:dyDescent="0.3">
      <c r="A107" s="7"/>
      <c r="B107" s="54"/>
      <c r="C107" s="24" t="s">
        <v>168</v>
      </c>
      <c r="D107" s="51"/>
      <c r="E107" s="6">
        <v>0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1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1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6">
        <v>0</v>
      </c>
      <c r="AO107" s="6">
        <v>0</v>
      </c>
      <c r="AP107" s="5">
        <f>SUM(E107:AO107)</f>
        <v>4</v>
      </c>
    </row>
    <row r="108" spans="1:42" x14ac:dyDescent="0.3">
      <c r="A108" s="7"/>
      <c r="B108" s="46"/>
      <c r="C108" s="47"/>
      <c r="D108" s="49"/>
      <c r="E108" s="6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50"/>
    </row>
    <row r="109" spans="1:42" x14ac:dyDescent="0.3">
      <c r="A109" s="7"/>
      <c r="B109" s="46"/>
      <c r="C109" s="47"/>
      <c r="D109" s="49"/>
      <c r="E109" s="6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50"/>
    </row>
    <row r="110" spans="1:42" x14ac:dyDescent="0.3">
      <c r="A110" s="7"/>
      <c r="B110" s="46"/>
      <c r="C110" s="47"/>
      <c r="D110" s="49"/>
      <c r="E110" s="6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50"/>
    </row>
    <row r="111" spans="1:42" x14ac:dyDescent="0.3">
      <c r="A111" s="7"/>
      <c r="B111" s="46"/>
      <c r="C111" s="47"/>
      <c r="D111" s="49"/>
      <c r="E111" s="6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50"/>
    </row>
    <row r="112" spans="1:42" x14ac:dyDescent="0.3">
      <c r="A112" s="7"/>
      <c r="B112" s="46"/>
      <c r="C112" s="47"/>
      <c r="D112" s="49"/>
      <c r="E112" s="6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50"/>
    </row>
    <row r="113" spans="1:44" x14ac:dyDescent="0.3">
      <c r="A113" s="7"/>
      <c r="B113" s="46"/>
      <c r="C113" s="47"/>
      <c r="D113" s="49"/>
      <c r="E113" s="6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50"/>
    </row>
    <row r="114" spans="1:44" x14ac:dyDescent="0.3">
      <c r="A114" s="7"/>
      <c r="B114" s="46"/>
      <c r="C114" s="47"/>
      <c r="D114" s="49"/>
      <c r="E114" s="6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50"/>
    </row>
    <row r="115" spans="1:44" ht="13.15" customHeight="1" x14ac:dyDescent="0.3">
      <c r="A115" s="6" t="s">
        <v>26</v>
      </c>
      <c r="B115" s="69" t="s">
        <v>51</v>
      </c>
      <c r="C115" s="70"/>
      <c r="D115" s="71"/>
      <c r="E115" s="5">
        <f>SUM(E105:E114)</f>
        <v>0</v>
      </c>
      <c r="F115" s="5">
        <f t="shared" ref="F115:AP115" si="29">SUM(F105:F114)</f>
        <v>1</v>
      </c>
      <c r="G115" s="5">
        <f t="shared" si="29"/>
        <v>0</v>
      </c>
      <c r="H115" s="5">
        <f t="shared" si="29"/>
        <v>0</v>
      </c>
      <c r="I115" s="5">
        <f t="shared" si="29"/>
        <v>0</v>
      </c>
      <c r="J115" s="5">
        <f t="shared" si="29"/>
        <v>2</v>
      </c>
      <c r="K115" s="5">
        <f t="shared" si="29"/>
        <v>0</v>
      </c>
      <c r="L115" s="5">
        <f t="shared" si="29"/>
        <v>1</v>
      </c>
      <c r="M115" s="5">
        <f t="shared" si="29"/>
        <v>2</v>
      </c>
      <c r="N115" s="5">
        <f t="shared" si="29"/>
        <v>1</v>
      </c>
      <c r="O115" s="5">
        <f t="shared" si="29"/>
        <v>2</v>
      </c>
      <c r="P115" s="5">
        <f t="shared" si="29"/>
        <v>0</v>
      </c>
      <c r="Q115" s="5">
        <f t="shared" si="29"/>
        <v>1</v>
      </c>
      <c r="R115" s="5">
        <f t="shared" si="29"/>
        <v>0</v>
      </c>
      <c r="S115" s="5">
        <f t="shared" si="29"/>
        <v>0</v>
      </c>
      <c r="T115" s="5">
        <f t="shared" si="29"/>
        <v>0</v>
      </c>
      <c r="U115" s="5">
        <f t="shared" si="29"/>
        <v>0</v>
      </c>
      <c r="V115" s="5">
        <f t="shared" si="29"/>
        <v>2</v>
      </c>
      <c r="W115" s="5">
        <f t="shared" si="29"/>
        <v>2</v>
      </c>
      <c r="X115" s="5">
        <f t="shared" si="29"/>
        <v>4</v>
      </c>
      <c r="Y115" s="5">
        <f t="shared" si="29"/>
        <v>2</v>
      </c>
      <c r="Z115" s="5">
        <f t="shared" si="29"/>
        <v>8</v>
      </c>
      <c r="AA115" s="5">
        <f t="shared" si="29"/>
        <v>0</v>
      </c>
      <c r="AB115" s="5">
        <f t="shared" si="29"/>
        <v>0</v>
      </c>
      <c r="AC115" s="5">
        <f t="shared" si="29"/>
        <v>5</v>
      </c>
      <c r="AD115" s="5">
        <f t="shared" si="29"/>
        <v>3</v>
      </c>
      <c r="AE115" s="5">
        <f t="shared" si="29"/>
        <v>1</v>
      </c>
      <c r="AF115" s="5">
        <f t="shared" si="29"/>
        <v>0</v>
      </c>
      <c r="AG115" s="5">
        <f t="shared" si="29"/>
        <v>3</v>
      </c>
      <c r="AH115" s="5">
        <f t="shared" si="29"/>
        <v>0</v>
      </c>
      <c r="AI115" s="5">
        <f t="shared" si="29"/>
        <v>1</v>
      </c>
      <c r="AJ115" s="5">
        <f t="shared" si="29"/>
        <v>1</v>
      </c>
      <c r="AK115" s="5">
        <f t="shared" si="29"/>
        <v>0</v>
      </c>
      <c r="AL115" s="5">
        <f t="shared" si="29"/>
        <v>2</v>
      </c>
      <c r="AM115" s="5">
        <f t="shared" si="29"/>
        <v>0</v>
      </c>
      <c r="AN115" s="5">
        <f t="shared" si="29"/>
        <v>2</v>
      </c>
      <c r="AO115" s="5">
        <f t="shared" si="29"/>
        <v>1</v>
      </c>
      <c r="AP115" s="5">
        <f t="shared" si="29"/>
        <v>47</v>
      </c>
    </row>
    <row r="116" spans="1:44" x14ac:dyDescent="0.3">
      <c r="A116" s="77"/>
      <c r="B116" s="78"/>
      <c r="C116" s="78"/>
      <c r="D116" s="78"/>
      <c r="E116" s="7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AB116" s="18"/>
      <c r="AC116" s="18"/>
      <c r="AD116" s="18"/>
      <c r="AE116" s="18"/>
      <c r="AF116" s="18"/>
      <c r="AG116" s="18"/>
      <c r="AH116" s="18"/>
      <c r="AI116" s="18"/>
      <c r="AJ116" s="18"/>
      <c r="AP116" s="5"/>
    </row>
    <row r="117" spans="1:44" x14ac:dyDescent="0.3">
      <c r="A117" s="11" t="s">
        <v>48</v>
      </c>
      <c r="B117" s="17" t="s">
        <v>59</v>
      </c>
      <c r="C117" s="75" t="s">
        <v>60</v>
      </c>
      <c r="D117" s="76"/>
      <c r="E117" s="6">
        <v>0</v>
      </c>
      <c r="F117" s="6">
        <v>1</v>
      </c>
      <c r="G117" s="6">
        <v>0</v>
      </c>
      <c r="H117" s="6">
        <v>0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2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1</v>
      </c>
      <c r="Z117" s="6">
        <v>0</v>
      </c>
      <c r="AA117" s="6">
        <v>3</v>
      </c>
      <c r="AB117" s="6">
        <v>1</v>
      </c>
      <c r="AC117" s="6">
        <v>0</v>
      </c>
      <c r="AD117" s="6">
        <v>0</v>
      </c>
      <c r="AE117" s="6">
        <v>1</v>
      </c>
      <c r="AF117" s="6">
        <v>0</v>
      </c>
      <c r="AG117" s="6">
        <v>0</v>
      </c>
      <c r="AH117" s="6">
        <v>1</v>
      </c>
      <c r="AI117" s="6">
        <v>0</v>
      </c>
      <c r="AJ117" s="6">
        <v>3</v>
      </c>
      <c r="AK117" s="6">
        <v>0</v>
      </c>
      <c r="AL117" s="6">
        <v>0</v>
      </c>
      <c r="AM117" s="6">
        <v>0</v>
      </c>
      <c r="AN117" s="6">
        <v>2</v>
      </c>
      <c r="AO117" s="6">
        <v>0</v>
      </c>
      <c r="AP117" s="5">
        <f>SUM(E117:AO117)</f>
        <v>17</v>
      </c>
      <c r="AQ117" s="20"/>
      <c r="AR117" s="20"/>
    </row>
    <row r="118" spans="1:44" x14ac:dyDescent="0.3">
      <c r="A118" s="11" t="s">
        <v>50</v>
      </c>
      <c r="B118" s="54"/>
      <c r="C118" s="24" t="s">
        <v>169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1</v>
      </c>
      <c r="T118" s="6">
        <v>0</v>
      </c>
      <c r="U118" s="6">
        <v>0</v>
      </c>
      <c r="V118" s="6">
        <v>0</v>
      </c>
      <c r="W118" s="6">
        <v>5</v>
      </c>
      <c r="X118" s="6">
        <v>0</v>
      </c>
      <c r="Y118" s="6">
        <v>1</v>
      </c>
      <c r="Z118" s="6">
        <v>0</v>
      </c>
      <c r="AA118" s="6">
        <v>1</v>
      </c>
      <c r="AB118" s="6">
        <v>0</v>
      </c>
      <c r="AC118" s="6">
        <v>0</v>
      </c>
      <c r="AD118" s="6">
        <v>1</v>
      </c>
      <c r="AE118" s="6">
        <v>0</v>
      </c>
      <c r="AF118" s="6">
        <v>0</v>
      </c>
      <c r="AG118" s="6">
        <v>1</v>
      </c>
      <c r="AH118" s="6">
        <v>0</v>
      </c>
      <c r="AI118" s="6">
        <v>0</v>
      </c>
      <c r="AJ118" s="6">
        <v>1</v>
      </c>
      <c r="AK118" s="6">
        <v>0</v>
      </c>
      <c r="AL118" s="6">
        <v>1</v>
      </c>
      <c r="AM118" s="6">
        <v>0</v>
      </c>
      <c r="AN118" s="6">
        <v>0</v>
      </c>
      <c r="AO118" s="6">
        <v>0</v>
      </c>
      <c r="AP118" s="5">
        <f t="shared" ref="AP118:AP122" si="30">SUM(E118:AO118)</f>
        <v>12</v>
      </c>
      <c r="AQ118" s="20"/>
      <c r="AR118" s="20"/>
    </row>
    <row r="119" spans="1:44" x14ac:dyDescent="0.3">
      <c r="A119" s="7"/>
      <c r="B119" s="54"/>
      <c r="C119" s="24" t="s">
        <v>170</v>
      </c>
      <c r="D119" s="51"/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6">
        <v>0</v>
      </c>
      <c r="W119" s="6">
        <v>0</v>
      </c>
      <c r="X119" s="6">
        <v>0</v>
      </c>
      <c r="Y119" s="6">
        <v>1</v>
      </c>
      <c r="Z119" s="6">
        <v>0</v>
      </c>
      <c r="AA119" s="6">
        <v>1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1</v>
      </c>
      <c r="AK119" s="6">
        <v>0</v>
      </c>
      <c r="AL119" s="6">
        <v>0</v>
      </c>
      <c r="AM119" s="6">
        <v>1</v>
      </c>
      <c r="AN119" s="6">
        <v>0</v>
      </c>
      <c r="AO119" s="6">
        <v>0</v>
      </c>
      <c r="AP119" s="5">
        <f t="shared" si="30"/>
        <v>6</v>
      </c>
      <c r="AQ119" s="20"/>
      <c r="AR119" s="20"/>
    </row>
    <row r="120" spans="1:44" x14ac:dyDescent="0.3">
      <c r="A120" s="7"/>
      <c r="B120" s="54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1</v>
      </c>
      <c r="AD120" s="6">
        <v>0</v>
      </c>
      <c r="AE120" s="6">
        <v>3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5">
        <f t="shared" si="30"/>
        <v>4</v>
      </c>
      <c r="AQ120" s="20"/>
      <c r="AR120" s="20"/>
    </row>
    <row r="121" spans="1:44" x14ac:dyDescent="0.3">
      <c r="A121" s="7"/>
      <c r="B121" s="54"/>
      <c r="C121" s="24" t="s">
        <v>172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1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1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5">
        <f t="shared" si="30"/>
        <v>3</v>
      </c>
      <c r="AQ121" s="20"/>
      <c r="AR121" s="20"/>
    </row>
    <row r="122" spans="1:44" x14ac:dyDescent="0.3">
      <c r="A122" s="7"/>
      <c r="B122" s="54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5">
        <f t="shared" si="30"/>
        <v>0</v>
      </c>
      <c r="AQ122" s="20"/>
      <c r="AR122" s="20"/>
    </row>
    <row r="123" spans="1:44" x14ac:dyDescent="0.3">
      <c r="A123" s="7"/>
      <c r="B123" s="46"/>
      <c r="C123" s="47"/>
      <c r="D123" s="49"/>
      <c r="E123" s="62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50"/>
      <c r="AQ123" s="20"/>
      <c r="AR123" s="20"/>
    </row>
    <row r="124" spans="1:44" x14ac:dyDescent="0.3">
      <c r="A124" s="7"/>
      <c r="B124" s="46"/>
      <c r="C124" s="47"/>
      <c r="D124" s="49"/>
      <c r="E124" s="62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50"/>
      <c r="AQ124" s="20"/>
      <c r="AR124" s="20"/>
    </row>
    <row r="125" spans="1:44" x14ac:dyDescent="0.3">
      <c r="A125" s="7"/>
      <c r="B125" s="46"/>
      <c r="C125" s="47"/>
      <c r="D125" s="49"/>
      <c r="E125" s="62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50"/>
      <c r="AQ125" s="20"/>
      <c r="AR125" s="20"/>
    </row>
    <row r="126" spans="1:44" x14ac:dyDescent="0.3">
      <c r="A126" s="7"/>
      <c r="B126" s="46"/>
      <c r="C126" s="47"/>
      <c r="D126" s="49"/>
      <c r="E126" s="62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50"/>
      <c r="AQ126" s="20"/>
      <c r="AR126" s="20"/>
    </row>
    <row r="127" spans="1:44" x14ac:dyDescent="0.3">
      <c r="A127" s="6" t="s">
        <v>26</v>
      </c>
      <c r="B127" s="69" t="s">
        <v>51</v>
      </c>
      <c r="C127" s="70"/>
      <c r="D127" s="71"/>
      <c r="E127" s="5">
        <f>SUM(E117:E126)</f>
        <v>1</v>
      </c>
      <c r="F127" s="5">
        <f t="shared" ref="F127:AP127" si="31">SUM(F117:F126)</f>
        <v>1</v>
      </c>
      <c r="G127" s="5">
        <f t="shared" si="31"/>
        <v>0</v>
      </c>
      <c r="H127" s="5">
        <f t="shared" si="31"/>
        <v>0</v>
      </c>
      <c r="I127" s="5">
        <f t="shared" si="31"/>
        <v>1</v>
      </c>
      <c r="J127" s="5">
        <f t="shared" si="31"/>
        <v>1</v>
      </c>
      <c r="K127" s="5">
        <f t="shared" si="31"/>
        <v>0</v>
      </c>
      <c r="L127" s="5">
        <f t="shared" si="31"/>
        <v>0</v>
      </c>
      <c r="M127" s="5">
        <f t="shared" si="31"/>
        <v>0</v>
      </c>
      <c r="N127" s="5">
        <f t="shared" si="31"/>
        <v>1</v>
      </c>
      <c r="O127" s="5">
        <f t="shared" si="31"/>
        <v>1</v>
      </c>
      <c r="P127" s="5">
        <f t="shared" si="31"/>
        <v>2</v>
      </c>
      <c r="Q127" s="5">
        <f t="shared" si="31"/>
        <v>0</v>
      </c>
      <c r="R127" s="5">
        <f t="shared" si="31"/>
        <v>0</v>
      </c>
      <c r="S127" s="5">
        <f t="shared" si="31"/>
        <v>1</v>
      </c>
      <c r="T127" s="5">
        <f t="shared" si="31"/>
        <v>1</v>
      </c>
      <c r="U127" s="5">
        <f t="shared" si="31"/>
        <v>0</v>
      </c>
      <c r="V127" s="5">
        <f t="shared" si="31"/>
        <v>0</v>
      </c>
      <c r="W127" s="5">
        <f t="shared" si="31"/>
        <v>5</v>
      </c>
      <c r="X127" s="5">
        <f t="shared" si="31"/>
        <v>1</v>
      </c>
      <c r="Y127" s="5">
        <f t="shared" si="31"/>
        <v>3</v>
      </c>
      <c r="Z127" s="5">
        <f t="shared" si="31"/>
        <v>0</v>
      </c>
      <c r="AA127" s="5">
        <f t="shared" si="31"/>
        <v>5</v>
      </c>
      <c r="AB127" s="5">
        <f t="shared" si="31"/>
        <v>1</v>
      </c>
      <c r="AC127" s="5">
        <f t="shared" si="31"/>
        <v>1</v>
      </c>
      <c r="AD127" s="5">
        <f t="shared" si="31"/>
        <v>1</v>
      </c>
      <c r="AE127" s="5">
        <f t="shared" si="31"/>
        <v>4</v>
      </c>
      <c r="AF127" s="5">
        <f t="shared" si="31"/>
        <v>0</v>
      </c>
      <c r="AG127" s="5">
        <f t="shared" si="31"/>
        <v>1</v>
      </c>
      <c r="AH127" s="5">
        <f t="shared" si="31"/>
        <v>1</v>
      </c>
      <c r="AI127" s="5">
        <f t="shared" si="31"/>
        <v>0</v>
      </c>
      <c r="AJ127" s="5">
        <f t="shared" si="31"/>
        <v>5</v>
      </c>
      <c r="AK127" s="5">
        <f t="shared" si="31"/>
        <v>0</v>
      </c>
      <c r="AL127" s="5">
        <f t="shared" si="31"/>
        <v>1</v>
      </c>
      <c r="AM127" s="5">
        <f t="shared" si="31"/>
        <v>1</v>
      </c>
      <c r="AN127" s="5">
        <f t="shared" si="31"/>
        <v>2</v>
      </c>
      <c r="AO127" s="5">
        <f t="shared" si="31"/>
        <v>0</v>
      </c>
      <c r="AP127" s="5">
        <f t="shared" si="31"/>
        <v>42</v>
      </c>
      <c r="AQ127" s="20"/>
      <c r="AR127" s="20"/>
    </row>
    <row r="128" spans="1:44" x14ac:dyDescent="0.3">
      <c r="A128" s="77"/>
      <c r="B128" s="78"/>
      <c r="C128" s="78"/>
      <c r="D128" s="78"/>
      <c r="E128" s="7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20"/>
      <c r="AR128" s="20"/>
    </row>
    <row r="129" spans="1:44" x14ac:dyDescent="0.3">
      <c r="A129" s="11" t="s">
        <v>48</v>
      </c>
      <c r="B129" s="17" t="s">
        <v>61</v>
      </c>
      <c r="C129" s="75" t="s">
        <v>62</v>
      </c>
      <c r="D129" s="76"/>
      <c r="E129" s="6">
        <v>0</v>
      </c>
      <c r="F129" s="6">
        <v>0</v>
      </c>
      <c r="G129" s="6">
        <v>0</v>
      </c>
      <c r="H129" s="6">
        <v>1</v>
      </c>
      <c r="I129" s="6">
        <v>1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4</v>
      </c>
      <c r="P129" s="6">
        <v>3</v>
      </c>
      <c r="Q129" s="6">
        <v>0</v>
      </c>
      <c r="R129" s="6">
        <v>1</v>
      </c>
      <c r="S129" s="6">
        <v>1</v>
      </c>
      <c r="T129" s="6">
        <v>1</v>
      </c>
      <c r="U129" s="6">
        <v>1</v>
      </c>
      <c r="V129" s="6">
        <v>1</v>
      </c>
      <c r="W129" s="6">
        <v>2</v>
      </c>
      <c r="X129" s="6">
        <v>2</v>
      </c>
      <c r="Y129" s="6">
        <v>0</v>
      </c>
      <c r="Z129" s="6">
        <v>2</v>
      </c>
      <c r="AA129" s="6">
        <v>3</v>
      </c>
      <c r="AB129" s="6">
        <v>0</v>
      </c>
      <c r="AC129" s="6">
        <v>0</v>
      </c>
      <c r="AD129" s="6">
        <v>1</v>
      </c>
      <c r="AE129" s="6">
        <v>0</v>
      </c>
      <c r="AF129" s="6">
        <v>6</v>
      </c>
      <c r="AG129" s="6">
        <v>0</v>
      </c>
      <c r="AH129" s="6">
        <v>0</v>
      </c>
      <c r="AI129" s="6">
        <v>2</v>
      </c>
      <c r="AJ129" s="6">
        <v>1</v>
      </c>
      <c r="AK129" s="6">
        <v>1</v>
      </c>
      <c r="AL129" s="6">
        <v>0</v>
      </c>
      <c r="AM129" s="6">
        <v>1</v>
      </c>
      <c r="AN129" s="6">
        <v>0</v>
      </c>
      <c r="AO129" s="6">
        <v>0</v>
      </c>
      <c r="AP129" s="5">
        <f>SUM(E129:AO129)</f>
        <v>38</v>
      </c>
      <c r="AQ129" s="20"/>
      <c r="AR129" s="20"/>
    </row>
    <row r="130" spans="1:44" ht="13.15" customHeight="1" x14ac:dyDescent="0.3">
      <c r="A130" s="11" t="s">
        <v>50</v>
      </c>
      <c r="B130" s="54"/>
      <c r="C130" s="24" t="s">
        <v>174</v>
      </c>
      <c r="D130" s="55"/>
      <c r="E130" s="6">
        <v>0</v>
      </c>
      <c r="F130" s="6">
        <v>1</v>
      </c>
      <c r="G130" s="6">
        <v>0</v>
      </c>
      <c r="H130" s="6">
        <v>0</v>
      </c>
      <c r="I130" s="6">
        <v>0</v>
      </c>
      <c r="J130" s="6">
        <v>2</v>
      </c>
      <c r="K130" s="6">
        <v>0</v>
      </c>
      <c r="L130" s="6">
        <v>0</v>
      </c>
      <c r="M130" s="6">
        <v>1</v>
      </c>
      <c r="N130" s="6">
        <v>1</v>
      </c>
      <c r="O130" s="6">
        <v>1</v>
      </c>
      <c r="P130" s="6">
        <v>1</v>
      </c>
      <c r="Q130" s="6">
        <v>0</v>
      </c>
      <c r="R130" s="6">
        <v>3</v>
      </c>
      <c r="S130" s="6">
        <v>1</v>
      </c>
      <c r="T130" s="6">
        <v>2</v>
      </c>
      <c r="U130" s="6">
        <v>1</v>
      </c>
      <c r="V130" s="6">
        <v>2</v>
      </c>
      <c r="W130" s="6">
        <v>3</v>
      </c>
      <c r="X130" s="6">
        <v>0</v>
      </c>
      <c r="Y130" s="6">
        <v>3</v>
      </c>
      <c r="Z130" s="6">
        <v>1</v>
      </c>
      <c r="AA130" s="6">
        <v>1</v>
      </c>
      <c r="AB130" s="6">
        <v>1</v>
      </c>
      <c r="AC130" s="6">
        <v>1</v>
      </c>
      <c r="AD130" s="6">
        <v>0</v>
      </c>
      <c r="AE130" s="6">
        <v>0</v>
      </c>
      <c r="AF130" s="6">
        <v>5</v>
      </c>
      <c r="AG130" s="6">
        <v>2</v>
      </c>
      <c r="AH130" s="6">
        <v>0</v>
      </c>
      <c r="AI130" s="6">
        <v>1</v>
      </c>
      <c r="AJ130" s="6">
        <v>1</v>
      </c>
      <c r="AK130" s="6">
        <v>0</v>
      </c>
      <c r="AL130" s="6">
        <v>0</v>
      </c>
      <c r="AM130" s="6">
        <v>0</v>
      </c>
      <c r="AN130" s="6">
        <v>0</v>
      </c>
      <c r="AO130" s="6">
        <v>2</v>
      </c>
      <c r="AP130" s="5">
        <f t="shared" ref="AP130:AP138" si="32">SUM(E130:AO130)</f>
        <v>37</v>
      </c>
      <c r="AQ130" s="1"/>
      <c r="AR130" s="1"/>
    </row>
    <row r="131" spans="1:44" x14ac:dyDescent="0.3">
      <c r="A131" s="7"/>
      <c r="B131" s="54"/>
      <c r="C131" s="24" t="s">
        <v>175</v>
      </c>
      <c r="D131" s="5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1</v>
      </c>
      <c r="AC131" s="6">
        <v>1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1</v>
      </c>
      <c r="AP131" s="5">
        <f t="shared" si="32"/>
        <v>5</v>
      </c>
      <c r="AQ131" s="28"/>
      <c r="AR131" s="28"/>
    </row>
    <row r="132" spans="1:44" x14ac:dyDescent="0.3">
      <c r="A132" s="7"/>
      <c r="B132" s="54"/>
      <c r="C132" s="24" t="s">
        <v>176</v>
      </c>
      <c r="D132" s="5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1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  <c r="U132" s="6">
        <v>1</v>
      </c>
      <c r="V132" s="6">
        <v>0</v>
      </c>
      <c r="W132" s="6">
        <v>0</v>
      </c>
      <c r="X132" s="6">
        <v>1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1</v>
      </c>
      <c r="AL132" s="6">
        <v>0</v>
      </c>
      <c r="AM132" s="6">
        <v>0</v>
      </c>
      <c r="AN132" s="6">
        <v>0</v>
      </c>
      <c r="AO132" s="6">
        <v>0</v>
      </c>
      <c r="AP132" s="5">
        <f t="shared" si="32"/>
        <v>6</v>
      </c>
      <c r="AQ132" s="20"/>
      <c r="AR132" s="20"/>
    </row>
    <row r="133" spans="1:44" x14ac:dyDescent="0.3">
      <c r="A133" s="7"/>
      <c r="B133" s="54"/>
      <c r="C133" s="24" t="s">
        <v>177</v>
      </c>
      <c r="D133" s="5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1</v>
      </c>
      <c r="P133" s="6">
        <v>0</v>
      </c>
      <c r="Q133" s="6">
        <v>1</v>
      </c>
      <c r="R133" s="6">
        <v>0</v>
      </c>
      <c r="S133" s="6">
        <v>0</v>
      </c>
      <c r="T133" s="6">
        <v>0</v>
      </c>
      <c r="U133" s="6">
        <v>0</v>
      </c>
      <c r="V133" s="6">
        <v>1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1</v>
      </c>
      <c r="AM133" s="6">
        <v>0</v>
      </c>
      <c r="AN133" s="6">
        <v>0</v>
      </c>
      <c r="AO133" s="6">
        <v>0</v>
      </c>
      <c r="AP133" s="5">
        <f t="shared" si="32"/>
        <v>5</v>
      </c>
      <c r="AQ133" s="20"/>
      <c r="AR133" s="20"/>
    </row>
    <row r="134" spans="1:44" x14ac:dyDescent="0.3">
      <c r="A134" s="7"/>
      <c r="B134" s="54"/>
      <c r="C134" s="24" t="s">
        <v>178</v>
      </c>
      <c r="D134" s="55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1</v>
      </c>
      <c r="AE134" s="6">
        <v>0</v>
      </c>
      <c r="AF134" s="6">
        <v>0</v>
      </c>
      <c r="AG134" s="6">
        <v>0</v>
      </c>
      <c r="AH134" s="6">
        <v>0</v>
      </c>
      <c r="AI134" s="6">
        <v>1</v>
      </c>
      <c r="AJ134" s="6">
        <v>0</v>
      </c>
      <c r="AK134" s="6">
        <v>0</v>
      </c>
      <c r="AL134" s="6">
        <v>0</v>
      </c>
      <c r="AM134" s="6">
        <v>0</v>
      </c>
      <c r="AN134" s="6">
        <v>1</v>
      </c>
      <c r="AO134" s="6">
        <v>0</v>
      </c>
      <c r="AP134" s="5">
        <f t="shared" si="32"/>
        <v>4</v>
      </c>
      <c r="AQ134" s="20"/>
      <c r="AR134" s="20"/>
    </row>
    <row r="135" spans="1:44" x14ac:dyDescent="0.3">
      <c r="A135" s="7"/>
      <c r="B135" s="54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1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1</v>
      </c>
      <c r="AM135" s="6">
        <v>0</v>
      </c>
      <c r="AN135" s="6">
        <v>0</v>
      </c>
      <c r="AO135" s="6">
        <v>0</v>
      </c>
      <c r="AP135" s="5">
        <f t="shared" si="32"/>
        <v>4</v>
      </c>
      <c r="AQ135" s="20"/>
      <c r="AR135" s="20"/>
    </row>
    <row r="136" spans="1:44" x14ac:dyDescent="0.3">
      <c r="A136" s="7"/>
      <c r="B136" s="54"/>
      <c r="C136" s="24" t="s">
        <v>180</v>
      </c>
      <c r="D136" s="55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1</v>
      </c>
      <c r="AO136" s="6">
        <v>0</v>
      </c>
      <c r="AP136" s="5">
        <f t="shared" si="32"/>
        <v>3</v>
      </c>
      <c r="AQ136" s="20"/>
      <c r="AR136" s="20"/>
    </row>
    <row r="137" spans="1:44" x14ac:dyDescent="0.3">
      <c r="A137" s="7"/>
      <c r="B137" s="54"/>
      <c r="C137" s="24" t="s">
        <v>181</v>
      </c>
      <c r="D137" s="55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1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5">
        <f t="shared" si="32"/>
        <v>2</v>
      </c>
      <c r="AQ137" s="20"/>
      <c r="AR137" s="20"/>
    </row>
    <row r="138" spans="1:44" x14ac:dyDescent="0.3">
      <c r="A138" s="7"/>
      <c r="B138" s="54"/>
      <c r="C138" s="24" t="s">
        <v>182</v>
      </c>
      <c r="D138" s="55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1</v>
      </c>
      <c r="AK138" s="6">
        <v>0</v>
      </c>
      <c r="AL138" s="6">
        <v>0</v>
      </c>
      <c r="AM138" s="6">
        <v>1</v>
      </c>
      <c r="AN138" s="6">
        <v>0</v>
      </c>
      <c r="AO138" s="6">
        <v>0</v>
      </c>
      <c r="AP138" s="5">
        <f t="shared" si="32"/>
        <v>3</v>
      </c>
      <c r="AQ138" s="20"/>
      <c r="AR138" s="20"/>
    </row>
    <row r="139" spans="1:44" x14ac:dyDescent="0.3">
      <c r="A139" s="6" t="s">
        <v>26</v>
      </c>
      <c r="B139" s="69" t="s">
        <v>51</v>
      </c>
      <c r="C139" s="70"/>
      <c r="D139" s="71"/>
      <c r="E139" s="5">
        <f>SUM(E129:E138)</f>
        <v>0</v>
      </c>
      <c r="F139" s="5">
        <f t="shared" ref="F139:AP139" si="33">SUM(F129:F138)</f>
        <v>1</v>
      </c>
      <c r="G139" s="5">
        <f t="shared" si="33"/>
        <v>0</v>
      </c>
      <c r="H139" s="5">
        <f t="shared" si="33"/>
        <v>1</v>
      </c>
      <c r="I139" s="5">
        <f t="shared" si="33"/>
        <v>1</v>
      </c>
      <c r="J139" s="5">
        <f t="shared" si="33"/>
        <v>5</v>
      </c>
      <c r="K139" s="5">
        <f t="shared" si="33"/>
        <v>0</v>
      </c>
      <c r="L139" s="5">
        <f t="shared" si="33"/>
        <v>0</v>
      </c>
      <c r="M139" s="5">
        <f t="shared" si="33"/>
        <v>1</v>
      </c>
      <c r="N139" s="5">
        <f t="shared" si="33"/>
        <v>6</v>
      </c>
      <c r="O139" s="5">
        <f t="shared" si="33"/>
        <v>6</v>
      </c>
      <c r="P139" s="5">
        <f t="shared" si="33"/>
        <v>5</v>
      </c>
      <c r="Q139" s="5">
        <f t="shared" si="33"/>
        <v>3</v>
      </c>
      <c r="R139" s="5">
        <f t="shared" si="33"/>
        <v>5</v>
      </c>
      <c r="S139" s="5">
        <f t="shared" si="33"/>
        <v>2</v>
      </c>
      <c r="T139" s="5">
        <f t="shared" si="33"/>
        <v>3</v>
      </c>
      <c r="U139" s="5">
        <f t="shared" si="33"/>
        <v>3</v>
      </c>
      <c r="V139" s="5">
        <f t="shared" si="33"/>
        <v>4</v>
      </c>
      <c r="W139" s="5">
        <f t="shared" si="33"/>
        <v>6</v>
      </c>
      <c r="X139" s="5">
        <f t="shared" si="33"/>
        <v>4</v>
      </c>
      <c r="Y139" s="5">
        <f t="shared" si="33"/>
        <v>3</v>
      </c>
      <c r="Z139" s="5">
        <f t="shared" si="33"/>
        <v>3</v>
      </c>
      <c r="AA139" s="5">
        <f t="shared" si="33"/>
        <v>4</v>
      </c>
      <c r="AB139" s="5">
        <f t="shared" si="33"/>
        <v>2</v>
      </c>
      <c r="AC139" s="5">
        <f t="shared" si="33"/>
        <v>2</v>
      </c>
      <c r="AD139" s="5">
        <f t="shared" si="33"/>
        <v>3</v>
      </c>
      <c r="AE139" s="5">
        <f t="shared" si="33"/>
        <v>1</v>
      </c>
      <c r="AF139" s="5">
        <f t="shared" si="33"/>
        <v>12</v>
      </c>
      <c r="AG139" s="5">
        <f t="shared" si="33"/>
        <v>2</v>
      </c>
      <c r="AH139" s="5">
        <f t="shared" si="33"/>
        <v>0</v>
      </c>
      <c r="AI139" s="5">
        <f t="shared" si="33"/>
        <v>5</v>
      </c>
      <c r="AJ139" s="5">
        <f t="shared" si="33"/>
        <v>3</v>
      </c>
      <c r="AK139" s="5">
        <f t="shared" si="33"/>
        <v>2</v>
      </c>
      <c r="AL139" s="5">
        <f t="shared" si="33"/>
        <v>2</v>
      </c>
      <c r="AM139" s="5">
        <f t="shared" si="33"/>
        <v>2</v>
      </c>
      <c r="AN139" s="5">
        <f t="shared" si="33"/>
        <v>2</v>
      </c>
      <c r="AO139" s="5">
        <f t="shared" si="33"/>
        <v>3</v>
      </c>
      <c r="AP139" s="5">
        <f t="shared" si="33"/>
        <v>107</v>
      </c>
      <c r="AQ139" s="20"/>
      <c r="AR139" s="20"/>
    </row>
    <row r="140" spans="1:44" x14ac:dyDescent="0.3">
      <c r="A140" s="77"/>
      <c r="B140" s="78"/>
      <c r="C140" s="78"/>
      <c r="D140" s="78"/>
      <c r="E140" s="7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20"/>
      <c r="AR140" s="20"/>
    </row>
    <row r="141" spans="1:44" ht="13.15" customHeight="1" x14ac:dyDescent="0.3">
      <c r="A141" s="11" t="s">
        <v>48</v>
      </c>
      <c r="B141" s="17" t="s">
        <v>63</v>
      </c>
      <c r="C141" s="75" t="s">
        <v>64</v>
      </c>
      <c r="D141" s="76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/>
      <c r="AJ141" s="6"/>
      <c r="AK141" s="6"/>
      <c r="AL141" s="6"/>
      <c r="AM141" s="6"/>
      <c r="AN141" s="6"/>
      <c r="AO141" s="6"/>
      <c r="AP141" s="5">
        <f>SUM(E141:AO141)</f>
        <v>0</v>
      </c>
      <c r="AQ141" s="1"/>
      <c r="AR141" s="1"/>
    </row>
    <row r="142" spans="1:44" x14ac:dyDescent="0.3">
      <c r="A142" s="11" t="s">
        <v>50</v>
      </c>
      <c r="B142" s="54"/>
      <c r="C142" s="24" t="s">
        <v>183</v>
      </c>
      <c r="D142" s="51"/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1</v>
      </c>
      <c r="AE142" s="6">
        <v>0</v>
      </c>
      <c r="AF142" s="6">
        <v>0</v>
      </c>
      <c r="AG142" s="6">
        <v>0</v>
      </c>
      <c r="AH142" s="6">
        <v>0</v>
      </c>
      <c r="AI142" s="6"/>
      <c r="AJ142" s="6"/>
      <c r="AK142" s="6"/>
      <c r="AL142" s="6"/>
      <c r="AM142" s="6"/>
      <c r="AN142" s="6"/>
      <c r="AO142" s="6"/>
      <c r="AP142" s="5">
        <f>SUM(E142:AO142)</f>
        <v>2</v>
      </c>
      <c r="AQ142" s="28"/>
      <c r="AR142" s="28"/>
    </row>
    <row r="143" spans="1:44" x14ac:dyDescent="0.3">
      <c r="A143" s="7"/>
      <c r="B143" s="54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/>
      <c r="AJ143" s="6"/>
      <c r="AK143" s="6"/>
      <c r="AL143" s="6"/>
      <c r="AM143" s="6"/>
      <c r="AN143" s="6"/>
      <c r="AO143" s="6"/>
      <c r="AP143" s="5">
        <f>SUM(E143:AO143)</f>
        <v>0</v>
      </c>
      <c r="AQ143" s="20"/>
      <c r="AR143" s="20"/>
    </row>
    <row r="144" spans="1:44" x14ac:dyDescent="0.3">
      <c r="A144" s="7"/>
      <c r="B144" s="54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/>
      <c r="AJ144" s="6"/>
      <c r="AK144" s="6"/>
      <c r="AL144" s="6"/>
      <c r="AM144" s="6"/>
      <c r="AN144" s="6"/>
      <c r="AO144" s="6"/>
      <c r="AP144" s="5">
        <f>SUM(E144:AO144)</f>
        <v>0</v>
      </c>
      <c r="AQ144" s="20"/>
      <c r="AR144" s="20"/>
    </row>
    <row r="145" spans="1:44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50"/>
      <c r="AQ145" s="20"/>
      <c r="AR145" s="20"/>
    </row>
    <row r="146" spans="1:44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50"/>
      <c r="AQ146" s="20"/>
      <c r="AR146" s="20"/>
    </row>
    <row r="147" spans="1:44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50"/>
      <c r="AQ147" s="20"/>
      <c r="AR147" s="20"/>
    </row>
    <row r="148" spans="1:44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50"/>
      <c r="AQ148" s="20"/>
      <c r="AR148" s="20"/>
    </row>
    <row r="149" spans="1:44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50"/>
      <c r="AQ149" s="20"/>
      <c r="AR149" s="20"/>
    </row>
    <row r="150" spans="1:44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50"/>
      <c r="AQ150" s="20"/>
      <c r="AR150" s="20"/>
    </row>
    <row r="151" spans="1:44" ht="13.15" customHeight="1" x14ac:dyDescent="0.3">
      <c r="A151" s="6" t="s">
        <v>26</v>
      </c>
      <c r="B151" s="69" t="s">
        <v>51</v>
      </c>
      <c r="C151" s="70"/>
      <c r="D151" s="71"/>
      <c r="E151" s="5">
        <f>SUM(E141:E150)</f>
        <v>0</v>
      </c>
      <c r="F151" s="5">
        <f t="shared" ref="F151:AP151" si="34">SUM(F141:F150)</f>
        <v>0</v>
      </c>
      <c r="G151" s="5">
        <f t="shared" si="34"/>
        <v>0</v>
      </c>
      <c r="H151" s="5">
        <f t="shared" si="34"/>
        <v>0</v>
      </c>
      <c r="I151" s="5">
        <f t="shared" si="34"/>
        <v>1</v>
      </c>
      <c r="J151" s="5">
        <f t="shared" si="34"/>
        <v>0</v>
      </c>
      <c r="K151" s="5">
        <f t="shared" si="34"/>
        <v>0</v>
      </c>
      <c r="L151" s="5">
        <f t="shared" si="34"/>
        <v>0</v>
      </c>
      <c r="M151" s="5">
        <f t="shared" si="34"/>
        <v>0</v>
      </c>
      <c r="N151" s="5">
        <f t="shared" si="34"/>
        <v>0</v>
      </c>
      <c r="O151" s="5">
        <f t="shared" si="34"/>
        <v>0</v>
      </c>
      <c r="P151" s="5">
        <f t="shared" si="34"/>
        <v>0</v>
      </c>
      <c r="Q151" s="5">
        <f t="shared" si="34"/>
        <v>0</v>
      </c>
      <c r="R151" s="5">
        <f t="shared" si="34"/>
        <v>0</v>
      </c>
      <c r="S151" s="5">
        <f t="shared" si="34"/>
        <v>0</v>
      </c>
      <c r="T151" s="5">
        <f t="shared" si="34"/>
        <v>0</v>
      </c>
      <c r="U151" s="5">
        <f t="shared" si="34"/>
        <v>0</v>
      </c>
      <c r="V151" s="5">
        <f t="shared" si="34"/>
        <v>0</v>
      </c>
      <c r="W151" s="5">
        <f t="shared" si="34"/>
        <v>0</v>
      </c>
      <c r="X151" s="5">
        <f t="shared" si="34"/>
        <v>0</v>
      </c>
      <c r="Y151" s="5">
        <f t="shared" si="34"/>
        <v>0</v>
      </c>
      <c r="Z151" s="5">
        <f t="shared" si="34"/>
        <v>0</v>
      </c>
      <c r="AA151" s="5">
        <f t="shared" si="34"/>
        <v>0</v>
      </c>
      <c r="AB151" s="5">
        <f t="shared" si="34"/>
        <v>0</v>
      </c>
      <c r="AC151" s="5">
        <f t="shared" si="34"/>
        <v>0</v>
      </c>
      <c r="AD151" s="5">
        <f t="shared" si="34"/>
        <v>1</v>
      </c>
      <c r="AE151" s="5">
        <f t="shared" si="34"/>
        <v>0</v>
      </c>
      <c r="AF151" s="5">
        <f t="shared" si="34"/>
        <v>0</v>
      </c>
      <c r="AG151" s="5">
        <f t="shared" si="34"/>
        <v>0</v>
      </c>
      <c r="AH151" s="5">
        <f t="shared" si="34"/>
        <v>0</v>
      </c>
      <c r="AI151" s="5">
        <f t="shared" si="34"/>
        <v>0</v>
      </c>
      <c r="AJ151" s="5">
        <f t="shared" si="34"/>
        <v>0</v>
      </c>
      <c r="AK151" s="5">
        <f t="shared" si="34"/>
        <v>0</v>
      </c>
      <c r="AL151" s="5">
        <f t="shared" si="34"/>
        <v>0</v>
      </c>
      <c r="AM151" s="5">
        <f t="shared" si="34"/>
        <v>0</v>
      </c>
      <c r="AN151" s="5">
        <f t="shared" si="34"/>
        <v>0</v>
      </c>
      <c r="AO151" s="5">
        <f t="shared" si="34"/>
        <v>0</v>
      </c>
      <c r="AP151" s="5">
        <f t="shared" si="34"/>
        <v>2</v>
      </c>
      <c r="AQ151" s="1"/>
      <c r="AR151" s="1"/>
    </row>
    <row r="152" spans="1:44" x14ac:dyDescent="0.3">
      <c r="A152" s="77"/>
      <c r="B152" s="78"/>
      <c r="C152" s="78"/>
      <c r="D152" s="78"/>
      <c r="E152" s="7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5"/>
      <c r="AQ152" s="28"/>
      <c r="AR152" s="28"/>
    </row>
    <row r="153" spans="1:44" x14ac:dyDescent="0.3">
      <c r="A153" s="11" t="s">
        <v>48</v>
      </c>
      <c r="B153" s="45" t="s">
        <v>65</v>
      </c>
      <c r="C153" s="83" t="s">
        <v>66</v>
      </c>
      <c r="D153" s="84"/>
      <c r="E153" s="6">
        <v>1</v>
      </c>
      <c r="F153" s="6">
        <v>0</v>
      </c>
      <c r="G153" s="6">
        <v>0</v>
      </c>
      <c r="H153" s="6">
        <v>1</v>
      </c>
      <c r="I153" s="6">
        <v>2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1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1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6">
        <v>0</v>
      </c>
      <c r="AO153" s="6">
        <v>0</v>
      </c>
      <c r="AP153" s="5">
        <f>SUM(E153:AO153)</f>
        <v>7</v>
      </c>
      <c r="AQ153" s="20"/>
      <c r="AR153" s="20"/>
    </row>
    <row r="154" spans="1:44" x14ac:dyDescent="0.3">
      <c r="A154" s="56" t="s">
        <v>50</v>
      </c>
      <c r="B154" s="58"/>
      <c r="C154" s="24" t="s">
        <v>186</v>
      </c>
      <c r="D154" s="59"/>
      <c r="E154" s="57">
        <v>1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0</v>
      </c>
      <c r="AF154" s="6">
        <v>0</v>
      </c>
      <c r="AG154" s="6">
        <v>1</v>
      </c>
      <c r="AH154" s="6">
        <v>0</v>
      </c>
      <c r="AI154" s="6">
        <v>0</v>
      </c>
      <c r="AJ154" s="6">
        <v>0</v>
      </c>
      <c r="AK154" s="6">
        <v>0</v>
      </c>
      <c r="AL154" s="6">
        <v>1</v>
      </c>
      <c r="AM154" s="6">
        <v>0</v>
      </c>
      <c r="AN154" s="6">
        <v>0</v>
      </c>
      <c r="AO154" s="6">
        <v>0</v>
      </c>
      <c r="AP154" s="5">
        <f t="shared" ref="AP154:AP160" si="35">SUM(E154:AO154)</f>
        <v>5</v>
      </c>
      <c r="AQ154" s="20"/>
      <c r="AR154" s="20"/>
    </row>
    <row r="155" spans="1:44" x14ac:dyDescent="0.3">
      <c r="A155" s="7"/>
      <c r="B155" s="58"/>
      <c r="C155" s="24" t="s">
        <v>187</v>
      </c>
      <c r="D155" s="59"/>
      <c r="E155" s="57">
        <v>0</v>
      </c>
      <c r="F155" s="6">
        <v>0</v>
      </c>
      <c r="G155" s="6">
        <v>0</v>
      </c>
      <c r="H155" s="6">
        <v>0</v>
      </c>
      <c r="I155" s="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1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1</v>
      </c>
      <c r="AM155" s="6">
        <v>0</v>
      </c>
      <c r="AN155" s="6">
        <v>0</v>
      </c>
      <c r="AO155" s="6">
        <v>0</v>
      </c>
      <c r="AP155" s="5">
        <f t="shared" si="35"/>
        <v>4</v>
      </c>
      <c r="AQ155" s="20"/>
      <c r="AR155" s="20"/>
    </row>
    <row r="156" spans="1:44" x14ac:dyDescent="0.3">
      <c r="A156" s="7"/>
      <c r="B156" s="58"/>
      <c r="C156" s="24" t="s">
        <v>188</v>
      </c>
      <c r="D156" s="59"/>
      <c r="E156" s="57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5">
        <f t="shared" si="35"/>
        <v>0</v>
      </c>
      <c r="AQ156" s="20"/>
      <c r="AR156" s="20"/>
    </row>
    <row r="157" spans="1:44" x14ac:dyDescent="0.3">
      <c r="A157" s="7"/>
      <c r="B157" s="58"/>
      <c r="C157" s="24" t="s">
        <v>189</v>
      </c>
      <c r="D157" s="59"/>
      <c r="E157" s="57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5">
        <f t="shared" si="35"/>
        <v>0</v>
      </c>
      <c r="AQ157" s="20"/>
      <c r="AR157" s="20"/>
    </row>
    <row r="158" spans="1:44" x14ac:dyDescent="0.3">
      <c r="A158" s="7"/>
      <c r="B158" s="58"/>
      <c r="C158" s="24" t="s">
        <v>190</v>
      </c>
      <c r="D158" s="59"/>
      <c r="E158" s="57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5">
        <f t="shared" si="35"/>
        <v>0</v>
      </c>
      <c r="AQ158" s="20"/>
      <c r="AR158" s="20"/>
    </row>
    <row r="159" spans="1:44" x14ac:dyDescent="0.3">
      <c r="A159" s="7"/>
      <c r="B159" s="58"/>
      <c r="C159" s="24" t="s">
        <v>191</v>
      </c>
      <c r="D159" s="59"/>
      <c r="E159" s="57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1</v>
      </c>
      <c r="Q159" s="6">
        <v>1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1</v>
      </c>
      <c r="AB159" s="6">
        <v>0</v>
      </c>
      <c r="AC159" s="6">
        <v>0</v>
      </c>
      <c r="AD159" s="6">
        <v>1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5">
        <f t="shared" si="35"/>
        <v>4</v>
      </c>
      <c r="AQ159" s="20"/>
      <c r="AR159" s="20"/>
    </row>
    <row r="160" spans="1:44" x14ac:dyDescent="0.3">
      <c r="A160" s="7"/>
      <c r="B160" s="58"/>
      <c r="C160" s="24" t="s">
        <v>192</v>
      </c>
      <c r="D160" s="59"/>
      <c r="E160" s="57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5">
        <f t="shared" si="35"/>
        <v>0</v>
      </c>
      <c r="AQ160" s="20"/>
      <c r="AR160" s="20"/>
    </row>
    <row r="161" spans="1:44" x14ac:dyDescent="0.3">
      <c r="A161" s="7"/>
      <c r="B161" s="63"/>
      <c r="C161" s="64"/>
      <c r="D161" s="65"/>
      <c r="E161" s="5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50"/>
      <c r="AQ161" s="20"/>
      <c r="AR161" s="20"/>
    </row>
    <row r="162" spans="1:44" x14ac:dyDescent="0.3">
      <c r="A162" s="7"/>
      <c r="B162" s="63"/>
      <c r="C162" s="64"/>
      <c r="D162" s="65"/>
      <c r="E162" s="5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50"/>
      <c r="AQ162" s="20"/>
      <c r="AR162" s="20"/>
    </row>
    <row r="163" spans="1:44" x14ac:dyDescent="0.3">
      <c r="A163" s="6" t="s">
        <v>26</v>
      </c>
      <c r="B163" s="80" t="s">
        <v>51</v>
      </c>
      <c r="C163" s="81"/>
      <c r="D163" s="82"/>
      <c r="E163" s="5">
        <f>SUM(E153:E162)</f>
        <v>2</v>
      </c>
      <c r="F163" s="5">
        <f t="shared" ref="F163:AP163" si="36">SUM(F153:F162)</f>
        <v>0</v>
      </c>
      <c r="G163" s="5">
        <f t="shared" si="36"/>
        <v>0</v>
      </c>
      <c r="H163" s="5">
        <f t="shared" si="36"/>
        <v>1</v>
      </c>
      <c r="I163" s="5">
        <f t="shared" si="36"/>
        <v>2</v>
      </c>
      <c r="J163" s="5">
        <f t="shared" si="36"/>
        <v>2</v>
      </c>
      <c r="K163" s="5">
        <f t="shared" si="36"/>
        <v>0</v>
      </c>
      <c r="L163" s="5">
        <f t="shared" si="36"/>
        <v>0</v>
      </c>
      <c r="M163" s="5">
        <f t="shared" si="36"/>
        <v>0</v>
      </c>
      <c r="N163" s="5">
        <f t="shared" si="36"/>
        <v>0</v>
      </c>
      <c r="O163" s="5">
        <f t="shared" si="36"/>
        <v>0</v>
      </c>
      <c r="P163" s="5">
        <f t="shared" si="36"/>
        <v>1</v>
      </c>
      <c r="Q163" s="5">
        <f t="shared" si="36"/>
        <v>1</v>
      </c>
      <c r="R163" s="5">
        <f t="shared" si="36"/>
        <v>1</v>
      </c>
      <c r="S163" s="5">
        <f t="shared" si="36"/>
        <v>0</v>
      </c>
      <c r="T163" s="5">
        <f t="shared" si="36"/>
        <v>0</v>
      </c>
      <c r="U163" s="5">
        <f t="shared" si="36"/>
        <v>0</v>
      </c>
      <c r="V163" s="5">
        <f t="shared" si="36"/>
        <v>0</v>
      </c>
      <c r="W163" s="5">
        <f t="shared" si="36"/>
        <v>0</v>
      </c>
      <c r="X163" s="5">
        <f t="shared" si="36"/>
        <v>0</v>
      </c>
      <c r="Y163" s="5">
        <f t="shared" si="36"/>
        <v>1</v>
      </c>
      <c r="Z163" s="5">
        <f t="shared" si="36"/>
        <v>1</v>
      </c>
      <c r="AA163" s="5">
        <f t="shared" si="36"/>
        <v>1</v>
      </c>
      <c r="AB163" s="5">
        <f t="shared" si="36"/>
        <v>0</v>
      </c>
      <c r="AC163" s="5">
        <f t="shared" si="36"/>
        <v>1</v>
      </c>
      <c r="AD163" s="5">
        <f t="shared" si="36"/>
        <v>1</v>
      </c>
      <c r="AE163" s="5">
        <f t="shared" si="36"/>
        <v>0</v>
      </c>
      <c r="AF163" s="5">
        <f t="shared" si="36"/>
        <v>0</v>
      </c>
      <c r="AG163" s="5">
        <f t="shared" si="36"/>
        <v>1</v>
      </c>
      <c r="AH163" s="5">
        <f t="shared" si="36"/>
        <v>1</v>
      </c>
      <c r="AI163" s="5">
        <f t="shared" si="36"/>
        <v>0</v>
      </c>
      <c r="AJ163" s="5">
        <f t="shared" si="36"/>
        <v>0</v>
      </c>
      <c r="AK163" s="5">
        <f t="shared" si="36"/>
        <v>0</v>
      </c>
      <c r="AL163" s="5">
        <f t="shared" si="36"/>
        <v>3</v>
      </c>
      <c r="AM163" s="5">
        <f t="shared" si="36"/>
        <v>0</v>
      </c>
      <c r="AN163" s="5">
        <f t="shared" si="36"/>
        <v>0</v>
      </c>
      <c r="AO163" s="5">
        <f t="shared" si="36"/>
        <v>0</v>
      </c>
      <c r="AP163" s="5">
        <f t="shared" si="36"/>
        <v>20</v>
      </c>
      <c r="AQ163" s="20"/>
      <c r="AR163" s="20"/>
    </row>
    <row r="164" spans="1:44" x14ac:dyDescent="0.3">
      <c r="A164" s="77"/>
      <c r="B164" s="78"/>
      <c r="C164" s="78"/>
      <c r="D164" s="78"/>
      <c r="E164" s="7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20"/>
      <c r="AR164" s="20"/>
    </row>
    <row r="165" spans="1:44" ht="13.15" customHeight="1" x14ac:dyDescent="0.3">
      <c r="A165" s="11" t="s">
        <v>48</v>
      </c>
      <c r="B165" s="17" t="s">
        <v>67</v>
      </c>
      <c r="C165" s="75" t="s">
        <v>68</v>
      </c>
      <c r="D165" s="76"/>
      <c r="E165" s="6">
        <v>0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2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2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1</v>
      </c>
      <c r="Z165" s="6">
        <v>0</v>
      </c>
      <c r="AA165" s="6">
        <v>0</v>
      </c>
      <c r="AB165" s="6">
        <v>0</v>
      </c>
      <c r="AC165" s="6">
        <v>1</v>
      </c>
      <c r="AD165" s="6">
        <v>0</v>
      </c>
      <c r="AE165" s="6">
        <v>0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2</v>
      </c>
      <c r="AN165" s="6">
        <v>1</v>
      </c>
      <c r="AO165" s="6">
        <v>0</v>
      </c>
      <c r="AP165" s="5">
        <f>SUM(E165:AO165)</f>
        <v>13</v>
      </c>
      <c r="AQ165" s="1"/>
      <c r="AR165" s="1"/>
    </row>
    <row r="166" spans="1:44" x14ac:dyDescent="0.3">
      <c r="A166" s="11" t="s">
        <v>50</v>
      </c>
      <c r="B166" s="54"/>
      <c r="C166" s="24" t="s">
        <v>193</v>
      </c>
      <c r="D166" s="51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0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0</v>
      </c>
      <c r="V166" s="6">
        <v>0</v>
      </c>
      <c r="W166" s="6">
        <v>1</v>
      </c>
      <c r="X166" s="6">
        <v>0</v>
      </c>
      <c r="Y166" s="6">
        <v>0</v>
      </c>
      <c r="Z166" s="6">
        <v>0</v>
      </c>
      <c r="AA166" s="6">
        <v>2</v>
      </c>
      <c r="AB166" s="6">
        <v>0</v>
      </c>
      <c r="AC166" s="6">
        <v>0</v>
      </c>
      <c r="AD166" s="6">
        <v>0</v>
      </c>
      <c r="AE166" s="6">
        <v>1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1</v>
      </c>
      <c r="AO166" s="6">
        <v>0</v>
      </c>
      <c r="AP166" s="5">
        <f>SUM(E166:AO166)</f>
        <v>8</v>
      </c>
      <c r="AQ166" s="28"/>
      <c r="AR166" s="28"/>
    </row>
    <row r="167" spans="1:44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50"/>
      <c r="AQ167" s="20"/>
      <c r="AR167" s="20"/>
    </row>
    <row r="168" spans="1:44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50"/>
      <c r="AQ168" s="20"/>
      <c r="AR168" s="20"/>
    </row>
    <row r="169" spans="1:44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50"/>
      <c r="AQ169" s="20"/>
      <c r="AR169" s="20"/>
    </row>
    <row r="170" spans="1:44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50"/>
      <c r="AQ170" s="20"/>
      <c r="AR170" s="20"/>
    </row>
    <row r="171" spans="1:44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50"/>
      <c r="AQ171" s="20"/>
      <c r="AR171" s="20"/>
    </row>
    <row r="172" spans="1:44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50"/>
      <c r="AQ172" s="20"/>
      <c r="AR172" s="20"/>
    </row>
    <row r="173" spans="1:44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50"/>
      <c r="AQ173" s="20"/>
      <c r="AR173" s="20"/>
    </row>
    <row r="174" spans="1:44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50"/>
      <c r="AQ174" s="20"/>
      <c r="AR174" s="20"/>
    </row>
    <row r="175" spans="1:44" x14ac:dyDescent="0.3">
      <c r="A175" s="6" t="s">
        <v>26</v>
      </c>
      <c r="B175" s="69" t="s">
        <v>51</v>
      </c>
      <c r="C175" s="70"/>
      <c r="D175" s="71"/>
      <c r="E175" s="5">
        <f>SUM(E165:E174)</f>
        <v>0</v>
      </c>
      <c r="F175" s="5">
        <f t="shared" ref="F175:AP175" si="37">SUM(F165:F174)</f>
        <v>1</v>
      </c>
      <c r="G175" s="5">
        <f t="shared" si="37"/>
        <v>1</v>
      </c>
      <c r="H175" s="5">
        <f t="shared" si="37"/>
        <v>0</v>
      </c>
      <c r="I175" s="5">
        <f t="shared" si="37"/>
        <v>0</v>
      </c>
      <c r="J175" s="5">
        <f t="shared" si="37"/>
        <v>1</v>
      </c>
      <c r="K175" s="5">
        <f t="shared" si="37"/>
        <v>0</v>
      </c>
      <c r="L175" s="5">
        <f t="shared" si="37"/>
        <v>1</v>
      </c>
      <c r="M175" s="5">
        <f t="shared" si="37"/>
        <v>3</v>
      </c>
      <c r="N175" s="5">
        <f t="shared" si="37"/>
        <v>0</v>
      </c>
      <c r="O175" s="5">
        <f t="shared" si="37"/>
        <v>0</v>
      </c>
      <c r="P175" s="5">
        <f t="shared" si="37"/>
        <v>0</v>
      </c>
      <c r="Q175" s="5">
        <f t="shared" si="37"/>
        <v>0</v>
      </c>
      <c r="R175" s="5">
        <f t="shared" si="37"/>
        <v>0</v>
      </c>
      <c r="S175" s="5">
        <f t="shared" si="37"/>
        <v>2</v>
      </c>
      <c r="T175" s="5">
        <f t="shared" si="37"/>
        <v>1</v>
      </c>
      <c r="U175" s="5">
        <f t="shared" si="37"/>
        <v>0</v>
      </c>
      <c r="V175" s="5">
        <f t="shared" si="37"/>
        <v>0</v>
      </c>
      <c r="W175" s="5">
        <f t="shared" si="37"/>
        <v>1</v>
      </c>
      <c r="X175" s="5">
        <f t="shared" si="37"/>
        <v>0</v>
      </c>
      <c r="Y175" s="5">
        <f t="shared" si="37"/>
        <v>1</v>
      </c>
      <c r="Z175" s="5">
        <f t="shared" si="37"/>
        <v>0</v>
      </c>
      <c r="AA175" s="5">
        <f t="shared" si="37"/>
        <v>2</v>
      </c>
      <c r="AB175" s="5">
        <f t="shared" si="37"/>
        <v>0</v>
      </c>
      <c r="AC175" s="5">
        <f t="shared" si="37"/>
        <v>1</v>
      </c>
      <c r="AD175" s="5">
        <f t="shared" si="37"/>
        <v>0</v>
      </c>
      <c r="AE175" s="5">
        <f t="shared" si="37"/>
        <v>1</v>
      </c>
      <c r="AF175" s="5">
        <f t="shared" si="37"/>
        <v>1</v>
      </c>
      <c r="AG175" s="5">
        <f t="shared" si="37"/>
        <v>0</v>
      </c>
      <c r="AH175" s="5">
        <f t="shared" si="37"/>
        <v>0</v>
      </c>
      <c r="AI175" s="5">
        <f t="shared" si="37"/>
        <v>0</v>
      </c>
      <c r="AJ175" s="5">
        <f t="shared" si="37"/>
        <v>0</v>
      </c>
      <c r="AK175" s="5">
        <f t="shared" si="37"/>
        <v>0</v>
      </c>
      <c r="AL175" s="5">
        <f t="shared" si="37"/>
        <v>0</v>
      </c>
      <c r="AM175" s="5">
        <f t="shared" si="37"/>
        <v>2</v>
      </c>
      <c r="AN175" s="5">
        <f t="shared" si="37"/>
        <v>2</v>
      </c>
      <c r="AO175" s="5">
        <f t="shared" si="37"/>
        <v>0</v>
      </c>
      <c r="AP175" s="5">
        <f t="shared" si="37"/>
        <v>21</v>
      </c>
      <c r="AQ175" s="20"/>
      <c r="AR175" s="20"/>
    </row>
    <row r="176" spans="1:44" ht="13.15" customHeight="1" x14ac:dyDescent="0.3">
      <c r="A176" s="77"/>
      <c r="B176" s="78"/>
      <c r="C176" s="78"/>
      <c r="D176" s="78"/>
      <c r="E176" s="7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"/>
      <c r="AR176" s="1"/>
    </row>
    <row r="177" spans="1:44" x14ac:dyDescent="0.3">
      <c r="A177" s="11" t="s">
        <v>48</v>
      </c>
      <c r="B177" s="17" t="s">
        <v>69</v>
      </c>
      <c r="C177" s="75" t="s">
        <v>70</v>
      </c>
      <c r="D177" s="76"/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2</v>
      </c>
      <c r="N177" s="6">
        <v>0</v>
      </c>
      <c r="O177" s="6">
        <v>1</v>
      </c>
      <c r="P177" s="6">
        <v>2</v>
      </c>
      <c r="Q177" s="6">
        <v>2</v>
      </c>
      <c r="R177" s="6">
        <v>1</v>
      </c>
      <c r="S177" s="6">
        <v>3</v>
      </c>
      <c r="T177" s="6">
        <v>1</v>
      </c>
      <c r="U177" s="6">
        <v>1</v>
      </c>
      <c r="V177" s="6">
        <v>0</v>
      </c>
      <c r="W177" s="6">
        <v>1</v>
      </c>
      <c r="X177" s="6">
        <v>0</v>
      </c>
      <c r="Y177" s="6">
        <v>1</v>
      </c>
      <c r="Z177" s="6">
        <v>0</v>
      </c>
      <c r="AA177" s="6">
        <v>1</v>
      </c>
      <c r="AB177" s="6">
        <v>1</v>
      </c>
      <c r="AC177" s="6">
        <v>0</v>
      </c>
      <c r="AD177" s="6">
        <v>3</v>
      </c>
      <c r="AE177" s="6">
        <v>0</v>
      </c>
      <c r="AF177" s="6">
        <v>1</v>
      </c>
      <c r="AG177" s="6">
        <v>0</v>
      </c>
      <c r="AH177" s="6">
        <v>0</v>
      </c>
      <c r="AI177" s="6">
        <v>0</v>
      </c>
      <c r="AJ177" s="6">
        <v>0</v>
      </c>
      <c r="AK177" s="6">
        <v>2</v>
      </c>
      <c r="AL177" s="6">
        <v>0</v>
      </c>
      <c r="AM177" s="6">
        <v>3</v>
      </c>
      <c r="AN177" s="6">
        <v>2</v>
      </c>
      <c r="AO177" s="6">
        <v>2</v>
      </c>
      <c r="AP177" s="5">
        <f>SUM(E177:AO177)</f>
        <v>32</v>
      </c>
    </row>
    <row r="178" spans="1:44" x14ac:dyDescent="0.3">
      <c r="A178" s="11" t="s">
        <v>50</v>
      </c>
      <c r="B178" s="54"/>
      <c r="C178" s="24" t="s">
        <v>194</v>
      </c>
      <c r="D178" s="51"/>
      <c r="E178" s="6">
        <v>2</v>
      </c>
      <c r="F178" s="6">
        <v>1</v>
      </c>
      <c r="G178" s="6">
        <v>0</v>
      </c>
      <c r="H178" s="6">
        <v>0</v>
      </c>
      <c r="I178" s="6">
        <v>1</v>
      </c>
      <c r="J178" s="6">
        <v>0</v>
      </c>
      <c r="K178" s="6">
        <v>2</v>
      </c>
      <c r="L178" s="6">
        <v>0</v>
      </c>
      <c r="M178" s="6">
        <v>0</v>
      </c>
      <c r="N178" s="6">
        <v>0</v>
      </c>
      <c r="O178" s="6">
        <v>2</v>
      </c>
      <c r="P178" s="6">
        <v>2</v>
      </c>
      <c r="Q178" s="6">
        <v>0</v>
      </c>
      <c r="R178" s="6">
        <v>3</v>
      </c>
      <c r="S178" s="6">
        <v>2</v>
      </c>
      <c r="T178" s="6">
        <v>1</v>
      </c>
      <c r="U178" s="6">
        <v>0</v>
      </c>
      <c r="V178" s="6">
        <v>0</v>
      </c>
      <c r="W178" s="6">
        <v>0</v>
      </c>
      <c r="X178" s="6">
        <v>0</v>
      </c>
      <c r="Y178" s="6">
        <v>2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1</v>
      </c>
      <c r="AH178" s="6">
        <v>0</v>
      </c>
      <c r="AI178" s="6">
        <v>1</v>
      </c>
      <c r="AJ178" s="6">
        <v>0</v>
      </c>
      <c r="AK178" s="6">
        <v>2</v>
      </c>
      <c r="AL178" s="6">
        <v>10</v>
      </c>
      <c r="AM178" s="6">
        <v>9</v>
      </c>
      <c r="AN178" s="6">
        <v>3</v>
      </c>
      <c r="AO178" s="6">
        <v>3</v>
      </c>
      <c r="AP178" s="5">
        <f t="shared" ref="AP177:AP187" si="38">SUM(E178:AO178)</f>
        <v>47</v>
      </c>
      <c r="AQ178" s="20"/>
      <c r="AR178" s="20"/>
    </row>
    <row r="179" spans="1:44" x14ac:dyDescent="0.3">
      <c r="A179" s="7"/>
      <c r="B179" s="54"/>
      <c r="C179" s="24" t="s">
        <v>195</v>
      </c>
      <c r="D179" s="51"/>
      <c r="E179" s="6">
        <v>2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2</v>
      </c>
      <c r="T179" s="6">
        <v>0</v>
      </c>
      <c r="U179" s="6">
        <v>0</v>
      </c>
      <c r="V179" s="6">
        <v>1</v>
      </c>
      <c r="W179" s="6">
        <v>0</v>
      </c>
      <c r="X179" s="6">
        <v>0</v>
      </c>
      <c r="Y179" s="6">
        <v>1</v>
      </c>
      <c r="Z179" s="6">
        <v>0</v>
      </c>
      <c r="AA179" s="6">
        <v>1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6">
        <v>0</v>
      </c>
      <c r="AO179" s="6">
        <v>0</v>
      </c>
      <c r="AP179" s="5">
        <f t="shared" si="38"/>
        <v>8</v>
      </c>
      <c r="AQ179" s="20"/>
      <c r="AR179" s="20"/>
    </row>
    <row r="180" spans="1:44" x14ac:dyDescent="0.3">
      <c r="A180" s="7"/>
      <c r="B180" s="54"/>
      <c r="C180" s="24" t="s">
        <v>196</v>
      </c>
      <c r="D180" s="51"/>
      <c r="E180" s="6">
        <v>0</v>
      </c>
      <c r="F180" s="6">
        <v>1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1</v>
      </c>
      <c r="T180" s="6">
        <v>2</v>
      </c>
      <c r="U180" s="6">
        <v>0</v>
      </c>
      <c r="V180" s="6">
        <v>0</v>
      </c>
      <c r="W180" s="6">
        <v>0</v>
      </c>
      <c r="X180" s="6">
        <v>0</v>
      </c>
      <c r="Y180" s="6">
        <v>3</v>
      </c>
      <c r="Z180" s="6">
        <v>0</v>
      </c>
      <c r="AA180" s="6">
        <v>1</v>
      </c>
      <c r="AB180" s="6">
        <v>1</v>
      </c>
      <c r="AC180" s="6">
        <v>1</v>
      </c>
      <c r="AD180" s="6">
        <v>1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5">
        <f t="shared" si="38"/>
        <v>11</v>
      </c>
      <c r="AQ180" s="20"/>
      <c r="AR180" s="20"/>
    </row>
    <row r="181" spans="1:44" x14ac:dyDescent="0.3">
      <c r="A181" s="7"/>
      <c r="B181" s="54"/>
      <c r="C181" s="24" t="s">
        <v>197</v>
      </c>
      <c r="D181" s="51"/>
      <c r="E181" s="6">
        <v>0</v>
      </c>
      <c r="F181" s="6">
        <v>0</v>
      </c>
      <c r="G181" s="6">
        <v>0</v>
      </c>
      <c r="H181" s="6">
        <v>2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2</v>
      </c>
      <c r="AB181" s="6">
        <v>0</v>
      </c>
      <c r="AC181" s="6">
        <v>1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1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5">
        <f t="shared" si="38"/>
        <v>8</v>
      </c>
      <c r="AQ181" s="20"/>
      <c r="AR181" s="20"/>
    </row>
    <row r="182" spans="1:44" x14ac:dyDescent="0.3">
      <c r="A182" s="7"/>
      <c r="B182" s="54"/>
      <c r="C182" s="24" t="s">
        <v>198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1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1</v>
      </c>
      <c r="AJ182" s="6">
        <v>1</v>
      </c>
      <c r="AK182" s="6">
        <v>0</v>
      </c>
      <c r="AL182" s="6">
        <v>0</v>
      </c>
      <c r="AM182" s="6">
        <v>0</v>
      </c>
      <c r="AN182" s="6">
        <v>1</v>
      </c>
      <c r="AO182" s="6">
        <v>0</v>
      </c>
      <c r="AP182" s="5">
        <f t="shared" si="38"/>
        <v>5</v>
      </c>
      <c r="AQ182" s="20"/>
      <c r="AR182" s="20"/>
    </row>
    <row r="183" spans="1:44" x14ac:dyDescent="0.3">
      <c r="A183" s="7"/>
      <c r="B183" s="54"/>
      <c r="C183" s="24" t="s">
        <v>199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1</v>
      </c>
      <c r="AB183" s="6">
        <v>0</v>
      </c>
      <c r="AC183" s="6">
        <v>0</v>
      </c>
      <c r="AD183" s="6">
        <v>0</v>
      </c>
      <c r="AE183" s="6">
        <v>0</v>
      </c>
      <c r="AF183" s="6">
        <v>1</v>
      </c>
      <c r="AG183" s="6">
        <v>1</v>
      </c>
      <c r="AH183" s="6">
        <v>1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5">
        <f t="shared" si="38"/>
        <v>4</v>
      </c>
      <c r="AQ183" s="20"/>
      <c r="AR183" s="20"/>
    </row>
    <row r="184" spans="1:44" x14ac:dyDescent="0.3">
      <c r="A184" s="7"/>
      <c r="B184" s="54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1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5">
        <f t="shared" si="38"/>
        <v>1</v>
      </c>
      <c r="AQ184" s="20"/>
      <c r="AR184" s="20"/>
    </row>
    <row r="185" spans="1:44" x14ac:dyDescent="0.3">
      <c r="A185" s="7"/>
      <c r="B185" s="54"/>
      <c r="C185" s="24" t="s">
        <v>201</v>
      </c>
      <c r="D185" s="51"/>
      <c r="E185" s="6">
        <v>0</v>
      </c>
      <c r="F185" s="6">
        <v>0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2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1</v>
      </c>
      <c r="AD185" s="6">
        <v>0</v>
      </c>
      <c r="AE185" s="6">
        <v>0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1</v>
      </c>
      <c r="AM185" s="6">
        <v>0</v>
      </c>
      <c r="AN185" s="6">
        <v>0</v>
      </c>
      <c r="AO185" s="6">
        <v>0</v>
      </c>
      <c r="AP185" s="5">
        <f t="shared" si="38"/>
        <v>6</v>
      </c>
      <c r="AQ185" s="20"/>
      <c r="AR185" s="20"/>
    </row>
    <row r="186" spans="1:44" x14ac:dyDescent="0.3">
      <c r="A186" s="7"/>
      <c r="B186" s="54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1</v>
      </c>
      <c r="Z186" s="6">
        <v>0</v>
      </c>
      <c r="AA186" s="6">
        <v>0</v>
      </c>
      <c r="AB186" s="6">
        <v>1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5">
        <f t="shared" si="38"/>
        <v>2</v>
      </c>
      <c r="AQ186" s="20"/>
      <c r="AR186" s="20"/>
    </row>
    <row r="187" spans="1:44" ht="13.15" customHeight="1" x14ac:dyDescent="0.3">
      <c r="A187" s="6" t="s">
        <v>26</v>
      </c>
      <c r="B187" s="69" t="s">
        <v>51</v>
      </c>
      <c r="C187" s="70"/>
      <c r="D187" s="71"/>
      <c r="E187" s="5">
        <f>SUM(E177:E186)</f>
        <v>4</v>
      </c>
      <c r="F187" s="5">
        <f t="shared" ref="F187:AP187" si="39">SUM(F177:F186)</f>
        <v>3</v>
      </c>
      <c r="G187" s="5">
        <f t="shared" si="39"/>
        <v>1</v>
      </c>
      <c r="H187" s="5">
        <f t="shared" si="39"/>
        <v>2</v>
      </c>
      <c r="I187" s="5">
        <f t="shared" si="39"/>
        <v>2</v>
      </c>
      <c r="J187" s="5">
        <f t="shared" si="39"/>
        <v>0</v>
      </c>
      <c r="K187" s="5">
        <f t="shared" si="39"/>
        <v>3</v>
      </c>
      <c r="L187" s="5">
        <f t="shared" si="39"/>
        <v>0</v>
      </c>
      <c r="M187" s="5">
        <f t="shared" si="39"/>
        <v>2</v>
      </c>
      <c r="N187" s="5">
        <f t="shared" si="39"/>
        <v>0</v>
      </c>
      <c r="O187" s="5">
        <f t="shared" si="39"/>
        <v>4</v>
      </c>
      <c r="P187" s="5">
        <f t="shared" si="39"/>
        <v>4</v>
      </c>
      <c r="Q187" s="5">
        <f t="shared" si="39"/>
        <v>2</v>
      </c>
      <c r="R187" s="5">
        <f t="shared" si="39"/>
        <v>4</v>
      </c>
      <c r="S187" s="5">
        <f t="shared" si="39"/>
        <v>9</v>
      </c>
      <c r="T187" s="5">
        <f t="shared" si="39"/>
        <v>4</v>
      </c>
      <c r="U187" s="5">
        <f t="shared" si="39"/>
        <v>1</v>
      </c>
      <c r="V187" s="5">
        <f t="shared" si="39"/>
        <v>3</v>
      </c>
      <c r="W187" s="5">
        <f t="shared" si="39"/>
        <v>2</v>
      </c>
      <c r="X187" s="5">
        <f t="shared" si="39"/>
        <v>0</v>
      </c>
      <c r="Y187" s="5">
        <f t="shared" si="39"/>
        <v>9</v>
      </c>
      <c r="Z187" s="5">
        <f t="shared" si="39"/>
        <v>0</v>
      </c>
      <c r="AA187" s="5">
        <f t="shared" si="39"/>
        <v>6</v>
      </c>
      <c r="AB187" s="5">
        <f t="shared" si="39"/>
        <v>3</v>
      </c>
      <c r="AC187" s="5">
        <f t="shared" si="39"/>
        <v>3</v>
      </c>
      <c r="AD187" s="5">
        <f t="shared" si="39"/>
        <v>4</v>
      </c>
      <c r="AE187" s="5">
        <f t="shared" si="39"/>
        <v>0</v>
      </c>
      <c r="AF187" s="5">
        <f t="shared" si="39"/>
        <v>3</v>
      </c>
      <c r="AG187" s="5">
        <f t="shared" si="39"/>
        <v>2</v>
      </c>
      <c r="AH187" s="5">
        <f t="shared" si="39"/>
        <v>1</v>
      </c>
      <c r="AI187" s="5">
        <f t="shared" si="39"/>
        <v>2</v>
      </c>
      <c r="AJ187" s="5">
        <f t="shared" si="39"/>
        <v>2</v>
      </c>
      <c r="AK187" s="5">
        <f t="shared" si="39"/>
        <v>4</v>
      </c>
      <c r="AL187" s="5">
        <f t="shared" si="39"/>
        <v>12</v>
      </c>
      <c r="AM187" s="5">
        <f t="shared" si="39"/>
        <v>12</v>
      </c>
      <c r="AN187" s="5">
        <f t="shared" si="39"/>
        <v>6</v>
      </c>
      <c r="AO187" s="5">
        <f t="shared" si="39"/>
        <v>5</v>
      </c>
      <c r="AP187" s="5">
        <f t="shared" si="39"/>
        <v>124</v>
      </c>
      <c r="AQ187" s="1"/>
      <c r="AR187" s="1"/>
    </row>
    <row r="188" spans="1:44" x14ac:dyDescent="0.3">
      <c r="A188" s="77"/>
      <c r="B188" s="78"/>
      <c r="C188" s="78"/>
      <c r="D188" s="78"/>
      <c r="E188" s="79"/>
      <c r="F188" s="18"/>
      <c r="G188" s="18"/>
      <c r="H188" s="18"/>
      <c r="I188" s="18"/>
      <c r="J188" s="18"/>
      <c r="K188" s="18"/>
      <c r="L188" s="18"/>
      <c r="M188" s="18"/>
      <c r="N188" s="18"/>
      <c r="AB188" s="18"/>
      <c r="AP188" s="5"/>
    </row>
    <row r="189" spans="1:44" x14ac:dyDescent="0.3">
      <c r="A189" s="11" t="s">
        <v>48</v>
      </c>
      <c r="B189" s="17" t="s">
        <v>71</v>
      </c>
      <c r="C189" s="75" t="s">
        <v>72</v>
      </c>
      <c r="D189" s="76"/>
      <c r="E189" s="6">
        <v>0</v>
      </c>
      <c r="F189" s="6">
        <v>2</v>
      </c>
      <c r="G189" s="6">
        <v>1</v>
      </c>
      <c r="H189" s="6">
        <v>0</v>
      </c>
      <c r="I189" s="6">
        <v>1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5">
        <f t="shared" ref="AP189:AP199" si="40">SUM(E189:AO189)</f>
        <v>5</v>
      </c>
      <c r="AQ189" s="20"/>
      <c r="AR189" s="20"/>
    </row>
    <row r="190" spans="1:44" x14ac:dyDescent="0.3">
      <c r="A190" s="11" t="s">
        <v>50</v>
      </c>
      <c r="B190" s="54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1</v>
      </c>
      <c r="O190" s="6">
        <v>0</v>
      </c>
      <c r="P190" s="6">
        <v>0</v>
      </c>
      <c r="Q190" s="6">
        <v>0</v>
      </c>
      <c r="R190" s="6">
        <v>0</v>
      </c>
      <c r="S190" s="6">
        <v>1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5">
        <f t="shared" si="40"/>
        <v>2</v>
      </c>
      <c r="AQ190" s="20"/>
      <c r="AR190" s="20"/>
    </row>
    <row r="191" spans="1:44" x14ac:dyDescent="0.3">
      <c r="A191" s="7"/>
      <c r="B191" s="54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5">
        <f t="shared" si="40"/>
        <v>0</v>
      </c>
      <c r="AQ191" s="20"/>
      <c r="AR191" s="20"/>
    </row>
    <row r="192" spans="1:44" x14ac:dyDescent="0.3">
      <c r="A192" s="7"/>
      <c r="B192" s="54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1</v>
      </c>
      <c r="AG192" s="6">
        <v>0</v>
      </c>
      <c r="AH192" s="6">
        <v>0</v>
      </c>
      <c r="AI192" s="6">
        <v>0</v>
      </c>
      <c r="AJ192" s="6">
        <v>1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5">
        <f t="shared" si="40"/>
        <v>2</v>
      </c>
      <c r="AQ192" s="20"/>
      <c r="AR192" s="20"/>
    </row>
    <row r="193" spans="1:44" x14ac:dyDescent="0.3">
      <c r="A193" s="7"/>
      <c r="B193" s="54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5">
        <f t="shared" si="40"/>
        <v>0</v>
      </c>
      <c r="AQ193" s="20"/>
      <c r="AR193" s="20"/>
    </row>
    <row r="194" spans="1:44" x14ac:dyDescent="0.3">
      <c r="A194" s="7"/>
      <c r="B194" s="54"/>
      <c r="C194" s="24" t="s">
        <v>207</v>
      </c>
      <c r="D194" s="51"/>
      <c r="E194" s="6">
        <v>1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1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5">
        <f t="shared" si="40"/>
        <v>2</v>
      </c>
      <c r="AQ194" s="20"/>
      <c r="AR194" s="20"/>
    </row>
    <row r="195" spans="1:44" x14ac:dyDescent="0.3">
      <c r="A195" s="7"/>
      <c r="B195" s="54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1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1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5">
        <f t="shared" si="40"/>
        <v>3</v>
      </c>
      <c r="AQ195" s="20"/>
      <c r="AR195" s="20"/>
    </row>
    <row r="196" spans="1:44" ht="13.15" customHeight="1" x14ac:dyDescent="0.3">
      <c r="A196" s="7"/>
      <c r="B196" s="54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1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5">
        <f t="shared" si="40"/>
        <v>1</v>
      </c>
      <c r="AQ196" s="1"/>
      <c r="AR196" s="1"/>
    </row>
    <row r="197" spans="1:44" ht="13.15" customHeight="1" x14ac:dyDescent="0.3">
      <c r="A197" s="7"/>
      <c r="B197" s="54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5">
        <f t="shared" si="40"/>
        <v>0</v>
      </c>
      <c r="AQ197" s="1"/>
      <c r="AR197" s="1"/>
    </row>
    <row r="198" spans="1:44" ht="13.15" customHeight="1" x14ac:dyDescent="0.3">
      <c r="A198" s="7"/>
      <c r="B198" s="54"/>
      <c r="C198" s="24" t="s">
        <v>211</v>
      </c>
      <c r="D198" s="51"/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1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5">
        <f t="shared" si="40"/>
        <v>2</v>
      </c>
      <c r="AQ198" s="1"/>
      <c r="AR198" s="1"/>
    </row>
    <row r="199" spans="1:44" x14ac:dyDescent="0.3">
      <c r="A199" s="6" t="s">
        <v>26</v>
      </c>
      <c r="B199" s="69" t="s">
        <v>51</v>
      </c>
      <c r="C199" s="70"/>
      <c r="D199" s="71"/>
      <c r="E199" s="5">
        <f>SUM(E189:E198)</f>
        <v>2</v>
      </c>
      <c r="F199" s="5">
        <f t="shared" ref="F199:AP199" si="41">SUM(F189:F198)</f>
        <v>2</v>
      </c>
      <c r="G199" s="5">
        <f t="shared" si="41"/>
        <v>1</v>
      </c>
      <c r="H199" s="5">
        <f t="shared" si="41"/>
        <v>0</v>
      </c>
      <c r="I199" s="5">
        <f t="shared" si="41"/>
        <v>1</v>
      </c>
      <c r="J199" s="5">
        <f t="shared" si="41"/>
        <v>0</v>
      </c>
      <c r="K199" s="5">
        <f t="shared" si="41"/>
        <v>0</v>
      </c>
      <c r="L199" s="5">
        <f t="shared" si="41"/>
        <v>1</v>
      </c>
      <c r="M199" s="5">
        <f t="shared" si="41"/>
        <v>0</v>
      </c>
      <c r="N199" s="5">
        <f t="shared" si="41"/>
        <v>2</v>
      </c>
      <c r="O199" s="5">
        <f t="shared" si="41"/>
        <v>0</v>
      </c>
      <c r="P199" s="5">
        <f t="shared" si="41"/>
        <v>0</v>
      </c>
      <c r="Q199" s="5">
        <f t="shared" si="41"/>
        <v>0</v>
      </c>
      <c r="R199" s="5">
        <f t="shared" si="41"/>
        <v>0</v>
      </c>
      <c r="S199" s="5">
        <f t="shared" si="41"/>
        <v>1</v>
      </c>
      <c r="T199" s="5">
        <f t="shared" si="41"/>
        <v>1</v>
      </c>
      <c r="U199" s="5">
        <f t="shared" si="41"/>
        <v>0</v>
      </c>
      <c r="V199" s="5">
        <f t="shared" si="41"/>
        <v>0</v>
      </c>
      <c r="W199" s="5">
        <f t="shared" si="41"/>
        <v>2</v>
      </c>
      <c r="X199" s="5">
        <f t="shared" si="41"/>
        <v>0</v>
      </c>
      <c r="Y199" s="5">
        <f t="shared" si="41"/>
        <v>1</v>
      </c>
      <c r="Z199" s="5">
        <f t="shared" si="41"/>
        <v>0</v>
      </c>
      <c r="AA199" s="5">
        <f t="shared" si="41"/>
        <v>0</v>
      </c>
      <c r="AB199" s="5">
        <f t="shared" si="41"/>
        <v>0</v>
      </c>
      <c r="AC199" s="5">
        <f t="shared" si="41"/>
        <v>0</v>
      </c>
      <c r="AD199" s="5">
        <f t="shared" si="41"/>
        <v>0</v>
      </c>
      <c r="AE199" s="5">
        <f t="shared" si="41"/>
        <v>0</v>
      </c>
      <c r="AF199" s="5">
        <f t="shared" si="41"/>
        <v>1</v>
      </c>
      <c r="AG199" s="5">
        <f t="shared" si="41"/>
        <v>0</v>
      </c>
      <c r="AH199" s="5">
        <f t="shared" si="41"/>
        <v>1</v>
      </c>
      <c r="AI199" s="5">
        <f t="shared" si="41"/>
        <v>0</v>
      </c>
      <c r="AJ199" s="5">
        <f t="shared" si="41"/>
        <v>1</v>
      </c>
      <c r="AK199" s="5">
        <f t="shared" si="41"/>
        <v>0</v>
      </c>
      <c r="AL199" s="5">
        <f t="shared" si="41"/>
        <v>0</v>
      </c>
      <c r="AM199" s="5">
        <f t="shared" si="41"/>
        <v>0</v>
      </c>
      <c r="AN199" s="5">
        <f t="shared" si="41"/>
        <v>0</v>
      </c>
      <c r="AO199" s="5">
        <f t="shared" si="41"/>
        <v>0</v>
      </c>
      <c r="AP199" s="5">
        <f t="shared" si="41"/>
        <v>17</v>
      </c>
      <c r="AQ199" s="28"/>
      <c r="AR199" s="28"/>
    </row>
    <row r="200" spans="1:44" x14ac:dyDescent="0.3">
      <c r="A200" s="77"/>
      <c r="B200" s="78"/>
      <c r="C200" s="78"/>
      <c r="D200" s="78"/>
      <c r="E200" s="7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20"/>
      <c r="AR200" s="20"/>
    </row>
    <row r="201" spans="1:44" x14ac:dyDescent="0.3">
      <c r="A201" s="11" t="s">
        <v>48</v>
      </c>
      <c r="B201" s="17" t="s">
        <v>73</v>
      </c>
      <c r="C201" s="75" t="s">
        <v>74</v>
      </c>
      <c r="D201" s="76"/>
      <c r="E201" s="6">
        <v>5</v>
      </c>
      <c r="F201" s="6">
        <v>18</v>
      </c>
      <c r="G201" s="6">
        <v>1</v>
      </c>
      <c r="H201" s="6">
        <v>2</v>
      </c>
      <c r="I201" s="6">
        <v>1</v>
      </c>
      <c r="J201" s="6">
        <v>10</v>
      </c>
      <c r="K201" s="6">
        <v>13</v>
      </c>
      <c r="L201" s="6">
        <v>3</v>
      </c>
      <c r="M201" s="6">
        <v>7</v>
      </c>
      <c r="N201" s="6">
        <v>13</v>
      </c>
      <c r="O201" s="6">
        <v>13</v>
      </c>
      <c r="P201" s="6">
        <v>15</v>
      </c>
      <c r="Q201" s="6">
        <v>1</v>
      </c>
      <c r="R201" s="6">
        <v>11</v>
      </c>
      <c r="S201" s="6">
        <v>11</v>
      </c>
      <c r="T201" s="6">
        <v>10</v>
      </c>
      <c r="U201" s="6">
        <v>5</v>
      </c>
      <c r="V201" s="6">
        <v>16</v>
      </c>
      <c r="W201" s="6">
        <v>5</v>
      </c>
      <c r="X201" s="6">
        <v>4</v>
      </c>
      <c r="Y201" s="6">
        <v>7</v>
      </c>
      <c r="Z201" s="6">
        <v>10</v>
      </c>
      <c r="AA201" s="6">
        <v>3</v>
      </c>
      <c r="AB201" s="6">
        <v>3</v>
      </c>
      <c r="AC201" s="6">
        <v>6</v>
      </c>
      <c r="AD201" s="6">
        <v>3</v>
      </c>
      <c r="AE201" s="6">
        <v>4</v>
      </c>
      <c r="AF201" s="6">
        <v>2</v>
      </c>
      <c r="AG201" s="6">
        <v>3</v>
      </c>
      <c r="AH201" s="6">
        <v>11</v>
      </c>
      <c r="AI201" s="6">
        <v>15</v>
      </c>
      <c r="AJ201" s="6">
        <v>14</v>
      </c>
      <c r="AK201" s="6">
        <v>1</v>
      </c>
      <c r="AL201" s="6">
        <v>1</v>
      </c>
      <c r="AM201" s="6">
        <v>0</v>
      </c>
      <c r="AN201" s="6">
        <v>4</v>
      </c>
      <c r="AO201" s="6">
        <v>6</v>
      </c>
      <c r="AP201" s="5">
        <f t="shared" ref="AP201:AP211" si="42">SUM(E201:AO201)</f>
        <v>257</v>
      </c>
      <c r="AQ201" s="20"/>
      <c r="AR201" s="20"/>
    </row>
    <row r="202" spans="1:44" x14ac:dyDescent="0.3">
      <c r="A202" s="11" t="s">
        <v>50</v>
      </c>
      <c r="B202" s="54"/>
      <c r="C202" s="24" t="s">
        <v>212</v>
      </c>
      <c r="D202" s="51"/>
      <c r="E202" s="6">
        <v>4</v>
      </c>
      <c r="F202" s="6">
        <v>24</v>
      </c>
      <c r="G202" s="6">
        <v>19</v>
      </c>
      <c r="H202" s="6">
        <v>15</v>
      </c>
      <c r="I202" s="6">
        <v>0</v>
      </c>
      <c r="J202" s="6">
        <v>8</v>
      </c>
      <c r="K202" s="6">
        <v>6</v>
      </c>
      <c r="L202" s="6">
        <v>6</v>
      </c>
      <c r="M202" s="6">
        <v>23</v>
      </c>
      <c r="N202" s="6">
        <v>23</v>
      </c>
      <c r="O202" s="6">
        <v>11</v>
      </c>
      <c r="P202" s="6">
        <v>18</v>
      </c>
      <c r="Q202" s="6">
        <v>7</v>
      </c>
      <c r="R202" s="6">
        <v>31</v>
      </c>
      <c r="S202" s="6">
        <v>22</v>
      </c>
      <c r="T202" s="6">
        <v>12</v>
      </c>
      <c r="U202" s="6">
        <v>10</v>
      </c>
      <c r="V202" s="6">
        <v>24</v>
      </c>
      <c r="W202" s="6">
        <v>15</v>
      </c>
      <c r="X202" s="6">
        <v>7</v>
      </c>
      <c r="Y202" s="6">
        <v>5</v>
      </c>
      <c r="Z202" s="6">
        <v>6</v>
      </c>
      <c r="AA202" s="6">
        <v>10</v>
      </c>
      <c r="AB202" s="6">
        <v>20</v>
      </c>
      <c r="AC202" s="6">
        <v>10</v>
      </c>
      <c r="AD202" s="6">
        <v>11</v>
      </c>
      <c r="AE202" s="6">
        <v>8</v>
      </c>
      <c r="AF202" s="6">
        <v>4</v>
      </c>
      <c r="AG202" s="6">
        <v>2</v>
      </c>
      <c r="AH202" s="6">
        <v>9</v>
      </c>
      <c r="AI202" s="6">
        <v>8</v>
      </c>
      <c r="AJ202" s="6">
        <v>14</v>
      </c>
      <c r="AK202" s="6">
        <v>2</v>
      </c>
      <c r="AL202" s="6">
        <v>7</v>
      </c>
      <c r="AM202" s="6">
        <v>5</v>
      </c>
      <c r="AN202" s="6">
        <v>9</v>
      </c>
      <c r="AO202" s="6">
        <v>7</v>
      </c>
      <c r="AP202" s="5">
        <f t="shared" si="42"/>
        <v>422</v>
      </c>
      <c r="AQ202" s="20"/>
      <c r="AR202" s="20"/>
    </row>
    <row r="203" spans="1:44" x14ac:dyDescent="0.3">
      <c r="A203" s="7"/>
      <c r="B203" s="54"/>
      <c r="C203" s="24" t="s">
        <v>213</v>
      </c>
      <c r="D203" s="51"/>
      <c r="E203" s="6">
        <v>1</v>
      </c>
      <c r="F203" s="6">
        <v>2</v>
      </c>
      <c r="G203" s="6">
        <v>0</v>
      </c>
      <c r="H203" s="6">
        <v>1</v>
      </c>
      <c r="I203" s="6">
        <v>0</v>
      </c>
      <c r="J203" s="6">
        <v>1</v>
      </c>
      <c r="K203" s="6">
        <v>4</v>
      </c>
      <c r="L203" s="6">
        <v>4</v>
      </c>
      <c r="M203" s="6">
        <v>1</v>
      </c>
      <c r="N203" s="6">
        <v>3</v>
      </c>
      <c r="O203" s="6">
        <v>0</v>
      </c>
      <c r="P203" s="6">
        <v>4</v>
      </c>
      <c r="Q203" s="6">
        <v>0</v>
      </c>
      <c r="R203" s="6">
        <v>3</v>
      </c>
      <c r="S203" s="6">
        <v>3</v>
      </c>
      <c r="T203" s="6">
        <v>1</v>
      </c>
      <c r="U203" s="6">
        <v>1</v>
      </c>
      <c r="V203" s="6">
        <v>4</v>
      </c>
      <c r="W203" s="6">
        <v>2</v>
      </c>
      <c r="X203" s="6">
        <v>2</v>
      </c>
      <c r="Y203" s="6">
        <v>2</v>
      </c>
      <c r="Z203" s="6">
        <v>3</v>
      </c>
      <c r="AA203" s="6">
        <v>1</v>
      </c>
      <c r="AB203" s="6">
        <v>2</v>
      </c>
      <c r="AC203" s="6">
        <v>2</v>
      </c>
      <c r="AD203" s="6">
        <v>3</v>
      </c>
      <c r="AE203" s="6">
        <v>0</v>
      </c>
      <c r="AF203" s="6">
        <v>0</v>
      </c>
      <c r="AG203" s="6">
        <v>0</v>
      </c>
      <c r="AH203" s="6">
        <v>4</v>
      </c>
      <c r="AI203" s="6">
        <v>4</v>
      </c>
      <c r="AJ203" s="6">
        <v>3</v>
      </c>
      <c r="AK203" s="6">
        <v>0</v>
      </c>
      <c r="AL203" s="6">
        <v>0</v>
      </c>
      <c r="AM203" s="6">
        <v>1</v>
      </c>
      <c r="AN203" s="6">
        <v>1</v>
      </c>
      <c r="AO203" s="6">
        <v>4</v>
      </c>
      <c r="AP203" s="5">
        <f t="shared" si="42"/>
        <v>67</v>
      </c>
      <c r="AQ203" s="20"/>
      <c r="AR203" s="20"/>
    </row>
    <row r="204" spans="1:44" x14ac:dyDescent="0.3">
      <c r="A204" s="7"/>
      <c r="B204" s="54"/>
      <c r="C204" s="24" t="s">
        <v>214</v>
      </c>
      <c r="D204" s="51"/>
      <c r="E204" s="6">
        <v>0</v>
      </c>
      <c r="F204" s="6">
        <v>1</v>
      </c>
      <c r="G204" s="6">
        <v>1</v>
      </c>
      <c r="H204" s="6">
        <v>0</v>
      </c>
      <c r="I204" s="6">
        <v>1</v>
      </c>
      <c r="J204" s="6">
        <v>2</v>
      </c>
      <c r="K204" s="6">
        <v>0</v>
      </c>
      <c r="L204" s="6">
        <v>0</v>
      </c>
      <c r="M204" s="6">
        <v>0</v>
      </c>
      <c r="N204" s="6">
        <v>1</v>
      </c>
      <c r="O204" s="6">
        <v>1</v>
      </c>
      <c r="P204" s="6">
        <v>1</v>
      </c>
      <c r="Q204" s="6">
        <v>0</v>
      </c>
      <c r="R204" s="6">
        <v>1</v>
      </c>
      <c r="S204" s="6">
        <v>2</v>
      </c>
      <c r="T204" s="6">
        <v>2</v>
      </c>
      <c r="U204" s="6">
        <v>0</v>
      </c>
      <c r="V204" s="6">
        <v>0</v>
      </c>
      <c r="W204" s="6">
        <v>1</v>
      </c>
      <c r="X204" s="6">
        <v>0</v>
      </c>
      <c r="Y204" s="6">
        <v>2</v>
      </c>
      <c r="Z204" s="6">
        <v>0</v>
      </c>
      <c r="AA204" s="6">
        <v>1</v>
      </c>
      <c r="AB204" s="6">
        <v>0</v>
      </c>
      <c r="AC204" s="6">
        <v>0</v>
      </c>
      <c r="AD204" s="6">
        <v>1</v>
      </c>
      <c r="AE204" s="6">
        <v>0</v>
      </c>
      <c r="AF204" s="6">
        <v>0</v>
      </c>
      <c r="AG204" s="6">
        <v>1</v>
      </c>
      <c r="AH204" s="6">
        <v>2</v>
      </c>
      <c r="AI204" s="6">
        <v>1</v>
      </c>
      <c r="AJ204" s="6">
        <v>0</v>
      </c>
      <c r="AK204" s="6">
        <v>1</v>
      </c>
      <c r="AL204" s="6">
        <v>2</v>
      </c>
      <c r="AM204" s="6">
        <v>0</v>
      </c>
      <c r="AN204" s="6">
        <v>0</v>
      </c>
      <c r="AO204" s="6">
        <v>0</v>
      </c>
      <c r="AP204" s="5">
        <f t="shared" si="42"/>
        <v>25</v>
      </c>
      <c r="AQ204" s="20"/>
      <c r="AR204" s="20"/>
    </row>
    <row r="205" spans="1:44" x14ac:dyDescent="0.3">
      <c r="A205" s="7"/>
      <c r="B205" s="54"/>
      <c r="C205" s="24" t="s">
        <v>215</v>
      </c>
      <c r="D205" s="51"/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0</v>
      </c>
      <c r="L205" s="6">
        <v>0</v>
      </c>
      <c r="M205" s="6">
        <v>1</v>
      </c>
      <c r="N205" s="6">
        <v>0</v>
      </c>
      <c r="O205" s="6">
        <v>0</v>
      </c>
      <c r="P205" s="6">
        <v>1</v>
      </c>
      <c r="Q205" s="6">
        <v>0</v>
      </c>
      <c r="R205" s="6">
        <v>0</v>
      </c>
      <c r="S205" s="6">
        <v>0</v>
      </c>
      <c r="T205" s="6">
        <v>1</v>
      </c>
      <c r="U205" s="6">
        <v>0</v>
      </c>
      <c r="V205" s="6">
        <v>1</v>
      </c>
      <c r="W205" s="6">
        <v>0</v>
      </c>
      <c r="X205" s="6">
        <v>0</v>
      </c>
      <c r="Y205" s="6">
        <v>0</v>
      </c>
      <c r="Z205" s="6">
        <v>1</v>
      </c>
      <c r="AA205" s="6">
        <v>1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6">
        <v>1</v>
      </c>
      <c r="AO205" s="6">
        <v>0</v>
      </c>
      <c r="AP205" s="5">
        <f t="shared" si="42"/>
        <v>10</v>
      </c>
      <c r="AQ205" s="20"/>
      <c r="AR205" s="20"/>
    </row>
    <row r="206" spans="1:44" x14ac:dyDescent="0.3">
      <c r="A206" s="7"/>
      <c r="B206" s="54"/>
      <c r="C206" s="24" t="s">
        <v>216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2</v>
      </c>
      <c r="L206" s="6">
        <v>1</v>
      </c>
      <c r="M206" s="6">
        <v>2</v>
      </c>
      <c r="N206" s="6">
        <v>0</v>
      </c>
      <c r="O206" s="6">
        <v>0</v>
      </c>
      <c r="P206" s="6">
        <v>0</v>
      </c>
      <c r="Q206" s="6">
        <v>0</v>
      </c>
      <c r="R206" s="6">
        <v>1</v>
      </c>
      <c r="S206" s="6">
        <v>0</v>
      </c>
      <c r="T206" s="6">
        <v>0</v>
      </c>
      <c r="U206" s="6">
        <v>0</v>
      </c>
      <c r="V206" s="6">
        <v>1</v>
      </c>
      <c r="W206" s="6">
        <v>0</v>
      </c>
      <c r="X206" s="6">
        <v>0</v>
      </c>
      <c r="Y206" s="6">
        <v>0</v>
      </c>
      <c r="Z206" s="6">
        <v>2</v>
      </c>
      <c r="AA206" s="6">
        <v>0</v>
      </c>
      <c r="AB206" s="6">
        <v>0</v>
      </c>
      <c r="AC206" s="6">
        <v>1</v>
      </c>
      <c r="AD206" s="6">
        <v>0</v>
      </c>
      <c r="AE206" s="6">
        <v>0</v>
      </c>
      <c r="AF206" s="6">
        <v>0</v>
      </c>
      <c r="AG206" s="6">
        <v>1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5">
        <f t="shared" si="42"/>
        <v>12</v>
      </c>
      <c r="AQ206" s="20"/>
      <c r="AR206" s="20"/>
    </row>
    <row r="207" spans="1:44" ht="13.15" customHeight="1" x14ac:dyDescent="0.3">
      <c r="A207" s="7"/>
      <c r="B207" s="54"/>
      <c r="C207" s="24" t="s">
        <v>217</v>
      </c>
      <c r="D207" s="51"/>
      <c r="E207" s="6">
        <v>1</v>
      </c>
      <c r="F207" s="6">
        <v>0</v>
      </c>
      <c r="G207" s="6">
        <v>0</v>
      </c>
      <c r="H207" s="6">
        <v>2</v>
      </c>
      <c r="I207" s="6">
        <v>0</v>
      </c>
      <c r="J207" s="6">
        <v>1</v>
      </c>
      <c r="K207" s="6">
        <v>3</v>
      </c>
      <c r="L207" s="6">
        <v>0</v>
      </c>
      <c r="M207" s="6">
        <v>2</v>
      </c>
      <c r="N207" s="6">
        <v>0</v>
      </c>
      <c r="O207" s="6">
        <v>2</v>
      </c>
      <c r="P207" s="6">
        <v>0</v>
      </c>
      <c r="Q207" s="6">
        <v>1</v>
      </c>
      <c r="R207" s="6">
        <v>0</v>
      </c>
      <c r="S207" s="6">
        <v>1</v>
      </c>
      <c r="T207" s="6">
        <v>0</v>
      </c>
      <c r="U207" s="6">
        <v>0</v>
      </c>
      <c r="V207" s="6">
        <v>4</v>
      </c>
      <c r="W207" s="6">
        <v>0</v>
      </c>
      <c r="X207" s="6">
        <v>2</v>
      </c>
      <c r="Y207" s="6">
        <v>1</v>
      </c>
      <c r="Z207" s="6">
        <v>0</v>
      </c>
      <c r="AA207" s="6">
        <v>0</v>
      </c>
      <c r="AB207" s="6">
        <v>1</v>
      </c>
      <c r="AC207" s="6">
        <v>0</v>
      </c>
      <c r="AD207" s="6">
        <v>1</v>
      </c>
      <c r="AE207" s="6">
        <v>1</v>
      </c>
      <c r="AF207" s="6">
        <v>1</v>
      </c>
      <c r="AG207" s="6">
        <v>0</v>
      </c>
      <c r="AH207" s="6">
        <v>1</v>
      </c>
      <c r="AI207" s="6">
        <v>2</v>
      </c>
      <c r="AJ207" s="6">
        <v>3</v>
      </c>
      <c r="AK207" s="6">
        <v>1</v>
      </c>
      <c r="AL207" s="6">
        <v>0</v>
      </c>
      <c r="AM207" s="6">
        <v>0</v>
      </c>
      <c r="AN207" s="6">
        <v>1</v>
      </c>
      <c r="AO207" s="6">
        <v>3</v>
      </c>
      <c r="AP207" s="5">
        <f t="shared" si="42"/>
        <v>35</v>
      </c>
      <c r="AQ207" s="1"/>
      <c r="AR207" s="1"/>
    </row>
    <row r="208" spans="1:44" x14ac:dyDescent="0.3">
      <c r="A208" s="7"/>
      <c r="B208" s="54"/>
      <c r="C208" s="24" t="s">
        <v>218</v>
      </c>
      <c r="D208" s="51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2</v>
      </c>
      <c r="K208" s="6">
        <v>0</v>
      </c>
      <c r="L208" s="6">
        <v>0</v>
      </c>
      <c r="M208" s="6">
        <v>0</v>
      </c>
      <c r="N208" s="6">
        <v>1</v>
      </c>
      <c r="O208" s="6">
        <v>0</v>
      </c>
      <c r="P208" s="6">
        <v>0</v>
      </c>
      <c r="Q208" s="6">
        <v>1</v>
      </c>
      <c r="R208" s="6">
        <v>0</v>
      </c>
      <c r="S208" s="6">
        <v>0</v>
      </c>
      <c r="T208" s="6">
        <v>2</v>
      </c>
      <c r="U208" s="6">
        <v>2</v>
      </c>
      <c r="V208" s="6">
        <v>1</v>
      </c>
      <c r="W208" s="6">
        <v>1</v>
      </c>
      <c r="X208" s="6">
        <v>0</v>
      </c>
      <c r="Y208" s="6">
        <v>0</v>
      </c>
      <c r="Z208" s="6">
        <v>1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2</v>
      </c>
      <c r="AI208" s="6">
        <v>3</v>
      </c>
      <c r="AJ208" s="6">
        <v>0</v>
      </c>
      <c r="AK208" s="6">
        <v>0</v>
      </c>
      <c r="AL208" s="6">
        <v>0</v>
      </c>
      <c r="AM208" s="6">
        <v>2</v>
      </c>
      <c r="AN208" s="6">
        <v>0</v>
      </c>
      <c r="AO208" s="6">
        <v>1</v>
      </c>
      <c r="AP208" s="5">
        <f t="shared" si="42"/>
        <v>19</v>
      </c>
      <c r="AQ208" s="28"/>
      <c r="AR208" s="28"/>
    </row>
    <row r="209" spans="1:44" x14ac:dyDescent="0.3">
      <c r="A209" s="7"/>
      <c r="B209" s="54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5">
        <f t="shared" si="42"/>
        <v>0</v>
      </c>
      <c r="AQ209" s="28"/>
      <c r="AR209" s="28"/>
    </row>
    <row r="210" spans="1:44" x14ac:dyDescent="0.3">
      <c r="A210" s="7"/>
      <c r="B210" s="54"/>
      <c r="C210" s="24" t="s">
        <v>220</v>
      </c>
      <c r="D210" s="51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1</v>
      </c>
      <c r="N210" s="6">
        <v>0</v>
      </c>
      <c r="O210" s="6">
        <v>1</v>
      </c>
      <c r="P210" s="6">
        <v>0</v>
      </c>
      <c r="Q210" s="6">
        <v>0</v>
      </c>
      <c r="R210" s="6">
        <v>1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2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1</v>
      </c>
      <c r="AP210" s="5">
        <f t="shared" si="42"/>
        <v>7</v>
      </c>
      <c r="AQ210" s="28"/>
      <c r="AR210" s="28"/>
    </row>
    <row r="211" spans="1:44" x14ac:dyDescent="0.3">
      <c r="A211" s="6" t="s">
        <v>26</v>
      </c>
      <c r="B211" s="69" t="s">
        <v>51</v>
      </c>
      <c r="C211" s="70"/>
      <c r="D211" s="71"/>
      <c r="E211" s="5">
        <f>SUM(E201:E210)</f>
        <v>12</v>
      </c>
      <c r="F211" s="5">
        <f t="shared" ref="F211:AP211" si="43">SUM(F201:F210)</f>
        <v>45</v>
      </c>
      <c r="G211" s="5">
        <f t="shared" si="43"/>
        <v>21</v>
      </c>
      <c r="H211" s="5">
        <f t="shared" si="43"/>
        <v>20</v>
      </c>
      <c r="I211" s="5">
        <f t="shared" si="43"/>
        <v>3</v>
      </c>
      <c r="J211" s="5">
        <f t="shared" si="43"/>
        <v>25</v>
      </c>
      <c r="K211" s="5">
        <f t="shared" si="43"/>
        <v>28</v>
      </c>
      <c r="L211" s="5">
        <f t="shared" si="43"/>
        <v>14</v>
      </c>
      <c r="M211" s="5">
        <f t="shared" si="43"/>
        <v>37</v>
      </c>
      <c r="N211" s="5">
        <f t="shared" si="43"/>
        <v>41</v>
      </c>
      <c r="O211" s="5">
        <f t="shared" si="43"/>
        <v>28</v>
      </c>
      <c r="P211" s="5">
        <f t="shared" si="43"/>
        <v>39</v>
      </c>
      <c r="Q211" s="5">
        <f t="shared" si="43"/>
        <v>10</v>
      </c>
      <c r="R211" s="5">
        <f t="shared" si="43"/>
        <v>48</v>
      </c>
      <c r="S211" s="5">
        <f t="shared" si="43"/>
        <v>40</v>
      </c>
      <c r="T211" s="5">
        <f t="shared" si="43"/>
        <v>28</v>
      </c>
      <c r="U211" s="5">
        <f t="shared" si="43"/>
        <v>18</v>
      </c>
      <c r="V211" s="5">
        <f t="shared" si="43"/>
        <v>51</v>
      </c>
      <c r="W211" s="5">
        <f t="shared" si="43"/>
        <v>24</v>
      </c>
      <c r="X211" s="5">
        <f t="shared" si="43"/>
        <v>17</v>
      </c>
      <c r="Y211" s="5">
        <f t="shared" si="43"/>
        <v>17</v>
      </c>
      <c r="Z211" s="5">
        <f t="shared" si="43"/>
        <v>23</v>
      </c>
      <c r="AA211" s="5">
        <f t="shared" si="43"/>
        <v>16</v>
      </c>
      <c r="AB211" s="5">
        <f t="shared" si="43"/>
        <v>26</v>
      </c>
      <c r="AC211" s="5">
        <f t="shared" si="43"/>
        <v>19</v>
      </c>
      <c r="AD211" s="5">
        <f t="shared" si="43"/>
        <v>19</v>
      </c>
      <c r="AE211" s="5">
        <f t="shared" si="43"/>
        <v>13</v>
      </c>
      <c r="AF211" s="5">
        <f t="shared" si="43"/>
        <v>7</v>
      </c>
      <c r="AG211" s="5">
        <f t="shared" si="43"/>
        <v>7</v>
      </c>
      <c r="AH211" s="5">
        <f t="shared" si="43"/>
        <v>29</v>
      </c>
      <c r="AI211" s="5">
        <f t="shared" si="43"/>
        <v>33</v>
      </c>
      <c r="AJ211" s="5">
        <f t="shared" si="43"/>
        <v>34</v>
      </c>
      <c r="AK211" s="5">
        <f t="shared" si="43"/>
        <v>6</v>
      </c>
      <c r="AL211" s="5">
        <f t="shared" si="43"/>
        <v>10</v>
      </c>
      <c r="AM211" s="5">
        <f t="shared" si="43"/>
        <v>8</v>
      </c>
      <c r="AN211" s="5">
        <f t="shared" si="43"/>
        <v>16</v>
      </c>
      <c r="AO211" s="5">
        <f t="shared" si="43"/>
        <v>22</v>
      </c>
      <c r="AP211" s="5">
        <f t="shared" si="43"/>
        <v>854</v>
      </c>
      <c r="AQ211" s="20"/>
      <c r="AR211" s="20"/>
    </row>
    <row r="212" spans="1:44" x14ac:dyDescent="0.3">
      <c r="A212" s="77"/>
      <c r="B212" s="78"/>
      <c r="C212" s="78"/>
      <c r="D212" s="78"/>
      <c r="E212" s="7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20"/>
      <c r="AR212" s="20"/>
    </row>
    <row r="213" spans="1:44" x14ac:dyDescent="0.3">
      <c r="A213" s="11" t="s">
        <v>48</v>
      </c>
      <c r="B213" s="17" t="s">
        <v>75</v>
      </c>
      <c r="C213" s="75" t="s">
        <v>76</v>
      </c>
      <c r="D213" s="76"/>
      <c r="E213" s="6">
        <v>2</v>
      </c>
      <c r="F213" s="6">
        <v>4</v>
      </c>
      <c r="G213" s="6">
        <v>0</v>
      </c>
      <c r="H213" s="6">
        <v>1</v>
      </c>
      <c r="I213" s="6">
        <v>2</v>
      </c>
      <c r="J213" s="6">
        <v>2</v>
      </c>
      <c r="K213" s="6">
        <v>1</v>
      </c>
      <c r="L213" s="6">
        <v>2</v>
      </c>
      <c r="M213" s="6">
        <v>3</v>
      </c>
      <c r="N213" s="6">
        <v>6</v>
      </c>
      <c r="O213" s="6">
        <v>7</v>
      </c>
      <c r="P213" s="6">
        <v>5</v>
      </c>
      <c r="Q213" s="6">
        <v>1</v>
      </c>
      <c r="R213" s="6">
        <v>2</v>
      </c>
      <c r="S213" s="6">
        <v>0</v>
      </c>
      <c r="T213" s="6">
        <v>1</v>
      </c>
      <c r="U213" s="6">
        <v>8</v>
      </c>
      <c r="V213" s="6">
        <v>13</v>
      </c>
      <c r="W213" s="6">
        <v>3</v>
      </c>
      <c r="X213" s="6">
        <v>2</v>
      </c>
      <c r="Y213" s="6">
        <v>1</v>
      </c>
      <c r="Z213" s="6">
        <v>1</v>
      </c>
      <c r="AA213" s="6">
        <v>1</v>
      </c>
      <c r="AB213" s="6">
        <v>2</v>
      </c>
      <c r="AC213" s="6">
        <v>1</v>
      </c>
      <c r="AD213" s="6">
        <v>1</v>
      </c>
      <c r="AE213" s="6">
        <v>3</v>
      </c>
      <c r="AF213" s="6">
        <v>3</v>
      </c>
      <c r="AG213" s="6">
        <v>2</v>
      </c>
      <c r="AH213" s="6">
        <v>2</v>
      </c>
      <c r="AI213" s="6">
        <v>0</v>
      </c>
      <c r="AJ213" s="6">
        <v>1</v>
      </c>
      <c r="AK213" s="6">
        <v>3</v>
      </c>
      <c r="AL213" s="6">
        <v>0</v>
      </c>
      <c r="AM213" s="6">
        <v>2</v>
      </c>
      <c r="AN213" s="6">
        <v>2</v>
      </c>
      <c r="AO213" s="6">
        <v>0</v>
      </c>
      <c r="AP213" s="5">
        <f>SUM(E213:AO213)</f>
        <v>90</v>
      </c>
      <c r="AQ213" s="20"/>
      <c r="AR213" s="20"/>
    </row>
    <row r="214" spans="1:44" x14ac:dyDescent="0.3">
      <c r="A214" s="11" t="s">
        <v>50</v>
      </c>
      <c r="B214" s="54"/>
      <c r="C214" s="24" t="s">
        <v>221</v>
      </c>
      <c r="D214" s="55"/>
      <c r="E214" s="6">
        <v>0</v>
      </c>
      <c r="F214" s="6">
        <v>0</v>
      </c>
      <c r="G214" s="6">
        <v>2</v>
      </c>
      <c r="H214" s="6">
        <v>2</v>
      </c>
      <c r="I214" s="6">
        <v>1</v>
      </c>
      <c r="J214" s="6">
        <v>0</v>
      </c>
      <c r="K214" s="6">
        <v>1</v>
      </c>
      <c r="L214" s="6">
        <v>1</v>
      </c>
      <c r="M214" s="6">
        <v>4</v>
      </c>
      <c r="N214" s="6">
        <v>4</v>
      </c>
      <c r="O214" s="6">
        <v>4</v>
      </c>
      <c r="P214" s="6">
        <v>1</v>
      </c>
      <c r="Q214" s="6">
        <v>0</v>
      </c>
      <c r="R214" s="6">
        <v>1</v>
      </c>
      <c r="S214" s="6">
        <v>2</v>
      </c>
      <c r="T214" s="6">
        <v>3</v>
      </c>
      <c r="U214" s="6">
        <v>6</v>
      </c>
      <c r="V214" s="6">
        <v>1</v>
      </c>
      <c r="W214" s="6">
        <v>0</v>
      </c>
      <c r="X214" s="6">
        <v>2</v>
      </c>
      <c r="Y214" s="6">
        <v>0</v>
      </c>
      <c r="Z214" s="6">
        <v>1</v>
      </c>
      <c r="AA214" s="6">
        <v>1</v>
      </c>
      <c r="AB214" s="6">
        <v>4</v>
      </c>
      <c r="AC214" s="6">
        <v>3</v>
      </c>
      <c r="AD214" s="6">
        <v>0</v>
      </c>
      <c r="AE214" s="6">
        <v>0</v>
      </c>
      <c r="AF214" s="6">
        <v>2</v>
      </c>
      <c r="AG214" s="6">
        <v>1</v>
      </c>
      <c r="AH214" s="6">
        <v>0</v>
      </c>
      <c r="AI214" s="6">
        <v>2</v>
      </c>
      <c r="AJ214" s="6">
        <v>0</v>
      </c>
      <c r="AK214" s="6">
        <v>1</v>
      </c>
      <c r="AL214" s="6">
        <v>0</v>
      </c>
      <c r="AM214" s="6">
        <v>1</v>
      </c>
      <c r="AN214" s="6">
        <v>0</v>
      </c>
      <c r="AO214" s="6">
        <v>1</v>
      </c>
      <c r="AP214" s="5">
        <f>SUM(E214:AO214)</f>
        <v>52</v>
      </c>
      <c r="AQ214" s="20"/>
      <c r="AR214" s="20"/>
    </row>
    <row r="215" spans="1:44" x14ac:dyDescent="0.3">
      <c r="A215" s="7"/>
      <c r="B215" s="54"/>
      <c r="C215" s="24" t="s">
        <v>222</v>
      </c>
      <c r="D215" s="55"/>
      <c r="E215" s="6">
        <v>0</v>
      </c>
      <c r="F215" s="6">
        <v>1</v>
      </c>
      <c r="G215" s="6">
        <v>1</v>
      </c>
      <c r="H215" s="6">
        <v>0</v>
      </c>
      <c r="I215" s="6">
        <v>0</v>
      </c>
      <c r="J215" s="6">
        <v>1</v>
      </c>
      <c r="K215" s="6">
        <v>2</v>
      </c>
      <c r="L215" s="6">
        <v>2</v>
      </c>
      <c r="M215" s="6">
        <v>2</v>
      </c>
      <c r="N215" s="6">
        <v>1</v>
      </c>
      <c r="O215" s="6">
        <v>2</v>
      </c>
      <c r="P215" s="6">
        <v>1</v>
      </c>
      <c r="Q215" s="6">
        <v>2</v>
      </c>
      <c r="R215" s="6">
        <v>2</v>
      </c>
      <c r="S215" s="6">
        <v>3</v>
      </c>
      <c r="T215" s="6">
        <v>2</v>
      </c>
      <c r="U215" s="6">
        <v>2</v>
      </c>
      <c r="V215" s="6">
        <v>4</v>
      </c>
      <c r="W215" s="6">
        <v>2</v>
      </c>
      <c r="X215" s="6">
        <v>0</v>
      </c>
      <c r="Y215" s="6">
        <v>1</v>
      </c>
      <c r="Z215" s="6">
        <v>1</v>
      </c>
      <c r="AA215" s="6">
        <v>3</v>
      </c>
      <c r="AB215" s="6">
        <v>3</v>
      </c>
      <c r="AC215" s="6">
        <v>2</v>
      </c>
      <c r="AD215" s="6">
        <v>2</v>
      </c>
      <c r="AE215" s="6">
        <v>3</v>
      </c>
      <c r="AF215" s="6">
        <v>1</v>
      </c>
      <c r="AG215" s="6">
        <v>1</v>
      </c>
      <c r="AH215" s="6">
        <v>1</v>
      </c>
      <c r="AI215" s="6">
        <v>1</v>
      </c>
      <c r="AJ215" s="6">
        <v>1</v>
      </c>
      <c r="AK215" s="6">
        <v>2</v>
      </c>
      <c r="AL215" s="6">
        <v>3</v>
      </c>
      <c r="AM215" s="6">
        <v>0</v>
      </c>
      <c r="AN215" s="6">
        <v>1</v>
      </c>
      <c r="AO215" s="6">
        <v>2</v>
      </c>
      <c r="AP215" s="5">
        <f>SUM(E215:AO215)</f>
        <v>58</v>
      </c>
      <c r="AQ215" s="20"/>
      <c r="AR215" s="20"/>
    </row>
    <row r="216" spans="1:44" x14ac:dyDescent="0.3">
      <c r="A216" s="7"/>
      <c r="B216" s="54"/>
      <c r="C216" s="24" t="s">
        <v>223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2</v>
      </c>
      <c r="N216" s="6">
        <v>0</v>
      </c>
      <c r="O216" s="6">
        <v>1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1</v>
      </c>
      <c r="V216" s="6">
        <v>1</v>
      </c>
      <c r="W216" s="6">
        <v>1</v>
      </c>
      <c r="X216" s="6">
        <v>2</v>
      </c>
      <c r="Y216" s="6">
        <v>0</v>
      </c>
      <c r="Z216" s="6">
        <v>0</v>
      </c>
      <c r="AA216" s="6">
        <v>1</v>
      </c>
      <c r="AB216" s="6">
        <v>0</v>
      </c>
      <c r="AC216" s="6">
        <v>0</v>
      </c>
      <c r="AD216" s="6">
        <v>0</v>
      </c>
      <c r="AE216" s="6">
        <v>1</v>
      </c>
      <c r="AF216" s="6">
        <v>0</v>
      </c>
      <c r="AG216" s="6">
        <v>1</v>
      </c>
      <c r="AH216" s="6">
        <v>2</v>
      </c>
      <c r="AI216" s="6">
        <v>1</v>
      </c>
      <c r="AJ216" s="6">
        <v>0</v>
      </c>
      <c r="AK216" s="6">
        <v>2</v>
      </c>
      <c r="AL216" s="6">
        <v>1</v>
      </c>
      <c r="AM216" s="6">
        <v>0</v>
      </c>
      <c r="AN216" s="6">
        <v>0</v>
      </c>
      <c r="AO216" s="6">
        <v>1</v>
      </c>
      <c r="AP216" s="5">
        <f>SUM(E216:AO216)</f>
        <v>18</v>
      </c>
      <c r="AQ216" s="20"/>
      <c r="AR216" s="20"/>
    </row>
    <row r="217" spans="1:44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50"/>
      <c r="AQ217" s="20"/>
      <c r="AR217" s="20"/>
    </row>
    <row r="218" spans="1:44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50"/>
      <c r="AQ218" s="1"/>
      <c r="AR218" s="1"/>
    </row>
    <row r="219" spans="1:44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50"/>
      <c r="AQ219" s="28"/>
      <c r="AR219" s="28"/>
    </row>
    <row r="220" spans="1:44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50"/>
      <c r="AQ220" s="20"/>
      <c r="AR220" s="20"/>
    </row>
    <row r="221" spans="1:44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50"/>
      <c r="AQ221" s="20"/>
      <c r="AR221" s="20"/>
    </row>
    <row r="222" spans="1:44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50"/>
      <c r="AQ222" s="20"/>
      <c r="AR222" s="20"/>
    </row>
    <row r="223" spans="1:44" x14ac:dyDescent="0.3">
      <c r="A223" s="6" t="s">
        <v>26</v>
      </c>
      <c r="B223" s="69" t="s">
        <v>51</v>
      </c>
      <c r="C223" s="70"/>
      <c r="D223" s="71"/>
      <c r="E223" s="5">
        <f>SUM(E213:E222)</f>
        <v>2</v>
      </c>
      <c r="F223" s="5">
        <f t="shared" ref="F223:AP223" si="44">SUM(F213:F222)</f>
        <v>5</v>
      </c>
      <c r="G223" s="5">
        <f t="shared" si="44"/>
        <v>3</v>
      </c>
      <c r="H223" s="5">
        <f t="shared" si="44"/>
        <v>3</v>
      </c>
      <c r="I223" s="5">
        <f t="shared" si="44"/>
        <v>3</v>
      </c>
      <c r="J223" s="5">
        <f t="shared" si="44"/>
        <v>3</v>
      </c>
      <c r="K223" s="5">
        <f t="shared" si="44"/>
        <v>4</v>
      </c>
      <c r="L223" s="5">
        <f t="shared" si="44"/>
        <v>5</v>
      </c>
      <c r="M223" s="5">
        <f t="shared" si="44"/>
        <v>11</v>
      </c>
      <c r="N223" s="5">
        <f t="shared" si="44"/>
        <v>11</v>
      </c>
      <c r="O223" s="5">
        <f t="shared" si="44"/>
        <v>14</v>
      </c>
      <c r="P223" s="5">
        <f t="shared" si="44"/>
        <v>7</v>
      </c>
      <c r="Q223" s="5">
        <f t="shared" si="44"/>
        <v>3</v>
      </c>
      <c r="R223" s="5">
        <f t="shared" si="44"/>
        <v>5</v>
      </c>
      <c r="S223" s="5">
        <f t="shared" si="44"/>
        <v>5</v>
      </c>
      <c r="T223" s="5">
        <f t="shared" si="44"/>
        <v>6</v>
      </c>
      <c r="U223" s="5">
        <f t="shared" si="44"/>
        <v>17</v>
      </c>
      <c r="V223" s="5">
        <f t="shared" si="44"/>
        <v>19</v>
      </c>
      <c r="W223" s="5">
        <f t="shared" si="44"/>
        <v>6</v>
      </c>
      <c r="X223" s="5">
        <f t="shared" si="44"/>
        <v>6</v>
      </c>
      <c r="Y223" s="5">
        <f t="shared" si="44"/>
        <v>2</v>
      </c>
      <c r="Z223" s="5">
        <f t="shared" si="44"/>
        <v>3</v>
      </c>
      <c r="AA223" s="5">
        <f t="shared" si="44"/>
        <v>6</v>
      </c>
      <c r="AB223" s="5">
        <f t="shared" si="44"/>
        <v>9</v>
      </c>
      <c r="AC223" s="5">
        <f t="shared" si="44"/>
        <v>6</v>
      </c>
      <c r="AD223" s="5">
        <f t="shared" si="44"/>
        <v>3</v>
      </c>
      <c r="AE223" s="5">
        <f t="shared" si="44"/>
        <v>7</v>
      </c>
      <c r="AF223" s="5">
        <f t="shared" si="44"/>
        <v>6</v>
      </c>
      <c r="AG223" s="5">
        <f t="shared" si="44"/>
        <v>5</v>
      </c>
      <c r="AH223" s="5">
        <f t="shared" si="44"/>
        <v>5</v>
      </c>
      <c r="AI223" s="5">
        <f t="shared" si="44"/>
        <v>4</v>
      </c>
      <c r="AJ223" s="5">
        <f t="shared" si="44"/>
        <v>2</v>
      </c>
      <c r="AK223" s="5">
        <f t="shared" si="44"/>
        <v>8</v>
      </c>
      <c r="AL223" s="5">
        <f t="shared" si="44"/>
        <v>4</v>
      </c>
      <c r="AM223" s="5">
        <f t="shared" si="44"/>
        <v>3</v>
      </c>
      <c r="AN223" s="5">
        <f t="shared" si="44"/>
        <v>3</v>
      </c>
      <c r="AO223" s="5">
        <f t="shared" si="44"/>
        <v>4</v>
      </c>
      <c r="AP223" s="5">
        <f t="shared" si="44"/>
        <v>218</v>
      </c>
      <c r="AQ223" s="20"/>
      <c r="AR223" s="20"/>
    </row>
    <row r="224" spans="1:44" x14ac:dyDescent="0.3">
      <c r="A224" s="77"/>
      <c r="B224" s="78"/>
      <c r="C224" s="78"/>
      <c r="D224" s="78"/>
      <c r="E224" s="7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20"/>
      <c r="AR224" s="20"/>
    </row>
    <row r="225" spans="1:44" x14ac:dyDescent="0.3">
      <c r="A225" s="11" t="s">
        <v>48</v>
      </c>
      <c r="B225" s="17" t="s">
        <v>77</v>
      </c>
      <c r="C225" s="75" t="s">
        <v>78</v>
      </c>
      <c r="D225" s="76"/>
      <c r="E225" s="6">
        <v>0</v>
      </c>
      <c r="F225" s="6">
        <v>1</v>
      </c>
      <c r="G225" s="6">
        <v>0</v>
      </c>
      <c r="H225" s="6">
        <v>1</v>
      </c>
      <c r="I225" s="6">
        <v>0</v>
      </c>
      <c r="J225" s="6">
        <v>0</v>
      </c>
      <c r="K225" s="6">
        <v>1</v>
      </c>
      <c r="L225" s="6">
        <v>2</v>
      </c>
      <c r="M225" s="6">
        <v>2</v>
      </c>
      <c r="N225" s="6">
        <v>0</v>
      </c>
      <c r="O225" s="6">
        <v>3</v>
      </c>
      <c r="P225" s="6">
        <v>0</v>
      </c>
      <c r="Q225" s="6">
        <v>1</v>
      </c>
      <c r="R225" s="6">
        <v>1</v>
      </c>
      <c r="S225" s="6">
        <v>2</v>
      </c>
      <c r="T225" s="6">
        <v>2</v>
      </c>
      <c r="U225" s="6">
        <v>0</v>
      </c>
      <c r="V225" s="6">
        <v>1</v>
      </c>
      <c r="W225" s="6">
        <v>1</v>
      </c>
      <c r="X225" s="6">
        <v>4</v>
      </c>
      <c r="Y225" s="6">
        <v>0</v>
      </c>
      <c r="Z225" s="6">
        <v>2</v>
      </c>
      <c r="AA225" s="6">
        <v>0</v>
      </c>
      <c r="AB225" s="6">
        <v>0</v>
      </c>
      <c r="AC225" s="6">
        <v>0</v>
      </c>
      <c r="AD225" s="6">
        <v>0</v>
      </c>
      <c r="AE225" s="6">
        <v>1</v>
      </c>
      <c r="AF225" s="6">
        <v>0</v>
      </c>
      <c r="AG225" s="6">
        <v>1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5">
        <f>SUM(E225:AO225)</f>
        <v>26</v>
      </c>
      <c r="AQ225" s="20"/>
      <c r="AR225" s="20"/>
    </row>
    <row r="226" spans="1:44" x14ac:dyDescent="0.3">
      <c r="A226" s="11" t="s">
        <v>50</v>
      </c>
      <c r="B226" s="54"/>
      <c r="C226" s="24" t="s">
        <v>224</v>
      </c>
      <c r="D226" s="51"/>
      <c r="E226" s="6">
        <v>1</v>
      </c>
      <c r="F226" s="6">
        <v>1</v>
      </c>
      <c r="G226" s="6">
        <v>0</v>
      </c>
      <c r="H226" s="6">
        <v>1</v>
      </c>
      <c r="I226" s="6">
        <v>2</v>
      </c>
      <c r="J226" s="6">
        <v>3</v>
      </c>
      <c r="K226" s="6">
        <v>0</v>
      </c>
      <c r="L226" s="6">
        <v>0</v>
      </c>
      <c r="M226" s="6">
        <v>2</v>
      </c>
      <c r="N226" s="6">
        <v>0</v>
      </c>
      <c r="O226" s="6">
        <v>4</v>
      </c>
      <c r="P226" s="6">
        <v>1</v>
      </c>
      <c r="Q226" s="6">
        <v>1</v>
      </c>
      <c r="R226" s="6">
        <v>3</v>
      </c>
      <c r="S226" s="6">
        <v>10</v>
      </c>
      <c r="T226" s="6">
        <v>15</v>
      </c>
      <c r="U226" s="6">
        <v>0</v>
      </c>
      <c r="V226" s="6">
        <v>1</v>
      </c>
      <c r="W226" s="6">
        <v>1</v>
      </c>
      <c r="X226" s="6">
        <v>11</v>
      </c>
      <c r="Y226" s="6">
        <v>2</v>
      </c>
      <c r="Z226" s="6">
        <v>0</v>
      </c>
      <c r="AA226" s="6">
        <v>0</v>
      </c>
      <c r="AB226" s="6">
        <v>7</v>
      </c>
      <c r="AC226" s="6">
        <v>1</v>
      </c>
      <c r="AD226" s="6">
        <v>2</v>
      </c>
      <c r="AE226" s="6">
        <v>9</v>
      </c>
      <c r="AF226" s="6">
        <v>1</v>
      </c>
      <c r="AG226" s="6">
        <v>0</v>
      </c>
      <c r="AH226" s="6">
        <v>1</v>
      </c>
      <c r="AI226" s="6">
        <v>1</v>
      </c>
      <c r="AJ226" s="6">
        <v>5</v>
      </c>
      <c r="AK226" s="6">
        <v>0</v>
      </c>
      <c r="AL226" s="6">
        <v>1</v>
      </c>
      <c r="AM226" s="6">
        <v>0</v>
      </c>
      <c r="AN226" s="6">
        <v>0</v>
      </c>
      <c r="AO226" s="6">
        <v>2</v>
      </c>
      <c r="AP226" s="5">
        <f>SUM(E226:AO226)</f>
        <v>89</v>
      </c>
      <c r="AQ226" s="20"/>
      <c r="AR226" s="20"/>
    </row>
    <row r="227" spans="1:44" x14ac:dyDescent="0.3">
      <c r="A227" s="7"/>
      <c r="B227" s="54"/>
      <c r="C227" s="24" t="s">
        <v>225</v>
      </c>
      <c r="D227" s="51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2</v>
      </c>
      <c r="T227" s="6">
        <v>1</v>
      </c>
      <c r="U227" s="6">
        <v>0</v>
      </c>
      <c r="V227" s="6">
        <v>0</v>
      </c>
      <c r="W227" s="6">
        <v>0</v>
      </c>
      <c r="X227" s="6">
        <v>1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1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5">
        <f>SUM(E227:AO227)</f>
        <v>5</v>
      </c>
      <c r="AQ227" s="20"/>
      <c r="AR227" s="20"/>
    </row>
    <row r="228" spans="1:44" x14ac:dyDescent="0.3">
      <c r="A228" s="7"/>
      <c r="B228" s="54"/>
      <c r="C228" s="24" t="s">
        <v>226</v>
      </c>
      <c r="D228" s="51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1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5">
        <f>SUM(E228:AO228)</f>
        <v>1</v>
      </c>
      <c r="AQ228" s="20"/>
      <c r="AR228" s="20"/>
    </row>
    <row r="229" spans="1:44" ht="13.15" customHeight="1" x14ac:dyDescent="0.3">
      <c r="A229" s="7"/>
      <c r="B229" s="54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1</v>
      </c>
      <c r="P229" s="6">
        <v>0</v>
      </c>
      <c r="Q229" s="6">
        <v>0</v>
      </c>
      <c r="R229" s="6">
        <v>0</v>
      </c>
      <c r="S229" s="6">
        <v>1</v>
      </c>
      <c r="T229" s="6">
        <v>1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5">
        <f>SUM(E229:AO229)</f>
        <v>3</v>
      </c>
      <c r="AQ229" s="1"/>
      <c r="AR229" s="1"/>
    </row>
    <row r="230" spans="1:44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50"/>
      <c r="AQ230" s="28"/>
      <c r="AR230" s="28"/>
    </row>
    <row r="231" spans="1:44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50"/>
      <c r="AQ231" s="20"/>
      <c r="AR231" s="20"/>
    </row>
    <row r="232" spans="1:44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50"/>
      <c r="AQ232" s="20"/>
      <c r="AR232" s="20"/>
    </row>
    <row r="233" spans="1:44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50"/>
      <c r="AQ233" s="20"/>
      <c r="AR233" s="20"/>
    </row>
    <row r="234" spans="1:44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50"/>
      <c r="AQ234" s="20"/>
      <c r="AR234" s="20"/>
    </row>
    <row r="235" spans="1:44" x14ac:dyDescent="0.3">
      <c r="A235" s="6" t="s">
        <v>26</v>
      </c>
      <c r="B235" s="69" t="s">
        <v>51</v>
      </c>
      <c r="C235" s="70"/>
      <c r="D235" s="71"/>
      <c r="E235" s="5">
        <f>SUM(E225:E234)</f>
        <v>1</v>
      </c>
      <c r="F235" s="5">
        <f t="shared" ref="F235:AP235" si="45">SUM(F225:F234)</f>
        <v>2</v>
      </c>
      <c r="G235" s="5">
        <f t="shared" si="45"/>
        <v>0</v>
      </c>
      <c r="H235" s="5">
        <f t="shared" si="45"/>
        <v>2</v>
      </c>
      <c r="I235" s="5">
        <f t="shared" si="45"/>
        <v>2</v>
      </c>
      <c r="J235" s="5">
        <f t="shared" si="45"/>
        <v>3</v>
      </c>
      <c r="K235" s="5">
        <f t="shared" si="45"/>
        <v>1</v>
      </c>
      <c r="L235" s="5">
        <f t="shared" si="45"/>
        <v>2</v>
      </c>
      <c r="M235" s="5">
        <f t="shared" si="45"/>
        <v>4</v>
      </c>
      <c r="N235" s="5">
        <f t="shared" si="45"/>
        <v>0</v>
      </c>
      <c r="O235" s="5">
        <f t="shared" si="45"/>
        <v>8</v>
      </c>
      <c r="P235" s="5">
        <f t="shared" si="45"/>
        <v>1</v>
      </c>
      <c r="Q235" s="5">
        <f t="shared" si="45"/>
        <v>2</v>
      </c>
      <c r="R235" s="5">
        <f t="shared" si="45"/>
        <v>4</v>
      </c>
      <c r="S235" s="5">
        <f t="shared" si="45"/>
        <v>15</v>
      </c>
      <c r="T235" s="5">
        <f t="shared" si="45"/>
        <v>19</v>
      </c>
      <c r="U235" s="5">
        <f t="shared" si="45"/>
        <v>0</v>
      </c>
      <c r="V235" s="5">
        <f t="shared" si="45"/>
        <v>2</v>
      </c>
      <c r="W235" s="5">
        <f t="shared" si="45"/>
        <v>2</v>
      </c>
      <c r="X235" s="5">
        <f t="shared" si="45"/>
        <v>17</v>
      </c>
      <c r="Y235" s="5">
        <f t="shared" si="45"/>
        <v>2</v>
      </c>
      <c r="Z235" s="5">
        <f t="shared" si="45"/>
        <v>2</v>
      </c>
      <c r="AA235" s="5">
        <f t="shared" si="45"/>
        <v>0</v>
      </c>
      <c r="AB235" s="5">
        <f t="shared" si="45"/>
        <v>7</v>
      </c>
      <c r="AC235" s="5">
        <f t="shared" si="45"/>
        <v>1</v>
      </c>
      <c r="AD235" s="5">
        <f t="shared" si="45"/>
        <v>2</v>
      </c>
      <c r="AE235" s="5">
        <f t="shared" si="45"/>
        <v>10</v>
      </c>
      <c r="AF235" s="5">
        <f t="shared" si="45"/>
        <v>1</v>
      </c>
      <c r="AG235" s="5">
        <f t="shared" si="45"/>
        <v>2</v>
      </c>
      <c r="AH235" s="5">
        <f t="shared" si="45"/>
        <v>1</v>
      </c>
      <c r="AI235" s="5">
        <f t="shared" si="45"/>
        <v>1</v>
      </c>
      <c r="AJ235" s="5">
        <f t="shared" si="45"/>
        <v>5</v>
      </c>
      <c r="AK235" s="5">
        <f t="shared" si="45"/>
        <v>0</v>
      </c>
      <c r="AL235" s="5">
        <f t="shared" si="45"/>
        <v>1</v>
      </c>
      <c r="AM235" s="5">
        <f t="shared" si="45"/>
        <v>0</v>
      </c>
      <c r="AN235" s="5">
        <f t="shared" si="45"/>
        <v>0</v>
      </c>
      <c r="AO235" s="5">
        <f t="shared" si="45"/>
        <v>2</v>
      </c>
      <c r="AP235" s="5">
        <f t="shared" si="45"/>
        <v>124</v>
      </c>
      <c r="AQ235" s="20"/>
      <c r="AR235" s="20"/>
    </row>
    <row r="236" spans="1:44" x14ac:dyDescent="0.3">
      <c r="A236" s="77"/>
      <c r="B236" s="78"/>
      <c r="C236" s="78"/>
      <c r="D236" s="78"/>
      <c r="E236" s="7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20"/>
      <c r="AR236" s="20"/>
    </row>
    <row r="237" spans="1:44" x14ac:dyDescent="0.3">
      <c r="A237" s="11" t="s">
        <v>48</v>
      </c>
      <c r="B237" s="17" t="s">
        <v>79</v>
      </c>
      <c r="C237" s="75" t="s">
        <v>80</v>
      </c>
      <c r="D237" s="76"/>
      <c r="E237" s="6">
        <v>1</v>
      </c>
      <c r="F237" s="6">
        <v>2</v>
      </c>
      <c r="G237" s="6">
        <v>2</v>
      </c>
      <c r="H237" s="6">
        <v>2</v>
      </c>
      <c r="I237" s="6">
        <v>1</v>
      </c>
      <c r="J237" s="6">
        <v>0</v>
      </c>
      <c r="K237" s="6">
        <v>1</v>
      </c>
      <c r="L237" s="6">
        <v>2</v>
      </c>
      <c r="M237" s="6">
        <v>0</v>
      </c>
      <c r="N237" s="6">
        <v>2</v>
      </c>
      <c r="O237" s="6">
        <v>1</v>
      </c>
      <c r="P237" s="6">
        <v>1</v>
      </c>
      <c r="Q237" s="6">
        <v>0</v>
      </c>
      <c r="R237" s="6">
        <v>1</v>
      </c>
      <c r="S237" s="6">
        <v>5</v>
      </c>
      <c r="T237" s="6">
        <v>0</v>
      </c>
      <c r="U237" s="6">
        <v>0</v>
      </c>
      <c r="V237" s="6">
        <v>1</v>
      </c>
      <c r="W237" s="6">
        <v>4</v>
      </c>
      <c r="X237" s="6">
        <v>4</v>
      </c>
      <c r="Y237" s="6">
        <v>10</v>
      </c>
      <c r="Z237" s="6">
        <v>4</v>
      </c>
      <c r="AA237" s="6">
        <v>3</v>
      </c>
      <c r="AB237" s="6">
        <v>0</v>
      </c>
      <c r="AC237" s="6">
        <v>2</v>
      </c>
      <c r="AD237" s="6">
        <v>3</v>
      </c>
      <c r="AE237" s="6">
        <v>0</v>
      </c>
      <c r="AF237" s="6">
        <v>0</v>
      </c>
      <c r="AG237" s="6">
        <v>0</v>
      </c>
      <c r="AH237" s="6">
        <v>1</v>
      </c>
      <c r="AI237" s="6">
        <v>2</v>
      </c>
      <c r="AJ237" s="6">
        <v>0</v>
      </c>
      <c r="AK237" s="6">
        <v>1</v>
      </c>
      <c r="AL237" s="6">
        <v>0</v>
      </c>
      <c r="AM237" s="6">
        <v>0</v>
      </c>
      <c r="AN237" s="6">
        <v>0</v>
      </c>
      <c r="AO237" s="6">
        <v>0</v>
      </c>
      <c r="AP237" s="5">
        <f t="shared" ref="AP237:AP247" si="46">SUM(E237:AO237)</f>
        <v>56</v>
      </c>
      <c r="AQ237" s="20"/>
      <c r="AR237" s="20"/>
    </row>
    <row r="238" spans="1:44" x14ac:dyDescent="0.3">
      <c r="A238" s="11" t="s">
        <v>50</v>
      </c>
      <c r="B238" s="54"/>
      <c r="C238" s="24" t="s">
        <v>228</v>
      </c>
      <c r="D238" s="51"/>
      <c r="E238" s="6">
        <v>2</v>
      </c>
      <c r="F238" s="6">
        <v>0</v>
      </c>
      <c r="G238" s="6">
        <v>1</v>
      </c>
      <c r="H238" s="6">
        <v>1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>
        <v>1</v>
      </c>
      <c r="Q238" s="6">
        <v>1</v>
      </c>
      <c r="R238" s="6">
        <v>1</v>
      </c>
      <c r="S238" s="6">
        <v>5</v>
      </c>
      <c r="T238" s="6">
        <v>0</v>
      </c>
      <c r="U238" s="6">
        <v>0</v>
      </c>
      <c r="V238" s="6">
        <v>0</v>
      </c>
      <c r="W238" s="6">
        <v>4</v>
      </c>
      <c r="X238" s="6">
        <v>2</v>
      </c>
      <c r="Y238" s="6">
        <v>1</v>
      </c>
      <c r="Z238" s="6">
        <v>2</v>
      </c>
      <c r="AA238" s="6">
        <v>1</v>
      </c>
      <c r="AB238" s="6">
        <v>0</v>
      </c>
      <c r="AC238" s="6">
        <v>0</v>
      </c>
      <c r="AD238" s="6">
        <v>1</v>
      </c>
      <c r="AE238" s="6">
        <v>0</v>
      </c>
      <c r="AF238" s="6">
        <v>1</v>
      </c>
      <c r="AG238" s="6">
        <v>0</v>
      </c>
      <c r="AH238" s="6">
        <v>2</v>
      </c>
      <c r="AI238" s="6">
        <v>1</v>
      </c>
      <c r="AJ238" s="6">
        <v>0</v>
      </c>
      <c r="AK238" s="6">
        <v>0</v>
      </c>
      <c r="AL238" s="6">
        <v>1</v>
      </c>
      <c r="AM238" s="6">
        <v>0</v>
      </c>
      <c r="AN238" s="6">
        <v>1</v>
      </c>
      <c r="AO238" s="6">
        <v>0</v>
      </c>
      <c r="AP238" s="5">
        <f t="shared" si="46"/>
        <v>31</v>
      </c>
      <c r="AQ238" s="20"/>
      <c r="AR238" s="20"/>
    </row>
    <row r="239" spans="1:44" x14ac:dyDescent="0.3">
      <c r="A239" s="7"/>
      <c r="B239" s="54"/>
      <c r="C239" s="24" t="s">
        <v>229</v>
      </c>
      <c r="D239" s="51"/>
      <c r="E239" s="6">
        <v>0</v>
      </c>
      <c r="F239" s="6">
        <v>0</v>
      </c>
      <c r="G239" s="6">
        <v>1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1</v>
      </c>
      <c r="Q239" s="6">
        <v>0</v>
      </c>
      <c r="R239" s="6">
        <v>0</v>
      </c>
      <c r="S239" s="6">
        <v>7</v>
      </c>
      <c r="T239" s="6">
        <v>3</v>
      </c>
      <c r="U239" s="6">
        <v>0</v>
      </c>
      <c r="V239" s="6">
        <v>1</v>
      </c>
      <c r="W239" s="6">
        <v>1</v>
      </c>
      <c r="X239" s="6">
        <v>1</v>
      </c>
      <c r="Y239" s="6">
        <v>2</v>
      </c>
      <c r="Z239" s="6">
        <v>2</v>
      </c>
      <c r="AA239" s="6">
        <v>2</v>
      </c>
      <c r="AB239" s="6">
        <v>2</v>
      </c>
      <c r="AC239" s="6">
        <v>4</v>
      </c>
      <c r="AD239" s="6">
        <v>2</v>
      </c>
      <c r="AE239" s="6">
        <v>5</v>
      </c>
      <c r="AF239" s="6">
        <v>0</v>
      </c>
      <c r="AG239" s="6">
        <v>0</v>
      </c>
      <c r="AH239" s="6">
        <v>1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5">
        <f t="shared" si="46"/>
        <v>35</v>
      </c>
      <c r="AQ239" s="20"/>
      <c r="AR239" s="20"/>
    </row>
    <row r="240" spans="1:44" ht="13.15" customHeight="1" x14ac:dyDescent="0.3">
      <c r="A240" s="7"/>
      <c r="B240" s="54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2</v>
      </c>
      <c r="U240" s="6">
        <v>0</v>
      </c>
      <c r="V240" s="6">
        <v>0</v>
      </c>
      <c r="W240" s="6">
        <v>0</v>
      </c>
      <c r="X240" s="6">
        <v>0</v>
      </c>
      <c r="Y240" s="6">
        <v>1</v>
      </c>
      <c r="Z240" s="6">
        <v>1</v>
      </c>
      <c r="AA240" s="6">
        <v>0</v>
      </c>
      <c r="AB240" s="6">
        <v>0</v>
      </c>
      <c r="AC240" s="6">
        <v>2</v>
      </c>
      <c r="AD240" s="6">
        <v>1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5">
        <f t="shared" si="46"/>
        <v>7</v>
      </c>
      <c r="AQ240" s="1"/>
      <c r="AR240" s="1"/>
    </row>
    <row r="241" spans="1:42" x14ac:dyDescent="0.3">
      <c r="A241" s="7"/>
      <c r="B241" s="54"/>
      <c r="C241" s="24" t="s">
        <v>231</v>
      </c>
      <c r="D241" s="51"/>
      <c r="E241" s="6">
        <v>1</v>
      </c>
      <c r="F241" s="6">
        <v>0</v>
      </c>
      <c r="G241" s="6">
        <v>0</v>
      </c>
      <c r="H241" s="6">
        <v>1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1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1</v>
      </c>
      <c r="AC241" s="6">
        <v>0</v>
      </c>
      <c r="AD241" s="6">
        <v>1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5">
        <f t="shared" si="46"/>
        <v>5</v>
      </c>
    </row>
    <row r="242" spans="1:42" ht="12.75" customHeight="1" x14ac:dyDescent="0.3">
      <c r="A242" s="7"/>
      <c r="B242" s="54"/>
      <c r="C242" s="24" t="s">
        <v>232</v>
      </c>
      <c r="D242" s="51"/>
      <c r="E242" s="6">
        <v>19</v>
      </c>
      <c r="F242" s="6">
        <v>1</v>
      </c>
      <c r="G242" s="6">
        <v>1</v>
      </c>
      <c r="H242" s="6">
        <v>6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3</v>
      </c>
      <c r="O242" s="6">
        <v>0</v>
      </c>
      <c r="P242" s="6">
        <v>1</v>
      </c>
      <c r="Q242" s="6">
        <v>0</v>
      </c>
      <c r="R242" s="6">
        <v>0</v>
      </c>
      <c r="S242" s="6">
        <v>1</v>
      </c>
      <c r="T242" s="6">
        <v>1</v>
      </c>
      <c r="U242" s="6">
        <v>1</v>
      </c>
      <c r="V242" s="6">
        <v>0</v>
      </c>
      <c r="W242" s="6">
        <v>2</v>
      </c>
      <c r="X242" s="6">
        <v>0</v>
      </c>
      <c r="Y242" s="6">
        <v>1</v>
      </c>
      <c r="Z242" s="6">
        <v>0</v>
      </c>
      <c r="AA242" s="6">
        <v>1</v>
      </c>
      <c r="AB242" s="6">
        <v>0</v>
      </c>
      <c r="AC242" s="6">
        <v>5</v>
      </c>
      <c r="AD242" s="6">
        <v>2</v>
      </c>
      <c r="AE242" s="6">
        <v>0</v>
      </c>
      <c r="AF242" s="6">
        <v>0</v>
      </c>
      <c r="AG242" s="6">
        <v>5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1</v>
      </c>
      <c r="AP242" s="5">
        <f t="shared" si="46"/>
        <v>51</v>
      </c>
    </row>
    <row r="243" spans="1:42" x14ac:dyDescent="0.3">
      <c r="A243" s="7"/>
      <c r="B243" s="54"/>
      <c r="C243" s="24" t="s">
        <v>233</v>
      </c>
      <c r="D243" s="51"/>
      <c r="E243" s="6">
        <v>2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1</v>
      </c>
      <c r="L243" s="6">
        <v>0</v>
      </c>
      <c r="M243" s="6">
        <v>2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6">
        <v>0</v>
      </c>
      <c r="U243" s="6">
        <v>0</v>
      </c>
      <c r="V243" s="6">
        <v>2</v>
      </c>
      <c r="W243" s="6">
        <v>0</v>
      </c>
      <c r="X243" s="6">
        <v>1</v>
      </c>
      <c r="Y243" s="6">
        <v>6</v>
      </c>
      <c r="Z243" s="6">
        <v>1</v>
      </c>
      <c r="AA243" s="6">
        <v>1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1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5">
        <f t="shared" si="46"/>
        <v>19</v>
      </c>
    </row>
    <row r="244" spans="1:42" x14ac:dyDescent="0.3">
      <c r="A244" s="7"/>
      <c r="B244" s="54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1</v>
      </c>
      <c r="W244" s="6">
        <v>2</v>
      </c>
      <c r="X244" s="6">
        <v>0</v>
      </c>
      <c r="Y244" s="6">
        <v>0</v>
      </c>
      <c r="Z244" s="6">
        <v>0</v>
      </c>
      <c r="AA244" s="6">
        <v>1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5">
        <f t="shared" si="46"/>
        <v>4</v>
      </c>
    </row>
    <row r="245" spans="1:42" x14ac:dyDescent="0.3">
      <c r="A245" s="7"/>
      <c r="B245" s="54"/>
      <c r="C245" s="24" t="s">
        <v>235</v>
      </c>
      <c r="D245" s="51"/>
      <c r="E245" s="6">
        <v>0</v>
      </c>
      <c r="F245" s="6">
        <v>1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5">
        <f t="shared" si="46"/>
        <v>1</v>
      </c>
    </row>
    <row r="246" spans="1:42" x14ac:dyDescent="0.3">
      <c r="A246" s="7"/>
      <c r="B246" s="54"/>
      <c r="C246" s="24" t="s">
        <v>236</v>
      </c>
      <c r="D246" s="51"/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1</v>
      </c>
      <c r="X246" s="6">
        <v>1</v>
      </c>
      <c r="Y246" s="6">
        <v>1</v>
      </c>
      <c r="Z246" s="6">
        <v>4</v>
      </c>
      <c r="AA246" s="6">
        <v>0</v>
      </c>
      <c r="AB246" s="6">
        <v>0</v>
      </c>
      <c r="AC246" s="6">
        <v>1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5">
        <f t="shared" si="46"/>
        <v>9</v>
      </c>
    </row>
    <row r="247" spans="1:42" ht="12.75" customHeight="1" x14ac:dyDescent="0.3">
      <c r="A247" s="6" t="s">
        <v>26</v>
      </c>
      <c r="B247" s="69" t="s">
        <v>51</v>
      </c>
      <c r="C247" s="70"/>
      <c r="D247" s="71"/>
      <c r="E247" s="5">
        <f>SUM(E237:E246)</f>
        <v>26</v>
      </c>
      <c r="F247" s="5">
        <f t="shared" ref="F247:AP247" si="47">SUM(F237:F246)</f>
        <v>4</v>
      </c>
      <c r="G247" s="5">
        <f t="shared" si="47"/>
        <v>5</v>
      </c>
      <c r="H247" s="5">
        <f t="shared" si="47"/>
        <v>10</v>
      </c>
      <c r="I247" s="5">
        <f t="shared" si="47"/>
        <v>2</v>
      </c>
      <c r="J247" s="5">
        <f t="shared" si="47"/>
        <v>0</v>
      </c>
      <c r="K247" s="5">
        <f t="shared" si="47"/>
        <v>2</v>
      </c>
      <c r="L247" s="5">
        <f t="shared" si="47"/>
        <v>2</v>
      </c>
      <c r="M247" s="5">
        <f t="shared" si="47"/>
        <v>2</v>
      </c>
      <c r="N247" s="5">
        <f t="shared" si="47"/>
        <v>7</v>
      </c>
      <c r="O247" s="5">
        <f t="shared" si="47"/>
        <v>1</v>
      </c>
      <c r="P247" s="5">
        <f t="shared" si="47"/>
        <v>4</v>
      </c>
      <c r="Q247" s="5">
        <f t="shared" si="47"/>
        <v>2</v>
      </c>
      <c r="R247" s="5">
        <f t="shared" si="47"/>
        <v>2</v>
      </c>
      <c r="S247" s="5">
        <f t="shared" si="47"/>
        <v>18</v>
      </c>
      <c r="T247" s="5">
        <f t="shared" si="47"/>
        <v>7</v>
      </c>
      <c r="U247" s="5">
        <f t="shared" si="47"/>
        <v>1</v>
      </c>
      <c r="V247" s="5">
        <f t="shared" si="47"/>
        <v>5</v>
      </c>
      <c r="W247" s="5">
        <f t="shared" si="47"/>
        <v>14</v>
      </c>
      <c r="X247" s="5">
        <f t="shared" si="47"/>
        <v>9</v>
      </c>
      <c r="Y247" s="5">
        <f t="shared" si="47"/>
        <v>22</v>
      </c>
      <c r="Z247" s="5">
        <f t="shared" si="47"/>
        <v>14</v>
      </c>
      <c r="AA247" s="5">
        <f t="shared" si="47"/>
        <v>9</v>
      </c>
      <c r="AB247" s="5">
        <f t="shared" si="47"/>
        <v>3</v>
      </c>
      <c r="AC247" s="5">
        <f t="shared" si="47"/>
        <v>14</v>
      </c>
      <c r="AD247" s="5">
        <f t="shared" si="47"/>
        <v>10</v>
      </c>
      <c r="AE247" s="5">
        <f t="shared" si="47"/>
        <v>5</v>
      </c>
      <c r="AF247" s="5">
        <f t="shared" si="47"/>
        <v>1</v>
      </c>
      <c r="AG247" s="5">
        <f t="shared" si="47"/>
        <v>5</v>
      </c>
      <c r="AH247" s="5">
        <f t="shared" si="47"/>
        <v>5</v>
      </c>
      <c r="AI247" s="5">
        <f t="shared" si="47"/>
        <v>3</v>
      </c>
      <c r="AJ247" s="5">
        <f t="shared" si="47"/>
        <v>0</v>
      </c>
      <c r="AK247" s="5">
        <f t="shared" si="47"/>
        <v>1</v>
      </c>
      <c r="AL247" s="5">
        <f t="shared" si="47"/>
        <v>1</v>
      </c>
      <c r="AM247" s="5">
        <f t="shared" si="47"/>
        <v>0</v>
      </c>
      <c r="AN247" s="5">
        <f t="shared" si="47"/>
        <v>1</v>
      </c>
      <c r="AO247" s="5">
        <f t="shared" si="47"/>
        <v>1</v>
      </c>
      <c r="AP247" s="5">
        <f t="shared" si="47"/>
        <v>218</v>
      </c>
    </row>
    <row r="248" spans="1:42" x14ac:dyDescent="0.3">
      <c r="A248" s="77"/>
      <c r="B248" s="78"/>
      <c r="C248" s="78"/>
      <c r="D248" s="78"/>
      <c r="E248" s="79"/>
    </row>
    <row r="249" spans="1:42" x14ac:dyDescent="0.3">
      <c r="A249" s="11" t="s">
        <v>48</v>
      </c>
      <c r="B249" s="17" t="s">
        <v>81</v>
      </c>
      <c r="C249" s="75" t="s">
        <v>82</v>
      </c>
      <c r="D249" s="76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1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2</v>
      </c>
      <c r="Z249" s="6">
        <v>0</v>
      </c>
      <c r="AA249" s="6">
        <v>0</v>
      </c>
      <c r="AB249" s="6">
        <v>1</v>
      </c>
      <c r="AC249" s="6">
        <v>0</v>
      </c>
      <c r="AD249" s="6">
        <v>0</v>
      </c>
      <c r="AE249" s="6">
        <v>1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1</v>
      </c>
      <c r="AL249" s="6">
        <v>0</v>
      </c>
      <c r="AM249" s="6">
        <v>0</v>
      </c>
      <c r="AN249" s="6">
        <v>0</v>
      </c>
      <c r="AO249" s="6">
        <v>0</v>
      </c>
      <c r="AP249" s="5">
        <f>SUM(E249:AO249)</f>
        <v>6</v>
      </c>
    </row>
    <row r="250" spans="1:42" x14ac:dyDescent="0.3">
      <c r="A250" s="11" t="s">
        <v>50</v>
      </c>
      <c r="B250" s="54"/>
      <c r="C250" s="24" t="s">
        <v>237</v>
      </c>
      <c r="D250" s="51"/>
      <c r="E250" s="6">
        <v>0</v>
      </c>
      <c r="F250" s="6">
        <v>1</v>
      </c>
      <c r="G250" s="6">
        <v>0</v>
      </c>
      <c r="H250" s="6">
        <v>0</v>
      </c>
      <c r="I250" s="6">
        <v>1</v>
      </c>
      <c r="J250" s="6">
        <v>0</v>
      </c>
      <c r="K250" s="6">
        <v>3</v>
      </c>
      <c r="L250" s="6">
        <v>0</v>
      </c>
      <c r="M250" s="6">
        <v>0</v>
      </c>
      <c r="N250" s="6">
        <v>0</v>
      </c>
      <c r="O250" s="6">
        <v>1</v>
      </c>
      <c r="P250" s="6">
        <v>1</v>
      </c>
      <c r="Q250" s="6">
        <v>0</v>
      </c>
      <c r="R250" s="6">
        <v>0</v>
      </c>
      <c r="S250" s="6">
        <v>3</v>
      </c>
      <c r="T250" s="6">
        <v>2</v>
      </c>
      <c r="U250" s="6">
        <v>0</v>
      </c>
      <c r="V250" s="6">
        <v>4</v>
      </c>
      <c r="W250" s="6">
        <v>0</v>
      </c>
      <c r="X250" s="6">
        <v>1</v>
      </c>
      <c r="Y250" s="6">
        <v>5</v>
      </c>
      <c r="Z250" s="6">
        <v>0</v>
      </c>
      <c r="AA250" s="6">
        <v>4</v>
      </c>
      <c r="AB250" s="6">
        <v>0</v>
      </c>
      <c r="AC250" s="6">
        <v>2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5">
        <f>SUM(E250:AO250)</f>
        <v>28</v>
      </c>
    </row>
    <row r="251" spans="1:42" x14ac:dyDescent="0.3">
      <c r="A251" s="7"/>
      <c r="B251" s="54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1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5">
        <f>SUM(E251:AO251)</f>
        <v>1</v>
      </c>
    </row>
    <row r="252" spans="1:42" x14ac:dyDescent="0.3">
      <c r="A252" s="7"/>
      <c r="B252" s="54"/>
      <c r="C252" s="24" t="s">
        <v>239</v>
      </c>
      <c r="D252" s="51"/>
      <c r="E252" s="6">
        <v>1</v>
      </c>
      <c r="F252" s="6">
        <v>0</v>
      </c>
      <c r="G252" s="6">
        <v>0</v>
      </c>
      <c r="H252" s="6">
        <v>1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1</v>
      </c>
      <c r="T252" s="6">
        <v>2</v>
      </c>
      <c r="U252" s="6">
        <v>1</v>
      </c>
      <c r="V252" s="6">
        <v>0</v>
      </c>
      <c r="W252" s="6">
        <v>5</v>
      </c>
      <c r="X252" s="6">
        <v>5</v>
      </c>
      <c r="Y252" s="6">
        <v>5</v>
      </c>
      <c r="Z252" s="6">
        <v>1</v>
      </c>
      <c r="AA252" s="6">
        <v>5</v>
      </c>
      <c r="AB252" s="6">
        <v>1</v>
      </c>
      <c r="AC252" s="6">
        <v>1</v>
      </c>
      <c r="AD252" s="6">
        <v>1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1</v>
      </c>
      <c r="AP252" s="5">
        <f>SUM(E252:AO252)</f>
        <v>31</v>
      </c>
    </row>
    <row r="253" spans="1:42" x14ac:dyDescent="0.3">
      <c r="A253" s="7"/>
      <c r="B253" s="46"/>
      <c r="C253" s="66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50"/>
    </row>
    <row r="254" spans="1:42" x14ac:dyDescent="0.3">
      <c r="A254" s="7"/>
      <c r="B254" s="46"/>
      <c r="C254" s="66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50"/>
    </row>
    <row r="255" spans="1:42" x14ac:dyDescent="0.3">
      <c r="A255" s="7"/>
      <c r="B255" s="46"/>
      <c r="C255" s="66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50"/>
    </row>
    <row r="256" spans="1:42" x14ac:dyDescent="0.3">
      <c r="A256" s="7"/>
      <c r="B256" s="46"/>
      <c r="C256" s="66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50"/>
    </row>
    <row r="257" spans="1:42" x14ac:dyDescent="0.3">
      <c r="A257" s="7"/>
      <c r="B257" s="46"/>
      <c r="C257" s="66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50"/>
    </row>
    <row r="258" spans="1:42" x14ac:dyDescent="0.3">
      <c r="A258" s="7"/>
      <c r="B258" s="46"/>
      <c r="C258" s="66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50"/>
    </row>
    <row r="259" spans="1:42" x14ac:dyDescent="0.3">
      <c r="A259" s="6" t="s">
        <v>26</v>
      </c>
      <c r="B259" s="69" t="s">
        <v>51</v>
      </c>
      <c r="C259" s="70"/>
      <c r="D259" s="71"/>
      <c r="E259" s="5">
        <f>SUM(E249:E258)</f>
        <v>1</v>
      </c>
      <c r="F259" s="5">
        <f t="shared" ref="F259:AP259" si="48">SUM(F249:F258)</f>
        <v>1</v>
      </c>
      <c r="G259" s="5">
        <f t="shared" si="48"/>
        <v>0</v>
      </c>
      <c r="H259" s="5">
        <f t="shared" si="48"/>
        <v>1</v>
      </c>
      <c r="I259" s="5">
        <f t="shared" si="48"/>
        <v>1</v>
      </c>
      <c r="J259" s="5">
        <f t="shared" si="48"/>
        <v>0</v>
      </c>
      <c r="K259" s="5">
        <f t="shared" si="48"/>
        <v>3</v>
      </c>
      <c r="L259" s="5">
        <f t="shared" si="48"/>
        <v>0</v>
      </c>
      <c r="M259" s="5">
        <f t="shared" si="48"/>
        <v>0</v>
      </c>
      <c r="N259" s="5">
        <f t="shared" si="48"/>
        <v>0</v>
      </c>
      <c r="O259" s="5">
        <f t="shared" si="48"/>
        <v>2</v>
      </c>
      <c r="P259" s="5">
        <f t="shared" si="48"/>
        <v>1</v>
      </c>
      <c r="Q259" s="5">
        <f t="shared" si="48"/>
        <v>0</v>
      </c>
      <c r="R259" s="5">
        <f t="shared" si="48"/>
        <v>0</v>
      </c>
      <c r="S259" s="5">
        <f t="shared" si="48"/>
        <v>4</v>
      </c>
      <c r="T259" s="5">
        <f t="shared" si="48"/>
        <v>4</v>
      </c>
      <c r="U259" s="5">
        <f t="shared" si="48"/>
        <v>1</v>
      </c>
      <c r="V259" s="5">
        <f t="shared" si="48"/>
        <v>4</v>
      </c>
      <c r="W259" s="5">
        <f t="shared" si="48"/>
        <v>5</v>
      </c>
      <c r="X259" s="5">
        <f t="shared" si="48"/>
        <v>6</v>
      </c>
      <c r="Y259" s="5">
        <f t="shared" si="48"/>
        <v>12</v>
      </c>
      <c r="Z259" s="5">
        <f t="shared" si="48"/>
        <v>1</v>
      </c>
      <c r="AA259" s="5">
        <f t="shared" si="48"/>
        <v>9</v>
      </c>
      <c r="AB259" s="5">
        <f t="shared" si="48"/>
        <v>2</v>
      </c>
      <c r="AC259" s="5">
        <f t="shared" si="48"/>
        <v>3</v>
      </c>
      <c r="AD259" s="5">
        <f t="shared" si="48"/>
        <v>2</v>
      </c>
      <c r="AE259" s="5">
        <f t="shared" si="48"/>
        <v>1</v>
      </c>
      <c r="AF259" s="5">
        <f t="shared" si="48"/>
        <v>0</v>
      </c>
      <c r="AG259" s="5">
        <f t="shared" si="48"/>
        <v>0</v>
      </c>
      <c r="AH259" s="5">
        <f t="shared" si="48"/>
        <v>0</v>
      </c>
      <c r="AI259" s="5">
        <f t="shared" si="48"/>
        <v>0</v>
      </c>
      <c r="AJ259" s="5">
        <f t="shared" si="48"/>
        <v>0</v>
      </c>
      <c r="AK259" s="5">
        <f t="shared" si="48"/>
        <v>1</v>
      </c>
      <c r="AL259" s="5">
        <f t="shared" si="48"/>
        <v>0</v>
      </c>
      <c r="AM259" s="5">
        <f t="shared" si="48"/>
        <v>0</v>
      </c>
      <c r="AN259" s="5">
        <f t="shared" si="48"/>
        <v>0</v>
      </c>
      <c r="AO259" s="5">
        <f t="shared" si="48"/>
        <v>1</v>
      </c>
      <c r="AP259" s="5">
        <f t="shared" si="48"/>
        <v>66</v>
      </c>
    </row>
    <row r="261" spans="1:42" x14ac:dyDescent="0.3">
      <c r="A261" s="16" t="s">
        <v>83</v>
      </c>
      <c r="B261" s="72" t="s">
        <v>84</v>
      </c>
      <c r="C261" s="73"/>
      <c r="D261" s="74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5"/>
    </row>
    <row r="262" spans="1:42" x14ac:dyDescent="0.3">
      <c r="A262" s="16"/>
      <c r="B262" s="19" t="s">
        <v>85</v>
      </c>
      <c r="C262" s="67" t="s">
        <v>86</v>
      </c>
      <c r="D262" s="68"/>
      <c r="E262" s="6">
        <f>E55+E67+E79+E91+E103+E115+E127+E139+E151+E163+E175+E187+E199+E211+E223+E235+E247+E259</f>
        <v>191</v>
      </c>
      <c r="F262" s="6">
        <f t="shared" ref="F262:AO262" si="49">F55+F67+F79+F91+F103+F115+F127+F139+F151+F163+F175+F187+F199+F211+F223+F235+F247+F259</f>
        <v>192</v>
      </c>
      <c r="G262" s="6">
        <f t="shared" si="49"/>
        <v>164</v>
      </c>
      <c r="H262" s="6">
        <f t="shared" si="49"/>
        <v>201</v>
      </c>
      <c r="I262" s="6">
        <f t="shared" si="49"/>
        <v>195</v>
      </c>
      <c r="J262" s="6">
        <f t="shared" si="49"/>
        <v>157</v>
      </c>
      <c r="K262" s="6">
        <f t="shared" si="49"/>
        <v>168</v>
      </c>
      <c r="L262" s="6">
        <f t="shared" si="49"/>
        <v>147</v>
      </c>
      <c r="M262" s="6">
        <f t="shared" si="49"/>
        <v>204</v>
      </c>
      <c r="N262" s="6">
        <f t="shared" ref="N262:AA262" si="50">N55+N67+N79+N91+N103+N115+N127+N139+N151+N163+N175+N187+N199+N211+N223+N235+N247+N259</f>
        <v>219</v>
      </c>
      <c r="O262" s="6">
        <f t="shared" si="50"/>
        <v>171</v>
      </c>
      <c r="P262" s="6">
        <f t="shared" si="50"/>
        <v>158</v>
      </c>
      <c r="Q262" s="6">
        <f t="shared" si="50"/>
        <v>203</v>
      </c>
      <c r="R262" s="6">
        <f t="shared" si="50"/>
        <v>157</v>
      </c>
      <c r="S262" s="6">
        <f t="shared" si="50"/>
        <v>191</v>
      </c>
      <c r="T262" s="6">
        <f t="shared" si="50"/>
        <v>165</v>
      </c>
      <c r="U262" s="6">
        <f t="shared" si="50"/>
        <v>182</v>
      </c>
      <c r="V262" s="6">
        <f t="shared" si="50"/>
        <v>191</v>
      </c>
      <c r="W262" s="6">
        <f t="shared" si="50"/>
        <v>190</v>
      </c>
      <c r="X262" s="6">
        <f t="shared" si="50"/>
        <v>198</v>
      </c>
      <c r="Y262" s="6">
        <f t="shared" si="50"/>
        <v>178</v>
      </c>
      <c r="Z262" s="6">
        <f t="shared" si="50"/>
        <v>170</v>
      </c>
      <c r="AA262" s="6">
        <f t="shared" si="50"/>
        <v>168</v>
      </c>
      <c r="AB262" s="6">
        <f t="shared" si="49"/>
        <v>191</v>
      </c>
      <c r="AC262" s="6">
        <f t="shared" si="49"/>
        <v>180</v>
      </c>
      <c r="AD262" s="6">
        <f t="shared" si="49"/>
        <v>200</v>
      </c>
      <c r="AE262" s="6">
        <f t="shared" si="49"/>
        <v>167</v>
      </c>
      <c r="AF262" s="6">
        <f t="shared" si="49"/>
        <v>201</v>
      </c>
      <c r="AG262" s="6">
        <f t="shared" si="49"/>
        <v>181</v>
      </c>
      <c r="AH262" s="6">
        <f t="shared" si="49"/>
        <v>170</v>
      </c>
      <c r="AI262" s="6">
        <f t="shared" si="49"/>
        <v>206</v>
      </c>
      <c r="AJ262" s="6">
        <f t="shared" si="49"/>
        <v>204</v>
      </c>
      <c r="AK262" s="6">
        <f t="shared" si="49"/>
        <v>176</v>
      </c>
      <c r="AL262" s="6">
        <f t="shared" si="49"/>
        <v>163</v>
      </c>
      <c r="AM262" s="6">
        <f t="shared" si="49"/>
        <v>170</v>
      </c>
      <c r="AN262" s="6">
        <f t="shared" si="49"/>
        <v>164</v>
      </c>
      <c r="AO262" s="6">
        <f t="shared" si="49"/>
        <v>157</v>
      </c>
      <c r="AP262" s="5">
        <f>SUM(E262:AO262)</f>
        <v>6690</v>
      </c>
    </row>
    <row r="263" spans="1:42" x14ac:dyDescent="0.3">
      <c r="A263" s="13"/>
      <c r="B263" s="19" t="s">
        <v>87</v>
      </c>
      <c r="C263" s="67" t="s">
        <v>88</v>
      </c>
      <c r="D263" s="68"/>
      <c r="E263" s="6">
        <v>28</v>
      </c>
      <c r="F263" s="6">
        <v>15</v>
      </c>
      <c r="G263" s="6">
        <v>15</v>
      </c>
      <c r="H263" s="6">
        <v>9</v>
      </c>
      <c r="I263" s="6">
        <v>23</v>
      </c>
      <c r="J263" s="6">
        <v>17</v>
      </c>
      <c r="K263" s="6">
        <v>13</v>
      </c>
      <c r="L263" s="6">
        <v>12</v>
      </c>
      <c r="M263" s="6">
        <v>26</v>
      </c>
      <c r="N263" s="6">
        <v>15</v>
      </c>
      <c r="O263" s="6">
        <v>34</v>
      </c>
      <c r="P263" s="6">
        <v>18</v>
      </c>
      <c r="Q263" s="6">
        <v>19</v>
      </c>
      <c r="R263" s="6">
        <v>29</v>
      </c>
      <c r="S263" s="6">
        <v>23</v>
      </c>
      <c r="T263" s="6">
        <v>17</v>
      </c>
      <c r="U263" s="6">
        <v>6</v>
      </c>
      <c r="V263" s="6">
        <v>28</v>
      </c>
      <c r="W263" s="6">
        <v>16</v>
      </c>
      <c r="X263" s="6">
        <v>28</v>
      </c>
      <c r="Y263" s="6">
        <v>25</v>
      </c>
      <c r="Z263" s="6">
        <v>30</v>
      </c>
      <c r="AA263" s="6">
        <v>33</v>
      </c>
      <c r="AB263" s="6">
        <v>18</v>
      </c>
      <c r="AC263" s="6">
        <v>32</v>
      </c>
      <c r="AD263" s="6">
        <v>14</v>
      </c>
      <c r="AE263" s="6">
        <v>22</v>
      </c>
      <c r="AF263" s="6">
        <v>28</v>
      </c>
      <c r="AG263" s="6">
        <v>23</v>
      </c>
      <c r="AH263" s="6">
        <v>41</v>
      </c>
      <c r="AI263" s="6">
        <v>15</v>
      </c>
      <c r="AJ263" s="6">
        <v>29</v>
      </c>
      <c r="AK263" s="6">
        <v>22</v>
      </c>
      <c r="AL263" s="6">
        <v>18</v>
      </c>
      <c r="AM263" s="6">
        <v>43</v>
      </c>
      <c r="AN263" s="6">
        <v>40</v>
      </c>
      <c r="AO263" s="6">
        <v>51</v>
      </c>
      <c r="AP263" s="5">
        <f>SUM(E263:AO263)</f>
        <v>875</v>
      </c>
    </row>
    <row r="264" spans="1:42" x14ac:dyDescent="0.3">
      <c r="A264" s="14"/>
      <c r="B264" s="19" t="s">
        <v>89</v>
      </c>
      <c r="C264" s="67" t="s">
        <v>90</v>
      </c>
      <c r="D264" s="68"/>
      <c r="E264" s="5">
        <f>SUM(E262:E263)</f>
        <v>219</v>
      </c>
      <c r="F264" s="5">
        <f t="shared" ref="F264:AO264" si="51">SUM(F262:F263)</f>
        <v>207</v>
      </c>
      <c r="G264" s="5">
        <f t="shared" si="51"/>
        <v>179</v>
      </c>
      <c r="H264" s="5">
        <f t="shared" si="51"/>
        <v>210</v>
      </c>
      <c r="I264" s="5">
        <f t="shared" si="51"/>
        <v>218</v>
      </c>
      <c r="J264" s="5">
        <f t="shared" si="51"/>
        <v>174</v>
      </c>
      <c r="K264" s="5">
        <f t="shared" si="51"/>
        <v>181</v>
      </c>
      <c r="L264" s="5">
        <f t="shared" si="51"/>
        <v>159</v>
      </c>
      <c r="M264" s="5">
        <f t="shared" si="51"/>
        <v>230</v>
      </c>
      <c r="N264" s="5">
        <f t="shared" ref="N264:AA264" si="52">SUM(N262:N263)</f>
        <v>234</v>
      </c>
      <c r="O264" s="5">
        <f t="shared" si="52"/>
        <v>205</v>
      </c>
      <c r="P264" s="5">
        <f t="shared" si="52"/>
        <v>176</v>
      </c>
      <c r="Q264" s="5">
        <f t="shared" si="52"/>
        <v>222</v>
      </c>
      <c r="R264" s="5">
        <f t="shared" si="52"/>
        <v>186</v>
      </c>
      <c r="S264" s="5">
        <f t="shared" si="52"/>
        <v>214</v>
      </c>
      <c r="T264" s="5">
        <f t="shared" si="52"/>
        <v>182</v>
      </c>
      <c r="U264" s="5">
        <f t="shared" si="52"/>
        <v>188</v>
      </c>
      <c r="V264" s="5">
        <f t="shared" si="52"/>
        <v>219</v>
      </c>
      <c r="W264" s="5">
        <f t="shared" si="52"/>
        <v>206</v>
      </c>
      <c r="X264" s="5">
        <f t="shared" si="52"/>
        <v>226</v>
      </c>
      <c r="Y264" s="5">
        <f t="shared" si="52"/>
        <v>203</v>
      </c>
      <c r="Z264" s="5">
        <f t="shared" si="52"/>
        <v>200</v>
      </c>
      <c r="AA264" s="5">
        <f t="shared" si="52"/>
        <v>201</v>
      </c>
      <c r="AB264" s="5">
        <f t="shared" si="51"/>
        <v>209</v>
      </c>
      <c r="AC264" s="5">
        <f t="shared" si="51"/>
        <v>212</v>
      </c>
      <c r="AD264" s="5">
        <f t="shared" si="51"/>
        <v>214</v>
      </c>
      <c r="AE264" s="5">
        <f t="shared" si="51"/>
        <v>189</v>
      </c>
      <c r="AF264" s="5">
        <f t="shared" si="51"/>
        <v>229</v>
      </c>
      <c r="AG264" s="5">
        <f t="shared" si="51"/>
        <v>204</v>
      </c>
      <c r="AH264" s="5">
        <f t="shared" si="51"/>
        <v>211</v>
      </c>
      <c r="AI264" s="5">
        <f t="shared" si="51"/>
        <v>221</v>
      </c>
      <c r="AJ264" s="5">
        <f t="shared" si="51"/>
        <v>233</v>
      </c>
      <c r="AK264" s="5">
        <f t="shared" si="51"/>
        <v>198</v>
      </c>
      <c r="AL264" s="5">
        <f t="shared" si="51"/>
        <v>181</v>
      </c>
      <c r="AM264" s="5">
        <f t="shared" si="51"/>
        <v>213</v>
      </c>
      <c r="AN264" s="5">
        <f t="shared" si="51"/>
        <v>204</v>
      </c>
      <c r="AO264" s="5">
        <f t="shared" si="51"/>
        <v>208</v>
      </c>
      <c r="AP264" s="5">
        <f>SUM(E264:AO264)</f>
        <v>7565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O12"/>
    <mergeCell ref="AP12:AP13"/>
    <mergeCell ref="B13:D13"/>
    <mergeCell ref="B14:C16"/>
  </mergeCells>
  <phoneticPr fontId="9" type="noConversion"/>
  <conditionalFormatting sqref="E34:T34 AB34:AH34">
    <cfRule type="expression" dxfId="29" priority="30">
      <formula>E34&lt;&gt;E64</formula>
    </cfRule>
  </conditionalFormatting>
  <conditionalFormatting sqref="E14:AO15">
    <cfRule type="containsBlanks" dxfId="28" priority="21">
      <formula>LEN(TRIM(E14))=0</formula>
    </cfRule>
  </conditionalFormatting>
  <conditionalFormatting sqref="E19:AO20">
    <cfRule type="containsBlanks" dxfId="27" priority="24">
      <formula>LEN(TRIM(E19))=0</formula>
    </cfRule>
  </conditionalFormatting>
  <conditionalFormatting sqref="E22:AO23 E25:AO26 E33:AO33 E35:AO35 E39:AO40">
    <cfRule type="containsBlanks" dxfId="26" priority="25">
      <formula>LEN(TRIM(E22))=0</formula>
    </cfRule>
  </conditionalFormatting>
  <conditionalFormatting sqref="E30:AO30">
    <cfRule type="expression" dxfId="25" priority="26">
      <formula>E30&lt;&gt;E47</formula>
    </cfRule>
    <cfRule type="expression" dxfId="24" priority="27">
      <formula>E30&lt;&gt;E34</formula>
    </cfRule>
  </conditionalFormatting>
  <conditionalFormatting sqref="E34:AO34">
    <cfRule type="expression" dxfId="23" priority="22">
      <formula>E30&lt;&gt;E34</formula>
    </cfRule>
    <cfRule type="expression" dxfId="22" priority="23">
      <formula>E30=E34</formula>
    </cfRule>
    <cfRule type="expression" dxfId="21" priority="28">
      <formula>E34&lt;&gt;E30</formula>
    </cfRule>
  </conditionalFormatting>
  <conditionalFormatting sqref="E45:AO54">
    <cfRule type="containsBlanks" dxfId="20" priority="20">
      <formula>LEN(TRIM(E45))=0</formula>
    </cfRule>
  </conditionalFormatting>
  <conditionalFormatting sqref="E57:AO66">
    <cfRule type="containsBlanks" dxfId="19" priority="19">
      <formula>LEN(TRIM(E57))=0</formula>
    </cfRule>
  </conditionalFormatting>
  <conditionalFormatting sqref="E69:AO78">
    <cfRule type="containsBlanks" dxfId="18" priority="18">
      <formula>LEN(TRIM(E69))=0</formula>
    </cfRule>
  </conditionalFormatting>
  <conditionalFormatting sqref="E81:AO90">
    <cfRule type="containsBlanks" dxfId="17" priority="17">
      <formula>LEN(TRIM(E81))=0</formula>
    </cfRule>
  </conditionalFormatting>
  <conditionalFormatting sqref="E93:AO102">
    <cfRule type="containsBlanks" dxfId="16" priority="16">
      <formula>LEN(TRIM(E93))=0</formula>
    </cfRule>
  </conditionalFormatting>
  <conditionalFormatting sqref="E105:AO114">
    <cfRule type="containsBlanks" dxfId="15" priority="15">
      <formula>LEN(TRIM(E105))=0</formula>
    </cfRule>
  </conditionalFormatting>
  <conditionalFormatting sqref="E117:AO126">
    <cfRule type="containsBlanks" dxfId="14" priority="2">
      <formula>LEN(TRIM(E117))=0</formula>
    </cfRule>
  </conditionalFormatting>
  <conditionalFormatting sqref="E129:AO138">
    <cfRule type="containsBlanks" dxfId="13" priority="14">
      <formula>LEN(TRIM(E129))=0</formula>
    </cfRule>
  </conditionalFormatting>
  <conditionalFormatting sqref="E141:AO150">
    <cfRule type="containsBlanks" dxfId="12" priority="13">
      <formula>LEN(TRIM(E141))=0</formula>
    </cfRule>
  </conditionalFormatting>
  <conditionalFormatting sqref="E153:AO162">
    <cfRule type="containsBlanks" dxfId="11" priority="4">
      <formula>LEN(TRIM(E153))=0</formula>
    </cfRule>
  </conditionalFormatting>
  <conditionalFormatting sqref="E165:AO174">
    <cfRule type="containsBlanks" dxfId="10" priority="12">
      <formula>LEN(TRIM(E165))=0</formula>
    </cfRule>
  </conditionalFormatting>
  <conditionalFormatting sqref="E177:AO186">
    <cfRule type="containsBlanks" dxfId="9" priority="11">
      <formula>LEN(TRIM(E177))=0</formula>
    </cfRule>
  </conditionalFormatting>
  <conditionalFormatting sqref="E189:AO198">
    <cfRule type="containsBlanks" dxfId="8" priority="10">
      <formula>LEN(TRIM(E189))=0</formula>
    </cfRule>
  </conditionalFormatting>
  <conditionalFormatting sqref="E201:AO210">
    <cfRule type="containsBlanks" dxfId="7" priority="9">
      <formula>LEN(TRIM(E201))=0</formula>
    </cfRule>
  </conditionalFormatting>
  <conditionalFormatting sqref="E213:AO222">
    <cfRule type="containsBlanks" dxfId="6" priority="8">
      <formula>LEN(TRIM(E213))=0</formula>
    </cfRule>
  </conditionalFormatting>
  <conditionalFormatting sqref="E225:AO234">
    <cfRule type="containsBlanks" dxfId="5" priority="7">
      <formula>LEN(TRIM(E225))=0</formula>
    </cfRule>
  </conditionalFormatting>
  <conditionalFormatting sqref="E237:AO246">
    <cfRule type="containsBlanks" dxfId="4" priority="6">
      <formula>LEN(TRIM(E237))=0</formula>
    </cfRule>
  </conditionalFormatting>
  <conditionalFormatting sqref="E249:AO258">
    <cfRule type="containsBlanks" dxfId="3" priority="5">
      <formula>LEN(TRIM(E249))=0</formula>
    </cfRule>
  </conditionalFormatting>
  <conditionalFormatting sqref="E262:AO263">
    <cfRule type="containsBlanks" dxfId="2" priority="3">
      <formula>LEN(TRIM(E262))=0</formula>
    </cfRule>
  </conditionalFormatting>
  <conditionalFormatting sqref="U34:AA34">
    <cfRule type="expression" dxfId="1" priority="1">
      <formula>U34&lt;&gt;U47</formula>
    </cfRule>
  </conditionalFormatting>
  <conditionalFormatting sqref="AI34:AO34">
    <cfRule type="expression" dxfId="0" priority="29">
      <formula>AI34&lt;&gt;AI47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DPRD PROVINSI</vt:lpstr>
      <vt:lpstr>GAMBIRAN</vt:lpstr>
      <vt:lpstr>JAJAG</vt:lpstr>
      <vt:lpstr>PURWODADI</vt:lpstr>
      <vt:lpstr>WRINGINAGUNG</vt:lpstr>
      <vt:lpstr>WRINGINREJO</vt:lpstr>
      <vt:lpstr>YOSOMULYO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Eko Budi Hartanto</cp:lastModifiedBy>
  <dcterms:created xsi:type="dcterms:W3CDTF">2026-01-14T02:26:01Z</dcterms:created>
  <dcterms:modified xsi:type="dcterms:W3CDTF">2026-01-30T07:57:54Z</dcterms:modified>
</cp:coreProperties>
</file>