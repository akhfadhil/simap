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ANJAR" sheetId="2" r:id="rId5"/>
    <sheet state="visible" name="GUMUK" sheetId="3" r:id="rId6"/>
    <sheet state="visible" name="JELUN" sheetId="4" r:id="rId7"/>
    <sheet state="visible" name="KLUNCING" sheetId="5" r:id="rId8"/>
    <sheet state="visible" name="LICIN" sheetId="6" r:id="rId9"/>
    <sheet state="visible" name="PAKEL" sheetId="7" r:id="rId10"/>
    <sheet state="visible" name="SEGOBANG" sheetId="8" r:id="rId11"/>
    <sheet state="visible" name="TAMANSARI" sheetId="9" r:id="rId12"/>
  </sheets>
  <definedNames/>
  <calcPr/>
  <extLst>
    <ext uri="GoogleSheetsCustomDataVersion2">
      <go:sheetsCustomData xmlns:go="http://customooxmlschemas.google.com/" r:id="rId13" roundtripDataChecksum="nnmOwm7T11HQss1KKGN8rbKv0jXOdRucCvpYpY4Aasw="/>
    </ext>
  </extLst>
</workbook>
</file>

<file path=xl/sharedStrings.xml><?xml version="1.0" encoding="utf-8"?>
<sst xmlns="http://schemas.openxmlformats.org/spreadsheetml/2006/main" count="2691" uniqueCount="232">
  <si>
    <t>Kecamatan</t>
  </si>
  <si>
    <t>LICIN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</si>
  <si>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</si>
  <si>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</si>
  <si>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</si>
  <si>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</si>
  <si>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</si>
  <si>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</si>
  <si>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</si>
  <si>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</si>
  <si>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</si>
  <si>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</si>
  <si>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</si>
  <si>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</si>
  <si>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</si>
  <si>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</si>
  <si>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</si>
  <si>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</si>
  <si>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</si>
  <si>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</si>
  <si>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</si>
  <si>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</si>
  <si>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</si>
  <si>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</si>
  <si>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</si>
  <si>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</si>
  <si>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</si>
  <si>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</si>
  <si>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</si>
  <si>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</si>
  <si>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</si>
  <si>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</si>
  <si>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</si>
  <si>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</si>
  <si>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</si>
  <si>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</si>
  <si>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</si>
  <si>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</si>
  <si>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</si>
  <si>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</si>
  <si>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</si>
  <si>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</si>
  <si>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</si>
  <si>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</si>
  <si>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</si>
  <si>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</si>
  <si>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</si>
  <si>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</si>
  <si>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</si>
  <si>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</si>
  <si>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</si>
  <si>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</si>
  <si>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</si>
  <si>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</si>
  <si>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</si>
  <si>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</si>
  <si>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</si>
  <si>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</si>
  <si>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</si>
  <si>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</si>
  <si>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</si>
  <si>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</si>
  <si>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</si>
  <si>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</si>
  <si>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</si>
  <si>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</si>
  <si>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</si>
  <si>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</si>
  <si>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</si>
  <si>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</si>
  <si>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</si>
  <si>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</si>
  <si>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</si>
  <si>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</si>
  <si>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</si>
  <si>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</si>
  <si>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</si>
  <si>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</si>
  <si>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</si>
  <si>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</si>
  <si>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</si>
  <si>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</si>
  <si>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</si>
  <si>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</si>
  <si>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</si>
  <si>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</si>
  <si>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</si>
  <si>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</si>
  <si>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</si>
  <si>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</si>
  <si>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</si>
  <si>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</si>
  <si>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</si>
  <si>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</si>
  <si>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</si>
  <si>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</si>
  <si>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</si>
  <si>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</si>
  <si>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</si>
  <si>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</si>
  <si>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</si>
  <si>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</si>
  <si>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</si>
  <si>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</si>
  <si>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</si>
  <si>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</si>
  <si>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</si>
  <si>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</si>
  <si>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</si>
  <si>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</si>
  <si>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</si>
  <si>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</si>
  <si>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</si>
  <si>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</si>
  <si>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</si>
  <si>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</si>
  <si>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</si>
  <si>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</si>
  <si>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</si>
  <si>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</si>
  <si>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</si>
  <si>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</si>
  <si>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</si>
  <si>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</si>
  <si>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</si>
  <si>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</si>
  <si>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</si>
  <si>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</si>
  <si>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</si>
  <si>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</si>
  <si>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</si>
  <si>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</si>
  <si>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</si>
  <si>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</si>
  <si>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</si>
  <si>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</si>
  <si>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</si>
  <si>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</si>
  <si>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</si>
  <si>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</si>
  <si>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</si>
  <si>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</si>
  <si>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</si>
  <si>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</si>
  <si>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</si>
  <si>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</si>
  <si>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</si>
  <si>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</si>
  <si>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</si>
  <si>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</si>
  <si>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</si>
  <si>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</si>
  <si>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</si>
  <si>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</si>
  <si>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</si>
  <si>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</si>
  <si>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</si>
  <si>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</si>
  <si>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</si>
  <si>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</si>
  <si>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</si>
  <si>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</si>
  <si>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</si>
  <si>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</si>
  <si>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</si>
  <si>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</si>
  <si>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</si>
  <si>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</si>
  <si>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</si>
  <si>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</si>
  <si>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</si>
  <si>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</si>
  <si>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</si>
  <si>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</si>
  <si>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</si>
  <si>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</si>
  <si>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</si>
  <si>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</si>
  <si>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</si>
  <si>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</si>
  <si>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</si>
  <si>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</si>
  <si>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</si>
  <si>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</si>
  <si>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</si>
  <si>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</si>
  <si>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</si>
  <si>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</si>
  <si>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</si>
  <si>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</si>
  <si>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</si>
  <si>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</si>
  <si>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</si>
  <si>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</si>
  <si>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</si>
  <si>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</si>
  <si>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</si>
  <si>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</si>
  <si>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</si>
  <si>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BANJAR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</si>
  <si>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</si>
  <si>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</si>
  <si>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</si>
  <si>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</si>
  <si>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</si>
  <si>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</si>
  <si>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</si>
  <si>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</si>
  <si>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</si>
  <si>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GUMUK</t>
  </si>
  <si>
    <t>JELUN</t>
  </si>
  <si>
    <t>KLUNCING</t>
  </si>
  <si>
    <t>TPS 010</t>
  </si>
  <si>
    <t>TPS 011</t>
  </si>
  <si>
    <t>TPS 012</t>
  </si>
  <si>
    <t>TPS 013</t>
  </si>
  <si>
    <t>TPS 014</t>
  </si>
  <si>
    <t>TPS 015</t>
  </si>
  <si>
    <t>PAKEL</t>
  </si>
  <si>
    <t>SEGOBANG</t>
  </si>
  <si>
    <t>TPS 016</t>
  </si>
  <si>
    <t>TPS 017</t>
  </si>
  <si>
    <t>TPS 018</t>
  </si>
  <si>
    <t>DATA PEROLEHAN SUARA PARTAI POLITIK DAN SUARA CALON</t>
  </si>
  <si>
    <t>TAMANSARI</t>
  </si>
  <si>
    <t>TPS 019</t>
  </si>
  <si>
    <t>TPS 020</t>
  </si>
  <si>
    <t>TPS 021</t>
  </si>
  <si>
    <t>TPS 022</t>
  </si>
  <si>
    <t>TPS 023</t>
  </si>
  <si>
    <t>TPS 024</t>
  </si>
  <si>
    <t>TPS 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</si>
</sst>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  <font>
      <sz val="11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8" numFmtId="0" xfId="0" applyBorder="1" applyFont="1"/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9" numFmtId="0" xfId="0" applyAlignment="1" applyFont="1">
      <alignment readingOrder="0"/>
    </xf>
    <xf borderId="19" fillId="2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BANJAR!N14+GUMUK!M14+JELUN!M14+KLUNCING!O14+LICIN!T14+PAKEL!N14+SEGOBANG!W14+TAMANSARI!AD14</f>
        <v>11736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BANJAR!N15+GUMUK!M15+JELUN!M15+KLUNCING!O15+LICIN!T15+PAKEL!N15+SEGOBANG!W15+TAMANSARI!AD15</f>
        <v>11864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23600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BANJAR!N19+GUMUK!M19+JELUN!M19+KLUNCING!O19+LICIN!T19+PAKEL!N19+SEGOBANG!W19+TAMANSARI!AD19</f>
        <v>9042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BANJAR!N20+GUMUK!M20+JELUN!M20+KLUNCING!O20+LICIN!T20+PAKEL!N20+SEGOBANG!W20+TAMANSARI!AD20</f>
        <v>9713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18755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BANJAR!N22+GUMUK!M22+JELUN!M22+KLUNCING!O22+LICIN!T22+PAKEL!N22+SEGOBANG!W22+TAMANSARI!AD22</f>
        <v>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BANJAR!N23+GUMUK!M23+JELUN!M23+KLUNCING!O23+LICIN!T23+PAKEL!N23+SEGOBANG!W23+TAMANSARI!AD23</f>
        <v>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BANJAR!N25+GUMUK!M25+JELUN!M25+KLUNCING!O25+LICIN!T25+PAKEL!N25+SEGOBANG!W25+TAMANSARI!AD25</f>
        <v>78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BANJAR!N26+GUMUK!M26+JELUN!M26+KLUNCING!O26+LICIN!T26+PAKEL!N26+SEGOBANG!W26+TAMANSARI!AD26</f>
        <v>80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158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9126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9798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18924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BANJAR!N33+GUMUK!M33+JELUN!M33+KLUNCING!O33+LICIN!T33+PAKEL!N33+SEGOBANG!W33+TAMANSARI!AD33</f>
        <v>24090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BANJAR!N34+GUMUK!M34+JELUN!M34+KLUNCING!O34+LICIN!T34+PAKEL!N34+SEGOBANG!W34+TAMANSARI!AD34</f>
        <v>18922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BANJAR!N35+GUMUK!M35+JELUN!M35+KLUNCING!O35+LICIN!T35+PAKEL!N35+SEGOBANG!W35+TAMANSARI!AD35</f>
        <v>45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5123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BANJAR!N39+GUMUK!M39+JELUN!M39+KLUNCING!O39+LICIN!T39+PAKEL!N39+SEGOBANG!W39+TAMANSARI!AD39</f>
        <v>27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BANJAR!N40+GUMUK!M40+JELUN!M40+KLUNCING!O40+LICIN!T40+PAKEL!N40+SEGOBANG!W40+TAMANSARI!AD40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BANJAR!N45+GUMUK!M45+JELUN!M45+KLUNCING!O45+LICIN!T45+PAKEL!N45+SEGOBANG!W45+TAMANSARI!AD45</f>
        <v>1005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BANJAR!N46+GUMUK!M46+JELUN!M46+KLUNCING!O46+LICIN!T46+PAKEL!N46+SEGOBANG!W46+TAMANSARI!AD46</f>
        <v>1989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BANJAR!N47+GUMUK!M47+JELUN!M47+KLUNCING!O47+LICIN!T47+PAKEL!N47+SEGOBANG!W47+TAMANSARI!AD47</f>
        <v>177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BANJAR!N48+GUMUK!M48+JELUN!M48+KLUNCING!O48+LICIN!T48+PAKEL!N48+SEGOBANG!W48+TAMANSARI!AD48</f>
        <v>141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BANJAR!N49+GUMUK!M49+JELUN!M49+KLUNCING!O49+LICIN!T49+PAKEL!N49+SEGOBANG!W49+TAMANSARI!AD49</f>
        <v>116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BANJAR!N50+GUMUK!M50+JELUN!M50+KLUNCING!O50+LICIN!T50+PAKEL!N50+SEGOBANG!W50+TAMANSARI!AD50</f>
        <v>48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BANJAR!N51+GUMUK!M51+JELUN!M51+KLUNCING!O51+LICIN!T51+PAKEL!N51+SEGOBANG!W51+TAMANSARI!AD51</f>
        <v>24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BANJAR!N52+GUMUK!M52+JELUN!M52+KLUNCING!O52+LICIN!T52+PAKEL!N52+SEGOBANG!W52+TAMANSARI!AD52</f>
        <v>25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BANJAR!N53+GUMUK!M53+JELUN!M53+KLUNCING!O53+LICIN!T53+PAKEL!N53+SEGOBANG!W53+TAMANSARI!AD53</f>
        <v>12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BANJAR!N54+GUMUK!M54+JELUN!M54+KLUNCING!O54+LICIN!T54+PAKEL!N54+SEGOBANG!W54+TAMANSARI!AD54</f>
        <v>16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SUM(E45:E54)</f>
        <v>3553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BANJAR!N57+GUMUK!M57+JELUN!M57+KLUNCING!O57+LICIN!T57+PAKEL!N57+SEGOBANG!W57+TAMANSARI!AD57</f>
        <v>1393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BANJAR!N58+GUMUK!M58+JELUN!M58+KLUNCING!O58+LICIN!T58+PAKEL!N58+SEGOBANG!W58+TAMANSARI!AD58</f>
        <v>646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BANJAR!N59+GUMUK!M59+JELUN!M59+KLUNCING!O59+LICIN!T59+PAKEL!N59+SEGOBANG!W59+TAMANSARI!AD59</f>
        <v>1125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BANJAR!N60+GUMUK!M60+JELUN!M60+KLUNCING!O60+LICIN!T60+PAKEL!N60+SEGOBANG!W60+TAMANSARI!AD60</f>
        <v>187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BANJAR!N61+GUMUK!M61+JELUN!M61+KLUNCING!O61+LICIN!T61+PAKEL!N61+SEGOBANG!W61+TAMANSARI!AD61</f>
        <v>248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BANJAR!N62+GUMUK!M62+JELUN!M62+KLUNCING!O62+LICIN!T62+PAKEL!N62+SEGOBANG!W62+TAMANSARI!AD62</f>
        <v>55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BANJAR!N63+GUMUK!M63+JELUN!M63+KLUNCING!O63+LICIN!T63+PAKEL!N63+SEGOBANG!W63+TAMANSARI!AD63</f>
        <v>45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BANJAR!N64+GUMUK!M64+JELUN!M64+KLUNCING!O64+LICIN!T64+PAKEL!N64+SEGOBANG!W64+TAMANSARI!AD64</f>
        <v>19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BANJAR!N65+GUMUK!M65+JELUN!M65+KLUNCING!O65+LICIN!T65+PAKEL!N65+SEGOBANG!W65+TAMANSARI!AD65</f>
        <v>17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BANJAR!N66+GUMUK!M66+JELUN!M66+KLUNCING!O66+LICIN!T66+PAKEL!N66+SEGOBANG!W66+TAMANSARI!AD66</f>
        <v>29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SUM(E57:E66)</f>
        <v>3764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BANJAR!N69+GUMUK!M69+JELUN!M69+KLUNCING!O69+LICIN!T69+PAKEL!N69+SEGOBANG!W69+TAMANSARI!AD69</f>
        <v>847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BANJAR!N70+GUMUK!M70+JELUN!M70+KLUNCING!O70+LICIN!T70+PAKEL!N70+SEGOBANG!W70+TAMANSARI!AD70</f>
        <v>311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BANJAR!N71+GUMUK!M71+JELUN!M71+KLUNCING!O71+LICIN!T71+PAKEL!N71+SEGOBANG!W71+TAMANSARI!AD71</f>
        <v>370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BANJAR!N72+GUMUK!M72+JELUN!M72+KLUNCING!O72+LICIN!T72+PAKEL!N72+SEGOBANG!W72+TAMANSARI!AD72</f>
        <v>257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BANJAR!N73+GUMUK!M73+JELUN!M73+KLUNCING!O73+LICIN!T73+PAKEL!N73+SEGOBANG!W73+TAMANSARI!AD73</f>
        <v>421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BANJAR!N74+GUMUK!M74+JELUN!M74+KLUNCING!O74+LICIN!T74+PAKEL!N74+SEGOBANG!W74+TAMANSARI!AD74</f>
        <v>158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BANJAR!N75+GUMUK!M75+JELUN!M75+KLUNCING!O75+LICIN!T75+PAKEL!N75+SEGOBANG!W75+TAMANSARI!AD75</f>
        <v>36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BANJAR!N76+GUMUK!M76+JELUN!M76+KLUNCING!O76+LICIN!T76+PAKEL!N76+SEGOBANG!W76+TAMANSARI!AD76</f>
        <v>38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BANJAR!N77+GUMUK!M77+JELUN!M77+KLUNCING!O77+LICIN!T77+PAKEL!N77+SEGOBANG!W77+TAMANSARI!AD77</f>
        <v>24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BANJAR!N78+GUMUK!M78+JELUN!M78+KLUNCING!O78+LICIN!T78+PAKEL!N78+SEGOBANG!W78+TAMANSARI!AD78</f>
        <v>29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SUM(E69:E78)</f>
        <v>2491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BANJAR!N81+GUMUK!M81+JELUN!M81+KLUNCING!O81+LICIN!T81+PAKEL!N81+SEGOBANG!W81+TAMANSARI!AD81</f>
        <v>787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BANJAR!N82+GUMUK!M82+JELUN!M82+KLUNCING!O82+LICIN!T82+PAKEL!N82+SEGOBANG!W82+TAMANSARI!AD82</f>
        <v>743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BANJAR!N83+GUMUK!M83+JELUN!M83+KLUNCING!O83+LICIN!T83+PAKEL!N83+SEGOBANG!W83+TAMANSARI!AD83</f>
        <v>330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BANJAR!N84+GUMUK!M84+JELUN!M84+KLUNCING!O84+LICIN!T84+PAKEL!N84+SEGOBANG!W84+TAMANSARI!AD84</f>
        <v>91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BANJAR!N85+GUMUK!M85+JELUN!M85+KLUNCING!O85+LICIN!T85+PAKEL!N85+SEGOBANG!W85+TAMANSARI!AD85</f>
        <v>124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BANJAR!N86+GUMUK!M86+JELUN!M86+KLUNCING!O86+LICIN!T86+PAKEL!N86+SEGOBANG!W86+TAMANSARI!AD86</f>
        <v>48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BANJAR!N87+GUMUK!M87+JELUN!M87+KLUNCING!O87+LICIN!T87+PAKEL!N87+SEGOBANG!W87+TAMANSARI!AD87</f>
        <v>22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BANJAR!N88+GUMUK!M88+JELUN!M88+KLUNCING!O88+LICIN!T88+PAKEL!N88+SEGOBANG!W88+TAMANSARI!AD88</f>
        <v>13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BANJAR!N89+GUMUK!M89+JELUN!M89+KLUNCING!O89+LICIN!T89+PAKEL!N89+SEGOBANG!W89+TAMANSARI!AD89</f>
        <v>8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BANJAR!N90+GUMUK!M90+JELUN!M90+KLUNCING!O90+LICIN!T90+PAKEL!N90+SEGOBANG!W90+TAMANSARI!AD90</f>
        <v>20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SUM(E81:E90)</f>
        <v>2186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BANJAR!N93+GUMUK!M93+JELUN!M93+KLUNCING!O93+LICIN!T93+PAKEL!N93+SEGOBANG!W93+TAMANSARI!AD93</f>
        <v>187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BANJAR!N94+GUMUK!M94+JELUN!M94+KLUNCING!O94+LICIN!T94+PAKEL!N94+SEGOBANG!W94+TAMANSARI!AD94</f>
        <v>236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BANJAR!N95+GUMUK!M95+JELUN!M95+KLUNCING!O95+LICIN!T95+PAKEL!N95+SEGOBANG!W95+TAMANSARI!AD95</f>
        <v>33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BANJAR!N96+GUMUK!M96+JELUN!M96+KLUNCING!O96+LICIN!T96+PAKEL!N96+SEGOBANG!W96+TAMANSARI!AD96</f>
        <v>19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BANJAR!N97+GUMUK!M97+JELUN!M97+KLUNCING!O97+LICIN!T97+PAKEL!N97+SEGOBANG!W97+TAMANSARI!AD97</f>
        <v>17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BANJAR!N98+GUMUK!M98+JELUN!M98+KLUNCING!O98+LICIN!T98+PAKEL!N98+SEGOBANG!W98+TAMANSARI!AD98</f>
        <v>31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BANJAR!N99+GUMUK!M99+JELUN!M99+KLUNCING!O99+LICIN!T99+PAKEL!N99+SEGOBANG!W99+TAMANSARI!AD99</f>
        <v>27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BANJAR!N100+GUMUK!M100+JELUN!M100+KLUNCING!O100+LICIN!T100+PAKEL!N100+SEGOBANG!W100+TAMANSARI!AD100</f>
        <v>4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BANJAR!N101+GUMUK!M101+JELUN!M101+KLUNCING!O101+LICIN!T101+PAKEL!N101+SEGOBANG!W101+TAMANSARI!AD101</f>
        <v>7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BANJAR!N102+GUMUK!M102+JELUN!M102+KLUNCING!O102+LICIN!T102+PAKEL!N102+SEGOBANG!W102+TAMANSARI!AD102</f>
        <v>14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SUM(E93:E102)</f>
        <v>575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BANJAR!N105+GUMUK!M105+JELUN!M105+KLUNCING!O105+LICIN!T105+PAKEL!N105+SEGOBANG!W105+TAMANSARI!AD105</f>
        <v>64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BANJAR!N106+GUMUK!M106+JELUN!M106+KLUNCING!O106+LICIN!T106+PAKEL!N106+SEGOBANG!W106+TAMANSARI!AD106</f>
        <v>30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BANJAR!N107+GUMUK!M107+JELUN!M107+KLUNCING!O107+LICIN!T107+PAKEL!N107+SEGOBANG!W107+TAMANSARI!AD107</f>
        <v>10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104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BANJAR!N117+GUMUK!M117+JELUN!M117+KLUNCING!O117+LICIN!T117+PAKEL!N117+SEGOBANG!W117+TAMANSARI!AD117</f>
        <v>89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BANJAR!N118+GUMUK!M118+JELUN!M118+KLUNCING!O118+LICIN!T118+PAKEL!N118+SEGOBANG!W118+TAMANSARI!AD118</f>
        <v>30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BANJAR!N119+GUMUK!M119+JELUN!M119+KLUNCING!O119+LICIN!T119+PAKEL!N119+SEGOBANG!W119+TAMANSARI!AD119</f>
        <v>7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BANJAR!N120+GUMUK!M120+JELUN!M120+KLUNCING!O120+LICIN!T120+PAKEL!N120+SEGOBANG!W120+TAMANSARI!AD120</f>
        <v>10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BANJAR!N121+GUMUK!M121+JELUN!M121+KLUNCING!O121+LICIN!T121+PAKEL!N121+SEGOBANG!W121+TAMANSARI!AD121</f>
        <v>7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BANJAR!N122+GUMUK!M122+JELUN!M122+KLUNCING!O122+LICIN!T122+PAKEL!N122+SEGOBANG!W122+TAMANSARI!AD122</f>
        <v>12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SUM(E117:E122)</f>
        <v>155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BANJAR!N129+GUMUK!M129+JELUN!M129+KLUNCING!O129+LICIN!T129+PAKEL!N129+SEGOBANG!W129+TAMANSARI!AD129</f>
        <v>126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BANJAR!N130+GUMUK!M130+JELUN!M130+KLUNCING!O130+LICIN!T130+PAKEL!N130+SEGOBANG!W130+TAMANSARI!AD130</f>
        <v>162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BANJAR!N131+GUMUK!M131+JELUN!M131+KLUNCING!O131+LICIN!T131+PAKEL!N131+SEGOBANG!W131+TAMANSARI!AD131</f>
        <v>38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BANJAR!N132+GUMUK!M132+JELUN!M132+KLUNCING!O132+LICIN!T132+PAKEL!N132+SEGOBANG!W132+TAMANSARI!AD132</f>
        <v>13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BANJAR!N133+GUMUK!M133+JELUN!M133+KLUNCING!O133+LICIN!T133+PAKEL!N133+SEGOBANG!W133+TAMANSARI!AD133</f>
        <v>11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BANJAR!N134+GUMUK!M134+JELUN!M134+KLUNCING!O134+LICIN!T134+PAKEL!N134+SEGOBANG!W134+TAMANSARI!AD134</f>
        <v>21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BANJAR!N135+GUMUK!M135+JELUN!M135+KLUNCING!O135+LICIN!T135+PAKEL!N135+SEGOBANG!W135+TAMANSARI!AD135</f>
        <v>138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BANJAR!N136+GUMUK!M136+JELUN!M136+KLUNCING!O136+LICIN!T136+PAKEL!N136+SEGOBANG!W136+TAMANSARI!AD136</f>
        <v>5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BANJAR!N137+GUMUK!M137+JELUN!M137+KLUNCING!O137+LICIN!T137+PAKEL!N137+SEGOBANG!W137+TAMANSARI!AD137</f>
        <v>5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BANJAR!N138+GUMUK!M138+JELUN!M138+KLUNCING!O138+LICIN!T138+PAKEL!N138+SEGOBANG!W138+TAMANSARI!AD138</f>
        <v>3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SUM(E129:E138)</f>
        <v>522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BANJAR!N141+GUMUK!M141+JELUN!M141+KLUNCING!O141+LICIN!T141+PAKEL!N141+SEGOBANG!W141+TAMANSARI!AD141</f>
        <v>5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BANJAR!N142+GUMUK!M142+JELUN!M142+KLUNCING!O142+LICIN!T142+PAKEL!N142+SEGOBANG!W142+TAMANSARI!AD142</f>
        <v>3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BANJAR!N143+GUMUK!M143+JELUN!M143+KLUNCING!O143+LICIN!T143+PAKEL!N143+SEGOBANG!W143+TAMANSARI!AD143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BANJAR!N144+GUMUK!M144+JELUN!M144+KLUNCING!O144+LICIN!T144+PAKEL!N144+SEGOBANG!W144+TAMANSARI!AD144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10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BANJAR!N153+GUMUK!M153+JELUN!M153+KLUNCING!O153+LICIN!T153+PAKEL!N153+SEGOBANG!W153+TAMANSARI!AD153</f>
        <v>41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BANJAR!N154+GUMUK!M154+JELUN!M154+KLUNCING!O154+LICIN!T154+PAKEL!N154+SEGOBANG!W154+TAMANSARI!AD154</f>
        <v>51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BANJAR!N155+GUMUK!M155+JELUN!M155+KLUNCING!O155+LICIN!T155+PAKEL!N155+SEGOBANG!W155+TAMANSARI!AD155</f>
        <v>15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BANJAR!N156+GUMUK!M156+JELUN!M156+KLUNCING!O156+LICIN!T156+PAKEL!N156+SEGOBANG!W156+TAMANSARI!AD156</f>
        <v>11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BANJAR!N157+GUMUK!M157+JELUN!M157+KLUNCING!O157+LICIN!T157+PAKEL!N157+SEGOBANG!W157+TAMANSARI!AD157</f>
        <v>5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BANJAR!N158+GUMUK!M158+JELUN!M158+KLUNCING!O158+LICIN!T158+PAKEL!N158+SEGOBANG!W158+TAMANSARI!AD158</f>
        <v>1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BANJAR!N159+GUMUK!M159+JELUN!M159+KLUNCING!O159+LICIN!T159+PAKEL!N159+SEGOBANG!W159+TAMANSARI!AD159</f>
        <v>0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BANJAR!N160+GUMUK!M160+JELUN!M160+KLUNCING!O160+LICIN!T160+PAKEL!N160+SEGOBANG!W160+TAMANSARI!AD160</f>
        <v>3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4"/>
      <c r="D163" s="28"/>
      <c r="E163" s="13">
        <f>SUM(E153:E160)</f>
        <v>127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BANJAR!N165+GUMUK!M165+JELUN!M165+KLUNCING!O165+LICIN!T165+PAKEL!N165+SEGOBANG!W165+TAMANSARI!AD165</f>
        <v>27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BANJAR!N166+GUMUK!M166+JELUN!M166+KLUNCING!O166+LICIN!T166+PAKEL!N166+SEGOBANG!W166+TAMANSARI!AD166</f>
        <v>11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38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BANJAR!N177+GUMUK!M177+JELUN!M177+KLUNCING!O177+LICIN!T177+PAKEL!N177+SEGOBANG!W177+TAMANSARI!AD177</f>
        <v>95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BANJAR!N178+GUMUK!M178+JELUN!M178+KLUNCING!O178+LICIN!T178+PAKEL!N178+SEGOBANG!W178+TAMANSARI!AD178</f>
        <v>115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BANJAR!N179+GUMUK!M179+JELUN!M179+KLUNCING!O179+LICIN!T179+PAKEL!N179+SEGOBANG!W179+TAMANSARI!AD179</f>
        <v>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BANJAR!N180+GUMUK!M180+JELUN!M180+KLUNCING!O180+LICIN!T180+PAKEL!N180+SEGOBANG!W180+TAMANSARI!AD180</f>
        <v>23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BANJAR!N181+GUMUK!M181+JELUN!M181+KLUNCING!O181+LICIN!T181+PAKEL!N181+SEGOBANG!W181+TAMANSARI!AD181</f>
        <v>22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BANJAR!N182+GUMUK!M182+JELUN!M182+KLUNCING!O182+LICIN!T182+PAKEL!N182+SEGOBANG!W182+TAMANSARI!AD182</f>
        <v>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BANJAR!N183+GUMUK!M183+JELUN!M183+KLUNCING!O183+LICIN!T183+PAKEL!N183+SEGOBANG!W183+TAMANSARI!AD183</f>
        <v>7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BANJAR!N184+GUMUK!M184+JELUN!M184+KLUNCING!O184+LICIN!T184+PAKEL!N184+SEGOBANG!W184+TAMANSARI!AD184</f>
        <v>1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BANJAR!N185+GUMUK!M185+JELUN!M185+KLUNCING!O185+LICIN!T185+PAKEL!N185+SEGOBANG!W185+TAMANSARI!AD185</f>
        <v>5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BANJAR!N186+GUMUK!M186+JELUN!M186+KLUNCING!O186+LICIN!T186+PAKEL!N186+SEGOBANG!W186+TAMANSARI!AD186</f>
        <v>2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SUM(E177:E186)</f>
        <v>295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BANJAR!N189+GUMUK!M189+JELUN!M189+KLUNCING!O189+LICIN!T189+PAKEL!N189+SEGOBANG!W189+TAMANSARI!AD189</f>
        <v>31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BANJAR!N190+GUMUK!M190+JELUN!M190+KLUNCING!O190+LICIN!T190+PAKEL!N190+SEGOBANG!W190+TAMANSARI!AD190</f>
        <v>14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BANJAR!N191+GUMUK!M191+JELUN!M191+KLUNCING!O191+LICIN!T191+PAKEL!N191+SEGOBANG!W191+TAMANSARI!AD191</f>
        <v>27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BANJAR!N192+GUMUK!M192+JELUN!M192+KLUNCING!O192+LICIN!T192+PAKEL!N192+SEGOBANG!W192+TAMANSARI!AD192</f>
        <v>7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BANJAR!N193+GUMUK!M193+JELUN!M193+KLUNCING!O193+LICIN!T193+PAKEL!N193+SEGOBANG!W193+TAMANSARI!AD193</f>
        <v>3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BANJAR!N194+GUMUK!M194+JELUN!M194+KLUNCING!O194+LICIN!T194+PAKEL!N194+SEGOBANG!W194+TAMANSARI!AD194</f>
        <v>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BANJAR!N195+GUMUK!M195+JELUN!M195+KLUNCING!O195+LICIN!T195+PAKEL!N195+SEGOBANG!W195+TAMANSARI!AD195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BANJAR!N196+GUMUK!M196+JELUN!M196+KLUNCING!O196+LICIN!T196+PAKEL!N196+SEGOBANG!W196+TAMANSARI!AD196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BANJAR!N197+GUMUK!M197+JELUN!M197+KLUNCING!O197+LICIN!T197+PAKEL!N197+SEGOBANG!W197+TAMANSARI!AD197</f>
        <v>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BANJAR!N198+GUMUK!M198+JELUN!M198+KLUNCING!O198+LICIN!T198+PAKEL!N198+SEGOBANG!W198+TAMANSARI!AD198</f>
        <v>2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SUM(E189:E198)</f>
        <v>86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BANJAR!N201+GUMUK!M201+JELUN!M201+KLUNCING!O201+LICIN!T201+PAKEL!N201+SEGOBANG!W201+TAMANSARI!AD201</f>
        <v>243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BANJAR!N202+GUMUK!M202+JELUN!M202+KLUNCING!O202+LICIN!T202+PAKEL!N202+SEGOBANG!W202+TAMANSARI!AD202</f>
        <v>132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BANJAR!N203+GUMUK!M203+JELUN!M203+KLUNCING!O203+LICIN!T203+PAKEL!N203+SEGOBANG!W203+TAMANSARI!AD203</f>
        <v>235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BANJAR!N204+GUMUK!M204+JELUN!M204+KLUNCING!O204+LICIN!T204+PAKEL!N204+SEGOBANG!W204+TAMANSARI!AD204</f>
        <v>18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BANJAR!N205+GUMUK!M205+JELUN!M205+KLUNCING!O205+LICIN!T205+PAKEL!N205+SEGOBANG!W205+TAMANSARI!AD205</f>
        <v>19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BANJAR!N206+GUMUK!M206+JELUN!M206+KLUNCING!O206+LICIN!T206+PAKEL!N206+SEGOBANG!W206+TAMANSARI!AD206</f>
        <v>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BANJAR!N207+GUMUK!M207+JELUN!M207+KLUNCING!O207+LICIN!T207+PAKEL!N207+SEGOBANG!W207+TAMANSARI!AD207</f>
        <v>13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BANJAR!N208+GUMUK!M208+JELUN!M208+KLUNCING!O208+LICIN!T208+PAKEL!N208+SEGOBANG!W208+TAMANSARI!AD208</f>
        <v>9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BANJAR!N209+GUMUK!M209+JELUN!M209+KLUNCING!O209+LICIN!T209+PAKEL!N209+SEGOBANG!W209+TAMANSARI!AD209</f>
        <v>2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BANJAR!N210+GUMUK!M210+JELUN!M210+KLUNCING!O210+LICIN!T210+PAKEL!N210+SEGOBANG!W210+TAMANSARI!AD210</f>
        <v>1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SUM(E201:E210)</f>
        <v>677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BANJAR!N213+GUMUK!M213+JELUN!M213+KLUNCING!O213+LICIN!T213+PAKEL!N213+SEGOBANG!W213+TAMANSARI!AD213</f>
        <v>146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BANJAR!N214+GUMUK!M214+JELUN!M214+KLUNCING!O214+LICIN!T214+PAKEL!N214+SEGOBANG!W214+TAMANSARI!AD214</f>
        <v>124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BANJAR!N215+GUMUK!M215+JELUN!M215+KLUNCING!O215+LICIN!T215+PAKEL!N215+SEGOBANG!W215+TAMANSARI!AD215</f>
        <v>67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BANJAR!N216+GUMUK!M216+JELUN!M216+KLUNCING!O216+LICIN!T216+PAKEL!N216+SEGOBANG!W216+TAMANSARI!AD216</f>
        <v>21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8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8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8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8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8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8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358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BANJAR!N225+GUMUK!M225+JELUN!M225+KLUNCING!O225+LICIN!T225+PAKEL!N225+SEGOBANG!W225+TAMANSARI!AD225</f>
        <v>35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BANJAR!N226+GUMUK!M226+JELUN!M226+KLUNCING!O226+LICIN!T226+PAKEL!N226+SEGOBANG!W226+TAMANSARI!AD226</f>
        <v>32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BANJAR!N227+GUMUK!M227+JELUN!M227+KLUNCING!O227+LICIN!T227+PAKEL!N227+SEGOBANG!W227+TAMANSARI!AD227</f>
        <v>7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BANJAR!N228+GUMUK!M228+JELUN!M228+KLUNCING!O228+LICIN!T228+PAKEL!N228+SEGOBANG!W228+TAMANSARI!AD228</f>
        <v>7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BANJAR!N229+GUMUK!M229+JELUN!M229+KLUNCING!O229+LICIN!T229+PAKEL!N229+SEGOBANG!W229+TAMANSARI!AD229</f>
        <v>7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88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BANJAR!N237+GUMUK!M237+JELUN!M237+KLUNCING!O237+LICIN!T237+PAKEL!N237+SEGOBANG!W237+TAMANSARI!AD237</f>
        <v>190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BANJAR!N238+GUMUK!M238+JELUN!M238+KLUNCING!O238+LICIN!T238+PAKEL!N238+SEGOBANG!W238+TAMANSARI!AD238</f>
        <v>160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BANJAR!N239+GUMUK!M239+JELUN!M239+KLUNCING!O239+LICIN!T239+PAKEL!N239+SEGOBANG!W239+TAMANSARI!AD239</f>
        <v>415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BANJAR!N240+GUMUK!M240+JELUN!M240+KLUNCING!O240+LICIN!T240+PAKEL!N240+SEGOBANG!W240+TAMANSARI!AD240</f>
        <v>43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BANJAR!N241+GUMUK!M241+JELUN!M241+KLUNCING!O241+LICIN!T241+PAKEL!N241+SEGOBANG!W241+TAMANSARI!AD241</f>
        <v>33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BANJAR!N242+GUMUK!M242+JELUN!M242+KLUNCING!O242+LICIN!T242+PAKEL!N242+SEGOBANG!W242+TAMANSARI!AD242</f>
        <v>23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BANJAR!N243+GUMUK!M243+JELUN!M243+KLUNCING!O243+LICIN!T243+PAKEL!N243+SEGOBANG!W243+TAMANSARI!AD243</f>
        <v>4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BANJAR!N244+GUMUK!M244+JELUN!M244+KLUNCING!O244+LICIN!T244+PAKEL!N244+SEGOBANG!W244+TAMANSARI!AD244</f>
        <v>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BANJAR!N245+GUMUK!M245+JELUN!M245+KLUNCING!O245+LICIN!T245+PAKEL!N245+SEGOBANG!W245+TAMANSARI!AD245</f>
        <v>9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BANJAR!N246+GUMUK!M246+JELUN!M246+KLUNCING!O246+LICIN!T246+PAKEL!N246+SEGOBANG!W246+TAMANSARI!AD246</f>
        <v>9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SUM(E237:E246)</f>
        <v>892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BANJAR!N249+GUMUK!M249+JELUN!M249+KLUNCING!O249+LICIN!T249+PAKEL!N249+SEGOBANG!W249+TAMANSARI!AD249</f>
        <v>45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BANJAR!N250+GUMUK!M250+JELUN!M250+KLUNCING!O250+LICIN!T250+PAKEL!N250+SEGOBANG!W250+TAMANSARI!AD250</f>
        <v>20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BANJAR!N251+GUMUK!M251+JELUN!M251+KLUNCING!O251+LICIN!T251+PAKEL!N251+SEGOBANG!W251+TAMANSARI!AD251</f>
        <v>6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BANJAR!N252+GUMUK!M252+JELUN!M252+KLUNCING!O252+LICIN!T252+PAKEL!N252+SEGOBANG!W252+TAMANSARI!AD252</f>
        <v>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71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BANJAR!N262+GUMUK!M262+JELUN!M262+KLUNCING!O262+LICIN!T262+PAKEL!N262+SEGOBANG!W262+TAMANSARI!AD262</f>
        <v>15993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BANJAR!N263+GUMUK!M263+JELUN!M263+KLUNCING!O263+LICIN!T263+PAKEL!N263+SEGOBANG!W263+TAMANSARI!AD263</f>
        <v>2929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18922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74">
        <v>123.0</v>
      </c>
      <c r="F14" s="74">
        <v>103.0</v>
      </c>
      <c r="G14" s="74">
        <v>107.0</v>
      </c>
      <c r="H14" s="74">
        <v>115.0</v>
      </c>
      <c r="I14" s="74">
        <v>81.0</v>
      </c>
      <c r="J14" s="74">
        <v>73.0</v>
      </c>
      <c r="K14" s="74">
        <v>115.0</v>
      </c>
      <c r="L14" s="74">
        <v>146.0</v>
      </c>
      <c r="M14" s="74">
        <v>132.0</v>
      </c>
      <c r="N14" s="13">
        <f t="shared" ref="N14:N16" si="1">SUM(E14:M14)</f>
        <v>995</v>
      </c>
    </row>
    <row r="15" ht="12.75" customHeight="1">
      <c r="A15" s="18"/>
      <c r="B15" s="26"/>
      <c r="C15" s="27"/>
      <c r="D15" s="19" t="s">
        <v>13</v>
      </c>
      <c r="E15" s="74">
        <v>120.0</v>
      </c>
      <c r="F15" s="74">
        <v>107.0</v>
      </c>
      <c r="G15" s="74">
        <v>116.0</v>
      </c>
      <c r="H15" s="74">
        <v>117.0</v>
      </c>
      <c r="I15" s="74">
        <v>83.0</v>
      </c>
      <c r="J15" s="74">
        <v>77.0</v>
      </c>
      <c r="K15" s="74">
        <v>131.0</v>
      </c>
      <c r="L15" s="74">
        <v>133.0</v>
      </c>
      <c r="M15" s="74">
        <v>128.0</v>
      </c>
      <c r="N15" s="13">
        <f t="shared" si="1"/>
        <v>1012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243</v>
      </c>
      <c r="F16" s="13">
        <f t="shared" si="2"/>
        <v>210</v>
      </c>
      <c r="G16" s="13">
        <f t="shared" si="2"/>
        <v>223</v>
      </c>
      <c r="H16" s="13">
        <f t="shared" si="2"/>
        <v>232</v>
      </c>
      <c r="I16" s="13">
        <f t="shared" si="2"/>
        <v>164</v>
      </c>
      <c r="J16" s="13">
        <f t="shared" si="2"/>
        <v>150</v>
      </c>
      <c r="K16" s="13">
        <f t="shared" si="2"/>
        <v>246</v>
      </c>
      <c r="L16" s="13">
        <f t="shared" si="2"/>
        <v>279</v>
      </c>
      <c r="M16" s="13">
        <f t="shared" si="2"/>
        <v>260</v>
      </c>
      <c r="N16" s="13">
        <f t="shared" si="1"/>
        <v>2007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82.0</v>
      </c>
      <c r="F19" s="74">
        <v>78.0</v>
      </c>
      <c r="G19" s="74">
        <v>80.0</v>
      </c>
      <c r="H19" s="74">
        <v>81.0</v>
      </c>
      <c r="I19" s="74">
        <v>55.0</v>
      </c>
      <c r="J19" s="74">
        <v>61.0</v>
      </c>
      <c r="K19" s="74">
        <v>92.0</v>
      </c>
      <c r="L19" s="74">
        <v>112.0</v>
      </c>
      <c r="M19" s="74">
        <v>111.0</v>
      </c>
      <c r="N19" s="13">
        <f t="shared" ref="N19:N30" si="3">SUM(E19:M19)</f>
        <v>752</v>
      </c>
    </row>
    <row r="20" ht="12.75" customHeight="1">
      <c r="A20" s="33"/>
      <c r="B20" s="27"/>
      <c r="C20" s="34"/>
      <c r="D20" s="19" t="s">
        <v>13</v>
      </c>
      <c r="E20" s="74">
        <v>96.0</v>
      </c>
      <c r="F20" s="74">
        <v>86.0</v>
      </c>
      <c r="G20" s="74">
        <v>95.0</v>
      </c>
      <c r="H20" s="74">
        <v>92.0</v>
      </c>
      <c r="I20" s="74">
        <v>71.0</v>
      </c>
      <c r="J20" s="74">
        <v>65.0</v>
      </c>
      <c r="K20" s="74">
        <v>105.0</v>
      </c>
      <c r="L20" s="74">
        <v>101.0</v>
      </c>
      <c r="M20" s="74">
        <v>111.0</v>
      </c>
      <c r="N20" s="13">
        <f t="shared" si="3"/>
        <v>822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178</v>
      </c>
      <c r="F21" s="13">
        <f t="shared" si="4"/>
        <v>164</v>
      </c>
      <c r="G21" s="13">
        <f t="shared" si="4"/>
        <v>175</v>
      </c>
      <c r="H21" s="13">
        <f t="shared" si="4"/>
        <v>173</v>
      </c>
      <c r="I21" s="13">
        <f t="shared" si="4"/>
        <v>126</v>
      </c>
      <c r="J21" s="13">
        <f t="shared" si="4"/>
        <v>126</v>
      </c>
      <c r="K21" s="13">
        <f t="shared" si="4"/>
        <v>197</v>
      </c>
      <c r="L21" s="13">
        <f t="shared" si="4"/>
        <v>213</v>
      </c>
      <c r="M21" s="13">
        <f t="shared" si="4"/>
        <v>222</v>
      </c>
      <c r="N21" s="13">
        <f t="shared" si="3"/>
        <v>1574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0.0</v>
      </c>
      <c r="J25" s="74">
        <v>0.0</v>
      </c>
      <c r="K25" s="74">
        <v>0.0</v>
      </c>
      <c r="L25" s="74">
        <v>0.0</v>
      </c>
      <c r="M25" s="74">
        <v>3.0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1.0</v>
      </c>
      <c r="H26" s="74">
        <v>0.0</v>
      </c>
      <c r="I26" s="74">
        <v>0.0</v>
      </c>
      <c r="J26" s="74">
        <v>0.0</v>
      </c>
      <c r="K26" s="74">
        <v>2.0</v>
      </c>
      <c r="L26" s="74">
        <v>1.0</v>
      </c>
      <c r="M26" s="74">
        <v>1.0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4</v>
      </c>
      <c r="N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82</v>
      </c>
      <c r="F28" s="13">
        <f t="shared" si="7"/>
        <v>78</v>
      </c>
      <c r="G28" s="13">
        <f t="shared" si="7"/>
        <v>80</v>
      </c>
      <c r="H28" s="13">
        <f t="shared" si="7"/>
        <v>81</v>
      </c>
      <c r="I28" s="13">
        <f t="shared" si="7"/>
        <v>55</v>
      </c>
      <c r="J28" s="13">
        <f t="shared" si="7"/>
        <v>61</v>
      </c>
      <c r="K28" s="13">
        <f t="shared" si="7"/>
        <v>92</v>
      </c>
      <c r="L28" s="13">
        <f t="shared" si="7"/>
        <v>112</v>
      </c>
      <c r="M28" s="13">
        <f t="shared" si="7"/>
        <v>114</v>
      </c>
      <c r="N28" s="13">
        <f t="shared" si="3"/>
        <v>755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96</v>
      </c>
      <c r="F29" s="13">
        <f t="shared" si="8"/>
        <v>86</v>
      </c>
      <c r="G29" s="13">
        <f t="shared" si="8"/>
        <v>96</v>
      </c>
      <c r="H29" s="13">
        <f t="shared" si="8"/>
        <v>92</v>
      </c>
      <c r="I29" s="13">
        <f t="shared" si="8"/>
        <v>71</v>
      </c>
      <c r="J29" s="13">
        <f t="shared" si="8"/>
        <v>65</v>
      </c>
      <c r="K29" s="13">
        <f t="shared" si="8"/>
        <v>107</v>
      </c>
      <c r="L29" s="13">
        <f t="shared" si="8"/>
        <v>102</v>
      </c>
      <c r="M29" s="13">
        <f t="shared" si="8"/>
        <v>112</v>
      </c>
      <c r="N29" s="13">
        <f t="shared" si="3"/>
        <v>827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178</v>
      </c>
      <c r="F30" s="13">
        <f t="shared" si="9"/>
        <v>164</v>
      </c>
      <c r="G30" s="13">
        <f t="shared" si="9"/>
        <v>176</v>
      </c>
      <c r="H30" s="13">
        <f t="shared" si="9"/>
        <v>173</v>
      </c>
      <c r="I30" s="13">
        <f t="shared" si="9"/>
        <v>126</v>
      </c>
      <c r="J30" s="13">
        <f t="shared" si="9"/>
        <v>126</v>
      </c>
      <c r="K30" s="13">
        <f t="shared" si="9"/>
        <v>199</v>
      </c>
      <c r="L30" s="13">
        <f t="shared" si="9"/>
        <v>214</v>
      </c>
      <c r="M30" s="13">
        <f t="shared" si="9"/>
        <v>226</v>
      </c>
      <c r="N30" s="13">
        <f t="shared" si="3"/>
        <v>1582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5"/>
    </row>
    <row r="33" ht="12.75" customHeight="1">
      <c r="A33" s="19">
        <v>1.0</v>
      </c>
      <c r="B33" s="20" t="s">
        <v>27</v>
      </c>
      <c r="C33" s="15"/>
      <c r="D33" s="16"/>
      <c r="E33" s="74">
        <v>254.0</v>
      </c>
      <c r="F33" s="74">
        <v>215.0</v>
      </c>
      <c r="G33" s="74">
        <v>228.0</v>
      </c>
      <c r="H33" s="74">
        <v>237.0</v>
      </c>
      <c r="I33" s="74">
        <v>168.0</v>
      </c>
      <c r="J33" s="74">
        <v>153.0</v>
      </c>
      <c r="K33" s="74">
        <v>251.0</v>
      </c>
      <c r="L33" s="74">
        <v>285.0</v>
      </c>
      <c r="M33" s="74">
        <v>267.0</v>
      </c>
      <c r="N33" s="13">
        <f t="shared" ref="N33:N36" si="10">SUM(E33:M33)</f>
        <v>2058</v>
      </c>
    </row>
    <row r="34" ht="12.75" customHeight="1">
      <c r="A34" s="19">
        <v>2.0</v>
      </c>
      <c r="B34" s="20" t="s">
        <v>28</v>
      </c>
      <c r="C34" s="15"/>
      <c r="D34" s="16"/>
      <c r="E34" s="76">
        <v>178.0</v>
      </c>
      <c r="F34" s="76">
        <v>164.0</v>
      </c>
      <c r="G34" s="76">
        <v>176.0</v>
      </c>
      <c r="H34" s="76">
        <v>173.0</v>
      </c>
      <c r="I34" s="76">
        <v>126.0</v>
      </c>
      <c r="J34" s="76">
        <v>126.0</v>
      </c>
      <c r="K34" s="76">
        <v>199.0</v>
      </c>
      <c r="L34" s="76">
        <v>214.0</v>
      </c>
      <c r="M34" s="76">
        <v>226.0</v>
      </c>
      <c r="N34" s="13">
        <f t="shared" si="10"/>
        <v>1582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76</v>
      </c>
      <c r="F36" s="13">
        <f t="shared" si="11"/>
        <v>51</v>
      </c>
      <c r="G36" s="13">
        <f t="shared" si="11"/>
        <v>52</v>
      </c>
      <c r="H36" s="13">
        <f t="shared" si="11"/>
        <v>64</v>
      </c>
      <c r="I36" s="13">
        <f t="shared" si="11"/>
        <v>42</v>
      </c>
      <c r="J36" s="13">
        <f t="shared" si="11"/>
        <v>27</v>
      </c>
      <c r="K36" s="13">
        <f t="shared" si="11"/>
        <v>52</v>
      </c>
      <c r="L36" s="13">
        <f t="shared" si="11"/>
        <v>71</v>
      </c>
      <c r="M36" s="13">
        <f t="shared" si="11"/>
        <v>41</v>
      </c>
      <c r="N36" s="13">
        <f t="shared" si="10"/>
        <v>476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5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2.0</v>
      </c>
      <c r="G39" s="74">
        <v>3.0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1.0</v>
      </c>
      <c r="N39" s="13">
        <f t="shared" ref="N39:N41" si="12">SUM(E39:M39)</f>
        <v>7</v>
      </c>
    </row>
    <row r="40" ht="12.75" customHeight="1">
      <c r="A40" s="33"/>
      <c r="C40" s="27"/>
      <c r="D40" s="19" t="s">
        <v>13</v>
      </c>
      <c r="E40" s="74">
        <v>0.0</v>
      </c>
      <c r="F40" s="74">
        <v>1.0</v>
      </c>
      <c r="G40" s="74">
        <v>0.0</v>
      </c>
      <c r="H40" s="74">
        <v>0.0</v>
      </c>
      <c r="I40" s="74">
        <v>1.0</v>
      </c>
      <c r="J40" s="74">
        <v>0.0</v>
      </c>
      <c r="K40" s="74">
        <v>0.0</v>
      </c>
      <c r="L40" s="74">
        <v>0.0</v>
      </c>
      <c r="M40" s="74">
        <v>0.0</v>
      </c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3</v>
      </c>
      <c r="G41" s="13">
        <f t="shared" si="13"/>
        <v>3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13.0</v>
      </c>
      <c r="F45" s="74">
        <v>6.0</v>
      </c>
      <c r="G45" s="74">
        <v>5.0</v>
      </c>
      <c r="H45" s="74">
        <v>15.0</v>
      </c>
      <c r="I45" s="74">
        <v>0.0</v>
      </c>
      <c r="J45" s="74">
        <v>2.0</v>
      </c>
      <c r="K45" s="74">
        <v>22.0</v>
      </c>
      <c r="L45" s="74">
        <v>8.0</v>
      </c>
      <c r="M45" s="74">
        <v>9.0</v>
      </c>
      <c r="N45" s="13">
        <f t="shared" ref="N45:N55" si="14">SUM(E45:M45)</f>
        <v>80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24.0</v>
      </c>
      <c r="F46" s="74">
        <v>16.0</v>
      </c>
      <c r="G46" s="74">
        <v>12.0</v>
      </c>
      <c r="H46" s="74">
        <v>12.0</v>
      </c>
      <c r="I46" s="74">
        <v>6.0</v>
      </c>
      <c r="J46" s="74">
        <v>7.0</v>
      </c>
      <c r="K46" s="74">
        <v>29.0</v>
      </c>
      <c r="L46" s="74">
        <v>21.0</v>
      </c>
      <c r="M46" s="74">
        <v>12.0</v>
      </c>
      <c r="N46" s="13">
        <f t="shared" si="14"/>
        <v>139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1.0</v>
      </c>
      <c r="G47" s="74">
        <v>0.0</v>
      </c>
      <c r="H47" s="74">
        <v>0.0</v>
      </c>
      <c r="I47" s="74">
        <v>1.0</v>
      </c>
      <c r="J47" s="74">
        <v>1.0</v>
      </c>
      <c r="K47" s="74">
        <v>2.0</v>
      </c>
      <c r="L47" s="74">
        <v>1.0</v>
      </c>
      <c r="M47" s="74">
        <v>2.0</v>
      </c>
      <c r="N47" s="13">
        <f t="shared" si="14"/>
        <v>8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0.0</v>
      </c>
      <c r="I48" s="74">
        <v>0.0</v>
      </c>
      <c r="J48" s="74">
        <v>0.0</v>
      </c>
      <c r="K48" s="74">
        <v>1.0</v>
      </c>
      <c r="L48" s="74">
        <v>0.0</v>
      </c>
      <c r="M48" s="74">
        <v>0.0</v>
      </c>
      <c r="N48" s="13">
        <f t="shared" si="14"/>
        <v>2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1.0</v>
      </c>
      <c r="H49" s="74">
        <v>2.0</v>
      </c>
      <c r="I49" s="74">
        <v>0.0</v>
      </c>
      <c r="J49" s="74">
        <v>0.0</v>
      </c>
      <c r="K49" s="74">
        <v>2.0</v>
      </c>
      <c r="L49" s="74">
        <v>3.0</v>
      </c>
      <c r="M49" s="74">
        <v>0.0</v>
      </c>
      <c r="N49" s="13">
        <f t="shared" si="14"/>
        <v>9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1.0</v>
      </c>
      <c r="G50" s="74">
        <v>1.0</v>
      </c>
      <c r="H50" s="74">
        <v>0.0</v>
      </c>
      <c r="I50" s="74">
        <v>0.0</v>
      </c>
      <c r="J50" s="74">
        <v>0.0</v>
      </c>
      <c r="K50" s="74">
        <v>0.0</v>
      </c>
      <c r="L50" s="74">
        <v>1.0</v>
      </c>
      <c r="M50" s="74">
        <v>3.0</v>
      </c>
      <c r="N50" s="13">
        <f t="shared" si="14"/>
        <v>7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13">
        <f t="shared" si="14"/>
        <v>1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0.0</v>
      </c>
      <c r="H52" s="74">
        <v>1.0</v>
      </c>
      <c r="I52" s="74">
        <v>0.0</v>
      </c>
      <c r="J52" s="74">
        <v>0.0</v>
      </c>
      <c r="K52" s="74">
        <v>0.0</v>
      </c>
      <c r="L52" s="74">
        <v>1.0</v>
      </c>
      <c r="M52" s="74">
        <v>0.0</v>
      </c>
      <c r="N52" s="13">
        <f t="shared" si="14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1.0</v>
      </c>
      <c r="F54" s="74">
        <v>1.0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13">
        <f t="shared" si="14"/>
        <v>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M55" si="15">SUM(E45:E54)</f>
        <v>41</v>
      </c>
      <c r="F55" s="13">
        <f t="shared" si="15"/>
        <v>26</v>
      </c>
      <c r="G55" s="13">
        <f t="shared" si="15"/>
        <v>19</v>
      </c>
      <c r="H55" s="13">
        <f t="shared" si="15"/>
        <v>30</v>
      </c>
      <c r="I55" s="13">
        <f t="shared" si="15"/>
        <v>7</v>
      </c>
      <c r="J55" s="13">
        <f t="shared" si="15"/>
        <v>10</v>
      </c>
      <c r="K55" s="13">
        <f t="shared" si="15"/>
        <v>56</v>
      </c>
      <c r="L55" s="13">
        <f t="shared" si="15"/>
        <v>35</v>
      </c>
      <c r="M55" s="13">
        <f t="shared" si="15"/>
        <v>27</v>
      </c>
      <c r="N55" s="13">
        <f t="shared" si="14"/>
        <v>251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10.0</v>
      </c>
      <c r="F57" s="74">
        <v>8.0</v>
      </c>
      <c r="G57" s="74">
        <v>16.0</v>
      </c>
      <c r="H57" s="74">
        <v>11.0</v>
      </c>
      <c r="I57" s="74">
        <v>14.0</v>
      </c>
      <c r="J57" s="74">
        <v>9.0</v>
      </c>
      <c r="K57" s="74">
        <v>13.0</v>
      </c>
      <c r="L57" s="74">
        <v>17.0</v>
      </c>
      <c r="M57" s="74">
        <v>26.0</v>
      </c>
      <c r="N57" s="13">
        <f t="shared" ref="N57:N67" si="16">SUM(E57:M57)</f>
        <v>124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4.0</v>
      </c>
      <c r="F58" s="74">
        <v>7.0</v>
      </c>
      <c r="G58" s="74">
        <v>7.0</v>
      </c>
      <c r="H58" s="74">
        <v>5.0</v>
      </c>
      <c r="I58" s="74">
        <v>6.0</v>
      </c>
      <c r="J58" s="74">
        <v>6.0</v>
      </c>
      <c r="K58" s="74">
        <v>7.0</v>
      </c>
      <c r="L58" s="74">
        <v>16.0</v>
      </c>
      <c r="M58" s="74">
        <v>10.0</v>
      </c>
      <c r="N58" s="13">
        <f t="shared" si="16"/>
        <v>68</v>
      </c>
    </row>
    <row r="59" ht="12.75" customHeight="1">
      <c r="A59" s="18"/>
      <c r="B59" s="55"/>
      <c r="C59" s="50" t="s">
        <v>52</v>
      </c>
      <c r="D59" s="56"/>
      <c r="E59" s="74">
        <v>8.0</v>
      </c>
      <c r="F59" s="74">
        <v>21.0</v>
      </c>
      <c r="G59" s="74">
        <v>27.0</v>
      </c>
      <c r="H59" s="74">
        <v>6.0</v>
      </c>
      <c r="I59" s="74">
        <v>18.0</v>
      </c>
      <c r="J59" s="74">
        <v>22.0</v>
      </c>
      <c r="K59" s="74">
        <v>14.0</v>
      </c>
      <c r="L59" s="74">
        <v>33.0</v>
      </c>
      <c r="M59" s="74">
        <v>18.0</v>
      </c>
      <c r="N59" s="13">
        <f t="shared" si="16"/>
        <v>167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1.0</v>
      </c>
      <c r="G60" s="74">
        <v>2.0</v>
      </c>
      <c r="H60" s="74">
        <v>1.0</v>
      </c>
      <c r="I60" s="74">
        <v>2.0</v>
      </c>
      <c r="J60" s="74">
        <v>1.0</v>
      </c>
      <c r="K60" s="74">
        <v>2.0</v>
      </c>
      <c r="L60" s="74">
        <v>2.0</v>
      </c>
      <c r="M60" s="74">
        <v>3.0</v>
      </c>
      <c r="N60" s="13">
        <f t="shared" si="16"/>
        <v>14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1.0</v>
      </c>
      <c r="G61" s="74">
        <v>2.0</v>
      </c>
      <c r="H61" s="74">
        <v>2.0</v>
      </c>
      <c r="I61" s="74">
        <v>0.0</v>
      </c>
      <c r="J61" s="74">
        <v>2.0</v>
      </c>
      <c r="K61" s="74">
        <v>1.0</v>
      </c>
      <c r="L61" s="74">
        <v>2.0</v>
      </c>
      <c r="M61" s="74">
        <v>2.0</v>
      </c>
      <c r="N61" s="13">
        <f t="shared" si="16"/>
        <v>13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1.0</v>
      </c>
      <c r="L62" s="74">
        <v>1.0</v>
      </c>
      <c r="M62" s="74">
        <v>0.0</v>
      </c>
      <c r="N62" s="13">
        <f t="shared" si="16"/>
        <v>4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1.0</v>
      </c>
      <c r="K63" s="74">
        <v>0.0</v>
      </c>
      <c r="L63" s="74">
        <v>0.0</v>
      </c>
      <c r="M63" s="74">
        <v>0.0</v>
      </c>
      <c r="N63" s="13">
        <f t="shared" si="16"/>
        <v>1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1.0</v>
      </c>
      <c r="L64" s="74">
        <v>1.0</v>
      </c>
      <c r="M64" s="74">
        <v>0.0</v>
      </c>
      <c r="N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2.0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1.0</v>
      </c>
      <c r="N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0.0</v>
      </c>
      <c r="I66" s="74">
        <v>1.0</v>
      </c>
      <c r="J66" s="74">
        <v>0.0</v>
      </c>
      <c r="K66" s="74">
        <v>0.0</v>
      </c>
      <c r="L66" s="74">
        <v>0.0</v>
      </c>
      <c r="M66" s="74">
        <v>0.0</v>
      </c>
      <c r="N66" s="13">
        <f t="shared" si="16"/>
        <v>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M67" si="17">SUM(E57:E66)</f>
        <v>25</v>
      </c>
      <c r="F67" s="13">
        <f t="shared" si="17"/>
        <v>41</v>
      </c>
      <c r="G67" s="13">
        <f t="shared" si="17"/>
        <v>54</v>
      </c>
      <c r="H67" s="13">
        <f t="shared" si="17"/>
        <v>25</v>
      </c>
      <c r="I67" s="13">
        <f t="shared" si="17"/>
        <v>42</v>
      </c>
      <c r="J67" s="13">
        <f t="shared" si="17"/>
        <v>41</v>
      </c>
      <c r="K67" s="13">
        <f t="shared" si="17"/>
        <v>39</v>
      </c>
      <c r="L67" s="13">
        <f t="shared" si="17"/>
        <v>72</v>
      </c>
      <c r="M67" s="13">
        <f t="shared" si="17"/>
        <v>60</v>
      </c>
      <c r="N67" s="13">
        <f t="shared" si="16"/>
        <v>399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6.0</v>
      </c>
      <c r="G69" s="74">
        <v>7.0</v>
      </c>
      <c r="H69" s="74">
        <v>3.0</v>
      </c>
      <c r="I69" s="74">
        <v>6.0</v>
      </c>
      <c r="J69" s="74">
        <v>5.0</v>
      </c>
      <c r="K69" s="74">
        <v>11.0</v>
      </c>
      <c r="L69" s="74">
        <v>16.0</v>
      </c>
      <c r="M69" s="74">
        <v>6.0</v>
      </c>
      <c r="N69" s="13">
        <f t="shared" ref="N69:N79" si="18">SUM(E69:M69)</f>
        <v>70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3.0</v>
      </c>
      <c r="G70" s="74">
        <v>0.0</v>
      </c>
      <c r="H70" s="74">
        <v>1.0</v>
      </c>
      <c r="I70" s="74">
        <v>0.0</v>
      </c>
      <c r="J70" s="74">
        <v>2.0</v>
      </c>
      <c r="K70" s="74">
        <v>6.0</v>
      </c>
      <c r="L70" s="74">
        <v>8.0</v>
      </c>
      <c r="M70" s="74">
        <v>6.0</v>
      </c>
      <c r="N70" s="13">
        <f t="shared" si="18"/>
        <v>30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2.0</v>
      </c>
      <c r="G71" s="74">
        <v>4.0</v>
      </c>
      <c r="H71" s="74">
        <v>6.0</v>
      </c>
      <c r="I71" s="74">
        <v>2.0</v>
      </c>
      <c r="J71" s="74">
        <v>2.0</v>
      </c>
      <c r="K71" s="74">
        <v>4.0</v>
      </c>
      <c r="L71" s="74">
        <v>2.0</v>
      </c>
      <c r="M71" s="74">
        <v>3.0</v>
      </c>
      <c r="N71" s="13">
        <f t="shared" si="18"/>
        <v>26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0.0</v>
      </c>
      <c r="G72" s="74">
        <v>1.0</v>
      </c>
      <c r="H72" s="74">
        <v>3.0</v>
      </c>
      <c r="I72" s="74">
        <v>6.0</v>
      </c>
      <c r="J72" s="74">
        <v>1.0</v>
      </c>
      <c r="K72" s="74">
        <v>2.0</v>
      </c>
      <c r="L72" s="74">
        <v>7.0</v>
      </c>
      <c r="M72" s="74">
        <v>4.0</v>
      </c>
      <c r="N72" s="13">
        <f t="shared" si="18"/>
        <v>26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1.0</v>
      </c>
      <c r="G73" s="74">
        <v>6.0</v>
      </c>
      <c r="H73" s="74">
        <v>3.0</v>
      </c>
      <c r="I73" s="74">
        <v>5.0</v>
      </c>
      <c r="J73" s="74">
        <v>5.0</v>
      </c>
      <c r="K73" s="74">
        <v>8.0</v>
      </c>
      <c r="L73" s="74">
        <v>15.0</v>
      </c>
      <c r="M73" s="74">
        <v>6.0</v>
      </c>
      <c r="N73" s="13">
        <f t="shared" si="18"/>
        <v>52</v>
      </c>
    </row>
    <row r="74" ht="12.75" customHeight="1">
      <c r="A74" s="18"/>
      <c r="B74" s="55"/>
      <c r="C74" s="50" t="s">
        <v>65</v>
      </c>
      <c r="D74" s="57"/>
      <c r="E74" s="74">
        <v>3.0</v>
      </c>
      <c r="F74" s="74">
        <v>1.0</v>
      </c>
      <c r="G74" s="74">
        <v>0.0</v>
      </c>
      <c r="H74" s="74">
        <v>0.0</v>
      </c>
      <c r="I74" s="74">
        <v>1.0</v>
      </c>
      <c r="J74" s="74">
        <v>1.0</v>
      </c>
      <c r="K74" s="74">
        <v>1.0</v>
      </c>
      <c r="L74" s="74">
        <v>0.0</v>
      </c>
      <c r="M74" s="74">
        <v>0.0</v>
      </c>
      <c r="N74" s="13">
        <f t="shared" si="18"/>
        <v>7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2.0</v>
      </c>
      <c r="L75" s="74">
        <v>1.0</v>
      </c>
      <c r="M75" s="74">
        <v>0.0</v>
      </c>
      <c r="N75" s="13">
        <f t="shared" si="18"/>
        <v>3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1.0</v>
      </c>
      <c r="J76" s="74">
        <v>0.0</v>
      </c>
      <c r="K76" s="74">
        <v>0.0</v>
      </c>
      <c r="L76" s="74">
        <v>0.0</v>
      </c>
      <c r="M76" s="74">
        <v>0.0</v>
      </c>
      <c r="N76" s="13">
        <f t="shared" si="18"/>
        <v>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1.0</v>
      </c>
      <c r="I77" s="74">
        <v>0.0</v>
      </c>
      <c r="J77" s="74">
        <v>0.0</v>
      </c>
      <c r="K77" s="74">
        <v>1.0</v>
      </c>
      <c r="L77" s="74">
        <v>0.0</v>
      </c>
      <c r="M77" s="74">
        <v>0.0</v>
      </c>
      <c r="N77" s="13">
        <f t="shared" si="18"/>
        <v>2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2.0</v>
      </c>
      <c r="M78" s="74">
        <v>2.0</v>
      </c>
      <c r="N78" s="13">
        <f t="shared" si="18"/>
        <v>5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M79" si="19">SUM(E69:E78)</f>
        <v>23</v>
      </c>
      <c r="F79" s="13">
        <f t="shared" si="19"/>
        <v>14</v>
      </c>
      <c r="G79" s="13">
        <f t="shared" si="19"/>
        <v>18</v>
      </c>
      <c r="H79" s="13">
        <f t="shared" si="19"/>
        <v>17</v>
      </c>
      <c r="I79" s="13">
        <f t="shared" si="19"/>
        <v>21</v>
      </c>
      <c r="J79" s="13">
        <f t="shared" si="19"/>
        <v>16</v>
      </c>
      <c r="K79" s="13">
        <f t="shared" si="19"/>
        <v>35</v>
      </c>
      <c r="L79" s="13">
        <f t="shared" si="19"/>
        <v>51</v>
      </c>
      <c r="M79" s="13">
        <f t="shared" si="19"/>
        <v>27</v>
      </c>
      <c r="N79" s="13">
        <f t="shared" si="18"/>
        <v>222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5.0</v>
      </c>
      <c r="G81" s="74">
        <v>5.0</v>
      </c>
      <c r="H81" s="74">
        <v>7.0</v>
      </c>
      <c r="I81" s="74">
        <v>0.0</v>
      </c>
      <c r="J81" s="74">
        <v>5.0</v>
      </c>
      <c r="K81" s="74">
        <v>4.0</v>
      </c>
      <c r="L81" s="74">
        <v>8.0</v>
      </c>
      <c r="M81" s="74">
        <v>4.0</v>
      </c>
      <c r="N81" s="13">
        <f t="shared" ref="N81:N91" si="20">SUM(E81:M81)</f>
        <v>42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5.0</v>
      </c>
      <c r="F82" s="74">
        <v>1.0</v>
      </c>
      <c r="G82" s="74">
        <v>6.0</v>
      </c>
      <c r="H82" s="74">
        <v>5.0</v>
      </c>
      <c r="I82" s="74">
        <v>3.0</v>
      </c>
      <c r="J82" s="74">
        <v>3.0</v>
      </c>
      <c r="K82" s="74">
        <v>2.0</v>
      </c>
      <c r="L82" s="74">
        <v>6.0</v>
      </c>
      <c r="M82" s="74">
        <v>1.0</v>
      </c>
      <c r="N82" s="13">
        <f t="shared" si="20"/>
        <v>32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1.0</v>
      </c>
      <c r="G83" s="74">
        <v>2.0</v>
      </c>
      <c r="H83" s="74">
        <v>2.0</v>
      </c>
      <c r="I83" s="74">
        <v>1.0</v>
      </c>
      <c r="J83" s="74">
        <v>1.0</v>
      </c>
      <c r="K83" s="74">
        <v>4.0</v>
      </c>
      <c r="L83" s="74">
        <v>1.0</v>
      </c>
      <c r="M83" s="74">
        <v>0.0</v>
      </c>
      <c r="N83" s="13">
        <f t="shared" si="20"/>
        <v>13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0.0</v>
      </c>
      <c r="I84" s="74">
        <v>0.0</v>
      </c>
      <c r="J84" s="74">
        <v>2.0</v>
      </c>
      <c r="K84" s="74">
        <v>0.0</v>
      </c>
      <c r="L84" s="74">
        <v>0.0</v>
      </c>
      <c r="M84" s="74">
        <v>2.0</v>
      </c>
      <c r="N84" s="13">
        <f t="shared" si="20"/>
        <v>4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1.0</v>
      </c>
      <c r="H85" s="74">
        <v>3.0</v>
      </c>
      <c r="I85" s="74">
        <v>3.0</v>
      </c>
      <c r="J85" s="74">
        <v>0.0</v>
      </c>
      <c r="K85" s="74">
        <v>0.0</v>
      </c>
      <c r="L85" s="74">
        <v>0.0</v>
      </c>
      <c r="M85" s="74">
        <v>0.0</v>
      </c>
      <c r="N85" s="13">
        <f t="shared" si="20"/>
        <v>7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1.0</v>
      </c>
      <c r="N86" s="13">
        <f t="shared" si="20"/>
        <v>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1.0</v>
      </c>
      <c r="J87" s="74">
        <v>1.0</v>
      </c>
      <c r="K87" s="74">
        <v>1.0</v>
      </c>
      <c r="L87" s="74">
        <v>0.0</v>
      </c>
      <c r="M87" s="74">
        <v>2.0</v>
      </c>
      <c r="N87" s="13">
        <f t="shared" si="20"/>
        <v>5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1.0</v>
      </c>
      <c r="L88" s="74">
        <v>0.0</v>
      </c>
      <c r="M88" s="74">
        <v>0.0</v>
      </c>
      <c r="N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1.0</v>
      </c>
      <c r="L89" s="74">
        <v>1.0</v>
      </c>
      <c r="M89" s="74">
        <v>0.0</v>
      </c>
      <c r="N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13">
        <f t="shared" si="20"/>
        <v>0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M91" si="21">SUM(E81:E90)</f>
        <v>10</v>
      </c>
      <c r="F91" s="13">
        <f t="shared" si="21"/>
        <v>7</v>
      </c>
      <c r="G91" s="13">
        <f t="shared" si="21"/>
        <v>14</v>
      </c>
      <c r="H91" s="13">
        <f t="shared" si="21"/>
        <v>17</v>
      </c>
      <c r="I91" s="13">
        <f t="shared" si="21"/>
        <v>8</v>
      </c>
      <c r="J91" s="13">
        <f t="shared" si="21"/>
        <v>12</v>
      </c>
      <c r="K91" s="13">
        <f t="shared" si="21"/>
        <v>13</v>
      </c>
      <c r="L91" s="13">
        <f t="shared" si="21"/>
        <v>16</v>
      </c>
      <c r="M91" s="13">
        <f t="shared" si="21"/>
        <v>10</v>
      </c>
      <c r="N91" s="13">
        <f t="shared" si="20"/>
        <v>107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3.0</v>
      </c>
      <c r="F93" s="74">
        <v>4.0</v>
      </c>
      <c r="G93" s="74">
        <v>1.0</v>
      </c>
      <c r="H93" s="74">
        <v>2.0</v>
      </c>
      <c r="I93" s="74">
        <v>0.0</v>
      </c>
      <c r="J93" s="74">
        <v>0.0</v>
      </c>
      <c r="K93" s="74">
        <v>0.0</v>
      </c>
      <c r="L93" s="74">
        <v>1.0</v>
      </c>
      <c r="M93" s="74">
        <v>1.0</v>
      </c>
      <c r="N93" s="13">
        <f t="shared" ref="N93:N103" si="22">SUM(E93:M93)</f>
        <v>12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3.0</v>
      </c>
      <c r="F94" s="74">
        <v>6.0</v>
      </c>
      <c r="G94" s="74">
        <v>1.0</v>
      </c>
      <c r="H94" s="74">
        <v>0.0</v>
      </c>
      <c r="I94" s="74">
        <v>0.0</v>
      </c>
      <c r="J94" s="74">
        <v>0.0</v>
      </c>
      <c r="K94" s="74">
        <v>0.0</v>
      </c>
      <c r="L94" s="74">
        <v>1.0</v>
      </c>
      <c r="M94" s="74">
        <v>0.0</v>
      </c>
      <c r="N94" s="13">
        <f t="shared" si="22"/>
        <v>11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0.0</v>
      </c>
      <c r="I95" s="74">
        <v>1.0</v>
      </c>
      <c r="J95" s="74">
        <v>0.0</v>
      </c>
      <c r="K95" s="74">
        <v>0.0</v>
      </c>
      <c r="L95" s="74">
        <v>0.0</v>
      </c>
      <c r="M95" s="74">
        <v>0.0</v>
      </c>
      <c r="N95" s="13">
        <f t="shared" si="22"/>
        <v>2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1.0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13">
        <f t="shared" si="22"/>
        <v>1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1.0</v>
      </c>
      <c r="M97" s="74">
        <v>0.0</v>
      </c>
      <c r="N97" s="13">
        <f t="shared" si="22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1.0</v>
      </c>
      <c r="L98" s="74">
        <v>0.0</v>
      </c>
      <c r="M98" s="74">
        <v>0.0</v>
      </c>
      <c r="N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1.0</v>
      </c>
      <c r="F99" s="74">
        <v>0.0</v>
      </c>
      <c r="G99" s="74">
        <v>1.0</v>
      </c>
      <c r="H99" s="74">
        <v>0.0</v>
      </c>
      <c r="I99" s="74">
        <v>0.0</v>
      </c>
      <c r="J99" s="74">
        <v>0.0</v>
      </c>
      <c r="K99" s="74">
        <v>2.0</v>
      </c>
      <c r="L99" s="74">
        <v>0.0</v>
      </c>
      <c r="M99" s="74">
        <v>0.0</v>
      </c>
      <c r="N99" s="13">
        <f t="shared" si="22"/>
        <v>4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1.0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13">
        <f t="shared" si="22"/>
        <v>1</v>
      </c>
    </row>
    <row r="102" ht="12.75" customHeight="1">
      <c r="A102" s="18"/>
      <c r="B102" s="55"/>
      <c r="C102" s="50" t="s">
        <v>90</v>
      </c>
      <c r="D102" s="57"/>
      <c r="E102" s="74">
        <v>1.0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4.0</v>
      </c>
      <c r="L102" s="74">
        <v>0.0</v>
      </c>
      <c r="M102" s="74">
        <v>0.0</v>
      </c>
      <c r="N102" s="13">
        <f t="shared" si="22"/>
        <v>5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M103" si="23">SUM(E93:E102)</f>
        <v>8</v>
      </c>
      <c r="F103" s="13">
        <f t="shared" si="23"/>
        <v>12</v>
      </c>
      <c r="G103" s="13">
        <f t="shared" si="23"/>
        <v>5</v>
      </c>
      <c r="H103" s="13">
        <f t="shared" si="23"/>
        <v>2</v>
      </c>
      <c r="I103" s="13">
        <f t="shared" si="23"/>
        <v>1</v>
      </c>
      <c r="J103" s="13">
        <f t="shared" si="23"/>
        <v>0</v>
      </c>
      <c r="K103" s="13">
        <f t="shared" si="23"/>
        <v>7</v>
      </c>
      <c r="L103" s="13">
        <f t="shared" si="23"/>
        <v>3</v>
      </c>
      <c r="M103" s="13">
        <f t="shared" si="23"/>
        <v>1</v>
      </c>
      <c r="N103" s="13">
        <f t="shared" si="22"/>
        <v>39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  <c r="N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1.0</v>
      </c>
      <c r="G105" s="74">
        <v>1.0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13">
        <f t="shared" ref="N105:N107" si="24">SUM(E105:M105)</f>
        <v>5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13">
        <f t="shared" si="24"/>
        <v>1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13">
        <f t="shared" si="24"/>
        <v>0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M115" si="25">SUM(E105:E112)</f>
        <v>1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>SUM(E115:M115)</f>
        <v>6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1.0</v>
      </c>
      <c r="G117" s="74">
        <v>0.0</v>
      </c>
      <c r="H117" s="74">
        <v>0.0</v>
      </c>
      <c r="I117" s="74">
        <v>3.0</v>
      </c>
      <c r="J117" s="74">
        <v>0.0</v>
      </c>
      <c r="K117" s="74">
        <v>0.0</v>
      </c>
      <c r="L117" s="74">
        <v>0.0</v>
      </c>
      <c r="M117" s="74">
        <v>3.0</v>
      </c>
      <c r="N117" s="13">
        <f t="shared" ref="N117:N122" si="26">SUM(E117:M117)</f>
        <v>7</v>
      </c>
      <c r="O117" s="5"/>
      <c r="P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1.0</v>
      </c>
      <c r="N118" s="13">
        <f t="shared" si="26"/>
        <v>1</v>
      </c>
      <c r="O118" s="5"/>
      <c r="P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13">
        <f t="shared" si="26"/>
        <v>0</v>
      </c>
      <c r="O119" s="5"/>
      <c r="P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1.0</v>
      </c>
      <c r="N120" s="13">
        <f t="shared" si="26"/>
        <v>1</v>
      </c>
      <c r="O120" s="5"/>
      <c r="P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1.0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13">
        <f t="shared" si="26"/>
        <v>1</v>
      </c>
      <c r="O121" s="5"/>
      <c r="P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1.0</v>
      </c>
      <c r="I122" s="74">
        <v>0.0</v>
      </c>
      <c r="J122" s="74">
        <v>1.0</v>
      </c>
      <c r="K122" s="74">
        <v>0.0</v>
      </c>
      <c r="L122" s="74">
        <v>0.0</v>
      </c>
      <c r="M122" s="74">
        <v>0.0</v>
      </c>
      <c r="N122" s="13">
        <f t="shared" si="26"/>
        <v>2</v>
      </c>
      <c r="O122" s="5"/>
      <c r="P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79"/>
      <c r="O123" s="5"/>
      <c r="P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79"/>
      <c r="O124" s="5"/>
      <c r="P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79"/>
      <c r="O125" s="5"/>
      <c r="P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79"/>
      <c r="O126" s="5"/>
      <c r="P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M127" si="27">SUM(E117:E122)</f>
        <v>0</v>
      </c>
      <c r="F127" s="63">
        <f t="shared" si="27"/>
        <v>1</v>
      </c>
      <c r="G127" s="63">
        <f t="shared" si="27"/>
        <v>0</v>
      </c>
      <c r="H127" s="63">
        <f t="shared" si="27"/>
        <v>2</v>
      </c>
      <c r="I127" s="63">
        <f t="shared" si="27"/>
        <v>3</v>
      </c>
      <c r="J127" s="63">
        <f t="shared" si="27"/>
        <v>1</v>
      </c>
      <c r="K127" s="63">
        <f t="shared" si="27"/>
        <v>0</v>
      </c>
      <c r="L127" s="63">
        <f t="shared" si="27"/>
        <v>0</v>
      </c>
      <c r="M127" s="63">
        <f t="shared" si="27"/>
        <v>5</v>
      </c>
      <c r="N127" s="13">
        <f>SUM(E127:M127)</f>
        <v>12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5"/>
      <c r="P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1.0</v>
      </c>
      <c r="G129" s="74">
        <v>0.0</v>
      </c>
      <c r="H129" s="74">
        <v>0.0</v>
      </c>
      <c r="I129" s="74">
        <v>2.0</v>
      </c>
      <c r="J129" s="74">
        <v>0.0</v>
      </c>
      <c r="K129" s="74">
        <v>0.0</v>
      </c>
      <c r="L129" s="74">
        <v>1.0</v>
      </c>
      <c r="M129" s="74">
        <v>3.0</v>
      </c>
      <c r="N129" s="13">
        <f t="shared" ref="N129:N139" si="28">SUM(E129:M129)</f>
        <v>7</v>
      </c>
      <c r="O129" s="5"/>
      <c r="P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1.0</v>
      </c>
      <c r="H130" s="74">
        <v>0.0</v>
      </c>
      <c r="I130" s="74">
        <v>1.0</v>
      </c>
      <c r="J130" s="74">
        <v>0.0</v>
      </c>
      <c r="K130" s="74">
        <v>1.0</v>
      </c>
      <c r="L130" s="74">
        <v>0.0</v>
      </c>
      <c r="M130" s="74">
        <v>4.0</v>
      </c>
      <c r="N130" s="13">
        <f t="shared" si="28"/>
        <v>7</v>
      </c>
      <c r="O130" s="1"/>
      <c r="P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13">
        <f t="shared" si="28"/>
        <v>0</v>
      </c>
      <c r="O131" s="52"/>
      <c r="P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13">
        <f t="shared" si="28"/>
        <v>0</v>
      </c>
      <c r="O132" s="5"/>
      <c r="P132" s="5"/>
    </row>
    <row r="133" ht="12.75" customHeight="1">
      <c r="A133" s="18"/>
      <c r="B133" s="55"/>
      <c r="C133" s="50" t="s">
        <v>107</v>
      </c>
      <c r="D133" s="56"/>
      <c r="E133" s="74">
        <v>1.0</v>
      </c>
      <c r="F133" s="74">
        <v>0.0</v>
      </c>
      <c r="G133" s="74">
        <v>1.0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13">
        <f t="shared" si="28"/>
        <v>2</v>
      </c>
      <c r="O133" s="5"/>
      <c r="P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13">
        <f t="shared" si="28"/>
        <v>0</v>
      </c>
      <c r="O134" s="5"/>
      <c r="P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1.0</v>
      </c>
      <c r="G135" s="74">
        <v>0.0</v>
      </c>
      <c r="H135" s="74">
        <v>0.0</v>
      </c>
      <c r="I135" s="74">
        <v>0.0</v>
      </c>
      <c r="J135" s="74">
        <v>0.0</v>
      </c>
      <c r="K135" s="74">
        <v>1.0</v>
      </c>
      <c r="L135" s="74">
        <v>3.0</v>
      </c>
      <c r="M135" s="74">
        <v>15.0</v>
      </c>
      <c r="N135" s="13">
        <f t="shared" si="28"/>
        <v>20</v>
      </c>
      <c r="O135" s="5"/>
      <c r="P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13">
        <f t="shared" si="28"/>
        <v>0</v>
      </c>
      <c r="O136" s="5"/>
      <c r="P136" s="5"/>
    </row>
    <row r="137" ht="12.75" customHeight="1">
      <c r="A137" s="18"/>
      <c r="B137" s="55"/>
      <c r="C137" s="50" t="s">
        <v>111</v>
      </c>
      <c r="D137" s="56"/>
      <c r="E137" s="74">
        <v>1.0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13">
        <f t="shared" si="28"/>
        <v>1</v>
      </c>
      <c r="O137" s="5"/>
      <c r="P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13">
        <f t="shared" si="28"/>
        <v>0</v>
      </c>
      <c r="O138" s="5"/>
      <c r="P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M139" si="29">SUM(E129:E138)</f>
        <v>2</v>
      </c>
      <c r="F139" s="13">
        <f t="shared" si="29"/>
        <v>2</v>
      </c>
      <c r="G139" s="13">
        <f t="shared" si="29"/>
        <v>2</v>
      </c>
      <c r="H139" s="13">
        <f t="shared" si="29"/>
        <v>0</v>
      </c>
      <c r="I139" s="13">
        <f t="shared" si="29"/>
        <v>3</v>
      </c>
      <c r="J139" s="13">
        <f t="shared" si="29"/>
        <v>0</v>
      </c>
      <c r="K139" s="13">
        <f t="shared" si="29"/>
        <v>2</v>
      </c>
      <c r="L139" s="13">
        <f t="shared" si="29"/>
        <v>4</v>
      </c>
      <c r="M139" s="13">
        <f t="shared" si="29"/>
        <v>22</v>
      </c>
      <c r="N139" s="13">
        <f t="shared" si="28"/>
        <v>37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5"/>
      <c r="P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13">
        <f t="shared" ref="N141:N144" si="30">SUM(E141:M141)</f>
        <v>0</v>
      </c>
      <c r="O141" s="1"/>
      <c r="P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1.0</v>
      </c>
      <c r="M142" s="74">
        <v>0.0</v>
      </c>
      <c r="N142" s="13">
        <f t="shared" si="30"/>
        <v>1</v>
      </c>
      <c r="O142" s="52"/>
      <c r="P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13">
        <f t="shared" si="30"/>
        <v>0</v>
      </c>
      <c r="O143" s="5"/>
      <c r="P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13">
        <f t="shared" si="30"/>
        <v>0</v>
      </c>
      <c r="O144" s="5"/>
      <c r="P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79"/>
      <c r="O145" s="5"/>
      <c r="P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79"/>
      <c r="O146" s="5"/>
      <c r="P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79"/>
      <c r="O147" s="5"/>
      <c r="P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79"/>
      <c r="O148" s="5"/>
      <c r="P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79"/>
      <c r="O149" s="5"/>
      <c r="P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79"/>
      <c r="O150" s="5"/>
      <c r="P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>SUM(E151:M151)</f>
        <v>1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13"/>
      <c r="O152" s="52"/>
      <c r="P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1.0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1.0</v>
      </c>
      <c r="N153" s="13">
        <f t="shared" ref="N153:N160" si="32">SUM(E153:M153)</f>
        <v>2</v>
      </c>
      <c r="O153" s="5"/>
      <c r="P153" s="5"/>
    </row>
    <row r="154" ht="12.75" customHeight="1">
      <c r="A154" s="65" t="s">
        <v>39</v>
      </c>
      <c r="B154" s="55"/>
      <c r="C154" s="50" t="s">
        <v>120</v>
      </c>
      <c r="D154" s="57"/>
      <c r="E154" s="80">
        <v>1.0</v>
      </c>
      <c r="F154" s="74">
        <v>0.0</v>
      </c>
      <c r="G154" s="74">
        <v>0.0</v>
      </c>
      <c r="H154" s="74">
        <v>0.0</v>
      </c>
      <c r="I154" s="74">
        <v>2.0</v>
      </c>
      <c r="J154" s="74">
        <v>0.0</v>
      </c>
      <c r="K154" s="74">
        <v>0.0</v>
      </c>
      <c r="L154" s="74">
        <v>0.0</v>
      </c>
      <c r="M154" s="74">
        <v>0.0</v>
      </c>
      <c r="N154" s="13">
        <f t="shared" si="32"/>
        <v>3</v>
      </c>
      <c r="O154" s="5"/>
      <c r="P154" s="5"/>
    </row>
    <row r="155" ht="12.75" customHeight="1">
      <c r="A155" s="18"/>
      <c r="B155" s="55"/>
      <c r="C155" s="50" t="s">
        <v>121</v>
      </c>
      <c r="D155" s="57"/>
      <c r="E155" s="80">
        <v>0.0</v>
      </c>
      <c r="F155" s="74">
        <v>0.0</v>
      </c>
      <c r="G155" s="74">
        <v>0.0</v>
      </c>
      <c r="H155" s="74">
        <v>0.0</v>
      </c>
      <c r="I155" s="74">
        <v>2.0</v>
      </c>
      <c r="J155" s="74">
        <v>0.0</v>
      </c>
      <c r="K155" s="74">
        <v>1.0</v>
      </c>
      <c r="L155" s="74">
        <v>0.0</v>
      </c>
      <c r="M155" s="74">
        <v>0.0</v>
      </c>
      <c r="N155" s="13">
        <f t="shared" si="32"/>
        <v>3</v>
      </c>
      <c r="O155" s="5"/>
      <c r="P155" s="5"/>
    </row>
    <row r="156" ht="12.75" customHeight="1">
      <c r="A156" s="18"/>
      <c r="B156" s="55"/>
      <c r="C156" s="50" t="s">
        <v>122</v>
      </c>
      <c r="D156" s="57"/>
      <c r="E156" s="80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1.0</v>
      </c>
      <c r="M156" s="74">
        <v>0.0</v>
      </c>
      <c r="N156" s="13">
        <f t="shared" si="32"/>
        <v>2</v>
      </c>
      <c r="O156" s="5"/>
      <c r="P156" s="5"/>
    </row>
    <row r="157" ht="12.75" customHeight="1">
      <c r="A157" s="18"/>
      <c r="B157" s="55"/>
      <c r="C157" s="50" t="s">
        <v>123</v>
      </c>
      <c r="D157" s="57"/>
      <c r="E157" s="80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13">
        <f t="shared" si="32"/>
        <v>0</v>
      </c>
      <c r="O157" s="5"/>
      <c r="P157" s="5"/>
    </row>
    <row r="158" ht="12.75" customHeight="1">
      <c r="A158" s="18"/>
      <c r="B158" s="55"/>
      <c r="C158" s="50" t="s">
        <v>124</v>
      </c>
      <c r="D158" s="57"/>
      <c r="E158" s="80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13">
        <f t="shared" si="32"/>
        <v>0</v>
      </c>
      <c r="O158" s="5"/>
      <c r="P158" s="5"/>
    </row>
    <row r="159" ht="12.75" customHeight="1">
      <c r="A159" s="18"/>
      <c r="B159" s="55"/>
      <c r="C159" s="50" t="s">
        <v>125</v>
      </c>
      <c r="D159" s="57"/>
      <c r="E159" s="80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13">
        <f t="shared" si="32"/>
        <v>0</v>
      </c>
      <c r="O159" s="5"/>
      <c r="P159" s="5"/>
    </row>
    <row r="160" ht="12.75" customHeight="1">
      <c r="A160" s="18"/>
      <c r="B160" s="55"/>
      <c r="C160" s="50" t="s">
        <v>126</v>
      </c>
      <c r="D160" s="57"/>
      <c r="E160" s="80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13">
        <f t="shared" si="32"/>
        <v>0</v>
      </c>
      <c r="O160" s="5"/>
      <c r="P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79"/>
      <c r="O161" s="5"/>
      <c r="P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79"/>
      <c r="O162" s="5"/>
      <c r="P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M163" si="33">SUM(E153:E160)</f>
        <v>1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5</v>
      </c>
      <c r="J163" s="13">
        <f t="shared" si="33"/>
        <v>0</v>
      </c>
      <c r="K163" s="13">
        <f t="shared" si="33"/>
        <v>1</v>
      </c>
      <c r="L163" s="13">
        <f t="shared" si="33"/>
        <v>1</v>
      </c>
      <c r="M163" s="13">
        <f t="shared" si="33"/>
        <v>1</v>
      </c>
      <c r="N163" s="13">
        <f>SUM(E163:M163)</f>
        <v>10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5"/>
      <c r="P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13">
        <f t="shared" ref="N165:N166" si="34">SUM(E165:M165)</f>
        <v>1</v>
      </c>
      <c r="O165" s="1"/>
      <c r="P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1.0</v>
      </c>
      <c r="G166" s="74">
        <v>0.0</v>
      </c>
      <c r="H166" s="74">
        <v>0.0</v>
      </c>
      <c r="I166" s="74">
        <v>0.0</v>
      </c>
      <c r="J166" s="74">
        <v>0.0</v>
      </c>
      <c r="K166" s="74">
        <v>1.0</v>
      </c>
      <c r="L166" s="74">
        <v>0.0</v>
      </c>
      <c r="M166" s="74">
        <v>0.0</v>
      </c>
      <c r="N166" s="13">
        <f t="shared" si="34"/>
        <v>3</v>
      </c>
      <c r="O166" s="52"/>
      <c r="P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79"/>
      <c r="O167" s="5"/>
      <c r="P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79"/>
      <c r="O168" s="5"/>
      <c r="P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79"/>
      <c r="O169" s="5"/>
      <c r="P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79"/>
      <c r="O170" s="5"/>
      <c r="P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79"/>
      <c r="O171" s="5"/>
      <c r="P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79"/>
      <c r="O172" s="5"/>
      <c r="P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79"/>
      <c r="O173" s="5"/>
      <c r="P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79"/>
      <c r="O174" s="5"/>
      <c r="P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M175" si="35">SUM(E165:E172)</f>
        <v>1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>SUM(E175:M175)</f>
        <v>4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1"/>
      <c r="P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2.0</v>
      </c>
      <c r="G177" s="74">
        <v>2.0</v>
      </c>
      <c r="H177" s="74">
        <v>1.0</v>
      </c>
      <c r="I177" s="74">
        <v>4.0</v>
      </c>
      <c r="J177" s="74">
        <v>0.0</v>
      </c>
      <c r="K177" s="74">
        <v>1.0</v>
      </c>
      <c r="L177" s="74">
        <v>2.0</v>
      </c>
      <c r="M177" s="74">
        <v>16.0</v>
      </c>
      <c r="N177" s="13">
        <f t="shared" ref="N177:N187" si="36">SUM(E177:M177)</f>
        <v>30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3.0</v>
      </c>
      <c r="G178" s="74">
        <v>1.0</v>
      </c>
      <c r="H178" s="74">
        <v>1.0</v>
      </c>
      <c r="I178" s="74">
        <v>1.0</v>
      </c>
      <c r="J178" s="74">
        <v>0.0</v>
      </c>
      <c r="K178" s="74">
        <v>0.0</v>
      </c>
      <c r="L178" s="74">
        <v>1.0</v>
      </c>
      <c r="M178" s="74">
        <v>12.0</v>
      </c>
      <c r="N178" s="13">
        <f t="shared" si="36"/>
        <v>19</v>
      </c>
      <c r="O178" s="5"/>
      <c r="P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1.0</v>
      </c>
      <c r="K179" s="74">
        <v>1.0</v>
      </c>
      <c r="L179" s="74">
        <v>0.0</v>
      </c>
      <c r="M179" s="74">
        <v>1.0</v>
      </c>
      <c r="N179" s="13">
        <f t="shared" si="36"/>
        <v>3</v>
      </c>
      <c r="O179" s="5"/>
      <c r="P179" s="5"/>
    </row>
    <row r="180" ht="12.75" customHeight="1">
      <c r="A180" s="18"/>
      <c r="B180" s="55"/>
      <c r="C180" s="50" t="s">
        <v>134</v>
      </c>
      <c r="D180" s="57"/>
      <c r="E180" s="74">
        <v>1.0</v>
      </c>
      <c r="F180" s="74">
        <v>0.0</v>
      </c>
      <c r="G180" s="74">
        <v>1.0</v>
      </c>
      <c r="H180" s="74">
        <v>0.0</v>
      </c>
      <c r="I180" s="74">
        <v>1.0</v>
      </c>
      <c r="J180" s="74">
        <v>0.0</v>
      </c>
      <c r="K180" s="74">
        <v>0.0</v>
      </c>
      <c r="L180" s="74">
        <v>0.0</v>
      </c>
      <c r="M180" s="74">
        <v>1.0</v>
      </c>
      <c r="N180" s="13">
        <f t="shared" si="36"/>
        <v>4</v>
      </c>
      <c r="O180" s="5"/>
      <c r="P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1.0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1.0</v>
      </c>
      <c r="N181" s="13">
        <f t="shared" si="36"/>
        <v>2</v>
      </c>
      <c r="O181" s="5"/>
      <c r="P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1.0</v>
      </c>
      <c r="K182" s="74">
        <v>0.0</v>
      </c>
      <c r="L182" s="74">
        <v>1.0</v>
      </c>
      <c r="M182" s="74">
        <v>1.0</v>
      </c>
      <c r="N182" s="13">
        <f t="shared" si="36"/>
        <v>3</v>
      </c>
      <c r="O182" s="5"/>
      <c r="P182" s="5"/>
    </row>
    <row r="183" ht="12.75" customHeight="1">
      <c r="A183" s="18"/>
      <c r="B183" s="55"/>
      <c r="C183" s="50" t="s">
        <v>137</v>
      </c>
      <c r="D183" s="57"/>
      <c r="E183" s="74">
        <v>1.0</v>
      </c>
      <c r="F183" s="74">
        <v>0.0</v>
      </c>
      <c r="G183" s="74">
        <v>0.0</v>
      </c>
      <c r="H183" s="74">
        <v>0.0</v>
      </c>
      <c r="I183" s="74">
        <v>2.0</v>
      </c>
      <c r="J183" s="74">
        <v>0.0</v>
      </c>
      <c r="K183" s="74">
        <v>0.0</v>
      </c>
      <c r="L183" s="74">
        <v>0.0</v>
      </c>
      <c r="M183" s="74">
        <v>0.0</v>
      </c>
      <c r="N183" s="13">
        <f t="shared" si="36"/>
        <v>3</v>
      </c>
      <c r="O183" s="5"/>
      <c r="P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13">
        <f t="shared" si="36"/>
        <v>0</v>
      </c>
      <c r="O184" s="5"/>
      <c r="P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2.0</v>
      </c>
      <c r="N185" s="13">
        <f t="shared" si="36"/>
        <v>2</v>
      </c>
      <c r="O185" s="5"/>
      <c r="P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M187" si="37">SUM(E177:E186)</f>
        <v>4</v>
      </c>
      <c r="F187" s="13">
        <f t="shared" si="37"/>
        <v>6</v>
      </c>
      <c r="G187" s="13">
        <f t="shared" si="37"/>
        <v>4</v>
      </c>
      <c r="H187" s="13">
        <f t="shared" si="37"/>
        <v>2</v>
      </c>
      <c r="I187" s="13">
        <f t="shared" si="37"/>
        <v>8</v>
      </c>
      <c r="J187" s="13">
        <f t="shared" si="37"/>
        <v>2</v>
      </c>
      <c r="K187" s="13">
        <f t="shared" si="37"/>
        <v>2</v>
      </c>
      <c r="L187" s="13">
        <f t="shared" si="37"/>
        <v>4</v>
      </c>
      <c r="M187" s="13">
        <f t="shared" si="37"/>
        <v>34</v>
      </c>
      <c r="N187" s="13">
        <f t="shared" si="36"/>
        <v>66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1.0</v>
      </c>
      <c r="F189" s="74">
        <v>0.0</v>
      </c>
      <c r="G189" s="74">
        <v>0.0</v>
      </c>
      <c r="H189" s="74">
        <v>0.0</v>
      </c>
      <c r="I189" s="74">
        <v>0.0</v>
      </c>
      <c r="J189" s="74">
        <v>1.0</v>
      </c>
      <c r="K189" s="74">
        <v>1.0</v>
      </c>
      <c r="L189" s="74">
        <v>0.0</v>
      </c>
      <c r="M189" s="74">
        <v>1.0</v>
      </c>
      <c r="N189" s="13">
        <f t="shared" ref="N189:N199" si="38">SUM(E189:M189)</f>
        <v>4</v>
      </c>
      <c r="O189" s="5"/>
      <c r="P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13">
        <f t="shared" si="38"/>
        <v>0</v>
      </c>
      <c r="O190" s="5"/>
      <c r="P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13">
        <f t="shared" si="38"/>
        <v>0</v>
      </c>
      <c r="O191" s="5"/>
      <c r="P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13">
        <f t="shared" si="38"/>
        <v>0</v>
      </c>
      <c r="O192" s="5"/>
      <c r="P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13">
        <f t="shared" si="38"/>
        <v>0</v>
      </c>
      <c r="O193" s="5"/>
      <c r="P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13">
        <f t="shared" si="38"/>
        <v>0</v>
      </c>
      <c r="O194" s="5"/>
      <c r="P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13">
        <f t="shared" si="38"/>
        <v>0</v>
      </c>
      <c r="O195" s="5"/>
      <c r="P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13">
        <f t="shared" si="38"/>
        <v>0</v>
      </c>
      <c r="O196" s="1"/>
      <c r="P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13">
        <f t="shared" si="38"/>
        <v>0</v>
      </c>
      <c r="O197" s="1"/>
      <c r="P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13">
        <f t="shared" si="38"/>
        <v>0</v>
      </c>
      <c r="O198" s="1"/>
      <c r="P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M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8"/>
        <v>4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5"/>
      <c r="P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4.0</v>
      </c>
      <c r="F201" s="74">
        <v>4.0</v>
      </c>
      <c r="G201" s="74">
        <v>3.0</v>
      </c>
      <c r="H201" s="74">
        <v>2.0</v>
      </c>
      <c r="I201" s="74">
        <v>0.0</v>
      </c>
      <c r="J201" s="74">
        <v>2.0</v>
      </c>
      <c r="K201" s="74">
        <v>2.0</v>
      </c>
      <c r="L201" s="74">
        <v>0.0</v>
      </c>
      <c r="M201" s="74">
        <v>3.0</v>
      </c>
      <c r="N201" s="13">
        <f t="shared" ref="N201:N211" si="40">SUM(E201:M201)</f>
        <v>20</v>
      </c>
      <c r="O201" s="5"/>
      <c r="P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4.0</v>
      </c>
      <c r="F202" s="74">
        <v>1.0</v>
      </c>
      <c r="G202" s="74">
        <v>1.0</v>
      </c>
      <c r="H202" s="74">
        <v>0.0</v>
      </c>
      <c r="I202" s="74">
        <v>1.0</v>
      </c>
      <c r="J202" s="74">
        <v>0.0</v>
      </c>
      <c r="K202" s="74">
        <v>1.0</v>
      </c>
      <c r="L202" s="74">
        <v>0.0</v>
      </c>
      <c r="M202" s="74">
        <v>0.0</v>
      </c>
      <c r="N202" s="13">
        <f t="shared" si="40"/>
        <v>8</v>
      </c>
      <c r="O202" s="5"/>
      <c r="P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0.0</v>
      </c>
      <c r="G203" s="74">
        <v>1.0</v>
      </c>
      <c r="H203" s="74">
        <v>4.0</v>
      </c>
      <c r="I203" s="74">
        <v>0.0</v>
      </c>
      <c r="J203" s="74">
        <v>0.0</v>
      </c>
      <c r="K203" s="74">
        <v>2.0</v>
      </c>
      <c r="L203" s="74">
        <v>0.0</v>
      </c>
      <c r="M203" s="74">
        <v>0.0</v>
      </c>
      <c r="N203" s="13">
        <f t="shared" si="40"/>
        <v>11</v>
      </c>
      <c r="O203" s="5"/>
      <c r="P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0.0</v>
      </c>
      <c r="G204" s="74">
        <v>1.0</v>
      </c>
      <c r="H204" s="74">
        <v>0.0</v>
      </c>
      <c r="I204" s="74">
        <v>0.0</v>
      </c>
      <c r="J204" s="74">
        <v>0.0</v>
      </c>
      <c r="K204" s="74">
        <v>0.0</v>
      </c>
      <c r="L204" s="74">
        <v>1.0</v>
      </c>
      <c r="M204" s="74">
        <v>1.0</v>
      </c>
      <c r="N204" s="13">
        <f t="shared" si="40"/>
        <v>4</v>
      </c>
      <c r="O204" s="5"/>
      <c r="P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13">
        <f t="shared" si="40"/>
        <v>0</v>
      </c>
      <c r="O205" s="5"/>
      <c r="P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1.0</v>
      </c>
      <c r="K206" s="74">
        <v>0.0</v>
      </c>
      <c r="L206" s="74">
        <v>0.0</v>
      </c>
      <c r="M206" s="74">
        <v>0.0</v>
      </c>
      <c r="N206" s="13">
        <f t="shared" si="40"/>
        <v>1</v>
      </c>
      <c r="O206" s="5"/>
      <c r="P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13">
        <f t="shared" si="40"/>
        <v>0</v>
      </c>
      <c r="O207" s="1"/>
      <c r="P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1.0</v>
      </c>
      <c r="G208" s="74">
        <v>1.0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13">
        <f t="shared" si="40"/>
        <v>2</v>
      </c>
      <c r="O208" s="52"/>
      <c r="P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13">
        <f t="shared" si="40"/>
        <v>0</v>
      </c>
      <c r="O209" s="52"/>
      <c r="P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13">
        <f t="shared" si="40"/>
        <v>0</v>
      </c>
      <c r="O210" s="52"/>
      <c r="P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M211" si="41">SUM(E201:E208)</f>
        <v>13</v>
      </c>
      <c r="F211" s="13">
        <f t="shared" si="41"/>
        <v>6</v>
      </c>
      <c r="G211" s="13">
        <f t="shared" si="41"/>
        <v>7</v>
      </c>
      <c r="H211" s="13">
        <f t="shared" si="41"/>
        <v>6</v>
      </c>
      <c r="I211" s="13">
        <f t="shared" si="41"/>
        <v>1</v>
      </c>
      <c r="J211" s="13">
        <f t="shared" si="41"/>
        <v>3</v>
      </c>
      <c r="K211" s="13">
        <f t="shared" si="41"/>
        <v>5</v>
      </c>
      <c r="L211" s="13">
        <f t="shared" si="41"/>
        <v>1</v>
      </c>
      <c r="M211" s="13">
        <f t="shared" si="41"/>
        <v>4</v>
      </c>
      <c r="N211" s="13">
        <f t="shared" si="40"/>
        <v>46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5"/>
      <c r="P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4.0</v>
      </c>
      <c r="G213" s="74">
        <v>2.0</v>
      </c>
      <c r="H213" s="74">
        <v>0.0</v>
      </c>
      <c r="I213" s="74">
        <v>0.0</v>
      </c>
      <c r="J213" s="74">
        <v>5.0</v>
      </c>
      <c r="K213" s="74">
        <v>0.0</v>
      </c>
      <c r="L213" s="74">
        <v>1.0</v>
      </c>
      <c r="M213" s="74">
        <v>0.0</v>
      </c>
      <c r="N213" s="13">
        <f t="shared" ref="N213:N216" si="42">SUM(E213:M213)</f>
        <v>13</v>
      </c>
      <c r="O213" s="5"/>
      <c r="P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3.0</v>
      </c>
      <c r="F214" s="74">
        <v>1.0</v>
      </c>
      <c r="G214" s="74">
        <v>0.0</v>
      </c>
      <c r="H214" s="74">
        <v>0.0</v>
      </c>
      <c r="I214" s="74">
        <v>1.0</v>
      </c>
      <c r="J214" s="74">
        <v>11.0</v>
      </c>
      <c r="K214" s="74">
        <v>2.0</v>
      </c>
      <c r="L214" s="74">
        <v>0.0</v>
      </c>
      <c r="M214" s="74">
        <v>2.0</v>
      </c>
      <c r="N214" s="13">
        <f t="shared" si="42"/>
        <v>20</v>
      </c>
      <c r="O214" s="5"/>
      <c r="P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0.0</v>
      </c>
      <c r="I215" s="74">
        <v>2.0</v>
      </c>
      <c r="J215" s="74">
        <v>0.0</v>
      </c>
      <c r="K215" s="74">
        <v>1.0</v>
      </c>
      <c r="L215" s="74">
        <v>0.0</v>
      </c>
      <c r="M215" s="74">
        <v>0.0</v>
      </c>
      <c r="N215" s="13">
        <f t="shared" si="42"/>
        <v>3</v>
      </c>
      <c r="O215" s="5"/>
      <c r="P215" s="5"/>
    </row>
    <row r="216" ht="12.75" customHeight="1">
      <c r="A216" s="18"/>
      <c r="B216" s="55"/>
      <c r="C216" s="50" t="s">
        <v>167</v>
      </c>
      <c r="E216" s="74">
        <v>1.0</v>
      </c>
      <c r="F216" s="74">
        <v>2.0</v>
      </c>
      <c r="G216" s="74">
        <v>0.0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74">
        <v>0.0</v>
      </c>
      <c r="N216" s="13">
        <f t="shared" si="42"/>
        <v>4</v>
      </c>
      <c r="O216" s="5"/>
      <c r="P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79"/>
      <c r="O217" s="5"/>
      <c r="P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79"/>
      <c r="O218" s="1"/>
      <c r="P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79"/>
      <c r="O219" s="52"/>
      <c r="P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79"/>
      <c r="O220" s="5"/>
      <c r="P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79"/>
      <c r="O221" s="5"/>
      <c r="P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79"/>
      <c r="O222" s="5"/>
      <c r="P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M223" si="43">SUM(E213:E220)</f>
        <v>5</v>
      </c>
      <c r="F223" s="13">
        <f t="shared" si="43"/>
        <v>7</v>
      </c>
      <c r="G223" s="13">
        <f t="shared" si="43"/>
        <v>2</v>
      </c>
      <c r="H223" s="13">
        <f t="shared" si="43"/>
        <v>0</v>
      </c>
      <c r="I223" s="13">
        <f t="shared" si="43"/>
        <v>3</v>
      </c>
      <c r="J223" s="13">
        <f t="shared" si="43"/>
        <v>17</v>
      </c>
      <c r="K223" s="13">
        <f t="shared" si="43"/>
        <v>3</v>
      </c>
      <c r="L223" s="13">
        <f t="shared" si="43"/>
        <v>1</v>
      </c>
      <c r="M223" s="13">
        <f t="shared" si="43"/>
        <v>2</v>
      </c>
      <c r="N223" s="13">
        <f>SUM(E223:M223)</f>
        <v>40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5"/>
      <c r="P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0.0</v>
      </c>
      <c r="M225" s="74">
        <v>0.0</v>
      </c>
      <c r="N225" s="13">
        <f t="shared" ref="N225:N229" si="44">SUM(E225:M225)</f>
        <v>2</v>
      </c>
      <c r="O225" s="5"/>
      <c r="P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1.0</v>
      </c>
      <c r="H226" s="74">
        <v>1.0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13">
        <f t="shared" si="44"/>
        <v>2</v>
      </c>
      <c r="O226" s="5"/>
      <c r="P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13">
        <f t="shared" si="44"/>
        <v>0</v>
      </c>
      <c r="O227" s="5"/>
      <c r="P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1.0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13">
        <f t="shared" si="44"/>
        <v>1</v>
      </c>
      <c r="O228" s="5"/>
      <c r="P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13">
        <f t="shared" si="44"/>
        <v>0</v>
      </c>
      <c r="O229" s="1"/>
      <c r="P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79"/>
      <c r="O230" s="52"/>
      <c r="P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79"/>
      <c r="O231" s="5"/>
      <c r="P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79"/>
      <c r="O232" s="5"/>
      <c r="P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79"/>
      <c r="O233" s="5"/>
      <c r="P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79"/>
      <c r="O234" s="5"/>
      <c r="P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M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>SUM(E235:M235)</f>
        <v>5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5"/>
      <c r="P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1.0</v>
      </c>
      <c r="G237" s="74">
        <v>3.0</v>
      </c>
      <c r="H237" s="74">
        <v>1.0</v>
      </c>
      <c r="I237" s="74">
        <v>0.0</v>
      </c>
      <c r="J237" s="74">
        <v>0.0</v>
      </c>
      <c r="K237" s="74">
        <v>1.0</v>
      </c>
      <c r="L237" s="74">
        <v>0.0</v>
      </c>
      <c r="M237" s="74">
        <v>1.0</v>
      </c>
      <c r="N237" s="13">
        <f t="shared" ref="N237:N247" si="46">SUM(E237:M237)</f>
        <v>7</v>
      </c>
      <c r="O237" s="5"/>
      <c r="P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0.0</v>
      </c>
      <c r="G238" s="74">
        <v>2.0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13">
        <f t="shared" si="46"/>
        <v>3</v>
      </c>
      <c r="O238" s="5"/>
      <c r="P238" s="5"/>
    </row>
    <row r="239" ht="12.75" customHeight="1">
      <c r="A239" s="18"/>
      <c r="B239" s="55"/>
      <c r="C239" s="50" t="s">
        <v>177</v>
      </c>
      <c r="D239" s="57"/>
      <c r="E239" s="74">
        <v>3.0</v>
      </c>
      <c r="F239" s="74">
        <v>13.0</v>
      </c>
      <c r="G239" s="74">
        <v>18.0</v>
      </c>
      <c r="H239" s="74">
        <v>26.0</v>
      </c>
      <c r="I239" s="74">
        <v>4.0</v>
      </c>
      <c r="J239" s="74">
        <v>0.0</v>
      </c>
      <c r="K239" s="74">
        <v>2.0</v>
      </c>
      <c r="L239" s="74">
        <v>0.0</v>
      </c>
      <c r="M239" s="74">
        <v>0.0</v>
      </c>
      <c r="N239" s="13">
        <f t="shared" si="46"/>
        <v>66</v>
      </c>
      <c r="O239" s="5"/>
      <c r="P239" s="5"/>
    </row>
    <row r="240" ht="12.75" customHeight="1">
      <c r="A240" s="18"/>
      <c r="B240" s="55"/>
      <c r="C240" s="50" t="s">
        <v>178</v>
      </c>
      <c r="D240" s="57"/>
      <c r="E240" s="74">
        <v>2.0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13">
        <f t="shared" si="46"/>
        <v>2</v>
      </c>
      <c r="O240" s="1"/>
      <c r="P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0.0</v>
      </c>
      <c r="M241" s="74">
        <v>0.0</v>
      </c>
      <c r="N241" s="13">
        <f t="shared" si="46"/>
        <v>1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13">
        <f t="shared" si="46"/>
        <v>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1.0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1.0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1.0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13">
        <f t="shared" si="46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M247" si="47">SUM(E237:E246)</f>
        <v>7</v>
      </c>
      <c r="F247" s="13">
        <f t="shared" si="47"/>
        <v>15</v>
      </c>
      <c r="G247" s="13">
        <f t="shared" si="47"/>
        <v>24</v>
      </c>
      <c r="H247" s="13">
        <f t="shared" si="47"/>
        <v>27</v>
      </c>
      <c r="I247" s="13">
        <f t="shared" si="47"/>
        <v>4</v>
      </c>
      <c r="J247" s="13">
        <f t="shared" si="47"/>
        <v>0</v>
      </c>
      <c r="K247" s="13">
        <f t="shared" si="47"/>
        <v>4</v>
      </c>
      <c r="L247" s="13">
        <f t="shared" si="47"/>
        <v>0</v>
      </c>
      <c r="M247" s="13">
        <f t="shared" si="47"/>
        <v>1</v>
      </c>
      <c r="N247" s="13">
        <f t="shared" si="46"/>
        <v>82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2.0</v>
      </c>
      <c r="F249" s="74">
        <v>0.0</v>
      </c>
      <c r="G249" s="74">
        <v>1.0</v>
      </c>
      <c r="H249" s="74">
        <v>1.0</v>
      </c>
      <c r="I249" s="74">
        <v>0.0</v>
      </c>
      <c r="J249" s="74">
        <v>0.0</v>
      </c>
      <c r="K249" s="74">
        <v>1.0</v>
      </c>
      <c r="L249" s="74">
        <v>1.0</v>
      </c>
      <c r="M249" s="74">
        <v>2.0</v>
      </c>
      <c r="N249" s="13">
        <f t="shared" ref="N249:N252" si="48">SUM(E249:M249)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4.0</v>
      </c>
      <c r="F250" s="74">
        <v>1.0</v>
      </c>
      <c r="G250" s="74">
        <v>0.0</v>
      </c>
      <c r="H250" s="74">
        <v>2.0</v>
      </c>
      <c r="I250" s="74">
        <v>2.0</v>
      </c>
      <c r="J250" s="74">
        <v>0.0</v>
      </c>
      <c r="K250" s="74">
        <v>0.0</v>
      </c>
      <c r="L250" s="74">
        <v>0.0</v>
      </c>
      <c r="M250" s="74">
        <v>0.0</v>
      </c>
      <c r="N250" s="13">
        <f t="shared" si="48"/>
        <v>9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M259" si="49">SUM(E249:E255)</f>
        <v>6</v>
      </c>
      <c r="F259" s="13">
        <f t="shared" si="49"/>
        <v>1</v>
      </c>
      <c r="G259" s="13">
        <f t="shared" si="49"/>
        <v>1</v>
      </c>
      <c r="H259" s="13">
        <f t="shared" si="49"/>
        <v>3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2</v>
      </c>
      <c r="N259" s="13">
        <f>SUM(E259:M259)</f>
        <v>17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M262" si="50">E55+E67+E79+E91+E103+E115+E127+E139+E151+E163+E175+E187+E199+E211+E223+E235+E247+E259</f>
        <v>148</v>
      </c>
      <c r="F262" s="19">
        <f t="shared" si="50"/>
        <v>141</v>
      </c>
      <c r="G262" s="19">
        <f t="shared" si="50"/>
        <v>154</v>
      </c>
      <c r="H262" s="19">
        <f t="shared" si="50"/>
        <v>134</v>
      </c>
      <c r="I262" s="19">
        <f t="shared" si="50"/>
        <v>109</v>
      </c>
      <c r="J262" s="19">
        <f t="shared" si="50"/>
        <v>103</v>
      </c>
      <c r="K262" s="19">
        <f t="shared" si="50"/>
        <v>172</v>
      </c>
      <c r="L262" s="19">
        <f t="shared" si="50"/>
        <v>190</v>
      </c>
      <c r="M262" s="19">
        <f t="shared" si="50"/>
        <v>197</v>
      </c>
      <c r="N262" s="13">
        <f t="shared" ref="N262:N264" si="51">SUM(E262:M262)</f>
        <v>1348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30.0</v>
      </c>
      <c r="F263" s="74">
        <v>23.0</v>
      </c>
      <c r="G263" s="74">
        <v>22.0</v>
      </c>
      <c r="H263" s="74">
        <v>39.0</v>
      </c>
      <c r="I263" s="74">
        <v>17.0</v>
      </c>
      <c r="J263" s="74">
        <v>23.0</v>
      </c>
      <c r="K263" s="74">
        <v>27.0</v>
      </c>
      <c r="L263" s="74">
        <v>24.0</v>
      </c>
      <c r="M263" s="74">
        <v>29.0</v>
      </c>
      <c r="N263" s="13">
        <f t="shared" si="51"/>
        <v>234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M264" si="52">SUM(E262:E263)</f>
        <v>178</v>
      </c>
      <c r="F264" s="13">
        <f t="shared" si="52"/>
        <v>164</v>
      </c>
      <c r="G264" s="13">
        <f t="shared" si="52"/>
        <v>176</v>
      </c>
      <c r="H264" s="13">
        <f t="shared" si="52"/>
        <v>173</v>
      </c>
      <c r="I264" s="13">
        <f t="shared" si="52"/>
        <v>126</v>
      </c>
      <c r="J264" s="13">
        <f t="shared" si="52"/>
        <v>126</v>
      </c>
      <c r="K264" s="13">
        <f t="shared" si="52"/>
        <v>199</v>
      </c>
      <c r="L264" s="13">
        <f t="shared" si="52"/>
        <v>214</v>
      </c>
      <c r="M264" s="13">
        <f t="shared" si="52"/>
        <v>226</v>
      </c>
      <c r="N264" s="13">
        <f t="shared" si="51"/>
        <v>1582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76">
        <v>110.0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74">
        <v>129.0</v>
      </c>
      <c r="F14" s="74">
        <v>145.0</v>
      </c>
      <c r="G14" s="74">
        <v>133.0</v>
      </c>
      <c r="H14" s="74">
        <v>108.0</v>
      </c>
      <c r="I14" s="74">
        <v>127.0</v>
      </c>
      <c r="J14" s="74">
        <v>110.0</v>
      </c>
      <c r="K14" s="74">
        <v>99.0</v>
      </c>
      <c r="L14" s="74">
        <v>106.0</v>
      </c>
      <c r="M14" s="13">
        <f t="shared" ref="M14:M16" si="1">SUM(E14:L14)</f>
        <v>957</v>
      </c>
    </row>
    <row r="15" ht="12.75" customHeight="1">
      <c r="A15" s="18"/>
      <c r="B15" s="26"/>
      <c r="C15" s="27"/>
      <c r="D15" s="19" t="s">
        <v>13</v>
      </c>
      <c r="E15" s="74">
        <v>131.0</v>
      </c>
      <c r="F15" s="74">
        <v>129.0</v>
      </c>
      <c r="G15" s="74">
        <v>139.0</v>
      </c>
      <c r="H15" s="74">
        <v>112.0</v>
      </c>
      <c r="I15" s="74">
        <v>133.0</v>
      </c>
      <c r="J15" s="74">
        <v>115.0</v>
      </c>
      <c r="K15" s="74">
        <v>111.0</v>
      </c>
      <c r="L15" s="74">
        <v>109.0</v>
      </c>
      <c r="M15" s="13">
        <f t="shared" si="1"/>
        <v>979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260</v>
      </c>
      <c r="F16" s="13">
        <f t="shared" si="2"/>
        <v>274</v>
      </c>
      <c r="G16" s="13">
        <f t="shared" si="2"/>
        <v>272</v>
      </c>
      <c r="H16" s="13">
        <f t="shared" si="2"/>
        <v>220</v>
      </c>
      <c r="I16" s="13">
        <f t="shared" si="2"/>
        <v>260</v>
      </c>
      <c r="J16" s="13">
        <f t="shared" si="2"/>
        <v>225</v>
      </c>
      <c r="K16" s="13">
        <f t="shared" si="2"/>
        <v>210</v>
      </c>
      <c r="L16" s="13">
        <f t="shared" si="2"/>
        <v>215</v>
      </c>
      <c r="M16" s="13">
        <f t="shared" si="1"/>
        <v>1936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107.0</v>
      </c>
      <c r="F19" s="74">
        <v>113.0</v>
      </c>
      <c r="G19" s="74">
        <v>102.0</v>
      </c>
      <c r="H19" s="74">
        <v>76.0</v>
      </c>
      <c r="I19" s="74">
        <v>100.0</v>
      </c>
      <c r="J19" s="74">
        <v>99.0</v>
      </c>
      <c r="K19" s="74">
        <v>79.0</v>
      </c>
      <c r="L19" s="74">
        <v>90.0</v>
      </c>
      <c r="M19" s="13">
        <f t="shared" ref="M19:M30" si="3">SUM(E19:L19)</f>
        <v>766</v>
      </c>
    </row>
    <row r="20" ht="12.75" customHeight="1">
      <c r="A20" s="33"/>
      <c r="B20" s="27"/>
      <c r="C20" s="34"/>
      <c r="D20" s="19" t="s">
        <v>13</v>
      </c>
      <c r="E20" s="74">
        <v>96.0</v>
      </c>
      <c r="F20" s="74">
        <v>101.0</v>
      </c>
      <c r="G20" s="74">
        <v>113.0</v>
      </c>
      <c r="H20" s="74">
        <v>86.0</v>
      </c>
      <c r="I20" s="74">
        <v>112.0</v>
      </c>
      <c r="J20" s="74">
        <v>97.0</v>
      </c>
      <c r="K20" s="74">
        <v>89.0</v>
      </c>
      <c r="L20" s="74">
        <v>98.0</v>
      </c>
      <c r="M20" s="13">
        <f t="shared" si="3"/>
        <v>792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203</v>
      </c>
      <c r="F21" s="13">
        <f t="shared" si="4"/>
        <v>214</v>
      </c>
      <c r="G21" s="13">
        <f t="shared" si="4"/>
        <v>215</v>
      </c>
      <c r="H21" s="13">
        <f t="shared" si="4"/>
        <v>162</v>
      </c>
      <c r="I21" s="13">
        <f t="shared" si="4"/>
        <v>212</v>
      </c>
      <c r="J21" s="13">
        <f t="shared" si="4"/>
        <v>196</v>
      </c>
      <c r="K21" s="13">
        <f t="shared" si="4"/>
        <v>168</v>
      </c>
      <c r="L21" s="13">
        <f t="shared" si="4"/>
        <v>188</v>
      </c>
      <c r="M21" s="13">
        <f t="shared" si="3"/>
        <v>1558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2.0</v>
      </c>
      <c r="G22" s="74">
        <v>0.0</v>
      </c>
      <c r="H22" s="74">
        <v>0.0</v>
      </c>
      <c r="I22" s="74">
        <v>0.0</v>
      </c>
      <c r="J22" s="74">
        <v>1.0</v>
      </c>
      <c r="K22" s="74">
        <v>0.0</v>
      </c>
      <c r="L22" s="74">
        <v>0.0</v>
      </c>
      <c r="M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1.0</v>
      </c>
      <c r="J25" s="74">
        <v>4.0</v>
      </c>
      <c r="K25" s="74">
        <v>1.0</v>
      </c>
      <c r="L25" s="74">
        <v>2.0</v>
      </c>
      <c r="M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1.0</v>
      </c>
      <c r="G26" s="74">
        <v>1.0</v>
      </c>
      <c r="H26" s="74">
        <v>0.0</v>
      </c>
      <c r="I26" s="74">
        <v>2.0</v>
      </c>
      <c r="J26" s="74">
        <v>2.0</v>
      </c>
      <c r="K26" s="74">
        <v>1.0</v>
      </c>
      <c r="L26" s="74">
        <v>0.0</v>
      </c>
      <c r="M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6</v>
      </c>
      <c r="K27" s="13">
        <f t="shared" si="6"/>
        <v>2</v>
      </c>
      <c r="L27" s="13">
        <f t="shared" si="6"/>
        <v>2</v>
      </c>
      <c r="M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115</v>
      </c>
      <c r="G28" s="13">
        <f t="shared" si="7"/>
        <v>102</v>
      </c>
      <c r="H28" s="13">
        <f t="shared" si="7"/>
        <v>76</v>
      </c>
      <c r="I28" s="13">
        <f t="shared" si="7"/>
        <v>101</v>
      </c>
      <c r="J28" s="13">
        <f t="shared" si="7"/>
        <v>104</v>
      </c>
      <c r="K28" s="13">
        <f t="shared" si="7"/>
        <v>80</v>
      </c>
      <c r="L28" s="13">
        <f t="shared" si="7"/>
        <v>92</v>
      </c>
      <c r="M28" s="13">
        <f t="shared" si="3"/>
        <v>777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96</v>
      </c>
      <c r="F29" s="13">
        <f t="shared" si="8"/>
        <v>102</v>
      </c>
      <c r="G29" s="13">
        <f t="shared" si="8"/>
        <v>114</v>
      </c>
      <c r="H29" s="13">
        <f t="shared" si="8"/>
        <v>86</v>
      </c>
      <c r="I29" s="13">
        <f t="shared" si="8"/>
        <v>114</v>
      </c>
      <c r="J29" s="13">
        <f t="shared" si="8"/>
        <v>99</v>
      </c>
      <c r="K29" s="13">
        <f t="shared" si="8"/>
        <v>90</v>
      </c>
      <c r="L29" s="13">
        <f t="shared" si="8"/>
        <v>98</v>
      </c>
      <c r="M29" s="13">
        <f t="shared" si="3"/>
        <v>799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203</v>
      </c>
      <c r="F30" s="13">
        <f t="shared" si="9"/>
        <v>217</v>
      </c>
      <c r="G30" s="13">
        <f t="shared" si="9"/>
        <v>216</v>
      </c>
      <c r="H30" s="13">
        <f t="shared" si="9"/>
        <v>162</v>
      </c>
      <c r="I30" s="13">
        <f t="shared" si="9"/>
        <v>215</v>
      </c>
      <c r="J30" s="13">
        <f t="shared" si="9"/>
        <v>203</v>
      </c>
      <c r="K30" s="13">
        <f t="shared" si="9"/>
        <v>170</v>
      </c>
      <c r="L30" s="13">
        <f t="shared" si="9"/>
        <v>190</v>
      </c>
      <c r="M30" s="13">
        <f t="shared" si="3"/>
        <v>1576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5"/>
    </row>
    <row r="33" ht="12.75" customHeight="1">
      <c r="A33" s="19">
        <v>1.0</v>
      </c>
      <c r="B33" s="20" t="s">
        <v>27</v>
      </c>
      <c r="C33" s="15"/>
      <c r="D33" s="16"/>
      <c r="E33" s="74">
        <v>264.0</v>
      </c>
      <c r="F33" s="74">
        <v>280.0</v>
      </c>
      <c r="G33" s="74">
        <v>278.0</v>
      </c>
      <c r="H33" s="74">
        <v>225.0</v>
      </c>
      <c r="I33" s="74">
        <v>266.0</v>
      </c>
      <c r="J33" s="74">
        <v>228.0</v>
      </c>
      <c r="K33" s="74">
        <v>205.0</v>
      </c>
      <c r="L33" s="74">
        <v>230.0</v>
      </c>
      <c r="M33" s="13">
        <f t="shared" ref="M33:M36" si="10">SUM(E33:L33)</f>
        <v>1976</v>
      </c>
    </row>
    <row r="34" ht="12.75" customHeight="1">
      <c r="A34" s="19">
        <v>2.0</v>
      </c>
      <c r="B34" s="20" t="s">
        <v>28</v>
      </c>
      <c r="C34" s="15"/>
      <c r="D34" s="16"/>
      <c r="E34" s="76">
        <v>203.0</v>
      </c>
      <c r="F34" s="76">
        <v>217.0</v>
      </c>
      <c r="G34" s="76">
        <v>216.0</v>
      </c>
      <c r="H34" s="76">
        <v>162.0</v>
      </c>
      <c r="I34" s="76">
        <v>215.0</v>
      </c>
      <c r="J34" s="76">
        <v>203.0</v>
      </c>
      <c r="K34" s="76">
        <v>170.0</v>
      </c>
      <c r="L34" s="76">
        <v>190.0</v>
      </c>
      <c r="M34" s="13">
        <f t="shared" si="10"/>
        <v>1576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60</v>
      </c>
      <c r="F36" s="13">
        <f t="shared" si="11"/>
        <v>63</v>
      </c>
      <c r="G36" s="13">
        <f t="shared" si="11"/>
        <v>62</v>
      </c>
      <c r="H36" s="13">
        <f t="shared" si="11"/>
        <v>63</v>
      </c>
      <c r="I36" s="13">
        <f t="shared" si="11"/>
        <v>51</v>
      </c>
      <c r="J36" s="13">
        <f t="shared" si="11"/>
        <v>25</v>
      </c>
      <c r="K36" s="13">
        <f t="shared" si="11"/>
        <v>35</v>
      </c>
      <c r="L36" s="13">
        <f t="shared" si="11"/>
        <v>40</v>
      </c>
      <c r="M36" s="13">
        <f t="shared" si="10"/>
        <v>399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2.0</v>
      </c>
      <c r="J39" s="74">
        <v>0.0</v>
      </c>
      <c r="K39" s="74">
        <v>0.0</v>
      </c>
      <c r="L39" s="74">
        <v>0.0</v>
      </c>
      <c r="M39" s="13">
        <f t="shared" ref="M39:M41" si="12">SUM(E39:L39)</f>
        <v>2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5.0</v>
      </c>
      <c r="F45" s="74">
        <v>8.0</v>
      </c>
      <c r="G45" s="74">
        <v>5.0</v>
      </c>
      <c r="H45" s="74">
        <v>7.0</v>
      </c>
      <c r="I45" s="74">
        <v>6.0</v>
      </c>
      <c r="J45" s="74">
        <v>8.0</v>
      </c>
      <c r="K45" s="74">
        <v>2.0</v>
      </c>
      <c r="L45" s="74">
        <v>1.0</v>
      </c>
      <c r="M45" s="13">
        <f t="shared" ref="M45:M55" si="14">SUM(E45:L45)</f>
        <v>42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20.0</v>
      </c>
      <c r="F46" s="74">
        <v>10.0</v>
      </c>
      <c r="G46" s="74">
        <v>17.0</v>
      </c>
      <c r="H46" s="74">
        <v>8.0</v>
      </c>
      <c r="I46" s="74">
        <v>9.0</v>
      </c>
      <c r="J46" s="74">
        <v>9.0</v>
      </c>
      <c r="K46" s="74">
        <v>7.0</v>
      </c>
      <c r="L46" s="74">
        <v>16.0</v>
      </c>
      <c r="M46" s="13">
        <f t="shared" si="14"/>
        <v>96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3.0</v>
      </c>
      <c r="G47" s="74">
        <v>2.0</v>
      </c>
      <c r="H47" s="74">
        <v>0.0</v>
      </c>
      <c r="I47" s="74">
        <v>1.0</v>
      </c>
      <c r="J47" s="74">
        <v>0.0</v>
      </c>
      <c r="K47" s="74">
        <v>0.0</v>
      </c>
      <c r="L47" s="74">
        <v>0.0</v>
      </c>
      <c r="M47" s="13">
        <f t="shared" si="14"/>
        <v>7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1.0</v>
      </c>
      <c r="G48" s="74">
        <v>0.0</v>
      </c>
      <c r="H48" s="74">
        <v>1.0</v>
      </c>
      <c r="I48" s="74">
        <v>0.0</v>
      </c>
      <c r="J48" s="74">
        <v>1.0</v>
      </c>
      <c r="K48" s="74">
        <v>0.0</v>
      </c>
      <c r="L48" s="74">
        <v>0.0</v>
      </c>
      <c r="M48" s="13">
        <f t="shared" si="14"/>
        <v>3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13">
        <f t="shared" si="14"/>
        <v>1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1.0</v>
      </c>
      <c r="M50" s="13">
        <f t="shared" si="14"/>
        <v>1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13">
        <f t="shared" si="14"/>
        <v>0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0.0</v>
      </c>
      <c r="M52" s="13">
        <f t="shared" si="14"/>
        <v>0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13">
        <f t="shared" si="14"/>
        <v>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L55" si="15">SUM(E45:E52)</f>
        <v>27</v>
      </c>
      <c r="F55" s="13">
        <f t="shared" si="15"/>
        <v>22</v>
      </c>
      <c r="G55" s="13">
        <f t="shared" si="15"/>
        <v>24</v>
      </c>
      <c r="H55" s="13">
        <f t="shared" si="15"/>
        <v>16</v>
      </c>
      <c r="I55" s="13">
        <f t="shared" si="15"/>
        <v>16</v>
      </c>
      <c r="J55" s="13">
        <f t="shared" si="15"/>
        <v>18</v>
      </c>
      <c r="K55" s="13">
        <f t="shared" si="15"/>
        <v>9</v>
      </c>
      <c r="L55" s="13">
        <f t="shared" si="15"/>
        <v>18</v>
      </c>
      <c r="M55" s="13">
        <f t="shared" si="14"/>
        <v>150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20.0</v>
      </c>
      <c r="F57" s="74">
        <v>17.0</v>
      </c>
      <c r="G57" s="74">
        <v>10.0</v>
      </c>
      <c r="H57" s="74">
        <v>15.0</v>
      </c>
      <c r="I57" s="74">
        <v>26.0</v>
      </c>
      <c r="J57" s="74">
        <v>33.0</v>
      </c>
      <c r="K57" s="74">
        <v>7.0</v>
      </c>
      <c r="L57" s="74">
        <v>15.0</v>
      </c>
      <c r="M57" s="13">
        <f t="shared" ref="M57:M67" si="16">SUM(E57:L57)</f>
        <v>143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4.0</v>
      </c>
      <c r="F58" s="74">
        <v>6.0</v>
      </c>
      <c r="G58" s="74">
        <v>3.0</v>
      </c>
      <c r="H58" s="74">
        <v>1.0</v>
      </c>
      <c r="I58" s="74">
        <v>8.0</v>
      </c>
      <c r="J58" s="74">
        <v>14.0</v>
      </c>
      <c r="K58" s="74">
        <v>3.0</v>
      </c>
      <c r="L58" s="74">
        <v>5.0</v>
      </c>
      <c r="M58" s="13">
        <f t="shared" si="16"/>
        <v>44</v>
      </c>
    </row>
    <row r="59" ht="12.75" customHeight="1">
      <c r="A59" s="18"/>
      <c r="B59" s="55"/>
      <c r="C59" s="50" t="s">
        <v>52</v>
      </c>
      <c r="D59" s="56"/>
      <c r="E59" s="74">
        <v>11.0</v>
      </c>
      <c r="F59" s="74">
        <v>7.0</v>
      </c>
      <c r="G59" s="74">
        <v>7.0</v>
      </c>
      <c r="H59" s="74">
        <v>7.0</v>
      </c>
      <c r="I59" s="74">
        <v>5.0</v>
      </c>
      <c r="J59" s="74">
        <v>14.0</v>
      </c>
      <c r="K59" s="74">
        <v>4.0</v>
      </c>
      <c r="L59" s="74">
        <v>12.0</v>
      </c>
      <c r="M59" s="13">
        <f t="shared" si="16"/>
        <v>67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2.0</v>
      </c>
      <c r="H60" s="74">
        <v>1.0</v>
      </c>
      <c r="I60" s="74">
        <v>3.0</v>
      </c>
      <c r="J60" s="74">
        <v>2.0</v>
      </c>
      <c r="K60" s="74">
        <v>1.0</v>
      </c>
      <c r="L60" s="74">
        <v>0.0</v>
      </c>
      <c r="M60" s="13">
        <f t="shared" si="16"/>
        <v>11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0.0</v>
      </c>
      <c r="G61" s="74">
        <v>2.0</v>
      </c>
      <c r="H61" s="74">
        <v>2.0</v>
      </c>
      <c r="I61" s="74">
        <v>11.0</v>
      </c>
      <c r="J61" s="74">
        <v>6.0</v>
      </c>
      <c r="K61" s="74">
        <v>32.0</v>
      </c>
      <c r="L61" s="74">
        <v>37.0</v>
      </c>
      <c r="M61" s="13">
        <f t="shared" si="16"/>
        <v>92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1.0</v>
      </c>
      <c r="G62" s="74">
        <v>1.0</v>
      </c>
      <c r="H62" s="74">
        <v>0.0</v>
      </c>
      <c r="I62" s="74">
        <v>1.0</v>
      </c>
      <c r="J62" s="74">
        <v>0.0</v>
      </c>
      <c r="K62" s="74">
        <v>0.0</v>
      </c>
      <c r="L62" s="74">
        <v>0.0</v>
      </c>
      <c r="M62" s="13">
        <f t="shared" si="16"/>
        <v>4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13">
        <f t="shared" si="16"/>
        <v>0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1.0</v>
      </c>
      <c r="I64" s="74">
        <v>0.0</v>
      </c>
      <c r="J64" s="74">
        <v>0.0</v>
      </c>
      <c r="K64" s="74">
        <v>0.0</v>
      </c>
      <c r="L64" s="74">
        <v>0.0</v>
      </c>
      <c r="M64" s="13">
        <f t="shared" si="16"/>
        <v>1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13">
        <f t="shared" si="16"/>
        <v>0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13">
        <f t="shared" si="16"/>
        <v>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L67" si="17">SUM(E57:E66)</f>
        <v>40</v>
      </c>
      <c r="F67" s="13">
        <f t="shared" si="17"/>
        <v>32</v>
      </c>
      <c r="G67" s="13">
        <f t="shared" si="17"/>
        <v>25</v>
      </c>
      <c r="H67" s="13">
        <f t="shared" si="17"/>
        <v>27</v>
      </c>
      <c r="I67" s="13">
        <f t="shared" si="17"/>
        <v>54</v>
      </c>
      <c r="J67" s="13">
        <f t="shared" si="17"/>
        <v>69</v>
      </c>
      <c r="K67" s="13">
        <f t="shared" si="17"/>
        <v>47</v>
      </c>
      <c r="L67" s="13">
        <f t="shared" si="17"/>
        <v>69</v>
      </c>
      <c r="M67" s="13">
        <f t="shared" si="16"/>
        <v>363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15.0</v>
      </c>
      <c r="F69" s="74">
        <v>15.0</v>
      </c>
      <c r="G69" s="74">
        <v>12.0</v>
      </c>
      <c r="H69" s="74">
        <v>8.0</v>
      </c>
      <c r="I69" s="74">
        <v>12.0</v>
      </c>
      <c r="J69" s="74">
        <v>8.0</v>
      </c>
      <c r="K69" s="74">
        <v>15.0</v>
      </c>
      <c r="L69" s="74">
        <v>5.0</v>
      </c>
      <c r="M69" s="13">
        <f t="shared" ref="M69:M79" si="18">SUM(E69:L69)</f>
        <v>90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2.0</v>
      </c>
      <c r="G70" s="74">
        <v>2.0</v>
      </c>
      <c r="H70" s="74">
        <v>6.0</v>
      </c>
      <c r="I70" s="74">
        <v>6.0</v>
      </c>
      <c r="J70" s="74">
        <v>1.0</v>
      </c>
      <c r="K70" s="74">
        <v>4.0</v>
      </c>
      <c r="L70" s="74">
        <v>0.0</v>
      </c>
      <c r="M70" s="13">
        <f t="shared" si="18"/>
        <v>25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5.0</v>
      </c>
      <c r="G71" s="74">
        <v>2.0</v>
      </c>
      <c r="H71" s="74">
        <v>3.0</v>
      </c>
      <c r="I71" s="74">
        <v>3.0</v>
      </c>
      <c r="J71" s="74">
        <v>3.0</v>
      </c>
      <c r="K71" s="74">
        <v>3.0</v>
      </c>
      <c r="L71" s="74">
        <v>2.0</v>
      </c>
      <c r="M71" s="13">
        <f t="shared" si="18"/>
        <v>22</v>
      </c>
    </row>
    <row r="72" ht="12.75" customHeight="1">
      <c r="A72" s="18"/>
      <c r="B72" s="55"/>
      <c r="C72" s="50" t="s">
        <v>63</v>
      </c>
      <c r="D72" s="57"/>
      <c r="E72" s="74">
        <v>4.0</v>
      </c>
      <c r="F72" s="74">
        <v>7.0</v>
      </c>
      <c r="G72" s="74">
        <v>10.0</v>
      </c>
      <c r="H72" s="74">
        <v>5.0</v>
      </c>
      <c r="I72" s="74">
        <v>2.0</v>
      </c>
      <c r="J72" s="74">
        <v>0.0</v>
      </c>
      <c r="K72" s="74">
        <v>5.0</v>
      </c>
      <c r="L72" s="74">
        <v>4.0</v>
      </c>
      <c r="M72" s="13">
        <f t="shared" si="18"/>
        <v>37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2.0</v>
      </c>
      <c r="G73" s="74">
        <v>4.0</v>
      </c>
      <c r="H73" s="74">
        <v>6.0</v>
      </c>
      <c r="I73" s="74">
        <v>13.0</v>
      </c>
      <c r="J73" s="74">
        <v>0.0</v>
      </c>
      <c r="K73" s="74">
        <v>4.0</v>
      </c>
      <c r="L73" s="74">
        <v>9.0</v>
      </c>
      <c r="M73" s="13">
        <f t="shared" si="18"/>
        <v>38</v>
      </c>
    </row>
    <row r="74" ht="12.75" customHeight="1">
      <c r="A74" s="18"/>
      <c r="B74" s="55"/>
      <c r="C74" s="50" t="s">
        <v>65</v>
      </c>
      <c r="D74" s="57"/>
      <c r="E74" s="74">
        <v>2.0</v>
      </c>
      <c r="F74" s="74">
        <v>2.0</v>
      </c>
      <c r="G74" s="74">
        <v>1.0</v>
      </c>
      <c r="H74" s="74">
        <v>0.0</v>
      </c>
      <c r="I74" s="74">
        <v>3.0</v>
      </c>
      <c r="J74" s="74">
        <v>1.0</v>
      </c>
      <c r="K74" s="74">
        <v>3.0</v>
      </c>
      <c r="L74" s="74">
        <v>1.0</v>
      </c>
      <c r="M74" s="13">
        <f t="shared" si="18"/>
        <v>13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1.0</v>
      </c>
      <c r="H75" s="74">
        <v>1.0</v>
      </c>
      <c r="I75" s="74">
        <v>0.0</v>
      </c>
      <c r="J75" s="74">
        <v>1.0</v>
      </c>
      <c r="K75" s="74">
        <v>0.0</v>
      </c>
      <c r="L75" s="74">
        <v>0.0</v>
      </c>
      <c r="M75" s="13">
        <f t="shared" si="18"/>
        <v>3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1.0</v>
      </c>
      <c r="I76" s="74">
        <v>3.0</v>
      </c>
      <c r="J76" s="74">
        <v>0.0</v>
      </c>
      <c r="K76" s="74">
        <v>4.0</v>
      </c>
      <c r="L76" s="74">
        <v>2.0</v>
      </c>
      <c r="M76" s="13">
        <f t="shared" si="18"/>
        <v>11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13">
        <f t="shared" si="18"/>
        <v>0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2.0</v>
      </c>
      <c r="I78" s="74">
        <v>1.0</v>
      </c>
      <c r="J78" s="74">
        <v>0.0</v>
      </c>
      <c r="K78" s="74">
        <v>0.0</v>
      </c>
      <c r="L78" s="74">
        <v>0.0</v>
      </c>
      <c r="M78" s="13">
        <f t="shared" si="18"/>
        <v>4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L79" si="19">SUM(E69:E78)</f>
        <v>27</v>
      </c>
      <c r="F79" s="13">
        <f t="shared" si="19"/>
        <v>34</v>
      </c>
      <c r="G79" s="13">
        <f t="shared" si="19"/>
        <v>32</v>
      </c>
      <c r="H79" s="13">
        <f t="shared" si="19"/>
        <v>32</v>
      </c>
      <c r="I79" s="13">
        <f t="shared" si="19"/>
        <v>43</v>
      </c>
      <c r="J79" s="13">
        <f t="shared" si="19"/>
        <v>14</v>
      </c>
      <c r="K79" s="13">
        <f t="shared" si="19"/>
        <v>38</v>
      </c>
      <c r="L79" s="13">
        <f t="shared" si="19"/>
        <v>23</v>
      </c>
      <c r="M79" s="13">
        <f t="shared" si="18"/>
        <v>243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8.0</v>
      </c>
      <c r="F81" s="74">
        <v>17.0</v>
      </c>
      <c r="G81" s="74">
        <v>10.0</v>
      </c>
      <c r="H81" s="74">
        <v>11.0</v>
      </c>
      <c r="I81" s="74">
        <v>15.0</v>
      </c>
      <c r="J81" s="74">
        <v>17.0</v>
      </c>
      <c r="K81" s="74">
        <v>16.0</v>
      </c>
      <c r="L81" s="74">
        <v>10.0</v>
      </c>
      <c r="M81" s="13">
        <f t="shared" ref="M81:M91" si="20">SUM(E81:L81)</f>
        <v>104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8.0</v>
      </c>
      <c r="F82" s="74">
        <v>12.0</v>
      </c>
      <c r="G82" s="74">
        <v>11.0</v>
      </c>
      <c r="H82" s="74">
        <v>4.0</v>
      </c>
      <c r="I82" s="74">
        <v>17.0</v>
      </c>
      <c r="J82" s="74">
        <v>13.0</v>
      </c>
      <c r="K82" s="74">
        <v>3.0</v>
      </c>
      <c r="L82" s="74">
        <v>15.0</v>
      </c>
      <c r="M82" s="13">
        <f t="shared" si="20"/>
        <v>83</v>
      </c>
    </row>
    <row r="83" ht="12.75" customHeight="1">
      <c r="A83" s="18"/>
      <c r="B83" s="55"/>
      <c r="C83" s="50" t="s">
        <v>72</v>
      </c>
      <c r="D83" s="57"/>
      <c r="E83" s="74">
        <v>5.0</v>
      </c>
      <c r="F83" s="74">
        <v>5.0</v>
      </c>
      <c r="G83" s="74">
        <v>5.0</v>
      </c>
      <c r="H83" s="74">
        <v>4.0</v>
      </c>
      <c r="I83" s="74">
        <v>3.0</v>
      </c>
      <c r="J83" s="74">
        <v>6.0</v>
      </c>
      <c r="K83" s="74">
        <v>8.0</v>
      </c>
      <c r="L83" s="74">
        <v>3.0</v>
      </c>
      <c r="M83" s="13">
        <f t="shared" si="20"/>
        <v>39</v>
      </c>
    </row>
    <row r="84" ht="12.75" customHeight="1">
      <c r="A84" s="18"/>
      <c r="B84" s="55"/>
      <c r="C84" s="50" t="s">
        <v>73</v>
      </c>
      <c r="D84" s="57"/>
      <c r="E84" s="74">
        <v>3.0</v>
      </c>
      <c r="F84" s="74">
        <v>0.0</v>
      </c>
      <c r="G84" s="74">
        <v>2.0</v>
      </c>
      <c r="H84" s="74">
        <v>2.0</v>
      </c>
      <c r="I84" s="74">
        <v>0.0</v>
      </c>
      <c r="J84" s="74">
        <v>1.0</v>
      </c>
      <c r="K84" s="74">
        <v>2.0</v>
      </c>
      <c r="L84" s="74">
        <v>0.0</v>
      </c>
      <c r="M84" s="13">
        <f t="shared" si="20"/>
        <v>10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5.0</v>
      </c>
      <c r="G85" s="74">
        <v>2.0</v>
      </c>
      <c r="H85" s="74">
        <v>2.0</v>
      </c>
      <c r="I85" s="74">
        <v>1.0</v>
      </c>
      <c r="J85" s="74">
        <v>0.0</v>
      </c>
      <c r="K85" s="74">
        <v>1.0</v>
      </c>
      <c r="L85" s="74">
        <v>1.0</v>
      </c>
      <c r="M85" s="13">
        <f t="shared" si="20"/>
        <v>14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1.0</v>
      </c>
      <c r="G86" s="74">
        <v>0.0</v>
      </c>
      <c r="H86" s="74">
        <v>0.0</v>
      </c>
      <c r="I86" s="74">
        <v>1.0</v>
      </c>
      <c r="J86" s="74">
        <v>0.0</v>
      </c>
      <c r="K86" s="74">
        <v>2.0</v>
      </c>
      <c r="L86" s="74">
        <v>0.0</v>
      </c>
      <c r="M86" s="13">
        <f t="shared" si="20"/>
        <v>5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1.0</v>
      </c>
      <c r="I87" s="74">
        <v>0.0</v>
      </c>
      <c r="J87" s="74">
        <v>0.0</v>
      </c>
      <c r="K87" s="74">
        <v>1.0</v>
      </c>
      <c r="L87" s="74">
        <v>0.0</v>
      </c>
      <c r="M87" s="13">
        <f t="shared" si="20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13">
        <f t="shared" si="20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1.0</v>
      </c>
      <c r="L90" s="74">
        <v>1.0</v>
      </c>
      <c r="M90" s="13">
        <f t="shared" si="20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L91" si="21">SUM(E81:E90)</f>
        <v>27</v>
      </c>
      <c r="F91" s="13">
        <f t="shared" si="21"/>
        <v>40</v>
      </c>
      <c r="G91" s="13">
        <f t="shared" si="21"/>
        <v>31</v>
      </c>
      <c r="H91" s="13">
        <f t="shared" si="21"/>
        <v>24</v>
      </c>
      <c r="I91" s="13">
        <f t="shared" si="21"/>
        <v>37</v>
      </c>
      <c r="J91" s="13">
        <f t="shared" si="21"/>
        <v>37</v>
      </c>
      <c r="K91" s="13">
        <f t="shared" si="21"/>
        <v>34</v>
      </c>
      <c r="L91" s="13">
        <f t="shared" si="21"/>
        <v>30</v>
      </c>
      <c r="M91" s="13">
        <f t="shared" si="20"/>
        <v>260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2.0</v>
      </c>
      <c r="G93" s="74">
        <v>0.0</v>
      </c>
      <c r="H93" s="74">
        <v>0.0</v>
      </c>
      <c r="I93" s="74">
        <v>2.0</v>
      </c>
      <c r="J93" s="74">
        <v>0.0</v>
      </c>
      <c r="K93" s="74">
        <v>0.0</v>
      </c>
      <c r="L93" s="74">
        <v>0.0</v>
      </c>
      <c r="M93" s="13">
        <f t="shared" ref="M93:M103" si="22">SUM(E93:L93)</f>
        <v>5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1.0</v>
      </c>
      <c r="G94" s="74">
        <v>0.0</v>
      </c>
      <c r="H94" s="74">
        <v>0.0</v>
      </c>
      <c r="I94" s="74">
        <v>0.0</v>
      </c>
      <c r="J94" s="74">
        <v>2.0</v>
      </c>
      <c r="K94" s="74">
        <v>0.0</v>
      </c>
      <c r="L94" s="74">
        <v>0.0</v>
      </c>
      <c r="M94" s="13">
        <f t="shared" si="22"/>
        <v>3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13">
        <f t="shared" si="22"/>
        <v>0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13">
        <f t="shared" si="22"/>
        <v>1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13">
        <f t="shared" si="22"/>
        <v>0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1.0</v>
      </c>
      <c r="K98" s="74">
        <v>0.0</v>
      </c>
      <c r="L98" s="74">
        <v>0.0</v>
      </c>
      <c r="M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1.0</v>
      </c>
      <c r="M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1.0</v>
      </c>
      <c r="M100" s="13">
        <f t="shared" si="22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L103" si="23">SUM(E93:E102)</f>
        <v>1</v>
      </c>
      <c r="F103" s="13">
        <f t="shared" si="23"/>
        <v>3</v>
      </c>
      <c r="G103" s="13">
        <f t="shared" si="23"/>
        <v>1</v>
      </c>
      <c r="H103" s="13">
        <f t="shared" si="23"/>
        <v>0</v>
      </c>
      <c r="I103" s="13">
        <f t="shared" si="23"/>
        <v>2</v>
      </c>
      <c r="J103" s="13">
        <f t="shared" si="23"/>
        <v>3</v>
      </c>
      <c r="K103" s="13">
        <f t="shared" si="23"/>
        <v>0</v>
      </c>
      <c r="L103" s="13">
        <f t="shared" si="23"/>
        <v>2</v>
      </c>
      <c r="M103" s="13">
        <f t="shared" si="22"/>
        <v>12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1.0</v>
      </c>
      <c r="K105" s="74">
        <v>0.0</v>
      </c>
      <c r="L105" s="74">
        <v>0.0</v>
      </c>
      <c r="M105" s="13">
        <f t="shared" ref="M105:M107" si="24">SUM(E105:L105)</f>
        <v>1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1.0</v>
      </c>
      <c r="K106" s="74">
        <v>0.0</v>
      </c>
      <c r="L106" s="74">
        <v>1.0</v>
      </c>
      <c r="M106" s="13">
        <f t="shared" si="24"/>
        <v>3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1.0</v>
      </c>
      <c r="H107" s="74">
        <v>0.0</v>
      </c>
      <c r="I107" s="74">
        <v>1.0</v>
      </c>
      <c r="J107" s="74">
        <v>0.0</v>
      </c>
      <c r="K107" s="74">
        <v>0.0</v>
      </c>
      <c r="L107" s="74">
        <v>0.0</v>
      </c>
      <c r="M107" s="13">
        <f t="shared" si="24"/>
        <v>2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L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>SUM(E115:L115)</f>
        <v>6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2.0</v>
      </c>
      <c r="J117" s="74">
        <v>0.0</v>
      </c>
      <c r="K117" s="74">
        <v>0.0</v>
      </c>
      <c r="L117" s="74">
        <v>0.0</v>
      </c>
      <c r="M117" s="13">
        <f t="shared" ref="M117:M122" si="26">SUM(E117:L117)</f>
        <v>2</v>
      </c>
      <c r="N117" s="5"/>
      <c r="O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1.0</v>
      </c>
      <c r="G118" s="74">
        <v>0.0</v>
      </c>
      <c r="H118" s="74">
        <v>0.0</v>
      </c>
      <c r="I118" s="74">
        <v>1.0</v>
      </c>
      <c r="J118" s="74">
        <v>0.0</v>
      </c>
      <c r="K118" s="74">
        <v>0.0</v>
      </c>
      <c r="L118" s="74">
        <v>0.0</v>
      </c>
      <c r="M118" s="13">
        <f t="shared" si="26"/>
        <v>3</v>
      </c>
      <c r="N118" s="5"/>
      <c r="O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13">
        <f t="shared" si="26"/>
        <v>0</v>
      </c>
      <c r="N119" s="5"/>
      <c r="O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13">
        <f t="shared" si="26"/>
        <v>0</v>
      </c>
      <c r="N120" s="5"/>
      <c r="O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13">
        <f t="shared" si="26"/>
        <v>0</v>
      </c>
      <c r="N121" s="5"/>
      <c r="O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13">
        <f t="shared" si="26"/>
        <v>0</v>
      </c>
      <c r="N122" s="5"/>
      <c r="O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79"/>
      <c r="N123" s="5"/>
      <c r="O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79"/>
      <c r="N124" s="5"/>
      <c r="O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79"/>
      <c r="N125" s="5"/>
      <c r="O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79"/>
      <c r="N126" s="5"/>
      <c r="O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>SUM(E117:E126)</f>
        <v>1</v>
      </c>
      <c r="F127" s="63">
        <f t="shared" ref="F127:L127" si="27">SUM(F117:F120)</f>
        <v>1</v>
      </c>
      <c r="G127" s="63">
        <f t="shared" si="27"/>
        <v>0</v>
      </c>
      <c r="H127" s="63">
        <f t="shared" si="27"/>
        <v>0</v>
      </c>
      <c r="I127" s="63">
        <f t="shared" si="27"/>
        <v>3</v>
      </c>
      <c r="J127" s="63">
        <f t="shared" si="27"/>
        <v>0</v>
      </c>
      <c r="K127" s="63">
        <f t="shared" si="27"/>
        <v>0</v>
      </c>
      <c r="L127" s="63">
        <f t="shared" si="27"/>
        <v>0</v>
      </c>
      <c r="M127" s="13">
        <f>SUM(E127:L127)</f>
        <v>5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5"/>
      <c r="O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0.0</v>
      </c>
      <c r="G129" s="74">
        <v>0.0</v>
      </c>
      <c r="H129" s="74">
        <v>0.0</v>
      </c>
      <c r="I129" s="74">
        <v>0.0</v>
      </c>
      <c r="J129" s="74">
        <v>1.0</v>
      </c>
      <c r="K129" s="74">
        <v>0.0</v>
      </c>
      <c r="L129" s="74">
        <v>0.0</v>
      </c>
      <c r="M129" s="13">
        <f t="shared" ref="M129:M139" si="28">SUM(E129:L129)</f>
        <v>2</v>
      </c>
      <c r="N129" s="5"/>
      <c r="O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1.0</v>
      </c>
      <c r="H130" s="74">
        <v>0.0</v>
      </c>
      <c r="I130" s="74">
        <v>0.0</v>
      </c>
      <c r="J130" s="74">
        <v>0.0</v>
      </c>
      <c r="K130" s="74">
        <v>0.0</v>
      </c>
      <c r="L130" s="74">
        <v>0.0</v>
      </c>
      <c r="M130" s="13">
        <f t="shared" si="28"/>
        <v>1</v>
      </c>
      <c r="N130" s="1"/>
      <c r="O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13">
        <f t="shared" si="28"/>
        <v>0</v>
      </c>
      <c r="N131" s="52"/>
      <c r="O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13">
        <f t="shared" si="28"/>
        <v>1</v>
      </c>
      <c r="N132" s="5"/>
      <c r="O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13">
        <f t="shared" si="28"/>
        <v>0</v>
      </c>
      <c r="N133" s="5"/>
      <c r="O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13">
        <f t="shared" si="28"/>
        <v>0</v>
      </c>
      <c r="N134" s="5"/>
      <c r="O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0.0</v>
      </c>
      <c r="M135" s="13">
        <f t="shared" si="28"/>
        <v>1</v>
      </c>
      <c r="N135" s="5"/>
      <c r="O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13">
        <f t="shared" si="28"/>
        <v>0</v>
      </c>
      <c r="N136" s="5"/>
      <c r="O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13">
        <f t="shared" si="28"/>
        <v>0</v>
      </c>
      <c r="N137" s="5"/>
      <c r="O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13">
        <f t="shared" si="28"/>
        <v>0</v>
      </c>
      <c r="N138" s="5"/>
      <c r="O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L139" si="29">SUM(E129:E136)</f>
        <v>2</v>
      </c>
      <c r="F139" s="13">
        <f t="shared" si="29"/>
        <v>0</v>
      </c>
      <c r="G139" s="13">
        <f t="shared" si="29"/>
        <v>1</v>
      </c>
      <c r="H139" s="13">
        <f t="shared" si="29"/>
        <v>0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8"/>
        <v>5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5"/>
      <c r="O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13">
        <f t="shared" ref="M141:M144" si="30">SUM(E141:L141)</f>
        <v>0</v>
      </c>
      <c r="N141" s="1"/>
      <c r="O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13">
        <f t="shared" si="30"/>
        <v>0</v>
      </c>
      <c r="N142" s="52"/>
      <c r="O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13">
        <f t="shared" si="30"/>
        <v>0</v>
      </c>
      <c r="N143" s="5"/>
      <c r="O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13">
        <f t="shared" si="30"/>
        <v>0</v>
      </c>
      <c r="N144" s="5"/>
      <c r="O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79"/>
      <c r="N145" s="5"/>
      <c r="O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79"/>
      <c r="N146" s="5"/>
      <c r="O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79"/>
      <c r="N147" s="5"/>
      <c r="O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79"/>
      <c r="N148" s="5"/>
      <c r="O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79"/>
      <c r="N149" s="5"/>
      <c r="O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79"/>
      <c r="N150" s="5"/>
      <c r="O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13"/>
      <c r="N152" s="52"/>
      <c r="O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13">
        <f t="shared" ref="M153:M160" si="32">SUM(E153:L153)</f>
        <v>0</v>
      </c>
      <c r="N153" s="5"/>
      <c r="O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1.0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13">
        <f t="shared" si="32"/>
        <v>1</v>
      </c>
      <c r="N154" s="5"/>
      <c r="O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13">
        <f t="shared" si="32"/>
        <v>0</v>
      </c>
      <c r="N155" s="5"/>
      <c r="O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0.0</v>
      </c>
      <c r="M156" s="13">
        <f t="shared" si="32"/>
        <v>1</v>
      </c>
      <c r="N156" s="5"/>
      <c r="O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1.0</v>
      </c>
      <c r="J157" s="74">
        <v>0.0</v>
      </c>
      <c r="K157" s="74">
        <v>0.0</v>
      </c>
      <c r="L157" s="74">
        <v>0.0</v>
      </c>
      <c r="M157" s="13">
        <f t="shared" si="32"/>
        <v>1</v>
      </c>
      <c r="N157" s="5"/>
      <c r="O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13">
        <f t="shared" si="32"/>
        <v>0</v>
      </c>
      <c r="N158" s="5"/>
      <c r="O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13">
        <f t="shared" si="32"/>
        <v>0</v>
      </c>
      <c r="N159" s="5"/>
      <c r="O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13">
        <f t="shared" si="32"/>
        <v>0</v>
      </c>
      <c r="N160" s="5"/>
      <c r="O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79"/>
      <c r="N161" s="5"/>
      <c r="O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79"/>
      <c r="N162" s="5"/>
      <c r="O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M163" si="33">SUM(E153:E160)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3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5"/>
      <c r="O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2.0</v>
      </c>
      <c r="G165" s="74">
        <v>0.0</v>
      </c>
      <c r="H165" s="74">
        <v>0.0</v>
      </c>
      <c r="I165" s="74">
        <v>0.0</v>
      </c>
      <c r="J165" s="74">
        <v>1.0</v>
      </c>
      <c r="K165" s="74">
        <v>0.0</v>
      </c>
      <c r="L165" s="74">
        <v>2.0</v>
      </c>
      <c r="M165" s="13">
        <f t="shared" ref="M165:M166" si="34">SUM(E165:L165)</f>
        <v>5</v>
      </c>
      <c r="N165" s="1"/>
      <c r="O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13">
        <f t="shared" si="34"/>
        <v>0</v>
      </c>
      <c r="N166" s="52"/>
      <c r="O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79"/>
      <c r="N167" s="5"/>
      <c r="O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79"/>
      <c r="N168" s="5"/>
      <c r="O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79"/>
      <c r="N169" s="5"/>
      <c r="O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79"/>
      <c r="N170" s="5"/>
      <c r="O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79"/>
      <c r="N171" s="5"/>
      <c r="O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79"/>
      <c r="N172" s="5"/>
      <c r="O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79"/>
      <c r="N173" s="5"/>
      <c r="O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79"/>
      <c r="N174" s="5"/>
      <c r="O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L175" si="35">SUM(E165:E172)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2</v>
      </c>
      <c r="M175" s="13">
        <f>SUM(E175:L175)</f>
        <v>5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1"/>
      <c r="O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1.0</v>
      </c>
      <c r="G177" s="74">
        <v>0.0</v>
      </c>
      <c r="H177" s="74">
        <v>2.0</v>
      </c>
      <c r="I177" s="74">
        <v>0.0</v>
      </c>
      <c r="J177" s="74">
        <v>1.0</v>
      </c>
      <c r="K177" s="74">
        <v>0.0</v>
      </c>
      <c r="L177" s="74">
        <v>1.0</v>
      </c>
      <c r="M177" s="13">
        <f t="shared" ref="M177:M187" si="36">SUM(E177:L177)</f>
        <v>7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4.0</v>
      </c>
      <c r="F178" s="74">
        <v>0.0</v>
      </c>
      <c r="G178" s="74">
        <v>0.0</v>
      </c>
      <c r="H178" s="74">
        <v>1.0</v>
      </c>
      <c r="I178" s="74">
        <v>2.0</v>
      </c>
      <c r="J178" s="74">
        <v>1.0</v>
      </c>
      <c r="K178" s="74">
        <v>0.0</v>
      </c>
      <c r="L178" s="74">
        <v>2.0</v>
      </c>
      <c r="M178" s="13">
        <f t="shared" si="36"/>
        <v>10</v>
      </c>
      <c r="N178" s="5"/>
      <c r="O178" s="5"/>
    </row>
    <row r="179" ht="12.75" customHeight="1">
      <c r="A179" s="18"/>
      <c r="B179" s="55"/>
      <c r="C179" s="50" t="s">
        <v>133</v>
      </c>
      <c r="D179" s="57"/>
      <c r="E179" s="74">
        <v>1.0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13">
        <f t="shared" si="36"/>
        <v>1</v>
      </c>
      <c r="N179" s="5"/>
      <c r="O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13">
        <f t="shared" si="36"/>
        <v>0</v>
      </c>
      <c r="N180" s="5"/>
      <c r="O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13">
        <f t="shared" si="36"/>
        <v>0</v>
      </c>
      <c r="N181" s="5"/>
      <c r="O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13">
        <f t="shared" si="36"/>
        <v>0</v>
      </c>
      <c r="N182" s="5"/>
      <c r="O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13">
        <f t="shared" si="36"/>
        <v>0</v>
      </c>
      <c r="N183" s="5"/>
      <c r="O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13">
        <f t="shared" si="36"/>
        <v>0</v>
      </c>
      <c r="N184" s="5"/>
      <c r="O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13">
        <f t="shared" si="36"/>
        <v>0</v>
      </c>
      <c r="N185" s="5"/>
      <c r="O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13">
        <f t="shared" si="36"/>
        <v>0</v>
      </c>
      <c r="N186" s="5"/>
      <c r="O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L187" si="37">SUM(E177:E184)</f>
        <v>7</v>
      </c>
      <c r="F187" s="13">
        <f t="shared" si="37"/>
        <v>1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2</v>
      </c>
      <c r="K187" s="13">
        <f t="shared" si="37"/>
        <v>0</v>
      </c>
      <c r="L187" s="13">
        <f t="shared" si="37"/>
        <v>3</v>
      </c>
      <c r="M187" s="13">
        <f t="shared" si="36"/>
        <v>18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1.0</v>
      </c>
      <c r="K189" s="74">
        <v>0.0</v>
      </c>
      <c r="L189" s="74">
        <v>0.0</v>
      </c>
      <c r="M189" s="13">
        <f t="shared" ref="M189:M199" si="38">SUM(E189:L189)</f>
        <v>1</v>
      </c>
      <c r="N189" s="5"/>
      <c r="O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13">
        <f t="shared" si="38"/>
        <v>0</v>
      </c>
      <c r="N190" s="5"/>
      <c r="O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13">
        <f t="shared" si="38"/>
        <v>0</v>
      </c>
      <c r="N191" s="5"/>
      <c r="O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13">
        <f t="shared" si="38"/>
        <v>0</v>
      </c>
      <c r="N192" s="5"/>
      <c r="O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13">
        <f t="shared" si="38"/>
        <v>0</v>
      </c>
      <c r="N193" s="5"/>
      <c r="O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13">
        <f t="shared" si="38"/>
        <v>0</v>
      </c>
      <c r="N194" s="5"/>
      <c r="O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13">
        <f t="shared" si="38"/>
        <v>0</v>
      </c>
      <c r="N195" s="5"/>
      <c r="O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13">
        <f t="shared" si="38"/>
        <v>0</v>
      </c>
      <c r="N196" s="1"/>
      <c r="O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13">
        <f t="shared" si="38"/>
        <v>0</v>
      </c>
      <c r="N197" s="1"/>
      <c r="O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13">
        <f t="shared" si="38"/>
        <v>0</v>
      </c>
      <c r="N198" s="1"/>
      <c r="O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L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8"/>
        <v>1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5"/>
      <c r="O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0.0</v>
      </c>
      <c r="G201" s="74">
        <v>4.0</v>
      </c>
      <c r="H201" s="74">
        <v>2.0</v>
      </c>
      <c r="I201" s="74">
        <v>3.0</v>
      </c>
      <c r="J201" s="74">
        <v>0.0</v>
      </c>
      <c r="K201" s="74">
        <v>6.0</v>
      </c>
      <c r="L201" s="74">
        <v>2.0</v>
      </c>
      <c r="M201" s="13">
        <f t="shared" ref="M201:M211" si="40">SUM(E201:L201)</f>
        <v>20</v>
      </c>
      <c r="N201" s="5"/>
      <c r="O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3.0</v>
      </c>
      <c r="F202" s="74">
        <v>1.0</v>
      </c>
      <c r="G202" s="74">
        <v>1.0</v>
      </c>
      <c r="H202" s="74">
        <v>0.0</v>
      </c>
      <c r="I202" s="74">
        <v>2.0</v>
      </c>
      <c r="J202" s="74">
        <v>1.0</v>
      </c>
      <c r="K202" s="74">
        <v>1.0</v>
      </c>
      <c r="L202" s="74">
        <v>0.0</v>
      </c>
      <c r="M202" s="13">
        <f t="shared" si="40"/>
        <v>9</v>
      </c>
      <c r="N202" s="5"/>
      <c r="O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7.0</v>
      </c>
      <c r="G203" s="74">
        <v>6.0</v>
      </c>
      <c r="H203" s="74">
        <v>4.0</v>
      </c>
      <c r="I203" s="74">
        <v>2.0</v>
      </c>
      <c r="J203" s="74">
        <v>1.0</v>
      </c>
      <c r="K203" s="74">
        <v>8.0</v>
      </c>
      <c r="L203" s="74">
        <v>3.0</v>
      </c>
      <c r="M203" s="13">
        <f t="shared" si="40"/>
        <v>35</v>
      </c>
      <c r="N203" s="5"/>
      <c r="O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13">
        <f t="shared" si="40"/>
        <v>0</v>
      </c>
      <c r="N204" s="5"/>
      <c r="O204" s="5"/>
    </row>
    <row r="205" ht="12.75" customHeight="1">
      <c r="A205" s="18"/>
      <c r="B205" s="55"/>
      <c r="C205" s="50" t="s">
        <v>157</v>
      </c>
      <c r="D205" s="57"/>
      <c r="E205" s="74">
        <v>1.0</v>
      </c>
      <c r="F205" s="74">
        <v>0.0</v>
      </c>
      <c r="G205" s="74">
        <v>0.0</v>
      </c>
      <c r="H205" s="74">
        <v>0.0</v>
      </c>
      <c r="I205" s="74">
        <v>1.0</v>
      </c>
      <c r="J205" s="74">
        <v>0.0</v>
      </c>
      <c r="K205" s="74">
        <v>0.0</v>
      </c>
      <c r="L205" s="74">
        <v>0.0</v>
      </c>
      <c r="M205" s="13">
        <f t="shared" si="40"/>
        <v>2</v>
      </c>
      <c r="N205" s="5"/>
      <c r="O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13">
        <f t="shared" si="40"/>
        <v>0</v>
      </c>
      <c r="N206" s="5"/>
      <c r="O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1.0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13">
        <f t="shared" si="40"/>
        <v>1</v>
      </c>
      <c r="N207" s="1"/>
      <c r="O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0.0</v>
      </c>
      <c r="K208" s="74">
        <v>0.0</v>
      </c>
      <c r="L208" s="74">
        <v>0.0</v>
      </c>
      <c r="M208" s="13">
        <f t="shared" si="40"/>
        <v>1</v>
      </c>
      <c r="N208" s="52"/>
      <c r="O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13">
        <f t="shared" si="40"/>
        <v>0</v>
      </c>
      <c r="N209" s="52"/>
      <c r="O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13">
        <f t="shared" si="40"/>
        <v>0</v>
      </c>
      <c r="N210" s="52"/>
      <c r="O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L211" si="41">SUM(E201:E208)</f>
        <v>11</v>
      </c>
      <c r="F211" s="13">
        <f t="shared" si="41"/>
        <v>9</v>
      </c>
      <c r="G211" s="13">
        <f t="shared" si="41"/>
        <v>11</v>
      </c>
      <c r="H211" s="13">
        <f t="shared" si="41"/>
        <v>7</v>
      </c>
      <c r="I211" s="13">
        <f t="shared" si="41"/>
        <v>8</v>
      </c>
      <c r="J211" s="13">
        <f t="shared" si="41"/>
        <v>2</v>
      </c>
      <c r="K211" s="13">
        <f t="shared" si="41"/>
        <v>15</v>
      </c>
      <c r="L211" s="13">
        <f t="shared" si="41"/>
        <v>5</v>
      </c>
      <c r="M211" s="13">
        <f t="shared" si="40"/>
        <v>68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5"/>
      <c r="O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2.0</v>
      </c>
      <c r="G213" s="74">
        <v>0.0</v>
      </c>
      <c r="H213" s="74">
        <v>0.0</v>
      </c>
      <c r="I213" s="74">
        <v>1.0</v>
      </c>
      <c r="J213" s="74">
        <v>2.0</v>
      </c>
      <c r="K213" s="74">
        <v>1.0</v>
      </c>
      <c r="L213" s="74">
        <v>1.0</v>
      </c>
      <c r="M213" s="13">
        <f t="shared" ref="M213:M216" si="42">SUM(E213:L213)</f>
        <v>7</v>
      </c>
      <c r="N213" s="5"/>
      <c r="O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1.0</v>
      </c>
      <c r="G214" s="74">
        <v>2.0</v>
      </c>
      <c r="H214" s="74">
        <v>0.0</v>
      </c>
      <c r="I214" s="74">
        <v>2.0</v>
      </c>
      <c r="J214" s="74">
        <v>1.0</v>
      </c>
      <c r="K214" s="74">
        <v>0.0</v>
      </c>
      <c r="L214" s="74">
        <v>0.0</v>
      </c>
      <c r="M214" s="13">
        <f t="shared" si="42"/>
        <v>7</v>
      </c>
      <c r="N214" s="5"/>
      <c r="O214" s="5"/>
    </row>
    <row r="215" ht="12.75" customHeight="1">
      <c r="A215" s="18"/>
      <c r="B215" s="55"/>
      <c r="C215" s="50" t="s">
        <v>166</v>
      </c>
      <c r="D215" s="56"/>
      <c r="E215" s="74">
        <v>2.0</v>
      </c>
      <c r="F215" s="74">
        <v>0.0</v>
      </c>
      <c r="G215" s="74">
        <v>2.0</v>
      </c>
      <c r="H215" s="74">
        <v>0.0</v>
      </c>
      <c r="I215" s="74">
        <v>0.0</v>
      </c>
      <c r="J215" s="74">
        <v>1.0</v>
      </c>
      <c r="K215" s="74">
        <v>0.0</v>
      </c>
      <c r="L215" s="74">
        <v>2.0</v>
      </c>
      <c r="M215" s="13">
        <f t="shared" si="42"/>
        <v>7</v>
      </c>
      <c r="N215" s="5"/>
      <c r="O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13">
        <f t="shared" si="42"/>
        <v>0</v>
      </c>
      <c r="N216" s="5"/>
      <c r="O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79"/>
      <c r="N217" s="5"/>
      <c r="O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79"/>
      <c r="N218" s="1"/>
      <c r="O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79"/>
      <c r="N219" s="52"/>
      <c r="O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79"/>
      <c r="N220" s="5"/>
      <c r="O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79"/>
      <c r="N221" s="5"/>
      <c r="O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79"/>
      <c r="N222" s="5"/>
      <c r="O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L223" si="43">SUM(E213:E220)</f>
        <v>3</v>
      </c>
      <c r="F223" s="13">
        <f t="shared" si="43"/>
        <v>3</v>
      </c>
      <c r="G223" s="13">
        <f t="shared" si="43"/>
        <v>4</v>
      </c>
      <c r="H223" s="13">
        <f t="shared" si="43"/>
        <v>0</v>
      </c>
      <c r="I223" s="13">
        <f t="shared" si="43"/>
        <v>3</v>
      </c>
      <c r="J223" s="13">
        <f t="shared" si="43"/>
        <v>4</v>
      </c>
      <c r="K223" s="13">
        <f t="shared" si="43"/>
        <v>1</v>
      </c>
      <c r="L223" s="13">
        <f t="shared" si="43"/>
        <v>3</v>
      </c>
      <c r="M223" s="13">
        <f>SUM(E223:L223)</f>
        <v>21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5"/>
      <c r="O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13">
        <f t="shared" ref="M225:M229" si="44">SUM(E225:L225)</f>
        <v>0</v>
      </c>
      <c r="N225" s="5"/>
      <c r="O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1.0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13">
        <f t="shared" si="44"/>
        <v>1</v>
      </c>
      <c r="N226" s="5"/>
      <c r="O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1.0</v>
      </c>
      <c r="K227" s="74">
        <v>0.0</v>
      </c>
      <c r="L227" s="74">
        <v>0.0</v>
      </c>
      <c r="M227" s="13">
        <f t="shared" si="44"/>
        <v>1</v>
      </c>
      <c r="N227" s="5"/>
      <c r="O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13">
        <f t="shared" si="44"/>
        <v>0</v>
      </c>
      <c r="N228" s="5"/>
      <c r="O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13">
        <f t="shared" si="44"/>
        <v>0</v>
      </c>
      <c r="N229" s="1"/>
      <c r="O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79"/>
      <c r="N230" s="52"/>
      <c r="O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79"/>
      <c r="N231" s="5"/>
      <c r="O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79"/>
      <c r="N232" s="5"/>
      <c r="O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79"/>
      <c r="N233" s="5"/>
      <c r="O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79"/>
      <c r="N234" s="5"/>
      <c r="O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L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>SUM(E235:L235)</f>
        <v>2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5"/>
      <c r="O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3.0</v>
      </c>
      <c r="F237" s="74">
        <v>1.0</v>
      </c>
      <c r="G237" s="74">
        <v>0.0</v>
      </c>
      <c r="H237" s="74">
        <v>3.0</v>
      </c>
      <c r="I237" s="74">
        <v>1.0</v>
      </c>
      <c r="J237" s="74">
        <v>1.0</v>
      </c>
      <c r="K237" s="74">
        <v>0.0</v>
      </c>
      <c r="L237" s="74">
        <v>0.0</v>
      </c>
      <c r="M237" s="13">
        <f t="shared" ref="M237:M247" si="46">SUM(E237:L237)</f>
        <v>9</v>
      </c>
      <c r="N237" s="5"/>
      <c r="O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2.0</v>
      </c>
      <c r="I238" s="74">
        <v>0.0</v>
      </c>
      <c r="J238" s="74">
        <v>0.0</v>
      </c>
      <c r="K238" s="74">
        <v>0.0</v>
      </c>
      <c r="L238" s="74">
        <v>0.0</v>
      </c>
      <c r="M238" s="13">
        <f t="shared" si="46"/>
        <v>2</v>
      </c>
      <c r="N238" s="5"/>
      <c r="O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3.0</v>
      </c>
      <c r="G239" s="74">
        <v>0.0</v>
      </c>
      <c r="H239" s="74">
        <v>0.0</v>
      </c>
      <c r="I239" s="74">
        <v>0.0</v>
      </c>
      <c r="J239" s="74">
        <v>0.0</v>
      </c>
      <c r="K239" s="74">
        <v>1.0</v>
      </c>
      <c r="L239" s="74">
        <v>0.0</v>
      </c>
      <c r="M239" s="13">
        <f t="shared" si="46"/>
        <v>4</v>
      </c>
      <c r="N239" s="5"/>
      <c r="O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13">
        <f t="shared" si="46"/>
        <v>0</v>
      </c>
      <c r="N240" s="1"/>
      <c r="O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13">
        <f t="shared" si="46"/>
        <v>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1.0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13">
        <f t="shared" si="46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1.0</v>
      </c>
      <c r="I244" s="74">
        <v>0.0</v>
      </c>
      <c r="J244" s="74">
        <v>0.0</v>
      </c>
      <c r="K244" s="74">
        <v>0.0</v>
      </c>
      <c r="L244" s="74">
        <v>0.0</v>
      </c>
      <c r="M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L247" si="47">SUM(E237:E244)</f>
        <v>3</v>
      </c>
      <c r="F247" s="13">
        <f t="shared" si="47"/>
        <v>5</v>
      </c>
      <c r="G247" s="13">
        <f t="shared" si="47"/>
        <v>0</v>
      </c>
      <c r="H247" s="13">
        <f t="shared" si="47"/>
        <v>6</v>
      </c>
      <c r="I247" s="13">
        <f t="shared" si="47"/>
        <v>1</v>
      </c>
      <c r="J247" s="13">
        <f t="shared" si="47"/>
        <v>1</v>
      </c>
      <c r="K247" s="13">
        <f t="shared" si="47"/>
        <v>1</v>
      </c>
      <c r="L247" s="13">
        <f t="shared" si="47"/>
        <v>0</v>
      </c>
      <c r="M247" s="13">
        <f t="shared" si="46"/>
        <v>17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2.0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13">
        <f t="shared" ref="M249:M252" si="48">SUM(E249:L249)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13">
        <f t="shared" si="48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1.0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13">
        <f t="shared" si="48"/>
        <v>1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L259" si="49">SUM(E249:E255)</f>
        <v>2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>SUM(E259:L259)</f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L262" si="50">E55+E67+E79+E91+E103+E115+E127+E139+E151+E163+E175+E187+E199+E211+E223+E235+E247+E259</f>
        <v>152</v>
      </c>
      <c r="F262" s="19">
        <f t="shared" si="50"/>
        <v>153</v>
      </c>
      <c r="G262" s="19">
        <f t="shared" si="50"/>
        <v>131</v>
      </c>
      <c r="H262" s="19">
        <f t="shared" si="50"/>
        <v>116</v>
      </c>
      <c r="I262" s="19">
        <f t="shared" si="50"/>
        <v>173</v>
      </c>
      <c r="J262" s="19">
        <f t="shared" si="50"/>
        <v>156</v>
      </c>
      <c r="K262" s="19">
        <f t="shared" si="50"/>
        <v>145</v>
      </c>
      <c r="L262" s="19">
        <f t="shared" si="50"/>
        <v>156</v>
      </c>
      <c r="M262" s="13">
        <f t="shared" ref="M262:M264" si="51">SUM(E262:L262)</f>
        <v>1182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51.0</v>
      </c>
      <c r="F263" s="74">
        <v>64.0</v>
      </c>
      <c r="G263" s="74">
        <v>85.0</v>
      </c>
      <c r="H263" s="74">
        <v>46.0</v>
      </c>
      <c r="I263" s="74">
        <v>42.0</v>
      </c>
      <c r="J263" s="74">
        <v>47.0</v>
      </c>
      <c r="K263" s="74">
        <v>25.0</v>
      </c>
      <c r="L263" s="74">
        <v>34.0</v>
      </c>
      <c r="M263" s="13">
        <f t="shared" si="51"/>
        <v>394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L264" si="52">SUM(E262:E263)</f>
        <v>203</v>
      </c>
      <c r="F264" s="13">
        <f t="shared" si="52"/>
        <v>217</v>
      </c>
      <c r="G264" s="13">
        <f t="shared" si="52"/>
        <v>216</v>
      </c>
      <c r="H264" s="13">
        <f t="shared" si="52"/>
        <v>162</v>
      </c>
      <c r="I264" s="13">
        <f t="shared" si="52"/>
        <v>215</v>
      </c>
      <c r="J264" s="13">
        <f t="shared" si="52"/>
        <v>203</v>
      </c>
      <c r="K264" s="13">
        <f t="shared" si="52"/>
        <v>170</v>
      </c>
      <c r="L264" s="13">
        <f t="shared" si="52"/>
        <v>190</v>
      </c>
      <c r="M264" s="13">
        <f t="shared" si="51"/>
        <v>1576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74">
        <v>148.0</v>
      </c>
      <c r="F14" s="74">
        <v>107.0</v>
      </c>
      <c r="G14" s="74">
        <v>123.0</v>
      </c>
      <c r="H14" s="74">
        <v>127.0</v>
      </c>
      <c r="I14" s="74">
        <v>129.0</v>
      </c>
      <c r="J14" s="74">
        <v>119.0</v>
      </c>
      <c r="K14" s="74">
        <v>115.0</v>
      </c>
      <c r="L14" s="74">
        <v>110.0</v>
      </c>
      <c r="M14" s="13">
        <f t="shared" ref="M14:M16" si="1">SUM(E14:L14)</f>
        <v>978</v>
      </c>
    </row>
    <row r="15" ht="12.75" customHeight="1">
      <c r="A15" s="18"/>
      <c r="B15" s="26"/>
      <c r="C15" s="27"/>
      <c r="D15" s="19" t="s">
        <v>13</v>
      </c>
      <c r="E15" s="74">
        <v>141.0</v>
      </c>
      <c r="F15" s="74">
        <v>121.0</v>
      </c>
      <c r="G15" s="74">
        <v>105.0</v>
      </c>
      <c r="H15" s="74">
        <v>132.0</v>
      </c>
      <c r="I15" s="74">
        <v>132.0</v>
      </c>
      <c r="J15" s="74">
        <v>134.0</v>
      </c>
      <c r="K15" s="74">
        <v>115.0</v>
      </c>
      <c r="L15" s="74">
        <v>106.0</v>
      </c>
      <c r="M15" s="13">
        <f t="shared" si="1"/>
        <v>986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289</v>
      </c>
      <c r="F16" s="13">
        <f t="shared" si="2"/>
        <v>228</v>
      </c>
      <c r="G16" s="13">
        <f t="shared" si="2"/>
        <v>228</v>
      </c>
      <c r="H16" s="13">
        <f t="shared" si="2"/>
        <v>259</v>
      </c>
      <c r="I16" s="13">
        <f t="shared" si="2"/>
        <v>261</v>
      </c>
      <c r="J16" s="13">
        <f t="shared" si="2"/>
        <v>253</v>
      </c>
      <c r="K16" s="13">
        <f t="shared" si="2"/>
        <v>230</v>
      </c>
      <c r="L16" s="13">
        <f t="shared" si="2"/>
        <v>216</v>
      </c>
      <c r="M16" s="13">
        <f t="shared" si="1"/>
        <v>1964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100.0</v>
      </c>
      <c r="F19" s="74">
        <v>83.0</v>
      </c>
      <c r="G19" s="74">
        <v>101.0</v>
      </c>
      <c r="H19" s="74">
        <v>95.0</v>
      </c>
      <c r="I19" s="74">
        <v>108.0</v>
      </c>
      <c r="J19" s="74">
        <v>95.0</v>
      </c>
      <c r="K19" s="74">
        <v>78.0</v>
      </c>
      <c r="L19" s="74">
        <v>84.0</v>
      </c>
      <c r="M19" s="13">
        <f t="shared" ref="M19:M30" si="3">SUM(E19:L19)</f>
        <v>744</v>
      </c>
    </row>
    <row r="20" ht="12.75" customHeight="1">
      <c r="A20" s="33"/>
      <c r="B20" s="27"/>
      <c r="C20" s="34"/>
      <c r="D20" s="19" t="s">
        <v>13</v>
      </c>
      <c r="E20" s="74">
        <v>118.0</v>
      </c>
      <c r="F20" s="74">
        <v>100.0</v>
      </c>
      <c r="G20" s="74">
        <v>83.0</v>
      </c>
      <c r="H20" s="74">
        <v>101.0</v>
      </c>
      <c r="I20" s="74">
        <v>114.0</v>
      </c>
      <c r="J20" s="74">
        <v>109.0</v>
      </c>
      <c r="K20" s="74">
        <v>85.0</v>
      </c>
      <c r="L20" s="74">
        <v>78.0</v>
      </c>
      <c r="M20" s="13">
        <f t="shared" si="3"/>
        <v>788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218</v>
      </c>
      <c r="F21" s="13">
        <f t="shared" si="4"/>
        <v>183</v>
      </c>
      <c r="G21" s="13">
        <f t="shared" si="4"/>
        <v>184</v>
      </c>
      <c r="H21" s="13">
        <f t="shared" si="4"/>
        <v>196</v>
      </c>
      <c r="I21" s="13">
        <f t="shared" si="4"/>
        <v>222</v>
      </c>
      <c r="J21" s="13">
        <f t="shared" si="4"/>
        <v>204</v>
      </c>
      <c r="K21" s="13">
        <f t="shared" si="4"/>
        <v>163</v>
      </c>
      <c r="L21" s="13">
        <f t="shared" si="4"/>
        <v>162</v>
      </c>
      <c r="M21" s="13">
        <f t="shared" si="3"/>
        <v>1532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1.0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1.0</v>
      </c>
      <c r="J25" s="74">
        <v>0.0</v>
      </c>
      <c r="K25" s="74">
        <v>0.0</v>
      </c>
      <c r="L25" s="74">
        <v>0.0</v>
      </c>
      <c r="M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0.0</v>
      </c>
      <c r="H26" s="74">
        <v>1.0</v>
      </c>
      <c r="I26" s="74">
        <v>0.0</v>
      </c>
      <c r="J26" s="74">
        <v>0.0</v>
      </c>
      <c r="K26" s="74">
        <v>0.0</v>
      </c>
      <c r="L26" s="74">
        <v>0.0</v>
      </c>
      <c r="M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100</v>
      </c>
      <c r="F28" s="13">
        <f t="shared" si="7"/>
        <v>83</v>
      </c>
      <c r="G28" s="13">
        <f t="shared" si="7"/>
        <v>101</v>
      </c>
      <c r="H28" s="13">
        <f t="shared" si="7"/>
        <v>95</v>
      </c>
      <c r="I28" s="13">
        <f t="shared" si="7"/>
        <v>109</v>
      </c>
      <c r="J28" s="13">
        <f t="shared" si="7"/>
        <v>95</v>
      </c>
      <c r="K28" s="13">
        <f t="shared" si="7"/>
        <v>78</v>
      </c>
      <c r="L28" s="13">
        <f t="shared" si="7"/>
        <v>84</v>
      </c>
      <c r="M28" s="13">
        <f t="shared" si="3"/>
        <v>745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121</v>
      </c>
      <c r="F29" s="13">
        <f t="shared" si="8"/>
        <v>100</v>
      </c>
      <c r="G29" s="13">
        <f t="shared" si="8"/>
        <v>83</v>
      </c>
      <c r="H29" s="13">
        <f t="shared" si="8"/>
        <v>102</v>
      </c>
      <c r="I29" s="13">
        <f t="shared" si="8"/>
        <v>114</v>
      </c>
      <c r="J29" s="13">
        <f t="shared" si="8"/>
        <v>109</v>
      </c>
      <c r="K29" s="13">
        <f t="shared" si="8"/>
        <v>85</v>
      </c>
      <c r="L29" s="13">
        <f t="shared" si="8"/>
        <v>78</v>
      </c>
      <c r="M29" s="13">
        <f t="shared" si="3"/>
        <v>792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221</v>
      </c>
      <c r="F30" s="13">
        <f t="shared" si="9"/>
        <v>183</v>
      </c>
      <c r="G30" s="13">
        <f t="shared" si="9"/>
        <v>184</v>
      </c>
      <c r="H30" s="13">
        <f t="shared" si="9"/>
        <v>197</v>
      </c>
      <c r="I30" s="13">
        <f t="shared" si="9"/>
        <v>223</v>
      </c>
      <c r="J30" s="13">
        <f t="shared" si="9"/>
        <v>204</v>
      </c>
      <c r="K30" s="13">
        <f t="shared" si="9"/>
        <v>163</v>
      </c>
      <c r="L30" s="13">
        <f t="shared" si="9"/>
        <v>162</v>
      </c>
      <c r="M30" s="13">
        <f t="shared" si="3"/>
        <v>1537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5"/>
    </row>
    <row r="33" ht="12.75" customHeight="1">
      <c r="A33" s="19">
        <v>1.0</v>
      </c>
      <c r="B33" s="20" t="s">
        <v>27</v>
      </c>
      <c r="C33" s="15"/>
      <c r="D33" s="16"/>
      <c r="E33" s="74">
        <v>300.0</v>
      </c>
      <c r="F33" s="74">
        <v>233.0</v>
      </c>
      <c r="G33" s="74">
        <v>233.0</v>
      </c>
      <c r="H33" s="74">
        <v>265.0</v>
      </c>
      <c r="I33" s="74">
        <v>268.0</v>
      </c>
      <c r="J33" s="74">
        <v>259.0</v>
      </c>
      <c r="K33" s="74">
        <v>230.0</v>
      </c>
      <c r="L33" s="74">
        <v>221.0</v>
      </c>
      <c r="M33" s="13">
        <f t="shared" ref="M33:M36" si="10">SUM(E33:L33)</f>
        <v>2009</v>
      </c>
    </row>
    <row r="34" ht="12.75" customHeight="1">
      <c r="A34" s="19">
        <v>2.0</v>
      </c>
      <c r="B34" s="20" t="s">
        <v>28</v>
      </c>
      <c r="C34" s="15"/>
      <c r="D34" s="16"/>
      <c r="E34" s="76">
        <v>221.0</v>
      </c>
      <c r="F34" s="76">
        <v>183.0</v>
      </c>
      <c r="G34" s="76">
        <v>184.0</v>
      </c>
      <c r="H34" s="76">
        <v>197.0</v>
      </c>
      <c r="I34" s="76">
        <v>223.0</v>
      </c>
      <c r="J34" s="76">
        <v>204.0</v>
      </c>
      <c r="K34" s="76">
        <v>163.0</v>
      </c>
      <c r="L34" s="76">
        <v>162.0</v>
      </c>
      <c r="M34" s="13">
        <f t="shared" si="10"/>
        <v>1537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1.0</v>
      </c>
      <c r="H35" s="74">
        <v>0.0</v>
      </c>
      <c r="I35" s="19"/>
      <c r="J35" s="74">
        <v>0.0</v>
      </c>
      <c r="K35" s="74">
        <v>0.0</v>
      </c>
      <c r="L35" s="74">
        <v>0.0</v>
      </c>
      <c r="M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79</v>
      </c>
      <c r="F36" s="13">
        <f t="shared" si="11"/>
        <v>50</v>
      </c>
      <c r="G36" s="13">
        <f t="shared" si="11"/>
        <v>48</v>
      </c>
      <c r="H36" s="13">
        <f t="shared" si="11"/>
        <v>68</v>
      </c>
      <c r="I36" s="13">
        <f t="shared" si="11"/>
        <v>45</v>
      </c>
      <c r="J36" s="13">
        <f t="shared" si="11"/>
        <v>55</v>
      </c>
      <c r="K36" s="13">
        <f t="shared" si="11"/>
        <v>67</v>
      </c>
      <c r="L36" s="13">
        <f t="shared" si="11"/>
        <v>59</v>
      </c>
      <c r="M36" s="13">
        <f t="shared" si="10"/>
        <v>471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1.0</v>
      </c>
      <c r="K39" s="74">
        <v>1.0</v>
      </c>
      <c r="L39" s="74">
        <v>0.0</v>
      </c>
      <c r="M39" s="13">
        <f t="shared" ref="M39:M41" si="12">SUM(E39:L39)</f>
        <v>2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1.0</v>
      </c>
      <c r="K40" s="74">
        <v>0.0</v>
      </c>
      <c r="L40" s="74">
        <v>0.0</v>
      </c>
      <c r="M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0</v>
      </c>
      <c r="M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9.0</v>
      </c>
      <c r="F45" s="74">
        <v>13.0</v>
      </c>
      <c r="G45" s="74">
        <v>10.0</v>
      </c>
      <c r="H45" s="74">
        <v>5.0</v>
      </c>
      <c r="I45" s="74">
        <v>6.0</v>
      </c>
      <c r="J45" s="74">
        <v>7.0</v>
      </c>
      <c r="K45" s="74">
        <v>10.0</v>
      </c>
      <c r="L45" s="74">
        <v>12.0</v>
      </c>
      <c r="M45" s="13">
        <f t="shared" ref="M45:M55" si="14">SUM(E45:L45)</f>
        <v>72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16.0</v>
      </c>
      <c r="F46" s="74">
        <v>28.0</v>
      </c>
      <c r="G46" s="74">
        <v>25.0</v>
      </c>
      <c r="H46" s="74">
        <v>13.0</v>
      </c>
      <c r="I46" s="74">
        <v>15.0</v>
      </c>
      <c r="J46" s="74">
        <v>8.0</v>
      </c>
      <c r="K46" s="74">
        <v>10.0</v>
      </c>
      <c r="L46" s="74">
        <v>5.0</v>
      </c>
      <c r="M46" s="13">
        <f t="shared" si="14"/>
        <v>120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1.0</v>
      </c>
      <c r="G47" s="74">
        <v>1.0</v>
      </c>
      <c r="H47" s="74">
        <v>0.0</v>
      </c>
      <c r="I47" s="74">
        <v>2.0</v>
      </c>
      <c r="J47" s="74">
        <v>1.0</v>
      </c>
      <c r="K47" s="74">
        <v>1.0</v>
      </c>
      <c r="L47" s="74">
        <v>2.0</v>
      </c>
      <c r="M47" s="13">
        <f t="shared" si="14"/>
        <v>10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1.0</v>
      </c>
      <c r="G48" s="74">
        <v>0.0</v>
      </c>
      <c r="H48" s="74">
        <v>2.0</v>
      </c>
      <c r="I48" s="74">
        <v>1.0</v>
      </c>
      <c r="J48" s="74">
        <v>1.0</v>
      </c>
      <c r="K48" s="74">
        <v>1.0</v>
      </c>
      <c r="L48" s="74">
        <v>1.0</v>
      </c>
      <c r="M48" s="13">
        <f t="shared" si="14"/>
        <v>7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1.0</v>
      </c>
      <c r="H49" s="74">
        <v>1.0</v>
      </c>
      <c r="I49" s="74">
        <v>0.0</v>
      </c>
      <c r="J49" s="74">
        <v>0.0</v>
      </c>
      <c r="K49" s="74">
        <v>2.0</v>
      </c>
      <c r="L49" s="74">
        <v>0.0</v>
      </c>
      <c r="M49" s="13">
        <f t="shared" si="14"/>
        <v>5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2.0</v>
      </c>
      <c r="G50" s="74">
        <v>0.0</v>
      </c>
      <c r="H50" s="74">
        <v>1.0</v>
      </c>
      <c r="I50" s="74">
        <v>1.0</v>
      </c>
      <c r="J50" s="74">
        <v>1.0</v>
      </c>
      <c r="K50" s="74">
        <v>0.0</v>
      </c>
      <c r="L50" s="74">
        <v>0.0</v>
      </c>
      <c r="M50" s="13">
        <f t="shared" si="14"/>
        <v>6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1.0</v>
      </c>
      <c r="M51" s="13">
        <f t="shared" si="14"/>
        <v>2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0.0</v>
      </c>
      <c r="H52" s="74">
        <v>0.0</v>
      </c>
      <c r="I52" s="74">
        <v>1.0</v>
      </c>
      <c r="J52" s="74">
        <v>0.0</v>
      </c>
      <c r="K52" s="74">
        <v>1.0</v>
      </c>
      <c r="L52" s="74">
        <v>0.0</v>
      </c>
      <c r="M52" s="13">
        <f t="shared" si="14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13">
        <f t="shared" si="14"/>
        <v>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L55" si="15">SUM(E45:E52)</f>
        <v>30</v>
      </c>
      <c r="F55" s="13">
        <f t="shared" si="15"/>
        <v>46</v>
      </c>
      <c r="G55" s="13">
        <f t="shared" si="15"/>
        <v>37</v>
      </c>
      <c r="H55" s="13">
        <f t="shared" si="15"/>
        <v>22</v>
      </c>
      <c r="I55" s="13">
        <f t="shared" si="15"/>
        <v>26</v>
      </c>
      <c r="J55" s="13">
        <f t="shared" si="15"/>
        <v>18</v>
      </c>
      <c r="K55" s="13">
        <f t="shared" si="15"/>
        <v>25</v>
      </c>
      <c r="L55" s="13">
        <f t="shared" si="15"/>
        <v>21</v>
      </c>
      <c r="M55" s="13">
        <f t="shared" si="14"/>
        <v>225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22.0</v>
      </c>
      <c r="F57" s="74">
        <v>12.0</v>
      </c>
      <c r="G57" s="74">
        <v>6.0</v>
      </c>
      <c r="H57" s="74">
        <v>20.0</v>
      </c>
      <c r="I57" s="74">
        <v>20.0</v>
      </c>
      <c r="J57" s="74">
        <v>28.0</v>
      </c>
      <c r="K57" s="74">
        <v>26.0</v>
      </c>
      <c r="L57" s="74">
        <v>23.0</v>
      </c>
      <c r="M57" s="13">
        <f t="shared" ref="M57:M67" si="16">SUM(E57:L57)</f>
        <v>157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16.0</v>
      </c>
      <c r="F58" s="74">
        <v>8.0</v>
      </c>
      <c r="G58" s="74">
        <v>3.0</v>
      </c>
      <c r="H58" s="74">
        <v>6.0</v>
      </c>
      <c r="I58" s="74">
        <v>8.0</v>
      </c>
      <c r="J58" s="74">
        <v>4.0</v>
      </c>
      <c r="K58" s="74">
        <v>14.0</v>
      </c>
      <c r="L58" s="74">
        <v>8.0</v>
      </c>
      <c r="M58" s="13">
        <f t="shared" si="16"/>
        <v>67</v>
      </c>
    </row>
    <row r="59" ht="12.75" customHeight="1">
      <c r="A59" s="18"/>
      <c r="B59" s="55"/>
      <c r="C59" s="50" t="s">
        <v>52</v>
      </c>
      <c r="D59" s="56"/>
      <c r="E59" s="74">
        <v>18.0</v>
      </c>
      <c r="F59" s="74">
        <v>11.0</v>
      </c>
      <c r="G59" s="74">
        <v>7.0</v>
      </c>
      <c r="H59" s="74">
        <v>2.0</v>
      </c>
      <c r="I59" s="74">
        <v>10.0</v>
      </c>
      <c r="J59" s="74">
        <v>7.0</v>
      </c>
      <c r="K59" s="74">
        <v>6.0</v>
      </c>
      <c r="L59" s="74">
        <v>3.0</v>
      </c>
      <c r="M59" s="13">
        <f t="shared" si="16"/>
        <v>64</v>
      </c>
    </row>
    <row r="60" ht="12.75" customHeight="1">
      <c r="A60" s="18"/>
      <c r="B60" s="55"/>
      <c r="C60" s="50" t="s">
        <v>53</v>
      </c>
      <c r="D60" s="56"/>
      <c r="E60" s="74">
        <v>4.0</v>
      </c>
      <c r="F60" s="74">
        <v>2.0</v>
      </c>
      <c r="G60" s="74">
        <v>1.0</v>
      </c>
      <c r="H60" s="74">
        <v>0.0</v>
      </c>
      <c r="I60" s="74">
        <v>1.0</v>
      </c>
      <c r="J60" s="74">
        <v>0.0</v>
      </c>
      <c r="K60" s="74">
        <v>2.0</v>
      </c>
      <c r="L60" s="74">
        <v>1.0</v>
      </c>
      <c r="M60" s="13">
        <f t="shared" si="16"/>
        <v>11</v>
      </c>
    </row>
    <row r="61" ht="12.75" customHeight="1">
      <c r="A61" s="18"/>
      <c r="B61" s="55"/>
      <c r="C61" s="50" t="s">
        <v>54</v>
      </c>
      <c r="D61" s="56"/>
      <c r="E61" s="74">
        <v>4.0</v>
      </c>
      <c r="F61" s="74">
        <v>2.0</v>
      </c>
      <c r="G61" s="74">
        <v>12.0</v>
      </c>
      <c r="H61" s="74">
        <v>14.0</v>
      </c>
      <c r="I61" s="74">
        <v>7.0</v>
      </c>
      <c r="J61" s="74">
        <v>2.0</v>
      </c>
      <c r="K61" s="74">
        <v>3.0</v>
      </c>
      <c r="L61" s="74">
        <v>3.0</v>
      </c>
      <c r="M61" s="13">
        <f t="shared" si="16"/>
        <v>47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2.0</v>
      </c>
      <c r="G62" s="74">
        <v>0.0</v>
      </c>
      <c r="H62" s="74">
        <v>0.0</v>
      </c>
      <c r="I62" s="74">
        <v>1.0</v>
      </c>
      <c r="J62" s="74">
        <v>0.0</v>
      </c>
      <c r="K62" s="74">
        <v>1.0</v>
      </c>
      <c r="L62" s="74">
        <v>0.0</v>
      </c>
      <c r="M62" s="13">
        <f t="shared" si="16"/>
        <v>6</v>
      </c>
    </row>
    <row r="63" ht="12.75" customHeight="1">
      <c r="A63" s="18"/>
      <c r="B63" s="55"/>
      <c r="C63" s="50" t="s">
        <v>56</v>
      </c>
      <c r="D63" s="57"/>
      <c r="E63" s="74">
        <v>2.0</v>
      </c>
      <c r="F63" s="74">
        <v>2.0</v>
      </c>
      <c r="G63" s="74">
        <v>0.0</v>
      </c>
      <c r="H63" s="74">
        <v>1.0</v>
      </c>
      <c r="I63" s="74">
        <v>1.0</v>
      </c>
      <c r="J63" s="74">
        <v>0.0</v>
      </c>
      <c r="K63" s="74">
        <v>0.0</v>
      </c>
      <c r="L63" s="74">
        <v>0.0</v>
      </c>
      <c r="M63" s="13">
        <f t="shared" si="16"/>
        <v>6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1.0</v>
      </c>
      <c r="H64" s="74">
        <v>0.0</v>
      </c>
      <c r="I64" s="74">
        <v>0.0</v>
      </c>
      <c r="J64" s="74">
        <v>0.0</v>
      </c>
      <c r="K64" s="74">
        <v>0.0</v>
      </c>
      <c r="L64" s="74">
        <v>1.0</v>
      </c>
      <c r="M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13">
        <f t="shared" si="16"/>
        <v>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3.0</v>
      </c>
      <c r="G66" s="74">
        <v>1.0</v>
      </c>
      <c r="H66" s="74">
        <v>0.0</v>
      </c>
      <c r="I66" s="74">
        <v>0.0</v>
      </c>
      <c r="J66" s="74">
        <v>0.0</v>
      </c>
      <c r="K66" s="74">
        <v>0.0</v>
      </c>
      <c r="L66" s="74">
        <v>1.0</v>
      </c>
      <c r="M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L67" si="17">SUM(E57:E66)</f>
        <v>68</v>
      </c>
      <c r="F67" s="13">
        <f t="shared" si="17"/>
        <v>43</v>
      </c>
      <c r="G67" s="13">
        <f t="shared" si="17"/>
        <v>31</v>
      </c>
      <c r="H67" s="13">
        <f t="shared" si="17"/>
        <v>43</v>
      </c>
      <c r="I67" s="13">
        <f t="shared" si="17"/>
        <v>48</v>
      </c>
      <c r="J67" s="13">
        <f t="shared" si="17"/>
        <v>41</v>
      </c>
      <c r="K67" s="13">
        <f t="shared" si="17"/>
        <v>52</v>
      </c>
      <c r="L67" s="13">
        <f t="shared" si="17"/>
        <v>40</v>
      </c>
      <c r="M67" s="13">
        <f t="shared" si="16"/>
        <v>366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11.0</v>
      </c>
      <c r="F69" s="74">
        <v>5.0</v>
      </c>
      <c r="G69" s="74">
        <v>10.0</v>
      </c>
      <c r="H69" s="74">
        <v>7.0</v>
      </c>
      <c r="I69" s="74">
        <v>13.0</v>
      </c>
      <c r="J69" s="74">
        <v>16.0</v>
      </c>
      <c r="K69" s="74">
        <v>10.0</v>
      </c>
      <c r="L69" s="74">
        <v>12.0</v>
      </c>
      <c r="M69" s="13">
        <f t="shared" ref="M69:M79" si="18">SUM(E69:L69)</f>
        <v>84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3.0</v>
      </c>
      <c r="F70" s="74">
        <v>2.0</v>
      </c>
      <c r="G70" s="74">
        <v>2.0</v>
      </c>
      <c r="H70" s="74">
        <v>2.0</v>
      </c>
      <c r="I70" s="74">
        <v>5.0</v>
      </c>
      <c r="J70" s="74">
        <v>3.0</v>
      </c>
      <c r="K70" s="74">
        <v>3.0</v>
      </c>
      <c r="L70" s="74">
        <v>0.0</v>
      </c>
      <c r="M70" s="13">
        <f t="shared" si="18"/>
        <v>20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9.0</v>
      </c>
      <c r="G71" s="74">
        <v>4.0</v>
      </c>
      <c r="H71" s="74">
        <v>3.0</v>
      </c>
      <c r="I71" s="74">
        <v>2.0</v>
      </c>
      <c r="J71" s="74">
        <v>5.0</v>
      </c>
      <c r="K71" s="74">
        <v>5.0</v>
      </c>
      <c r="L71" s="74">
        <v>7.0</v>
      </c>
      <c r="M71" s="13">
        <f t="shared" si="18"/>
        <v>39</v>
      </c>
    </row>
    <row r="72" ht="12.75" customHeight="1">
      <c r="A72" s="18"/>
      <c r="B72" s="55"/>
      <c r="C72" s="50" t="s">
        <v>63</v>
      </c>
      <c r="D72" s="57"/>
      <c r="E72" s="74">
        <v>2.0</v>
      </c>
      <c r="F72" s="74">
        <v>0.0</v>
      </c>
      <c r="G72" s="74">
        <v>2.0</v>
      </c>
      <c r="H72" s="74">
        <v>4.0</v>
      </c>
      <c r="I72" s="74">
        <v>4.0</v>
      </c>
      <c r="J72" s="74">
        <v>1.0</v>
      </c>
      <c r="K72" s="74">
        <v>1.0</v>
      </c>
      <c r="L72" s="74">
        <v>3.0</v>
      </c>
      <c r="M72" s="13">
        <f t="shared" si="18"/>
        <v>17</v>
      </c>
    </row>
    <row r="73" ht="12.75" customHeight="1">
      <c r="A73" s="18"/>
      <c r="B73" s="55"/>
      <c r="C73" s="50" t="s">
        <v>64</v>
      </c>
      <c r="D73" s="57"/>
      <c r="E73" s="74">
        <v>2.0</v>
      </c>
      <c r="F73" s="74">
        <v>1.0</v>
      </c>
      <c r="G73" s="74">
        <v>3.0</v>
      </c>
      <c r="H73" s="74">
        <v>3.0</v>
      </c>
      <c r="I73" s="74">
        <v>18.0</v>
      </c>
      <c r="J73" s="74">
        <v>6.0</v>
      </c>
      <c r="K73" s="74">
        <v>4.0</v>
      </c>
      <c r="L73" s="74">
        <v>4.0</v>
      </c>
      <c r="M73" s="13">
        <f t="shared" si="18"/>
        <v>41</v>
      </c>
    </row>
    <row r="74" ht="12.75" customHeight="1">
      <c r="A74" s="18"/>
      <c r="B74" s="55"/>
      <c r="C74" s="50" t="s">
        <v>65</v>
      </c>
      <c r="D74" s="57"/>
      <c r="E74" s="74">
        <v>2.0</v>
      </c>
      <c r="F74" s="74">
        <v>2.0</v>
      </c>
      <c r="G74" s="74">
        <v>2.0</v>
      </c>
      <c r="H74" s="74">
        <v>0.0</v>
      </c>
      <c r="I74" s="74">
        <v>3.0</v>
      </c>
      <c r="J74" s="74">
        <v>1.0</v>
      </c>
      <c r="K74" s="74">
        <v>1.0</v>
      </c>
      <c r="L74" s="74">
        <v>10.0</v>
      </c>
      <c r="M74" s="13">
        <f t="shared" si="18"/>
        <v>21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2.0</v>
      </c>
      <c r="H75" s="74">
        <v>0.0</v>
      </c>
      <c r="I75" s="74">
        <v>1.0</v>
      </c>
      <c r="J75" s="74">
        <v>1.0</v>
      </c>
      <c r="K75" s="74">
        <v>3.0</v>
      </c>
      <c r="L75" s="74">
        <v>0.0</v>
      </c>
      <c r="M75" s="13">
        <f t="shared" si="18"/>
        <v>8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13">
        <f t="shared" si="18"/>
        <v>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1.0</v>
      </c>
      <c r="L77" s="74">
        <v>0.0</v>
      </c>
      <c r="M77" s="13">
        <f t="shared" si="18"/>
        <v>1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2.0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13">
        <f t="shared" si="18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L79" si="19">SUM(E69:E78)</f>
        <v>25</v>
      </c>
      <c r="F79" s="13">
        <f t="shared" si="19"/>
        <v>20</v>
      </c>
      <c r="G79" s="13">
        <f t="shared" si="19"/>
        <v>27</v>
      </c>
      <c r="H79" s="13">
        <f t="shared" si="19"/>
        <v>19</v>
      </c>
      <c r="I79" s="13">
        <f t="shared" si="19"/>
        <v>46</v>
      </c>
      <c r="J79" s="13">
        <f t="shared" si="19"/>
        <v>33</v>
      </c>
      <c r="K79" s="13">
        <f t="shared" si="19"/>
        <v>28</v>
      </c>
      <c r="L79" s="13">
        <f t="shared" si="19"/>
        <v>36</v>
      </c>
      <c r="M79" s="13">
        <f t="shared" si="18"/>
        <v>234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9.0</v>
      </c>
      <c r="F81" s="74">
        <v>4.0</v>
      </c>
      <c r="G81" s="74">
        <v>11.0</v>
      </c>
      <c r="H81" s="74">
        <v>0.0</v>
      </c>
      <c r="I81" s="74">
        <v>7.0</v>
      </c>
      <c r="J81" s="74">
        <v>16.0</v>
      </c>
      <c r="K81" s="74">
        <v>12.0</v>
      </c>
      <c r="L81" s="74">
        <v>9.0</v>
      </c>
      <c r="M81" s="13">
        <f t="shared" ref="M81:M91" si="20">SUM(E81:L81)</f>
        <v>68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11.0</v>
      </c>
      <c r="F82" s="74">
        <v>3.0</v>
      </c>
      <c r="G82" s="74">
        <v>12.0</v>
      </c>
      <c r="H82" s="74">
        <v>4.0</v>
      </c>
      <c r="I82" s="74">
        <v>3.0</v>
      </c>
      <c r="J82" s="74">
        <v>2.0</v>
      </c>
      <c r="K82" s="74">
        <v>5.0</v>
      </c>
      <c r="L82" s="74">
        <v>8.0</v>
      </c>
      <c r="M82" s="13">
        <f t="shared" si="20"/>
        <v>48</v>
      </c>
    </row>
    <row r="83" ht="12.75" customHeight="1">
      <c r="A83" s="18"/>
      <c r="B83" s="55"/>
      <c r="C83" s="50" t="s">
        <v>72</v>
      </c>
      <c r="D83" s="57"/>
      <c r="E83" s="74">
        <v>3.0</v>
      </c>
      <c r="F83" s="74">
        <v>5.0</v>
      </c>
      <c r="G83" s="74">
        <v>3.0</v>
      </c>
      <c r="H83" s="74">
        <v>5.0</v>
      </c>
      <c r="I83" s="74">
        <v>3.0</v>
      </c>
      <c r="J83" s="74">
        <v>8.0</v>
      </c>
      <c r="K83" s="74">
        <v>2.0</v>
      </c>
      <c r="L83" s="74">
        <v>2.0</v>
      </c>
      <c r="M83" s="13">
        <f t="shared" si="20"/>
        <v>31</v>
      </c>
    </row>
    <row r="84" ht="12.75" customHeight="1">
      <c r="A84" s="18"/>
      <c r="B84" s="55"/>
      <c r="C84" s="50" t="s">
        <v>73</v>
      </c>
      <c r="D84" s="57"/>
      <c r="E84" s="74">
        <v>3.0</v>
      </c>
      <c r="F84" s="74">
        <v>0.0</v>
      </c>
      <c r="G84" s="74">
        <v>0.0</v>
      </c>
      <c r="H84" s="74">
        <v>1.0</v>
      </c>
      <c r="I84" s="74">
        <v>1.0</v>
      </c>
      <c r="J84" s="74">
        <v>0.0</v>
      </c>
      <c r="K84" s="74">
        <v>2.0</v>
      </c>
      <c r="L84" s="74">
        <v>2.0</v>
      </c>
      <c r="M84" s="13">
        <f t="shared" si="20"/>
        <v>9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2.0</v>
      </c>
      <c r="G85" s="74">
        <v>0.0</v>
      </c>
      <c r="H85" s="74">
        <v>0.0</v>
      </c>
      <c r="I85" s="74">
        <v>2.0</v>
      </c>
      <c r="J85" s="74">
        <v>1.0</v>
      </c>
      <c r="K85" s="74">
        <v>0.0</v>
      </c>
      <c r="L85" s="74">
        <v>1.0</v>
      </c>
      <c r="M85" s="13">
        <f t="shared" si="20"/>
        <v>7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13">
        <f t="shared" si="20"/>
        <v>0</v>
      </c>
    </row>
    <row r="87" ht="12.75" customHeight="1">
      <c r="A87" s="18"/>
      <c r="B87" s="55"/>
      <c r="C87" s="50" t="s">
        <v>76</v>
      </c>
      <c r="D87" s="57"/>
      <c r="E87" s="74">
        <v>1.0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13">
        <f t="shared" si="20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2.0</v>
      </c>
      <c r="J88" s="74">
        <v>0.0</v>
      </c>
      <c r="K88" s="74">
        <v>0.0</v>
      </c>
      <c r="L88" s="74">
        <v>0.0</v>
      </c>
      <c r="M88" s="13">
        <f t="shared" si="20"/>
        <v>2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1.0</v>
      </c>
      <c r="I89" s="74">
        <v>0.0</v>
      </c>
      <c r="J89" s="74">
        <v>0.0</v>
      </c>
      <c r="K89" s="74">
        <v>0.0</v>
      </c>
      <c r="L89" s="74">
        <v>0.0</v>
      </c>
      <c r="M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1.0</v>
      </c>
      <c r="H90" s="74">
        <v>1.0</v>
      </c>
      <c r="I90" s="74">
        <v>0.0</v>
      </c>
      <c r="J90" s="74">
        <v>0.0</v>
      </c>
      <c r="K90" s="74">
        <v>0.0</v>
      </c>
      <c r="L90" s="74">
        <v>0.0</v>
      </c>
      <c r="M90" s="13">
        <f t="shared" si="20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L91" si="21">SUM(E81:E90)</f>
        <v>28</v>
      </c>
      <c r="F91" s="13">
        <f t="shared" si="21"/>
        <v>15</v>
      </c>
      <c r="G91" s="13">
        <f t="shared" si="21"/>
        <v>27</v>
      </c>
      <c r="H91" s="13">
        <f t="shared" si="21"/>
        <v>12</v>
      </c>
      <c r="I91" s="13">
        <f t="shared" si="21"/>
        <v>18</v>
      </c>
      <c r="J91" s="13">
        <f t="shared" si="21"/>
        <v>27</v>
      </c>
      <c r="K91" s="13">
        <f t="shared" si="21"/>
        <v>21</v>
      </c>
      <c r="L91" s="13">
        <f t="shared" si="21"/>
        <v>22</v>
      </c>
      <c r="M91" s="13">
        <f t="shared" si="20"/>
        <v>170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6.0</v>
      </c>
      <c r="F93" s="74">
        <v>6.0</v>
      </c>
      <c r="G93" s="74">
        <v>0.0</v>
      </c>
      <c r="H93" s="74">
        <v>2.0</v>
      </c>
      <c r="I93" s="74">
        <v>4.0</v>
      </c>
      <c r="J93" s="74">
        <v>1.0</v>
      </c>
      <c r="K93" s="74">
        <v>1.0</v>
      </c>
      <c r="L93" s="74">
        <v>0.0</v>
      </c>
      <c r="M93" s="13">
        <f t="shared" ref="M93:M103" si="22">SUM(E93:L93)</f>
        <v>20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5.0</v>
      </c>
      <c r="F94" s="74">
        <v>9.0</v>
      </c>
      <c r="G94" s="74">
        <v>1.0</v>
      </c>
      <c r="H94" s="74">
        <v>2.0</v>
      </c>
      <c r="I94" s="74">
        <v>1.0</v>
      </c>
      <c r="J94" s="74">
        <v>1.0</v>
      </c>
      <c r="K94" s="74">
        <v>3.0</v>
      </c>
      <c r="L94" s="74">
        <v>0.0</v>
      </c>
      <c r="M94" s="13">
        <f t="shared" si="22"/>
        <v>22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2.0</v>
      </c>
      <c r="H95" s="74">
        <v>0.0</v>
      </c>
      <c r="I95" s="74">
        <v>2.0</v>
      </c>
      <c r="J95" s="74">
        <v>0.0</v>
      </c>
      <c r="K95" s="74">
        <v>0.0</v>
      </c>
      <c r="L95" s="74">
        <v>0.0</v>
      </c>
      <c r="M95" s="13">
        <f t="shared" si="22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13">
        <f t="shared" si="22"/>
        <v>0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13">
        <f t="shared" si="22"/>
        <v>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1.0</v>
      </c>
      <c r="J101" s="74">
        <v>0.0</v>
      </c>
      <c r="K101" s="74">
        <v>0.0</v>
      </c>
      <c r="L101" s="74">
        <v>0.0</v>
      </c>
      <c r="M101" s="13">
        <f t="shared" si="22"/>
        <v>1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L103" si="23">SUM(E93:E102)</f>
        <v>11</v>
      </c>
      <c r="F103" s="13">
        <f t="shared" si="23"/>
        <v>15</v>
      </c>
      <c r="G103" s="13">
        <f t="shared" si="23"/>
        <v>5</v>
      </c>
      <c r="H103" s="13">
        <f t="shared" si="23"/>
        <v>5</v>
      </c>
      <c r="I103" s="13">
        <f t="shared" si="23"/>
        <v>8</v>
      </c>
      <c r="J103" s="13">
        <f t="shared" si="23"/>
        <v>2</v>
      </c>
      <c r="K103" s="13">
        <f t="shared" si="23"/>
        <v>4</v>
      </c>
      <c r="L103" s="13">
        <f t="shared" si="23"/>
        <v>0</v>
      </c>
      <c r="M103" s="13">
        <f t="shared" si="22"/>
        <v>50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1.0</v>
      </c>
      <c r="H105" s="74">
        <v>0.0</v>
      </c>
      <c r="I105" s="74">
        <v>1.0</v>
      </c>
      <c r="J105" s="74">
        <v>0.0</v>
      </c>
      <c r="K105" s="74">
        <v>4.0</v>
      </c>
      <c r="L105" s="74">
        <v>0.0</v>
      </c>
      <c r="M105" s="13">
        <f t="shared" ref="M105:M107" si="24">SUM(E105:L105)</f>
        <v>6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0.0</v>
      </c>
      <c r="L106" s="74">
        <v>0.0</v>
      </c>
      <c r="M106" s="13">
        <f t="shared" si="24"/>
        <v>2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13">
        <f t="shared" si="24"/>
        <v>1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L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4</v>
      </c>
      <c r="L115" s="13">
        <f t="shared" si="25"/>
        <v>0</v>
      </c>
      <c r="M115" s="13">
        <f>SUM(E115:L115)</f>
        <v>9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1.0</v>
      </c>
      <c r="H117" s="74">
        <v>5.0</v>
      </c>
      <c r="I117" s="74">
        <v>2.0</v>
      </c>
      <c r="J117" s="74">
        <v>0.0</v>
      </c>
      <c r="K117" s="74">
        <v>0.0</v>
      </c>
      <c r="L117" s="74">
        <v>1.0</v>
      </c>
      <c r="M117" s="13">
        <f t="shared" ref="M117:M122" si="26">SUM(E117:L117)</f>
        <v>9</v>
      </c>
      <c r="N117" s="5"/>
      <c r="O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13">
        <f t="shared" si="26"/>
        <v>1</v>
      </c>
      <c r="N118" s="5"/>
      <c r="O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1.0</v>
      </c>
      <c r="K119" s="74">
        <v>0.0</v>
      </c>
      <c r="L119" s="74">
        <v>0.0</v>
      </c>
      <c r="M119" s="13">
        <f t="shared" si="26"/>
        <v>1</v>
      </c>
      <c r="N119" s="5"/>
      <c r="O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1.0</v>
      </c>
      <c r="K120" s="74">
        <v>1.0</v>
      </c>
      <c r="L120" s="74">
        <v>0.0</v>
      </c>
      <c r="M120" s="13">
        <f t="shared" si="26"/>
        <v>2</v>
      </c>
      <c r="N120" s="5"/>
      <c r="O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1.0</v>
      </c>
      <c r="M121" s="13">
        <f t="shared" si="26"/>
        <v>1</v>
      </c>
      <c r="N121" s="5"/>
      <c r="O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1.0</v>
      </c>
      <c r="I122" s="74">
        <v>0.0</v>
      </c>
      <c r="J122" s="74">
        <v>0.0</v>
      </c>
      <c r="K122" s="74">
        <v>0.0</v>
      </c>
      <c r="L122" s="74">
        <v>0.0</v>
      </c>
      <c r="M122" s="13">
        <f t="shared" si="26"/>
        <v>1</v>
      </c>
      <c r="N122" s="5"/>
      <c r="O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79"/>
      <c r="N123" s="5"/>
      <c r="O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79"/>
      <c r="N124" s="5"/>
      <c r="O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79"/>
      <c r="N125" s="5"/>
      <c r="O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79"/>
      <c r="N126" s="5"/>
      <c r="O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L127" si="27">SUM(E117:E122)</f>
        <v>0</v>
      </c>
      <c r="F127" s="63">
        <f t="shared" si="27"/>
        <v>1</v>
      </c>
      <c r="G127" s="63">
        <f t="shared" si="27"/>
        <v>1</v>
      </c>
      <c r="H127" s="63">
        <f t="shared" si="27"/>
        <v>6</v>
      </c>
      <c r="I127" s="63">
        <f t="shared" si="27"/>
        <v>2</v>
      </c>
      <c r="J127" s="63">
        <f t="shared" si="27"/>
        <v>2</v>
      </c>
      <c r="K127" s="63">
        <f t="shared" si="27"/>
        <v>1</v>
      </c>
      <c r="L127" s="63">
        <f t="shared" si="27"/>
        <v>2</v>
      </c>
      <c r="M127" s="13">
        <f>SUM(E127:L127)</f>
        <v>15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5"/>
      <c r="O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2.0</v>
      </c>
      <c r="I129" s="74">
        <v>0.0</v>
      </c>
      <c r="J129" s="74">
        <v>0.0</v>
      </c>
      <c r="K129" s="74">
        <v>0.0</v>
      </c>
      <c r="L129" s="74">
        <v>0.0</v>
      </c>
      <c r="M129" s="13">
        <f t="shared" ref="M129:M139" si="28">SUM(E129:L129)</f>
        <v>2</v>
      </c>
      <c r="N129" s="5"/>
      <c r="O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1.0</v>
      </c>
      <c r="G130" s="74">
        <v>0.0</v>
      </c>
      <c r="H130" s="74">
        <v>0.0</v>
      </c>
      <c r="I130" s="74">
        <v>0.0</v>
      </c>
      <c r="J130" s="74">
        <v>0.0</v>
      </c>
      <c r="K130" s="74">
        <v>2.0</v>
      </c>
      <c r="L130" s="74">
        <v>1.0</v>
      </c>
      <c r="M130" s="13">
        <f t="shared" si="28"/>
        <v>5</v>
      </c>
      <c r="N130" s="1"/>
      <c r="O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13">
        <f t="shared" si="28"/>
        <v>0</v>
      </c>
      <c r="N131" s="52"/>
      <c r="O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13">
        <f t="shared" si="28"/>
        <v>0</v>
      </c>
      <c r="N132" s="5"/>
      <c r="O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13">
        <f t="shared" si="28"/>
        <v>0</v>
      </c>
      <c r="N133" s="5"/>
      <c r="O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1.0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13">
        <f t="shared" si="28"/>
        <v>1</v>
      </c>
      <c r="N134" s="5"/>
      <c r="O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13">
        <f t="shared" si="28"/>
        <v>0</v>
      </c>
      <c r="N135" s="5"/>
      <c r="O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1.0</v>
      </c>
      <c r="K136" s="74">
        <v>0.0</v>
      </c>
      <c r="L136" s="74">
        <v>0.0</v>
      </c>
      <c r="M136" s="13">
        <f t="shared" si="28"/>
        <v>1</v>
      </c>
      <c r="N136" s="5"/>
      <c r="O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13">
        <f t="shared" si="28"/>
        <v>0</v>
      </c>
      <c r="N137" s="5"/>
      <c r="O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13">
        <f t="shared" si="28"/>
        <v>0</v>
      </c>
      <c r="N138" s="5"/>
      <c r="O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L139" si="29">SUM(E129:E138)</f>
        <v>1</v>
      </c>
      <c r="F139" s="13">
        <f t="shared" si="29"/>
        <v>2</v>
      </c>
      <c r="G139" s="13">
        <f t="shared" si="29"/>
        <v>0</v>
      </c>
      <c r="H139" s="13">
        <f t="shared" si="29"/>
        <v>2</v>
      </c>
      <c r="I139" s="13">
        <f t="shared" si="29"/>
        <v>0</v>
      </c>
      <c r="J139" s="13">
        <f t="shared" si="29"/>
        <v>1</v>
      </c>
      <c r="K139" s="13">
        <f t="shared" si="29"/>
        <v>2</v>
      </c>
      <c r="L139" s="13">
        <f t="shared" si="29"/>
        <v>1</v>
      </c>
      <c r="M139" s="13">
        <f t="shared" si="28"/>
        <v>9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5"/>
      <c r="O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13">
        <f t="shared" ref="M141:M144" si="30">SUM(E141:L141)</f>
        <v>0</v>
      </c>
      <c r="N141" s="1"/>
      <c r="O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13">
        <f t="shared" si="30"/>
        <v>0</v>
      </c>
      <c r="N142" s="52"/>
      <c r="O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13">
        <f t="shared" si="30"/>
        <v>0</v>
      </c>
      <c r="N143" s="5"/>
      <c r="O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13">
        <f t="shared" si="30"/>
        <v>0</v>
      </c>
      <c r="N144" s="5"/>
      <c r="O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79"/>
      <c r="N145" s="5"/>
      <c r="O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79"/>
      <c r="N146" s="5"/>
      <c r="O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79"/>
      <c r="N147" s="5"/>
      <c r="O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79"/>
      <c r="N148" s="5"/>
      <c r="O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79"/>
      <c r="N149" s="5"/>
      <c r="O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79"/>
      <c r="N150" s="5"/>
      <c r="O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L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13"/>
      <c r="N152" s="52"/>
      <c r="O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0.0</v>
      </c>
      <c r="L153" s="74">
        <v>0.0</v>
      </c>
      <c r="M153" s="13">
        <f t="shared" ref="M153:M160" si="32">SUM(E153:L153)</f>
        <v>1</v>
      </c>
      <c r="N153" s="5"/>
      <c r="O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13">
        <f t="shared" si="32"/>
        <v>0</v>
      </c>
      <c r="N154" s="5"/>
      <c r="O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13">
        <f t="shared" si="32"/>
        <v>0</v>
      </c>
      <c r="N155" s="5"/>
      <c r="O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13">
        <f t="shared" si="32"/>
        <v>0</v>
      </c>
      <c r="N156" s="5"/>
      <c r="O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1.0</v>
      </c>
      <c r="K157" s="74">
        <v>0.0</v>
      </c>
      <c r="L157" s="74">
        <v>0.0</v>
      </c>
      <c r="M157" s="13">
        <f t="shared" si="32"/>
        <v>1</v>
      </c>
      <c r="N157" s="5"/>
      <c r="O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13">
        <f t="shared" si="32"/>
        <v>0</v>
      </c>
      <c r="N158" s="5"/>
      <c r="O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13">
        <f t="shared" si="32"/>
        <v>0</v>
      </c>
      <c r="N159" s="5"/>
      <c r="O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1.0</v>
      </c>
      <c r="M160" s="13">
        <f t="shared" si="32"/>
        <v>1</v>
      </c>
      <c r="N160" s="5"/>
      <c r="O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79"/>
      <c r="N161" s="5"/>
      <c r="O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79"/>
      <c r="N162" s="5"/>
      <c r="O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M163" si="33">SUM(E153:E160)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1</v>
      </c>
      <c r="M163" s="13">
        <f t="shared" si="33"/>
        <v>3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5"/>
      <c r="O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3.0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13">
        <f t="shared" ref="M165:M166" si="34">SUM(E165:L165)</f>
        <v>4</v>
      </c>
      <c r="N165" s="1"/>
      <c r="O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13">
        <f t="shared" si="34"/>
        <v>0</v>
      </c>
      <c r="N166" s="52"/>
      <c r="O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79"/>
      <c r="N167" s="5"/>
      <c r="O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79"/>
      <c r="N168" s="5"/>
      <c r="O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79"/>
      <c r="N169" s="5"/>
      <c r="O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79"/>
      <c r="N170" s="5"/>
      <c r="O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79"/>
      <c r="N171" s="5"/>
      <c r="O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79"/>
      <c r="N172" s="5"/>
      <c r="O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79"/>
      <c r="N173" s="5"/>
      <c r="O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79"/>
      <c r="N174" s="5"/>
      <c r="O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L175" si="35">SUM(E165:E172)</f>
        <v>3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>SUM(E175:L175)</f>
        <v>4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1"/>
      <c r="O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1.0</v>
      </c>
      <c r="H177" s="74">
        <v>1.0</v>
      </c>
      <c r="I177" s="74">
        <v>1.0</v>
      </c>
      <c r="J177" s="74">
        <v>0.0</v>
      </c>
      <c r="K177" s="74">
        <v>4.0</v>
      </c>
      <c r="L177" s="74">
        <v>0.0</v>
      </c>
      <c r="M177" s="13">
        <f t="shared" ref="M177:M187" si="36">SUM(E177:L177)</f>
        <v>8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0.0</v>
      </c>
      <c r="G178" s="74">
        <v>1.0</v>
      </c>
      <c r="H178" s="74">
        <v>0.0</v>
      </c>
      <c r="I178" s="74">
        <v>3.0</v>
      </c>
      <c r="J178" s="74">
        <v>2.0</v>
      </c>
      <c r="K178" s="74">
        <v>0.0</v>
      </c>
      <c r="L178" s="74">
        <v>0.0</v>
      </c>
      <c r="M178" s="13">
        <f t="shared" si="36"/>
        <v>7</v>
      </c>
      <c r="N178" s="5"/>
      <c r="O178" s="5"/>
    </row>
    <row r="179" ht="12.75" customHeight="1">
      <c r="A179" s="18"/>
      <c r="B179" s="55"/>
      <c r="C179" s="50" t="s">
        <v>133</v>
      </c>
      <c r="D179" s="57"/>
      <c r="E179" s="74">
        <v>1.0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13">
        <f t="shared" si="36"/>
        <v>1</v>
      </c>
      <c r="N179" s="5"/>
      <c r="O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13">
        <f t="shared" si="36"/>
        <v>0</v>
      </c>
      <c r="N180" s="5"/>
      <c r="O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13">
        <f t="shared" si="36"/>
        <v>1</v>
      </c>
      <c r="N181" s="5"/>
      <c r="O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13">
        <f t="shared" si="36"/>
        <v>0</v>
      </c>
      <c r="N182" s="5"/>
      <c r="O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1.0</v>
      </c>
      <c r="M183" s="13">
        <f t="shared" si="36"/>
        <v>1</v>
      </c>
      <c r="N183" s="5"/>
      <c r="O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13">
        <f t="shared" si="36"/>
        <v>0</v>
      </c>
      <c r="N184" s="5"/>
      <c r="O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1.0</v>
      </c>
      <c r="I185" s="74">
        <v>0.0</v>
      </c>
      <c r="J185" s="74">
        <v>0.0</v>
      </c>
      <c r="K185" s="74">
        <v>0.0</v>
      </c>
      <c r="L185" s="74">
        <v>0.0</v>
      </c>
      <c r="M185" s="13">
        <f t="shared" si="36"/>
        <v>1</v>
      </c>
      <c r="N185" s="5"/>
      <c r="O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1.0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13">
        <f t="shared" si="36"/>
        <v>1</v>
      </c>
      <c r="N186" s="5"/>
      <c r="O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L187" si="37">SUM(E177:E186)</f>
        <v>4</v>
      </c>
      <c r="F187" s="13">
        <f t="shared" si="37"/>
        <v>1</v>
      </c>
      <c r="G187" s="13">
        <f t="shared" si="37"/>
        <v>2</v>
      </c>
      <c r="H187" s="13">
        <f t="shared" si="37"/>
        <v>2</v>
      </c>
      <c r="I187" s="13">
        <f t="shared" si="37"/>
        <v>4</v>
      </c>
      <c r="J187" s="13">
        <f t="shared" si="37"/>
        <v>2</v>
      </c>
      <c r="K187" s="13">
        <f t="shared" si="37"/>
        <v>4</v>
      </c>
      <c r="L187" s="13">
        <f t="shared" si="37"/>
        <v>1</v>
      </c>
      <c r="M187" s="13">
        <f t="shared" si="36"/>
        <v>20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13">
        <f t="shared" ref="M189:M199" si="38">SUM(E189:L189)</f>
        <v>0</v>
      </c>
      <c r="N189" s="5"/>
      <c r="O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13">
        <f t="shared" si="38"/>
        <v>0</v>
      </c>
      <c r="N190" s="5"/>
      <c r="O190" s="5"/>
    </row>
    <row r="191" ht="12.75" customHeight="1">
      <c r="A191" s="18"/>
      <c r="B191" s="55"/>
      <c r="C191" s="50" t="s">
        <v>144</v>
      </c>
      <c r="D191" s="57"/>
      <c r="E191" s="74">
        <v>1.0</v>
      </c>
      <c r="F191" s="74">
        <v>0.0</v>
      </c>
      <c r="G191" s="74">
        <v>0.0</v>
      </c>
      <c r="H191" s="74">
        <v>0.0</v>
      </c>
      <c r="I191" s="74">
        <v>1.0</v>
      </c>
      <c r="J191" s="74">
        <v>0.0</v>
      </c>
      <c r="K191" s="74">
        <v>0.0</v>
      </c>
      <c r="L191" s="74">
        <v>0.0</v>
      </c>
      <c r="M191" s="13">
        <f t="shared" si="38"/>
        <v>2</v>
      </c>
      <c r="N191" s="5"/>
      <c r="O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13">
        <f t="shared" si="38"/>
        <v>0</v>
      </c>
      <c r="N192" s="5"/>
      <c r="O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13">
        <f t="shared" si="38"/>
        <v>0</v>
      </c>
      <c r="N193" s="5"/>
      <c r="O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13">
        <f t="shared" si="38"/>
        <v>0</v>
      </c>
      <c r="N194" s="5"/>
      <c r="O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13">
        <f t="shared" si="38"/>
        <v>0</v>
      </c>
      <c r="N195" s="5"/>
      <c r="O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13">
        <f t="shared" si="38"/>
        <v>0</v>
      </c>
      <c r="N196" s="1"/>
      <c r="O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13">
        <f t="shared" si="38"/>
        <v>0</v>
      </c>
      <c r="N197" s="1"/>
      <c r="O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1.0</v>
      </c>
      <c r="M198" s="13">
        <f t="shared" si="38"/>
        <v>1</v>
      </c>
      <c r="N198" s="1"/>
      <c r="O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L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8"/>
        <v>3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5"/>
      <c r="O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5.0</v>
      </c>
      <c r="F201" s="74">
        <v>3.0</v>
      </c>
      <c r="G201" s="74">
        <v>4.0</v>
      </c>
      <c r="H201" s="74">
        <v>2.0</v>
      </c>
      <c r="I201" s="74">
        <v>4.0</v>
      </c>
      <c r="J201" s="74">
        <v>2.0</v>
      </c>
      <c r="K201" s="74">
        <v>2.0</v>
      </c>
      <c r="L201" s="74">
        <v>4.0</v>
      </c>
      <c r="M201" s="13">
        <f t="shared" ref="M201:M211" si="40">SUM(E201:L201)</f>
        <v>26</v>
      </c>
      <c r="N201" s="5"/>
      <c r="O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2.0</v>
      </c>
      <c r="F202" s="74">
        <v>1.0</v>
      </c>
      <c r="G202" s="74">
        <v>1.0</v>
      </c>
      <c r="H202" s="74">
        <v>2.0</v>
      </c>
      <c r="I202" s="74">
        <v>1.0</v>
      </c>
      <c r="J202" s="74">
        <v>0.0</v>
      </c>
      <c r="K202" s="74">
        <v>1.0</v>
      </c>
      <c r="L202" s="74">
        <v>2.0</v>
      </c>
      <c r="M202" s="13">
        <f t="shared" si="40"/>
        <v>10</v>
      </c>
      <c r="N202" s="5"/>
      <c r="O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3.0</v>
      </c>
      <c r="G203" s="74">
        <v>1.0</v>
      </c>
      <c r="H203" s="74">
        <v>4.0</v>
      </c>
      <c r="I203" s="74">
        <v>1.0</v>
      </c>
      <c r="J203" s="74">
        <v>0.0</v>
      </c>
      <c r="K203" s="74">
        <v>0.0</v>
      </c>
      <c r="L203" s="74">
        <v>10.0</v>
      </c>
      <c r="M203" s="13">
        <f t="shared" si="40"/>
        <v>23</v>
      </c>
      <c r="N203" s="5"/>
      <c r="O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1.0</v>
      </c>
      <c r="L204" s="74">
        <v>0.0</v>
      </c>
      <c r="M204" s="13">
        <f t="shared" si="40"/>
        <v>1</v>
      </c>
      <c r="N204" s="5"/>
      <c r="O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13">
        <f t="shared" si="40"/>
        <v>1</v>
      </c>
      <c r="N205" s="5"/>
      <c r="O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13">
        <f t="shared" si="40"/>
        <v>0</v>
      </c>
      <c r="N206" s="5"/>
      <c r="O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1.0</v>
      </c>
      <c r="J207" s="74">
        <v>0.0</v>
      </c>
      <c r="K207" s="74">
        <v>0.0</v>
      </c>
      <c r="L207" s="74">
        <v>0.0</v>
      </c>
      <c r="M207" s="13">
        <f t="shared" si="40"/>
        <v>1</v>
      </c>
      <c r="N207" s="1"/>
      <c r="O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13">
        <f t="shared" si="40"/>
        <v>1</v>
      </c>
      <c r="N208" s="52"/>
      <c r="O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13">
        <f t="shared" si="40"/>
        <v>0</v>
      </c>
      <c r="N209" s="52"/>
      <c r="O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13">
        <f t="shared" si="40"/>
        <v>0</v>
      </c>
      <c r="N210" s="52"/>
      <c r="O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L211" si="41">SUM(E201:E210)</f>
        <v>12</v>
      </c>
      <c r="F211" s="13">
        <f t="shared" si="41"/>
        <v>8</v>
      </c>
      <c r="G211" s="13">
        <f t="shared" si="41"/>
        <v>6</v>
      </c>
      <c r="H211" s="13">
        <f t="shared" si="41"/>
        <v>8</v>
      </c>
      <c r="I211" s="13">
        <f t="shared" si="41"/>
        <v>7</v>
      </c>
      <c r="J211" s="13">
        <f t="shared" si="41"/>
        <v>2</v>
      </c>
      <c r="K211" s="13">
        <f t="shared" si="41"/>
        <v>4</v>
      </c>
      <c r="L211" s="13">
        <f t="shared" si="41"/>
        <v>16</v>
      </c>
      <c r="M211" s="13">
        <f t="shared" si="40"/>
        <v>63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5"/>
      <c r="O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1.0</v>
      </c>
      <c r="G213" s="74">
        <v>3.0</v>
      </c>
      <c r="H213" s="74">
        <v>1.0</v>
      </c>
      <c r="I213" s="74">
        <v>5.0</v>
      </c>
      <c r="J213" s="74">
        <v>3.0</v>
      </c>
      <c r="K213" s="74">
        <v>0.0</v>
      </c>
      <c r="L213" s="74">
        <v>1.0</v>
      </c>
      <c r="M213" s="13">
        <f t="shared" ref="M213:M216" si="42">SUM(E213:L213)</f>
        <v>15</v>
      </c>
      <c r="N213" s="5"/>
      <c r="O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0.0</v>
      </c>
      <c r="G214" s="74">
        <v>2.0</v>
      </c>
      <c r="H214" s="74">
        <v>0.0</v>
      </c>
      <c r="I214" s="74">
        <v>2.0</v>
      </c>
      <c r="J214" s="74">
        <v>0.0</v>
      </c>
      <c r="K214" s="74">
        <v>0.0</v>
      </c>
      <c r="L214" s="74">
        <v>0.0</v>
      </c>
      <c r="M214" s="13">
        <f t="shared" si="42"/>
        <v>5</v>
      </c>
      <c r="N214" s="5"/>
      <c r="O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0.0</v>
      </c>
      <c r="G215" s="74">
        <v>0.0</v>
      </c>
      <c r="H215" s="74">
        <v>0.0</v>
      </c>
      <c r="I215" s="74">
        <v>2.0</v>
      </c>
      <c r="J215" s="74">
        <v>2.0</v>
      </c>
      <c r="K215" s="74">
        <v>0.0</v>
      </c>
      <c r="L215" s="74">
        <v>0.0</v>
      </c>
      <c r="M215" s="13">
        <f t="shared" si="42"/>
        <v>5</v>
      </c>
      <c r="N215" s="5"/>
      <c r="O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13">
        <f t="shared" si="42"/>
        <v>1</v>
      </c>
      <c r="N216" s="5"/>
      <c r="O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79"/>
      <c r="N217" s="5"/>
      <c r="O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79"/>
      <c r="N218" s="1"/>
      <c r="O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79"/>
      <c r="N219" s="52"/>
      <c r="O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79"/>
      <c r="N220" s="5"/>
      <c r="O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79"/>
      <c r="N221" s="5"/>
      <c r="O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79"/>
      <c r="N222" s="5"/>
      <c r="O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L223" si="43">SUM(E213:E220)</f>
        <v>3</v>
      </c>
      <c r="F223" s="13">
        <f t="shared" si="43"/>
        <v>1</v>
      </c>
      <c r="G223" s="13">
        <f t="shared" si="43"/>
        <v>5</v>
      </c>
      <c r="H223" s="13">
        <f t="shared" si="43"/>
        <v>1</v>
      </c>
      <c r="I223" s="13">
        <f t="shared" si="43"/>
        <v>9</v>
      </c>
      <c r="J223" s="13">
        <f t="shared" si="43"/>
        <v>6</v>
      </c>
      <c r="K223" s="13">
        <f t="shared" si="43"/>
        <v>0</v>
      </c>
      <c r="L223" s="13">
        <f t="shared" si="43"/>
        <v>1</v>
      </c>
      <c r="M223" s="13">
        <f>SUM(E223:L223)</f>
        <v>26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5"/>
      <c r="O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1.0</v>
      </c>
      <c r="H225" s="74">
        <v>2.0</v>
      </c>
      <c r="I225" s="74">
        <v>0.0</v>
      </c>
      <c r="J225" s="74">
        <v>0.0</v>
      </c>
      <c r="K225" s="74">
        <v>1.0</v>
      </c>
      <c r="L225" s="74">
        <v>0.0</v>
      </c>
      <c r="M225" s="13">
        <f t="shared" ref="M225:M229" si="44">SUM(E225:L225)</f>
        <v>4</v>
      </c>
      <c r="N225" s="5"/>
      <c r="O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1.0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13">
        <f t="shared" si="44"/>
        <v>1</v>
      </c>
      <c r="N226" s="5"/>
      <c r="O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13">
        <f t="shared" si="44"/>
        <v>0</v>
      </c>
      <c r="N227" s="5"/>
      <c r="O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13">
        <f t="shared" si="44"/>
        <v>0</v>
      </c>
      <c r="N228" s="5"/>
      <c r="O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1.0</v>
      </c>
      <c r="I229" s="74">
        <v>2.0</v>
      </c>
      <c r="J229" s="74">
        <v>0.0</v>
      </c>
      <c r="K229" s="74">
        <v>0.0</v>
      </c>
      <c r="L229" s="74">
        <v>0.0</v>
      </c>
      <c r="M229" s="13">
        <f t="shared" si="44"/>
        <v>3</v>
      </c>
      <c r="N229" s="1"/>
      <c r="O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79"/>
      <c r="N230" s="52"/>
      <c r="O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79"/>
      <c r="N231" s="5"/>
      <c r="O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79"/>
      <c r="N232" s="5"/>
      <c r="O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79"/>
      <c r="N233" s="5"/>
      <c r="O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79"/>
      <c r="N234" s="5"/>
      <c r="O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L235" si="45">SUM(E225:E232)</f>
        <v>0</v>
      </c>
      <c r="F235" s="13">
        <f t="shared" si="45"/>
        <v>1</v>
      </c>
      <c r="G235" s="13">
        <f t="shared" si="45"/>
        <v>1</v>
      </c>
      <c r="H235" s="13">
        <f t="shared" si="45"/>
        <v>3</v>
      </c>
      <c r="I235" s="13">
        <f t="shared" si="45"/>
        <v>2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>SUM(E235:L235)</f>
        <v>8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5"/>
      <c r="O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0.0</v>
      </c>
      <c r="G237" s="74">
        <v>0.0</v>
      </c>
      <c r="H237" s="74">
        <v>2.0</v>
      </c>
      <c r="I237" s="74">
        <v>0.0</v>
      </c>
      <c r="J237" s="74">
        <v>1.0</v>
      </c>
      <c r="K237" s="74">
        <v>0.0</v>
      </c>
      <c r="L237" s="74">
        <v>0.0</v>
      </c>
      <c r="M237" s="13">
        <f t="shared" ref="M237:M247" si="46">SUM(E237:L237)</f>
        <v>4</v>
      </c>
      <c r="N237" s="5"/>
      <c r="O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1.0</v>
      </c>
      <c r="K238" s="74">
        <v>0.0</v>
      </c>
      <c r="L238" s="74">
        <v>0.0</v>
      </c>
      <c r="M238" s="13">
        <f t="shared" si="46"/>
        <v>1</v>
      </c>
      <c r="N238" s="5"/>
      <c r="O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1.0</v>
      </c>
      <c r="H239" s="74">
        <v>2.0</v>
      </c>
      <c r="I239" s="74">
        <v>0.0</v>
      </c>
      <c r="J239" s="74">
        <v>0.0</v>
      </c>
      <c r="K239" s="74">
        <v>0.0</v>
      </c>
      <c r="L239" s="74">
        <v>1.0</v>
      </c>
      <c r="M239" s="13">
        <f t="shared" si="46"/>
        <v>4</v>
      </c>
      <c r="N239" s="5"/>
      <c r="O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1.0</v>
      </c>
      <c r="I240" s="74">
        <v>0.0</v>
      </c>
      <c r="J240" s="74">
        <v>0.0</v>
      </c>
      <c r="K240" s="74">
        <v>0.0</v>
      </c>
      <c r="L240" s="74">
        <v>0.0</v>
      </c>
      <c r="M240" s="13">
        <f t="shared" si="46"/>
        <v>1</v>
      </c>
      <c r="N240" s="1"/>
      <c r="O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3.0</v>
      </c>
      <c r="I241" s="74">
        <v>0.0</v>
      </c>
      <c r="J241" s="74">
        <v>0.0</v>
      </c>
      <c r="K241" s="74">
        <v>0.0</v>
      </c>
      <c r="L241" s="74">
        <v>0.0</v>
      </c>
      <c r="M241" s="13">
        <f t="shared" si="46"/>
        <v>3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6.0</v>
      </c>
      <c r="I242" s="74">
        <v>0.0</v>
      </c>
      <c r="J242" s="74">
        <v>0.0</v>
      </c>
      <c r="K242" s="74">
        <v>0.0</v>
      </c>
      <c r="L242" s="74">
        <v>0.0</v>
      </c>
      <c r="M242" s="13">
        <f t="shared" si="46"/>
        <v>6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1.0</v>
      </c>
      <c r="K244" s="74">
        <v>0.0</v>
      </c>
      <c r="L244" s="74">
        <v>0.0</v>
      </c>
      <c r="M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1.0</v>
      </c>
      <c r="J245" s="74">
        <v>0.0</v>
      </c>
      <c r="K245" s="74">
        <v>0.0</v>
      </c>
      <c r="L245" s="74">
        <v>0.0</v>
      </c>
      <c r="M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L247" si="47">SUM(E237:E246)</f>
        <v>1</v>
      </c>
      <c r="F247" s="13">
        <f t="shared" si="47"/>
        <v>0</v>
      </c>
      <c r="G247" s="13">
        <f t="shared" si="47"/>
        <v>1</v>
      </c>
      <c r="H247" s="13">
        <f t="shared" si="47"/>
        <v>14</v>
      </c>
      <c r="I247" s="13">
        <f t="shared" si="47"/>
        <v>1</v>
      </c>
      <c r="J247" s="13">
        <f t="shared" si="47"/>
        <v>3</v>
      </c>
      <c r="K247" s="13">
        <f t="shared" si="47"/>
        <v>0</v>
      </c>
      <c r="L247" s="13">
        <f t="shared" si="47"/>
        <v>1</v>
      </c>
      <c r="M247" s="13">
        <f t="shared" si="46"/>
        <v>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13">
        <f t="shared" ref="M249:M252" si="48">SUM(E249:L249)</f>
        <v>1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1.0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13">
        <f t="shared" si="48"/>
        <v>1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L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>SUM(E259:L259)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L262" si="50">E55+E67+E79+E91+E103+E115+E127+E139+E151+E163+E175+E187+E199+E211+E223+E235+E247+E259</f>
        <v>189</v>
      </c>
      <c r="F262" s="19">
        <f t="shared" si="50"/>
        <v>154</v>
      </c>
      <c r="G262" s="19">
        <f t="shared" si="50"/>
        <v>145</v>
      </c>
      <c r="H262" s="19">
        <f t="shared" si="50"/>
        <v>138</v>
      </c>
      <c r="I262" s="19">
        <f t="shared" si="50"/>
        <v>173</v>
      </c>
      <c r="J262" s="19">
        <f t="shared" si="50"/>
        <v>139</v>
      </c>
      <c r="K262" s="19">
        <f t="shared" si="50"/>
        <v>146</v>
      </c>
      <c r="L262" s="19">
        <f t="shared" si="50"/>
        <v>144</v>
      </c>
      <c r="M262" s="13">
        <f t="shared" ref="M262:M264" si="51">SUM(E262:L262)</f>
        <v>1228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32.0</v>
      </c>
      <c r="F263" s="74">
        <v>29.0</v>
      </c>
      <c r="G263" s="74">
        <v>39.0</v>
      </c>
      <c r="H263" s="74">
        <v>59.0</v>
      </c>
      <c r="I263" s="74">
        <v>50.0</v>
      </c>
      <c r="J263" s="74">
        <v>65.0</v>
      </c>
      <c r="K263" s="74">
        <v>17.0</v>
      </c>
      <c r="L263" s="74">
        <v>18.0</v>
      </c>
      <c r="M263" s="13">
        <f t="shared" si="51"/>
        <v>309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L264" si="52">SUM(E262:E263)</f>
        <v>221</v>
      </c>
      <c r="F264" s="13">
        <f t="shared" si="52"/>
        <v>183</v>
      </c>
      <c r="G264" s="13">
        <f t="shared" si="52"/>
        <v>184</v>
      </c>
      <c r="H264" s="13">
        <f t="shared" si="52"/>
        <v>197</v>
      </c>
      <c r="I264" s="13">
        <f t="shared" si="52"/>
        <v>223</v>
      </c>
      <c r="J264" s="13">
        <f t="shared" si="52"/>
        <v>204</v>
      </c>
      <c r="K264" s="13">
        <f t="shared" si="52"/>
        <v>163</v>
      </c>
      <c r="L264" s="13">
        <f t="shared" si="52"/>
        <v>162</v>
      </c>
      <c r="M264" s="13">
        <f t="shared" si="51"/>
        <v>1537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74">
        <v>124.0</v>
      </c>
      <c r="F14" s="74">
        <v>106.0</v>
      </c>
      <c r="G14" s="74">
        <v>134.0</v>
      </c>
      <c r="H14" s="74">
        <v>146.0</v>
      </c>
      <c r="I14" s="74">
        <v>146.0</v>
      </c>
      <c r="J14" s="74">
        <v>132.0</v>
      </c>
      <c r="K14" s="74">
        <v>138.0</v>
      </c>
      <c r="L14" s="74">
        <v>116.0</v>
      </c>
      <c r="M14" s="74">
        <v>145.0</v>
      </c>
      <c r="N14" s="74">
        <v>148.0</v>
      </c>
      <c r="O14" s="13">
        <f t="shared" ref="O14:O16" si="1">SUM(E14:N14)</f>
        <v>1335</v>
      </c>
    </row>
    <row r="15" ht="12.75" customHeight="1">
      <c r="A15" s="18"/>
      <c r="B15" s="26"/>
      <c r="C15" s="27"/>
      <c r="D15" s="19" t="s">
        <v>13</v>
      </c>
      <c r="E15" s="74">
        <v>136.0</v>
      </c>
      <c r="F15" s="74">
        <v>108.0</v>
      </c>
      <c r="G15" s="74">
        <v>147.0</v>
      </c>
      <c r="H15" s="74">
        <v>145.0</v>
      </c>
      <c r="I15" s="74">
        <v>136.0</v>
      </c>
      <c r="J15" s="74">
        <v>134.0</v>
      </c>
      <c r="K15" s="74">
        <v>144.0</v>
      </c>
      <c r="L15" s="74">
        <v>105.0</v>
      </c>
      <c r="M15" s="74">
        <v>138.0</v>
      </c>
      <c r="N15" s="74">
        <v>128.0</v>
      </c>
      <c r="O15" s="13">
        <f t="shared" si="1"/>
        <v>1321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260</v>
      </c>
      <c r="F16" s="13">
        <f t="shared" si="2"/>
        <v>214</v>
      </c>
      <c r="G16" s="13">
        <f t="shared" si="2"/>
        <v>281</v>
      </c>
      <c r="H16" s="13">
        <f t="shared" si="2"/>
        <v>291</v>
      </c>
      <c r="I16" s="13">
        <f t="shared" si="2"/>
        <v>282</v>
      </c>
      <c r="J16" s="13">
        <f t="shared" si="2"/>
        <v>266</v>
      </c>
      <c r="K16" s="13">
        <f t="shared" si="2"/>
        <v>282</v>
      </c>
      <c r="L16" s="13">
        <f t="shared" si="2"/>
        <v>221</v>
      </c>
      <c r="M16" s="13">
        <f t="shared" si="2"/>
        <v>283</v>
      </c>
      <c r="N16" s="13">
        <f t="shared" si="2"/>
        <v>276</v>
      </c>
      <c r="O16" s="13">
        <f t="shared" si="1"/>
        <v>2656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2"/>
      <c r="O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2"/>
      <c r="O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90.0</v>
      </c>
      <c r="F19" s="74">
        <v>83.0</v>
      </c>
      <c r="G19" s="74">
        <v>120.0</v>
      </c>
      <c r="H19" s="74">
        <v>112.0</v>
      </c>
      <c r="I19" s="74">
        <v>114.0</v>
      </c>
      <c r="J19" s="74">
        <v>110.0</v>
      </c>
      <c r="K19" s="74">
        <v>111.0</v>
      </c>
      <c r="L19" s="74">
        <v>96.0</v>
      </c>
      <c r="M19" s="74">
        <v>113.0</v>
      </c>
      <c r="N19" s="74">
        <v>115.0</v>
      </c>
      <c r="O19" s="13">
        <f t="shared" ref="O19:O30" si="3">SUM(E19:N19)</f>
        <v>1064</v>
      </c>
    </row>
    <row r="20" ht="12.75" customHeight="1">
      <c r="A20" s="33"/>
      <c r="B20" s="27"/>
      <c r="C20" s="34"/>
      <c r="D20" s="19" t="s">
        <v>13</v>
      </c>
      <c r="E20" s="74">
        <v>116.0</v>
      </c>
      <c r="F20" s="74">
        <v>97.0</v>
      </c>
      <c r="G20" s="74">
        <v>126.0</v>
      </c>
      <c r="H20" s="74">
        <v>125.0</v>
      </c>
      <c r="I20" s="74">
        <v>115.0</v>
      </c>
      <c r="J20" s="74">
        <v>112.0</v>
      </c>
      <c r="K20" s="74">
        <v>130.0</v>
      </c>
      <c r="L20" s="74">
        <v>93.0</v>
      </c>
      <c r="M20" s="74">
        <v>123.0</v>
      </c>
      <c r="N20" s="74">
        <v>100.0</v>
      </c>
      <c r="O20" s="13">
        <f t="shared" si="3"/>
        <v>1137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206</v>
      </c>
      <c r="F21" s="13">
        <f t="shared" si="4"/>
        <v>180</v>
      </c>
      <c r="G21" s="13">
        <f t="shared" si="4"/>
        <v>246</v>
      </c>
      <c r="H21" s="13">
        <f t="shared" si="4"/>
        <v>237</v>
      </c>
      <c r="I21" s="13">
        <f t="shared" si="4"/>
        <v>229</v>
      </c>
      <c r="J21" s="13">
        <f t="shared" si="4"/>
        <v>222</v>
      </c>
      <c r="K21" s="13">
        <f t="shared" si="4"/>
        <v>241</v>
      </c>
      <c r="L21" s="13">
        <f t="shared" si="4"/>
        <v>189</v>
      </c>
      <c r="M21" s="13">
        <f t="shared" si="4"/>
        <v>236</v>
      </c>
      <c r="N21" s="13">
        <f t="shared" si="4"/>
        <v>215</v>
      </c>
      <c r="O21" s="13">
        <f t="shared" si="3"/>
        <v>2201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1.0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0.0</v>
      </c>
      <c r="J25" s="74">
        <v>3.0</v>
      </c>
      <c r="K25" s="74">
        <v>0.0</v>
      </c>
      <c r="L25" s="74">
        <v>0.0</v>
      </c>
      <c r="M25" s="74">
        <v>0.0</v>
      </c>
      <c r="N25" s="74">
        <v>0.0</v>
      </c>
      <c r="O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0.0</v>
      </c>
      <c r="H26" s="74">
        <v>0.0</v>
      </c>
      <c r="I26" s="74">
        <v>0.0</v>
      </c>
      <c r="J26" s="74">
        <v>1.0</v>
      </c>
      <c r="K26" s="74">
        <v>0.0</v>
      </c>
      <c r="L26" s="74">
        <v>0.0</v>
      </c>
      <c r="M26" s="74">
        <v>0.0</v>
      </c>
      <c r="N26" s="74">
        <v>0.0</v>
      </c>
      <c r="O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90</v>
      </c>
      <c r="F28" s="13">
        <f t="shared" si="7"/>
        <v>83</v>
      </c>
      <c r="G28" s="13">
        <f t="shared" si="7"/>
        <v>120</v>
      </c>
      <c r="H28" s="13">
        <f t="shared" si="7"/>
        <v>112</v>
      </c>
      <c r="I28" s="13">
        <f t="shared" si="7"/>
        <v>114</v>
      </c>
      <c r="J28" s="13">
        <f t="shared" si="7"/>
        <v>113</v>
      </c>
      <c r="K28" s="13">
        <f t="shared" si="7"/>
        <v>111</v>
      </c>
      <c r="L28" s="13">
        <f t="shared" si="7"/>
        <v>96</v>
      </c>
      <c r="M28" s="13">
        <f t="shared" si="7"/>
        <v>113</v>
      </c>
      <c r="N28" s="13">
        <f t="shared" si="7"/>
        <v>115</v>
      </c>
      <c r="O28" s="13">
        <f t="shared" si="3"/>
        <v>1067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116</v>
      </c>
      <c r="F29" s="13">
        <f t="shared" si="8"/>
        <v>97</v>
      </c>
      <c r="G29" s="13">
        <f t="shared" si="8"/>
        <v>126</v>
      </c>
      <c r="H29" s="13">
        <f t="shared" si="8"/>
        <v>126</v>
      </c>
      <c r="I29" s="13">
        <f t="shared" si="8"/>
        <v>115</v>
      </c>
      <c r="J29" s="13">
        <f t="shared" si="8"/>
        <v>113</v>
      </c>
      <c r="K29" s="13">
        <f t="shared" si="8"/>
        <v>130</v>
      </c>
      <c r="L29" s="13">
        <f t="shared" si="8"/>
        <v>93</v>
      </c>
      <c r="M29" s="13">
        <f t="shared" si="8"/>
        <v>123</v>
      </c>
      <c r="N29" s="13">
        <f t="shared" si="8"/>
        <v>100</v>
      </c>
      <c r="O29" s="13">
        <f t="shared" si="3"/>
        <v>1139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206</v>
      </c>
      <c r="F30" s="13">
        <f t="shared" si="9"/>
        <v>180</v>
      </c>
      <c r="G30" s="13">
        <f t="shared" si="9"/>
        <v>246</v>
      </c>
      <c r="H30" s="13">
        <f t="shared" si="9"/>
        <v>238</v>
      </c>
      <c r="I30" s="13">
        <f t="shared" si="9"/>
        <v>229</v>
      </c>
      <c r="J30" s="13">
        <f t="shared" si="9"/>
        <v>226</v>
      </c>
      <c r="K30" s="13">
        <f t="shared" si="9"/>
        <v>241</v>
      </c>
      <c r="L30" s="13">
        <f t="shared" si="9"/>
        <v>189</v>
      </c>
      <c r="M30" s="13">
        <f t="shared" si="9"/>
        <v>236</v>
      </c>
      <c r="N30" s="13">
        <f t="shared" si="9"/>
        <v>215</v>
      </c>
      <c r="O30" s="13">
        <f t="shared" si="3"/>
        <v>2206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2"/>
      <c r="O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3"/>
      <c r="O32" s="75"/>
    </row>
    <row r="33" ht="12.75" customHeight="1">
      <c r="A33" s="19">
        <v>1.0</v>
      </c>
      <c r="B33" s="20" t="s">
        <v>27</v>
      </c>
      <c r="C33" s="15"/>
      <c r="D33" s="16"/>
      <c r="E33" s="74">
        <v>265.0</v>
      </c>
      <c r="F33" s="74">
        <v>218.0</v>
      </c>
      <c r="G33" s="74">
        <v>277.0</v>
      </c>
      <c r="H33" s="74">
        <v>297.0</v>
      </c>
      <c r="I33" s="74">
        <v>288.0</v>
      </c>
      <c r="J33" s="74">
        <v>272.0</v>
      </c>
      <c r="K33" s="74">
        <v>288.0</v>
      </c>
      <c r="L33" s="74">
        <v>225.0</v>
      </c>
      <c r="M33" s="74">
        <v>289.0</v>
      </c>
      <c r="N33" s="74">
        <v>282.0</v>
      </c>
      <c r="O33" s="13">
        <f t="shared" ref="O33:O36" si="10">SUM(E33:N33)</f>
        <v>2701</v>
      </c>
    </row>
    <row r="34" ht="12.75" customHeight="1">
      <c r="A34" s="19">
        <v>2.0</v>
      </c>
      <c r="B34" s="20" t="s">
        <v>28</v>
      </c>
      <c r="C34" s="15"/>
      <c r="D34" s="16"/>
      <c r="E34" s="76">
        <v>206.0</v>
      </c>
      <c r="F34" s="76">
        <v>180.0</v>
      </c>
      <c r="G34" s="76">
        <v>246.0</v>
      </c>
      <c r="H34" s="76">
        <v>238.0</v>
      </c>
      <c r="I34" s="76">
        <v>229.0</v>
      </c>
      <c r="J34" s="76">
        <v>226.0</v>
      </c>
      <c r="K34" s="76">
        <v>241.0</v>
      </c>
      <c r="L34" s="76">
        <v>189.0</v>
      </c>
      <c r="M34" s="76">
        <v>236.0</v>
      </c>
      <c r="N34" s="76">
        <v>215.0</v>
      </c>
      <c r="O34" s="13">
        <f t="shared" si="10"/>
        <v>2206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74">
        <v>1.0</v>
      </c>
      <c r="G35" s="74">
        <v>31.0</v>
      </c>
      <c r="H35" s="74">
        <v>0.0</v>
      </c>
      <c r="I35" s="74">
        <v>0.0</v>
      </c>
      <c r="J35" s="74">
        <v>1.0</v>
      </c>
      <c r="K35" s="74">
        <v>0.0</v>
      </c>
      <c r="L35" s="74">
        <v>0.0</v>
      </c>
      <c r="M35" s="74">
        <v>0.0</v>
      </c>
      <c r="N35" s="74">
        <v>0.0</v>
      </c>
      <c r="O35" s="13">
        <f t="shared" si="10"/>
        <v>33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59</v>
      </c>
      <c r="F36" s="13">
        <f t="shared" si="11"/>
        <v>37</v>
      </c>
      <c r="G36" s="13">
        <f t="shared" si="11"/>
        <v>0</v>
      </c>
      <c r="H36" s="13">
        <f t="shared" si="11"/>
        <v>59</v>
      </c>
      <c r="I36" s="13">
        <f t="shared" si="11"/>
        <v>59</v>
      </c>
      <c r="J36" s="13">
        <f t="shared" si="11"/>
        <v>45</v>
      </c>
      <c r="K36" s="13">
        <f t="shared" si="11"/>
        <v>47</v>
      </c>
      <c r="L36" s="13">
        <f t="shared" si="11"/>
        <v>36</v>
      </c>
      <c r="M36" s="13">
        <f t="shared" si="11"/>
        <v>53</v>
      </c>
      <c r="N36" s="13">
        <f t="shared" si="11"/>
        <v>67</v>
      </c>
      <c r="O36" s="13">
        <f t="shared" si="10"/>
        <v>462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82"/>
      <c r="O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3"/>
      <c r="O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1.0</v>
      </c>
      <c r="L39" s="74">
        <v>0.0</v>
      </c>
      <c r="M39" s="74">
        <v>0.0</v>
      </c>
      <c r="N39" s="74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82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83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82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12.0</v>
      </c>
      <c r="F45" s="74">
        <v>9.0</v>
      </c>
      <c r="G45" s="74">
        <v>16.0</v>
      </c>
      <c r="H45" s="74">
        <v>10.0</v>
      </c>
      <c r="I45" s="74">
        <v>11.0</v>
      </c>
      <c r="J45" s="74">
        <v>2.0</v>
      </c>
      <c r="K45" s="74">
        <v>3.0</v>
      </c>
      <c r="L45" s="74">
        <v>8.0</v>
      </c>
      <c r="M45" s="74">
        <v>9.0</v>
      </c>
      <c r="N45" s="74">
        <v>11.0</v>
      </c>
      <c r="O45" s="13">
        <f t="shared" ref="O45:O55" si="14">SUM(E45:N45)</f>
        <v>91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36.0</v>
      </c>
      <c r="F46" s="74">
        <v>12.0</v>
      </c>
      <c r="G46" s="74">
        <v>33.0</v>
      </c>
      <c r="H46" s="74">
        <v>21.0</v>
      </c>
      <c r="I46" s="74">
        <v>19.0</v>
      </c>
      <c r="J46" s="74">
        <v>9.0</v>
      </c>
      <c r="K46" s="74">
        <v>2.0</v>
      </c>
      <c r="L46" s="74">
        <v>26.0</v>
      </c>
      <c r="M46" s="74">
        <v>12.0</v>
      </c>
      <c r="N46" s="74">
        <v>19.0</v>
      </c>
      <c r="O46" s="13">
        <f t="shared" si="14"/>
        <v>189</v>
      </c>
    </row>
    <row r="47" ht="12.75" customHeight="1">
      <c r="A47" s="18"/>
      <c r="B47" s="55"/>
      <c r="C47" s="50" t="s">
        <v>41</v>
      </c>
      <c r="D47" s="50"/>
      <c r="E47" s="74">
        <v>3.0</v>
      </c>
      <c r="F47" s="74">
        <v>1.0</v>
      </c>
      <c r="G47" s="74">
        <v>1.0</v>
      </c>
      <c r="H47" s="74">
        <v>1.0</v>
      </c>
      <c r="I47" s="74">
        <v>2.0</v>
      </c>
      <c r="J47" s="74">
        <v>3.0</v>
      </c>
      <c r="K47" s="74">
        <v>1.0</v>
      </c>
      <c r="L47" s="74">
        <v>4.0</v>
      </c>
      <c r="M47" s="74">
        <v>0.0</v>
      </c>
      <c r="N47" s="74">
        <v>2.0</v>
      </c>
      <c r="O47" s="13">
        <f t="shared" si="14"/>
        <v>18</v>
      </c>
    </row>
    <row r="48" ht="12.75" customHeight="1">
      <c r="A48" s="18"/>
      <c r="B48" s="55"/>
      <c r="C48" s="50" t="s">
        <v>42</v>
      </c>
      <c r="D48" s="50"/>
      <c r="E48" s="74">
        <v>2.0</v>
      </c>
      <c r="F48" s="74">
        <v>0.0</v>
      </c>
      <c r="G48" s="74">
        <v>2.0</v>
      </c>
      <c r="H48" s="74">
        <v>1.0</v>
      </c>
      <c r="I48" s="74">
        <v>1.0</v>
      </c>
      <c r="J48" s="74">
        <v>0.0</v>
      </c>
      <c r="K48" s="74">
        <v>2.0</v>
      </c>
      <c r="L48" s="74">
        <v>0.0</v>
      </c>
      <c r="M48" s="74">
        <v>1.0</v>
      </c>
      <c r="N48" s="74">
        <v>2.0</v>
      </c>
      <c r="O48" s="13">
        <f t="shared" si="14"/>
        <v>11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0.0</v>
      </c>
      <c r="G49" s="74">
        <v>1.0</v>
      </c>
      <c r="H49" s="74">
        <v>0.0</v>
      </c>
      <c r="I49" s="74">
        <v>3.0</v>
      </c>
      <c r="J49" s="74">
        <v>0.0</v>
      </c>
      <c r="K49" s="74">
        <v>0.0</v>
      </c>
      <c r="L49" s="74">
        <v>1.0</v>
      </c>
      <c r="M49" s="74">
        <v>2.0</v>
      </c>
      <c r="N49" s="74">
        <v>1.0</v>
      </c>
      <c r="O49" s="13">
        <f t="shared" si="14"/>
        <v>8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0.0</v>
      </c>
      <c r="H50" s="74">
        <v>1.0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13">
        <f t="shared" si="14"/>
        <v>2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1.0</v>
      </c>
      <c r="I51" s="74">
        <v>1.0</v>
      </c>
      <c r="J51" s="74">
        <v>0.0</v>
      </c>
      <c r="K51" s="74">
        <v>1.0</v>
      </c>
      <c r="L51" s="74">
        <v>0.0</v>
      </c>
      <c r="M51" s="74">
        <v>0.0</v>
      </c>
      <c r="N51" s="74">
        <v>1.0</v>
      </c>
      <c r="O51" s="13">
        <f t="shared" si="14"/>
        <v>4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1.0</v>
      </c>
      <c r="J52" s="74">
        <v>0.0</v>
      </c>
      <c r="K52" s="74">
        <v>0.0</v>
      </c>
      <c r="L52" s="74">
        <v>1.0</v>
      </c>
      <c r="M52" s="74">
        <v>1.0</v>
      </c>
      <c r="N52" s="74">
        <v>0.0</v>
      </c>
      <c r="O52" s="13">
        <f t="shared" si="14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1.0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13">
        <f t="shared" si="14"/>
        <v>1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1.0</v>
      </c>
      <c r="I54" s="74">
        <v>1.0</v>
      </c>
      <c r="J54" s="74">
        <v>0.0</v>
      </c>
      <c r="K54" s="74">
        <v>0.0</v>
      </c>
      <c r="L54" s="74">
        <v>0.0</v>
      </c>
      <c r="M54" s="74">
        <v>1.0</v>
      </c>
      <c r="N54" s="74">
        <v>0.0</v>
      </c>
      <c r="O54" s="13">
        <f t="shared" si="14"/>
        <v>3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N55" si="15">SUM(E45:E54)</f>
        <v>54</v>
      </c>
      <c r="F55" s="13">
        <f t="shared" si="15"/>
        <v>22</v>
      </c>
      <c r="G55" s="13">
        <f t="shared" si="15"/>
        <v>54</v>
      </c>
      <c r="H55" s="13">
        <f t="shared" si="15"/>
        <v>36</v>
      </c>
      <c r="I55" s="13">
        <f t="shared" si="15"/>
        <v>39</v>
      </c>
      <c r="J55" s="13">
        <f t="shared" si="15"/>
        <v>14</v>
      </c>
      <c r="K55" s="13">
        <f t="shared" si="15"/>
        <v>9</v>
      </c>
      <c r="L55" s="13">
        <f t="shared" si="15"/>
        <v>40</v>
      </c>
      <c r="M55" s="13">
        <f t="shared" si="15"/>
        <v>26</v>
      </c>
      <c r="N55" s="13">
        <f t="shared" si="15"/>
        <v>36</v>
      </c>
      <c r="O55" s="13">
        <f t="shared" si="14"/>
        <v>330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11.0</v>
      </c>
      <c r="F57" s="74">
        <v>28.0</v>
      </c>
      <c r="G57" s="74">
        <v>21.0</v>
      </c>
      <c r="H57" s="74">
        <v>19.0</v>
      </c>
      <c r="I57" s="74">
        <v>8.0</v>
      </c>
      <c r="J57" s="74">
        <v>6.0</v>
      </c>
      <c r="K57" s="74">
        <v>19.0</v>
      </c>
      <c r="L57" s="74">
        <v>7.0</v>
      </c>
      <c r="M57" s="74">
        <v>34.0</v>
      </c>
      <c r="N57" s="74">
        <v>18.0</v>
      </c>
      <c r="O57" s="13">
        <f t="shared" ref="O57:O67" si="16">SUM(E57:N57)</f>
        <v>171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9.0</v>
      </c>
      <c r="G58" s="74">
        <v>7.0</v>
      </c>
      <c r="H58" s="74">
        <v>12.0</v>
      </c>
      <c r="I58" s="74">
        <v>8.0</v>
      </c>
      <c r="J58" s="74">
        <v>2.0</v>
      </c>
      <c r="K58" s="74">
        <v>6.0</v>
      </c>
      <c r="L58" s="74">
        <v>13.0</v>
      </c>
      <c r="M58" s="74">
        <v>15.0</v>
      </c>
      <c r="N58" s="74">
        <v>5.0</v>
      </c>
      <c r="O58" s="13">
        <f t="shared" si="16"/>
        <v>85</v>
      </c>
    </row>
    <row r="59" ht="12.75" customHeight="1">
      <c r="A59" s="18"/>
      <c r="B59" s="55"/>
      <c r="C59" s="50" t="s">
        <v>52</v>
      </c>
      <c r="D59" s="56"/>
      <c r="E59" s="74">
        <v>6.0</v>
      </c>
      <c r="F59" s="74">
        <v>11.0</v>
      </c>
      <c r="G59" s="74">
        <v>15.0</v>
      </c>
      <c r="H59" s="74">
        <v>8.0</v>
      </c>
      <c r="I59" s="74">
        <v>14.0</v>
      </c>
      <c r="J59" s="74">
        <v>11.0</v>
      </c>
      <c r="K59" s="74">
        <v>16.0</v>
      </c>
      <c r="L59" s="74">
        <v>11.0</v>
      </c>
      <c r="M59" s="74">
        <v>4.0</v>
      </c>
      <c r="N59" s="74">
        <v>3.0</v>
      </c>
      <c r="O59" s="13">
        <f t="shared" si="16"/>
        <v>99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4.0</v>
      </c>
      <c r="H60" s="74">
        <v>3.0</v>
      </c>
      <c r="I60" s="74">
        <v>2.0</v>
      </c>
      <c r="J60" s="74">
        <v>2.0</v>
      </c>
      <c r="K60" s="74">
        <v>0.0</v>
      </c>
      <c r="L60" s="74">
        <v>3.0</v>
      </c>
      <c r="M60" s="74">
        <v>3.0</v>
      </c>
      <c r="N60" s="74">
        <v>1.0</v>
      </c>
      <c r="O60" s="13">
        <f t="shared" si="16"/>
        <v>20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0.0</v>
      </c>
      <c r="G61" s="74">
        <v>1.0</v>
      </c>
      <c r="H61" s="74">
        <v>2.0</v>
      </c>
      <c r="I61" s="74">
        <v>1.0</v>
      </c>
      <c r="J61" s="74">
        <v>1.0</v>
      </c>
      <c r="K61" s="74">
        <v>3.0</v>
      </c>
      <c r="L61" s="74">
        <v>0.0</v>
      </c>
      <c r="M61" s="74">
        <v>3.0</v>
      </c>
      <c r="N61" s="74">
        <v>0.0</v>
      </c>
      <c r="O61" s="13">
        <f t="shared" si="16"/>
        <v>12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0.0</v>
      </c>
      <c r="G62" s="74">
        <v>1.0</v>
      </c>
      <c r="H62" s="74">
        <v>0.0</v>
      </c>
      <c r="I62" s="74">
        <v>0.0</v>
      </c>
      <c r="J62" s="74">
        <v>0.0</v>
      </c>
      <c r="K62" s="74">
        <v>1.0</v>
      </c>
      <c r="L62" s="74">
        <v>0.0</v>
      </c>
      <c r="M62" s="74">
        <v>1.0</v>
      </c>
      <c r="N62" s="74">
        <v>0.0</v>
      </c>
      <c r="O62" s="13">
        <f t="shared" si="16"/>
        <v>5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1.0</v>
      </c>
      <c r="N63" s="74">
        <v>0.0</v>
      </c>
      <c r="O63" s="13">
        <f t="shared" si="16"/>
        <v>3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1.0</v>
      </c>
      <c r="N64" s="74">
        <v>0.0</v>
      </c>
      <c r="O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13">
        <f t="shared" si="16"/>
        <v>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1.0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1.0</v>
      </c>
      <c r="N66" s="74">
        <v>0.0</v>
      </c>
      <c r="O66" s="13">
        <f t="shared" si="16"/>
        <v>2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N67" si="17">SUM(E57:E66)</f>
        <v>31</v>
      </c>
      <c r="F67" s="13">
        <f t="shared" si="17"/>
        <v>49</v>
      </c>
      <c r="G67" s="13">
        <f t="shared" si="17"/>
        <v>51</v>
      </c>
      <c r="H67" s="13">
        <f t="shared" si="17"/>
        <v>44</v>
      </c>
      <c r="I67" s="13">
        <f t="shared" si="17"/>
        <v>34</v>
      </c>
      <c r="J67" s="13">
        <f t="shared" si="17"/>
        <v>22</v>
      </c>
      <c r="K67" s="13">
        <f t="shared" si="17"/>
        <v>45</v>
      </c>
      <c r="L67" s="13">
        <f t="shared" si="17"/>
        <v>34</v>
      </c>
      <c r="M67" s="13">
        <f t="shared" si="17"/>
        <v>63</v>
      </c>
      <c r="N67" s="13">
        <f t="shared" si="17"/>
        <v>27</v>
      </c>
      <c r="O67" s="13">
        <f t="shared" si="16"/>
        <v>400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3.0</v>
      </c>
      <c r="G69" s="74">
        <v>8.0</v>
      </c>
      <c r="H69" s="74">
        <v>4.0</v>
      </c>
      <c r="I69" s="74">
        <v>4.0</v>
      </c>
      <c r="J69" s="74">
        <v>12.0</v>
      </c>
      <c r="K69" s="74">
        <v>14.0</v>
      </c>
      <c r="L69" s="74">
        <v>5.0</v>
      </c>
      <c r="M69" s="74">
        <v>5.0</v>
      </c>
      <c r="N69" s="74">
        <v>6.0</v>
      </c>
      <c r="O69" s="13">
        <f t="shared" ref="O69:O79" si="18">SUM(E69:N69)</f>
        <v>71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2.0</v>
      </c>
      <c r="F70" s="74">
        <v>2.0</v>
      </c>
      <c r="G70" s="74">
        <v>7.0</v>
      </c>
      <c r="H70" s="74">
        <v>8.0</v>
      </c>
      <c r="I70" s="74">
        <v>2.0</v>
      </c>
      <c r="J70" s="74">
        <v>11.0</v>
      </c>
      <c r="K70" s="74">
        <v>14.0</v>
      </c>
      <c r="L70" s="74">
        <v>5.0</v>
      </c>
      <c r="M70" s="74">
        <v>1.0</v>
      </c>
      <c r="N70" s="74">
        <v>3.0</v>
      </c>
      <c r="O70" s="13">
        <f t="shared" si="18"/>
        <v>55</v>
      </c>
    </row>
    <row r="71" ht="12.75" customHeight="1">
      <c r="A71" s="18"/>
      <c r="B71" s="55"/>
      <c r="C71" s="50" t="s">
        <v>62</v>
      </c>
      <c r="D71" s="57"/>
      <c r="E71" s="74">
        <v>11.0</v>
      </c>
      <c r="F71" s="74">
        <v>1.0</v>
      </c>
      <c r="G71" s="74">
        <v>0.0</v>
      </c>
      <c r="H71" s="74">
        <v>2.0</v>
      </c>
      <c r="I71" s="74">
        <v>1.0</v>
      </c>
      <c r="J71" s="74">
        <v>4.0</v>
      </c>
      <c r="K71" s="74">
        <v>11.0</v>
      </c>
      <c r="L71" s="74">
        <v>5.0</v>
      </c>
      <c r="M71" s="74">
        <v>0.0</v>
      </c>
      <c r="N71" s="74">
        <v>3.0</v>
      </c>
      <c r="O71" s="13">
        <f t="shared" si="18"/>
        <v>38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2.0</v>
      </c>
      <c r="G72" s="74">
        <v>0.0</v>
      </c>
      <c r="H72" s="74">
        <v>3.0</v>
      </c>
      <c r="I72" s="74">
        <v>2.0</v>
      </c>
      <c r="J72" s="74">
        <v>2.0</v>
      </c>
      <c r="K72" s="74">
        <v>4.0</v>
      </c>
      <c r="L72" s="74">
        <v>0.0</v>
      </c>
      <c r="M72" s="74">
        <v>4.0</v>
      </c>
      <c r="N72" s="74">
        <v>1.0</v>
      </c>
      <c r="O72" s="13">
        <f t="shared" si="18"/>
        <v>19</v>
      </c>
    </row>
    <row r="73" ht="12.75" customHeight="1">
      <c r="A73" s="18"/>
      <c r="B73" s="55"/>
      <c r="C73" s="50" t="s">
        <v>64</v>
      </c>
      <c r="D73" s="57"/>
      <c r="E73" s="74">
        <v>0.0</v>
      </c>
      <c r="F73" s="74">
        <v>0.0</v>
      </c>
      <c r="G73" s="74">
        <v>1.0</v>
      </c>
      <c r="H73" s="74">
        <v>11.0</v>
      </c>
      <c r="I73" s="74">
        <v>0.0</v>
      </c>
      <c r="J73" s="74">
        <v>0.0</v>
      </c>
      <c r="K73" s="74">
        <v>0.0</v>
      </c>
      <c r="L73" s="74">
        <v>1.0</v>
      </c>
      <c r="M73" s="74">
        <v>1.0</v>
      </c>
      <c r="N73" s="74">
        <v>1.0</v>
      </c>
      <c r="O73" s="13">
        <f t="shared" si="18"/>
        <v>15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0.0</v>
      </c>
      <c r="G74" s="74">
        <v>1.0</v>
      </c>
      <c r="H74" s="74">
        <v>0.0</v>
      </c>
      <c r="I74" s="74">
        <v>1.0</v>
      </c>
      <c r="J74" s="74">
        <v>0.0</v>
      </c>
      <c r="K74" s="74">
        <v>1.0</v>
      </c>
      <c r="L74" s="74">
        <v>0.0</v>
      </c>
      <c r="M74" s="74">
        <v>0.0</v>
      </c>
      <c r="N74" s="74">
        <v>0.0</v>
      </c>
      <c r="O74" s="13">
        <f t="shared" si="18"/>
        <v>4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13">
        <f t="shared" si="18"/>
        <v>1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1.0</v>
      </c>
      <c r="K76" s="74">
        <v>0.0</v>
      </c>
      <c r="L76" s="74">
        <v>0.0</v>
      </c>
      <c r="M76" s="74">
        <v>0.0</v>
      </c>
      <c r="N76" s="74">
        <v>0.0</v>
      </c>
      <c r="O76" s="13">
        <f t="shared" si="18"/>
        <v>1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1.0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1.0</v>
      </c>
      <c r="N77" s="74">
        <v>0.0</v>
      </c>
      <c r="O77" s="13">
        <f t="shared" si="18"/>
        <v>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1.0</v>
      </c>
      <c r="N78" s="74">
        <v>1.0</v>
      </c>
      <c r="O78" s="13">
        <f t="shared" si="18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N79" si="19">SUM(E69:E78)</f>
        <v>26</v>
      </c>
      <c r="F79" s="13">
        <f t="shared" si="19"/>
        <v>9</v>
      </c>
      <c r="G79" s="13">
        <f t="shared" si="19"/>
        <v>17</v>
      </c>
      <c r="H79" s="13">
        <f t="shared" si="19"/>
        <v>28</v>
      </c>
      <c r="I79" s="13">
        <f t="shared" si="19"/>
        <v>10</v>
      </c>
      <c r="J79" s="13">
        <f t="shared" si="19"/>
        <v>30</v>
      </c>
      <c r="K79" s="13">
        <f t="shared" si="19"/>
        <v>44</v>
      </c>
      <c r="L79" s="13">
        <f t="shared" si="19"/>
        <v>17</v>
      </c>
      <c r="M79" s="13">
        <f t="shared" si="19"/>
        <v>13</v>
      </c>
      <c r="N79" s="13">
        <f t="shared" si="19"/>
        <v>15</v>
      </c>
      <c r="O79" s="13">
        <f t="shared" si="18"/>
        <v>209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5.0</v>
      </c>
      <c r="F81" s="74">
        <v>8.0</v>
      </c>
      <c r="G81" s="74">
        <v>9.0</v>
      </c>
      <c r="H81" s="74">
        <v>6.0</v>
      </c>
      <c r="I81" s="74">
        <v>12.0</v>
      </c>
      <c r="J81" s="74">
        <v>1.0</v>
      </c>
      <c r="K81" s="74">
        <v>9.0</v>
      </c>
      <c r="L81" s="74">
        <v>8.0</v>
      </c>
      <c r="M81" s="74">
        <v>9.0</v>
      </c>
      <c r="N81" s="74">
        <v>1.0</v>
      </c>
      <c r="O81" s="13">
        <f t="shared" ref="O81:O91" si="20">SUM(E81:N81)</f>
        <v>68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5.0</v>
      </c>
      <c r="F82" s="74">
        <v>1.0</v>
      </c>
      <c r="G82" s="74">
        <v>13.0</v>
      </c>
      <c r="H82" s="74">
        <v>10.0</v>
      </c>
      <c r="I82" s="74">
        <v>15.0</v>
      </c>
      <c r="J82" s="74">
        <v>0.0</v>
      </c>
      <c r="K82" s="74">
        <v>13.0</v>
      </c>
      <c r="L82" s="74">
        <v>17.0</v>
      </c>
      <c r="M82" s="74">
        <v>2.0</v>
      </c>
      <c r="N82" s="74">
        <v>4.0</v>
      </c>
      <c r="O82" s="13">
        <f t="shared" si="20"/>
        <v>80</v>
      </c>
    </row>
    <row r="83" ht="12.75" customHeight="1">
      <c r="A83" s="18"/>
      <c r="B83" s="55"/>
      <c r="C83" s="50" t="s">
        <v>72</v>
      </c>
      <c r="D83" s="57"/>
      <c r="E83" s="74">
        <v>4.0</v>
      </c>
      <c r="F83" s="74">
        <v>4.0</v>
      </c>
      <c r="G83" s="74">
        <v>6.0</v>
      </c>
      <c r="H83" s="74">
        <v>6.0</v>
      </c>
      <c r="I83" s="74">
        <v>2.0</v>
      </c>
      <c r="J83" s="74">
        <v>2.0</v>
      </c>
      <c r="K83" s="74">
        <v>21.0</v>
      </c>
      <c r="L83" s="74">
        <v>13.0</v>
      </c>
      <c r="M83" s="74">
        <v>1.0</v>
      </c>
      <c r="N83" s="74">
        <v>2.0</v>
      </c>
      <c r="O83" s="13">
        <f t="shared" si="20"/>
        <v>61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3.0</v>
      </c>
      <c r="H84" s="74">
        <v>2.0</v>
      </c>
      <c r="I84" s="74">
        <v>0.0</v>
      </c>
      <c r="J84" s="74">
        <v>0.0</v>
      </c>
      <c r="K84" s="74">
        <v>1.0</v>
      </c>
      <c r="L84" s="74">
        <v>1.0</v>
      </c>
      <c r="M84" s="74">
        <v>0.0</v>
      </c>
      <c r="N84" s="74">
        <v>1.0</v>
      </c>
      <c r="O84" s="13">
        <f t="shared" si="20"/>
        <v>8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0.0</v>
      </c>
      <c r="G85" s="74">
        <v>3.0</v>
      </c>
      <c r="H85" s="74">
        <v>2.0</v>
      </c>
      <c r="I85" s="74">
        <v>4.0</v>
      </c>
      <c r="J85" s="74">
        <v>0.0</v>
      </c>
      <c r="K85" s="74">
        <v>1.0</v>
      </c>
      <c r="L85" s="74">
        <v>1.0</v>
      </c>
      <c r="M85" s="74">
        <v>1.0</v>
      </c>
      <c r="N85" s="74">
        <v>0.0</v>
      </c>
      <c r="O85" s="13">
        <f t="shared" si="20"/>
        <v>13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0.0</v>
      </c>
      <c r="G86" s="74">
        <v>1.0</v>
      </c>
      <c r="H86" s="74">
        <v>3.0</v>
      </c>
      <c r="I86" s="74">
        <v>1.0</v>
      </c>
      <c r="J86" s="74">
        <v>0.0</v>
      </c>
      <c r="K86" s="74">
        <v>0.0</v>
      </c>
      <c r="L86" s="74">
        <v>1.0</v>
      </c>
      <c r="M86" s="74">
        <v>0.0</v>
      </c>
      <c r="N86" s="74">
        <v>0.0</v>
      </c>
      <c r="O86" s="13">
        <f t="shared" si="20"/>
        <v>7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13">
        <f t="shared" si="20"/>
        <v>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1.0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1.0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1.0</v>
      </c>
      <c r="O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1.0</v>
      </c>
      <c r="L90" s="74">
        <v>0.0</v>
      </c>
      <c r="M90" s="74">
        <v>0.0</v>
      </c>
      <c r="N90" s="74">
        <v>0.0</v>
      </c>
      <c r="O90" s="13">
        <f t="shared" si="20"/>
        <v>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N91" si="21">SUM(E81:E90)</f>
        <v>16</v>
      </c>
      <c r="F91" s="13">
        <f t="shared" si="21"/>
        <v>13</v>
      </c>
      <c r="G91" s="13">
        <f t="shared" si="21"/>
        <v>35</v>
      </c>
      <c r="H91" s="13">
        <f t="shared" si="21"/>
        <v>31</v>
      </c>
      <c r="I91" s="13">
        <f t="shared" si="21"/>
        <v>34</v>
      </c>
      <c r="J91" s="13">
        <f t="shared" si="21"/>
        <v>3</v>
      </c>
      <c r="K91" s="13">
        <f t="shared" si="21"/>
        <v>46</v>
      </c>
      <c r="L91" s="13">
        <f t="shared" si="21"/>
        <v>41</v>
      </c>
      <c r="M91" s="13">
        <f t="shared" si="21"/>
        <v>13</v>
      </c>
      <c r="N91" s="13">
        <f t="shared" si="21"/>
        <v>9</v>
      </c>
      <c r="O91" s="13">
        <f t="shared" si="20"/>
        <v>241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3.0</v>
      </c>
      <c r="F93" s="74">
        <v>1.0</v>
      </c>
      <c r="G93" s="74">
        <v>4.0</v>
      </c>
      <c r="H93" s="74">
        <v>4.0</v>
      </c>
      <c r="I93" s="74">
        <v>12.0</v>
      </c>
      <c r="J93" s="74">
        <v>0.0</v>
      </c>
      <c r="K93" s="74">
        <v>0.0</v>
      </c>
      <c r="L93" s="74">
        <v>0.0</v>
      </c>
      <c r="M93" s="74">
        <v>1.0</v>
      </c>
      <c r="N93" s="74">
        <v>1.0</v>
      </c>
      <c r="O93" s="13">
        <f t="shared" ref="O93:O103" si="22">SUM(E93:N93)</f>
        <v>26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5.0</v>
      </c>
      <c r="F94" s="74">
        <v>0.0</v>
      </c>
      <c r="G94" s="74">
        <v>17.0</v>
      </c>
      <c r="H94" s="74">
        <v>7.0</v>
      </c>
      <c r="I94" s="74">
        <v>14.0</v>
      </c>
      <c r="J94" s="74">
        <v>5.0</v>
      </c>
      <c r="K94" s="74">
        <v>0.0</v>
      </c>
      <c r="L94" s="74">
        <v>4.0</v>
      </c>
      <c r="M94" s="74">
        <v>0.0</v>
      </c>
      <c r="N94" s="74">
        <v>1.0</v>
      </c>
      <c r="O94" s="13">
        <f t="shared" si="22"/>
        <v>53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2.0</v>
      </c>
      <c r="H95" s="74">
        <v>0.0</v>
      </c>
      <c r="I95" s="74">
        <v>3.0</v>
      </c>
      <c r="J95" s="74">
        <v>0.0</v>
      </c>
      <c r="K95" s="74">
        <v>0.0</v>
      </c>
      <c r="L95" s="74">
        <v>1.0</v>
      </c>
      <c r="M95" s="74">
        <v>0.0</v>
      </c>
      <c r="N95" s="74">
        <v>0.0</v>
      </c>
      <c r="O95" s="13">
        <f t="shared" si="22"/>
        <v>6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0.0</v>
      </c>
      <c r="J96" s="74">
        <v>0.0</v>
      </c>
      <c r="K96" s="74">
        <v>1.0</v>
      </c>
      <c r="L96" s="74">
        <v>0.0</v>
      </c>
      <c r="M96" s="74">
        <v>0.0</v>
      </c>
      <c r="N96" s="74">
        <v>0.0</v>
      </c>
      <c r="O96" s="13">
        <f t="shared" si="22"/>
        <v>2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0.0</v>
      </c>
      <c r="G97" s="74">
        <v>0.0</v>
      </c>
      <c r="H97" s="74">
        <v>1.0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13">
        <f t="shared" si="22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1.0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13">
        <f t="shared" si="22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N103" si="23">SUM(E93:E100)</f>
        <v>9</v>
      </c>
      <c r="F103" s="13">
        <f t="shared" si="23"/>
        <v>1</v>
      </c>
      <c r="G103" s="13">
        <f t="shared" si="23"/>
        <v>25</v>
      </c>
      <c r="H103" s="13">
        <f t="shared" si="23"/>
        <v>14</v>
      </c>
      <c r="I103" s="13">
        <f t="shared" si="23"/>
        <v>29</v>
      </c>
      <c r="J103" s="13">
        <f t="shared" si="23"/>
        <v>5</v>
      </c>
      <c r="K103" s="13">
        <f t="shared" si="23"/>
        <v>1</v>
      </c>
      <c r="L103" s="13">
        <f t="shared" si="23"/>
        <v>5</v>
      </c>
      <c r="M103" s="13">
        <f t="shared" si="23"/>
        <v>1</v>
      </c>
      <c r="N103" s="13">
        <f t="shared" si="23"/>
        <v>2</v>
      </c>
      <c r="O103" s="13">
        <f t="shared" si="22"/>
        <v>92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  <c r="N104" s="77"/>
      <c r="O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74">
        <v>2.0</v>
      </c>
      <c r="N105" s="74">
        <v>6.0</v>
      </c>
      <c r="O105" s="13">
        <f t="shared" ref="O105:O107" si="24">SUM(E105:N105)</f>
        <v>10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1.0</v>
      </c>
      <c r="G106" s="74">
        <v>0.0</v>
      </c>
      <c r="H106" s="74">
        <v>2.0</v>
      </c>
      <c r="I106" s="74">
        <v>0.0</v>
      </c>
      <c r="J106" s="74">
        <v>1.0</v>
      </c>
      <c r="K106" s="74">
        <v>0.0</v>
      </c>
      <c r="L106" s="74">
        <v>1.0</v>
      </c>
      <c r="M106" s="74">
        <v>0.0</v>
      </c>
      <c r="N106" s="74">
        <v>0.0</v>
      </c>
      <c r="O106" s="13">
        <f t="shared" si="24"/>
        <v>5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13">
        <f t="shared" si="24"/>
        <v>0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19"/>
      <c r="O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19"/>
      <c r="O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19"/>
      <c r="O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19"/>
      <c r="O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19"/>
      <c r="O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19"/>
      <c r="O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19"/>
      <c r="O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N115" si="25">SUM(E105:E112)</f>
        <v>0</v>
      </c>
      <c r="F115" s="13">
        <f t="shared" si="25"/>
        <v>2</v>
      </c>
      <c r="G115" s="13">
        <f t="shared" si="25"/>
        <v>0</v>
      </c>
      <c r="H115" s="13">
        <f t="shared" si="25"/>
        <v>3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6</v>
      </c>
      <c r="O115" s="13">
        <f>SUM(E115:N115)</f>
        <v>15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77"/>
      <c r="O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1.0</v>
      </c>
      <c r="I117" s="74">
        <v>0.0</v>
      </c>
      <c r="J117" s="74">
        <v>1.0</v>
      </c>
      <c r="K117" s="74">
        <v>0.0</v>
      </c>
      <c r="L117" s="74">
        <v>0.0</v>
      </c>
      <c r="M117" s="74">
        <v>19.0</v>
      </c>
      <c r="N117" s="74">
        <v>6.0</v>
      </c>
      <c r="O117" s="13">
        <f t="shared" ref="O117:O122" si="26">SUM(E117:N117)</f>
        <v>27</v>
      </c>
      <c r="P117" s="5"/>
      <c r="Q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1.0</v>
      </c>
      <c r="J118" s="74">
        <v>0.0</v>
      </c>
      <c r="K118" s="74">
        <v>1.0</v>
      </c>
      <c r="L118" s="74">
        <v>0.0</v>
      </c>
      <c r="M118" s="74">
        <v>7.0</v>
      </c>
      <c r="N118" s="74">
        <v>1.0</v>
      </c>
      <c r="O118" s="13">
        <f t="shared" si="26"/>
        <v>11</v>
      </c>
      <c r="P118" s="5"/>
      <c r="Q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1.0</v>
      </c>
      <c r="M119" s="74">
        <v>3.0</v>
      </c>
      <c r="N119" s="74">
        <v>0.0</v>
      </c>
      <c r="O119" s="13">
        <f t="shared" si="26"/>
        <v>4</v>
      </c>
      <c r="P119" s="5"/>
      <c r="Q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5.0</v>
      </c>
      <c r="N120" s="74">
        <v>0.0</v>
      </c>
      <c r="O120" s="13">
        <f t="shared" si="26"/>
        <v>5</v>
      </c>
      <c r="P120" s="5"/>
      <c r="Q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1.0</v>
      </c>
      <c r="N121" s="74">
        <v>0.0</v>
      </c>
      <c r="O121" s="13">
        <f t="shared" si="26"/>
        <v>1</v>
      </c>
      <c r="P121" s="5"/>
      <c r="Q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2.0</v>
      </c>
      <c r="N122" s="74">
        <v>0.0</v>
      </c>
      <c r="O122" s="13">
        <f t="shared" si="26"/>
        <v>2</v>
      </c>
      <c r="P122" s="5"/>
      <c r="Q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79"/>
      <c r="P123" s="5"/>
      <c r="Q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79"/>
      <c r="P124" s="5"/>
      <c r="Q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79"/>
      <c r="P125" s="5"/>
      <c r="Q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79"/>
      <c r="P126" s="5"/>
      <c r="Q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N127" si="27">SUM(E117:E122)</f>
        <v>0</v>
      </c>
      <c r="F127" s="63">
        <f t="shared" si="27"/>
        <v>1</v>
      </c>
      <c r="G127" s="63">
        <f t="shared" si="27"/>
        <v>0</v>
      </c>
      <c r="H127" s="63">
        <f t="shared" si="27"/>
        <v>1</v>
      </c>
      <c r="I127" s="63">
        <f t="shared" si="27"/>
        <v>1</v>
      </c>
      <c r="J127" s="63">
        <f t="shared" si="27"/>
        <v>1</v>
      </c>
      <c r="K127" s="63">
        <f t="shared" si="27"/>
        <v>1</v>
      </c>
      <c r="L127" s="63">
        <f t="shared" si="27"/>
        <v>1</v>
      </c>
      <c r="M127" s="63">
        <f t="shared" si="27"/>
        <v>37</v>
      </c>
      <c r="N127" s="63">
        <f t="shared" si="27"/>
        <v>7</v>
      </c>
      <c r="O127" s="13">
        <f>SUM(E127:N127)</f>
        <v>50</v>
      </c>
      <c r="P127" s="5"/>
      <c r="Q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5"/>
      <c r="Q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1.0</v>
      </c>
      <c r="I129" s="74">
        <v>0.0</v>
      </c>
      <c r="J129" s="74">
        <v>2.0</v>
      </c>
      <c r="K129" s="74">
        <v>1.0</v>
      </c>
      <c r="L129" s="74">
        <v>0.0</v>
      </c>
      <c r="M129" s="74">
        <v>0.0</v>
      </c>
      <c r="N129" s="74">
        <v>7.0</v>
      </c>
      <c r="O129" s="13">
        <f t="shared" ref="O129:O139" si="28">SUM(E129:N129)</f>
        <v>11</v>
      </c>
      <c r="P129" s="5"/>
      <c r="Q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1.0</v>
      </c>
      <c r="H130" s="74">
        <v>1.0</v>
      </c>
      <c r="I130" s="74">
        <v>1.0</v>
      </c>
      <c r="J130" s="74">
        <v>0.0</v>
      </c>
      <c r="K130" s="74">
        <v>1.0</v>
      </c>
      <c r="L130" s="74">
        <v>0.0</v>
      </c>
      <c r="M130" s="74">
        <v>2.0</v>
      </c>
      <c r="N130" s="74">
        <v>5.0</v>
      </c>
      <c r="O130" s="13">
        <f t="shared" si="28"/>
        <v>11</v>
      </c>
      <c r="P130" s="1"/>
      <c r="Q130" s="1"/>
    </row>
    <row r="131" ht="12.75" customHeight="1">
      <c r="A131" s="18"/>
      <c r="B131" s="55"/>
      <c r="C131" s="50" t="s">
        <v>105</v>
      </c>
      <c r="D131" s="56"/>
      <c r="E131" s="74">
        <v>1.0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1.0</v>
      </c>
      <c r="M131" s="74">
        <v>0.0</v>
      </c>
      <c r="N131" s="74">
        <v>3.0</v>
      </c>
      <c r="O131" s="13">
        <f t="shared" si="28"/>
        <v>6</v>
      </c>
      <c r="P131" s="52"/>
      <c r="Q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1.0</v>
      </c>
      <c r="K132" s="74">
        <v>0.0</v>
      </c>
      <c r="L132" s="74">
        <v>0.0</v>
      </c>
      <c r="M132" s="74">
        <v>0.0</v>
      </c>
      <c r="N132" s="74">
        <v>1.0</v>
      </c>
      <c r="O132" s="13">
        <f t="shared" si="28"/>
        <v>2</v>
      </c>
      <c r="P132" s="5"/>
      <c r="Q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1.0</v>
      </c>
      <c r="L133" s="74">
        <v>0.0</v>
      </c>
      <c r="M133" s="74">
        <v>0.0</v>
      </c>
      <c r="N133" s="74">
        <v>0.0</v>
      </c>
      <c r="O133" s="13">
        <f t="shared" si="28"/>
        <v>1</v>
      </c>
      <c r="P133" s="5"/>
      <c r="Q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1.0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1.0</v>
      </c>
      <c r="O134" s="13">
        <f t="shared" si="28"/>
        <v>2</v>
      </c>
      <c r="P134" s="5"/>
      <c r="Q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13.0</v>
      </c>
      <c r="L135" s="74">
        <v>1.0</v>
      </c>
      <c r="M135" s="74">
        <v>1.0</v>
      </c>
      <c r="N135" s="74">
        <v>41.0</v>
      </c>
      <c r="O135" s="13">
        <f t="shared" si="28"/>
        <v>56</v>
      </c>
      <c r="P135" s="5"/>
      <c r="Q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13">
        <f t="shared" si="28"/>
        <v>0</v>
      </c>
      <c r="P136" s="5"/>
      <c r="Q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13">
        <f t="shared" si="28"/>
        <v>0</v>
      </c>
      <c r="P137" s="5"/>
      <c r="Q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13">
        <f t="shared" si="28"/>
        <v>0</v>
      </c>
      <c r="P138" s="5"/>
      <c r="Q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>SUM(E129:E138)</f>
        <v>1</v>
      </c>
      <c r="F139" s="13">
        <f t="shared" ref="F139:N139" si="29">SUM(F129:F136)</f>
        <v>1</v>
      </c>
      <c r="G139" s="13">
        <f t="shared" si="29"/>
        <v>1</v>
      </c>
      <c r="H139" s="13">
        <f t="shared" si="29"/>
        <v>2</v>
      </c>
      <c r="I139" s="13">
        <f t="shared" si="29"/>
        <v>2</v>
      </c>
      <c r="J139" s="13">
        <f t="shared" si="29"/>
        <v>3</v>
      </c>
      <c r="K139" s="13">
        <f t="shared" si="29"/>
        <v>16</v>
      </c>
      <c r="L139" s="13">
        <f t="shared" si="29"/>
        <v>2</v>
      </c>
      <c r="M139" s="13">
        <f t="shared" si="29"/>
        <v>3</v>
      </c>
      <c r="N139" s="13">
        <f t="shared" si="29"/>
        <v>58</v>
      </c>
      <c r="O139" s="13">
        <f t="shared" si="28"/>
        <v>89</v>
      </c>
      <c r="P139" s="5"/>
      <c r="Q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5"/>
      <c r="Q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1.0</v>
      </c>
      <c r="J141" s="74">
        <v>0.0</v>
      </c>
      <c r="K141" s="74">
        <v>1.0</v>
      </c>
      <c r="L141" s="74">
        <v>0.0</v>
      </c>
      <c r="M141" s="74">
        <v>0.0</v>
      </c>
      <c r="N141" s="74">
        <v>0.0</v>
      </c>
      <c r="O141" s="13">
        <f t="shared" ref="O141:O144" si="30">SUM(E141:N141)</f>
        <v>2</v>
      </c>
      <c r="P141" s="1"/>
      <c r="Q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13">
        <f t="shared" si="30"/>
        <v>0</v>
      </c>
      <c r="P142" s="52"/>
      <c r="Q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13">
        <f t="shared" si="30"/>
        <v>0</v>
      </c>
      <c r="P143" s="5"/>
      <c r="Q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13">
        <f t="shared" si="30"/>
        <v>0</v>
      </c>
      <c r="P144" s="5"/>
      <c r="Q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79"/>
      <c r="P145" s="5"/>
      <c r="Q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79"/>
      <c r="P146" s="5"/>
      <c r="Q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79"/>
      <c r="P147" s="5"/>
      <c r="Q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79"/>
      <c r="P148" s="5"/>
      <c r="Q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79"/>
      <c r="P149" s="5"/>
      <c r="Q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79"/>
      <c r="P150" s="5"/>
      <c r="Q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N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>SUM(E151:N151)</f>
        <v>2</v>
      </c>
      <c r="P151" s="1"/>
      <c r="Q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77"/>
      <c r="O152" s="13"/>
      <c r="P152" s="52"/>
      <c r="Q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7.0</v>
      </c>
      <c r="G153" s="74">
        <v>0.0</v>
      </c>
      <c r="H153" s="74">
        <v>1.0</v>
      </c>
      <c r="I153" s="74">
        <v>0.0</v>
      </c>
      <c r="J153" s="74">
        <v>1.0</v>
      </c>
      <c r="K153" s="74">
        <v>0.0</v>
      </c>
      <c r="L153" s="74">
        <v>0.0</v>
      </c>
      <c r="M153" s="74">
        <v>7.0</v>
      </c>
      <c r="N153" s="74">
        <v>1.0</v>
      </c>
      <c r="O153" s="13">
        <f t="shared" ref="O153:O160" si="32">SUM(E153:N153)</f>
        <v>18</v>
      </c>
      <c r="P153" s="5"/>
      <c r="Q153" s="5"/>
    </row>
    <row r="154" ht="12.75" customHeight="1">
      <c r="A154" s="65" t="s">
        <v>39</v>
      </c>
      <c r="B154" s="55"/>
      <c r="C154" s="50" t="s">
        <v>120</v>
      </c>
      <c r="D154" s="57"/>
      <c r="E154" s="80">
        <v>0.0</v>
      </c>
      <c r="F154" s="74">
        <v>6.0</v>
      </c>
      <c r="G154" s="74">
        <v>3.0</v>
      </c>
      <c r="H154" s="74">
        <v>1.0</v>
      </c>
      <c r="I154" s="74">
        <v>0.0</v>
      </c>
      <c r="J154" s="74">
        <v>1.0</v>
      </c>
      <c r="K154" s="74">
        <v>0.0</v>
      </c>
      <c r="L154" s="74">
        <v>0.0</v>
      </c>
      <c r="M154" s="74">
        <v>10.0</v>
      </c>
      <c r="N154" s="74">
        <v>0.0</v>
      </c>
      <c r="O154" s="13">
        <f t="shared" si="32"/>
        <v>21</v>
      </c>
      <c r="P154" s="5"/>
      <c r="Q154" s="5"/>
    </row>
    <row r="155" ht="12.75" customHeight="1">
      <c r="A155" s="18"/>
      <c r="B155" s="55"/>
      <c r="C155" s="50" t="s">
        <v>121</v>
      </c>
      <c r="D155" s="57"/>
      <c r="E155" s="80">
        <v>0.0</v>
      </c>
      <c r="F155" s="74">
        <v>1.0</v>
      </c>
      <c r="G155" s="74">
        <v>1.0</v>
      </c>
      <c r="H155" s="74">
        <v>0.0</v>
      </c>
      <c r="I155" s="74">
        <v>0.0</v>
      </c>
      <c r="J155" s="74">
        <v>1.0</v>
      </c>
      <c r="K155" s="74">
        <v>0.0</v>
      </c>
      <c r="L155" s="74">
        <v>0.0</v>
      </c>
      <c r="M155" s="74">
        <v>1.0</v>
      </c>
      <c r="N155" s="74">
        <v>1.0</v>
      </c>
      <c r="O155" s="13">
        <f t="shared" si="32"/>
        <v>5</v>
      </c>
      <c r="P155" s="5"/>
      <c r="Q155" s="5"/>
    </row>
    <row r="156" ht="12.75" customHeight="1">
      <c r="A156" s="18"/>
      <c r="B156" s="55"/>
      <c r="C156" s="50" t="s">
        <v>122</v>
      </c>
      <c r="D156" s="57"/>
      <c r="E156" s="80">
        <v>1.0</v>
      </c>
      <c r="F156" s="74">
        <v>0.0</v>
      </c>
      <c r="G156" s="74">
        <v>0.0</v>
      </c>
      <c r="H156" s="74">
        <v>1.0</v>
      </c>
      <c r="I156" s="74">
        <v>0.0</v>
      </c>
      <c r="J156" s="74">
        <v>1.0</v>
      </c>
      <c r="K156" s="74">
        <v>0.0</v>
      </c>
      <c r="L156" s="74">
        <v>0.0</v>
      </c>
      <c r="M156" s="74">
        <v>1.0</v>
      </c>
      <c r="N156" s="74">
        <v>0.0</v>
      </c>
      <c r="O156" s="13">
        <f t="shared" si="32"/>
        <v>4</v>
      </c>
      <c r="P156" s="5"/>
      <c r="Q156" s="5"/>
    </row>
    <row r="157" ht="12.75" customHeight="1">
      <c r="A157" s="18"/>
      <c r="B157" s="55"/>
      <c r="C157" s="50" t="s">
        <v>123</v>
      </c>
      <c r="D157" s="57"/>
      <c r="E157" s="80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13">
        <f t="shared" si="32"/>
        <v>1</v>
      </c>
      <c r="P157" s="5"/>
      <c r="Q157" s="5"/>
    </row>
    <row r="158" ht="12.75" customHeight="1">
      <c r="A158" s="18"/>
      <c r="B158" s="55"/>
      <c r="C158" s="50" t="s">
        <v>124</v>
      </c>
      <c r="D158" s="57"/>
      <c r="E158" s="80">
        <v>0.0</v>
      </c>
      <c r="F158" s="74">
        <v>1.0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13">
        <f t="shared" si="32"/>
        <v>1</v>
      </c>
      <c r="P158" s="5"/>
      <c r="Q158" s="5"/>
    </row>
    <row r="159" ht="12.75" customHeight="1">
      <c r="A159" s="18"/>
      <c r="B159" s="55"/>
      <c r="C159" s="50" t="s">
        <v>125</v>
      </c>
      <c r="D159" s="57"/>
      <c r="E159" s="80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13">
        <f t="shared" si="32"/>
        <v>0</v>
      </c>
      <c r="P159" s="5"/>
      <c r="Q159" s="5"/>
    </row>
    <row r="160" ht="12.75" customHeight="1">
      <c r="A160" s="18"/>
      <c r="B160" s="55"/>
      <c r="C160" s="50" t="s">
        <v>126</v>
      </c>
      <c r="D160" s="57"/>
      <c r="E160" s="80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13">
        <f t="shared" si="32"/>
        <v>0</v>
      </c>
      <c r="P160" s="5"/>
      <c r="Q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79"/>
      <c r="P161" s="5"/>
      <c r="Q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79"/>
      <c r="P162" s="5"/>
      <c r="Q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O163" si="33">SUM(E153:E160)</f>
        <v>2</v>
      </c>
      <c r="F163" s="13">
        <f t="shared" si="33"/>
        <v>15</v>
      </c>
      <c r="G163" s="13">
        <f t="shared" si="33"/>
        <v>4</v>
      </c>
      <c r="H163" s="13">
        <f t="shared" si="33"/>
        <v>4</v>
      </c>
      <c r="I163" s="13">
        <f t="shared" si="33"/>
        <v>0</v>
      </c>
      <c r="J163" s="13">
        <f t="shared" si="33"/>
        <v>4</v>
      </c>
      <c r="K163" s="13">
        <f t="shared" si="33"/>
        <v>0</v>
      </c>
      <c r="L163" s="13">
        <f t="shared" si="33"/>
        <v>0</v>
      </c>
      <c r="M163" s="13">
        <f t="shared" si="33"/>
        <v>19</v>
      </c>
      <c r="N163" s="13">
        <f t="shared" si="33"/>
        <v>2</v>
      </c>
      <c r="O163" s="13">
        <f t="shared" si="33"/>
        <v>50</v>
      </c>
      <c r="P163" s="5"/>
      <c r="Q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5"/>
      <c r="Q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1.0</v>
      </c>
      <c r="J165" s="74">
        <v>0.0</v>
      </c>
      <c r="K165" s="74">
        <v>0.0</v>
      </c>
      <c r="L165" s="74">
        <v>1.0</v>
      </c>
      <c r="M165" s="74">
        <v>0.0</v>
      </c>
      <c r="N165" s="74">
        <v>1.0</v>
      </c>
      <c r="O165" s="13">
        <f t="shared" ref="O165:O166" si="34">SUM(E165:N165)</f>
        <v>4</v>
      </c>
      <c r="P165" s="1"/>
      <c r="Q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13">
        <f t="shared" si="34"/>
        <v>0</v>
      </c>
      <c r="P166" s="52"/>
      <c r="Q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79"/>
      <c r="P167" s="5"/>
      <c r="Q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79"/>
      <c r="P168" s="5"/>
      <c r="Q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79"/>
      <c r="P169" s="5"/>
      <c r="Q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79"/>
      <c r="P170" s="5"/>
      <c r="Q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79"/>
      <c r="P171" s="5"/>
      <c r="Q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79"/>
      <c r="P172" s="5"/>
      <c r="Q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79"/>
      <c r="P173" s="5"/>
      <c r="Q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79"/>
      <c r="P174" s="5"/>
      <c r="Q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N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>SUM(E175:N175)</f>
        <v>4</v>
      </c>
      <c r="P175" s="5"/>
      <c r="Q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1"/>
      <c r="Q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2.0</v>
      </c>
      <c r="H177" s="74">
        <v>0.0</v>
      </c>
      <c r="I177" s="74">
        <v>0.0</v>
      </c>
      <c r="J177" s="74">
        <v>0.0</v>
      </c>
      <c r="K177" s="74">
        <v>1.0</v>
      </c>
      <c r="L177" s="74">
        <v>0.0</v>
      </c>
      <c r="M177" s="74">
        <v>1.0</v>
      </c>
      <c r="N177" s="74">
        <v>0.0</v>
      </c>
      <c r="O177" s="13">
        <f t="shared" ref="O177:O187" si="36">SUM(E177:N177)</f>
        <v>5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2.0</v>
      </c>
      <c r="H178" s="74">
        <v>0.0</v>
      </c>
      <c r="I178" s="74">
        <v>0.0</v>
      </c>
      <c r="J178" s="74">
        <v>0.0</v>
      </c>
      <c r="K178" s="74">
        <v>0.0</v>
      </c>
      <c r="L178" s="74">
        <v>2.0</v>
      </c>
      <c r="M178" s="74">
        <v>1.0</v>
      </c>
      <c r="N178" s="74">
        <v>0.0</v>
      </c>
      <c r="O178" s="13">
        <f t="shared" si="36"/>
        <v>5</v>
      </c>
      <c r="P178" s="5"/>
      <c r="Q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1.0</v>
      </c>
      <c r="M179" s="74">
        <v>0.0</v>
      </c>
      <c r="N179" s="74">
        <v>1.0</v>
      </c>
      <c r="O179" s="13">
        <f t="shared" si="36"/>
        <v>2</v>
      </c>
      <c r="P179" s="5"/>
      <c r="Q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1.0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13">
        <f t="shared" si="36"/>
        <v>2</v>
      </c>
      <c r="P180" s="5"/>
      <c r="Q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13">
        <f t="shared" si="36"/>
        <v>0</v>
      </c>
      <c r="P181" s="5"/>
      <c r="Q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1.0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13">
        <f t="shared" si="36"/>
        <v>1</v>
      </c>
      <c r="P182" s="5"/>
      <c r="Q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13">
        <f t="shared" si="36"/>
        <v>0</v>
      </c>
      <c r="P183" s="5"/>
      <c r="Q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1.0</v>
      </c>
      <c r="O184" s="13">
        <f t="shared" si="36"/>
        <v>1</v>
      </c>
      <c r="P184" s="5"/>
      <c r="Q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13">
        <f t="shared" si="36"/>
        <v>0</v>
      </c>
      <c r="P185" s="5"/>
      <c r="Q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13">
        <f t="shared" si="36"/>
        <v>0</v>
      </c>
      <c r="P186" s="5"/>
      <c r="Q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>SUM(E177:E186)</f>
        <v>1</v>
      </c>
      <c r="F187" s="13">
        <f t="shared" ref="F187:N187" si="37">SUM(F177:F184)</f>
        <v>0</v>
      </c>
      <c r="G187" s="13">
        <f t="shared" si="37"/>
        <v>5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3</v>
      </c>
      <c r="M187" s="13">
        <f t="shared" si="37"/>
        <v>2</v>
      </c>
      <c r="N187" s="13">
        <f t="shared" si="37"/>
        <v>2</v>
      </c>
      <c r="O187" s="13">
        <f t="shared" si="36"/>
        <v>16</v>
      </c>
      <c r="P187" s="1"/>
      <c r="Q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77"/>
      <c r="O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2.0</v>
      </c>
      <c r="G189" s="74">
        <v>0.0</v>
      </c>
      <c r="H189" s="74">
        <v>0.0</v>
      </c>
      <c r="I189" s="74">
        <v>0.0</v>
      </c>
      <c r="J189" s="74">
        <v>0.0</v>
      </c>
      <c r="K189" s="74">
        <v>8.0</v>
      </c>
      <c r="L189" s="74">
        <v>0.0</v>
      </c>
      <c r="M189" s="74">
        <v>1.0</v>
      </c>
      <c r="N189" s="74">
        <v>0.0</v>
      </c>
      <c r="O189" s="13">
        <f t="shared" ref="O189:O199" si="38">SUM(E189:N189)</f>
        <v>11</v>
      </c>
      <c r="P189" s="5"/>
      <c r="Q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7.0</v>
      </c>
      <c r="L190" s="74">
        <v>0.0</v>
      </c>
      <c r="M190" s="74">
        <v>0.0</v>
      </c>
      <c r="N190" s="74">
        <v>0.0</v>
      </c>
      <c r="O190" s="13">
        <f t="shared" si="38"/>
        <v>7</v>
      </c>
      <c r="P190" s="5"/>
      <c r="Q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1.0</v>
      </c>
      <c r="I191" s="74">
        <v>0.0</v>
      </c>
      <c r="J191" s="74">
        <v>2.0</v>
      </c>
      <c r="K191" s="74">
        <v>8.0</v>
      </c>
      <c r="L191" s="74">
        <v>1.0</v>
      </c>
      <c r="M191" s="74">
        <v>0.0</v>
      </c>
      <c r="N191" s="74">
        <v>0.0</v>
      </c>
      <c r="O191" s="13">
        <f t="shared" si="38"/>
        <v>12</v>
      </c>
      <c r="P191" s="5"/>
      <c r="Q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1.0</v>
      </c>
      <c r="L192" s="74">
        <v>1.0</v>
      </c>
      <c r="M192" s="74">
        <v>0.0</v>
      </c>
      <c r="N192" s="74">
        <v>0.0</v>
      </c>
      <c r="O192" s="13">
        <f t="shared" si="38"/>
        <v>2</v>
      </c>
      <c r="P192" s="5"/>
      <c r="Q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1.0</v>
      </c>
      <c r="H193" s="74">
        <v>0.0</v>
      </c>
      <c r="I193" s="74">
        <v>0.0</v>
      </c>
      <c r="J193" s="74">
        <v>0.0</v>
      </c>
      <c r="K193" s="74">
        <v>1.0</v>
      </c>
      <c r="L193" s="74">
        <v>0.0</v>
      </c>
      <c r="M193" s="74">
        <v>0.0</v>
      </c>
      <c r="N193" s="74">
        <v>0.0</v>
      </c>
      <c r="O193" s="13">
        <f t="shared" si="38"/>
        <v>2</v>
      </c>
      <c r="P193" s="5"/>
      <c r="Q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13">
        <f t="shared" si="38"/>
        <v>0</v>
      </c>
      <c r="P194" s="5"/>
      <c r="Q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13">
        <f t="shared" si="38"/>
        <v>0</v>
      </c>
      <c r="P195" s="5"/>
      <c r="Q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1.0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13">
        <f t="shared" si="38"/>
        <v>1</v>
      </c>
      <c r="P196" s="1"/>
      <c r="Q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13">
        <f t="shared" si="38"/>
        <v>0</v>
      </c>
      <c r="P197" s="1"/>
      <c r="Q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13">
        <f t="shared" si="38"/>
        <v>0</v>
      </c>
      <c r="P198" s="1"/>
      <c r="Q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M199" si="39">SUM(E189:E198)</f>
        <v>0</v>
      </c>
      <c r="F199" s="13">
        <f t="shared" si="39"/>
        <v>2</v>
      </c>
      <c r="G199" s="13">
        <f t="shared" si="39"/>
        <v>1</v>
      </c>
      <c r="H199" s="13">
        <f t="shared" si="39"/>
        <v>2</v>
      </c>
      <c r="I199" s="13">
        <f t="shared" si="39"/>
        <v>0</v>
      </c>
      <c r="J199" s="13">
        <f t="shared" si="39"/>
        <v>2</v>
      </c>
      <c r="K199" s="13">
        <f t="shared" si="39"/>
        <v>25</v>
      </c>
      <c r="L199" s="13">
        <f t="shared" si="39"/>
        <v>2</v>
      </c>
      <c r="M199" s="13">
        <f t="shared" si="39"/>
        <v>1</v>
      </c>
      <c r="N199" s="74">
        <v>0.0</v>
      </c>
      <c r="O199" s="13">
        <f t="shared" si="38"/>
        <v>35</v>
      </c>
      <c r="P199" s="52"/>
      <c r="Q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5"/>
      <c r="Q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2.0</v>
      </c>
      <c r="F201" s="74">
        <v>10.0</v>
      </c>
      <c r="G201" s="74">
        <v>4.0</v>
      </c>
      <c r="H201" s="74">
        <v>1.0</v>
      </c>
      <c r="I201" s="74">
        <v>4.0</v>
      </c>
      <c r="J201" s="74">
        <v>1.0</v>
      </c>
      <c r="K201" s="74">
        <v>0.0</v>
      </c>
      <c r="L201" s="74">
        <v>7.0</v>
      </c>
      <c r="M201" s="74">
        <v>2.0</v>
      </c>
      <c r="N201" s="74">
        <v>2.0</v>
      </c>
      <c r="O201" s="13">
        <f t="shared" ref="O201:O211" si="40">SUM(E201:N201)</f>
        <v>33</v>
      </c>
      <c r="P201" s="5"/>
      <c r="Q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1.0</v>
      </c>
      <c r="F202" s="74">
        <v>2.0</v>
      </c>
      <c r="G202" s="74">
        <v>4.0</v>
      </c>
      <c r="H202" s="74">
        <v>4.0</v>
      </c>
      <c r="I202" s="74">
        <v>0.0</v>
      </c>
      <c r="J202" s="74">
        <v>3.0</v>
      </c>
      <c r="K202" s="74">
        <v>1.0</v>
      </c>
      <c r="L202" s="74">
        <v>2.0</v>
      </c>
      <c r="M202" s="74">
        <v>1.0</v>
      </c>
      <c r="N202" s="74">
        <v>0.0</v>
      </c>
      <c r="O202" s="13">
        <f t="shared" si="40"/>
        <v>18</v>
      </c>
      <c r="P202" s="5"/>
      <c r="Q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7.0</v>
      </c>
      <c r="G203" s="74">
        <v>2.0</v>
      </c>
      <c r="H203" s="74">
        <v>0.0</v>
      </c>
      <c r="I203" s="74">
        <v>5.0</v>
      </c>
      <c r="J203" s="74">
        <v>1.0</v>
      </c>
      <c r="K203" s="74">
        <v>0.0</v>
      </c>
      <c r="L203" s="74">
        <v>4.0</v>
      </c>
      <c r="M203" s="74">
        <v>5.0</v>
      </c>
      <c r="N203" s="74">
        <v>0.0</v>
      </c>
      <c r="O203" s="13">
        <f t="shared" si="40"/>
        <v>25</v>
      </c>
      <c r="P203" s="5"/>
      <c r="Q203" s="5"/>
    </row>
    <row r="204" ht="12.75" customHeight="1">
      <c r="A204" s="18"/>
      <c r="B204" s="55"/>
      <c r="C204" s="50" t="s">
        <v>156</v>
      </c>
      <c r="D204" s="57"/>
      <c r="E204" s="74">
        <v>2.0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1.0</v>
      </c>
      <c r="L204" s="74">
        <v>0.0</v>
      </c>
      <c r="M204" s="74">
        <v>0.0</v>
      </c>
      <c r="N204" s="74">
        <v>0.0</v>
      </c>
      <c r="O204" s="13">
        <f t="shared" si="40"/>
        <v>4</v>
      </c>
      <c r="P204" s="5"/>
      <c r="Q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1.0</v>
      </c>
      <c r="H205" s="74">
        <v>0.0</v>
      </c>
      <c r="I205" s="74">
        <v>1.0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13">
        <f t="shared" si="40"/>
        <v>3</v>
      </c>
      <c r="P205" s="5"/>
      <c r="Q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13">
        <f t="shared" si="40"/>
        <v>0</v>
      </c>
      <c r="P206" s="5"/>
      <c r="Q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13">
        <f t="shared" si="40"/>
        <v>1</v>
      </c>
      <c r="P207" s="1"/>
      <c r="Q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1.0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13">
        <f t="shared" si="40"/>
        <v>1</v>
      </c>
      <c r="P208" s="52"/>
      <c r="Q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13">
        <f t="shared" si="40"/>
        <v>0</v>
      </c>
      <c r="P209" s="52"/>
      <c r="Q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13">
        <f t="shared" si="40"/>
        <v>0</v>
      </c>
      <c r="P210" s="52"/>
      <c r="Q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>SUM(E201:E210)</f>
        <v>7</v>
      </c>
      <c r="F211" s="13">
        <f t="shared" ref="F211:N211" si="41">SUM(F201:F208)</f>
        <v>20</v>
      </c>
      <c r="G211" s="13">
        <f t="shared" si="41"/>
        <v>12</v>
      </c>
      <c r="H211" s="13">
        <f t="shared" si="41"/>
        <v>5</v>
      </c>
      <c r="I211" s="13">
        <f t="shared" si="41"/>
        <v>11</v>
      </c>
      <c r="J211" s="13">
        <f t="shared" si="41"/>
        <v>5</v>
      </c>
      <c r="K211" s="13">
        <f t="shared" si="41"/>
        <v>2</v>
      </c>
      <c r="L211" s="13">
        <f t="shared" si="41"/>
        <v>13</v>
      </c>
      <c r="M211" s="13">
        <f t="shared" si="41"/>
        <v>8</v>
      </c>
      <c r="N211" s="13">
        <f t="shared" si="41"/>
        <v>2</v>
      </c>
      <c r="O211" s="13">
        <f t="shared" si="40"/>
        <v>85</v>
      </c>
      <c r="P211" s="5"/>
      <c r="Q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5"/>
      <c r="Q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3.0</v>
      </c>
      <c r="F213" s="74">
        <v>0.0</v>
      </c>
      <c r="G213" s="74">
        <v>1.0</v>
      </c>
      <c r="H213" s="74">
        <v>1.0</v>
      </c>
      <c r="I213" s="74">
        <v>2.0</v>
      </c>
      <c r="J213" s="74">
        <v>2.0</v>
      </c>
      <c r="K213" s="74">
        <v>1.0</v>
      </c>
      <c r="L213" s="74">
        <v>0.0</v>
      </c>
      <c r="M213" s="74">
        <v>1.0</v>
      </c>
      <c r="N213" s="74">
        <v>7.0</v>
      </c>
      <c r="O213" s="13">
        <f t="shared" ref="O213:O216" si="42">SUM(E213:N213)</f>
        <v>18</v>
      </c>
      <c r="P213" s="5"/>
      <c r="Q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1.0</v>
      </c>
      <c r="H214" s="74">
        <v>0.0</v>
      </c>
      <c r="I214" s="74">
        <v>4.0</v>
      </c>
      <c r="J214" s="74">
        <v>5.0</v>
      </c>
      <c r="K214" s="74">
        <v>1.0</v>
      </c>
      <c r="L214" s="74">
        <v>0.0</v>
      </c>
      <c r="M214" s="74">
        <v>0.0</v>
      </c>
      <c r="N214" s="74">
        <v>3.0</v>
      </c>
      <c r="O214" s="13">
        <f t="shared" si="42"/>
        <v>15</v>
      </c>
      <c r="P214" s="5"/>
      <c r="Q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3.0</v>
      </c>
      <c r="K215" s="74">
        <v>0.0</v>
      </c>
      <c r="L215" s="74">
        <v>0.0</v>
      </c>
      <c r="M215" s="74">
        <v>1.0</v>
      </c>
      <c r="N215" s="74">
        <v>1.0</v>
      </c>
      <c r="O215" s="13">
        <f t="shared" si="42"/>
        <v>5</v>
      </c>
      <c r="P215" s="5"/>
      <c r="Q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1.0</v>
      </c>
      <c r="N216" s="74">
        <v>0.0</v>
      </c>
      <c r="O216" s="13">
        <f t="shared" si="42"/>
        <v>1</v>
      </c>
      <c r="P216" s="5"/>
      <c r="Q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79"/>
      <c r="P217" s="5"/>
      <c r="Q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79"/>
      <c r="P218" s="1"/>
      <c r="Q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79"/>
      <c r="P219" s="52"/>
      <c r="Q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79"/>
      <c r="P220" s="5"/>
      <c r="Q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79"/>
      <c r="P221" s="5"/>
      <c r="Q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79"/>
      <c r="P222" s="5"/>
      <c r="Q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N223" si="43">SUM(E213:E222)</f>
        <v>3</v>
      </c>
      <c r="F223" s="13">
        <f t="shared" si="43"/>
        <v>1</v>
      </c>
      <c r="G223" s="13">
        <f t="shared" si="43"/>
        <v>2</v>
      </c>
      <c r="H223" s="13">
        <f t="shared" si="43"/>
        <v>1</v>
      </c>
      <c r="I223" s="13">
        <f t="shared" si="43"/>
        <v>6</v>
      </c>
      <c r="J223" s="13">
        <f t="shared" si="43"/>
        <v>10</v>
      </c>
      <c r="K223" s="13">
        <f t="shared" si="43"/>
        <v>2</v>
      </c>
      <c r="L223" s="13">
        <f t="shared" si="43"/>
        <v>0</v>
      </c>
      <c r="M223" s="13">
        <f t="shared" si="43"/>
        <v>3</v>
      </c>
      <c r="N223" s="13">
        <f t="shared" si="43"/>
        <v>11</v>
      </c>
      <c r="O223" s="13">
        <f>SUM(E223:N223)</f>
        <v>39</v>
      </c>
      <c r="P223" s="5"/>
      <c r="Q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5"/>
      <c r="Q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1.0</v>
      </c>
      <c r="I225" s="74">
        <v>1.0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13">
        <f t="shared" ref="O225:O229" si="44">SUM(E225:N225)</f>
        <v>2</v>
      </c>
      <c r="P225" s="5"/>
      <c r="Q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1.0</v>
      </c>
      <c r="L226" s="74">
        <v>0.0</v>
      </c>
      <c r="M226" s="74">
        <v>0.0</v>
      </c>
      <c r="N226" s="74">
        <v>1.0</v>
      </c>
      <c r="O226" s="13">
        <f t="shared" si="44"/>
        <v>2</v>
      </c>
      <c r="P226" s="5"/>
      <c r="Q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13">
        <f t="shared" si="44"/>
        <v>0</v>
      </c>
      <c r="P227" s="5"/>
      <c r="Q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13">
        <f t="shared" si="44"/>
        <v>0</v>
      </c>
      <c r="P228" s="5"/>
      <c r="Q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13">
        <f t="shared" si="44"/>
        <v>0</v>
      </c>
      <c r="P229" s="1"/>
      <c r="Q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79"/>
      <c r="P230" s="52"/>
      <c r="Q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79"/>
      <c r="P231" s="5"/>
      <c r="Q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79"/>
      <c r="P232" s="5"/>
      <c r="Q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79"/>
      <c r="P233" s="5"/>
      <c r="Q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79"/>
      <c r="P234" s="5"/>
      <c r="Q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N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>SUM(E235:N235)</f>
        <v>4</v>
      </c>
      <c r="P235" s="5"/>
      <c r="Q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5"/>
      <c r="Q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1.0</v>
      </c>
      <c r="G237" s="74">
        <v>2.0</v>
      </c>
      <c r="H237" s="74">
        <v>3.0</v>
      </c>
      <c r="I237" s="74">
        <v>3.0</v>
      </c>
      <c r="J237" s="74">
        <v>18.0</v>
      </c>
      <c r="K237" s="74">
        <v>4.0</v>
      </c>
      <c r="L237" s="74">
        <v>1.0</v>
      </c>
      <c r="M237" s="74">
        <v>1.0</v>
      </c>
      <c r="N237" s="74">
        <v>2.0</v>
      </c>
      <c r="O237" s="13">
        <f t="shared" ref="O237:O247" si="46">SUM(E237:N237)</f>
        <v>37</v>
      </c>
      <c r="P237" s="5"/>
      <c r="Q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3.0</v>
      </c>
      <c r="F238" s="74">
        <v>1.0</v>
      </c>
      <c r="G238" s="74">
        <v>1.0</v>
      </c>
      <c r="H238" s="74">
        <v>1.0</v>
      </c>
      <c r="I238" s="74">
        <v>6.0</v>
      </c>
      <c r="J238" s="74">
        <v>7.0</v>
      </c>
      <c r="K238" s="74">
        <v>4.0</v>
      </c>
      <c r="L238" s="74">
        <v>1.0</v>
      </c>
      <c r="M238" s="74">
        <v>1.0</v>
      </c>
      <c r="N238" s="74">
        <v>2.0</v>
      </c>
      <c r="O238" s="13">
        <f t="shared" si="46"/>
        <v>27</v>
      </c>
      <c r="P238" s="5"/>
      <c r="Q238" s="5"/>
    </row>
    <row r="239" ht="12.75" customHeight="1">
      <c r="A239" s="18"/>
      <c r="B239" s="55"/>
      <c r="C239" s="50" t="s">
        <v>177</v>
      </c>
      <c r="D239" s="57"/>
      <c r="E239" s="74">
        <v>15.0</v>
      </c>
      <c r="F239" s="74">
        <v>5.0</v>
      </c>
      <c r="G239" s="74">
        <v>4.0</v>
      </c>
      <c r="H239" s="74">
        <v>4.0</v>
      </c>
      <c r="I239" s="74">
        <v>9.0</v>
      </c>
      <c r="J239" s="74">
        <v>40.0</v>
      </c>
      <c r="K239" s="74">
        <v>7.0</v>
      </c>
      <c r="L239" s="74">
        <v>11.0</v>
      </c>
      <c r="M239" s="74">
        <v>2.0</v>
      </c>
      <c r="N239" s="74">
        <v>7.0</v>
      </c>
      <c r="O239" s="13">
        <f t="shared" si="46"/>
        <v>104</v>
      </c>
      <c r="P239" s="5"/>
      <c r="Q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0.0</v>
      </c>
      <c r="G240" s="74">
        <v>2.0</v>
      </c>
      <c r="H240" s="74">
        <v>0.0</v>
      </c>
      <c r="I240" s="74">
        <v>1.0</v>
      </c>
      <c r="J240" s="74">
        <v>8.0</v>
      </c>
      <c r="K240" s="74">
        <v>1.0</v>
      </c>
      <c r="L240" s="74">
        <v>0.0</v>
      </c>
      <c r="M240" s="74">
        <v>0.0</v>
      </c>
      <c r="N240" s="74">
        <v>0.0</v>
      </c>
      <c r="O240" s="13">
        <f t="shared" si="46"/>
        <v>13</v>
      </c>
      <c r="P240" s="1"/>
      <c r="Q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2.0</v>
      </c>
      <c r="J241" s="74">
        <v>1.0</v>
      </c>
      <c r="K241" s="74">
        <v>0.0</v>
      </c>
      <c r="L241" s="74">
        <v>0.0</v>
      </c>
      <c r="M241" s="74">
        <v>0.0</v>
      </c>
      <c r="N241" s="74">
        <v>0.0</v>
      </c>
      <c r="O241" s="13">
        <f t="shared" si="46"/>
        <v>3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1.0</v>
      </c>
      <c r="J242" s="74">
        <v>1.0</v>
      </c>
      <c r="K242" s="74">
        <v>0.0</v>
      </c>
      <c r="L242" s="74">
        <v>0.0</v>
      </c>
      <c r="M242" s="74">
        <v>0.0</v>
      </c>
      <c r="N242" s="74">
        <v>0.0</v>
      </c>
      <c r="O242" s="13">
        <f t="shared" si="46"/>
        <v>2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1.0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2.0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13">
        <f t="shared" si="46"/>
        <v>2</v>
      </c>
    </row>
    <row r="246" ht="12.75" customHeight="1">
      <c r="A246" s="18"/>
      <c r="B246" s="55"/>
      <c r="C246" s="50" t="s">
        <v>184</v>
      </c>
      <c r="D246" s="57"/>
      <c r="E246" s="74">
        <v>1.0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1.0</v>
      </c>
      <c r="N246" s="74">
        <v>1.0</v>
      </c>
      <c r="O246" s="13">
        <f t="shared" si="46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N247" si="47">SUM(E237:E246)</f>
        <v>24</v>
      </c>
      <c r="F247" s="13">
        <f t="shared" si="47"/>
        <v>7</v>
      </c>
      <c r="G247" s="13">
        <f t="shared" si="47"/>
        <v>9</v>
      </c>
      <c r="H247" s="13">
        <f t="shared" si="47"/>
        <v>8</v>
      </c>
      <c r="I247" s="13">
        <f t="shared" si="47"/>
        <v>23</v>
      </c>
      <c r="J247" s="13">
        <f t="shared" si="47"/>
        <v>75</v>
      </c>
      <c r="K247" s="13">
        <f t="shared" si="47"/>
        <v>16</v>
      </c>
      <c r="L247" s="13">
        <f t="shared" si="47"/>
        <v>13</v>
      </c>
      <c r="M247" s="13">
        <f t="shared" si="47"/>
        <v>5</v>
      </c>
      <c r="N247" s="13">
        <f t="shared" si="47"/>
        <v>12</v>
      </c>
      <c r="O247" s="13">
        <f t="shared" si="46"/>
        <v>192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1.0</v>
      </c>
      <c r="G249" s="74">
        <v>0.0</v>
      </c>
      <c r="H249" s="74">
        <v>0.0</v>
      </c>
      <c r="I249" s="74">
        <v>0.0</v>
      </c>
      <c r="J249" s="74">
        <v>4.0</v>
      </c>
      <c r="K249" s="74">
        <v>1.0</v>
      </c>
      <c r="L249" s="74">
        <v>1.0</v>
      </c>
      <c r="M249" s="74">
        <v>1.0</v>
      </c>
      <c r="N249" s="74">
        <v>1.0</v>
      </c>
      <c r="O249" s="13">
        <f t="shared" ref="O249:O252" si="48">SUM(E249:N249)</f>
        <v>9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2.0</v>
      </c>
      <c r="K250" s="74">
        <v>0.0</v>
      </c>
      <c r="L250" s="74">
        <v>0.0</v>
      </c>
      <c r="M250" s="74">
        <v>0.0</v>
      </c>
      <c r="N250" s="74">
        <v>0.0</v>
      </c>
      <c r="O250" s="13">
        <f t="shared" si="48"/>
        <v>2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2.0</v>
      </c>
      <c r="K251" s="74">
        <v>0.0</v>
      </c>
      <c r="L251" s="74">
        <v>0.0</v>
      </c>
      <c r="M251" s="74">
        <v>0.0</v>
      </c>
      <c r="N251" s="74">
        <v>0.0</v>
      </c>
      <c r="O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N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8</v>
      </c>
      <c r="K259" s="13">
        <f t="shared" si="49"/>
        <v>1</v>
      </c>
      <c r="L259" s="13">
        <f t="shared" si="49"/>
        <v>1</v>
      </c>
      <c r="M259" s="13">
        <f t="shared" si="49"/>
        <v>1</v>
      </c>
      <c r="N259" s="13">
        <f t="shared" si="49"/>
        <v>1</v>
      </c>
      <c r="O259" s="13">
        <f>SUM(E259:N259)</f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3"/>
      <c r="O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N262" si="50">E55+E67+E79+E91+E103+E115+E127+E139+E151+E163+E175+E187+E199+E211+E223+E235+E247+E259</f>
        <v>174</v>
      </c>
      <c r="F262" s="19">
        <f t="shared" si="50"/>
        <v>144</v>
      </c>
      <c r="G262" s="19">
        <f t="shared" si="50"/>
        <v>217</v>
      </c>
      <c r="H262" s="19">
        <f t="shared" si="50"/>
        <v>181</v>
      </c>
      <c r="I262" s="19">
        <f t="shared" si="50"/>
        <v>193</v>
      </c>
      <c r="J262" s="19">
        <f t="shared" si="50"/>
        <v>183</v>
      </c>
      <c r="K262" s="19">
        <f t="shared" si="50"/>
        <v>211</v>
      </c>
      <c r="L262" s="19">
        <f t="shared" si="50"/>
        <v>174</v>
      </c>
      <c r="M262" s="19">
        <f t="shared" si="50"/>
        <v>197</v>
      </c>
      <c r="N262" s="19">
        <f t="shared" si="50"/>
        <v>192</v>
      </c>
      <c r="O262" s="13">
        <f t="shared" ref="O262:O264" si="51">SUM(E262:N262)</f>
        <v>1866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32.0</v>
      </c>
      <c r="F263" s="74">
        <v>36.0</v>
      </c>
      <c r="G263" s="74">
        <v>29.0</v>
      </c>
      <c r="H263" s="74">
        <v>57.0</v>
      </c>
      <c r="I263" s="74">
        <v>36.0</v>
      </c>
      <c r="J263" s="74">
        <v>43.0</v>
      </c>
      <c r="K263" s="74">
        <v>30.0</v>
      </c>
      <c r="L263" s="74">
        <v>15.0</v>
      </c>
      <c r="M263" s="74">
        <v>39.0</v>
      </c>
      <c r="N263" s="74">
        <v>23.0</v>
      </c>
      <c r="O263" s="13">
        <f t="shared" si="51"/>
        <v>340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N264" si="52">SUM(E262:E263)</f>
        <v>206</v>
      </c>
      <c r="F264" s="13">
        <f t="shared" si="52"/>
        <v>180</v>
      </c>
      <c r="G264" s="13">
        <f t="shared" si="52"/>
        <v>246</v>
      </c>
      <c r="H264" s="13">
        <f t="shared" si="52"/>
        <v>238</v>
      </c>
      <c r="I264" s="13">
        <f t="shared" si="52"/>
        <v>229</v>
      </c>
      <c r="J264" s="13">
        <f t="shared" si="52"/>
        <v>226</v>
      </c>
      <c r="K264" s="13">
        <f t="shared" si="52"/>
        <v>241</v>
      </c>
      <c r="L264" s="13">
        <f t="shared" si="52"/>
        <v>189</v>
      </c>
      <c r="M264" s="13">
        <f t="shared" si="52"/>
        <v>236</v>
      </c>
      <c r="N264" s="13">
        <f t="shared" si="52"/>
        <v>215</v>
      </c>
      <c r="O264" s="13">
        <f t="shared" si="51"/>
        <v>2206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M198 N189:N199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74">
        <v>104.0</v>
      </c>
      <c r="F14" s="74">
        <v>118.0</v>
      </c>
      <c r="G14" s="74">
        <v>112.0</v>
      </c>
      <c r="H14" s="74">
        <v>124.0</v>
      </c>
      <c r="I14" s="74">
        <v>139.0</v>
      </c>
      <c r="J14" s="74">
        <v>110.0</v>
      </c>
      <c r="K14" s="74">
        <v>87.0</v>
      </c>
      <c r="L14" s="74">
        <v>82.0</v>
      </c>
      <c r="M14" s="74">
        <v>117.0</v>
      </c>
      <c r="N14" s="74">
        <v>84.0</v>
      </c>
      <c r="O14" s="74">
        <v>87.0</v>
      </c>
      <c r="P14" s="74">
        <v>83.0</v>
      </c>
      <c r="Q14" s="74">
        <v>74.0</v>
      </c>
      <c r="R14" s="74">
        <v>124.0</v>
      </c>
      <c r="S14" s="74">
        <v>99.0</v>
      </c>
      <c r="T14" s="13">
        <f t="shared" ref="T14:T16" si="1">SUM(E14:S14)</f>
        <v>1544</v>
      </c>
    </row>
    <row r="15" ht="12.75" customHeight="1">
      <c r="A15" s="18"/>
      <c r="B15" s="26"/>
      <c r="C15" s="27"/>
      <c r="D15" s="19" t="s">
        <v>13</v>
      </c>
      <c r="E15" s="74">
        <v>104.0</v>
      </c>
      <c r="F15" s="74">
        <v>135.0</v>
      </c>
      <c r="G15" s="74">
        <v>116.0</v>
      </c>
      <c r="H15" s="74">
        <v>152.0</v>
      </c>
      <c r="I15" s="74">
        <v>131.0</v>
      </c>
      <c r="J15" s="74">
        <v>131.0</v>
      </c>
      <c r="K15" s="74">
        <v>94.0</v>
      </c>
      <c r="L15" s="74">
        <v>92.0</v>
      </c>
      <c r="M15" s="74">
        <v>111.0</v>
      </c>
      <c r="N15" s="74">
        <v>88.0</v>
      </c>
      <c r="O15" s="74">
        <v>91.0</v>
      </c>
      <c r="P15" s="74">
        <v>75.0</v>
      </c>
      <c r="Q15" s="74">
        <v>80.0</v>
      </c>
      <c r="R15" s="74">
        <v>122.0</v>
      </c>
      <c r="S15" s="74">
        <v>90.0</v>
      </c>
      <c r="T15" s="13">
        <f t="shared" si="1"/>
        <v>1612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208</v>
      </c>
      <c r="F16" s="13">
        <f t="shared" si="2"/>
        <v>253</v>
      </c>
      <c r="G16" s="13">
        <f t="shared" si="2"/>
        <v>228</v>
      </c>
      <c r="H16" s="13">
        <f t="shared" si="2"/>
        <v>276</v>
      </c>
      <c r="I16" s="13">
        <f t="shared" si="2"/>
        <v>270</v>
      </c>
      <c r="J16" s="13">
        <f t="shared" si="2"/>
        <v>241</v>
      </c>
      <c r="K16" s="13">
        <f t="shared" si="2"/>
        <v>181</v>
      </c>
      <c r="L16" s="13">
        <f t="shared" si="2"/>
        <v>174</v>
      </c>
      <c r="M16" s="13">
        <f t="shared" si="2"/>
        <v>228</v>
      </c>
      <c r="N16" s="13">
        <f t="shared" si="2"/>
        <v>172</v>
      </c>
      <c r="O16" s="13">
        <f t="shared" si="2"/>
        <v>178</v>
      </c>
      <c r="P16" s="13">
        <f t="shared" si="2"/>
        <v>158</v>
      </c>
      <c r="Q16" s="13">
        <f t="shared" si="2"/>
        <v>154</v>
      </c>
      <c r="R16" s="13">
        <f t="shared" si="2"/>
        <v>246</v>
      </c>
      <c r="S16" s="13">
        <f t="shared" si="2"/>
        <v>189</v>
      </c>
      <c r="T16" s="13">
        <f t="shared" si="1"/>
        <v>3156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2"/>
      <c r="O17" s="19"/>
      <c r="P17" s="19"/>
      <c r="Q17" s="19"/>
      <c r="R17" s="19"/>
      <c r="S17" s="82"/>
      <c r="T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74"/>
      <c r="I18" s="19"/>
      <c r="J18" s="19"/>
      <c r="K18" s="19"/>
      <c r="L18" s="19"/>
      <c r="M18" s="19"/>
      <c r="N18" s="82"/>
      <c r="O18" s="19"/>
      <c r="P18" s="19"/>
      <c r="Q18" s="19"/>
      <c r="R18" s="19"/>
      <c r="S18" s="82"/>
      <c r="T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80.0</v>
      </c>
      <c r="F19" s="74">
        <v>86.0</v>
      </c>
      <c r="G19" s="74">
        <v>85.0</v>
      </c>
      <c r="H19" s="74">
        <v>102.0</v>
      </c>
      <c r="I19" s="74">
        <v>99.0</v>
      </c>
      <c r="J19" s="74">
        <v>85.0</v>
      </c>
      <c r="K19" s="74">
        <v>64.0</v>
      </c>
      <c r="L19" s="74">
        <v>66.0</v>
      </c>
      <c r="M19" s="74">
        <v>90.0</v>
      </c>
      <c r="N19" s="74">
        <v>67.0</v>
      </c>
      <c r="O19" s="74">
        <v>62.0</v>
      </c>
      <c r="P19" s="74">
        <v>69.0</v>
      </c>
      <c r="Q19" s="74">
        <v>60.0</v>
      </c>
      <c r="R19" s="74">
        <v>107.0</v>
      </c>
      <c r="S19" s="74">
        <v>86.0</v>
      </c>
      <c r="T19" s="13">
        <f t="shared" ref="T19:T30" si="3">SUM(E19:S19)</f>
        <v>1208</v>
      </c>
    </row>
    <row r="20" ht="12.75" customHeight="1">
      <c r="A20" s="33"/>
      <c r="B20" s="27"/>
      <c r="C20" s="34"/>
      <c r="D20" s="19" t="s">
        <v>13</v>
      </c>
      <c r="E20" s="74">
        <v>81.0</v>
      </c>
      <c r="F20" s="74">
        <v>102.0</v>
      </c>
      <c r="G20" s="74">
        <v>89.0</v>
      </c>
      <c r="H20" s="74">
        <v>126.0</v>
      </c>
      <c r="I20" s="74">
        <v>114.0</v>
      </c>
      <c r="J20" s="74">
        <v>102.0</v>
      </c>
      <c r="K20" s="74">
        <v>76.0</v>
      </c>
      <c r="L20" s="74">
        <v>79.0</v>
      </c>
      <c r="M20" s="74">
        <v>96.0</v>
      </c>
      <c r="N20" s="74">
        <v>76.0</v>
      </c>
      <c r="O20" s="74">
        <v>60.0</v>
      </c>
      <c r="P20" s="74">
        <v>67.0</v>
      </c>
      <c r="Q20" s="74">
        <v>71.0</v>
      </c>
      <c r="R20" s="74">
        <v>110.0</v>
      </c>
      <c r="S20" s="74">
        <v>80.0</v>
      </c>
      <c r="T20" s="13">
        <f t="shared" si="3"/>
        <v>1329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161</v>
      </c>
      <c r="F21" s="13">
        <f t="shared" si="4"/>
        <v>188</v>
      </c>
      <c r="G21" s="13">
        <f t="shared" si="4"/>
        <v>174</v>
      </c>
      <c r="H21" s="13">
        <f t="shared" si="4"/>
        <v>228</v>
      </c>
      <c r="I21" s="13">
        <f t="shared" si="4"/>
        <v>213</v>
      </c>
      <c r="J21" s="13">
        <f t="shared" si="4"/>
        <v>187</v>
      </c>
      <c r="K21" s="13">
        <f t="shared" si="4"/>
        <v>140</v>
      </c>
      <c r="L21" s="13">
        <f t="shared" si="4"/>
        <v>145</v>
      </c>
      <c r="M21" s="13">
        <f t="shared" si="4"/>
        <v>186</v>
      </c>
      <c r="N21" s="13">
        <f t="shared" si="4"/>
        <v>143</v>
      </c>
      <c r="O21" s="13">
        <f t="shared" si="4"/>
        <v>122</v>
      </c>
      <c r="P21" s="13">
        <f t="shared" si="4"/>
        <v>136</v>
      </c>
      <c r="Q21" s="13">
        <f t="shared" si="4"/>
        <v>131</v>
      </c>
      <c r="R21" s="13">
        <f t="shared" si="4"/>
        <v>217</v>
      </c>
      <c r="S21" s="13">
        <f t="shared" si="4"/>
        <v>166</v>
      </c>
      <c r="T21" s="13">
        <f t="shared" si="3"/>
        <v>2537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1.0</v>
      </c>
      <c r="P22" s="74">
        <v>0.0</v>
      </c>
      <c r="Q22" s="74">
        <v>0.0</v>
      </c>
      <c r="R22" s="74">
        <v>0.0</v>
      </c>
      <c r="S22" s="74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2.0</v>
      </c>
      <c r="P23" s="74">
        <v>0.0</v>
      </c>
      <c r="Q23" s="74">
        <v>0.0</v>
      </c>
      <c r="R23" s="74">
        <v>0.0</v>
      </c>
      <c r="S23" s="74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76">
        <v>0.0</v>
      </c>
      <c r="F24" s="13">
        <f t="shared" ref="F24:S24" si="5">SUM(F22:F23)</f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0.0</v>
      </c>
      <c r="J25" s="74">
        <v>0.0</v>
      </c>
      <c r="K25" s="74">
        <v>0.0</v>
      </c>
      <c r="L25" s="74">
        <v>1.0</v>
      </c>
      <c r="M25" s="74">
        <v>0.0</v>
      </c>
      <c r="N25" s="74">
        <v>0.0</v>
      </c>
      <c r="O25" s="74">
        <v>0.0</v>
      </c>
      <c r="P25" s="74">
        <v>0.0</v>
      </c>
      <c r="Q25" s="74">
        <v>0.0</v>
      </c>
      <c r="R25" s="74">
        <v>0.0</v>
      </c>
      <c r="S25" s="74">
        <v>0.0</v>
      </c>
      <c r="T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0.0</v>
      </c>
      <c r="H26" s="74">
        <v>0.0</v>
      </c>
      <c r="I26" s="74">
        <v>0.0</v>
      </c>
      <c r="J26" s="74">
        <v>0.0</v>
      </c>
      <c r="K26" s="74">
        <v>3.0</v>
      </c>
      <c r="L26" s="74">
        <v>1.0</v>
      </c>
      <c r="M26" s="74">
        <v>0.0</v>
      </c>
      <c r="N26" s="74">
        <v>0.0</v>
      </c>
      <c r="O26" s="74">
        <v>0.0</v>
      </c>
      <c r="P26" s="74">
        <v>2.0</v>
      </c>
      <c r="Q26" s="74">
        <v>0.0</v>
      </c>
      <c r="R26" s="74">
        <v>0.0</v>
      </c>
      <c r="S26" s="74">
        <v>0.0</v>
      </c>
      <c r="T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80</v>
      </c>
      <c r="F28" s="13">
        <f t="shared" si="7"/>
        <v>86</v>
      </c>
      <c r="G28" s="13">
        <f t="shared" si="7"/>
        <v>85</v>
      </c>
      <c r="H28" s="13">
        <f t="shared" si="7"/>
        <v>102</v>
      </c>
      <c r="I28" s="13">
        <f t="shared" si="7"/>
        <v>99</v>
      </c>
      <c r="J28" s="13">
        <f t="shared" si="7"/>
        <v>85</v>
      </c>
      <c r="K28" s="13">
        <f t="shared" si="7"/>
        <v>64</v>
      </c>
      <c r="L28" s="13">
        <f t="shared" si="7"/>
        <v>67</v>
      </c>
      <c r="M28" s="13">
        <f t="shared" si="7"/>
        <v>90</v>
      </c>
      <c r="N28" s="13">
        <f t="shared" si="7"/>
        <v>67</v>
      </c>
      <c r="O28" s="13">
        <f t="shared" si="7"/>
        <v>63</v>
      </c>
      <c r="P28" s="13">
        <f t="shared" si="7"/>
        <v>69</v>
      </c>
      <c r="Q28" s="13">
        <f t="shared" si="7"/>
        <v>60</v>
      </c>
      <c r="R28" s="13">
        <f t="shared" si="7"/>
        <v>107</v>
      </c>
      <c r="S28" s="13">
        <f t="shared" si="7"/>
        <v>86</v>
      </c>
      <c r="T28" s="13">
        <f t="shared" si="3"/>
        <v>1210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81</v>
      </c>
      <c r="F29" s="13">
        <f t="shared" si="8"/>
        <v>102</v>
      </c>
      <c r="G29" s="13">
        <f t="shared" si="8"/>
        <v>89</v>
      </c>
      <c r="H29" s="13">
        <f t="shared" si="8"/>
        <v>126</v>
      </c>
      <c r="I29" s="13">
        <f t="shared" si="8"/>
        <v>114</v>
      </c>
      <c r="J29" s="13">
        <f t="shared" si="8"/>
        <v>102</v>
      </c>
      <c r="K29" s="13">
        <f t="shared" si="8"/>
        <v>79</v>
      </c>
      <c r="L29" s="13">
        <f t="shared" si="8"/>
        <v>80</v>
      </c>
      <c r="M29" s="13">
        <f t="shared" si="8"/>
        <v>96</v>
      </c>
      <c r="N29" s="13">
        <f t="shared" si="8"/>
        <v>76</v>
      </c>
      <c r="O29" s="13">
        <f t="shared" si="8"/>
        <v>62</v>
      </c>
      <c r="P29" s="13">
        <f t="shared" si="8"/>
        <v>69</v>
      </c>
      <c r="Q29" s="13">
        <f t="shared" si="8"/>
        <v>71</v>
      </c>
      <c r="R29" s="13">
        <f t="shared" si="8"/>
        <v>110</v>
      </c>
      <c r="S29" s="13">
        <f t="shared" si="8"/>
        <v>80</v>
      </c>
      <c r="T29" s="13">
        <f t="shared" si="3"/>
        <v>1337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161</v>
      </c>
      <c r="F30" s="13">
        <f t="shared" si="9"/>
        <v>188</v>
      </c>
      <c r="G30" s="13">
        <f t="shared" si="9"/>
        <v>174</v>
      </c>
      <c r="H30" s="13">
        <f t="shared" si="9"/>
        <v>228</v>
      </c>
      <c r="I30" s="13">
        <f t="shared" si="9"/>
        <v>213</v>
      </c>
      <c r="J30" s="13">
        <f t="shared" si="9"/>
        <v>187</v>
      </c>
      <c r="K30" s="13">
        <f t="shared" si="9"/>
        <v>143</v>
      </c>
      <c r="L30" s="13">
        <f t="shared" si="9"/>
        <v>147</v>
      </c>
      <c r="M30" s="13">
        <f t="shared" si="9"/>
        <v>186</v>
      </c>
      <c r="N30" s="13">
        <f t="shared" si="9"/>
        <v>143</v>
      </c>
      <c r="O30" s="13">
        <f t="shared" si="9"/>
        <v>125</v>
      </c>
      <c r="P30" s="13">
        <f t="shared" si="9"/>
        <v>138</v>
      </c>
      <c r="Q30" s="13">
        <f t="shared" si="9"/>
        <v>131</v>
      </c>
      <c r="R30" s="13">
        <f t="shared" si="9"/>
        <v>217</v>
      </c>
      <c r="S30" s="13">
        <f t="shared" si="9"/>
        <v>166</v>
      </c>
      <c r="T30" s="13">
        <f t="shared" si="3"/>
        <v>2547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2"/>
      <c r="O31" s="19"/>
      <c r="P31" s="19"/>
      <c r="Q31" s="19"/>
      <c r="R31" s="19"/>
      <c r="S31" s="82"/>
      <c r="T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3"/>
      <c r="O32" s="13"/>
      <c r="P32" s="13"/>
      <c r="Q32" s="13"/>
      <c r="R32" s="13"/>
      <c r="S32" s="83"/>
      <c r="T32" s="75"/>
    </row>
    <row r="33" ht="12.75" customHeight="1">
      <c r="A33" s="19">
        <v>1.0</v>
      </c>
      <c r="B33" s="20" t="s">
        <v>27</v>
      </c>
      <c r="C33" s="15"/>
      <c r="D33" s="16"/>
      <c r="E33" s="74">
        <v>213.0</v>
      </c>
      <c r="F33" s="74">
        <v>259.0</v>
      </c>
      <c r="G33" s="74">
        <v>233.0</v>
      </c>
      <c r="H33" s="74">
        <v>282.0</v>
      </c>
      <c r="I33" s="74">
        <v>276.0</v>
      </c>
      <c r="J33" s="74">
        <v>246.0</v>
      </c>
      <c r="K33" s="74">
        <v>185.0</v>
      </c>
      <c r="L33" s="74">
        <v>178.0</v>
      </c>
      <c r="M33" s="74">
        <v>233.0</v>
      </c>
      <c r="N33" s="74">
        <v>175.0</v>
      </c>
      <c r="O33" s="74">
        <v>182.0</v>
      </c>
      <c r="P33" s="74">
        <v>162.0</v>
      </c>
      <c r="Q33" s="74">
        <v>158.0</v>
      </c>
      <c r="R33" s="74">
        <v>251.0</v>
      </c>
      <c r="S33" s="74">
        <v>193.0</v>
      </c>
      <c r="T33" s="13">
        <f t="shared" ref="T33:T36" si="10">SUM(E33:S33)</f>
        <v>3226</v>
      </c>
    </row>
    <row r="34" ht="12.75" customHeight="1">
      <c r="A34" s="19">
        <v>2.0</v>
      </c>
      <c r="B34" s="20" t="s">
        <v>28</v>
      </c>
      <c r="C34" s="15"/>
      <c r="D34" s="16"/>
      <c r="E34" s="76">
        <v>161.0</v>
      </c>
      <c r="F34" s="76">
        <v>188.0</v>
      </c>
      <c r="G34" s="76">
        <v>174.0</v>
      </c>
      <c r="H34" s="76">
        <v>228.0</v>
      </c>
      <c r="I34" s="76">
        <v>213.0</v>
      </c>
      <c r="J34" s="76">
        <v>187.0</v>
      </c>
      <c r="K34" s="76">
        <v>143.0</v>
      </c>
      <c r="L34" s="76">
        <v>147.0</v>
      </c>
      <c r="M34" s="76">
        <v>186.0</v>
      </c>
      <c r="N34" s="76">
        <v>143.0</v>
      </c>
      <c r="O34" s="76">
        <v>125.0</v>
      </c>
      <c r="P34" s="76">
        <v>138.0</v>
      </c>
      <c r="Q34" s="76">
        <v>131.0</v>
      </c>
      <c r="R34" s="76">
        <v>217.0</v>
      </c>
      <c r="S34" s="76">
        <v>166.0</v>
      </c>
      <c r="T34" s="13">
        <f t="shared" si="10"/>
        <v>2547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1.0</v>
      </c>
      <c r="S35" s="74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52</v>
      </c>
      <c r="F36" s="13">
        <f t="shared" si="11"/>
        <v>71</v>
      </c>
      <c r="G36" s="13">
        <f t="shared" si="11"/>
        <v>59</v>
      </c>
      <c r="H36" s="13">
        <f t="shared" si="11"/>
        <v>54</v>
      </c>
      <c r="I36" s="13">
        <f t="shared" si="11"/>
        <v>63</v>
      </c>
      <c r="J36" s="13">
        <f t="shared" si="11"/>
        <v>59</v>
      </c>
      <c r="K36" s="13">
        <f t="shared" si="11"/>
        <v>42</v>
      </c>
      <c r="L36" s="13">
        <f t="shared" si="11"/>
        <v>31</v>
      </c>
      <c r="M36" s="13">
        <f t="shared" si="11"/>
        <v>47</v>
      </c>
      <c r="N36" s="13">
        <f t="shared" si="11"/>
        <v>32</v>
      </c>
      <c r="O36" s="13">
        <f t="shared" si="11"/>
        <v>57</v>
      </c>
      <c r="P36" s="13">
        <f t="shared" si="11"/>
        <v>24</v>
      </c>
      <c r="Q36" s="13">
        <f t="shared" si="11"/>
        <v>27</v>
      </c>
      <c r="R36" s="13">
        <f t="shared" si="11"/>
        <v>33</v>
      </c>
      <c r="S36" s="13">
        <f t="shared" si="11"/>
        <v>27</v>
      </c>
      <c r="T36" s="13">
        <f t="shared" si="10"/>
        <v>678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82"/>
      <c r="O37" s="19"/>
      <c r="P37" s="19"/>
      <c r="Q37" s="19"/>
      <c r="R37" s="19"/>
      <c r="S37" s="82"/>
      <c r="T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3"/>
      <c r="O38" s="13"/>
      <c r="P38" s="13"/>
      <c r="Q38" s="13"/>
      <c r="R38" s="13"/>
      <c r="S38" s="83"/>
      <c r="T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1.0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1.0</v>
      </c>
      <c r="Q39" s="74">
        <v>0.0</v>
      </c>
      <c r="R39" s="74">
        <v>0.0</v>
      </c>
      <c r="S39" s="74">
        <v>1.0</v>
      </c>
      <c r="T39" s="13">
        <f t="shared" ref="T39:T41" si="12">SUM(E39:S39)</f>
        <v>3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1.0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1.0</v>
      </c>
      <c r="P40" s="74">
        <v>3.0</v>
      </c>
      <c r="Q40" s="74">
        <v>0.0</v>
      </c>
      <c r="R40" s="74">
        <v>3.0</v>
      </c>
      <c r="S40" s="74">
        <v>0.0</v>
      </c>
      <c r="T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3</v>
      </c>
      <c r="S41" s="13">
        <f t="shared" si="13"/>
        <v>1</v>
      </c>
      <c r="T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82"/>
      <c r="O42" s="19"/>
      <c r="P42" s="19"/>
      <c r="Q42" s="19"/>
      <c r="R42" s="19"/>
      <c r="S42" s="82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83"/>
      <c r="O43" s="13"/>
      <c r="P43" s="13"/>
      <c r="Q43" s="13"/>
      <c r="R43" s="13"/>
      <c r="S43" s="8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82"/>
      <c r="O44" s="19"/>
      <c r="P44" s="19"/>
      <c r="Q44" s="19"/>
      <c r="R44" s="19"/>
      <c r="S44" s="82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10.0</v>
      </c>
      <c r="F45" s="74">
        <v>14.0</v>
      </c>
      <c r="G45" s="74">
        <v>12.0</v>
      </c>
      <c r="H45" s="74">
        <v>17.0</v>
      </c>
      <c r="I45" s="74">
        <v>16.0</v>
      </c>
      <c r="J45" s="74">
        <v>20.0</v>
      </c>
      <c r="K45" s="74">
        <v>6.0</v>
      </c>
      <c r="L45" s="74">
        <v>9.0</v>
      </c>
      <c r="M45" s="74">
        <v>9.0</v>
      </c>
      <c r="N45" s="74">
        <v>11.0</v>
      </c>
      <c r="O45" s="74">
        <v>10.0</v>
      </c>
      <c r="P45" s="74">
        <v>3.0</v>
      </c>
      <c r="Q45" s="74">
        <v>9.0</v>
      </c>
      <c r="R45" s="74">
        <v>7.0</v>
      </c>
      <c r="S45" s="74">
        <v>7.0</v>
      </c>
      <c r="T45" s="13">
        <f t="shared" ref="T45:T55" si="14">SUM(E45:S45)</f>
        <v>160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17.0</v>
      </c>
      <c r="F46" s="74">
        <v>45.0</v>
      </c>
      <c r="G46" s="74">
        <v>31.0</v>
      </c>
      <c r="H46" s="74">
        <v>77.0</v>
      </c>
      <c r="I46" s="74">
        <v>42.0</v>
      </c>
      <c r="J46" s="74">
        <v>43.0</v>
      </c>
      <c r="K46" s="74">
        <v>10.0</v>
      </c>
      <c r="L46" s="74">
        <v>23.0</v>
      </c>
      <c r="M46" s="74">
        <v>23.0</v>
      </c>
      <c r="N46" s="74">
        <v>16.0</v>
      </c>
      <c r="O46" s="74">
        <v>25.0</v>
      </c>
      <c r="P46" s="74">
        <v>15.0</v>
      </c>
      <c r="Q46" s="74">
        <v>7.0</v>
      </c>
      <c r="R46" s="74">
        <v>23.0</v>
      </c>
      <c r="S46" s="74">
        <v>47.0</v>
      </c>
      <c r="T46" s="13">
        <f t="shared" si="14"/>
        <v>444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1.0</v>
      </c>
      <c r="G47" s="74">
        <v>1.0</v>
      </c>
      <c r="H47" s="74">
        <v>0.0</v>
      </c>
      <c r="I47" s="74">
        <v>2.0</v>
      </c>
      <c r="J47" s="74">
        <v>0.0</v>
      </c>
      <c r="K47" s="74">
        <v>0.0</v>
      </c>
      <c r="L47" s="74">
        <v>1.0</v>
      </c>
      <c r="M47" s="74">
        <v>1.0</v>
      </c>
      <c r="N47" s="74">
        <v>1.0</v>
      </c>
      <c r="O47" s="74">
        <v>0.0</v>
      </c>
      <c r="P47" s="74">
        <v>2.0</v>
      </c>
      <c r="Q47" s="74">
        <v>0.0</v>
      </c>
      <c r="R47" s="74">
        <v>3.0</v>
      </c>
      <c r="S47" s="74">
        <v>2.0</v>
      </c>
      <c r="T47" s="13">
        <f t="shared" si="14"/>
        <v>14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3.0</v>
      </c>
      <c r="G48" s="74">
        <v>0.0</v>
      </c>
      <c r="H48" s="74">
        <v>0.0</v>
      </c>
      <c r="I48" s="74">
        <v>0.0</v>
      </c>
      <c r="J48" s="74">
        <v>3.0</v>
      </c>
      <c r="K48" s="74">
        <v>0.0</v>
      </c>
      <c r="L48" s="74">
        <v>0.0</v>
      </c>
      <c r="M48" s="74">
        <v>3.0</v>
      </c>
      <c r="N48" s="74">
        <v>0.0</v>
      </c>
      <c r="O48" s="74">
        <v>0.0</v>
      </c>
      <c r="P48" s="74">
        <v>1.0</v>
      </c>
      <c r="Q48" s="74">
        <v>1.0</v>
      </c>
      <c r="R48" s="74">
        <v>1.0</v>
      </c>
      <c r="S48" s="74">
        <v>1.0</v>
      </c>
      <c r="T48" s="13">
        <f t="shared" si="14"/>
        <v>13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2.0</v>
      </c>
      <c r="G49" s="74">
        <v>0.0</v>
      </c>
      <c r="H49" s="74">
        <v>0.0</v>
      </c>
      <c r="I49" s="74">
        <v>1.0</v>
      </c>
      <c r="J49" s="74">
        <v>0.0</v>
      </c>
      <c r="K49" s="74">
        <v>0.0</v>
      </c>
      <c r="L49" s="74">
        <v>1.0</v>
      </c>
      <c r="M49" s="74">
        <v>1.0</v>
      </c>
      <c r="N49" s="74">
        <v>0.0</v>
      </c>
      <c r="O49" s="74">
        <v>0.0</v>
      </c>
      <c r="P49" s="74">
        <v>1.0</v>
      </c>
      <c r="Q49" s="74">
        <v>2.0</v>
      </c>
      <c r="R49" s="74">
        <v>0.0</v>
      </c>
      <c r="S49" s="74">
        <v>0.0</v>
      </c>
      <c r="T49" s="13">
        <f t="shared" si="14"/>
        <v>8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1.0</v>
      </c>
      <c r="H50" s="74">
        <v>0.0</v>
      </c>
      <c r="I50" s="74">
        <v>0.0</v>
      </c>
      <c r="J50" s="74">
        <v>2.0</v>
      </c>
      <c r="K50" s="74">
        <v>0.0</v>
      </c>
      <c r="L50" s="74">
        <v>0.0</v>
      </c>
      <c r="M50" s="74">
        <v>0.0</v>
      </c>
      <c r="N50" s="74">
        <v>1.0</v>
      </c>
      <c r="O50" s="74">
        <v>0.0</v>
      </c>
      <c r="P50" s="74">
        <v>0.0</v>
      </c>
      <c r="Q50" s="74">
        <v>2.0</v>
      </c>
      <c r="R50" s="74">
        <v>0.0</v>
      </c>
      <c r="S50" s="74">
        <v>1.0</v>
      </c>
      <c r="T50" s="13">
        <f t="shared" si="14"/>
        <v>7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2.0</v>
      </c>
      <c r="S51" s="74">
        <v>0.0</v>
      </c>
      <c r="T51" s="13">
        <f t="shared" si="14"/>
        <v>2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1.0</v>
      </c>
      <c r="K52" s="74">
        <v>1.0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0.0</v>
      </c>
      <c r="R52" s="74">
        <v>2.0</v>
      </c>
      <c r="S52" s="74">
        <v>0.0</v>
      </c>
      <c r="T52" s="13">
        <f t="shared" si="14"/>
        <v>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13">
        <f t="shared" si="14"/>
        <v>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S55" si="15">SUM(E45:E52)</f>
        <v>27</v>
      </c>
      <c r="F55" s="13">
        <f t="shared" si="15"/>
        <v>65</v>
      </c>
      <c r="G55" s="13">
        <f t="shared" si="15"/>
        <v>45</v>
      </c>
      <c r="H55" s="13">
        <f t="shared" si="15"/>
        <v>94</v>
      </c>
      <c r="I55" s="13">
        <f t="shared" si="15"/>
        <v>61</v>
      </c>
      <c r="J55" s="13">
        <f t="shared" si="15"/>
        <v>69</v>
      </c>
      <c r="K55" s="13">
        <f t="shared" si="15"/>
        <v>17</v>
      </c>
      <c r="L55" s="13">
        <f t="shared" si="15"/>
        <v>34</v>
      </c>
      <c r="M55" s="13">
        <f t="shared" si="15"/>
        <v>37</v>
      </c>
      <c r="N55" s="13">
        <f t="shared" si="15"/>
        <v>29</v>
      </c>
      <c r="O55" s="13">
        <f t="shared" si="15"/>
        <v>35</v>
      </c>
      <c r="P55" s="13">
        <f t="shared" si="15"/>
        <v>22</v>
      </c>
      <c r="Q55" s="13">
        <f t="shared" si="15"/>
        <v>21</v>
      </c>
      <c r="R55" s="13">
        <f t="shared" si="15"/>
        <v>38</v>
      </c>
      <c r="S55" s="13">
        <f t="shared" si="15"/>
        <v>58</v>
      </c>
      <c r="T55" s="13">
        <f t="shared" si="14"/>
        <v>652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11.0</v>
      </c>
      <c r="F57" s="74">
        <v>6.0</v>
      </c>
      <c r="G57" s="74">
        <v>10.0</v>
      </c>
      <c r="H57" s="74">
        <v>8.0</v>
      </c>
      <c r="I57" s="74">
        <v>19.0</v>
      </c>
      <c r="J57" s="74">
        <v>7.0</v>
      </c>
      <c r="K57" s="74">
        <v>8.0</v>
      </c>
      <c r="L57" s="74">
        <v>7.0</v>
      </c>
      <c r="M57" s="74">
        <v>17.0</v>
      </c>
      <c r="N57" s="74">
        <v>16.0</v>
      </c>
      <c r="O57" s="74">
        <v>7.0</v>
      </c>
      <c r="P57" s="74">
        <v>15.0</v>
      </c>
      <c r="Q57" s="74">
        <v>8.0</v>
      </c>
      <c r="R57" s="74">
        <v>18.0</v>
      </c>
      <c r="S57" s="74">
        <v>5.0</v>
      </c>
      <c r="T57" s="13">
        <f t="shared" ref="T57:T67" si="16">SUM(E57:S57)</f>
        <v>162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2.0</v>
      </c>
      <c r="F58" s="74">
        <v>1.0</v>
      </c>
      <c r="G58" s="74">
        <v>3.0</v>
      </c>
      <c r="H58" s="74">
        <v>6.0</v>
      </c>
      <c r="I58" s="74">
        <v>2.0</v>
      </c>
      <c r="J58" s="74">
        <v>7.0</v>
      </c>
      <c r="K58" s="74">
        <v>3.0</v>
      </c>
      <c r="L58" s="74">
        <v>4.0</v>
      </c>
      <c r="M58" s="74">
        <v>5.0</v>
      </c>
      <c r="N58" s="74">
        <v>4.0</v>
      </c>
      <c r="O58" s="74">
        <v>2.0</v>
      </c>
      <c r="P58" s="74">
        <v>13.0</v>
      </c>
      <c r="Q58" s="74">
        <v>6.0</v>
      </c>
      <c r="R58" s="74">
        <v>19.0</v>
      </c>
      <c r="S58" s="74">
        <v>5.0</v>
      </c>
      <c r="T58" s="13">
        <f t="shared" si="16"/>
        <v>82</v>
      </c>
    </row>
    <row r="59" ht="12.75" customHeight="1">
      <c r="A59" s="18"/>
      <c r="B59" s="55"/>
      <c r="C59" s="50" t="s">
        <v>52</v>
      </c>
      <c r="D59" s="56"/>
      <c r="E59" s="74">
        <v>3.0</v>
      </c>
      <c r="F59" s="74">
        <v>7.0</v>
      </c>
      <c r="G59" s="74">
        <v>15.0</v>
      </c>
      <c r="H59" s="74">
        <v>9.0</v>
      </c>
      <c r="I59" s="74">
        <v>8.0</v>
      </c>
      <c r="J59" s="74">
        <v>15.0</v>
      </c>
      <c r="K59" s="74">
        <v>16.0</v>
      </c>
      <c r="L59" s="74">
        <v>17.0</v>
      </c>
      <c r="M59" s="74">
        <v>19.0</v>
      </c>
      <c r="N59" s="74">
        <v>1.0</v>
      </c>
      <c r="O59" s="74">
        <v>5.0</v>
      </c>
      <c r="P59" s="74">
        <v>16.0</v>
      </c>
      <c r="Q59" s="74">
        <v>11.0</v>
      </c>
      <c r="R59" s="74">
        <v>14.0</v>
      </c>
      <c r="S59" s="74">
        <v>6.0</v>
      </c>
      <c r="T59" s="13">
        <f t="shared" si="16"/>
        <v>162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2.0</v>
      </c>
      <c r="G60" s="74">
        <v>3.0</v>
      </c>
      <c r="H60" s="74">
        <v>0.0</v>
      </c>
      <c r="I60" s="74">
        <v>0.0</v>
      </c>
      <c r="J60" s="74">
        <v>0.0</v>
      </c>
      <c r="K60" s="74">
        <v>3.0</v>
      </c>
      <c r="L60" s="74">
        <v>4.0</v>
      </c>
      <c r="M60" s="74">
        <v>4.0</v>
      </c>
      <c r="N60" s="74">
        <v>0.0</v>
      </c>
      <c r="O60" s="74">
        <v>0.0</v>
      </c>
      <c r="P60" s="74">
        <v>0.0</v>
      </c>
      <c r="Q60" s="74">
        <v>4.0</v>
      </c>
      <c r="R60" s="74">
        <v>2.0</v>
      </c>
      <c r="S60" s="74">
        <v>2.0</v>
      </c>
      <c r="T60" s="13">
        <f t="shared" si="16"/>
        <v>24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2.0</v>
      </c>
      <c r="G61" s="74">
        <v>3.0</v>
      </c>
      <c r="H61" s="74">
        <v>1.0</v>
      </c>
      <c r="I61" s="74">
        <v>0.0</v>
      </c>
      <c r="J61" s="74">
        <v>1.0</v>
      </c>
      <c r="K61" s="74">
        <v>0.0</v>
      </c>
      <c r="L61" s="74">
        <v>2.0</v>
      </c>
      <c r="M61" s="74">
        <v>4.0</v>
      </c>
      <c r="N61" s="74">
        <v>0.0</v>
      </c>
      <c r="O61" s="74">
        <v>1.0</v>
      </c>
      <c r="P61" s="74">
        <v>2.0</v>
      </c>
      <c r="Q61" s="74">
        <v>2.0</v>
      </c>
      <c r="R61" s="74">
        <v>2.0</v>
      </c>
      <c r="S61" s="74">
        <v>1.0</v>
      </c>
      <c r="T61" s="13">
        <f t="shared" si="16"/>
        <v>22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0.0</v>
      </c>
      <c r="H62" s="74">
        <v>1.0</v>
      </c>
      <c r="I62" s="74">
        <v>0.0</v>
      </c>
      <c r="J62" s="74">
        <v>1.0</v>
      </c>
      <c r="K62" s="74">
        <v>0.0</v>
      </c>
      <c r="L62" s="74">
        <v>0.0</v>
      </c>
      <c r="M62" s="74">
        <v>2.0</v>
      </c>
      <c r="N62" s="74">
        <v>1.0</v>
      </c>
      <c r="O62" s="74">
        <v>0.0</v>
      </c>
      <c r="P62" s="74">
        <v>0.0</v>
      </c>
      <c r="Q62" s="74">
        <v>0.0</v>
      </c>
      <c r="R62" s="74">
        <v>0.0</v>
      </c>
      <c r="S62" s="74">
        <v>1.0</v>
      </c>
      <c r="T62" s="13">
        <f t="shared" si="16"/>
        <v>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0.0</v>
      </c>
      <c r="H63" s="74">
        <v>1.0</v>
      </c>
      <c r="I63" s="74">
        <v>4.0</v>
      </c>
      <c r="J63" s="74">
        <v>1.0</v>
      </c>
      <c r="K63" s="74">
        <v>1.0</v>
      </c>
      <c r="L63" s="74">
        <v>2.0</v>
      </c>
      <c r="M63" s="74">
        <v>2.0</v>
      </c>
      <c r="N63" s="74">
        <v>1.0</v>
      </c>
      <c r="O63" s="74">
        <v>1.0</v>
      </c>
      <c r="P63" s="74">
        <v>0.0</v>
      </c>
      <c r="Q63" s="74">
        <v>0.0</v>
      </c>
      <c r="R63" s="74">
        <v>1.0</v>
      </c>
      <c r="S63" s="74">
        <v>0.0</v>
      </c>
      <c r="T63" s="13">
        <f t="shared" si="16"/>
        <v>15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1.0</v>
      </c>
      <c r="J64" s="74">
        <v>1.0</v>
      </c>
      <c r="K64" s="74">
        <v>1.0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1.0</v>
      </c>
      <c r="S64" s="74">
        <v>0.0</v>
      </c>
      <c r="T64" s="13">
        <f t="shared" si="16"/>
        <v>4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2.0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1.0</v>
      </c>
      <c r="T65" s="13">
        <f t="shared" si="16"/>
        <v>3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1.0</v>
      </c>
      <c r="K66" s="74">
        <v>0.0</v>
      </c>
      <c r="L66" s="74">
        <v>0.0</v>
      </c>
      <c r="M66" s="74">
        <v>2.0</v>
      </c>
      <c r="N66" s="74">
        <v>0.0</v>
      </c>
      <c r="O66" s="74">
        <v>1.0</v>
      </c>
      <c r="P66" s="74">
        <v>0.0</v>
      </c>
      <c r="Q66" s="74">
        <v>2.0</v>
      </c>
      <c r="R66" s="74">
        <v>0.0</v>
      </c>
      <c r="S66" s="74">
        <v>0.0</v>
      </c>
      <c r="T66" s="13">
        <f t="shared" si="16"/>
        <v>6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S67" si="17">SUM(E57:E66)</f>
        <v>18</v>
      </c>
      <c r="F67" s="13">
        <f t="shared" si="17"/>
        <v>21</v>
      </c>
      <c r="G67" s="13">
        <f t="shared" si="17"/>
        <v>34</v>
      </c>
      <c r="H67" s="13">
        <f t="shared" si="17"/>
        <v>26</v>
      </c>
      <c r="I67" s="13">
        <f t="shared" si="17"/>
        <v>34</v>
      </c>
      <c r="J67" s="13">
        <f t="shared" si="17"/>
        <v>34</v>
      </c>
      <c r="K67" s="13">
        <f t="shared" si="17"/>
        <v>32</v>
      </c>
      <c r="L67" s="13">
        <f t="shared" si="17"/>
        <v>36</v>
      </c>
      <c r="M67" s="13">
        <f t="shared" si="17"/>
        <v>55</v>
      </c>
      <c r="N67" s="13">
        <f t="shared" si="17"/>
        <v>23</v>
      </c>
      <c r="O67" s="13">
        <f t="shared" si="17"/>
        <v>17</v>
      </c>
      <c r="P67" s="13">
        <f t="shared" si="17"/>
        <v>46</v>
      </c>
      <c r="Q67" s="13">
        <f t="shared" si="17"/>
        <v>33</v>
      </c>
      <c r="R67" s="13">
        <f t="shared" si="17"/>
        <v>57</v>
      </c>
      <c r="S67" s="13">
        <f t="shared" si="17"/>
        <v>21</v>
      </c>
      <c r="T67" s="13">
        <f t="shared" si="16"/>
        <v>487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6.0</v>
      </c>
      <c r="F69" s="74">
        <v>6.0</v>
      </c>
      <c r="G69" s="74">
        <v>13.0</v>
      </c>
      <c r="H69" s="74">
        <v>11.0</v>
      </c>
      <c r="I69" s="74">
        <v>7.0</v>
      </c>
      <c r="J69" s="74">
        <v>6.0</v>
      </c>
      <c r="K69" s="74">
        <v>10.0</v>
      </c>
      <c r="L69" s="74">
        <v>8.0</v>
      </c>
      <c r="M69" s="74">
        <v>9.0</v>
      </c>
      <c r="N69" s="74">
        <v>5.0</v>
      </c>
      <c r="O69" s="74">
        <v>8.0</v>
      </c>
      <c r="P69" s="74">
        <v>13.0</v>
      </c>
      <c r="Q69" s="74">
        <v>8.0</v>
      </c>
      <c r="R69" s="74">
        <v>29.0</v>
      </c>
      <c r="S69" s="74">
        <v>9.0</v>
      </c>
      <c r="T69" s="13">
        <f t="shared" ref="T69:T79" si="18">SUM(E69:S69)</f>
        <v>148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3.0</v>
      </c>
      <c r="G70" s="74">
        <v>2.0</v>
      </c>
      <c r="H70" s="74">
        <v>2.0</v>
      </c>
      <c r="I70" s="74">
        <v>1.0</v>
      </c>
      <c r="J70" s="74">
        <v>2.0</v>
      </c>
      <c r="K70" s="74">
        <v>1.0</v>
      </c>
      <c r="L70" s="74">
        <v>2.0</v>
      </c>
      <c r="M70" s="74">
        <v>3.0</v>
      </c>
      <c r="N70" s="74">
        <v>0.0</v>
      </c>
      <c r="O70" s="74">
        <v>2.0</v>
      </c>
      <c r="P70" s="74">
        <v>3.0</v>
      </c>
      <c r="Q70" s="74">
        <v>4.0</v>
      </c>
      <c r="R70" s="74">
        <v>9.0</v>
      </c>
      <c r="S70" s="74">
        <v>3.0</v>
      </c>
      <c r="T70" s="13">
        <f t="shared" si="18"/>
        <v>41</v>
      </c>
    </row>
    <row r="71" ht="12.75" customHeight="1">
      <c r="A71" s="18"/>
      <c r="B71" s="55"/>
      <c r="C71" s="50" t="s">
        <v>62</v>
      </c>
      <c r="D71" s="57"/>
      <c r="E71" s="74">
        <v>5.0</v>
      </c>
      <c r="F71" s="74">
        <v>3.0</v>
      </c>
      <c r="G71" s="74">
        <v>0.0</v>
      </c>
      <c r="H71" s="74">
        <v>2.0</v>
      </c>
      <c r="I71" s="74">
        <v>6.0</v>
      </c>
      <c r="J71" s="74">
        <v>1.0</v>
      </c>
      <c r="K71" s="74">
        <v>3.0</v>
      </c>
      <c r="L71" s="74">
        <v>1.0</v>
      </c>
      <c r="M71" s="74">
        <v>1.0</v>
      </c>
      <c r="N71" s="74">
        <v>5.0</v>
      </c>
      <c r="O71" s="74">
        <v>2.0</v>
      </c>
      <c r="P71" s="74">
        <v>4.0</v>
      </c>
      <c r="Q71" s="74">
        <v>5.0</v>
      </c>
      <c r="R71" s="74">
        <v>8.0</v>
      </c>
      <c r="S71" s="74">
        <v>6.0</v>
      </c>
      <c r="T71" s="13">
        <f t="shared" si="18"/>
        <v>52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2.0</v>
      </c>
      <c r="G72" s="74">
        <v>1.0</v>
      </c>
      <c r="H72" s="74">
        <v>1.0</v>
      </c>
      <c r="I72" s="74">
        <v>1.0</v>
      </c>
      <c r="J72" s="74">
        <v>3.0</v>
      </c>
      <c r="K72" s="74">
        <v>4.0</v>
      </c>
      <c r="L72" s="74">
        <v>6.0</v>
      </c>
      <c r="M72" s="74">
        <v>3.0</v>
      </c>
      <c r="N72" s="74">
        <v>1.0</v>
      </c>
      <c r="O72" s="74">
        <v>1.0</v>
      </c>
      <c r="P72" s="74">
        <v>6.0</v>
      </c>
      <c r="Q72" s="74">
        <v>7.0</v>
      </c>
      <c r="R72" s="74">
        <v>8.0</v>
      </c>
      <c r="S72" s="74">
        <v>5.0</v>
      </c>
      <c r="T72" s="13">
        <f t="shared" si="18"/>
        <v>50</v>
      </c>
    </row>
    <row r="73" ht="12.75" customHeight="1">
      <c r="A73" s="18"/>
      <c r="B73" s="55"/>
      <c r="C73" s="50" t="s">
        <v>64</v>
      </c>
      <c r="D73" s="57"/>
      <c r="E73" s="74">
        <v>6.0</v>
      </c>
      <c r="F73" s="74">
        <v>8.0</v>
      </c>
      <c r="G73" s="74">
        <v>3.0</v>
      </c>
      <c r="H73" s="74">
        <v>3.0</v>
      </c>
      <c r="I73" s="74">
        <v>2.0</v>
      </c>
      <c r="J73" s="74">
        <v>5.0</v>
      </c>
      <c r="K73" s="74">
        <v>3.0</v>
      </c>
      <c r="L73" s="74">
        <v>3.0</v>
      </c>
      <c r="M73" s="74">
        <v>7.0</v>
      </c>
      <c r="N73" s="74">
        <v>5.0</v>
      </c>
      <c r="O73" s="74">
        <v>3.0</v>
      </c>
      <c r="P73" s="74">
        <v>8.0</v>
      </c>
      <c r="Q73" s="74">
        <v>4.0</v>
      </c>
      <c r="R73" s="74">
        <v>30.0</v>
      </c>
      <c r="S73" s="74">
        <v>12.0</v>
      </c>
      <c r="T73" s="13">
        <f t="shared" si="18"/>
        <v>102</v>
      </c>
    </row>
    <row r="74" ht="12.75" customHeight="1">
      <c r="A74" s="18"/>
      <c r="B74" s="55"/>
      <c r="C74" s="50" t="s">
        <v>65</v>
      </c>
      <c r="D74" s="57"/>
      <c r="E74" s="74">
        <v>2.0</v>
      </c>
      <c r="F74" s="74">
        <v>1.0</v>
      </c>
      <c r="G74" s="74">
        <v>0.0</v>
      </c>
      <c r="H74" s="74">
        <v>1.0</v>
      </c>
      <c r="I74" s="74">
        <v>9.0</v>
      </c>
      <c r="J74" s="74">
        <v>1.0</v>
      </c>
      <c r="K74" s="74">
        <v>3.0</v>
      </c>
      <c r="L74" s="74">
        <v>7.0</v>
      </c>
      <c r="M74" s="74">
        <v>1.0</v>
      </c>
      <c r="N74" s="74">
        <v>1.0</v>
      </c>
      <c r="O74" s="74">
        <v>1.0</v>
      </c>
      <c r="P74" s="74">
        <v>1.0</v>
      </c>
      <c r="Q74" s="74">
        <v>3.0</v>
      </c>
      <c r="R74" s="74">
        <v>6.0</v>
      </c>
      <c r="S74" s="74">
        <v>6.0</v>
      </c>
      <c r="T74" s="13">
        <f t="shared" si="18"/>
        <v>43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0.0</v>
      </c>
      <c r="I75" s="74">
        <v>1.0</v>
      </c>
      <c r="J75" s="74">
        <v>1.0</v>
      </c>
      <c r="K75" s="74">
        <v>0.0</v>
      </c>
      <c r="L75" s="74">
        <v>0.0</v>
      </c>
      <c r="M75" s="74">
        <v>1.0</v>
      </c>
      <c r="N75" s="74">
        <v>1.0</v>
      </c>
      <c r="O75" s="74">
        <v>0.0</v>
      </c>
      <c r="P75" s="74">
        <v>0.0</v>
      </c>
      <c r="Q75" s="74">
        <v>0.0</v>
      </c>
      <c r="R75" s="74">
        <v>2.0</v>
      </c>
      <c r="S75" s="74">
        <v>1.0</v>
      </c>
      <c r="T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1.0</v>
      </c>
      <c r="G76" s="74">
        <v>0.0</v>
      </c>
      <c r="H76" s="74">
        <v>0.0</v>
      </c>
      <c r="I76" s="74">
        <v>2.0</v>
      </c>
      <c r="J76" s="74">
        <v>0.0</v>
      </c>
      <c r="K76" s="74">
        <v>1.0</v>
      </c>
      <c r="L76" s="74">
        <v>0.0</v>
      </c>
      <c r="M76" s="74">
        <v>0.0</v>
      </c>
      <c r="N76" s="74">
        <v>1.0</v>
      </c>
      <c r="O76" s="74">
        <v>2.0</v>
      </c>
      <c r="P76" s="74">
        <v>0.0</v>
      </c>
      <c r="Q76" s="74">
        <v>0.0</v>
      </c>
      <c r="R76" s="74">
        <v>0.0</v>
      </c>
      <c r="S76" s="74">
        <v>2.0</v>
      </c>
      <c r="T76" s="13">
        <f t="shared" si="18"/>
        <v>9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0.0</v>
      </c>
      <c r="G77" s="74">
        <v>1.0</v>
      </c>
      <c r="H77" s="74">
        <v>1.0</v>
      </c>
      <c r="I77" s="74">
        <v>4.0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1.0</v>
      </c>
      <c r="P77" s="74">
        <v>1.0</v>
      </c>
      <c r="Q77" s="74">
        <v>0.0</v>
      </c>
      <c r="R77" s="74">
        <v>1.0</v>
      </c>
      <c r="S77" s="74">
        <v>1.0</v>
      </c>
      <c r="T77" s="13">
        <f t="shared" si="18"/>
        <v>11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3.0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13">
        <f t="shared" si="18"/>
        <v>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S79" si="19">SUM(E69:E78)</f>
        <v>25</v>
      </c>
      <c r="F79" s="13">
        <f t="shared" si="19"/>
        <v>24</v>
      </c>
      <c r="G79" s="13">
        <f t="shared" si="19"/>
        <v>20</v>
      </c>
      <c r="H79" s="13">
        <f t="shared" si="19"/>
        <v>21</v>
      </c>
      <c r="I79" s="13">
        <f t="shared" si="19"/>
        <v>36</v>
      </c>
      <c r="J79" s="13">
        <f t="shared" si="19"/>
        <v>19</v>
      </c>
      <c r="K79" s="13">
        <f t="shared" si="19"/>
        <v>25</v>
      </c>
      <c r="L79" s="13">
        <f t="shared" si="19"/>
        <v>27</v>
      </c>
      <c r="M79" s="13">
        <f t="shared" si="19"/>
        <v>25</v>
      </c>
      <c r="N79" s="13">
        <f t="shared" si="19"/>
        <v>19</v>
      </c>
      <c r="O79" s="13">
        <f t="shared" si="19"/>
        <v>20</v>
      </c>
      <c r="P79" s="13">
        <f t="shared" si="19"/>
        <v>36</v>
      </c>
      <c r="Q79" s="13">
        <f t="shared" si="19"/>
        <v>31</v>
      </c>
      <c r="R79" s="13">
        <f t="shared" si="19"/>
        <v>93</v>
      </c>
      <c r="S79" s="13">
        <f t="shared" si="19"/>
        <v>45</v>
      </c>
      <c r="T79" s="13">
        <f t="shared" si="18"/>
        <v>466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7.0</v>
      </c>
      <c r="G81" s="74">
        <v>5.0</v>
      </c>
      <c r="H81" s="74">
        <v>2.0</v>
      </c>
      <c r="I81" s="74">
        <v>1.0</v>
      </c>
      <c r="J81" s="74">
        <v>1.0</v>
      </c>
      <c r="K81" s="74">
        <v>5.0</v>
      </c>
      <c r="L81" s="74">
        <v>3.0</v>
      </c>
      <c r="M81" s="74">
        <v>6.0</v>
      </c>
      <c r="N81" s="74">
        <v>12.0</v>
      </c>
      <c r="O81" s="74">
        <v>1.0</v>
      </c>
      <c r="P81" s="74">
        <v>2.0</v>
      </c>
      <c r="Q81" s="74">
        <v>7.0</v>
      </c>
      <c r="R81" s="74">
        <v>7.0</v>
      </c>
      <c r="S81" s="74">
        <v>3.0</v>
      </c>
      <c r="T81" s="13">
        <f t="shared" ref="T81:T91" si="20">SUM(E81:S81)</f>
        <v>66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7.0</v>
      </c>
      <c r="F82" s="74">
        <v>5.0</v>
      </c>
      <c r="G82" s="74">
        <v>8.0</v>
      </c>
      <c r="H82" s="74">
        <v>3.0</v>
      </c>
      <c r="I82" s="74">
        <v>3.0</v>
      </c>
      <c r="J82" s="74">
        <v>0.0</v>
      </c>
      <c r="K82" s="74">
        <v>3.0</v>
      </c>
      <c r="L82" s="74">
        <v>0.0</v>
      </c>
      <c r="M82" s="74">
        <v>1.0</v>
      </c>
      <c r="N82" s="74">
        <v>8.0</v>
      </c>
      <c r="O82" s="74">
        <v>6.0</v>
      </c>
      <c r="P82" s="74">
        <v>0.0</v>
      </c>
      <c r="Q82" s="74">
        <v>1.0</v>
      </c>
      <c r="R82" s="74">
        <v>1.0</v>
      </c>
      <c r="S82" s="74">
        <v>4.0</v>
      </c>
      <c r="T82" s="13">
        <f t="shared" si="20"/>
        <v>50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5.0</v>
      </c>
      <c r="G83" s="74">
        <v>0.0</v>
      </c>
      <c r="H83" s="74">
        <v>1.0</v>
      </c>
      <c r="I83" s="74">
        <v>1.0</v>
      </c>
      <c r="J83" s="74">
        <v>3.0</v>
      </c>
      <c r="K83" s="74">
        <v>0.0</v>
      </c>
      <c r="L83" s="74">
        <v>1.0</v>
      </c>
      <c r="M83" s="74">
        <v>1.0</v>
      </c>
      <c r="N83" s="74">
        <v>3.0</v>
      </c>
      <c r="O83" s="74">
        <v>1.0</v>
      </c>
      <c r="P83" s="74">
        <v>0.0</v>
      </c>
      <c r="Q83" s="74">
        <v>0.0</v>
      </c>
      <c r="R83" s="74">
        <v>2.0</v>
      </c>
      <c r="S83" s="74">
        <v>2.0</v>
      </c>
      <c r="T83" s="13">
        <f t="shared" si="20"/>
        <v>21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1.0</v>
      </c>
      <c r="G84" s="74">
        <v>0.0</v>
      </c>
      <c r="H84" s="74">
        <v>0.0</v>
      </c>
      <c r="I84" s="74">
        <v>1.0</v>
      </c>
      <c r="J84" s="74">
        <v>0.0</v>
      </c>
      <c r="K84" s="74">
        <v>0.0</v>
      </c>
      <c r="L84" s="74">
        <v>2.0</v>
      </c>
      <c r="M84" s="74">
        <v>0.0</v>
      </c>
      <c r="N84" s="74">
        <v>1.0</v>
      </c>
      <c r="O84" s="74">
        <v>0.0</v>
      </c>
      <c r="P84" s="74">
        <v>0.0</v>
      </c>
      <c r="Q84" s="74">
        <v>1.0</v>
      </c>
      <c r="R84" s="74">
        <v>0.0</v>
      </c>
      <c r="S84" s="74">
        <v>0.0</v>
      </c>
      <c r="T84" s="13">
        <f t="shared" si="20"/>
        <v>7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1.0</v>
      </c>
      <c r="G85" s="74">
        <v>0.0</v>
      </c>
      <c r="H85" s="74">
        <v>1.0</v>
      </c>
      <c r="I85" s="74">
        <v>3.0</v>
      </c>
      <c r="J85" s="74">
        <v>0.0</v>
      </c>
      <c r="K85" s="74">
        <v>0.0</v>
      </c>
      <c r="L85" s="74">
        <v>2.0</v>
      </c>
      <c r="M85" s="74">
        <v>0.0</v>
      </c>
      <c r="N85" s="74">
        <v>4.0</v>
      </c>
      <c r="O85" s="74">
        <v>0.0</v>
      </c>
      <c r="P85" s="74">
        <v>0.0</v>
      </c>
      <c r="Q85" s="74">
        <v>0.0</v>
      </c>
      <c r="R85" s="74">
        <v>1.0</v>
      </c>
      <c r="S85" s="74">
        <v>1.0</v>
      </c>
      <c r="T85" s="13">
        <f t="shared" si="20"/>
        <v>15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1.0</v>
      </c>
      <c r="G86" s="74">
        <v>2.0</v>
      </c>
      <c r="H86" s="74">
        <v>0.0</v>
      </c>
      <c r="I86" s="74">
        <v>0.0</v>
      </c>
      <c r="J86" s="74">
        <v>2.0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13">
        <f t="shared" si="20"/>
        <v>5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1.0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13">
        <f t="shared" si="20"/>
        <v>1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13">
        <f t="shared" si="20"/>
        <v>0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13">
        <f t="shared" si="20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1.0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1.0</v>
      </c>
      <c r="P90" s="74">
        <v>0.0</v>
      </c>
      <c r="Q90" s="74">
        <v>0.0</v>
      </c>
      <c r="R90" s="74">
        <v>0.0</v>
      </c>
      <c r="S90" s="74">
        <v>0.0</v>
      </c>
      <c r="T90" s="13">
        <f t="shared" si="20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S91" si="21">SUM(E81:E90)</f>
        <v>15</v>
      </c>
      <c r="F91" s="13">
        <f t="shared" si="21"/>
        <v>21</v>
      </c>
      <c r="G91" s="13">
        <f t="shared" si="21"/>
        <v>15</v>
      </c>
      <c r="H91" s="13">
        <f t="shared" si="21"/>
        <v>7</v>
      </c>
      <c r="I91" s="13">
        <f t="shared" si="21"/>
        <v>10</v>
      </c>
      <c r="J91" s="13">
        <f t="shared" si="21"/>
        <v>6</v>
      </c>
      <c r="K91" s="13">
        <f t="shared" si="21"/>
        <v>8</v>
      </c>
      <c r="L91" s="13">
        <f t="shared" si="21"/>
        <v>8</v>
      </c>
      <c r="M91" s="13">
        <f t="shared" si="21"/>
        <v>8</v>
      </c>
      <c r="N91" s="13">
        <f t="shared" si="21"/>
        <v>28</v>
      </c>
      <c r="O91" s="13">
        <f t="shared" si="21"/>
        <v>9</v>
      </c>
      <c r="P91" s="13">
        <f t="shared" si="21"/>
        <v>2</v>
      </c>
      <c r="Q91" s="13">
        <f t="shared" si="21"/>
        <v>9</v>
      </c>
      <c r="R91" s="13">
        <f t="shared" si="21"/>
        <v>11</v>
      </c>
      <c r="S91" s="13">
        <f t="shared" si="21"/>
        <v>10</v>
      </c>
      <c r="T91" s="13">
        <f t="shared" si="20"/>
        <v>167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3.0</v>
      </c>
      <c r="F93" s="74">
        <v>3.0</v>
      </c>
      <c r="G93" s="74">
        <v>2.0</v>
      </c>
      <c r="H93" s="74">
        <v>1.0</v>
      </c>
      <c r="I93" s="74">
        <v>0.0</v>
      </c>
      <c r="J93" s="74">
        <v>0.0</v>
      </c>
      <c r="K93" s="74">
        <v>0.0</v>
      </c>
      <c r="L93" s="74">
        <v>2.0</v>
      </c>
      <c r="M93" s="74">
        <v>2.0</v>
      </c>
      <c r="N93" s="74">
        <v>1.0</v>
      </c>
      <c r="O93" s="74">
        <v>1.0</v>
      </c>
      <c r="P93" s="74">
        <v>2.0</v>
      </c>
      <c r="Q93" s="74">
        <v>5.0</v>
      </c>
      <c r="R93" s="74">
        <v>0.0</v>
      </c>
      <c r="S93" s="74">
        <v>0.0</v>
      </c>
      <c r="T93" s="13">
        <f t="shared" ref="T93:T103" si="22">SUM(E93:S93)</f>
        <v>22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2.0</v>
      </c>
      <c r="G94" s="74">
        <v>0.0</v>
      </c>
      <c r="H94" s="74">
        <v>3.0</v>
      </c>
      <c r="I94" s="74">
        <v>0.0</v>
      </c>
      <c r="J94" s="74">
        <v>1.0</v>
      </c>
      <c r="K94" s="74">
        <v>1.0</v>
      </c>
      <c r="L94" s="74">
        <v>0.0</v>
      </c>
      <c r="M94" s="74">
        <v>0.0</v>
      </c>
      <c r="N94" s="74">
        <v>1.0</v>
      </c>
      <c r="O94" s="74">
        <v>0.0</v>
      </c>
      <c r="P94" s="74">
        <v>2.0</v>
      </c>
      <c r="Q94" s="74">
        <v>8.0</v>
      </c>
      <c r="R94" s="74">
        <v>0.0</v>
      </c>
      <c r="S94" s="74">
        <v>1.0</v>
      </c>
      <c r="T94" s="13">
        <f t="shared" si="22"/>
        <v>19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1.0</v>
      </c>
      <c r="I95" s="74">
        <v>0.0</v>
      </c>
      <c r="J95" s="74">
        <v>0.0</v>
      </c>
      <c r="K95" s="74">
        <v>1.0</v>
      </c>
      <c r="L95" s="74">
        <v>0.0</v>
      </c>
      <c r="M95" s="74">
        <v>0.0</v>
      </c>
      <c r="N95" s="74">
        <v>0.0</v>
      </c>
      <c r="O95" s="74">
        <v>0.0</v>
      </c>
      <c r="P95" s="74">
        <v>2.0</v>
      </c>
      <c r="Q95" s="74">
        <v>2.0</v>
      </c>
      <c r="R95" s="74">
        <v>0.0</v>
      </c>
      <c r="S95" s="74">
        <v>0.0</v>
      </c>
      <c r="T95" s="13">
        <f t="shared" si="22"/>
        <v>7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1.0</v>
      </c>
      <c r="I96" s="74">
        <v>0.0</v>
      </c>
      <c r="J96" s="74">
        <v>0.0</v>
      </c>
      <c r="K96" s="74">
        <v>1.0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1.0</v>
      </c>
      <c r="R96" s="74">
        <v>0.0</v>
      </c>
      <c r="S96" s="74">
        <v>0.0</v>
      </c>
      <c r="T96" s="13">
        <f t="shared" si="22"/>
        <v>3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1.0</v>
      </c>
      <c r="P97" s="74">
        <v>0.0</v>
      </c>
      <c r="Q97" s="74">
        <v>0.0</v>
      </c>
      <c r="R97" s="74">
        <v>1.0</v>
      </c>
      <c r="S97" s="74">
        <v>0.0</v>
      </c>
      <c r="T97" s="13">
        <f t="shared" si="22"/>
        <v>4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1.0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2.0</v>
      </c>
      <c r="G99" s="74">
        <v>1.0</v>
      </c>
      <c r="H99" s="74">
        <v>1.0</v>
      </c>
      <c r="I99" s="74">
        <v>0.0</v>
      </c>
      <c r="J99" s="74">
        <v>0.0</v>
      </c>
      <c r="K99" s="74">
        <v>0.0</v>
      </c>
      <c r="L99" s="74">
        <v>0.0</v>
      </c>
      <c r="M99" s="74">
        <v>2.0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13">
        <f t="shared" si="22"/>
        <v>6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3.0</v>
      </c>
      <c r="N102" s="74">
        <v>0.0</v>
      </c>
      <c r="O102" s="74">
        <v>0.0</v>
      </c>
      <c r="P102" s="84">
        <v>1.0</v>
      </c>
      <c r="Q102" s="74">
        <v>0.0</v>
      </c>
      <c r="R102" s="74">
        <v>0.0</v>
      </c>
      <c r="S102" s="74">
        <v>0.0</v>
      </c>
      <c r="T102" s="13">
        <f t="shared" si="22"/>
        <v>4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S103" si="23">SUM(E93:E102)</f>
        <v>4</v>
      </c>
      <c r="F103" s="13">
        <f t="shared" si="23"/>
        <v>8</v>
      </c>
      <c r="G103" s="13">
        <f t="shared" si="23"/>
        <v>4</v>
      </c>
      <c r="H103" s="13">
        <f t="shared" si="23"/>
        <v>7</v>
      </c>
      <c r="I103" s="13">
        <f t="shared" si="23"/>
        <v>0</v>
      </c>
      <c r="J103" s="13">
        <f t="shared" si="23"/>
        <v>1</v>
      </c>
      <c r="K103" s="13">
        <f t="shared" si="23"/>
        <v>4</v>
      </c>
      <c r="L103" s="13">
        <f t="shared" si="23"/>
        <v>2</v>
      </c>
      <c r="M103" s="13">
        <f t="shared" si="23"/>
        <v>7</v>
      </c>
      <c r="N103" s="13">
        <f t="shared" si="23"/>
        <v>2</v>
      </c>
      <c r="O103" s="13">
        <f t="shared" si="23"/>
        <v>2</v>
      </c>
      <c r="P103" s="13">
        <f t="shared" si="23"/>
        <v>7</v>
      </c>
      <c r="Q103" s="13">
        <f t="shared" si="23"/>
        <v>16</v>
      </c>
      <c r="R103" s="13">
        <f t="shared" si="23"/>
        <v>1</v>
      </c>
      <c r="S103" s="13">
        <f t="shared" si="23"/>
        <v>1</v>
      </c>
      <c r="T103" s="13">
        <f t="shared" si="22"/>
        <v>66</v>
      </c>
    </row>
    <row r="104" ht="12.75" customHeight="1">
      <c r="A104" s="45"/>
      <c r="B104" s="44"/>
      <c r="C104" s="44"/>
      <c r="D104" s="44"/>
      <c r="E104" s="44"/>
      <c r="F104" s="85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2.0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1.0</v>
      </c>
      <c r="R105" s="74">
        <v>4.0</v>
      </c>
      <c r="S105" s="74">
        <v>0.0</v>
      </c>
      <c r="T105" s="13">
        <f t="shared" ref="T105:T107" si="24">SUM(E105:S105)</f>
        <v>9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74">
        <v>2.0</v>
      </c>
      <c r="S106" s="74">
        <v>1.0</v>
      </c>
      <c r="T106" s="13">
        <f t="shared" si="24"/>
        <v>5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1.0</v>
      </c>
      <c r="G107" s="74">
        <v>0.0</v>
      </c>
      <c r="H107" s="74">
        <v>1.0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1.0</v>
      </c>
      <c r="R107" s="74">
        <v>0.0</v>
      </c>
      <c r="S107" s="74">
        <v>0.0</v>
      </c>
      <c r="T107" s="13">
        <f t="shared" si="24"/>
        <v>3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S115" si="25">SUM(E105:E107)</f>
        <v>0</v>
      </c>
      <c r="F115" s="13">
        <f t="shared" si="25"/>
        <v>1</v>
      </c>
      <c r="G115" s="13">
        <f t="shared" si="25"/>
        <v>2</v>
      </c>
      <c r="H115" s="13">
        <f t="shared" si="25"/>
        <v>3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3</v>
      </c>
      <c r="R115" s="13">
        <f t="shared" si="25"/>
        <v>6</v>
      </c>
      <c r="S115" s="13">
        <f t="shared" si="25"/>
        <v>1</v>
      </c>
      <c r="T115" s="13">
        <f>SUM(E115:S115)</f>
        <v>17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2.0</v>
      </c>
      <c r="F117" s="74">
        <v>1.0</v>
      </c>
      <c r="G117" s="74">
        <v>0.0</v>
      </c>
      <c r="H117" s="74">
        <v>1.0</v>
      </c>
      <c r="I117" s="74">
        <v>1.0</v>
      </c>
      <c r="J117" s="74">
        <v>1.0</v>
      </c>
      <c r="K117" s="74">
        <v>0.0</v>
      </c>
      <c r="L117" s="74">
        <v>2.0</v>
      </c>
      <c r="M117" s="74">
        <v>2.0</v>
      </c>
      <c r="N117" s="74">
        <v>1.0</v>
      </c>
      <c r="O117" s="74">
        <v>0.0</v>
      </c>
      <c r="P117" s="74">
        <v>0.0</v>
      </c>
      <c r="Q117" s="74">
        <v>1.0</v>
      </c>
      <c r="R117" s="74">
        <v>1.0</v>
      </c>
      <c r="S117" s="74">
        <v>0.0</v>
      </c>
      <c r="T117" s="13">
        <f t="shared" ref="T117:T122" si="26">SUM(E117:S117)</f>
        <v>13</v>
      </c>
      <c r="U117" s="5"/>
      <c r="V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1.0</v>
      </c>
      <c r="F118" s="74">
        <v>0.0</v>
      </c>
      <c r="G118" s="74">
        <v>0.0</v>
      </c>
      <c r="H118" s="74">
        <v>1.0</v>
      </c>
      <c r="I118" s="74">
        <v>1.0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1.0</v>
      </c>
      <c r="S118" s="74">
        <v>0.0</v>
      </c>
      <c r="T118" s="13">
        <f t="shared" si="26"/>
        <v>4</v>
      </c>
      <c r="U118" s="5"/>
      <c r="V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1.0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13">
        <f t="shared" si="26"/>
        <v>1</v>
      </c>
      <c r="U119" s="5"/>
      <c r="V119" s="5"/>
    </row>
    <row r="120" ht="12.75" customHeight="1">
      <c r="A120" s="18"/>
      <c r="B120" s="55"/>
      <c r="C120" s="50" t="s">
        <v>99</v>
      </c>
      <c r="D120" s="57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13">
        <f t="shared" si="26"/>
        <v>1</v>
      </c>
      <c r="U120" s="5"/>
      <c r="V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1.0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13">
        <f t="shared" si="26"/>
        <v>1</v>
      </c>
      <c r="U121" s="5"/>
      <c r="V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1.0</v>
      </c>
      <c r="J122" s="74">
        <v>0.0</v>
      </c>
      <c r="K122" s="74">
        <v>0.0</v>
      </c>
      <c r="L122" s="74">
        <v>2.0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13">
        <f t="shared" si="26"/>
        <v>3</v>
      </c>
      <c r="U122" s="5"/>
      <c r="V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79"/>
      <c r="U123" s="5"/>
      <c r="V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79"/>
      <c r="U124" s="5"/>
      <c r="V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79"/>
      <c r="U125" s="5"/>
      <c r="V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79"/>
      <c r="U126" s="5"/>
      <c r="V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S127" si="27">SUM(E117:E122)</f>
        <v>4</v>
      </c>
      <c r="F127" s="63">
        <f t="shared" si="27"/>
        <v>1</v>
      </c>
      <c r="G127" s="63">
        <f t="shared" si="27"/>
        <v>0</v>
      </c>
      <c r="H127" s="63">
        <f t="shared" si="27"/>
        <v>2</v>
      </c>
      <c r="I127" s="63">
        <f t="shared" si="27"/>
        <v>5</v>
      </c>
      <c r="J127" s="63">
        <f t="shared" si="27"/>
        <v>1</v>
      </c>
      <c r="K127" s="63">
        <f t="shared" si="27"/>
        <v>0</v>
      </c>
      <c r="L127" s="63">
        <f t="shared" si="27"/>
        <v>4</v>
      </c>
      <c r="M127" s="63">
        <f t="shared" si="27"/>
        <v>2</v>
      </c>
      <c r="N127" s="63">
        <f t="shared" si="27"/>
        <v>1</v>
      </c>
      <c r="O127" s="63">
        <f t="shared" si="27"/>
        <v>0</v>
      </c>
      <c r="P127" s="63">
        <f t="shared" si="27"/>
        <v>0</v>
      </c>
      <c r="Q127" s="63">
        <f t="shared" si="27"/>
        <v>1</v>
      </c>
      <c r="R127" s="63">
        <f t="shared" si="27"/>
        <v>2</v>
      </c>
      <c r="S127" s="63">
        <f t="shared" si="27"/>
        <v>0</v>
      </c>
      <c r="T127" s="13">
        <f>SUM(E127:S127)</f>
        <v>23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5"/>
      <c r="V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2.0</v>
      </c>
      <c r="G129" s="74">
        <v>0.0</v>
      </c>
      <c r="H129" s="74">
        <v>4.0</v>
      </c>
      <c r="I129" s="74">
        <v>2.0</v>
      </c>
      <c r="J129" s="74">
        <v>2.0</v>
      </c>
      <c r="K129" s="74">
        <v>3.0</v>
      </c>
      <c r="L129" s="74">
        <v>0.0</v>
      </c>
      <c r="M129" s="74">
        <v>1.0</v>
      </c>
      <c r="N129" s="74">
        <v>0.0</v>
      </c>
      <c r="O129" s="74">
        <v>0.0</v>
      </c>
      <c r="P129" s="74">
        <v>0.0</v>
      </c>
      <c r="Q129" s="74">
        <v>2.0</v>
      </c>
      <c r="R129" s="74">
        <v>0.0</v>
      </c>
      <c r="S129" s="74">
        <v>0.0</v>
      </c>
      <c r="T129" s="13">
        <f t="shared" ref="T129:T139" si="28">SUM(E129:S129)</f>
        <v>17</v>
      </c>
      <c r="U129" s="5"/>
      <c r="V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3.0</v>
      </c>
      <c r="F130" s="74">
        <v>0.0</v>
      </c>
      <c r="G130" s="74">
        <v>0.0</v>
      </c>
      <c r="H130" s="74">
        <v>0.0</v>
      </c>
      <c r="I130" s="74">
        <v>0.0</v>
      </c>
      <c r="J130" s="74">
        <v>1.0</v>
      </c>
      <c r="K130" s="74">
        <v>0.0</v>
      </c>
      <c r="L130" s="74">
        <v>0.0</v>
      </c>
      <c r="M130" s="74">
        <v>0.0</v>
      </c>
      <c r="N130" s="74">
        <v>0.0</v>
      </c>
      <c r="O130" s="74">
        <v>2.0</v>
      </c>
      <c r="P130" s="74">
        <v>0.0</v>
      </c>
      <c r="Q130" s="74">
        <v>0.0</v>
      </c>
      <c r="R130" s="74">
        <v>0.0</v>
      </c>
      <c r="S130" s="74">
        <v>1.0</v>
      </c>
      <c r="T130" s="13">
        <f t="shared" si="28"/>
        <v>7</v>
      </c>
      <c r="U130" s="1"/>
      <c r="V130" s="1"/>
    </row>
    <row r="131" ht="12.75" customHeight="1">
      <c r="A131" s="18"/>
      <c r="B131" s="55"/>
      <c r="C131" s="50" t="s">
        <v>105</v>
      </c>
      <c r="D131" s="56"/>
      <c r="E131" s="74">
        <v>1.0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1.0</v>
      </c>
      <c r="P131" s="74">
        <v>0.0</v>
      </c>
      <c r="Q131" s="74">
        <v>0.0</v>
      </c>
      <c r="R131" s="74">
        <v>0.0</v>
      </c>
      <c r="S131" s="74">
        <v>0.0</v>
      </c>
      <c r="T131" s="13">
        <f t="shared" si="28"/>
        <v>2</v>
      </c>
      <c r="U131" s="52"/>
      <c r="V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1.0</v>
      </c>
      <c r="T132" s="13">
        <f t="shared" si="28"/>
        <v>1</v>
      </c>
      <c r="U132" s="5"/>
      <c r="V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13">
        <f t="shared" si="28"/>
        <v>0</v>
      </c>
      <c r="U133" s="5"/>
      <c r="V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2.0</v>
      </c>
      <c r="G134" s="74">
        <v>0.0</v>
      </c>
      <c r="H134" s="74">
        <v>1.0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1.0</v>
      </c>
      <c r="P134" s="74">
        <v>1.0</v>
      </c>
      <c r="Q134" s="74">
        <v>0.0</v>
      </c>
      <c r="R134" s="74">
        <v>0.0</v>
      </c>
      <c r="S134" s="74">
        <v>0.0</v>
      </c>
      <c r="T134" s="13">
        <f t="shared" si="28"/>
        <v>5</v>
      </c>
      <c r="U134" s="5"/>
      <c r="V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1.0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1.0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13">
        <f t="shared" si="28"/>
        <v>2</v>
      </c>
      <c r="U135" s="5"/>
      <c r="V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13">
        <f t="shared" si="28"/>
        <v>0</v>
      </c>
      <c r="U136" s="5"/>
      <c r="V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1.0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13">
        <f t="shared" si="28"/>
        <v>1</v>
      </c>
      <c r="U137" s="5"/>
      <c r="V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13">
        <f t="shared" si="28"/>
        <v>0</v>
      </c>
      <c r="U138" s="5"/>
      <c r="V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S139" si="29">SUM(E129:E138)</f>
        <v>5</v>
      </c>
      <c r="F139" s="13">
        <f t="shared" si="29"/>
        <v>5</v>
      </c>
      <c r="G139" s="13">
        <f t="shared" si="29"/>
        <v>0</v>
      </c>
      <c r="H139" s="13">
        <f t="shared" si="29"/>
        <v>5</v>
      </c>
      <c r="I139" s="13">
        <f t="shared" si="29"/>
        <v>3</v>
      </c>
      <c r="J139" s="13">
        <f t="shared" si="29"/>
        <v>3</v>
      </c>
      <c r="K139" s="13">
        <f t="shared" si="29"/>
        <v>3</v>
      </c>
      <c r="L139" s="13">
        <f t="shared" si="29"/>
        <v>1</v>
      </c>
      <c r="M139" s="13">
        <f t="shared" si="29"/>
        <v>1</v>
      </c>
      <c r="N139" s="13">
        <f t="shared" si="29"/>
        <v>0</v>
      </c>
      <c r="O139" s="13">
        <f t="shared" si="29"/>
        <v>4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2</v>
      </c>
      <c r="T139" s="13">
        <f t="shared" si="28"/>
        <v>35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5"/>
      <c r="V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1.0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13">
        <f t="shared" ref="T141:T144" si="30">SUM(E141:S141)</f>
        <v>1</v>
      </c>
      <c r="U141" s="1"/>
      <c r="V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1.0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13">
        <f t="shared" si="30"/>
        <v>1</v>
      </c>
      <c r="U142" s="52"/>
      <c r="V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13">
        <f t="shared" si="30"/>
        <v>0</v>
      </c>
      <c r="U143" s="5"/>
      <c r="V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13">
        <f t="shared" si="30"/>
        <v>0</v>
      </c>
      <c r="U144" s="5"/>
      <c r="V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79"/>
      <c r="U145" s="5"/>
      <c r="V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79"/>
      <c r="U146" s="5"/>
      <c r="V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79"/>
      <c r="U147" s="5"/>
      <c r="V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79"/>
      <c r="U148" s="5"/>
      <c r="V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79"/>
      <c r="U149" s="5"/>
      <c r="V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79"/>
      <c r="U150" s="5"/>
      <c r="V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>SUM(E141:E144)</f>
        <v>0</v>
      </c>
      <c r="F151" s="13">
        <f t="shared" ref="F151:S151" si="31">SUM(F141:F148)</f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2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13"/>
      <c r="U152" s="52"/>
      <c r="V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1.0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13">
        <f t="shared" ref="T153:T160" si="32">SUM(E153:S153)</f>
        <v>1</v>
      </c>
      <c r="U153" s="5"/>
      <c r="V153" s="5"/>
    </row>
    <row r="154" ht="12.75" customHeight="1">
      <c r="A154" s="65" t="s">
        <v>39</v>
      </c>
      <c r="B154" s="55"/>
      <c r="C154" s="50" t="s">
        <v>120</v>
      </c>
      <c r="D154" s="57"/>
      <c r="E154" s="80">
        <v>1.0</v>
      </c>
      <c r="F154" s="74">
        <v>0.0</v>
      </c>
      <c r="G154" s="74">
        <v>0.0</v>
      </c>
      <c r="H154" s="74">
        <v>0.0</v>
      </c>
      <c r="I154" s="74">
        <v>0.0</v>
      </c>
      <c r="J154" s="74">
        <v>1.0</v>
      </c>
      <c r="K154" s="74">
        <v>0.0</v>
      </c>
      <c r="L154" s="74">
        <v>1.0</v>
      </c>
      <c r="M154" s="74">
        <v>0.0</v>
      </c>
      <c r="N154" s="74">
        <v>0.0</v>
      </c>
      <c r="O154" s="74">
        <v>0.0</v>
      </c>
      <c r="P154" s="74">
        <v>0.0</v>
      </c>
      <c r="Q154" s="74">
        <v>1.0</v>
      </c>
      <c r="R154" s="74">
        <v>0.0</v>
      </c>
      <c r="S154" s="74">
        <v>0.0</v>
      </c>
      <c r="T154" s="13">
        <f t="shared" si="32"/>
        <v>4</v>
      </c>
      <c r="U154" s="5"/>
      <c r="V154" s="5"/>
    </row>
    <row r="155" ht="12.75" customHeight="1">
      <c r="A155" s="18"/>
      <c r="B155" s="55"/>
      <c r="C155" s="50" t="s">
        <v>121</v>
      </c>
      <c r="D155" s="57"/>
      <c r="E155" s="80">
        <v>0.0</v>
      </c>
      <c r="F155" s="74">
        <v>1.0</v>
      </c>
      <c r="G155" s="74">
        <v>0.0</v>
      </c>
      <c r="H155" s="74">
        <v>0.0</v>
      </c>
      <c r="I155" s="74">
        <v>0.0</v>
      </c>
      <c r="J155" s="74">
        <v>1.0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13">
        <f t="shared" si="32"/>
        <v>2</v>
      </c>
      <c r="U155" s="5"/>
      <c r="V155" s="5"/>
    </row>
    <row r="156" ht="12.75" customHeight="1">
      <c r="A156" s="18"/>
      <c r="B156" s="55"/>
      <c r="C156" s="50" t="s">
        <v>122</v>
      </c>
      <c r="D156" s="57"/>
      <c r="E156" s="80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13">
        <f t="shared" si="32"/>
        <v>0</v>
      </c>
      <c r="U156" s="5"/>
      <c r="V156" s="5"/>
    </row>
    <row r="157" ht="12.75" customHeight="1">
      <c r="A157" s="18"/>
      <c r="B157" s="55"/>
      <c r="C157" s="50" t="s">
        <v>123</v>
      </c>
      <c r="D157" s="57"/>
      <c r="E157" s="80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1.0</v>
      </c>
      <c r="P157" s="74">
        <v>0.0</v>
      </c>
      <c r="Q157" s="74">
        <v>0.0</v>
      </c>
      <c r="R157" s="74">
        <v>0.0</v>
      </c>
      <c r="S157" s="74">
        <v>0.0</v>
      </c>
      <c r="T157" s="13">
        <f t="shared" si="32"/>
        <v>1</v>
      </c>
      <c r="U157" s="5"/>
      <c r="V157" s="5"/>
    </row>
    <row r="158" ht="12.75" customHeight="1">
      <c r="A158" s="18"/>
      <c r="B158" s="55"/>
      <c r="C158" s="50" t="s">
        <v>124</v>
      </c>
      <c r="D158" s="57"/>
      <c r="E158" s="80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13">
        <f t="shared" si="32"/>
        <v>0</v>
      </c>
      <c r="U158" s="5"/>
      <c r="V158" s="5"/>
    </row>
    <row r="159" ht="12.75" customHeight="1">
      <c r="A159" s="18"/>
      <c r="B159" s="55"/>
      <c r="C159" s="50" t="s">
        <v>125</v>
      </c>
      <c r="D159" s="57"/>
      <c r="E159" s="80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13">
        <f t="shared" si="32"/>
        <v>0</v>
      </c>
      <c r="U159" s="5"/>
      <c r="V159" s="5"/>
    </row>
    <row r="160" ht="12.75" customHeight="1">
      <c r="A160" s="18"/>
      <c r="B160" s="55"/>
      <c r="C160" s="50" t="s">
        <v>126</v>
      </c>
      <c r="D160" s="57"/>
      <c r="E160" s="80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13">
        <f t="shared" si="32"/>
        <v>0</v>
      </c>
      <c r="U160" s="5"/>
      <c r="V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79"/>
      <c r="U161" s="5"/>
      <c r="V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79"/>
      <c r="U162" s="5"/>
      <c r="V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T163" si="33">SUM(E153:E157)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8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5"/>
      <c r="V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1.0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13">
        <f t="shared" ref="T165:T166" si="34">SUM(E165:S165)</f>
        <v>1</v>
      </c>
      <c r="U165" s="1"/>
      <c r="V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13">
        <f t="shared" si="34"/>
        <v>1</v>
      </c>
      <c r="U166" s="52"/>
      <c r="V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79"/>
      <c r="U167" s="5"/>
      <c r="V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79"/>
      <c r="U168" s="5"/>
      <c r="V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79"/>
      <c r="U169" s="5"/>
      <c r="V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79"/>
      <c r="U170" s="5"/>
      <c r="V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79"/>
      <c r="U171" s="5"/>
      <c r="V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79"/>
      <c r="U172" s="5"/>
      <c r="V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79"/>
      <c r="U173" s="5"/>
      <c r="V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79"/>
      <c r="U174" s="5"/>
      <c r="V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>SUM(E165:E166)</f>
        <v>1</v>
      </c>
      <c r="F175" s="13">
        <f t="shared" ref="F175:S175" si="35">SUM(F165:F172)</f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>SUM(E175:S175)</f>
        <v>2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1"/>
      <c r="V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2.0</v>
      </c>
      <c r="G177" s="74">
        <v>1.0</v>
      </c>
      <c r="H177" s="74">
        <v>0.0</v>
      </c>
      <c r="I177" s="74">
        <v>1.0</v>
      </c>
      <c r="J177" s="74">
        <v>0.0</v>
      </c>
      <c r="K177" s="74">
        <v>0.0</v>
      </c>
      <c r="L177" s="74">
        <v>1.0</v>
      </c>
      <c r="M177" s="74">
        <v>0.0</v>
      </c>
      <c r="N177" s="74">
        <v>0.0</v>
      </c>
      <c r="O177" s="74">
        <v>0.0</v>
      </c>
      <c r="P177" s="74">
        <v>2.0</v>
      </c>
      <c r="Q177" s="74">
        <v>0.0</v>
      </c>
      <c r="R177" s="74">
        <v>0.0</v>
      </c>
      <c r="S177" s="74">
        <v>0.0</v>
      </c>
      <c r="T177" s="13">
        <f t="shared" ref="T177:T187" si="36">SUM(E177:S177)</f>
        <v>7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2.0</v>
      </c>
      <c r="F178" s="74">
        <v>0.0</v>
      </c>
      <c r="G178" s="74">
        <v>2.0</v>
      </c>
      <c r="H178" s="74">
        <v>0.0</v>
      </c>
      <c r="I178" s="74">
        <v>5.0</v>
      </c>
      <c r="J178" s="74">
        <v>1.0</v>
      </c>
      <c r="K178" s="74">
        <v>3.0</v>
      </c>
      <c r="L178" s="74">
        <v>1.0</v>
      </c>
      <c r="M178" s="74">
        <v>0.0</v>
      </c>
      <c r="N178" s="74">
        <v>9.0</v>
      </c>
      <c r="O178" s="74">
        <v>8.0</v>
      </c>
      <c r="P178" s="74">
        <v>1.0</v>
      </c>
      <c r="Q178" s="74">
        <v>0.0</v>
      </c>
      <c r="R178" s="74">
        <v>0.0</v>
      </c>
      <c r="S178" s="74">
        <v>0.0</v>
      </c>
      <c r="T178" s="13">
        <f t="shared" si="36"/>
        <v>32</v>
      </c>
      <c r="U178" s="5"/>
      <c r="V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2.0</v>
      </c>
      <c r="G179" s="74">
        <v>0.0</v>
      </c>
      <c r="H179" s="74">
        <v>0.0</v>
      </c>
      <c r="I179" s="74">
        <v>1.0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13">
        <f t="shared" si="36"/>
        <v>3</v>
      </c>
      <c r="U179" s="5"/>
      <c r="V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3.0</v>
      </c>
      <c r="L180" s="74">
        <v>1.0</v>
      </c>
      <c r="M180" s="74">
        <v>0.0</v>
      </c>
      <c r="N180" s="74">
        <v>0.0</v>
      </c>
      <c r="O180" s="74">
        <v>1.0</v>
      </c>
      <c r="P180" s="74">
        <v>0.0</v>
      </c>
      <c r="Q180" s="74">
        <v>0.0</v>
      </c>
      <c r="R180" s="74">
        <v>0.0</v>
      </c>
      <c r="S180" s="74">
        <v>0.0</v>
      </c>
      <c r="T180" s="13">
        <f t="shared" si="36"/>
        <v>6</v>
      </c>
      <c r="U180" s="5"/>
      <c r="V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1.0</v>
      </c>
      <c r="O181" s="74">
        <v>0.0</v>
      </c>
      <c r="P181" s="74">
        <v>0.0</v>
      </c>
      <c r="Q181" s="74">
        <v>0.0</v>
      </c>
      <c r="R181" s="74">
        <v>0.0</v>
      </c>
      <c r="S181" s="74">
        <v>2.0</v>
      </c>
      <c r="T181" s="13">
        <f t="shared" si="36"/>
        <v>4</v>
      </c>
      <c r="U181" s="5"/>
      <c r="V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13">
        <f t="shared" si="36"/>
        <v>0</v>
      </c>
      <c r="U182" s="5"/>
      <c r="V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13">
        <f t="shared" si="36"/>
        <v>0</v>
      </c>
      <c r="U183" s="5"/>
      <c r="V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13">
        <f t="shared" si="36"/>
        <v>0</v>
      </c>
      <c r="U184" s="5"/>
      <c r="V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1.0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13">
        <f t="shared" si="36"/>
        <v>1</v>
      </c>
      <c r="U185" s="5"/>
      <c r="V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S187" si="37">SUM(E177:E186)</f>
        <v>2</v>
      </c>
      <c r="F187" s="13">
        <f t="shared" si="37"/>
        <v>4</v>
      </c>
      <c r="G187" s="13">
        <f t="shared" si="37"/>
        <v>3</v>
      </c>
      <c r="H187" s="13">
        <f t="shared" si="37"/>
        <v>1</v>
      </c>
      <c r="I187" s="13">
        <f t="shared" si="37"/>
        <v>9</v>
      </c>
      <c r="J187" s="13">
        <f t="shared" si="37"/>
        <v>1</v>
      </c>
      <c r="K187" s="13">
        <f t="shared" si="37"/>
        <v>6</v>
      </c>
      <c r="L187" s="13">
        <f t="shared" si="37"/>
        <v>3</v>
      </c>
      <c r="M187" s="13">
        <f t="shared" si="37"/>
        <v>0</v>
      </c>
      <c r="N187" s="13">
        <f t="shared" si="37"/>
        <v>10</v>
      </c>
      <c r="O187" s="13">
        <f t="shared" si="37"/>
        <v>9</v>
      </c>
      <c r="P187" s="13">
        <f t="shared" si="37"/>
        <v>3</v>
      </c>
      <c r="Q187" s="13">
        <f t="shared" si="37"/>
        <v>0</v>
      </c>
      <c r="R187" s="13">
        <f t="shared" si="37"/>
        <v>0</v>
      </c>
      <c r="S187" s="13">
        <f t="shared" si="37"/>
        <v>2</v>
      </c>
      <c r="T187" s="13">
        <f t="shared" si="36"/>
        <v>53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1.0</v>
      </c>
      <c r="Q189" s="74">
        <v>0.0</v>
      </c>
      <c r="R189" s="74">
        <v>0.0</v>
      </c>
      <c r="S189" s="74">
        <v>0.0</v>
      </c>
      <c r="T189" s="13">
        <f t="shared" ref="T189:T199" si="38">SUM(E189:S189)</f>
        <v>1</v>
      </c>
      <c r="U189" s="5"/>
      <c r="V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1.0</v>
      </c>
      <c r="L190" s="74">
        <v>0.0</v>
      </c>
      <c r="M190" s="74">
        <v>0.0</v>
      </c>
      <c r="N190" s="74">
        <v>0.0</v>
      </c>
      <c r="O190" s="74">
        <v>1.0</v>
      </c>
      <c r="P190" s="74">
        <v>0.0</v>
      </c>
      <c r="Q190" s="74">
        <v>0.0</v>
      </c>
      <c r="R190" s="74">
        <v>0.0</v>
      </c>
      <c r="S190" s="74">
        <v>0.0</v>
      </c>
      <c r="T190" s="13">
        <f t="shared" si="38"/>
        <v>2</v>
      </c>
      <c r="U190" s="5"/>
      <c r="V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13">
        <f t="shared" si="38"/>
        <v>0</v>
      </c>
      <c r="U191" s="5"/>
      <c r="V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13">
        <f t="shared" si="38"/>
        <v>0</v>
      </c>
      <c r="U192" s="5"/>
      <c r="V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1.0</v>
      </c>
      <c r="S193" s="74">
        <v>0.0</v>
      </c>
      <c r="T193" s="13">
        <f t="shared" si="38"/>
        <v>1</v>
      </c>
      <c r="U193" s="5"/>
      <c r="V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13">
        <f t="shared" si="38"/>
        <v>0</v>
      </c>
      <c r="U194" s="5"/>
      <c r="V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13">
        <f t="shared" si="38"/>
        <v>0</v>
      </c>
      <c r="U195" s="5"/>
      <c r="V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13">
        <f t="shared" si="38"/>
        <v>0</v>
      </c>
      <c r="U196" s="1"/>
      <c r="V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13">
        <f t="shared" si="38"/>
        <v>0</v>
      </c>
      <c r="U197" s="1"/>
      <c r="V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13">
        <f t="shared" si="38"/>
        <v>0</v>
      </c>
      <c r="U198" s="1"/>
      <c r="V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S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1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8"/>
        <v>4</v>
      </c>
      <c r="U199" s="52"/>
      <c r="V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5"/>
      <c r="V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1.0</v>
      </c>
      <c r="G201" s="74">
        <v>1.0</v>
      </c>
      <c r="H201" s="74">
        <v>9.0</v>
      </c>
      <c r="I201" s="74">
        <v>2.0</v>
      </c>
      <c r="J201" s="74">
        <v>4.0</v>
      </c>
      <c r="K201" s="74">
        <v>3.0</v>
      </c>
      <c r="L201" s="74">
        <v>2.0</v>
      </c>
      <c r="M201" s="74">
        <v>2.0</v>
      </c>
      <c r="N201" s="74">
        <v>0.0</v>
      </c>
      <c r="O201" s="74">
        <v>2.0</v>
      </c>
      <c r="P201" s="74">
        <v>1.0</v>
      </c>
      <c r="Q201" s="74">
        <v>1.0</v>
      </c>
      <c r="R201" s="74">
        <v>2.0</v>
      </c>
      <c r="S201" s="74">
        <v>2.0</v>
      </c>
      <c r="T201" s="13">
        <f t="shared" ref="T201:T211" si="40">SUM(E201:S201)</f>
        <v>33</v>
      </c>
      <c r="U201" s="5"/>
      <c r="V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1.0</v>
      </c>
      <c r="F202" s="74">
        <v>1.0</v>
      </c>
      <c r="G202" s="74">
        <v>2.0</v>
      </c>
      <c r="H202" s="74">
        <v>3.0</v>
      </c>
      <c r="I202" s="74">
        <v>3.0</v>
      </c>
      <c r="J202" s="74">
        <v>1.0</v>
      </c>
      <c r="K202" s="74">
        <v>0.0</v>
      </c>
      <c r="L202" s="74">
        <v>2.0</v>
      </c>
      <c r="M202" s="74">
        <v>1.0</v>
      </c>
      <c r="N202" s="74">
        <v>1.0</v>
      </c>
      <c r="O202" s="74">
        <v>4.0</v>
      </c>
      <c r="P202" s="74">
        <v>1.0</v>
      </c>
      <c r="Q202" s="74">
        <v>2.0</v>
      </c>
      <c r="R202" s="74">
        <v>1.0</v>
      </c>
      <c r="S202" s="74">
        <v>1.0</v>
      </c>
      <c r="T202" s="13">
        <f t="shared" si="40"/>
        <v>24</v>
      </c>
      <c r="U202" s="5"/>
      <c r="V202" s="5"/>
    </row>
    <row r="203" ht="12.75" customHeight="1">
      <c r="A203" s="18"/>
      <c r="B203" s="55"/>
      <c r="C203" s="50" t="s">
        <v>155</v>
      </c>
      <c r="D203" s="57"/>
      <c r="E203" s="74">
        <v>2.0</v>
      </c>
      <c r="F203" s="74">
        <v>6.0</v>
      </c>
      <c r="G203" s="74">
        <v>6.0</v>
      </c>
      <c r="H203" s="74">
        <v>2.0</v>
      </c>
      <c r="I203" s="74">
        <v>1.0</v>
      </c>
      <c r="J203" s="74">
        <v>8.0</v>
      </c>
      <c r="K203" s="74">
        <v>4.0</v>
      </c>
      <c r="L203" s="74">
        <v>0.0</v>
      </c>
      <c r="M203" s="74">
        <v>2.0</v>
      </c>
      <c r="N203" s="74">
        <v>3.0</v>
      </c>
      <c r="O203" s="74">
        <v>3.0</v>
      </c>
      <c r="P203" s="74">
        <v>2.0</v>
      </c>
      <c r="Q203" s="74">
        <v>1.0</v>
      </c>
      <c r="R203" s="74">
        <v>1.0</v>
      </c>
      <c r="S203" s="74">
        <v>4.0</v>
      </c>
      <c r="T203" s="13">
        <f t="shared" si="40"/>
        <v>45</v>
      </c>
      <c r="U203" s="5"/>
      <c r="V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1.0</v>
      </c>
      <c r="G204" s="74">
        <v>1.0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13">
        <f t="shared" si="40"/>
        <v>2</v>
      </c>
      <c r="U204" s="5"/>
      <c r="V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4.0</v>
      </c>
      <c r="T205" s="13">
        <f t="shared" si="40"/>
        <v>5</v>
      </c>
      <c r="U205" s="5"/>
      <c r="V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13">
        <f t="shared" si="40"/>
        <v>0</v>
      </c>
      <c r="U206" s="5"/>
      <c r="V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1.0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13">
        <f t="shared" si="40"/>
        <v>1</v>
      </c>
      <c r="U207" s="1"/>
      <c r="V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1.0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13">
        <f t="shared" si="40"/>
        <v>2</v>
      </c>
      <c r="U208" s="52"/>
      <c r="V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13">
        <f t="shared" si="40"/>
        <v>0</v>
      </c>
      <c r="U209" s="52"/>
      <c r="V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13">
        <f t="shared" si="40"/>
        <v>0</v>
      </c>
      <c r="U210" s="52"/>
      <c r="V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S211" si="41">SUM(E201:E208)</f>
        <v>4</v>
      </c>
      <c r="F211" s="13">
        <f t="shared" si="41"/>
        <v>9</v>
      </c>
      <c r="G211" s="13">
        <f t="shared" si="41"/>
        <v>10</v>
      </c>
      <c r="H211" s="13">
        <f t="shared" si="41"/>
        <v>16</v>
      </c>
      <c r="I211" s="13">
        <f t="shared" si="41"/>
        <v>6</v>
      </c>
      <c r="J211" s="13">
        <f t="shared" si="41"/>
        <v>14</v>
      </c>
      <c r="K211" s="13">
        <f t="shared" si="41"/>
        <v>7</v>
      </c>
      <c r="L211" s="13">
        <f t="shared" si="41"/>
        <v>4</v>
      </c>
      <c r="M211" s="13">
        <f t="shared" si="41"/>
        <v>5</v>
      </c>
      <c r="N211" s="13">
        <f t="shared" si="41"/>
        <v>5</v>
      </c>
      <c r="O211" s="13">
        <f t="shared" si="41"/>
        <v>9</v>
      </c>
      <c r="P211" s="13">
        <f t="shared" si="41"/>
        <v>4</v>
      </c>
      <c r="Q211" s="13">
        <f t="shared" si="41"/>
        <v>4</v>
      </c>
      <c r="R211" s="13">
        <f t="shared" si="41"/>
        <v>4</v>
      </c>
      <c r="S211" s="13">
        <f t="shared" si="41"/>
        <v>11</v>
      </c>
      <c r="T211" s="13">
        <f t="shared" si="40"/>
        <v>112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5"/>
      <c r="V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10.0</v>
      </c>
      <c r="F213" s="74">
        <v>1.0</v>
      </c>
      <c r="G213" s="74">
        <v>0.0</v>
      </c>
      <c r="H213" s="74">
        <v>5.0</v>
      </c>
      <c r="I213" s="74">
        <v>1.0</v>
      </c>
      <c r="J213" s="74">
        <v>3.0</v>
      </c>
      <c r="K213" s="74">
        <v>0.0</v>
      </c>
      <c r="L213" s="74">
        <v>1.0</v>
      </c>
      <c r="M213" s="74">
        <v>4.0</v>
      </c>
      <c r="N213" s="74">
        <v>1.0</v>
      </c>
      <c r="O213" s="74">
        <v>0.0</v>
      </c>
      <c r="P213" s="74">
        <v>1.0</v>
      </c>
      <c r="Q213" s="74">
        <v>0.0</v>
      </c>
      <c r="R213" s="74">
        <v>1.0</v>
      </c>
      <c r="S213" s="74">
        <v>2.0</v>
      </c>
      <c r="T213" s="13">
        <f t="shared" ref="T213:T216" si="42">SUM(E213:S213)</f>
        <v>30</v>
      </c>
      <c r="U213" s="5"/>
      <c r="V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11.0</v>
      </c>
      <c r="F214" s="74">
        <v>0.0</v>
      </c>
      <c r="G214" s="74">
        <v>0.0</v>
      </c>
      <c r="H214" s="74">
        <v>3.0</v>
      </c>
      <c r="I214" s="74">
        <v>2.0</v>
      </c>
      <c r="J214" s="74">
        <v>2.0</v>
      </c>
      <c r="K214" s="74">
        <v>4.0</v>
      </c>
      <c r="L214" s="74">
        <v>0.0</v>
      </c>
      <c r="M214" s="74">
        <v>2.0</v>
      </c>
      <c r="N214" s="74">
        <v>0.0</v>
      </c>
      <c r="O214" s="74">
        <v>2.0</v>
      </c>
      <c r="P214" s="74">
        <v>1.0</v>
      </c>
      <c r="Q214" s="74">
        <v>0.0</v>
      </c>
      <c r="R214" s="74">
        <v>0.0</v>
      </c>
      <c r="S214" s="74">
        <v>5.0</v>
      </c>
      <c r="T214" s="13">
        <f t="shared" si="42"/>
        <v>32</v>
      </c>
      <c r="U214" s="5"/>
      <c r="V214" s="5"/>
    </row>
    <row r="215" ht="12.75" customHeight="1">
      <c r="A215" s="18"/>
      <c r="B215" s="55"/>
      <c r="C215" s="50" t="s">
        <v>166</v>
      </c>
      <c r="D215" s="56"/>
      <c r="E215" s="74">
        <v>3.0</v>
      </c>
      <c r="F215" s="74">
        <v>0.0</v>
      </c>
      <c r="G215" s="74">
        <v>0.0</v>
      </c>
      <c r="H215" s="74">
        <v>4.0</v>
      </c>
      <c r="I215" s="74">
        <v>0.0</v>
      </c>
      <c r="J215" s="74">
        <v>0.0</v>
      </c>
      <c r="K215" s="74">
        <v>1.0</v>
      </c>
      <c r="L215" s="74">
        <v>0.0</v>
      </c>
      <c r="M215" s="74">
        <v>1.0</v>
      </c>
      <c r="N215" s="74">
        <v>3.0</v>
      </c>
      <c r="O215" s="74">
        <v>0.0</v>
      </c>
      <c r="P215" s="74">
        <v>2.0</v>
      </c>
      <c r="Q215" s="74">
        <v>0.0</v>
      </c>
      <c r="R215" s="74">
        <v>0.0</v>
      </c>
      <c r="S215" s="74">
        <v>1.0</v>
      </c>
      <c r="T215" s="13">
        <f t="shared" si="42"/>
        <v>15</v>
      </c>
      <c r="U215" s="5"/>
      <c r="V215" s="5"/>
    </row>
    <row r="216" ht="12.75" customHeight="1">
      <c r="A216" s="18"/>
      <c r="B216" s="55"/>
      <c r="C216" s="50" t="s">
        <v>167</v>
      </c>
      <c r="E216" s="74">
        <v>1.0</v>
      </c>
      <c r="F216" s="74">
        <v>1.0</v>
      </c>
      <c r="G216" s="74">
        <v>0.0</v>
      </c>
      <c r="H216" s="74">
        <v>2.0</v>
      </c>
      <c r="I216" s="74">
        <v>0.0</v>
      </c>
      <c r="J216" s="74">
        <v>1.0</v>
      </c>
      <c r="K216" s="74">
        <v>0.0</v>
      </c>
      <c r="L216" s="74">
        <v>1.0</v>
      </c>
      <c r="M216" s="74">
        <v>1.0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13">
        <f t="shared" si="42"/>
        <v>7</v>
      </c>
      <c r="U216" s="5"/>
      <c r="V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79"/>
      <c r="U217" s="5"/>
      <c r="V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79"/>
      <c r="U218" s="1"/>
      <c r="V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79"/>
      <c r="U219" s="52"/>
      <c r="V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79"/>
      <c r="U220" s="5"/>
      <c r="V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79"/>
      <c r="U221" s="5"/>
      <c r="V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79"/>
      <c r="U222" s="5"/>
      <c r="V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S223" si="43">SUM(E213:E220)</f>
        <v>25</v>
      </c>
      <c r="F223" s="13">
        <f t="shared" si="43"/>
        <v>2</v>
      </c>
      <c r="G223" s="13">
        <f t="shared" si="43"/>
        <v>0</v>
      </c>
      <c r="H223" s="13">
        <f t="shared" si="43"/>
        <v>14</v>
      </c>
      <c r="I223" s="13">
        <f t="shared" si="43"/>
        <v>3</v>
      </c>
      <c r="J223" s="13">
        <f t="shared" si="43"/>
        <v>6</v>
      </c>
      <c r="K223" s="13">
        <f t="shared" si="43"/>
        <v>5</v>
      </c>
      <c r="L223" s="13">
        <f t="shared" si="43"/>
        <v>2</v>
      </c>
      <c r="M223" s="13">
        <f t="shared" si="43"/>
        <v>8</v>
      </c>
      <c r="N223" s="13">
        <f t="shared" si="43"/>
        <v>4</v>
      </c>
      <c r="O223" s="13">
        <f t="shared" si="43"/>
        <v>2</v>
      </c>
      <c r="P223" s="13">
        <f t="shared" si="43"/>
        <v>4</v>
      </c>
      <c r="Q223" s="13">
        <f t="shared" si="43"/>
        <v>0</v>
      </c>
      <c r="R223" s="13">
        <f t="shared" si="43"/>
        <v>1</v>
      </c>
      <c r="S223" s="13">
        <f t="shared" si="43"/>
        <v>8</v>
      </c>
      <c r="T223" s="13">
        <f>SUM(E223:S223)</f>
        <v>84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5"/>
      <c r="V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0.0</v>
      </c>
      <c r="K225" s="74">
        <v>0.0</v>
      </c>
      <c r="L225" s="74">
        <v>0.0</v>
      </c>
      <c r="M225" s="74">
        <v>0.0</v>
      </c>
      <c r="N225" s="74">
        <v>1.0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13">
        <f t="shared" ref="T225:T229" si="44">SUM(E225:S225)</f>
        <v>2</v>
      </c>
      <c r="U225" s="5"/>
      <c r="V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2.0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2.0</v>
      </c>
      <c r="Q226" s="74">
        <v>1.0</v>
      </c>
      <c r="R226" s="74">
        <v>2.0</v>
      </c>
      <c r="S226" s="74">
        <v>0.0</v>
      </c>
      <c r="T226" s="13">
        <f t="shared" si="44"/>
        <v>7</v>
      </c>
      <c r="U226" s="5"/>
      <c r="V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13">
        <f t="shared" si="44"/>
        <v>0</v>
      </c>
      <c r="U227" s="5"/>
      <c r="V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1.0</v>
      </c>
      <c r="K228" s="74">
        <v>1.0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13">
        <f t="shared" si="44"/>
        <v>2</v>
      </c>
      <c r="U228" s="5"/>
      <c r="V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13">
        <f t="shared" si="44"/>
        <v>0</v>
      </c>
      <c r="U229" s="1"/>
      <c r="V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79"/>
      <c r="U230" s="52"/>
      <c r="V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79"/>
      <c r="U231" s="5"/>
      <c r="V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79"/>
      <c r="U232" s="5"/>
      <c r="V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79"/>
      <c r="U233" s="5"/>
      <c r="V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79"/>
      <c r="U234" s="5"/>
      <c r="V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S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3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2</v>
      </c>
      <c r="Q235" s="13">
        <f t="shared" si="45"/>
        <v>1</v>
      </c>
      <c r="R235" s="13">
        <f t="shared" si="45"/>
        <v>2</v>
      </c>
      <c r="S235" s="13">
        <f t="shared" si="45"/>
        <v>0</v>
      </c>
      <c r="T235" s="13">
        <f>SUM(E235:S235)</f>
        <v>11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85"/>
      <c r="P236" s="77"/>
      <c r="Q236" s="77"/>
      <c r="R236" s="77"/>
      <c r="S236" s="77"/>
      <c r="T236" s="77"/>
      <c r="U236" s="5"/>
      <c r="V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0.0</v>
      </c>
      <c r="G237" s="74">
        <v>1.0</v>
      </c>
      <c r="H237" s="74">
        <v>0.0</v>
      </c>
      <c r="I237" s="74">
        <v>0.0</v>
      </c>
      <c r="J237" s="74">
        <v>1.0</v>
      </c>
      <c r="K237" s="74">
        <v>0.0</v>
      </c>
      <c r="L237" s="74">
        <v>0.0</v>
      </c>
      <c r="M237" s="74">
        <v>0.0</v>
      </c>
      <c r="N237" s="74">
        <v>1.0</v>
      </c>
      <c r="O237" s="74">
        <v>0.0</v>
      </c>
      <c r="P237" s="74">
        <v>0.0</v>
      </c>
      <c r="Q237" s="74">
        <v>0.0</v>
      </c>
      <c r="R237" s="74">
        <v>0.0</v>
      </c>
      <c r="S237" s="74">
        <v>0.0</v>
      </c>
      <c r="T237" s="13">
        <f t="shared" ref="T237:T247" si="46">SUM(E237:S237)</f>
        <v>4</v>
      </c>
      <c r="U237" s="5"/>
      <c r="V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13">
        <f t="shared" si="46"/>
        <v>0</v>
      </c>
      <c r="U238" s="5"/>
      <c r="V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4.0</v>
      </c>
      <c r="H239" s="74">
        <v>1.0</v>
      </c>
      <c r="I239" s="74">
        <v>2.0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13">
        <f t="shared" si="46"/>
        <v>7</v>
      </c>
      <c r="U239" s="5"/>
      <c r="V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1.0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13">
        <f t="shared" si="46"/>
        <v>1</v>
      </c>
      <c r="U240" s="1"/>
      <c r="V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13">
        <f t="shared" si="46"/>
        <v>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1.0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0.0</v>
      </c>
      <c r="T243" s="13">
        <f t="shared" si="46"/>
        <v>2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1.0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S247" si="47">SUM(E237:E244)</f>
        <v>1</v>
      </c>
      <c r="F247" s="13">
        <f t="shared" si="47"/>
        <v>1</v>
      </c>
      <c r="G247" s="13">
        <f t="shared" si="47"/>
        <v>5</v>
      </c>
      <c r="H247" s="13">
        <f t="shared" si="47"/>
        <v>2</v>
      </c>
      <c r="I247" s="13">
        <f t="shared" si="47"/>
        <v>2</v>
      </c>
      <c r="J247" s="13">
        <f t="shared" si="47"/>
        <v>2</v>
      </c>
      <c r="K247" s="13">
        <f t="shared" si="47"/>
        <v>0</v>
      </c>
      <c r="L247" s="13">
        <f t="shared" si="47"/>
        <v>0</v>
      </c>
      <c r="M247" s="13">
        <f t="shared" si="47"/>
        <v>0</v>
      </c>
      <c r="N247" s="13">
        <f t="shared" si="47"/>
        <v>1</v>
      </c>
      <c r="O247" s="13">
        <f t="shared" si="47"/>
        <v>0</v>
      </c>
      <c r="P247" s="13">
        <f t="shared" si="47"/>
        <v>0</v>
      </c>
      <c r="Q247" s="13">
        <f t="shared" si="47"/>
        <v>1</v>
      </c>
      <c r="R247" s="13">
        <f t="shared" si="47"/>
        <v>0</v>
      </c>
      <c r="S247" s="13">
        <f t="shared" si="47"/>
        <v>0</v>
      </c>
      <c r="T247" s="13">
        <f t="shared" si="46"/>
        <v>15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1.0</v>
      </c>
      <c r="J249" s="74">
        <v>0.0</v>
      </c>
      <c r="K249" s="74">
        <v>0.0</v>
      </c>
      <c r="L249" s="74">
        <v>0.0</v>
      </c>
      <c r="M249" s="74">
        <v>1.0</v>
      </c>
      <c r="N249" s="74">
        <v>1.0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13">
        <f t="shared" ref="T249:T252" si="48">SUM(E249:S249)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1.0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13">
        <f t="shared" si="48"/>
        <v>1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S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>SUM(E259:S259)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3"/>
      <c r="O261" s="13"/>
      <c r="P261" s="13"/>
      <c r="Q261" s="13"/>
      <c r="R261" s="13"/>
      <c r="S261" s="83"/>
      <c r="T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S262" si="50">E55+E67+E79+E91+E103+E115+E127+E139+E151+E163+E175+E187+E199+E211+E223+E235+E247+E259</f>
        <v>132</v>
      </c>
      <c r="F262" s="19">
        <f t="shared" si="50"/>
        <v>163</v>
      </c>
      <c r="G262" s="19">
        <f t="shared" si="50"/>
        <v>139</v>
      </c>
      <c r="H262" s="19">
        <f t="shared" si="50"/>
        <v>198</v>
      </c>
      <c r="I262" s="19">
        <f t="shared" si="50"/>
        <v>175</v>
      </c>
      <c r="J262" s="19">
        <f t="shared" si="50"/>
        <v>160</v>
      </c>
      <c r="K262" s="19">
        <f t="shared" si="50"/>
        <v>110</v>
      </c>
      <c r="L262" s="19">
        <f t="shared" si="50"/>
        <v>122</v>
      </c>
      <c r="M262" s="19">
        <f t="shared" si="50"/>
        <v>150</v>
      </c>
      <c r="N262" s="19">
        <f t="shared" si="50"/>
        <v>124</v>
      </c>
      <c r="O262" s="19">
        <f t="shared" si="50"/>
        <v>109</v>
      </c>
      <c r="P262" s="19">
        <f t="shared" si="50"/>
        <v>128</v>
      </c>
      <c r="Q262" s="19">
        <f t="shared" si="50"/>
        <v>123</v>
      </c>
      <c r="R262" s="19">
        <f t="shared" si="50"/>
        <v>216</v>
      </c>
      <c r="S262" s="19">
        <f t="shared" si="50"/>
        <v>159</v>
      </c>
      <c r="T262" s="13">
        <f t="shared" ref="T262:T264" si="51">SUM(E262:S262)</f>
        <v>2208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29.0</v>
      </c>
      <c r="F263" s="74">
        <v>25.0</v>
      </c>
      <c r="G263" s="74">
        <v>35.0</v>
      </c>
      <c r="H263" s="74">
        <v>30.0</v>
      </c>
      <c r="I263" s="74">
        <v>38.0</v>
      </c>
      <c r="J263" s="74">
        <v>27.0</v>
      </c>
      <c r="K263" s="74">
        <v>33.0</v>
      </c>
      <c r="L263" s="74">
        <v>25.0</v>
      </c>
      <c r="M263" s="74">
        <v>36.0</v>
      </c>
      <c r="N263" s="74">
        <v>19.0</v>
      </c>
      <c r="O263" s="74">
        <v>16.0</v>
      </c>
      <c r="P263" s="74">
        <v>10.0</v>
      </c>
      <c r="Q263" s="74">
        <v>8.0</v>
      </c>
      <c r="R263" s="74">
        <v>1.0</v>
      </c>
      <c r="S263" s="74">
        <v>7.0</v>
      </c>
      <c r="T263" s="13">
        <f t="shared" si="51"/>
        <v>339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S264" si="52">SUM(E262:E263)</f>
        <v>161</v>
      </c>
      <c r="F264" s="13">
        <f t="shared" si="52"/>
        <v>188</v>
      </c>
      <c r="G264" s="13">
        <f t="shared" si="52"/>
        <v>174</v>
      </c>
      <c r="H264" s="13">
        <f t="shared" si="52"/>
        <v>228</v>
      </c>
      <c r="I264" s="13">
        <f t="shared" si="52"/>
        <v>213</v>
      </c>
      <c r="J264" s="13">
        <f t="shared" si="52"/>
        <v>187</v>
      </c>
      <c r="K264" s="13">
        <f t="shared" si="52"/>
        <v>143</v>
      </c>
      <c r="L264" s="13">
        <f t="shared" si="52"/>
        <v>147</v>
      </c>
      <c r="M264" s="13">
        <f t="shared" si="52"/>
        <v>186</v>
      </c>
      <c r="N264" s="13">
        <f t="shared" si="52"/>
        <v>143</v>
      </c>
      <c r="O264" s="13">
        <f t="shared" si="52"/>
        <v>125</v>
      </c>
      <c r="P264" s="13">
        <f t="shared" si="52"/>
        <v>138</v>
      </c>
      <c r="Q264" s="13">
        <f t="shared" si="52"/>
        <v>131</v>
      </c>
      <c r="R264" s="13">
        <f t="shared" si="52"/>
        <v>217</v>
      </c>
      <c r="S264" s="13">
        <f t="shared" si="52"/>
        <v>166</v>
      </c>
      <c r="T264" s="13">
        <f t="shared" si="51"/>
        <v>2547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S34">
    <cfRule type="expression" dxfId="0" priority="1">
      <formula>E34&lt;&gt;E64</formula>
    </cfRule>
  </conditionalFormatting>
  <conditionalFormatting sqref="E14:S15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E30&lt;&gt;E47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74">
        <v>126.0</v>
      </c>
      <c r="F14" s="74">
        <v>128.0</v>
      </c>
      <c r="G14" s="74">
        <v>135.0</v>
      </c>
      <c r="H14" s="74">
        <v>133.0</v>
      </c>
      <c r="I14" s="74">
        <v>128.0</v>
      </c>
      <c r="J14" s="74">
        <v>97.0</v>
      </c>
      <c r="K14" s="74">
        <v>97.0</v>
      </c>
      <c r="L14" s="74">
        <v>106.0</v>
      </c>
      <c r="M14" s="74">
        <v>98.0</v>
      </c>
      <c r="N14" s="13">
        <f t="shared" ref="N14:N16" si="1">SUM(E14:M14)</f>
        <v>1048</v>
      </c>
    </row>
    <row r="15" ht="12.75" customHeight="1">
      <c r="A15" s="18"/>
      <c r="B15" s="26"/>
      <c r="C15" s="27"/>
      <c r="D15" s="19" t="s">
        <v>13</v>
      </c>
      <c r="E15" s="74">
        <v>131.0</v>
      </c>
      <c r="F15" s="74">
        <v>129.0</v>
      </c>
      <c r="G15" s="74">
        <v>133.0</v>
      </c>
      <c r="H15" s="74">
        <v>142.0</v>
      </c>
      <c r="I15" s="74">
        <v>133.0</v>
      </c>
      <c r="J15" s="74">
        <v>105.0</v>
      </c>
      <c r="K15" s="74">
        <v>103.0</v>
      </c>
      <c r="L15" s="74">
        <v>96.0</v>
      </c>
      <c r="M15" s="74">
        <v>107.0</v>
      </c>
      <c r="N15" s="13">
        <f t="shared" si="1"/>
        <v>1079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257</v>
      </c>
      <c r="F16" s="13">
        <f t="shared" si="2"/>
        <v>257</v>
      </c>
      <c r="G16" s="13">
        <f t="shared" si="2"/>
        <v>268</v>
      </c>
      <c r="H16" s="13">
        <f t="shared" si="2"/>
        <v>275</v>
      </c>
      <c r="I16" s="13">
        <f t="shared" si="2"/>
        <v>261</v>
      </c>
      <c r="J16" s="13">
        <f t="shared" si="2"/>
        <v>202</v>
      </c>
      <c r="K16" s="13">
        <f t="shared" si="2"/>
        <v>200</v>
      </c>
      <c r="L16" s="13">
        <f t="shared" si="2"/>
        <v>202</v>
      </c>
      <c r="M16" s="13">
        <f t="shared" si="2"/>
        <v>205</v>
      </c>
      <c r="N16" s="13">
        <f t="shared" si="1"/>
        <v>2127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89.0</v>
      </c>
      <c r="F19" s="74">
        <v>91.0</v>
      </c>
      <c r="G19" s="74">
        <v>102.0</v>
      </c>
      <c r="H19" s="74">
        <v>91.0</v>
      </c>
      <c r="I19" s="74">
        <v>94.0</v>
      </c>
      <c r="J19" s="74">
        <v>74.0</v>
      </c>
      <c r="K19" s="74">
        <v>72.0</v>
      </c>
      <c r="L19" s="74">
        <v>76.0</v>
      </c>
      <c r="M19" s="74">
        <v>71.0</v>
      </c>
      <c r="N19" s="13">
        <f t="shared" ref="N19:N30" si="3">SUM(E19:M19)</f>
        <v>760</v>
      </c>
    </row>
    <row r="20" ht="12.75" customHeight="1">
      <c r="A20" s="33"/>
      <c r="B20" s="27"/>
      <c r="C20" s="34"/>
      <c r="D20" s="19" t="s">
        <v>13</v>
      </c>
      <c r="E20" s="74">
        <v>110.0</v>
      </c>
      <c r="F20" s="74">
        <v>97.0</v>
      </c>
      <c r="G20" s="74">
        <v>104.0</v>
      </c>
      <c r="H20" s="74">
        <v>111.0</v>
      </c>
      <c r="I20" s="74">
        <v>104.0</v>
      </c>
      <c r="J20" s="74">
        <v>88.0</v>
      </c>
      <c r="K20" s="74">
        <v>82.0</v>
      </c>
      <c r="L20" s="74">
        <v>76.0</v>
      </c>
      <c r="M20" s="74">
        <v>76.0</v>
      </c>
      <c r="N20" s="13">
        <f t="shared" si="3"/>
        <v>848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199</v>
      </c>
      <c r="F21" s="13">
        <f t="shared" si="4"/>
        <v>188</v>
      </c>
      <c r="G21" s="13">
        <f t="shared" si="4"/>
        <v>206</v>
      </c>
      <c r="H21" s="13">
        <f t="shared" si="4"/>
        <v>202</v>
      </c>
      <c r="I21" s="13">
        <f t="shared" si="4"/>
        <v>198</v>
      </c>
      <c r="J21" s="13">
        <f t="shared" si="4"/>
        <v>162</v>
      </c>
      <c r="K21" s="13">
        <f t="shared" si="4"/>
        <v>154</v>
      </c>
      <c r="L21" s="13">
        <f t="shared" si="4"/>
        <v>152</v>
      </c>
      <c r="M21" s="13">
        <f t="shared" si="4"/>
        <v>147</v>
      </c>
      <c r="N21" s="13">
        <f t="shared" si="3"/>
        <v>1608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1.0</v>
      </c>
      <c r="M23" s="74">
        <v>0.0</v>
      </c>
      <c r="N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1.0</v>
      </c>
      <c r="G25" s="74">
        <v>2.0</v>
      </c>
      <c r="H25" s="74">
        <v>0.0</v>
      </c>
      <c r="I25" s="74">
        <v>1.0</v>
      </c>
      <c r="J25" s="74">
        <v>0.0</v>
      </c>
      <c r="K25" s="74">
        <v>0.0</v>
      </c>
      <c r="L25" s="74">
        <v>0.0</v>
      </c>
      <c r="M25" s="74">
        <v>0.0</v>
      </c>
      <c r="N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1.0</v>
      </c>
      <c r="G26" s="74">
        <v>0.0</v>
      </c>
      <c r="H26" s="74">
        <v>0.0</v>
      </c>
      <c r="I26" s="74">
        <v>0.0</v>
      </c>
      <c r="J26" s="74">
        <v>0.0</v>
      </c>
      <c r="K26" s="74">
        <v>0.0</v>
      </c>
      <c r="L26" s="74">
        <v>0.0</v>
      </c>
      <c r="M26" s="74">
        <v>0.0</v>
      </c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89</v>
      </c>
      <c r="F28" s="13">
        <f t="shared" si="7"/>
        <v>92</v>
      </c>
      <c r="G28" s="13">
        <f t="shared" si="7"/>
        <v>104</v>
      </c>
      <c r="H28" s="13">
        <f t="shared" si="7"/>
        <v>91</v>
      </c>
      <c r="I28" s="13">
        <f t="shared" si="7"/>
        <v>95</v>
      </c>
      <c r="J28" s="13">
        <f t="shared" si="7"/>
        <v>74</v>
      </c>
      <c r="K28" s="13">
        <f t="shared" si="7"/>
        <v>72</v>
      </c>
      <c r="L28" s="13">
        <f t="shared" si="7"/>
        <v>76</v>
      </c>
      <c r="M28" s="13">
        <f t="shared" si="7"/>
        <v>71</v>
      </c>
      <c r="N28" s="13">
        <f t="shared" si="3"/>
        <v>764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110</v>
      </c>
      <c r="F29" s="13">
        <f t="shared" si="8"/>
        <v>98</v>
      </c>
      <c r="G29" s="13">
        <f t="shared" si="8"/>
        <v>104</v>
      </c>
      <c r="H29" s="13">
        <f t="shared" si="8"/>
        <v>111</v>
      </c>
      <c r="I29" s="13">
        <f t="shared" si="8"/>
        <v>104</v>
      </c>
      <c r="J29" s="13">
        <f t="shared" si="8"/>
        <v>88</v>
      </c>
      <c r="K29" s="13">
        <f t="shared" si="8"/>
        <v>82</v>
      </c>
      <c r="L29" s="13">
        <f t="shared" si="8"/>
        <v>77</v>
      </c>
      <c r="M29" s="13">
        <f t="shared" si="8"/>
        <v>76</v>
      </c>
      <c r="N29" s="13">
        <f t="shared" si="3"/>
        <v>850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199</v>
      </c>
      <c r="F30" s="13">
        <f t="shared" si="9"/>
        <v>190</v>
      </c>
      <c r="G30" s="13">
        <f t="shared" si="9"/>
        <v>208</v>
      </c>
      <c r="H30" s="13">
        <f t="shared" si="9"/>
        <v>202</v>
      </c>
      <c r="I30" s="13">
        <f t="shared" si="9"/>
        <v>199</v>
      </c>
      <c r="J30" s="13">
        <f t="shared" si="9"/>
        <v>162</v>
      </c>
      <c r="K30" s="13">
        <f t="shared" si="9"/>
        <v>154</v>
      </c>
      <c r="L30" s="13">
        <f t="shared" si="9"/>
        <v>153</v>
      </c>
      <c r="M30" s="13">
        <f t="shared" si="9"/>
        <v>147</v>
      </c>
      <c r="N30" s="13">
        <f t="shared" si="3"/>
        <v>1614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5"/>
    </row>
    <row r="33" ht="12.75" customHeight="1">
      <c r="A33" s="19">
        <v>1.0</v>
      </c>
      <c r="B33" s="20" t="s">
        <v>27</v>
      </c>
      <c r="C33" s="15"/>
      <c r="D33" s="16"/>
      <c r="E33" s="74">
        <v>262.0</v>
      </c>
      <c r="F33" s="74">
        <v>263.0</v>
      </c>
      <c r="G33" s="74">
        <v>272.0</v>
      </c>
      <c r="H33" s="74">
        <v>291.0</v>
      </c>
      <c r="I33" s="74">
        <v>270.0</v>
      </c>
      <c r="J33" s="74">
        <v>207.0</v>
      </c>
      <c r="K33" s="74">
        <v>204.0</v>
      </c>
      <c r="L33" s="74">
        <v>207.0</v>
      </c>
      <c r="M33" s="74">
        <v>210.0</v>
      </c>
      <c r="N33" s="13">
        <f t="shared" ref="N33:N36" si="10">SUM(E33:M33)</f>
        <v>2186</v>
      </c>
    </row>
    <row r="34" ht="12.75" customHeight="1">
      <c r="A34" s="19">
        <v>2.0</v>
      </c>
      <c r="B34" s="20" t="s">
        <v>28</v>
      </c>
      <c r="C34" s="15"/>
      <c r="D34" s="16"/>
      <c r="E34" s="76">
        <v>199.0</v>
      </c>
      <c r="F34" s="76">
        <v>190.0</v>
      </c>
      <c r="G34" s="76">
        <v>208.0</v>
      </c>
      <c r="H34" s="76">
        <v>202.0</v>
      </c>
      <c r="I34" s="76">
        <v>199.0</v>
      </c>
      <c r="J34" s="76">
        <v>162.0</v>
      </c>
      <c r="K34" s="76">
        <v>154.0</v>
      </c>
      <c r="L34" s="76">
        <v>153.0</v>
      </c>
      <c r="M34" s="76">
        <v>147.0</v>
      </c>
      <c r="N34" s="13">
        <f t="shared" si="10"/>
        <v>1614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2.0</v>
      </c>
      <c r="I35" s="74">
        <v>0.0</v>
      </c>
      <c r="J35" s="74">
        <v>0.0</v>
      </c>
      <c r="K35" s="74">
        <v>0.0</v>
      </c>
      <c r="L35" s="74">
        <v>1.0</v>
      </c>
      <c r="M35" s="74">
        <v>0.0</v>
      </c>
      <c r="N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63</v>
      </c>
      <c r="F36" s="13">
        <f t="shared" si="11"/>
        <v>73</v>
      </c>
      <c r="G36" s="13">
        <f t="shared" si="11"/>
        <v>64</v>
      </c>
      <c r="H36" s="13">
        <f t="shared" si="11"/>
        <v>87</v>
      </c>
      <c r="I36" s="13">
        <f t="shared" si="11"/>
        <v>71</v>
      </c>
      <c r="J36" s="13">
        <f t="shared" si="11"/>
        <v>45</v>
      </c>
      <c r="K36" s="13">
        <f t="shared" si="11"/>
        <v>50</v>
      </c>
      <c r="L36" s="13">
        <f t="shared" si="11"/>
        <v>53</v>
      </c>
      <c r="M36" s="13">
        <f t="shared" si="11"/>
        <v>63</v>
      </c>
      <c r="N36" s="13">
        <f t="shared" si="10"/>
        <v>569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6.0</v>
      </c>
      <c r="F45" s="74">
        <v>14.0</v>
      </c>
      <c r="G45" s="74">
        <v>6.0</v>
      </c>
      <c r="H45" s="74">
        <v>9.0</v>
      </c>
      <c r="I45" s="74">
        <v>12.0</v>
      </c>
      <c r="J45" s="74">
        <v>4.0</v>
      </c>
      <c r="K45" s="74">
        <v>17.0</v>
      </c>
      <c r="L45" s="74">
        <v>5.0</v>
      </c>
      <c r="M45" s="74">
        <v>12.0</v>
      </c>
      <c r="N45" s="13">
        <f t="shared" ref="N45:N55" si="14">SUM(E45:M45)</f>
        <v>85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14.0</v>
      </c>
      <c r="F46" s="74">
        <v>9.0</v>
      </c>
      <c r="G46" s="74">
        <v>15.0</v>
      </c>
      <c r="H46" s="74">
        <v>21.0</v>
      </c>
      <c r="I46" s="74">
        <v>23.0</v>
      </c>
      <c r="J46" s="74">
        <v>12.0</v>
      </c>
      <c r="K46" s="74">
        <v>15.0</v>
      </c>
      <c r="L46" s="74">
        <v>33.0</v>
      </c>
      <c r="M46" s="74">
        <v>14.0</v>
      </c>
      <c r="N46" s="13">
        <f t="shared" si="14"/>
        <v>156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1.0</v>
      </c>
      <c r="G47" s="74">
        <v>5.0</v>
      </c>
      <c r="H47" s="74">
        <v>3.0</v>
      </c>
      <c r="I47" s="74">
        <v>7.0</v>
      </c>
      <c r="J47" s="74">
        <v>4.0</v>
      </c>
      <c r="K47" s="74">
        <v>2.0</v>
      </c>
      <c r="L47" s="74">
        <v>7.0</v>
      </c>
      <c r="M47" s="74">
        <v>1.0</v>
      </c>
      <c r="N47" s="13">
        <f t="shared" si="14"/>
        <v>32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1.0</v>
      </c>
      <c r="G48" s="74">
        <v>0.0</v>
      </c>
      <c r="H48" s="74">
        <v>1.0</v>
      </c>
      <c r="I48" s="74">
        <v>0.0</v>
      </c>
      <c r="J48" s="74">
        <v>0.0</v>
      </c>
      <c r="K48" s="74">
        <v>0.0</v>
      </c>
      <c r="L48" s="74">
        <v>0.0</v>
      </c>
      <c r="M48" s="74">
        <v>2.0</v>
      </c>
      <c r="N48" s="13">
        <f t="shared" si="14"/>
        <v>5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9.0</v>
      </c>
      <c r="G49" s="74">
        <v>10.0</v>
      </c>
      <c r="H49" s="74">
        <v>2.0</v>
      </c>
      <c r="I49" s="74">
        <v>2.0</v>
      </c>
      <c r="J49" s="74">
        <v>8.0</v>
      </c>
      <c r="K49" s="74">
        <v>7.0</v>
      </c>
      <c r="L49" s="74">
        <v>3.0</v>
      </c>
      <c r="M49" s="74">
        <v>7.0</v>
      </c>
      <c r="N49" s="13">
        <f t="shared" si="14"/>
        <v>50</v>
      </c>
    </row>
    <row r="50" ht="12.75" customHeight="1">
      <c r="A50" s="18"/>
      <c r="B50" s="55"/>
      <c r="C50" s="50" t="s">
        <v>44</v>
      </c>
      <c r="D50" s="50"/>
      <c r="E50" s="74">
        <v>3.0</v>
      </c>
      <c r="F50" s="74">
        <v>1.0</v>
      </c>
      <c r="G50" s="74">
        <v>1.0</v>
      </c>
      <c r="H50" s="74">
        <v>2.0</v>
      </c>
      <c r="I50" s="74">
        <v>0.0</v>
      </c>
      <c r="J50" s="74">
        <v>1.0</v>
      </c>
      <c r="K50" s="74">
        <v>0.0</v>
      </c>
      <c r="L50" s="74">
        <v>0.0</v>
      </c>
      <c r="M50" s="74">
        <v>4.0</v>
      </c>
      <c r="N50" s="13">
        <f t="shared" si="14"/>
        <v>12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13">
        <f t="shared" si="14"/>
        <v>2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1.0</v>
      </c>
      <c r="I52" s="74">
        <v>1.0</v>
      </c>
      <c r="J52" s="74">
        <v>0.0</v>
      </c>
      <c r="K52" s="74">
        <v>1.0</v>
      </c>
      <c r="L52" s="74">
        <v>0.0</v>
      </c>
      <c r="M52" s="74">
        <v>0.0</v>
      </c>
      <c r="N52" s="13">
        <f t="shared" si="14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1.0</v>
      </c>
      <c r="I53" s="74">
        <v>1.0</v>
      </c>
      <c r="J53" s="74">
        <v>0.0</v>
      </c>
      <c r="K53" s="74">
        <v>2.0</v>
      </c>
      <c r="L53" s="74">
        <v>0.0</v>
      </c>
      <c r="M53" s="74">
        <v>0.0</v>
      </c>
      <c r="N53" s="13">
        <f t="shared" si="14"/>
        <v>4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13">
        <f t="shared" si="14"/>
        <v>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M55" si="15">SUM(E45:E54)</f>
        <v>29</v>
      </c>
      <c r="F55" s="13">
        <f t="shared" si="15"/>
        <v>35</v>
      </c>
      <c r="G55" s="13">
        <f t="shared" si="15"/>
        <v>37</v>
      </c>
      <c r="H55" s="13">
        <f t="shared" si="15"/>
        <v>40</v>
      </c>
      <c r="I55" s="13">
        <f t="shared" si="15"/>
        <v>46</v>
      </c>
      <c r="J55" s="13">
        <f t="shared" si="15"/>
        <v>29</v>
      </c>
      <c r="K55" s="13">
        <f t="shared" si="15"/>
        <v>44</v>
      </c>
      <c r="L55" s="13">
        <f t="shared" si="15"/>
        <v>48</v>
      </c>
      <c r="M55" s="13">
        <f t="shared" si="15"/>
        <v>41</v>
      </c>
      <c r="N55" s="13">
        <f t="shared" si="14"/>
        <v>349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15.0</v>
      </c>
      <c r="F57" s="74">
        <v>6.0</v>
      </c>
      <c r="G57" s="74">
        <v>15.0</v>
      </c>
      <c r="H57" s="74">
        <v>11.0</v>
      </c>
      <c r="I57" s="74">
        <v>13.0</v>
      </c>
      <c r="J57" s="74">
        <v>10.0</v>
      </c>
      <c r="K57" s="74">
        <v>10.0</v>
      </c>
      <c r="L57" s="74">
        <v>2.0</v>
      </c>
      <c r="M57" s="74">
        <v>8.0</v>
      </c>
      <c r="N57" s="13">
        <f t="shared" ref="N57:N67" si="16">SUM(E57:M57)</f>
        <v>90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5.0</v>
      </c>
      <c r="G58" s="74">
        <v>3.0</v>
      </c>
      <c r="H58" s="74">
        <v>5.0</v>
      </c>
      <c r="I58" s="74">
        <v>3.0</v>
      </c>
      <c r="J58" s="74">
        <v>2.0</v>
      </c>
      <c r="K58" s="74">
        <v>2.0</v>
      </c>
      <c r="L58" s="74">
        <v>3.0</v>
      </c>
      <c r="M58" s="74">
        <v>5.0</v>
      </c>
      <c r="N58" s="13">
        <f t="shared" si="16"/>
        <v>36</v>
      </c>
    </row>
    <row r="59" ht="12.75" customHeight="1">
      <c r="A59" s="18"/>
      <c r="B59" s="55"/>
      <c r="C59" s="50" t="s">
        <v>52</v>
      </c>
      <c r="D59" s="56"/>
      <c r="E59" s="74">
        <v>11.0</v>
      </c>
      <c r="F59" s="74">
        <v>4.0</v>
      </c>
      <c r="G59" s="74">
        <v>6.0</v>
      </c>
      <c r="H59" s="74">
        <v>8.0</v>
      </c>
      <c r="I59" s="74">
        <v>9.0</v>
      </c>
      <c r="J59" s="74">
        <v>14.0</v>
      </c>
      <c r="K59" s="74">
        <v>6.0</v>
      </c>
      <c r="L59" s="74">
        <v>7.0</v>
      </c>
      <c r="M59" s="74">
        <v>4.0</v>
      </c>
      <c r="N59" s="13">
        <f t="shared" si="16"/>
        <v>69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3.0</v>
      </c>
      <c r="G60" s="74">
        <v>4.0</v>
      </c>
      <c r="H60" s="74">
        <v>4.0</v>
      </c>
      <c r="I60" s="74">
        <v>0.0</v>
      </c>
      <c r="J60" s="74">
        <v>1.0</v>
      </c>
      <c r="K60" s="74">
        <v>3.0</v>
      </c>
      <c r="L60" s="74">
        <v>1.0</v>
      </c>
      <c r="M60" s="74">
        <v>5.0</v>
      </c>
      <c r="N60" s="13">
        <f t="shared" si="16"/>
        <v>23</v>
      </c>
    </row>
    <row r="61" ht="12.75" customHeight="1">
      <c r="A61" s="18"/>
      <c r="B61" s="55"/>
      <c r="C61" s="50" t="s">
        <v>54</v>
      </c>
      <c r="D61" s="56"/>
      <c r="E61" s="74">
        <v>0.0</v>
      </c>
      <c r="F61" s="74">
        <v>4.0</v>
      </c>
      <c r="G61" s="74">
        <v>0.0</v>
      </c>
      <c r="H61" s="74">
        <v>2.0</v>
      </c>
      <c r="I61" s="74">
        <v>0.0</v>
      </c>
      <c r="J61" s="74">
        <v>0.0</v>
      </c>
      <c r="K61" s="74">
        <v>2.0</v>
      </c>
      <c r="L61" s="74">
        <v>2.0</v>
      </c>
      <c r="M61" s="74">
        <v>0.0</v>
      </c>
      <c r="N61" s="13">
        <f t="shared" si="16"/>
        <v>10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1.0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0.0</v>
      </c>
      <c r="N62" s="13">
        <f t="shared" si="16"/>
        <v>1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2.0</v>
      </c>
      <c r="N63" s="13">
        <f t="shared" si="16"/>
        <v>4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13">
        <f t="shared" si="16"/>
        <v>0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1.0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13">
        <f t="shared" si="16"/>
        <v>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13">
        <f t="shared" si="16"/>
        <v>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M67" si="17">SUM(E57:E66)</f>
        <v>36</v>
      </c>
      <c r="F67" s="13">
        <f t="shared" si="17"/>
        <v>24</v>
      </c>
      <c r="G67" s="13">
        <f t="shared" si="17"/>
        <v>28</v>
      </c>
      <c r="H67" s="13">
        <f t="shared" si="17"/>
        <v>31</v>
      </c>
      <c r="I67" s="13">
        <f t="shared" si="17"/>
        <v>26</v>
      </c>
      <c r="J67" s="13">
        <f t="shared" si="17"/>
        <v>27</v>
      </c>
      <c r="K67" s="13">
        <f t="shared" si="17"/>
        <v>23</v>
      </c>
      <c r="L67" s="13">
        <f t="shared" si="17"/>
        <v>16</v>
      </c>
      <c r="M67" s="13">
        <f t="shared" si="17"/>
        <v>24</v>
      </c>
      <c r="N67" s="13">
        <f t="shared" si="16"/>
        <v>235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9.0</v>
      </c>
      <c r="F69" s="74">
        <v>14.0</v>
      </c>
      <c r="G69" s="74">
        <v>5.0</v>
      </c>
      <c r="H69" s="74">
        <v>7.0</v>
      </c>
      <c r="I69" s="74">
        <v>15.0</v>
      </c>
      <c r="J69" s="74">
        <v>10.0</v>
      </c>
      <c r="K69" s="74">
        <v>7.0</v>
      </c>
      <c r="L69" s="74">
        <v>4.0</v>
      </c>
      <c r="M69" s="74">
        <v>4.0</v>
      </c>
      <c r="N69" s="13">
        <f t="shared" ref="N69:N79" si="18">SUM(E69:M69)</f>
        <v>75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3.0</v>
      </c>
      <c r="F70" s="74">
        <v>3.0</v>
      </c>
      <c r="G70" s="74">
        <v>3.0</v>
      </c>
      <c r="H70" s="74">
        <v>3.0</v>
      </c>
      <c r="I70" s="74">
        <v>2.0</v>
      </c>
      <c r="J70" s="74">
        <v>2.0</v>
      </c>
      <c r="K70" s="74">
        <v>0.0</v>
      </c>
      <c r="L70" s="74">
        <v>2.0</v>
      </c>
      <c r="M70" s="74">
        <v>3.0</v>
      </c>
      <c r="N70" s="13">
        <f t="shared" si="18"/>
        <v>21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6.0</v>
      </c>
      <c r="G71" s="74">
        <v>3.0</v>
      </c>
      <c r="H71" s="74">
        <v>12.0</v>
      </c>
      <c r="I71" s="74">
        <v>8.0</v>
      </c>
      <c r="J71" s="74">
        <v>11.0</v>
      </c>
      <c r="K71" s="74">
        <v>6.0</v>
      </c>
      <c r="L71" s="74">
        <v>2.0</v>
      </c>
      <c r="M71" s="74">
        <v>5.0</v>
      </c>
      <c r="N71" s="13">
        <f t="shared" si="18"/>
        <v>57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1.0</v>
      </c>
      <c r="G72" s="74">
        <v>5.0</v>
      </c>
      <c r="H72" s="74">
        <v>1.0</v>
      </c>
      <c r="I72" s="74">
        <v>2.0</v>
      </c>
      <c r="J72" s="74">
        <v>1.0</v>
      </c>
      <c r="K72" s="74">
        <v>2.0</v>
      </c>
      <c r="L72" s="74">
        <v>0.0</v>
      </c>
      <c r="M72" s="74">
        <v>3.0</v>
      </c>
      <c r="N72" s="13">
        <f t="shared" si="18"/>
        <v>18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5.0</v>
      </c>
      <c r="G73" s="74">
        <v>4.0</v>
      </c>
      <c r="H73" s="74">
        <v>1.0</v>
      </c>
      <c r="I73" s="74">
        <v>4.0</v>
      </c>
      <c r="J73" s="74">
        <v>2.0</v>
      </c>
      <c r="K73" s="74">
        <v>1.0</v>
      </c>
      <c r="L73" s="74">
        <v>1.0</v>
      </c>
      <c r="M73" s="74">
        <v>4.0</v>
      </c>
      <c r="N73" s="13">
        <f t="shared" si="18"/>
        <v>23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1.0</v>
      </c>
      <c r="I74" s="74">
        <v>0.0</v>
      </c>
      <c r="J74" s="74">
        <v>0.0</v>
      </c>
      <c r="K74" s="74">
        <v>0.0</v>
      </c>
      <c r="L74" s="74">
        <v>0.0</v>
      </c>
      <c r="M74" s="74">
        <v>0.0</v>
      </c>
      <c r="N74" s="13">
        <f t="shared" si="18"/>
        <v>2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13">
        <f t="shared" si="18"/>
        <v>0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1.0</v>
      </c>
      <c r="J76" s="74">
        <v>0.0</v>
      </c>
      <c r="K76" s="74">
        <v>0.0</v>
      </c>
      <c r="L76" s="74">
        <v>0.0</v>
      </c>
      <c r="M76" s="74">
        <v>0.0</v>
      </c>
      <c r="N76" s="13">
        <f t="shared" si="18"/>
        <v>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13">
        <f t="shared" si="18"/>
        <v>0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13">
        <f t="shared" si="18"/>
        <v>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>SUM(E69:E78)</f>
        <v>20</v>
      </c>
      <c r="F79" s="13">
        <f t="shared" ref="F79:M79" si="19">SUM(F69:F76)</f>
        <v>29</v>
      </c>
      <c r="G79" s="13">
        <f t="shared" si="19"/>
        <v>21</v>
      </c>
      <c r="H79" s="13">
        <f t="shared" si="19"/>
        <v>25</v>
      </c>
      <c r="I79" s="13">
        <f t="shared" si="19"/>
        <v>32</v>
      </c>
      <c r="J79" s="13">
        <f t="shared" si="19"/>
        <v>26</v>
      </c>
      <c r="K79" s="13">
        <f t="shared" si="19"/>
        <v>16</v>
      </c>
      <c r="L79" s="13">
        <f t="shared" si="19"/>
        <v>9</v>
      </c>
      <c r="M79" s="13">
        <f t="shared" si="19"/>
        <v>19</v>
      </c>
      <c r="N79" s="13">
        <f t="shared" si="18"/>
        <v>197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9.0</v>
      </c>
      <c r="F81" s="74">
        <v>8.0</v>
      </c>
      <c r="G81" s="74">
        <v>5.0</v>
      </c>
      <c r="H81" s="74">
        <v>3.0</v>
      </c>
      <c r="I81" s="74">
        <v>3.0</v>
      </c>
      <c r="J81" s="74">
        <v>6.0</v>
      </c>
      <c r="K81" s="74">
        <v>3.0</v>
      </c>
      <c r="L81" s="74">
        <v>5.0</v>
      </c>
      <c r="M81" s="74">
        <v>5.0</v>
      </c>
      <c r="N81" s="13">
        <f t="shared" ref="N81:N91" si="20">SUM(E81:M81)</f>
        <v>47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9.0</v>
      </c>
      <c r="F82" s="74">
        <v>3.0</v>
      </c>
      <c r="G82" s="74">
        <v>1.0</v>
      </c>
      <c r="H82" s="74">
        <v>3.0</v>
      </c>
      <c r="I82" s="74">
        <v>4.0</v>
      </c>
      <c r="J82" s="74">
        <v>5.0</v>
      </c>
      <c r="K82" s="74">
        <v>6.0</v>
      </c>
      <c r="L82" s="74">
        <v>1.0</v>
      </c>
      <c r="M82" s="74">
        <v>0.0</v>
      </c>
      <c r="N82" s="13">
        <f t="shared" si="20"/>
        <v>32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0.0</v>
      </c>
      <c r="G83" s="74">
        <v>0.0</v>
      </c>
      <c r="H83" s="74">
        <v>0.0</v>
      </c>
      <c r="I83" s="74">
        <v>1.0</v>
      </c>
      <c r="J83" s="74">
        <v>0.0</v>
      </c>
      <c r="K83" s="74">
        <v>1.0</v>
      </c>
      <c r="L83" s="74">
        <v>1.0</v>
      </c>
      <c r="M83" s="74">
        <v>2.0</v>
      </c>
      <c r="N83" s="13">
        <f t="shared" si="20"/>
        <v>6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0.0</v>
      </c>
      <c r="H84" s="74">
        <v>0.0</v>
      </c>
      <c r="I84" s="74">
        <v>1.0</v>
      </c>
      <c r="J84" s="74">
        <v>2.0</v>
      </c>
      <c r="K84" s="74">
        <v>1.0</v>
      </c>
      <c r="L84" s="74">
        <v>0.0</v>
      </c>
      <c r="M84" s="74">
        <v>0.0</v>
      </c>
      <c r="N84" s="13">
        <f t="shared" si="20"/>
        <v>5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1.0</v>
      </c>
      <c r="G85" s="74">
        <v>0.0</v>
      </c>
      <c r="H85" s="74">
        <v>0.0</v>
      </c>
      <c r="I85" s="74">
        <v>1.0</v>
      </c>
      <c r="J85" s="74">
        <v>1.0</v>
      </c>
      <c r="K85" s="74">
        <v>2.0</v>
      </c>
      <c r="L85" s="74">
        <v>1.0</v>
      </c>
      <c r="M85" s="74">
        <v>1.0</v>
      </c>
      <c r="N85" s="13">
        <f t="shared" si="20"/>
        <v>7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0.0</v>
      </c>
      <c r="I86" s="74">
        <v>1.0</v>
      </c>
      <c r="J86" s="74">
        <v>0.0</v>
      </c>
      <c r="K86" s="74">
        <v>0.0</v>
      </c>
      <c r="L86" s="74">
        <v>0.0</v>
      </c>
      <c r="M86" s="74">
        <v>1.0</v>
      </c>
      <c r="N86" s="13">
        <f t="shared" si="20"/>
        <v>2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13">
        <f t="shared" si="20"/>
        <v>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1.0</v>
      </c>
      <c r="N88" s="13">
        <f t="shared" si="20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13">
        <f t="shared" si="20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13">
        <f t="shared" si="20"/>
        <v>0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M91" si="21">SUM(E81:E88)</f>
        <v>19</v>
      </c>
      <c r="F91" s="13">
        <f t="shared" si="21"/>
        <v>13</v>
      </c>
      <c r="G91" s="13">
        <f t="shared" si="21"/>
        <v>6</v>
      </c>
      <c r="H91" s="13">
        <f t="shared" si="21"/>
        <v>6</v>
      </c>
      <c r="I91" s="13">
        <f t="shared" si="21"/>
        <v>11</v>
      </c>
      <c r="J91" s="13">
        <f t="shared" si="21"/>
        <v>14</v>
      </c>
      <c r="K91" s="13">
        <f t="shared" si="21"/>
        <v>13</v>
      </c>
      <c r="L91" s="13">
        <f t="shared" si="21"/>
        <v>8</v>
      </c>
      <c r="M91" s="13">
        <f t="shared" si="21"/>
        <v>10</v>
      </c>
      <c r="N91" s="13">
        <f t="shared" si="20"/>
        <v>100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1.0</v>
      </c>
      <c r="H93" s="74">
        <v>0.0</v>
      </c>
      <c r="I93" s="74">
        <v>2.0</v>
      </c>
      <c r="J93" s="74">
        <v>0.0</v>
      </c>
      <c r="K93" s="74">
        <v>0.0</v>
      </c>
      <c r="L93" s="74">
        <v>0.0</v>
      </c>
      <c r="M93" s="74">
        <v>0.0</v>
      </c>
      <c r="N93" s="13">
        <f t="shared" ref="N93:N103" si="22">SUM(E93:M93)</f>
        <v>3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0.0</v>
      </c>
      <c r="G94" s="74">
        <v>1.0</v>
      </c>
      <c r="H94" s="74">
        <v>1.0</v>
      </c>
      <c r="I94" s="74">
        <v>0.0</v>
      </c>
      <c r="J94" s="74">
        <v>2.0</v>
      </c>
      <c r="K94" s="74">
        <v>0.0</v>
      </c>
      <c r="L94" s="74">
        <v>0.0</v>
      </c>
      <c r="M94" s="74">
        <v>0.0</v>
      </c>
      <c r="N94" s="13">
        <f t="shared" si="22"/>
        <v>5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1.0</v>
      </c>
      <c r="H95" s="74">
        <v>0.0</v>
      </c>
      <c r="I95" s="74">
        <v>0.0</v>
      </c>
      <c r="J95" s="74">
        <v>0.0</v>
      </c>
      <c r="K95" s="74">
        <v>1.0</v>
      </c>
      <c r="L95" s="74">
        <v>0.0</v>
      </c>
      <c r="M95" s="74">
        <v>0.0</v>
      </c>
      <c r="N95" s="13">
        <f t="shared" si="22"/>
        <v>2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13">
        <f t="shared" si="22"/>
        <v>1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13">
        <f t="shared" si="22"/>
        <v>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13">
        <f t="shared" si="22"/>
        <v>0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13">
        <f t="shared" si="22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M103" si="23">SUM(E93:E102)</f>
        <v>2</v>
      </c>
      <c r="F103" s="13">
        <f t="shared" si="23"/>
        <v>0</v>
      </c>
      <c r="G103" s="13">
        <f t="shared" si="23"/>
        <v>4</v>
      </c>
      <c r="H103" s="13">
        <f t="shared" si="23"/>
        <v>1</v>
      </c>
      <c r="I103" s="13">
        <f t="shared" si="23"/>
        <v>2</v>
      </c>
      <c r="J103" s="13">
        <f t="shared" si="23"/>
        <v>2</v>
      </c>
      <c r="K103" s="13">
        <f t="shared" si="23"/>
        <v>1</v>
      </c>
      <c r="L103" s="13">
        <f t="shared" si="23"/>
        <v>0</v>
      </c>
      <c r="M103" s="13">
        <f t="shared" si="23"/>
        <v>0</v>
      </c>
      <c r="N103" s="13">
        <f t="shared" si="22"/>
        <v>12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  <c r="N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2.0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13">
        <f t="shared" ref="N105:N107" si="24">SUM(E105:M105)</f>
        <v>2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13">
        <f t="shared" si="24"/>
        <v>1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1.0</v>
      </c>
      <c r="L107" s="74">
        <v>0.0</v>
      </c>
      <c r="M107" s="74">
        <v>0.0</v>
      </c>
      <c r="N107" s="13">
        <f t="shared" si="24"/>
        <v>1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M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>SUM(E115:M115)</f>
        <v>4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1.0</v>
      </c>
      <c r="H117" s="74">
        <v>0.0</v>
      </c>
      <c r="I117" s="74">
        <v>1.0</v>
      </c>
      <c r="J117" s="74">
        <v>0.0</v>
      </c>
      <c r="K117" s="74">
        <v>0.0</v>
      </c>
      <c r="L117" s="74">
        <v>1.0</v>
      </c>
      <c r="M117" s="74">
        <v>0.0</v>
      </c>
      <c r="N117" s="13">
        <f t="shared" ref="N117:N122" si="26">SUM(E117:M117)</f>
        <v>5</v>
      </c>
      <c r="O117" s="5"/>
      <c r="P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13">
        <f t="shared" si="26"/>
        <v>0</v>
      </c>
      <c r="O118" s="5"/>
      <c r="P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13">
        <f t="shared" si="26"/>
        <v>0</v>
      </c>
      <c r="O119" s="5"/>
      <c r="P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13">
        <f t="shared" si="26"/>
        <v>0</v>
      </c>
      <c r="O120" s="5"/>
      <c r="P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13">
        <f t="shared" si="26"/>
        <v>0</v>
      </c>
      <c r="O121" s="5"/>
      <c r="P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13">
        <f t="shared" si="26"/>
        <v>0</v>
      </c>
      <c r="O122" s="5"/>
      <c r="P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79"/>
      <c r="O123" s="5"/>
      <c r="P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79"/>
      <c r="O124" s="5"/>
      <c r="P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79"/>
      <c r="O125" s="5"/>
      <c r="P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79"/>
      <c r="O126" s="5"/>
      <c r="P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>SUM(E117:E122)</f>
        <v>1</v>
      </c>
      <c r="F127" s="63">
        <f t="shared" ref="F127:M127" si="27">SUM(F117:F120)</f>
        <v>1</v>
      </c>
      <c r="G127" s="63">
        <f t="shared" si="27"/>
        <v>1</v>
      </c>
      <c r="H127" s="63">
        <f t="shared" si="27"/>
        <v>0</v>
      </c>
      <c r="I127" s="63">
        <f t="shared" si="27"/>
        <v>1</v>
      </c>
      <c r="J127" s="63">
        <f t="shared" si="27"/>
        <v>0</v>
      </c>
      <c r="K127" s="63">
        <f t="shared" si="27"/>
        <v>0</v>
      </c>
      <c r="L127" s="63">
        <f t="shared" si="27"/>
        <v>1</v>
      </c>
      <c r="M127" s="63">
        <f t="shared" si="27"/>
        <v>0</v>
      </c>
      <c r="N127" s="13">
        <f>SUM(E127:M127)</f>
        <v>5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5"/>
      <c r="P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4.0</v>
      </c>
      <c r="G129" s="74">
        <v>1.0</v>
      </c>
      <c r="H129" s="74">
        <v>2.0</v>
      </c>
      <c r="I129" s="74">
        <v>0.0</v>
      </c>
      <c r="J129" s="74">
        <v>1.0</v>
      </c>
      <c r="K129" s="74">
        <v>2.0</v>
      </c>
      <c r="L129" s="74">
        <v>0.0</v>
      </c>
      <c r="M129" s="74">
        <v>1.0</v>
      </c>
      <c r="N129" s="13">
        <f t="shared" ref="N129:N139" si="28">SUM(E129:M129)</f>
        <v>11</v>
      </c>
      <c r="O129" s="5"/>
      <c r="P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2.0</v>
      </c>
      <c r="G130" s="74">
        <v>0.0</v>
      </c>
      <c r="H130" s="74">
        <v>0.0</v>
      </c>
      <c r="I130" s="74">
        <v>0.0</v>
      </c>
      <c r="J130" s="74">
        <v>0.0</v>
      </c>
      <c r="K130" s="74">
        <v>1.0</v>
      </c>
      <c r="L130" s="74">
        <v>0.0</v>
      </c>
      <c r="M130" s="74">
        <v>1.0</v>
      </c>
      <c r="N130" s="13">
        <f t="shared" si="28"/>
        <v>6</v>
      </c>
      <c r="O130" s="1"/>
      <c r="P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2.0</v>
      </c>
      <c r="J131" s="74">
        <v>0.0</v>
      </c>
      <c r="K131" s="74">
        <v>0.0</v>
      </c>
      <c r="L131" s="74">
        <v>0.0</v>
      </c>
      <c r="M131" s="74">
        <v>0.0</v>
      </c>
      <c r="N131" s="13">
        <f t="shared" si="28"/>
        <v>2</v>
      </c>
      <c r="O131" s="52"/>
      <c r="P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13">
        <f t="shared" si="28"/>
        <v>1</v>
      </c>
      <c r="O132" s="5"/>
      <c r="P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13">
        <f t="shared" si="28"/>
        <v>1</v>
      </c>
      <c r="O133" s="5"/>
      <c r="P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13">
        <f t="shared" si="28"/>
        <v>0</v>
      </c>
      <c r="O134" s="5"/>
      <c r="P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13">
        <f t="shared" si="28"/>
        <v>0</v>
      </c>
      <c r="O135" s="5"/>
      <c r="P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13">
        <f t="shared" si="28"/>
        <v>0</v>
      </c>
      <c r="O136" s="5"/>
      <c r="P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13">
        <f t="shared" si="28"/>
        <v>0</v>
      </c>
      <c r="O137" s="5"/>
      <c r="P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1.0</v>
      </c>
      <c r="N138" s="13">
        <f t="shared" si="28"/>
        <v>1</v>
      </c>
      <c r="O138" s="5"/>
      <c r="P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M139" si="29">SUM(E129:E138)</f>
        <v>3</v>
      </c>
      <c r="F139" s="13">
        <f t="shared" si="29"/>
        <v>7</v>
      </c>
      <c r="G139" s="13">
        <f t="shared" si="29"/>
        <v>1</v>
      </c>
      <c r="H139" s="13">
        <f t="shared" si="29"/>
        <v>2</v>
      </c>
      <c r="I139" s="13">
        <f t="shared" si="29"/>
        <v>2</v>
      </c>
      <c r="J139" s="13">
        <f t="shared" si="29"/>
        <v>1</v>
      </c>
      <c r="K139" s="13">
        <f t="shared" si="29"/>
        <v>3</v>
      </c>
      <c r="L139" s="13">
        <f t="shared" si="29"/>
        <v>0</v>
      </c>
      <c r="M139" s="13">
        <f t="shared" si="29"/>
        <v>3</v>
      </c>
      <c r="N139" s="13">
        <f t="shared" si="28"/>
        <v>22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5"/>
      <c r="P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13">
        <f t="shared" ref="N141:N144" si="30">SUM(E141:M141)</f>
        <v>0</v>
      </c>
      <c r="O141" s="1"/>
      <c r="P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13">
        <f t="shared" si="30"/>
        <v>0</v>
      </c>
      <c r="O142" s="52"/>
      <c r="P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13">
        <f t="shared" si="30"/>
        <v>0</v>
      </c>
      <c r="O143" s="5"/>
      <c r="P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13">
        <f t="shared" si="30"/>
        <v>0</v>
      </c>
      <c r="O144" s="5"/>
      <c r="P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79"/>
      <c r="O145" s="5"/>
      <c r="P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79"/>
      <c r="O146" s="5"/>
      <c r="P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79"/>
      <c r="O147" s="5"/>
      <c r="P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79"/>
      <c r="O148" s="5"/>
      <c r="P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79"/>
      <c r="O149" s="5"/>
      <c r="P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79"/>
      <c r="O150" s="5"/>
      <c r="P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>SUM(E151:M151)</f>
        <v>0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13"/>
      <c r="O152" s="52"/>
      <c r="P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1.0</v>
      </c>
      <c r="G153" s="74">
        <v>0.0</v>
      </c>
      <c r="H153" s="74">
        <v>0.0</v>
      </c>
      <c r="I153" s="74">
        <v>1.0</v>
      </c>
      <c r="J153" s="74">
        <v>0.0</v>
      </c>
      <c r="K153" s="74">
        <v>0.0</v>
      </c>
      <c r="L153" s="74">
        <v>0.0</v>
      </c>
      <c r="M153" s="74">
        <v>0.0</v>
      </c>
      <c r="N153" s="13">
        <f t="shared" ref="N153:N163" si="32">SUM(E153:M153)</f>
        <v>2</v>
      </c>
      <c r="O153" s="5"/>
      <c r="P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13">
        <f t="shared" si="32"/>
        <v>0</v>
      </c>
      <c r="O154" s="5"/>
      <c r="P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1.0</v>
      </c>
      <c r="M155" s="74">
        <v>0.0</v>
      </c>
      <c r="N155" s="13">
        <f t="shared" si="32"/>
        <v>1</v>
      </c>
      <c r="O155" s="5"/>
      <c r="P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13">
        <f t="shared" si="32"/>
        <v>0</v>
      </c>
      <c r="O156" s="5"/>
      <c r="P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13">
        <f t="shared" si="32"/>
        <v>0</v>
      </c>
      <c r="O157" s="5"/>
      <c r="P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13">
        <f t="shared" si="32"/>
        <v>0</v>
      </c>
      <c r="O158" s="5"/>
      <c r="P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13">
        <f t="shared" si="32"/>
        <v>0</v>
      </c>
      <c r="O159" s="5"/>
      <c r="P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13">
        <f t="shared" si="32"/>
        <v>0</v>
      </c>
      <c r="O160" s="5"/>
      <c r="P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>SUM(E153:E160)</f>
        <v>0</v>
      </c>
      <c r="F163" s="13">
        <f t="shared" ref="F163:M163" si="33">SUM(F153:F157)</f>
        <v>1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2"/>
        <v>3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5"/>
      <c r="P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2.0</v>
      </c>
      <c r="J165" s="74">
        <v>0.0</v>
      </c>
      <c r="K165" s="74">
        <v>0.0</v>
      </c>
      <c r="L165" s="74">
        <v>0.0</v>
      </c>
      <c r="M165" s="74">
        <v>0.0</v>
      </c>
      <c r="N165" s="13">
        <f t="shared" ref="N165:N166" si="34">SUM(E165:M165)</f>
        <v>3</v>
      </c>
      <c r="O165" s="1"/>
      <c r="P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1.0</v>
      </c>
      <c r="L166" s="74">
        <v>0.0</v>
      </c>
      <c r="M166" s="74">
        <v>0.0</v>
      </c>
      <c r="N166" s="13">
        <f t="shared" si="34"/>
        <v>1</v>
      </c>
      <c r="O166" s="52"/>
      <c r="P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79"/>
      <c r="O167" s="5"/>
      <c r="P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79"/>
      <c r="O168" s="5"/>
      <c r="P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79"/>
      <c r="O169" s="5"/>
      <c r="P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79"/>
      <c r="O170" s="5"/>
      <c r="P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79"/>
      <c r="O171" s="5"/>
      <c r="P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79"/>
      <c r="O172" s="5"/>
      <c r="P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79"/>
      <c r="O173" s="5"/>
      <c r="P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79"/>
      <c r="O174" s="5"/>
      <c r="P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M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>SUM(E175:M175)</f>
        <v>4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1"/>
      <c r="P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1.0</v>
      </c>
      <c r="G177" s="74">
        <v>1.0</v>
      </c>
      <c r="H177" s="74">
        <v>3.0</v>
      </c>
      <c r="I177" s="74">
        <v>0.0</v>
      </c>
      <c r="J177" s="74">
        <v>0.0</v>
      </c>
      <c r="K177" s="74">
        <v>1.0</v>
      </c>
      <c r="L177" s="74">
        <v>0.0</v>
      </c>
      <c r="M177" s="74">
        <v>0.0</v>
      </c>
      <c r="N177" s="13">
        <f t="shared" ref="N177:N187" si="36">SUM(E177:M177)</f>
        <v>7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1.0</v>
      </c>
      <c r="G178" s="74">
        <v>1.0</v>
      </c>
      <c r="H178" s="74">
        <v>1.0</v>
      </c>
      <c r="I178" s="74">
        <v>0.0</v>
      </c>
      <c r="J178" s="74">
        <v>0.0</v>
      </c>
      <c r="K178" s="74">
        <v>0.0</v>
      </c>
      <c r="L178" s="74">
        <v>3.0</v>
      </c>
      <c r="M178" s="74">
        <v>1.0</v>
      </c>
      <c r="N178" s="13">
        <f t="shared" si="36"/>
        <v>8</v>
      </c>
      <c r="O178" s="5"/>
      <c r="P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1.0</v>
      </c>
      <c r="J179" s="74">
        <v>0.0</v>
      </c>
      <c r="K179" s="74">
        <v>0.0</v>
      </c>
      <c r="L179" s="74">
        <v>0.0</v>
      </c>
      <c r="M179" s="74">
        <v>0.0</v>
      </c>
      <c r="N179" s="13">
        <f t="shared" si="36"/>
        <v>1</v>
      </c>
      <c r="O179" s="5"/>
      <c r="P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1.0</v>
      </c>
      <c r="L180" s="74">
        <v>0.0</v>
      </c>
      <c r="M180" s="74">
        <v>0.0</v>
      </c>
      <c r="N180" s="13">
        <f t="shared" si="36"/>
        <v>1</v>
      </c>
      <c r="O180" s="5"/>
      <c r="P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13">
        <f t="shared" si="36"/>
        <v>1</v>
      </c>
      <c r="O181" s="5"/>
      <c r="P181" s="5"/>
    </row>
    <row r="182" ht="12.75" customHeight="1">
      <c r="A182" s="18"/>
      <c r="B182" s="55"/>
      <c r="C182" s="50" t="s">
        <v>136</v>
      </c>
      <c r="D182" s="57"/>
      <c r="E182" s="74">
        <v>1.0</v>
      </c>
      <c r="F182" s="74">
        <v>0.0</v>
      </c>
      <c r="G182" s="74">
        <v>1.0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13">
        <f t="shared" si="36"/>
        <v>2</v>
      </c>
      <c r="O182" s="5"/>
      <c r="P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13">
        <f t="shared" si="36"/>
        <v>0</v>
      </c>
      <c r="O183" s="5"/>
      <c r="P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13">
        <f t="shared" si="36"/>
        <v>0</v>
      </c>
      <c r="O184" s="5"/>
      <c r="P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13">
        <f t="shared" si="36"/>
        <v>0</v>
      </c>
      <c r="O185" s="5"/>
      <c r="P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M187" si="37">SUM(E177:E184)</f>
        <v>4</v>
      </c>
      <c r="F187" s="13">
        <f t="shared" si="37"/>
        <v>2</v>
      </c>
      <c r="G187" s="13">
        <f t="shared" si="37"/>
        <v>3</v>
      </c>
      <c r="H187" s="13">
        <f t="shared" si="37"/>
        <v>4</v>
      </c>
      <c r="I187" s="13">
        <f t="shared" si="37"/>
        <v>1</v>
      </c>
      <c r="J187" s="13">
        <f t="shared" si="37"/>
        <v>0</v>
      </c>
      <c r="K187" s="13">
        <f t="shared" si="37"/>
        <v>2</v>
      </c>
      <c r="L187" s="13">
        <f t="shared" si="37"/>
        <v>3</v>
      </c>
      <c r="M187" s="13">
        <f t="shared" si="37"/>
        <v>1</v>
      </c>
      <c r="N187" s="13">
        <f t="shared" si="36"/>
        <v>20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13">
        <f t="shared" ref="N189:N199" si="38">SUM(E189:M189)</f>
        <v>1</v>
      </c>
      <c r="O189" s="5"/>
      <c r="P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1.0</v>
      </c>
      <c r="G190" s="74">
        <v>1.0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13">
        <f t="shared" si="38"/>
        <v>2</v>
      </c>
      <c r="O190" s="5"/>
      <c r="P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1.0</v>
      </c>
      <c r="H191" s="74">
        <v>1.0</v>
      </c>
      <c r="I191" s="74">
        <v>1.0</v>
      </c>
      <c r="J191" s="74">
        <v>0.0</v>
      </c>
      <c r="K191" s="74">
        <v>0.0</v>
      </c>
      <c r="L191" s="74">
        <v>2.0</v>
      </c>
      <c r="M191" s="74">
        <v>0.0</v>
      </c>
      <c r="N191" s="13">
        <f t="shared" si="38"/>
        <v>5</v>
      </c>
      <c r="O191" s="5"/>
      <c r="P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1.0</v>
      </c>
      <c r="N192" s="13">
        <f t="shared" si="38"/>
        <v>1</v>
      </c>
      <c r="O192" s="5"/>
      <c r="P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13">
        <f t="shared" si="38"/>
        <v>0</v>
      </c>
      <c r="O193" s="5"/>
      <c r="P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13">
        <f t="shared" si="38"/>
        <v>0</v>
      </c>
      <c r="O194" s="5"/>
      <c r="P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1.0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13">
        <f t="shared" si="38"/>
        <v>1</v>
      </c>
      <c r="O195" s="5"/>
      <c r="P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13">
        <f t="shared" si="38"/>
        <v>0</v>
      </c>
      <c r="O196" s="1"/>
      <c r="P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13">
        <f t="shared" si="38"/>
        <v>0</v>
      </c>
      <c r="O197" s="1"/>
      <c r="P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13">
        <f t="shared" si="38"/>
        <v>0</v>
      </c>
      <c r="O198" s="1"/>
      <c r="P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>SUM(E189:E198)</f>
        <v>0</v>
      </c>
      <c r="F199" s="13">
        <f t="shared" ref="F199:M199" si="39">SUM(F189:F196)</f>
        <v>1</v>
      </c>
      <c r="G199" s="13">
        <f t="shared" si="39"/>
        <v>2</v>
      </c>
      <c r="H199" s="13">
        <f t="shared" si="39"/>
        <v>3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2</v>
      </c>
      <c r="M199" s="13">
        <f t="shared" si="39"/>
        <v>1</v>
      </c>
      <c r="N199" s="13">
        <f t="shared" si="38"/>
        <v>10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5"/>
      <c r="P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0.0</v>
      </c>
      <c r="G201" s="74">
        <v>1.0</v>
      </c>
      <c r="H201" s="74">
        <v>3.0</v>
      </c>
      <c r="I201" s="74">
        <v>3.0</v>
      </c>
      <c r="J201" s="74">
        <v>8.0</v>
      </c>
      <c r="K201" s="74">
        <v>3.0</v>
      </c>
      <c r="L201" s="74">
        <v>5.0</v>
      </c>
      <c r="M201" s="74">
        <v>2.0</v>
      </c>
      <c r="N201" s="13">
        <f t="shared" ref="N201:N211" si="40">SUM(E201:M201)</f>
        <v>26</v>
      </c>
      <c r="O201" s="5"/>
      <c r="P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0.0</v>
      </c>
      <c r="F202" s="74">
        <v>1.0</v>
      </c>
      <c r="G202" s="74">
        <v>3.0</v>
      </c>
      <c r="H202" s="74">
        <v>0.0</v>
      </c>
      <c r="I202" s="74">
        <v>1.0</v>
      </c>
      <c r="J202" s="74">
        <v>0.0</v>
      </c>
      <c r="K202" s="74">
        <v>1.0</v>
      </c>
      <c r="L202" s="74">
        <v>4.0</v>
      </c>
      <c r="M202" s="74">
        <v>1.0</v>
      </c>
      <c r="N202" s="13">
        <f t="shared" si="40"/>
        <v>11</v>
      </c>
      <c r="O202" s="5"/>
      <c r="P202" s="5"/>
    </row>
    <row r="203" ht="12.75" customHeight="1">
      <c r="A203" s="18"/>
      <c r="B203" s="55"/>
      <c r="C203" s="50" t="s">
        <v>155</v>
      </c>
      <c r="D203" s="57"/>
      <c r="E203" s="74">
        <v>3.0</v>
      </c>
      <c r="F203" s="74">
        <v>0.0</v>
      </c>
      <c r="G203" s="74">
        <v>1.0</v>
      </c>
      <c r="H203" s="74">
        <v>1.0</v>
      </c>
      <c r="I203" s="74">
        <v>1.0</v>
      </c>
      <c r="J203" s="74">
        <v>4.0</v>
      </c>
      <c r="K203" s="74">
        <v>1.0</v>
      </c>
      <c r="L203" s="74">
        <v>0.0</v>
      </c>
      <c r="M203" s="74">
        <v>0.0</v>
      </c>
      <c r="N203" s="13">
        <f t="shared" si="40"/>
        <v>11</v>
      </c>
      <c r="O203" s="5"/>
      <c r="P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1.0</v>
      </c>
      <c r="M204" s="74">
        <v>0.0</v>
      </c>
      <c r="N204" s="13">
        <f t="shared" si="40"/>
        <v>2</v>
      </c>
      <c r="O204" s="5"/>
      <c r="P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74">
        <v>1.0</v>
      </c>
      <c r="M205" s="74">
        <v>0.0</v>
      </c>
      <c r="N205" s="13">
        <f t="shared" si="40"/>
        <v>2</v>
      </c>
      <c r="O205" s="5"/>
      <c r="P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13">
        <f t="shared" si="40"/>
        <v>0</v>
      </c>
      <c r="O206" s="5"/>
      <c r="P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13">
        <f t="shared" si="40"/>
        <v>0</v>
      </c>
      <c r="O207" s="1"/>
      <c r="P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13">
        <f t="shared" si="40"/>
        <v>0</v>
      </c>
      <c r="O208" s="52"/>
      <c r="P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13">
        <f t="shared" si="40"/>
        <v>0</v>
      </c>
      <c r="O209" s="52"/>
      <c r="P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13">
        <f t="shared" si="40"/>
        <v>0</v>
      </c>
      <c r="O210" s="52"/>
      <c r="P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>SUM(E201:E210)</f>
        <v>4</v>
      </c>
      <c r="F211" s="13">
        <f t="shared" ref="F211:M211" si="41">SUM(F201:F208)</f>
        <v>1</v>
      </c>
      <c r="G211" s="13">
        <f t="shared" si="41"/>
        <v>5</v>
      </c>
      <c r="H211" s="13">
        <f t="shared" si="41"/>
        <v>5</v>
      </c>
      <c r="I211" s="13">
        <f t="shared" si="41"/>
        <v>6</v>
      </c>
      <c r="J211" s="13">
        <f t="shared" si="41"/>
        <v>12</v>
      </c>
      <c r="K211" s="13">
        <f t="shared" si="41"/>
        <v>5</v>
      </c>
      <c r="L211" s="13">
        <f t="shared" si="41"/>
        <v>11</v>
      </c>
      <c r="M211" s="13">
        <f t="shared" si="41"/>
        <v>3</v>
      </c>
      <c r="N211" s="13">
        <f t="shared" si="40"/>
        <v>52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5"/>
      <c r="P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5.0</v>
      </c>
      <c r="F213" s="74">
        <v>1.0</v>
      </c>
      <c r="G213" s="74">
        <v>1.0</v>
      </c>
      <c r="H213" s="74">
        <v>0.0</v>
      </c>
      <c r="I213" s="74">
        <v>2.0</v>
      </c>
      <c r="J213" s="74">
        <v>0.0</v>
      </c>
      <c r="K213" s="74">
        <v>0.0</v>
      </c>
      <c r="L213" s="74">
        <v>5.0</v>
      </c>
      <c r="M213" s="74">
        <v>1.0</v>
      </c>
      <c r="N213" s="13">
        <f t="shared" ref="N213:N216" si="42">SUM(E213:M213)</f>
        <v>15</v>
      </c>
      <c r="O213" s="5"/>
      <c r="P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2.0</v>
      </c>
      <c r="G214" s="74">
        <v>0.0</v>
      </c>
      <c r="H214" s="74">
        <v>1.0</v>
      </c>
      <c r="I214" s="74">
        <v>1.0</v>
      </c>
      <c r="J214" s="74">
        <v>0.0</v>
      </c>
      <c r="K214" s="74">
        <v>1.0</v>
      </c>
      <c r="L214" s="74">
        <v>1.0</v>
      </c>
      <c r="M214" s="74">
        <v>0.0</v>
      </c>
      <c r="N214" s="13">
        <f t="shared" si="42"/>
        <v>7</v>
      </c>
      <c r="O214" s="5"/>
      <c r="P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1.0</v>
      </c>
      <c r="K215" s="74">
        <v>0.0</v>
      </c>
      <c r="L215" s="74">
        <v>0.0</v>
      </c>
      <c r="M215" s="74">
        <v>0.0</v>
      </c>
      <c r="N215" s="13">
        <f t="shared" si="42"/>
        <v>1</v>
      </c>
      <c r="O215" s="5"/>
      <c r="P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0.0</v>
      </c>
      <c r="H216" s="74">
        <v>0.0</v>
      </c>
      <c r="I216" s="74">
        <v>1.0</v>
      </c>
      <c r="J216" s="74">
        <v>0.0</v>
      </c>
      <c r="K216" s="74">
        <v>0.0</v>
      </c>
      <c r="L216" s="74">
        <v>0.0</v>
      </c>
      <c r="M216" s="74">
        <v>0.0</v>
      </c>
      <c r="N216" s="13">
        <f t="shared" si="42"/>
        <v>2</v>
      </c>
      <c r="O216" s="5"/>
      <c r="P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79"/>
      <c r="O217" s="5"/>
      <c r="P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79"/>
      <c r="O218" s="1"/>
      <c r="P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79"/>
      <c r="O219" s="52"/>
      <c r="P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79"/>
      <c r="O220" s="5"/>
      <c r="P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79"/>
      <c r="O221" s="5"/>
      <c r="P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79"/>
      <c r="O222" s="5"/>
      <c r="P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M223" si="43">SUM(E213:E220)</f>
        <v>7</v>
      </c>
      <c r="F223" s="13">
        <f t="shared" si="43"/>
        <v>3</v>
      </c>
      <c r="G223" s="13">
        <f t="shared" si="43"/>
        <v>1</v>
      </c>
      <c r="H223" s="13">
        <f t="shared" si="43"/>
        <v>1</v>
      </c>
      <c r="I223" s="13">
        <f t="shared" si="43"/>
        <v>4</v>
      </c>
      <c r="J223" s="13">
        <f t="shared" si="43"/>
        <v>1</v>
      </c>
      <c r="K223" s="13">
        <f t="shared" si="43"/>
        <v>1</v>
      </c>
      <c r="L223" s="13">
        <f t="shared" si="43"/>
        <v>6</v>
      </c>
      <c r="M223" s="13">
        <f t="shared" si="43"/>
        <v>1</v>
      </c>
      <c r="N223" s="13">
        <f>SUM(E223:M223)</f>
        <v>25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5"/>
      <c r="P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0.0</v>
      </c>
      <c r="M225" s="74">
        <v>0.0</v>
      </c>
      <c r="N225" s="13">
        <f t="shared" ref="N225:N229" si="44">SUM(E225:M225)</f>
        <v>1</v>
      </c>
      <c r="O225" s="5"/>
      <c r="P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2.0</v>
      </c>
      <c r="L226" s="74">
        <v>2.0</v>
      </c>
      <c r="M226" s="74">
        <v>0.0</v>
      </c>
      <c r="N226" s="13">
        <f t="shared" si="44"/>
        <v>4</v>
      </c>
      <c r="O226" s="5"/>
      <c r="P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1.0</v>
      </c>
      <c r="H227" s="74">
        <v>0.0</v>
      </c>
      <c r="I227" s="74">
        <v>0.0</v>
      </c>
      <c r="J227" s="74">
        <v>1.0</v>
      </c>
      <c r="K227" s="74">
        <v>0.0</v>
      </c>
      <c r="L227" s="74">
        <v>0.0</v>
      </c>
      <c r="M227" s="74">
        <v>0.0</v>
      </c>
      <c r="N227" s="13">
        <f t="shared" si="44"/>
        <v>2</v>
      </c>
      <c r="O227" s="5"/>
      <c r="P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13">
        <f t="shared" si="44"/>
        <v>0</v>
      </c>
      <c r="O228" s="5"/>
      <c r="P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13">
        <f t="shared" si="44"/>
        <v>0</v>
      </c>
      <c r="O229" s="1"/>
      <c r="P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79"/>
      <c r="O230" s="52"/>
      <c r="P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79"/>
      <c r="O231" s="5"/>
      <c r="P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79"/>
      <c r="O232" s="5"/>
      <c r="P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79"/>
      <c r="O233" s="5"/>
      <c r="P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79"/>
      <c r="O234" s="5"/>
      <c r="P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M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3</v>
      </c>
      <c r="L235" s="13">
        <f t="shared" si="45"/>
        <v>2</v>
      </c>
      <c r="M235" s="13">
        <f t="shared" si="45"/>
        <v>0</v>
      </c>
      <c r="N235" s="13">
        <f>SUM(E235:M235)</f>
        <v>7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5"/>
      <c r="P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8.0</v>
      </c>
      <c r="G237" s="74">
        <v>11.0</v>
      </c>
      <c r="H237" s="74">
        <v>22.0</v>
      </c>
      <c r="I237" s="74">
        <v>9.0</v>
      </c>
      <c r="J237" s="74">
        <v>2.0</v>
      </c>
      <c r="K237" s="74">
        <v>2.0</v>
      </c>
      <c r="L237" s="74">
        <v>2.0</v>
      </c>
      <c r="M237" s="74">
        <v>3.0</v>
      </c>
      <c r="N237" s="13">
        <f t="shared" ref="N237:N247" si="46">SUM(E237:M237)</f>
        <v>60</v>
      </c>
      <c r="O237" s="5"/>
      <c r="P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1.0</v>
      </c>
      <c r="G238" s="74">
        <v>5.0</v>
      </c>
      <c r="H238" s="74">
        <v>8.0</v>
      </c>
      <c r="I238" s="74">
        <v>2.0</v>
      </c>
      <c r="J238" s="74">
        <v>3.0</v>
      </c>
      <c r="K238" s="74">
        <v>0.0</v>
      </c>
      <c r="L238" s="74">
        <v>6.0</v>
      </c>
      <c r="M238" s="74">
        <v>2.0</v>
      </c>
      <c r="N238" s="13">
        <f t="shared" si="46"/>
        <v>28</v>
      </c>
      <c r="O238" s="5"/>
      <c r="P238" s="5"/>
    </row>
    <row r="239" ht="12.75" customHeight="1">
      <c r="A239" s="18"/>
      <c r="B239" s="55"/>
      <c r="C239" s="50" t="s">
        <v>177</v>
      </c>
      <c r="D239" s="57"/>
      <c r="E239" s="74">
        <v>5.0</v>
      </c>
      <c r="F239" s="74">
        <v>4.0</v>
      </c>
      <c r="G239" s="74">
        <v>22.0</v>
      </c>
      <c r="H239" s="74">
        <v>23.0</v>
      </c>
      <c r="I239" s="74">
        <v>22.0</v>
      </c>
      <c r="J239" s="74">
        <v>10.0</v>
      </c>
      <c r="K239" s="74">
        <v>5.0</v>
      </c>
      <c r="L239" s="74">
        <v>12.0</v>
      </c>
      <c r="M239" s="74">
        <v>7.0</v>
      </c>
      <c r="N239" s="13">
        <f t="shared" si="46"/>
        <v>110</v>
      </c>
      <c r="O239" s="5"/>
      <c r="P239" s="5"/>
    </row>
    <row r="240" ht="12.75" customHeight="1">
      <c r="A240" s="18"/>
      <c r="B240" s="55"/>
      <c r="C240" s="50" t="s">
        <v>178</v>
      </c>
      <c r="D240" s="57"/>
      <c r="E240" s="74">
        <v>2.0</v>
      </c>
      <c r="F240" s="74">
        <v>0.0</v>
      </c>
      <c r="G240" s="74">
        <v>0.0</v>
      </c>
      <c r="H240" s="74">
        <v>1.0</v>
      </c>
      <c r="I240" s="74">
        <v>0.0</v>
      </c>
      <c r="J240" s="74">
        <v>1.0</v>
      </c>
      <c r="K240" s="74">
        <v>3.0</v>
      </c>
      <c r="L240" s="74">
        <v>2.0</v>
      </c>
      <c r="M240" s="74">
        <v>1.0</v>
      </c>
      <c r="N240" s="13">
        <f t="shared" si="46"/>
        <v>10</v>
      </c>
      <c r="O240" s="1"/>
      <c r="P240" s="1"/>
    </row>
    <row r="241" ht="12.75" customHeight="1">
      <c r="A241" s="18"/>
      <c r="B241" s="55"/>
      <c r="C241" s="50" t="s">
        <v>179</v>
      </c>
      <c r="D241" s="57"/>
      <c r="E241" s="74">
        <v>3.0</v>
      </c>
      <c r="F241" s="74">
        <v>0.0</v>
      </c>
      <c r="G241" s="74">
        <v>1.0</v>
      </c>
      <c r="H241" s="74">
        <v>0.0</v>
      </c>
      <c r="I241" s="74">
        <v>2.0</v>
      </c>
      <c r="J241" s="74">
        <v>0.0</v>
      </c>
      <c r="K241" s="74">
        <v>0.0</v>
      </c>
      <c r="L241" s="74">
        <v>0.0</v>
      </c>
      <c r="M241" s="74">
        <v>2.0</v>
      </c>
      <c r="N241" s="13">
        <f t="shared" si="46"/>
        <v>8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0.0</v>
      </c>
      <c r="G242" s="74">
        <v>2.0</v>
      </c>
      <c r="H242" s="74">
        <v>2.0</v>
      </c>
      <c r="I242" s="74">
        <v>3.0</v>
      </c>
      <c r="J242" s="74">
        <v>0.0</v>
      </c>
      <c r="K242" s="74">
        <v>0.0</v>
      </c>
      <c r="L242" s="74">
        <v>0.0</v>
      </c>
      <c r="M242" s="74">
        <v>0.0</v>
      </c>
      <c r="N242" s="13">
        <f t="shared" si="46"/>
        <v>8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1.0</v>
      </c>
      <c r="J244" s="74">
        <v>0.0</v>
      </c>
      <c r="K244" s="74">
        <v>0.0</v>
      </c>
      <c r="L244" s="74">
        <v>0.0</v>
      </c>
      <c r="M244" s="74">
        <v>0.0</v>
      </c>
      <c r="N244" s="13">
        <f t="shared" si="46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1.0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13">
        <f t="shared" si="46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M247" si="47">SUM(E237:E246)</f>
        <v>13</v>
      </c>
      <c r="F247" s="13">
        <f t="shared" si="47"/>
        <v>13</v>
      </c>
      <c r="G247" s="13">
        <f t="shared" si="47"/>
        <v>42</v>
      </c>
      <c r="H247" s="13">
        <f t="shared" si="47"/>
        <v>56</v>
      </c>
      <c r="I247" s="13">
        <f t="shared" si="47"/>
        <v>39</v>
      </c>
      <c r="J247" s="13">
        <f t="shared" si="47"/>
        <v>16</v>
      </c>
      <c r="K247" s="13">
        <f t="shared" si="47"/>
        <v>10</v>
      </c>
      <c r="L247" s="13">
        <f t="shared" si="47"/>
        <v>22</v>
      </c>
      <c r="M247" s="13">
        <f t="shared" si="47"/>
        <v>15</v>
      </c>
      <c r="N247" s="13">
        <f t="shared" si="46"/>
        <v>226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1.0</v>
      </c>
      <c r="G249" s="74">
        <v>0.0</v>
      </c>
      <c r="H249" s="74">
        <v>3.0</v>
      </c>
      <c r="I249" s="74">
        <v>0.0</v>
      </c>
      <c r="J249" s="74">
        <v>0.0</v>
      </c>
      <c r="K249" s="74">
        <v>2.0</v>
      </c>
      <c r="L249" s="74">
        <v>0.0</v>
      </c>
      <c r="M249" s="74">
        <v>0.0</v>
      </c>
      <c r="N249" s="13">
        <f t="shared" ref="N249:N252" si="48">SUM(E249:M249)</f>
        <v>6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13">
        <f t="shared" si="48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1.0</v>
      </c>
      <c r="G251" s="74">
        <v>1.0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13">
        <f t="shared" si="48"/>
        <v>2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M259" si="49">SUM(E249:E255)</f>
        <v>0</v>
      </c>
      <c r="F259" s="13">
        <f t="shared" si="49"/>
        <v>2</v>
      </c>
      <c r="G259" s="13">
        <f t="shared" si="49"/>
        <v>1</v>
      </c>
      <c r="H259" s="13">
        <f t="shared" si="49"/>
        <v>3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0</v>
      </c>
      <c r="N259" s="13">
        <f>SUM(E259:M259)</f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M262" si="50">E55+E67+E79+E91+E103+E115+E127+E139+E151+E163+E175+E187+E199+E211+E223+E235+E247+E259</f>
        <v>138</v>
      </c>
      <c r="F262" s="19">
        <f t="shared" si="50"/>
        <v>132</v>
      </c>
      <c r="G262" s="19">
        <f t="shared" si="50"/>
        <v>154</v>
      </c>
      <c r="H262" s="19">
        <f t="shared" si="50"/>
        <v>179</v>
      </c>
      <c r="I262" s="19">
        <f t="shared" si="50"/>
        <v>175</v>
      </c>
      <c r="J262" s="19">
        <f t="shared" si="50"/>
        <v>129</v>
      </c>
      <c r="K262" s="19">
        <f t="shared" si="50"/>
        <v>125</v>
      </c>
      <c r="L262" s="19">
        <f t="shared" si="50"/>
        <v>129</v>
      </c>
      <c r="M262" s="19">
        <f t="shared" si="50"/>
        <v>118</v>
      </c>
      <c r="N262" s="13">
        <f t="shared" ref="N262:N264" si="51">SUM(E262:M262)</f>
        <v>1279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61.0</v>
      </c>
      <c r="F263" s="74">
        <v>58.0</v>
      </c>
      <c r="G263" s="74">
        <v>54.0</v>
      </c>
      <c r="H263" s="74">
        <v>23.0</v>
      </c>
      <c r="I263" s="74">
        <v>24.0</v>
      </c>
      <c r="J263" s="74">
        <v>33.0</v>
      </c>
      <c r="K263" s="74">
        <v>29.0</v>
      </c>
      <c r="L263" s="74">
        <v>24.0</v>
      </c>
      <c r="M263" s="74">
        <v>29.0</v>
      </c>
      <c r="N263" s="13">
        <f t="shared" si="51"/>
        <v>335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M264" si="52">SUM(E262:E263)</f>
        <v>199</v>
      </c>
      <c r="F264" s="13">
        <f t="shared" si="52"/>
        <v>190</v>
      </c>
      <c r="G264" s="13">
        <f t="shared" si="52"/>
        <v>208</v>
      </c>
      <c r="H264" s="13">
        <f t="shared" si="52"/>
        <v>202</v>
      </c>
      <c r="I264" s="13">
        <f t="shared" si="52"/>
        <v>199</v>
      </c>
      <c r="J264" s="13">
        <f t="shared" si="52"/>
        <v>162</v>
      </c>
      <c r="K264" s="13">
        <f t="shared" si="52"/>
        <v>154</v>
      </c>
      <c r="L264" s="13">
        <f t="shared" si="52"/>
        <v>153</v>
      </c>
      <c r="M264" s="13">
        <f t="shared" si="52"/>
        <v>147</v>
      </c>
      <c r="N264" s="13">
        <f t="shared" si="51"/>
        <v>1614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13" t="s">
        <v>220</v>
      </c>
      <c r="U13" s="13" t="s">
        <v>221</v>
      </c>
      <c r="V13" s="13" t="s">
        <v>222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74">
        <v>92.0</v>
      </c>
      <c r="F14" s="74">
        <v>63.0</v>
      </c>
      <c r="G14" s="74">
        <v>139.0</v>
      </c>
      <c r="H14" s="74">
        <v>138.0</v>
      </c>
      <c r="I14" s="74">
        <v>122.0</v>
      </c>
      <c r="J14" s="74">
        <v>137.0</v>
      </c>
      <c r="K14" s="74">
        <v>148.0</v>
      </c>
      <c r="L14" s="74">
        <v>125.0</v>
      </c>
      <c r="M14" s="74">
        <v>94.0</v>
      </c>
      <c r="N14" s="74">
        <v>142.0</v>
      </c>
      <c r="O14" s="74">
        <v>121.0</v>
      </c>
      <c r="P14" s="74">
        <v>119.0</v>
      </c>
      <c r="Q14" s="74">
        <v>128.0</v>
      </c>
      <c r="R14" s="74">
        <v>150.0</v>
      </c>
      <c r="S14" s="74">
        <v>132.0</v>
      </c>
      <c r="T14" s="74">
        <v>108.0</v>
      </c>
      <c r="U14" s="74">
        <v>132.0</v>
      </c>
      <c r="V14" s="74">
        <v>144.0</v>
      </c>
      <c r="W14" s="13">
        <f t="shared" ref="W14:W16" si="1">SUM(E14:V14)</f>
        <v>2234</v>
      </c>
    </row>
    <row r="15" ht="12.75" customHeight="1">
      <c r="A15" s="18"/>
      <c r="B15" s="26"/>
      <c r="C15" s="27"/>
      <c r="D15" s="19" t="s">
        <v>13</v>
      </c>
      <c r="E15" s="74">
        <v>84.0</v>
      </c>
      <c r="F15" s="74">
        <v>65.0</v>
      </c>
      <c r="G15" s="74">
        <v>137.0</v>
      </c>
      <c r="H15" s="74">
        <v>129.0</v>
      </c>
      <c r="I15" s="74">
        <v>118.0</v>
      </c>
      <c r="J15" s="74">
        <v>133.0</v>
      </c>
      <c r="K15" s="74">
        <v>135.0</v>
      </c>
      <c r="L15" s="74">
        <v>117.0</v>
      </c>
      <c r="M15" s="74">
        <v>105.0</v>
      </c>
      <c r="N15" s="74">
        <v>132.0</v>
      </c>
      <c r="O15" s="74">
        <v>124.0</v>
      </c>
      <c r="P15" s="74">
        <v>113.0</v>
      </c>
      <c r="Q15" s="74">
        <v>141.0</v>
      </c>
      <c r="R15" s="74">
        <v>135.0</v>
      </c>
      <c r="S15" s="74">
        <v>145.0</v>
      </c>
      <c r="T15" s="74">
        <v>102.0</v>
      </c>
      <c r="U15" s="74">
        <v>126.0</v>
      </c>
      <c r="V15" s="74">
        <v>143.0</v>
      </c>
      <c r="W15" s="13">
        <f t="shared" si="1"/>
        <v>2184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176</v>
      </c>
      <c r="F16" s="13">
        <f t="shared" si="2"/>
        <v>128</v>
      </c>
      <c r="G16" s="13">
        <f t="shared" si="2"/>
        <v>276</v>
      </c>
      <c r="H16" s="13">
        <f t="shared" si="2"/>
        <v>267</v>
      </c>
      <c r="I16" s="13">
        <f t="shared" si="2"/>
        <v>240</v>
      </c>
      <c r="J16" s="13">
        <f t="shared" si="2"/>
        <v>270</v>
      </c>
      <c r="K16" s="13">
        <f t="shared" si="2"/>
        <v>283</v>
      </c>
      <c r="L16" s="13">
        <f t="shared" si="2"/>
        <v>242</v>
      </c>
      <c r="M16" s="13">
        <f t="shared" si="2"/>
        <v>199</v>
      </c>
      <c r="N16" s="13">
        <f t="shared" si="2"/>
        <v>274</v>
      </c>
      <c r="O16" s="13">
        <f t="shared" si="2"/>
        <v>245</v>
      </c>
      <c r="P16" s="13">
        <f t="shared" si="2"/>
        <v>232</v>
      </c>
      <c r="Q16" s="13">
        <f t="shared" si="2"/>
        <v>269</v>
      </c>
      <c r="R16" s="13">
        <f t="shared" si="2"/>
        <v>285</v>
      </c>
      <c r="S16" s="13">
        <f t="shared" si="2"/>
        <v>277</v>
      </c>
      <c r="T16" s="13">
        <f t="shared" si="2"/>
        <v>210</v>
      </c>
      <c r="U16" s="13">
        <f t="shared" si="2"/>
        <v>258</v>
      </c>
      <c r="V16" s="13">
        <f t="shared" si="2"/>
        <v>287</v>
      </c>
      <c r="W16" s="13">
        <f t="shared" si="1"/>
        <v>4418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2"/>
      <c r="O17" s="19"/>
      <c r="P17" s="19"/>
      <c r="Q17" s="19"/>
      <c r="R17" s="19"/>
      <c r="S17" s="82"/>
      <c r="T17" s="19"/>
      <c r="U17" s="19"/>
      <c r="V17" s="19"/>
      <c r="W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2"/>
      <c r="O18" s="19"/>
      <c r="P18" s="19"/>
      <c r="Q18" s="19"/>
      <c r="R18" s="19"/>
      <c r="S18" s="82"/>
      <c r="T18" s="19"/>
      <c r="U18" s="19"/>
      <c r="V18" s="19"/>
      <c r="W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73.0</v>
      </c>
      <c r="F19" s="74">
        <v>46.0</v>
      </c>
      <c r="G19" s="74">
        <v>100.0</v>
      </c>
      <c r="H19" s="74">
        <v>97.0</v>
      </c>
      <c r="I19" s="74">
        <v>89.0</v>
      </c>
      <c r="J19" s="74">
        <v>102.0</v>
      </c>
      <c r="K19" s="74">
        <v>97.0</v>
      </c>
      <c r="L19" s="74">
        <v>94.0</v>
      </c>
      <c r="M19" s="74">
        <v>74.0</v>
      </c>
      <c r="N19" s="74">
        <v>106.0</v>
      </c>
      <c r="O19" s="74">
        <v>90.0</v>
      </c>
      <c r="P19" s="74">
        <v>91.0</v>
      </c>
      <c r="Q19" s="74">
        <v>102.0</v>
      </c>
      <c r="R19" s="74">
        <v>104.0</v>
      </c>
      <c r="S19" s="74">
        <v>101.0</v>
      </c>
      <c r="T19" s="74">
        <v>80.0</v>
      </c>
      <c r="U19" s="74">
        <v>101.0</v>
      </c>
      <c r="V19" s="74">
        <v>106.0</v>
      </c>
      <c r="W19" s="13">
        <f t="shared" ref="W19:W30" si="3">SUM(E19:V19)</f>
        <v>1653</v>
      </c>
    </row>
    <row r="20" ht="12.75" customHeight="1">
      <c r="A20" s="33"/>
      <c r="B20" s="27"/>
      <c r="C20" s="34"/>
      <c r="D20" s="19" t="s">
        <v>13</v>
      </c>
      <c r="E20" s="74">
        <v>68.0</v>
      </c>
      <c r="F20" s="74">
        <v>58.0</v>
      </c>
      <c r="G20" s="74">
        <v>111.0</v>
      </c>
      <c r="H20" s="74">
        <v>111.0</v>
      </c>
      <c r="I20" s="74">
        <v>91.0</v>
      </c>
      <c r="J20" s="74">
        <v>104.0</v>
      </c>
      <c r="K20" s="74">
        <v>100.0</v>
      </c>
      <c r="L20" s="74">
        <v>97.0</v>
      </c>
      <c r="M20" s="74">
        <v>86.0</v>
      </c>
      <c r="N20" s="74">
        <v>117.0</v>
      </c>
      <c r="O20" s="74">
        <v>96.0</v>
      </c>
      <c r="P20" s="74">
        <v>90.0</v>
      </c>
      <c r="Q20" s="74">
        <v>115.0</v>
      </c>
      <c r="R20" s="74">
        <v>111.0</v>
      </c>
      <c r="S20" s="74">
        <v>113.0</v>
      </c>
      <c r="T20" s="74">
        <v>90.0</v>
      </c>
      <c r="U20" s="74">
        <v>108.0</v>
      </c>
      <c r="V20" s="74">
        <v>111.0</v>
      </c>
      <c r="W20" s="13">
        <f t="shared" si="3"/>
        <v>1777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141</v>
      </c>
      <c r="F21" s="13">
        <f t="shared" si="4"/>
        <v>104</v>
      </c>
      <c r="G21" s="13">
        <f t="shared" si="4"/>
        <v>211</v>
      </c>
      <c r="H21" s="13">
        <f t="shared" si="4"/>
        <v>208</v>
      </c>
      <c r="I21" s="13">
        <f t="shared" si="4"/>
        <v>180</v>
      </c>
      <c r="J21" s="13">
        <f t="shared" si="4"/>
        <v>206</v>
      </c>
      <c r="K21" s="13">
        <f t="shared" si="4"/>
        <v>197</v>
      </c>
      <c r="L21" s="13">
        <f t="shared" si="4"/>
        <v>191</v>
      </c>
      <c r="M21" s="13">
        <f t="shared" si="4"/>
        <v>160</v>
      </c>
      <c r="N21" s="13">
        <f t="shared" si="4"/>
        <v>223</v>
      </c>
      <c r="O21" s="13">
        <f t="shared" si="4"/>
        <v>186</v>
      </c>
      <c r="P21" s="13">
        <f t="shared" si="4"/>
        <v>181</v>
      </c>
      <c r="Q21" s="13">
        <f t="shared" si="4"/>
        <v>217</v>
      </c>
      <c r="R21" s="13">
        <f t="shared" si="4"/>
        <v>215</v>
      </c>
      <c r="S21" s="13">
        <f t="shared" si="4"/>
        <v>214</v>
      </c>
      <c r="T21" s="13">
        <f t="shared" si="4"/>
        <v>170</v>
      </c>
      <c r="U21" s="13">
        <f t="shared" si="4"/>
        <v>209</v>
      </c>
      <c r="V21" s="13">
        <f t="shared" si="4"/>
        <v>217</v>
      </c>
      <c r="W21" s="13">
        <f t="shared" si="3"/>
        <v>3430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1.0</v>
      </c>
      <c r="U22" s="74">
        <v>0.0</v>
      </c>
      <c r="V22" s="74">
        <v>0.0</v>
      </c>
      <c r="W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2.0</v>
      </c>
      <c r="H25" s="74">
        <v>0.0</v>
      </c>
      <c r="I25" s="74">
        <v>1.0</v>
      </c>
      <c r="J25" s="74">
        <v>0.0</v>
      </c>
      <c r="K25" s="74">
        <v>0.0</v>
      </c>
      <c r="L25" s="74">
        <v>0.0</v>
      </c>
      <c r="M25" s="74">
        <v>0.0</v>
      </c>
      <c r="N25" s="74">
        <v>2.0</v>
      </c>
      <c r="O25" s="74">
        <v>1.0</v>
      </c>
      <c r="P25" s="74">
        <v>0.0</v>
      </c>
      <c r="Q25" s="74">
        <v>0.0</v>
      </c>
      <c r="R25" s="74">
        <v>1.0</v>
      </c>
      <c r="S25" s="74">
        <v>3.0</v>
      </c>
      <c r="T25" s="74">
        <v>0.0</v>
      </c>
      <c r="U25" s="74">
        <v>0.0</v>
      </c>
      <c r="V25" s="74">
        <v>1.0</v>
      </c>
      <c r="W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1.0</v>
      </c>
      <c r="H26" s="74">
        <v>0.0</v>
      </c>
      <c r="I26" s="74">
        <v>1.0</v>
      </c>
      <c r="J26" s="74">
        <v>0.0</v>
      </c>
      <c r="K26" s="74">
        <v>0.0</v>
      </c>
      <c r="L26" s="74">
        <v>0.0</v>
      </c>
      <c r="M26" s="74">
        <v>0.0</v>
      </c>
      <c r="N26" s="74">
        <v>1.0</v>
      </c>
      <c r="O26" s="74">
        <v>0.0</v>
      </c>
      <c r="P26" s="74">
        <v>0.0</v>
      </c>
      <c r="Q26" s="74">
        <v>0.0</v>
      </c>
      <c r="R26" s="74">
        <v>0.0</v>
      </c>
      <c r="S26" s="74">
        <v>1.0</v>
      </c>
      <c r="T26" s="74">
        <v>0.0</v>
      </c>
      <c r="U26" s="74">
        <v>1.0</v>
      </c>
      <c r="V26" s="74">
        <v>0.0</v>
      </c>
      <c r="W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4</v>
      </c>
      <c r="T27" s="13">
        <f t="shared" si="6"/>
        <v>0</v>
      </c>
      <c r="U27" s="13">
        <f t="shared" si="6"/>
        <v>1</v>
      </c>
      <c r="V27" s="13">
        <f t="shared" si="6"/>
        <v>1</v>
      </c>
      <c r="W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73</v>
      </c>
      <c r="F28" s="13">
        <f t="shared" si="7"/>
        <v>46</v>
      </c>
      <c r="G28" s="13">
        <f t="shared" si="7"/>
        <v>102</v>
      </c>
      <c r="H28" s="13">
        <f t="shared" si="7"/>
        <v>97</v>
      </c>
      <c r="I28" s="13">
        <f t="shared" si="7"/>
        <v>90</v>
      </c>
      <c r="J28" s="13">
        <f t="shared" si="7"/>
        <v>102</v>
      </c>
      <c r="K28" s="13">
        <f t="shared" si="7"/>
        <v>97</v>
      </c>
      <c r="L28" s="13">
        <f t="shared" si="7"/>
        <v>94</v>
      </c>
      <c r="M28" s="13">
        <f t="shared" si="7"/>
        <v>74</v>
      </c>
      <c r="N28" s="13">
        <f t="shared" si="7"/>
        <v>108</v>
      </c>
      <c r="O28" s="13">
        <f t="shared" si="7"/>
        <v>91</v>
      </c>
      <c r="P28" s="13">
        <f t="shared" si="7"/>
        <v>91</v>
      </c>
      <c r="Q28" s="13">
        <f t="shared" si="7"/>
        <v>102</v>
      </c>
      <c r="R28" s="13">
        <f t="shared" si="7"/>
        <v>105</v>
      </c>
      <c r="S28" s="13">
        <f t="shared" si="7"/>
        <v>104</v>
      </c>
      <c r="T28" s="13">
        <f t="shared" si="7"/>
        <v>81</v>
      </c>
      <c r="U28" s="13">
        <f t="shared" si="7"/>
        <v>101</v>
      </c>
      <c r="V28" s="13">
        <f t="shared" si="7"/>
        <v>107</v>
      </c>
      <c r="W28" s="13">
        <f t="shared" si="3"/>
        <v>1665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68</v>
      </c>
      <c r="F29" s="13">
        <f t="shared" si="8"/>
        <v>58</v>
      </c>
      <c r="G29" s="13">
        <f t="shared" si="8"/>
        <v>112</v>
      </c>
      <c r="H29" s="13">
        <f t="shared" si="8"/>
        <v>111</v>
      </c>
      <c r="I29" s="13">
        <f t="shared" si="8"/>
        <v>92</v>
      </c>
      <c r="J29" s="13">
        <f t="shared" si="8"/>
        <v>104</v>
      </c>
      <c r="K29" s="13">
        <f t="shared" si="8"/>
        <v>100</v>
      </c>
      <c r="L29" s="13">
        <f t="shared" si="8"/>
        <v>97</v>
      </c>
      <c r="M29" s="13">
        <f t="shared" si="8"/>
        <v>86</v>
      </c>
      <c r="N29" s="13">
        <f t="shared" si="8"/>
        <v>118</v>
      </c>
      <c r="O29" s="13">
        <f t="shared" si="8"/>
        <v>96</v>
      </c>
      <c r="P29" s="13">
        <f t="shared" si="8"/>
        <v>90</v>
      </c>
      <c r="Q29" s="13">
        <f t="shared" si="8"/>
        <v>115</v>
      </c>
      <c r="R29" s="13">
        <f t="shared" si="8"/>
        <v>111</v>
      </c>
      <c r="S29" s="13">
        <f t="shared" si="8"/>
        <v>114</v>
      </c>
      <c r="T29" s="13">
        <f t="shared" si="8"/>
        <v>90</v>
      </c>
      <c r="U29" s="13">
        <f t="shared" si="8"/>
        <v>109</v>
      </c>
      <c r="V29" s="13">
        <f t="shared" si="8"/>
        <v>111</v>
      </c>
      <c r="W29" s="13">
        <f t="shared" si="3"/>
        <v>1782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141</v>
      </c>
      <c r="F30" s="13">
        <f t="shared" si="9"/>
        <v>104</v>
      </c>
      <c r="G30" s="13">
        <f t="shared" si="9"/>
        <v>214</v>
      </c>
      <c r="H30" s="13">
        <f t="shared" si="9"/>
        <v>208</v>
      </c>
      <c r="I30" s="13">
        <f t="shared" si="9"/>
        <v>182</v>
      </c>
      <c r="J30" s="13">
        <f t="shared" si="9"/>
        <v>206</v>
      </c>
      <c r="K30" s="13">
        <f t="shared" si="9"/>
        <v>197</v>
      </c>
      <c r="L30" s="13">
        <f t="shared" si="9"/>
        <v>191</v>
      </c>
      <c r="M30" s="13">
        <f t="shared" si="9"/>
        <v>160</v>
      </c>
      <c r="N30" s="13">
        <f t="shared" si="9"/>
        <v>226</v>
      </c>
      <c r="O30" s="13">
        <f t="shared" si="9"/>
        <v>187</v>
      </c>
      <c r="P30" s="13">
        <f t="shared" si="9"/>
        <v>181</v>
      </c>
      <c r="Q30" s="13">
        <f t="shared" si="9"/>
        <v>217</v>
      </c>
      <c r="R30" s="13">
        <f t="shared" si="9"/>
        <v>216</v>
      </c>
      <c r="S30" s="13">
        <f t="shared" si="9"/>
        <v>218</v>
      </c>
      <c r="T30" s="13">
        <f t="shared" si="9"/>
        <v>171</v>
      </c>
      <c r="U30" s="13">
        <f t="shared" si="9"/>
        <v>210</v>
      </c>
      <c r="V30" s="13">
        <f t="shared" si="9"/>
        <v>218</v>
      </c>
      <c r="W30" s="13">
        <f t="shared" si="3"/>
        <v>3447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2"/>
      <c r="O31" s="19"/>
      <c r="P31" s="19"/>
      <c r="Q31" s="19"/>
      <c r="R31" s="19"/>
      <c r="S31" s="82"/>
      <c r="T31" s="19"/>
      <c r="U31" s="19"/>
      <c r="V31" s="19"/>
      <c r="W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3"/>
      <c r="O32" s="13"/>
      <c r="P32" s="13"/>
      <c r="Q32" s="13"/>
      <c r="R32" s="13"/>
      <c r="S32" s="83"/>
      <c r="T32" s="13"/>
      <c r="U32" s="13"/>
      <c r="V32" s="13"/>
      <c r="W32" s="75"/>
    </row>
    <row r="33" ht="12.75" customHeight="1">
      <c r="A33" s="19">
        <v>1.0</v>
      </c>
      <c r="B33" s="20" t="s">
        <v>27</v>
      </c>
      <c r="C33" s="15"/>
      <c r="D33" s="16"/>
      <c r="E33" s="74">
        <v>180.0</v>
      </c>
      <c r="F33" s="74">
        <v>131.0</v>
      </c>
      <c r="G33" s="74">
        <v>282.0</v>
      </c>
      <c r="H33" s="74">
        <v>273.0</v>
      </c>
      <c r="I33" s="74">
        <v>245.0</v>
      </c>
      <c r="J33" s="74">
        <v>276.0</v>
      </c>
      <c r="K33" s="74">
        <v>289.0</v>
      </c>
      <c r="L33" s="74">
        <v>247.0</v>
      </c>
      <c r="M33" s="74">
        <v>202.0</v>
      </c>
      <c r="N33" s="74">
        <v>280.0</v>
      </c>
      <c r="O33" s="74">
        <v>250.0</v>
      </c>
      <c r="P33" s="74">
        <v>237.0</v>
      </c>
      <c r="Q33" s="74">
        <v>275.0</v>
      </c>
      <c r="R33" s="74">
        <v>291.0</v>
      </c>
      <c r="S33" s="74">
        <v>284.0</v>
      </c>
      <c r="T33" s="74">
        <v>216.0</v>
      </c>
      <c r="U33" s="74">
        <v>264.0</v>
      </c>
      <c r="V33" s="74">
        <v>291.0</v>
      </c>
      <c r="W33" s="13">
        <f t="shared" ref="W33:W36" si="10">SUM(E33:V33)</f>
        <v>4513</v>
      </c>
    </row>
    <row r="34" ht="12.75" customHeight="1">
      <c r="A34" s="19">
        <v>2.0</v>
      </c>
      <c r="B34" s="20" t="s">
        <v>28</v>
      </c>
      <c r="C34" s="15"/>
      <c r="D34" s="16"/>
      <c r="E34" s="76">
        <v>141.0</v>
      </c>
      <c r="F34" s="76">
        <v>104.0</v>
      </c>
      <c r="G34" s="76">
        <v>214.0</v>
      </c>
      <c r="H34" s="76">
        <v>208.0</v>
      </c>
      <c r="I34" s="76">
        <v>182.0</v>
      </c>
      <c r="J34" s="76">
        <v>206.0</v>
      </c>
      <c r="K34" s="76">
        <v>197.0</v>
      </c>
      <c r="L34" s="76">
        <v>191.0</v>
      </c>
      <c r="M34" s="76">
        <v>160.0</v>
      </c>
      <c r="N34" s="76">
        <v>226.0</v>
      </c>
      <c r="O34" s="76">
        <v>187.0</v>
      </c>
      <c r="P34" s="76">
        <v>181.0</v>
      </c>
      <c r="Q34" s="76">
        <v>217.0</v>
      </c>
      <c r="R34" s="76">
        <v>216.0</v>
      </c>
      <c r="S34" s="76">
        <v>218.0</v>
      </c>
      <c r="T34" s="76">
        <v>171.0</v>
      </c>
      <c r="U34" s="76">
        <v>210.0</v>
      </c>
      <c r="V34" s="76">
        <v>218.0</v>
      </c>
      <c r="W34" s="13">
        <f t="shared" si="10"/>
        <v>3447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1.0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1.0</v>
      </c>
      <c r="W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39</v>
      </c>
      <c r="F36" s="13">
        <f t="shared" si="11"/>
        <v>27</v>
      </c>
      <c r="G36" s="13">
        <f t="shared" si="11"/>
        <v>68</v>
      </c>
      <c r="H36" s="13">
        <f t="shared" si="11"/>
        <v>65</v>
      </c>
      <c r="I36" s="13">
        <f t="shared" si="11"/>
        <v>63</v>
      </c>
      <c r="J36" s="13">
        <f t="shared" si="11"/>
        <v>70</v>
      </c>
      <c r="K36" s="13">
        <f t="shared" si="11"/>
        <v>91</v>
      </c>
      <c r="L36" s="13">
        <f t="shared" si="11"/>
        <v>56</v>
      </c>
      <c r="M36" s="13">
        <f t="shared" si="11"/>
        <v>42</v>
      </c>
      <c r="N36" s="13">
        <f t="shared" si="11"/>
        <v>54</v>
      </c>
      <c r="O36" s="13">
        <f t="shared" si="11"/>
        <v>63</v>
      </c>
      <c r="P36" s="13">
        <f t="shared" si="11"/>
        <v>56</v>
      </c>
      <c r="Q36" s="13">
        <f t="shared" si="11"/>
        <v>58</v>
      </c>
      <c r="R36" s="13">
        <f t="shared" si="11"/>
        <v>75</v>
      </c>
      <c r="S36" s="13">
        <f t="shared" si="11"/>
        <v>66</v>
      </c>
      <c r="T36" s="13">
        <f t="shared" si="11"/>
        <v>45</v>
      </c>
      <c r="U36" s="13">
        <f t="shared" si="11"/>
        <v>54</v>
      </c>
      <c r="V36" s="13">
        <f t="shared" si="11"/>
        <v>72</v>
      </c>
      <c r="W36" s="13">
        <f t="shared" si="10"/>
        <v>1064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82"/>
      <c r="O37" s="19"/>
      <c r="P37" s="19"/>
      <c r="Q37" s="19"/>
      <c r="R37" s="19"/>
      <c r="S37" s="82"/>
      <c r="T37" s="19"/>
      <c r="U37" s="19"/>
      <c r="V37" s="19"/>
      <c r="W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3"/>
      <c r="O38" s="13"/>
      <c r="P38" s="13"/>
      <c r="Q38" s="13"/>
      <c r="R38" s="13"/>
      <c r="S38" s="83"/>
      <c r="T38" s="13"/>
      <c r="U38" s="13"/>
      <c r="V38" s="13"/>
      <c r="W38" s="75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1.0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1.0</v>
      </c>
      <c r="O39" s="74">
        <v>0.0</v>
      </c>
      <c r="P39" s="74">
        <v>0.0</v>
      </c>
      <c r="Q39" s="74">
        <v>0.0</v>
      </c>
      <c r="R39" s="74">
        <v>1.0</v>
      </c>
      <c r="S39" s="74">
        <v>1.0</v>
      </c>
      <c r="T39" s="74">
        <v>1.0</v>
      </c>
      <c r="U39" s="74">
        <v>0.0</v>
      </c>
      <c r="V39" s="74">
        <v>0.0</v>
      </c>
      <c r="W39" s="13">
        <f t="shared" ref="W39:W41" si="12">SUM(E39:V39)</f>
        <v>5</v>
      </c>
    </row>
    <row r="40" ht="12.75" customHeight="1">
      <c r="A40" s="33"/>
      <c r="C40" s="27"/>
      <c r="D40" s="19" t="s">
        <v>13</v>
      </c>
      <c r="E40" s="74">
        <v>0.0</v>
      </c>
      <c r="F40" s="74">
        <v>2.0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1.0</v>
      </c>
      <c r="N40" s="74">
        <v>0.0</v>
      </c>
      <c r="O40" s="74">
        <v>0.0</v>
      </c>
      <c r="P40" s="74">
        <v>0.0</v>
      </c>
      <c r="Q40" s="74">
        <v>0.0</v>
      </c>
      <c r="R40" s="74">
        <v>1.0</v>
      </c>
      <c r="S40" s="74">
        <v>0.0</v>
      </c>
      <c r="T40" s="74">
        <v>1.0</v>
      </c>
      <c r="U40" s="74">
        <v>0.0</v>
      </c>
      <c r="V40" s="74">
        <v>0.0</v>
      </c>
      <c r="W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82"/>
      <c r="O42" s="19"/>
      <c r="P42" s="19"/>
      <c r="Q42" s="19"/>
      <c r="R42" s="19"/>
      <c r="S42" s="82"/>
      <c r="T42" s="19"/>
      <c r="U42" s="19"/>
      <c r="V42" s="19"/>
      <c r="W42" s="13"/>
    </row>
    <row r="43" ht="12.75" customHeight="1">
      <c r="A43" s="42" t="s">
        <v>34</v>
      </c>
      <c r="B43" s="86" t="s">
        <v>223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83"/>
      <c r="O43" s="13"/>
      <c r="P43" s="13"/>
      <c r="Q43" s="13"/>
      <c r="R43" s="13"/>
      <c r="S43" s="83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82"/>
      <c r="O44" s="19"/>
      <c r="P44" s="19"/>
      <c r="Q44" s="19"/>
      <c r="R44" s="19"/>
      <c r="S44" s="82"/>
      <c r="T44" s="19"/>
      <c r="U44" s="19"/>
      <c r="V44" s="19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4.0</v>
      </c>
      <c r="F45" s="74">
        <v>8.0</v>
      </c>
      <c r="G45" s="74">
        <v>13.0</v>
      </c>
      <c r="H45" s="74">
        <v>7.0</v>
      </c>
      <c r="I45" s="74">
        <v>9.0</v>
      </c>
      <c r="J45" s="74">
        <v>12.0</v>
      </c>
      <c r="K45" s="74">
        <v>8.0</v>
      </c>
      <c r="L45" s="74">
        <v>8.0</v>
      </c>
      <c r="M45" s="74">
        <v>8.0</v>
      </c>
      <c r="N45" s="74">
        <v>21.0</v>
      </c>
      <c r="O45" s="74">
        <v>14.0</v>
      </c>
      <c r="P45" s="74">
        <v>15.0</v>
      </c>
      <c r="Q45" s="74">
        <v>9.0</v>
      </c>
      <c r="R45" s="74">
        <v>12.0</v>
      </c>
      <c r="S45" s="74">
        <v>4.0</v>
      </c>
      <c r="T45" s="74">
        <v>14.0</v>
      </c>
      <c r="U45" s="74">
        <v>20.0</v>
      </c>
      <c r="V45" s="74">
        <v>11.0</v>
      </c>
      <c r="W45" s="13">
        <f t="shared" ref="W45:W55" si="14">SUM(E45:V45)</f>
        <v>197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12.0</v>
      </c>
      <c r="F46" s="74">
        <v>25.0</v>
      </c>
      <c r="G46" s="74">
        <v>32.0</v>
      </c>
      <c r="H46" s="74">
        <v>23.0</v>
      </c>
      <c r="I46" s="74">
        <v>13.0</v>
      </c>
      <c r="J46" s="74">
        <v>14.0</v>
      </c>
      <c r="K46" s="74">
        <v>31.0</v>
      </c>
      <c r="L46" s="74">
        <v>24.0</v>
      </c>
      <c r="M46" s="74">
        <v>20.0</v>
      </c>
      <c r="N46" s="74">
        <v>37.0</v>
      </c>
      <c r="O46" s="74">
        <v>21.0</v>
      </c>
      <c r="P46" s="74">
        <v>23.0</v>
      </c>
      <c r="Q46" s="74">
        <v>15.0</v>
      </c>
      <c r="R46" s="74">
        <v>10.0</v>
      </c>
      <c r="S46" s="74">
        <v>28.0</v>
      </c>
      <c r="T46" s="74">
        <v>19.0</v>
      </c>
      <c r="U46" s="74">
        <v>19.0</v>
      </c>
      <c r="V46" s="74">
        <v>16.0</v>
      </c>
      <c r="W46" s="13">
        <f t="shared" si="14"/>
        <v>382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0.0</v>
      </c>
      <c r="G47" s="74">
        <v>0.0</v>
      </c>
      <c r="H47" s="74">
        <v>3.0</v>
      </c>
      <c r="I47" s="74">
        <v>0.0</v>
      </c>
      <c r="J47" s="74">
        <v>2.0</v>
      </c>
      <c r="K47" s="74">
        <v>2.0</v>
      </c>
      <c r="L47" s="74">
        <v>1.0</v>
      </c>
      <c r="M47" s="74">
        <v>1.0</v>
      </c>
      <c r="N47" s="74">
        <v>4.0</v>
      </c>
      <c r="O47" s="74">
        <v>2.0</v>
      </c>
      <c r="P47" s="74">
        <v>1.0</v>
      </c>
      <c r="Q47" s="74">
        <v>3.0</v>
      </c>
      <c r="R47" s="74">
        <v>2.0</v>
      </c>
      <c r="S47" s="74">
        <v>1.0</v>
      </c>
      <c r="T47" s="74">
        <v>1.0</v>
      </c>
      <c r="U47" s="74">
        <v>0.0</v>
      </c>
      <c r="V47" s="74">
        <v>1.0</v>
      </c>
      <c r="W47" s="13">
        <f t="shared" si="14"/>
        <v>24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2.0</v>
      </c>
      <c r="H48" s="74">
        <v>1.0</v>
      </c>
      <c r="I48" s="74">
        <v>1.0</v>
      </c>
      <c r="J48" s="74">
        <v>0.0</v>
      </c>
      <c r="K48" s="74">
        <v>1.0</v>
      </c>
      <c r="L48" s="74">
        <v>0.0</v>
      </c>
      <c r="M48" s="74">
        <v>3.0</v>
      </c>
      <c r="N48" s="74">
        <v>3.0</v>
      </c>
      <c r="O48" s="74">
        <v>2.0</v>
      </c>
      <c r="P48" s="74">
        <v>1.0</v>
      </c>
      <c r="Q48" s="74">
        <v>1.0</v>
      </c>
      <c r="R48" s="74">
        <v>3.0</v>
      </c>
      <c r="S48" s="74">
        <v>0.0</v>
      </c>
      <c r="T48" s="74">
        <v>0.0</v>
      </c>
      <c r="U48" s="74">
        <v>3.0</v>
      </c>
      <c r="V48" s="74">
        <v>0.0</v>
      </c>
      <c r="W48" s="13">
        <f t="shared" si="14"/>
        <v>21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0.0</v>
      </c>
      <c r="G49" s="74">
        <v>1.0</v>
      </c>
      <c r="H49" s="74">
        <v>1.0</v>
      </c>
      <c r="I49" s="74">
        <v>0.0</v>
      </c>
      <c r="J49" s="74">
        <v>0.0</v>
      </c>
      <c r="K49" s="74">
        <v>2.0</v>
      </c>
      <c r="L49" s="74">
        <v>1.0</v>
      </c>
      <c r="M49" s="74">
        <v>1.0</v>
      </c>
      <c r="N49" s="74">
        <v>1.0</v>
      </c>
      <c r="O49" s="74">
        <v>1.0</v>
      </c>
      <c r="P49" s="74">
        <v>1.0</v>
      </c>
      <c r="Q49" s="74">
        <v>0.0</v>
      </c>
      <c r="R49" s="74">
        <v>2.0</v>
      </c>
      <c r="S49" s="74">
        <v>0.0</v>
      </c>
      <c r="T49" s="74">
        <v>0.0</v>
      </c>
      <c r="U49" s="74">
        <v>0.0</v>
      </c>
      <c r="V49" s="74">
        <v>0.0</v>
      </c>
      <c r="W49" s="13">
        <f t="shared" si="14"/>
        <v>11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1.0</v>
      </c>
      <c r="S50" s="74">
        <v>1.0</v>
      </c>
      <c r="T50" s="74">
        <v>0.0</v>
      </c>
      <c r="U50" s="74">
        <v>0.0</v>
      </c>
      <c r="V50" s="74">
        <v>0.0</v>
      </c>
      <c r="W50" s="13">
        <f t="shared" si="14"/>
        <v>3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1.0</v>
      </c>
      <c r="L51" s="74">
        <v>0.0</v>
      </c>
      <c r="M51" s="74">
        <v>1.0</v>
      </c>
      <c r="N51" s="74">
        <v>1.0</v>
      </c>
      <c r="O51" s="74">
        <v>0.0</v>
      </c>
      <c r="P51" s="74">
        <v>1.0</v>
      </c>
      <c r="Q51" s="74">
        <v>0.0</v>
      </c>
      <c r="R51" s="74">
        <v>0.0</v>
      </c>
      <c r="S51" s="74">
        <v>0.0</v>
      </c>
      <c r="T51" s="74">
        <v>0.0</v>
      </c>
      <c r="U51" s="74">
        <v>2.0</v>
      </c>
      <c r="V51" s="74">
        <v>0.0</v>
      </c>
      <c r="W51" s="13">
        <f t="shared" si="14"/>
        <v>6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1.0</v>
      </c>
      <c r="O52" s="74">
        <v>0.0</v>
      </c>
      <c r="P52" s="74">
        <v>0.0</v>
      </c>
      <c r="Q52" s="74">
        <v>0.0</v>
      </c>
      <c r="R52" s="74">
        <v>1.0</v>
      </c>
      <c r="S52" s="74">
        <v>1.0</v>
      </c>
      <c r="T52" s="74">
        <v>1.0</v>
      </c>
      <c r="U52" s="74">
        <v>0.0</v>
      </c>
      <c r="V52" s="74">
        <v>1.0</v>
      </c>
      <c r="W52" s="13">
        <f t="shared" si="14"/>
        <v>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1.0</v>
      </c>
      <c r="I54" s="74">
        <v>0.0</v>
      </c>
      <c r="J54" s="74">
        <v>0.0</v>
      </c>
      <c r="K54" s="74">
        <v>0.0</v>
      </c>
      <c r="L54" s="74">
        <v>0.0</v>
      </c>
      <c r="M54" s="74">
        <v>1.0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1.0</v>
      </c>
      <c r="U54" s="74">
        <v>2.0</v>
      </c>
      <c r="V54" s="74">
        <v>1.0</v>
      </c>
      <c r="W54" s="13">
        <f t="shared" si="14"/>
        <v>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V55" si="15">SUM(E45:E54)</f>
        <v>16</v>
      </c>
      <c r="F55" s="13">
        <f t="shared" si="15"/>
        <v>33</v>
      </c>
      <c r="G55" s="13">
        <f t="shared" si="15"/>
        <v>48</v>
      </c>
      <c r="H55" s="13">
        <f t="shared" si="15"/>
        <v>36</v>
      </c>
      <c r="I55" s="13">
        <f t="shared" si="15"/>
        <v>23</v>
      </c>
      <c r="J55" s="13">
        <f t="shared" si="15"/>
        <v>28</v>
      </c>
      <c r="K55" s="13">
        <f t="shared" si="15"/>
        <v>46</v>
      </c>
      <c r="L55" s="13">
        <f t="shared" si="15"/>
        <v>34</v>
      </c>
      <c r="M55" s="13">
        <f t="shared" si="15"/>
        <v>35</v>
      </c>
      <c r="N55" s="13">
        <f t="shared" si="15"/>
        <v>68</v>
      </c>
      <c r="O55" s="13">
        <f t="shared" si="15"/>
        <v>40</v>
      </c>
      <c r="P55" s="13">
        <f t="shared" si="15"/>
        <v>42</v>
      </c>
      <c r="Q55" s="13">
        <f t="shared" si="15"/>
        <v>28</v>
      </c>
      <c r="R55" s="13">
        <f t="shared" si="15"/>
        <v>31</v>
      </c>
      <c r="S55" s="13">
        <f t="shared" si="15"/>
        <v>35</v>
      </c>
      <c r="T55" s="13">
        <f t="shared" si="15"/>
        <v>36</v>
      </c>
      <c r="U55" s="13">
        <f t="shared" si="15"/>
        <v>46</v>
      </c>
      <c r="V55" s="13">
        <f t="shared" si="15"/>
        <v>30</v>
      </c>
      <c r="W55" s="13">
        <f t="shared" si="14"/>
        <v>655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6.0</v>
      </c>
      <c r="F57" s="74">
        <v>11.0</v>
      </c>
      <c r="G57" s="74">
        <v>16.0</v>
      </c>
      <c r="H57" s="74">
        <v>25.0</v>
      </c>
      <c r="I57" s="74">
        <v>19.0</v>
      </c>
      <c r="J57" s="74">
        <v>9.0</v>
      </c>
      <c r="K57" s="74">
        <v>10.0</v>
      </c>
      <c r="L57" s="74">
        <v>11.0</v>
      </c>
      <c r="M57" s="74">
        <v>11.0</v>
      </c>
      <c r="N57" s="74">
        <v>9.0</v>
      </c>
      <c r="O57" s="74">
        <v>10.0</v>
      </c>
      <c r="P57" s="74">
        <v>11.0</v>
      </c>
      <c r="Q57" s="74">
        <v>18.0</v>
      </c>
      <c r="R57" s="74">
        <v>18.0</v>
      </c>
      <c r="S57" s="74">
        <v>9.0</v>
      </c>
      <c r="T57" s="74">
        <v>11.0</v>
      </c>
      <c r="U57" s="74">
        <v>14.0</v>
      </c>
      <c r="V57" s="74">
        <v>24.0</v>
      </c>
      <c r="W57" s="13">
        <f t="shared" ref="W57:W67" si="16">SUM(E57:V57)</f>
        <v>242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4.0</v>
      </c>
      <c r="F58" s="74">
        <v>3.0</v>
      </c>
      <c r="G58" s="74">
        <v>3.0</v>
      </c>
      <c r="H58" s="74">
        <v>1.0</v>
      </c>
      <c r="I58" s="74">
        <v>8.0</v>
      </c>
      <c r="J58" s="74">
        <v>1.0</v>
      </c>
      <c r="K58" s="74">
        <v>5.0</v>
      </c>
      <c r="L58" s="74">
        <v>1.0</v>
      </c>
      <c r="M58" s="74">
        <v>5.0</v>
      </c>
      <c r="N58" s="74">
        <v>10.0</v>
      </c>
      <c r="O58" s="74">
        <v>7.0</v>
      </c>
      <c r="P58" s="74">
        <v>10.0</v>
      </c>
      <c r="Q58" s="74">
        <v>15.0</v>
      </c>
      <c r="R58" s="74">
        <v>14.0</v>
      </c>
      <c r="S58" s="74">
        <v>5.0</v>
      </c>
      <c r="T58" s="74">
        <v>5.0</v>
      </c>
      <c r="U58" s="74">
        <v>4.0</v>
      </c>
      <c r="V58" s="74">
        <v>6.0</v>
      </c>
      <c r="W58" s="13">
        <f t="shared" si="16"/>
        <v>107</v>
      </c>
    </row>
    <row r="59" ht="12.75" customHeight="1">
      <c r="A59" s="18"/>
      <c r="B59" s="55"/>
      <c r="C59" s="50" t="s">
        <v>52</v>
      </c>
      <c r="D59" s="56"/>
      <c r="E59" s="74">
        <v>3.0</v>
      </c>
      <c r="F59" s="74">
        <v>4.0</v>
      </c>
      <c r="G59" s="74">
        <v>10.0</v>
      </c>
      <c r="H59" s="74">
        <v>13.0</v>
      </c>
      <c r="I59" s="74">
        <v>9.0</v>
      </c>
      <c r="J59" s="74">
        <v>14.0</v>
      </c>
      <c r="K59" s="74">
        <v>16.0</v>
      </c>
      <c r="L59" s="74">
        <v>8.0</v>
      </c>
      <c r="M59" s="74">
        <v>4.0</v>
      </c>
      <c r="N59" s="74">
        <v>13.0</v>
      </c>
      <c r="O59" s="74">
        <v>12.0</v>
      </c>
      <c r="P59" s="74">
        <v>32.0</v>
      </c>
      <c r="Q59" s="74">
        <v>20.0</v>
      </c>
      <c r="R59" s="74">
        <v>27.0</v>
      </c>
      <c r="S59" s="74">
        <v>17.0</v>
      </c>
      <c r="T59" s="74">
        <v>7.0</v>
      </c>
      <c r="U59" s="74">
        <v>16.0</v>
      </c>
      <c r="V59" s="74">
        <v>8.0</v>
      </c>
      <c r="W59" s="13">
        <f t="shared" si="16"/>
        <v>233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3.0</v>
      </c>
      <c r="H60" s="74">
        <v>1.0</v>
      </c>
      <c r="I60" s="74">
        <v>1.0</v>
      </c>
      <c r="J60" s="74">
        <v>0.0</v>
      </c>
      <c r="K60" s="74">
        <v>2.0</v>
      </c>
      <c r="L60" s="74">
        <v>0.0</v>
      </c>
      <c r="M60" s="74">
        <v>1.0</v>
      </c>
      <c r="N60" s="74">
        <v>3.0</v>
      </c>
      <c r="O60" s="74">
        <v>3.0</v>
      </c>
      <c r="P60" s="74">
        <v>4.0</v>
      </c>
      <c r="Q60" s="74">
        <v>2.0</v>
      </c>
      <c r="R60" s="74">
        <v>4.0</v>
      </c>
      <c r="S60" s="74">
        <v>2.0</v>
      </c>
      <c r="T60" s="74">
        <v>2.0</v>
      </c>
      <c r="U60" s="74">
        <v>1.0</v>
      </c>
      <c r="V60" s="74">
        <v>0.0</v>
      </c>
      <c r="W60" s="13">
        <f t="shared" si="16"/>
        <v>31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0.0</v>
      </c>
      <c r="G61" s="74">
        <v>0.0</v>
      </c>
      <c r="H61" s="74">
        <v>1.0</v>
      </c>
      <c r="I61" s="74">
        <v>1.0</v>
      </c>
      <c r="J61" s="74">
        <v>2.0</v>
      </c>
      <c r="K61" s="74">
        <v>0.0</v>
      </c>
      <c r="L61" s="74">
        <v>2.0</v>
      </c>
      <c r="M61" s="74">
        <v>2.0</v>
      </c>
      <c r="N61" s="74">
        <v>1.0</v>
      </c>
      <c r="O61" s="74">
        <v>2.0</v>
      </c>
      <c r="P61" s="74">
        <v>3.0</v>
      </c>
      <c r="Q61" s="74">
        <v>1.0</v>
      </c>
      <c r="R61" s="74">
        <v>1.0</v>
      </c>
      <c r="S61" s="74">
        <v>1.0</v>
      </c>
      <c r="T61" s="74">
        <v>0.0</v>
      </c>
      <c r="U61" s="74">
        <v>0.0</v>
      </c>
      <c r="V61" s="74">
        <v>0.0</v>
      </c>
      <c r="W61" s="13">
        <f t="shared" si="16"/>
        <v>18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1.0</v>
      </c>
      <c r="H62" s="74">
        <v>0.0</v>
      </c>
      <c r="I62" s="74">
        <v>1.0</v>
      </c>
      <c r="J62" s="74">
        <v>0.0</v>
      </c>
      <c r="K62" s="74">
        <v>0.0</v>
      </c>
      <c r="L62" s="74">
        <v>0.0</v>
      </c>
      <c r="M62" s="74">
        <v>1.0</v>
      </c>
      <c r="N62" s="74">
        <v>0.0</v>
      </c>
      <c r="O62" s="74">
        <v>0.0</v>
      </c>
      <c r="P62" s="74">
        <v>1.0</v>
      </c>
      <c r="Q62" s="74">
        <v>2.0</v>
      </c>
      <c r="R62" s="74">
        <v>1.0</v>
      </c>
      <c r="S62" s="74">
        <v>1.0</v>
      </c>
      <c r="T62" s="74">
        <v>1.0</v>
      </c>
      <c r="U62" s="74">
        <v>1.0</v>
      </c>
      <c r="V62" s="74">
        <v>2.0</v>
      </c>
      <c r="W62" s="13">
        <f t="shared" si="16"/>
        <v>13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1.0</v>
      </c>
      <c r="H63" s="74">
        <v>2.0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1.0</v>
      </c>
      <c r="P63" s="74">
        <v>0.0</v>
      </c>
      <c r="Q63" s="74">
        <v>1.0</v>
      </c>
      <c r="R63" s="74">
        <v>0.0</v>
      </c>
      <c r="S63" s="74">
        <v>0.0</v>
      </c>
      <c r="T63" s="74">
        <v>0.0</v>
      </c>
      <c r="U63" s="74">
        <v>0.0</v>
      </c>
      <c r="V63" s="74">
        <v>1.0</v>
      </c>
      <c r="W63" s="13">
        <f t="shared" si="16"/>
        <v>6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2.0</v>
      </c>
      <c r="Q64" s="74">
        <v>0.0</v>
      </c>
      <c r="R64" s="74">
        <v>0.0</v>
      </c>
      <c r="S64" s="74">
        <v>0.0</v>
      </c>
      <c r="T64" s="74">
        <v>1.0</v>
      </c>
      <c r="U64" s="74">
        <v>0.0</v>
      </c>
      <c r="V64" s="74">
        <v>0.0</v>
      </c>
      <c r="W64" s="13">
        <f t="shared" si="16"/>
        <v>3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13">
        <f t="shared" si="16"/>
        <v>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0.0</v>
      </c>
      <c r="I66" s="74">
        <v>1.0</v>
      </c>
      <c r="J66" s="74">
        <v>0.0</v>
      </c>
      <c r="K66" s="74">
        <v>1.0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1.0</v>
      </c>
      <c r="R66" s="74">
        <v>0.0</v>
      </c>
      <c r="S66" s="74">
        <v>1.0</v>
      </c>
      <c r="T66" s="74">
        <v>0.0</v>
      </c>
      <c r="U66" s="74">
        <v>1.0</v>
      </c>
      <c r="V66" s="74">
        <v>0.0</v>
      </c>
      <c r="W66" s="13">
        <f t="shared" si="16"/>
        <v>6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V67" si="17">SUM(E57:E66)</f>
        <v>16</v>
      </c>
      <c r="F67" s="13">
        <f t="shared" si="17"/>
        <v>20</v>
      </c>
      <c r="G67" s="13">
        <f t="shared" si="17"/>
        <v>34</v>
      </c>
      <c r="H67" s="13">
        <f t="shared" si="17"/>
        <v>43</v>
      </c>
      <c r="I67" s="13">
        <f t="shared" si="17"/>
        <v>40</v>
      </c>
      <c r="J67" s="13">
        <f t="shared" si="17"/>
        <v>26</v>
      </c>
      <c r="K67" s="13">
        <f t="shared" si="17"/>
        <v>34</v>
      </c>
      <c r="L67" s="13">
        <f t="shared" si="17"/>
        <v>22</v>
      </c>
      <c r="M67" s="13">
        <f t="shared" si="17"/>
        <v>24</v>
      </c>
      <c r="N67" s="13">
        <f t="shared" si="17"/>
        <v>36</v>
      </c>
      <c r="O67" s="13">
        <f t="shared" si="17"/>
        <v>35</v>
      </c>
      <c r="P67" s="13">
        <f t="shared" si="17"/>
        <v>63</v>
      </c>
      <c r="Q67" s="13">
        <f t="shared" si="17"/>
        <v>60</v>
      </c>
      <c r="R67" s="13">
        <f t="shared" si="17"/>
        <v>65</v>
      </c>
      <c r="S67" s="13">
        <f t="shared" si="17"/>
        <v>36</v>
      </c>
      <c r="T67" s="13">
        <f t="shared" si="17"/>
        <v>27</v>
      </c>
      <c r="U67" s="13">
        <f t="shared" si="17"/>
        <v>37</v>
      </c>
      <c r="V67" s="13">
        <f t="shared" si="17"/>
        <v>41</v>
      </c>
      <c r="W67" s="13">
        <f t="shared" si="16"/>
        <v>659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25.0</v>
      </c>
      <c r="F69" s="74">
        <v>8.0</v>
      </c>
      <c r="G69" s="74">
        <v>4.0</v>
      </c>
      <c r="H69" s="74">
        <v>8.0</v>
      </c>
      <c r="I69" s="74">
        <v>10.0</v>
      </c>
      <c r="J69" s="74">
        <v>19.0</v>
      </c>
      <c r="K69" s="74">
        <v>9.0</v>
      </c>
      <c r="L69" s="74">
        <v>8.0</v>
      </c>
      <c r="M69" s="74">
        <v>2.0</v>
      </c>
      <c r="N69" s="74">
        <v>12.0</v>
      </c>
      <c r="O69" s="74">
        <v>7.0</v>
      </c>
      <c r="P69" s="74">
        <v>5.0</v>
      </c>
      <c r="Q69" s="74">
        <v>12.0</v>
      </c>
      <c r="R69" s="74">
        <v>10.0</v>
      </c>
      <c r="S69" s="74">
        <v>6.0</v>
      </c>
      <c r="T69" s="74">
        <v>5.0</v>
      </c>
      <c r="U69" s="74">
        <v>10.0</v>
      </c>
      <c r="V69" s="74">
        <v>8.0</v>
      </c>
      <c r="W69" s="13">
        <f t="shared" ref="W69:W79" si="18">SUM(E69:V69)</f>
        <v>168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2.0</v>
      </c>
      <c r="F70" s="74">
        <v>4.0</v>
      </c>
      <c r="G70" s="74">
        <v>3.0</v>
      </c>
      <c r="H70" s="74">
        <v>5.0</v>
      </c>
      <c r="I70" s="74">
        <v>3.0</v>
      </c>
      <c r="J70" s="74">
        <v>2.0</v>
      </c>
      <c r="K70" s="74">
        <v>7.0</v>
      </c>
      <c r="L70" s="74">
        <v>2.0</v>
      </c>
      <c r="M70" s="74">
        <v>1.0</v>
      </c>
      <c r="N70" s="74">
        <v>2.0</v>
      </c>
      <c r="O70" s="74">
        <v>4.0</v>
      </c>
      <c r="P70" s="74">
        <v>1.0</v>
      </c>
      <c r="Q70" s="74">
        <v>1.0</v>
      </c>
      <c r="R70" s="74">
        <v>6.0</v>
      </c>
      <c r="S70" s="74">
        <v>2.0</v>
      </c>
      <c r="T70" s="74">
        <v>5.0</v>
      </c>
      <c r="U70" s="74">
        <v>3.0</v>
      </c>
      <c r="V70" s="74">
        <v>3.0</v>
      </c>
      <c r="W70" s="13">
        <f t="shared" si="18"/>
        <v>56</v>
      </c>
    </row>
    <row r="71" ht="12.75" customHeight="1">
      <c r="A71" s="18"/>
      <c r="B71" s="55"/>
      <c r="C71" s="50" t="s">
        <v>62</v>
      </c>
      <c r="D71" s="57"/>
      <c r="E71" s="74">
        <v>7.0</v>
      </c>
      <c r="F71" s="74">
        <v>1.0</v>
      </c>
      <c r="G71" s="74">
        <v>2.0</v>
      </c>
      <c r="H71" s="74">
        <v>3.0</v>
      </c>
      <c r="I71" s="74">
        <v>2.0</v>
      </c>
      <c r="J71" s="74">
        <v>9.0</v>
      </c>
      <c r="K71" s="74">
        <v>4.0</v>
      </c>
      <c r="L71" s="74">
        <v>5.0</v>
      </c>
      <c r="M71" s="74">
        <v>2.0</v>
      </c>
      <c r="N71" s="74">
        <v>1.0</v>
      </c>
      <c r="O71" s="74">
        <v>1.0</v>
      </c>
      <c r="P71" s="74">
        <v>1.0</v>
      </c>
      <c r="Q71" s="74">
        <v>1.0</v>
      </c>
      <c r="R71" s="74">
        <v>7.0</v>
      </c>
      <c r="S71" s="74">
        <v>2.0</v>
      </c>
      <c r="T71" s="74">
        <v>4.0</v>
      </c>
      <c r="U71" s="74">
        <v>5.0</v>
      </c>
      <c r="V71" s="74">
        <v>4.0</v>
      </c>
      <c r="W71" s="13">
        <f t="shared" si="18"/>
        <v>61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0.0</v>
      </c>
      <c r="G72" s="74">
        <v>3.0</v>
      </c>
      <c r="H72" s="74">
        <v>2.0</v>
      </c>
      <c r="I72" s="74">
        <v>3.0</v>
      </c>
      <c r="J72" s="74">
        <v>4.0</v>
      </c>
      <c r="K72" s="74">
        <v>3.0</v>
      </c>
      <c r="L72" s="74">
        <v>2.0</v>
      </c>
      <c r="M72" s="74">
        <v>2.0</v>
      </c>
      <c r="N72" s="74">
        <v>4.0</v>
      </c>
      <c r="O72" s="74">
        <v>6.0</v>
      </c>
      <c r="P72" s="74">
        <v>4.0</v>
      </c>
      <c r="Q72" s="74">
        <v>4.0</v>
      </c>
      <c r="R72" s="74">
        <v>3.0</v>
      </c>
      <c r="S72" s="74">
        <v>8.0</v>
      </c>
      <c r="T72" s="74">
        <v>4.0</v>
      </c>
      <c r="U72" s="74">
        <v>5.0</v>
      </c>
      <c r="V72" s="74">
        <v>2.0</v>
      </c>
      <c r="W72" s="13">
        <f t="shared" si="18"/>
        <v>62</v>
      </c>
    </row>
    <row r="73" ht="12.75" customHeight="1">
      <c r="A73" s="18"/>
      <c r="B73" s="55"/>
      <c r="C73" s="50" t="s">
        <v>64</v>
      </c>
      <c r="D73" s="57"/>
      <c r="E73" s="74">
        <v>36.0</v>
      </c>
      <c r="F73" s="74">
        <v>11.0</v>
      </c>
      <c r="G73" s="74">
        <v>5.0</v>
      </c>
      <c r="H73" s="74">
        <v>2.0</v>
      </c>
      <c r="I73" s="74">
        <v>4.0</v>
      </c>
      <c r="J73" s="74">
        <v>7.0</v>
      </c>
      <c r="K73" s="74">
        <v>2.0</v>
      </c>
      <c r="L73" s="74">
        <v>12.0</v>
      </c>
      <c r="M73" s="74">
        <v>2.0</v>
      </c>
      <c r="N73" s="74">
        <v>10.0</v>
      </c>
      <c r="O73" s="74">
        <v>5.0</v>
      </c>
      <c r="P73" s="74">
        <v>1.0</v>
      </c>
      <c r="Q73" s="74">
        <v>3.0</v>
      </c>
      <c r="R73" s="74">
        <v>1.0</v>
      </c>
      <c r="S73" s="74">
        <v>2.0</v>
      </c>
      <c r="T73" s="74">
        <v>2.0</v>
      </c>
      <c r="U73" s="74">
        <v>5.0</v>
      </c>
      <c r="V73" s="74">
        <v>10.0</v>
      </c>
      <c r="W73" s="13">
        <f t="shared" si="18"/>
        <v>120</v>
      </c>
    </row>
    <row r="74" ht="12.75" customHeight="1">
      <c r="A74" s="18"/>
      <c r="B74" s="55"/>
      <c r="C74" s="50" t="s">
        <v>65</v>
      </c>
      <c r="D74" s="57"/>
      <c r="E74" s="74">
        <v>3.0</v>
      </c>
      <c r="F74" s="74">
        <v>0.0</v>
      </c>
      <c r="G74" s="74">
        <v>1.0</v>
      </c>
      <c r="H74" s="74">
        <v>0.0</v>
      </c>
      <c r="I74" s="74">
        <v>0.0</v>
      </c>
      <c r="J74" s="74">
        <v>1.0</v>
      </c>
      <c r="K74" s="74">
        <v>1.0</v>
      </c>
      <c r="L74" s="74">
        <v>1.0</v>
      </c>
      <c r="M74" s="74">
        <v>1.0</v>
      </c>
      <c r="N74" s="74">
        <v>3.0</v>
      </c>
      <c r="O74" s="74">
        <v>1.0</v>
      </c>
      <c r="P74" s="74">
        <v>0.0</v>
      </c>
      <c r="Q74" s="74">
        <v>1.0</v>
      </c>
      <c r="R74" s="74">
        <v>2.0</v>
      </c>
      <c r="S74" s="74">
        <v>4.0</v>
      </c>
      <c r="T74" s="74">
        <v>0.0</v>
      </c>
      <c r="U74" s="74">
        <v>2.0</v>
      </c>
      <c r="V74" s="74">
        <v>1.0</v>
      </c>
      <c r="W74" s="13">
        <f t="shared" si="18"/>
        <v>22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74">
        <v>1.0</v>
      </c>
      <c r="P75" s="74">
        <v>0.0</v>
      </c>
      <c r="Q75" s="74">
        <v>2.0</v>
      </c>
      <c r="R75" s="74">
        <v>1.0</v>
      </c>
      <c r="S75" s="74">
        <v>0.0</v>
      </c>
      <c r="T75" s="74">
        <v>0.0</v>
      </c>
      <c r="U75" s="74">
        <v>0.0</v>
      </c>
      <c r="V75" s="74">
        <v>1.0</v>
      </c>
      <c r="W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1.0</v>
      </c>
      <c r="H76" s="74">
        <v>1.0</v>
      </c>
      <c r="I76" s="74">
        <v>0.0</v>
      </c>
      <c r="J76" s="74">
        <v>1.0</v>
      </c>
      <c r="K76" s="74">
        <v>0.0</v>
      </c>
      <c r="L76" s="74">
        <v>0.0</v>
      </c>
      <c r="M76" s="74">
        <v>0.0</v>
      </c>
      <c r="N76" s="74">
        <v>2.0</v>
      </c>
      <c r="O76" s="74">
        <v>0.0</v>
      </c>
      <c r="P76" s="74">
        <v>1.0</v>
      </c>
      <c r="Q76" s="74">
        <v>1.0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13">
        <f t="shared" si="18"/>
        <v>7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1.0</v>
      </c>
      <c r="I77" s="74">
        <v>0.0</v>
      </c>
      <c r="J77" s="74">
        <v>0.0</v>
      </c>
      <c r="K77" s="74">
        <v>0.0</v>
      </c>
      <c r="L77" s="74">
        <v>1.0</v>
      </c>
      <c r="M77" s="74">
        <v>0.0</v>
      </c>
      <c r="N77" s="74">
        <v>1.0</v>
      </c>
      <c r="O77" s="74">
        <v>1.0</v>
      </c>
      <c r="P77" s="74">
        <v>0.0</v>
      </c>
      <c r="Q77" s="74">
        <v>1.0</v>
      </c>
      <c r="R77" s="74">
        <v>0.0</v>
      </c>
      <c r="S77" s="74">
        <v>0.0</v>
      </c>
      <c r="T77" s="74">
        <v>0.0</v>
      </c>
      <c r="U77" s="74">
        <v>1.0</v>
      </c>
      <c r="V77" s="74">
        <v>0.0</v>
      </c>
      <c r="W77" s="13">
        <f t="shared" si="18"/>
        <v>6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0.0</v>
      </c>
      <c r="G78" s="74">
        <v>0.0</v>
      </c>
      <c r="H78" s="74">
        <v>1.0</v>
      </c>
      <c r="I78" s="74">
        <v>1.0</v>
      </c>
      <c r="J78" s="74">
        <v>1.0</v>
      </c>
      <c r="K78" s="74">
        <v>0.0</v>
      </c>
      <c r="L78" s="74">
        <v>0.0</v>
      </c>
      <c r="M78" s="74">
        <v>0.0</v>
      </c>
      <c r="N78" s="74">
        <v>1.0</v>
      </c>
      <c r="O78" s="74">
        <v>0.0</v>
      </c>
      <c r="P78" s="74">
        <v>0.0</v>
      </c>
      <c r="Q78" s="74">
        <v>1.0</v>
      </c>
      <c r="R78" s="74">
        <v>0.0</v>
      </c>
      <c r="S78" s="74">
        <v>1.0</v>
      </c>
      <c r="T78" s="74">
        <v>0.0</v>
      </c>
      <c r="U78" s="74">
        <v>0.0</v>
      </c>
      <c r="V78" s="74">
        <v>0.0</v>
      </c>
      <c r="W78" s="13">
        <f t="shared" si="18"/>
        <v>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V79" si="19">SUM(E69:E78)</f>
        <v>77</v>
      </c>
      <c r="F79" s="13">
        <f t="shared" si="19"/>
        <v>25</v>
      </c>
      <c r="G79" s="13">
        <f t="shared" si="19"/>
        <v>19</v>
      </c>
      <c r="H79" s="13">
        <f t="shared" si="19"/>
        <v>23</v>
      </c>
      <c r="I79" s="13">
        <f t="shared" si="19"/>
        <v>23</v>
      </c>
      <c r="J79" s="13">
        <f t="shared" si="19"/>
        <v>44</v>
      </c>
      <c r="K79" s="13">
        <f t="shared" si="19"/>
        <v>26</v>
      </c>
      <c r="L79" s="13">
        <f t="shared" si="19"/>
        <v>32</v>
      </c>
      <c r="M79" s="13">
        <f t="shared" si="19"/>
        <v>10</v>
      </c>
      <c r="N79" s="13">
        <f t="shared" si="19"/>
        <v>36</v>
      </c>
      <c r="O79" s="13">
        <f t="shared" si="19"/>
        <v>26</v>
      </c>
      <c r="P79" s="13">
        <f t="shared" si="19"/>
        <v>13</v>
      </c>
      <c r="Q79" s="13">
        <f t="shared" si="19"/>
        <v>27</v>
      </c>
      <c r="R79" s="13">
        <f t="shared" si="19"/>
        <v>30</v>
      </c>
      <c r="S79" s="13">
        <f t="shared" si="19"/>
        <v>25</v>
      </c>
      <c r="T79" s="13">
        <f t="shared" si="19"/>
        <v>20</v>
      </c>
      <c r="U79" s="13">
        <f t="shared" si="19"/>
        <v>31</v>
      </c>
      <c r="V79" s="13">
        <f t="shared" si="19"/>
        <v>29</v>
      </c>
      <c r="W79" s="13">
        <f t="shared" si="18"/>
        <v>516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9.0</v>
      </c>
      <c r="F81" s="74">
        <v>3.0</v>
      </c>
      <c r="G81" s="74">
        <v>11.0</v>
      </c>
      <c r="H81" s="74">
        <v>16.0</v>
      </c>
      <c r="I81" s="74">
        <v>12.0</v>
      </c>
      <c r="J81" s="74">
        <v>24.0</v>
      </c>
      <c r="K81" s="74">
        <v>12.0</v>
      </c>
      <c r="L81" s="74">
        <v>20.0</v>
      </c>
      <c r="M81" s="74">
        <v>15.0</v>
      </c>
      <c r="N81" s="74">
        <v>9.0</v>
      </c>
      <c r="O81" s="74">
        <v>9.0</v>
      </c>
      <c r="P81" s="74">
        <v>4.0</v>
      </c>
      <c r="Q81" s="74">
        <v>9.0</v>
      </c>
      <c r="R81" s="74">
        <v>12.0</v>
      </c>
      <c r="S81" s="74">
        <v>11.0</v>
      </c>
      <c r="T81" s="87">
        <v>11.0</v>
      </c>
      <c r="U81" s="87">
        <v>14.0</v>
      </c>
      <c r="V81" s="87">
        <v>11.0</v>
      </c>
      <c r="W81" s="13">
        <f t="shared" ref="W81:W91" si="20">SUM(E81:V81)</f>
        <v>212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1.0</v>
      </c>
      <c r="F82" s="74">
        <v>0.0</v>
      </c>
      <c r="G82" s="74">
        <v>31.0</v>
      </c>
      <c r="H82" s="74">
        <v>18.0</v>
      </c>
      <c r="I82" s="74">
        <v>24.0</v>
      </c>
      <c r="J82" s="74">
        <v>10.0</v>
      </c>
      <c r="K82" s="74">
        <v>9.0</v>
      </c>
      <c r="L82" s="74">
        <v>15.0</v>
      </c>
      <c r="M82" s="74">
        <v>33.0</v>
      </c>
      <c r="N82" s="74">
        <v>10.0</v>
      </c>
      <c r="O82" s="74">
        <v>3.0</v>
      </c>
      <c r="P82" s="74">
        <v>3.0</v>
      </c>
      <c r="Q82" s="74">
        <v>7.0</v>
      </c>
      <c r="R82" s="74">
        <v>7.0</v>
      </c>
      <c r="S82" s="74">
        <v>10.0</v>
      </c>
      <c r="T82" s="87">
        <v>10.0</v>
      </c>
      <c r="U82" s="87">
        <v>8.0</v>
      </c>
      <c r="V82" s="87">
        <v>5.0</v>
      </c>
      <c r="W82" s="13">
        <f t="shared" si="20"/>
        <v>204</v>
      </c>
    </row>
    <row r="83" ht="12.75" customHeight="1">
      <c r="A83" s="18"/>
      <c r="B83" s="55"/>
      <c r="C83" s="50" t="s">
        <v>72</v>
      </c>
      <c r="D83" s="57"/>
      <c r="E83" s="74">
        <v>3.0</v>
      </c>
      <c r="F83" s="74">
        <v>0.0</v>
      </c>
      <c r="G83" s="74">
        <v>11.0</v>
      </c>
      <c r="H83" s="74">
        <v>13.0</v>
      </c>
      <c r="I83" s="74">
        <v>7.0</v>
      </c>
      <c r="J83" s="74">
        <v>8.0</v>
      </c>
      <c r="K83" s="74">
        <v>13.0</v>
      </c>
      <c r="L83" s="74">
        <v>3.0</v>
      </c>
      <c r="M83" s="74">
        <v>4.0</v>
      </c>
      <c r="N83" s="74">
        <v>1.0</v>
      </c>
      <c r="O83" s="74">
        <v>7.0</v>
      </c>
      <c r="P83" s="74">
        <v>3.0</v>
      </c>
      <c r="Q83" s="74">
        <v>2.0</v>
      </c>
      <c r="R83" s="74">
        <v>14.0</v>
      </c>
      <c r="S83" s="74">
        <v>4.0</v>
      </c>
      <c r="T83" s="87">
        <v>4.0</v>
      </c>
      <c r="U83" s="87">
        <v>3.0</v>
      </c>
      <c r="V83" s="87">
        <v>14.0</v>
      </c>
      <c r="W83" s="13">
        <f t="shared" si="20"/>
        <v>114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2.0</v>
      </c>
      <c r="H84" s="74">
        <v>0.0</v>
      </c>
      <c r="I84" s="74">
        <v>3.0</v>
      </c>
      <c r="J84" s="74">
        <v>1.0</v>
      </c>
      <c r="K84" s="74">
        <v>1.0</v>
      </c>
      <c r="L84" s="74">
        <v>5.0</v>
      </c>
      <c r="M84" s="74">
        <v>1.0</v>
      </c>
      <c r="N84" s="74">
        <v>2.0</v>
      </c>
      <c r="O84" s="74">
        <v>2.0</v>
      </c>
      <c r="P84" s="74">
        <v>0.0</v>
      </c>
      <c r="Q84" s="74">
        <v>1.0</v>
      </c>
      <c r="R84" s="74">
        <v>0.0</v>
      </c>
      <c r="S84" s="74">
        <v>1.0</v>
      </c>
      <c r="T84" s="87">
        <v>3.0</v>
      </c>
      <c r="U84" s="87">
        <v>1.0</v>
      </c>
      <c r="V84" s="87">
        <v>4.0</v>
      </c>
      <c r="W84" s="13">
        <f t="shared" si="20"/>
        <v>28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1.0</v>
      </c>
      <c r="G85" s="74">
        <v>2.0</v>
      </c>
      <c r="H85" s="74">
        <v>1.0</v>
      </c>
      <c r="I85" s="74">
        <v>0.0</v>
      </c>
      <c r="J85" s="74">
        <v>3.0</v>
      </c>
      <c r="K85" s="74">
        <v>0.0</v>
      </c>
      <c r="L85" s="74">
        <v>3.0</v>
      </c>
      <c r="M85" s="74">
        <v>3.0</v>
      </c>
      <c r="N85" s="74">
        <v>2.0</v>
      </c>
      <c r="O85" s="74">
        <v>4.0</v>
      </c>
      <c r="P85" s="74">
        <v>2.0</v>
      </c>
      <c r="Q85" s="74">
        <v>3.0</v>
      </c>
      <c r="R85" s="74">
        <v>0.0</v>
      </c>
      <c r="S85" s="74">
        <v>2.0</v>
      </c>
      <c r="T85" s="87">
        <v>1.0</v>
      </c>
      <c r="U85" s="87">
        <v>0.0</v>
      </c>
      <c r="V85" s="87">
        <v>1.0</v>
      </c>
      <c r="W85" s="13">
        <f t="shared" si="20"/>
        <v>28</v>
      </c>
    </row>
    <row r="86" ht="12.75" customHeight="1">
      <c r="A86" s="18"/>
      <c r="B86" s="55"/>
      <c r="C86" s="50" t="s">
        <v>75</v>
      </c>
      <c r="D86" s="57"/>
      <c r="E86" s="74">
        <v>2.0</v>
      </c>
      <c r="F86" s="74">
        <v>0.0</v>
      </c>
      <c r="G86" s="74">
        <v>5.0</v>
      </c>
      <c r="H86" s="74">
        <v>1.0</v>
      </c>
      <c r="I86" s="74">
        <v>0.0</v>
      </c>
      <c r="J86" s="74">
        <v>0.0</v>
      </c>
      <c r="K86" s="74">
        <v>0.0</v>
      </c>
      <c r="L86" s="74">
        <v>1.0</v>
      </c>
      <c r="M86" s="74">
        <v>0.0</v>
      </c>
      <c r="N86" s="74">
        <v>0.0</v>
      </c>
      <c r="O86" s="74">
        <v>1.0</v>
      </c>
      <c r="P86" s="74">
        <v>0.0</v>
      </c>
      <c r="Q86" s="74">
        <v>2.0</v>
      </c>
      <c r="R86" s="74">
        <v>0.0</v>
      </c>
      <c r="S86" s="74">
        <v>0.0</v>
      </c>
      <c r="T86" s="87">
        <v>0.0</v>
      </c>
      <c r="U86" s="87">
        <v>1.0</v>
      </c>
      <c r="V86" s="87">
        <v>1.0</v>
      </c>
      <c r="W86" s="13">
        <f t="shared" si="20"/>
        <v>14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1.0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1.0</v>
      </c>
      <c r="O87" s="74">
        <v>1.0</v>
      </c>
      <c r="P87" s="74">
        <v>0.0</v>
      </c>
      <c r="Q87" s="74">
        <v>0.0</v>
      </c>
      <c r="R87" s="74">
        <v>0.0</v>
      </c>
      <c r="S87" s="74">
        <v>0.0</v>
      </c>
      <c r="T87" s="87">
        <v>0.0</v>
      </c>
      <c r="U87" s="87">
        <v>1.0</v>
      </c>
      <c r="V87" s="87">
        <v>1.0</v>
      </c>
      <c r="W87" s="13">
        <f t="shared" si="20"/>
        <v>6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1.0</v>
      </c>
      <c r="K88" s="74">
        <v>1.0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1.0</v>
      </c>
      <c r="R88" s="74">
        <v>0.0</v>
      </c>
      <c r="S88" s="74">
        <v>0.0</v>
      </c>
      <c r="T88" s="87">
        <v>0.0</v>
      </c>
      <c r="U88" s="87">
        <v>0.0</v>
      </c>
      <c r="V88" s="87">
        <v>0.0</v>
      </c>
      <c r="W88" s="13">
        <f t="shared" si="20"/>
        <v>4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1.0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87">
        <v>0.0</v>
      </c>
      <c r="U89" s="87">
        <v>0.0</v>
      </c>
      <c r="V89" s="87">
        <v>0.0</v>
      </c>
      <c r="W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1.0</v>
      </c>
      <c r="I90" s="74">
        <v>2.0</v>
      </c>
      <c r="J90" s="74">
        <v>0.0</v>
      </c>
      <c r="K90" s="74">
        <v>2.0</v>
      </c>
      <c r="L90" s="74">
        <v>0.0</v>
      </c>
      <c r="M90" s="74">
        <v>0.0</v>
      </c>
      <c r="N90" s="74">
        <v>0.0</v>
      </c>
      <c r="O90" s="74">
        <v>1.0</v>
      </c>
      <c r="P90" s="74">
        <v>0.0</v>
      </c>
      <c r="Q90" s="74">
        <v>0.0</v>
      </c>
      <c r="R90" s="74">
        <v>0.0</v>
      </c>
      <c r="S90" s="74">
        <v>1.0</v>
      </c>
      <c r="T90" s="87">
        <v>0.0</v>
      </c>
      <c r="U90" s="87">
        <v>0.0</v>
      </c>
      <c r="V90" s="87">
        <v>0.0</v>
      </c>
      <c r="W90" s="13">
        <f t="shared" si="20"/>
        <v>7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V91" si="21">SUM(E81:E90)</f>
        <v>16</v>
      </c>
      <c r="F91" s="13">
        <f t="shared" si="21"/>
        <v>5</v>
      </c>
      <c r="G91" s="13">
        <f t="shared" si="21"/>
        <v>64</v>
      </c>
      <c r="H91" s="13">
        <f t="shared" si="21"/>
        <v>50</v>
      </c>
      <c r="I91" s="13">
        <f t="shared" si="21"/>
        <v>49</v>
      </c>
      <c r="J91" s="13">
        <f t="shared" si="21"/>
        <v>47</v>
      </c>
      <c r="K91" s="13">
        <f t="shared" si="21"/>
        <v>38</v>
      </c>
      <c r="L91" s="13">
        <f t="shared" si="21"/>
        <v>47</v>
      </c>
      <c r="M91" s="13">
        <f t="shared" si="21"/>
        <v>56</v>
      </c>
      <c r="N91" s="13">
        <f t="shared" si="21"/>
        <v>25</v>
      </c>
      <c r="O91" s="13">
        <f t="shared" si="21"/>
        <v>28</v>
      </c>
      <c r="P91" s="13">
        <f t="shared" si="21"/>
        <v>12</v>
      </c>
      <c r="Q91" s="13">
        <f t="shared" si="21"/>
        <v>25</v>
      </c>
      <c r="R91" s="13">
        <f t="shared" si="21"/>
        <v>33</v>
      </c>
      <c r="S91" s="13">
        <f t="shared" si="21"/>
        <v>29</v>
      </c>
      <c r="T91" s="13">
        <f t="shared" si="21"/>
        <v>29</v>
      </c>
      <c r="U91" s="13">
        <f t="shared" si="21"/>
        <v>28</v>
      </c>
      <c r="V91" s="13">
        <f t="shared" si="21"/>
        <v>37</v>
      </c>
      <c r="W91" s="13">
        <f t="shared" si="20"/>
        <v>618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1.0</v>
      </c>
      <c r="H93" s="74">
        <v>0.0</v>
      </c>
      <c r="I93" s="74">
        <v>1.0</v>
      </c>
      <c r="J93" s="74">
        <v>0.0</v>
      </c>
      <c r="K93" s="74">
        <v>2.0</v>
      </c>
      <c r="L93" s="74">
        <v>0.0</v>
      </c>
      <c r="M93" s="74">
        <v>3.0</v>
      </c>
      <c r="N93" s="74">
        <v>0.0</v>
      </c>
      <c r="O93" s="74">
        <v>2.0</v>
      </c>
      <c r="P93" s="74">
        <v>2.0</v>
      </c>
      <c r="Q93" s="74">
        <v>0.0</v>
      </c>
      <c r="R93" s="74">
        <v>2.0</v>
      </c>
      <c r="S93" s="74">
        <v>8.0</v>
      </c>
      <c r="T93" s="74">
        <v>5.0</v>
      </c>
      <c r="U93" s="74">
        <v>7.0</v>
      </c>
      <c r="V93" s="74">
        <v>4.0</v>
      </c>
      <c r="W93" s="13">
        <f t="shared" ref="W93:W103" si="22">SUM(E93:V93)</f>
        <v>37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0.0</v>
      </c>
      <c r="G94" s="74">
        <v>0.0</v>
      </c>
      <c r="H94" s="74">
        <v>0.0</v>
      </c>
      <c r="I94" s="74">
        <v>0.0</v>
      </c>
      <c r="J94" s="74">
        <v>0.0</v>
      </c>
      <c r="K94" s="74">
        <v>2.0</v>
      </c>
      <c r="L94" s="74">
        <v>1.0</v>
      </c>
      <c r="M94" s="74">
        <v>2.0</v>
      </c>
      <c r="N94" s="74">
        <v>1.0</v>
      </c>
      <c r="O94" s="74">
        <v>0.0</v>
      </c>
      <c r="P94" s="74">
        <v>2.0</v>
      </c>
      <c r="Q94" s="74">
        <v>0.0</v>
      </c>
      <c r="R94" s="74">
        <v>1.0</v>
      </c>
      <c r="S94" s="74">
        <v>9.0</v>
      </c>
      <c r="T94" s="74">
        <v>1.0</v>
      </c>
      <c r="U94" s="74">
        <v>5.0</v>
      </c>
      <c r="V94" s="74">
        <v>8.0</v>
      </c>
      <c r="W94" s="13">
        <f t="shared" si="22"/>
        <v>32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1.0</v>
      </c>
      <c r="H95" s="74">
        <v>0.0</v>
      </c>
      <c r="I95" s="74">
        <v>0.0</v>
      </c>
      <c r="J95" s="74">
        <v>1.0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1.0</v>
      </c>
      <c r="T95" s="74">
        <v>0.0</v>
      </c>
      <c r="U95" s="74">
        <v>1.0</v>
      </c>
      <c r="V95" s="74">
        <v>0.0</v>
      </c>
      <c r="W95" s="13">
        <f t="shared" si="22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2.0</v>
      </c>
      <c r="T96" s="74">
        <v>1.0</v>
      </c>
      <c r="U96" s="74">
        <v>0.0</v>
      </c>
      <c r="V96" s="74">
        <v>3.0</v>
      </c>
      <c r="W96" s="13">
        <f t="shared" si="22"/>
        <v>6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1.0</v>
      </c>
      <c r="T97" s="74">
        <v>0.0</v>
      </c>
      <c r="U97" s="74">
        <v>0.0</v>
      </c>
      <c r="V97" s="74">
        <v>0.0</v>
      </c>
      <c r="W97" s="13">
        <f t="shared" si="22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2.0</v>
      </c>
      <c r="O98" s="74">
        <v>0.0</v>
      </c>
      <c r="P98" s="74">
        <v>0.0</v>
      </c>
      <c r="Q98" s="74">
        <v>1.0</v>
      </c>
      <c r="R98" s="74">
        <v>1.0</v>
      </c>
      <c r="S98" s="74">
        <v>3.0</v>
      </c>
      <c r="T98" s="74">
        <v>0.0</v>
      </c>
      <c r="U98" s="74">
        <v>0.0</v>
      </c>
      <c r="V98" s="74">
        <v>1.0</v>
      </c>
      <c r="W98" s="13">
        <f t="shared" si="22"/>
        <v>8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1.0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1.0</v>
      </c>
      <c r="S99" s="74">
        <v>3.0</v>
      </c>
      <c r="T99" s="74">
        <v>1.0</v>
      </c>
      <c r="U99" s="74">
        <v>1.0</v>
      </c>
      <c r="V99" s="74">
        <v>0.0</v>
      </c>
      <c r="W99" s="13">
        <f t="shared" si="22"/>
        <v>7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2.0</v>
      </c>
      <c r="T100" s="74">
        <v>0.0</v>
      </c>
      <c r="U100" s="74">
        <v>0.0</v>
      </c>
      <c r="V100" s="74">
        <v>0.0</v>
      </c>
      <c r="W100" s="13">
        <f t="shared" si="22"/>
        <v>2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1.0</v>
      </c>
      <c r="Q101" s="74">
        <v>0.0</v>
      </c>
      <c r="R101" s="74">
        <v>0.0</v>
      </c>
      <c r="S101" s="74">
        <v>1.0</v>
      </c>
      <c r="T101" s="74">
        <v>0.0</v>
      </c>
      <c r="U101" s="74">
        <v>0.0</v>
      </c>
      <c r="V101" s="74">
        <v>0.0</v>
      </c>
      <c r="W101" s="13">
        <f t="shared" si="22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1.0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3.0</v>
      </c>
      <c r="T102" s="74">
        <v>0.0</v>
      </c>
      <c r="U102" s="74">
        <v>0.0</v>
      </c>
      <c r="V102" s="74">
        <v>0.0</v>
      </c>
      <c r="W102" s="13">
        <f t="shared" si="22"/>
        <v>4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V103" si="23">SUM(E93:E102)</f>
        <v>0</v>
      </c>
      <c r="F103" s="13">
        <f t="shared" si="23"/>
        <v>0</v>
      </c>
      <c r="G103" s="13">
        <f t="shared" si="23"/>
        <v>2</v>
      </c>
      <c r="H103" s="13">
        <f t="shared" si="23"/>
        <v>2</v>
      </c>
      <c r="I103" s="13">
        <f t="shared" si="23"/>
        <v>1</v>
      </c>
      <c r="J103" s="13">
        <f t="shared" si="23"/>
        <v>1</v>
      </c>
      <c r="K103" s="13">
        <f t="shared" si="23"/>
        <v>5</v>
      </c>
      <c r="L103" s="13">
        <f t="shared" si="23"/>
        <v>1</v>
      </c>
      <c r="M103" s="13">
        <f t="shared" si="23"/>
        <v>5</v>
      </c>
      <c r="N103" s="13">
        <f t="shared" si="23"/>
        <v>3</v>
      </c>
      <c r="O103" s="13">
        <f t="shared" si="23"/>
        <v>2</v>
      </c>
      <c r="P103" s="13">
        <f t="shared" si="23"/>
        <v>5</v>
      </c>
      <c r="Q103" s="13">
        <f t="shared" si="23"/>
        <v>1</v>
      </c>
      <c r="R103" s="13">
        <f t="shared" si="23"/>
        <v>5</v>
      </c>
      <c r="S103" s="13">
        <f t="shared" si="23"/>
        <v>33</v>
      </c>
      <c r="T103" s="13">
        <f t="shared" si="23"/>
        <v>8</v>
      </c>
      <c r="U103" s="13">
        <f t="shared" si="23"/>
        <v>14</v>
      </c>
      <c r="V103" s="13">
        <f t="shared" si="23"/>
        <v>16</v>
      </c>
      <c r="W103" s="13">
        <f t="shared" si="22"/>
        <v>104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2.0</v>
      </c>
      <c r="G105" s="74">
        <v>0.0</v>
      </c>
      <c r="H105" s="74">
        <v>1.0</v>
      </c>
      <c r="I105" s="74">
        <v>0.0</v>
      </c>
      <c r="J105" s="74">
        <v>0.0</v>
      </c>
      <c r="K105" s="74">
        <v>1.0</v>
      </c>
      <c r="L105" s="74">
        <v>0.0</v>
      </c>
      <c r="M105" s="74">
        <v>0.0</v>
      </c>
      <c r="N105" s="74">
        <v>1.0</v>
      </c>
      <c r="O105" s="74">
        <v>0.0</v>
      </c>
      <c r="P105" s="74">
        <v>0.0</v>
      </c>
      <c r="Q105" s="74">
        <v>1.0</v>
      </c>
      <c r="R105" s="74">
        <v>0.0</v>
      </c>
      <c r="S105" s="74">
        <v>3.0</v>
      </c>
      <c r="T105" s="74">
        <v>0.0</v>
      </c>
      <c r="U105" s="74">
        <v>2.0</v>
      </c>
      <c r="V105" s="74">
        <v>2.0</v>
      </c>
      <c r="W105" s="13">
        <f t="shared" ref="W105:W107" si="24">SUM(E105:V105)</f>
        <v>13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1.0</v>
      </c>
      <c r="S106" s="74">
        <v>1.0</v>
      </c>
      <c r="T106" s="74">
        <v>0.0</v>
      </c>
      <c r="U106" s="74">
        <v>0.0</v>
      </c>
      <c r="V106" s="74">
        <v>1.0</v>
      </c>
      <c r="W106" s="13">
        <f t="shared" si="24"/>
        <v>4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13">
        <f t="shared" si="24"/>
        <v>0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V115" si="25">SUM(E105:E112)</f>
        <v>0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4</v>
      </c>
      <c r="T115" s="13">
        <f t="shared" si="25"/>
        <v>0</v>
      </c>
      <c r="U115" s="13">
        <f t="shared" si="25"/>
        <v>2</v>
      </c>
      <c r="V115" s="13">
        <f t="shared" si="25"/>
        <v>3</v>
      </c>
      <c r="W115" s="13">
        <f>SUM(E115:V115)</f>
        <v>17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2.0</v>
      </c>
      <c r="J117" s="74">
        <v>1.0</v>
      </c>
      <c r="K117" s="74">
        <v>0.0</v>
      </c>
      <c r="L117" s="74">
        <v>1.0</v>
      </c>
      <c r="M117" s="74">
        <v>0.0</v>
      </c>
      <c r="N117" s="74">
        <v>1.0</v>
      </c>
      <c r="O117" s="74">
        <v>0.0</v>
      </c>
      <c r="P117" s="74">
        <v>2.0</v>
      </c>
      <c r="Q117" s="74">
        <v>0.0</v>
      </c>
      <c r="R117" s="74">
        <v>0.0</v>
      </c>
      <c r="S117" s="74">
        <v>1.0</v>
      </c>
      <c r="T117" s="74">
        <v>2.0</v>
      </c>
      <c r="U117" s="74">
        <v>0.0</v>
      </c>
      <c r="V117" s="74">
        <v>3.0</v>
      </c>
      <c r="W117" s="13">
        <f t="shared" ref="W117:W122" si="26">SUM(E117:V117)</f>
        <v>13</v>
      </c>
      <c r="X117" s="5"/>
      <c r="Y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1.0</v>
      </c>
      <c r="L118" s="74">
        <v>0.0</v>
      </c>
      <c r="M118" s="74">
        <v>0.0</v>
      </c>
      <c r="N118" s="74">
        <v>0.0</v>
      </c>
      <c r="O118" s="74">
        <v>1.0</v>
      </c>
      <c r="P118" s="74">
        <v>1.0</v>
      </c>
      <c r="Q118" s="74">
        <v>1.0</v>
      </c>
      <c r="R118" s="74">
        <v>0.0</v>
      </c>
      <c r="S118" s="74">
        <v>0.0</v>
      </c>
      <c r="T118" s="74">
        <v>0.0</v>
      </c>
      <c r="U118" s="74">
        <v>1.0</v>
      </c>
      <c r="V118" s="74">
        <v>0.0</v>
      </c>
      <c r="W118" s="13">
        <f t="shared" si="26"/>
        <v>5</v>
      </c>
      <c r="X118" s="5"/>
      <c r="Y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13">
        <f t="shared" si="26"/>
        <v>0</v>
      </c>
      <c r="X119" s="5"/>
      <c r="Y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1.0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13">
        <f t="shared" si="26"/>
        <v>1</v>
      </c>
      <c r="X120" s="5"/>
      <c r="Y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1.0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13">
        <f t="shared" si="26"/>
        <v>1</v>
      </c>
      <c r="X121" s="5"/>
      <c r="Y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13">
        <f t="shared" si="26"/>
        <v>0</v>
      </c>
      <c r="X122" s="5"/>
      <c r="Y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88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79"/>
      <c r="X123" s="5"/>
      <c r="Y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79"/>
      <c r="X124" s="5"/>
      <c r="Y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79"/>
      <c r="X125" s="5"/>
      <c r="Y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79"/>
      <c r="X126" s="5"/>
      <c r="Y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V127" si="27">SUM(E117:E126)</f>
        <v>0</v>
      </c>
      <c r="F127" s="63">
        <f t="shared" si="27"/>
        <v>0</v>
      </c>
      <c r="G127" s="63">
        <f t="shared" si="27"/>
        <v>0</v>
      </c>
      <c r="H127" s="63">
        <f t="shared" si="27"/>
        <v>0</v>
      </c>
      <c r="I127" s="63">
        <f t="shared" si="27"/>
        <v>2</v>
      </c>
      <c r="J127" s="63">
        <f t="shared" si="27"/>
        <v>1</v>
      </c>
      <c r="K127" s="63">
        <f t="shared" si="27"/>
        <v>2</v>
      </c>
      <c r="L127" s="63">
        <f t="shared" si="27"/>
        <v>1</v>
      </c>
      <c r="M127" s="63">
        <f t="shared" si="27"/>
        <v>0</v>
      </c>
      <c r="N127" s="63">
        <f t="shared" si="27"/>
        <v>1</v>
      </c>
      <c r="O127" s="63">
        <f t="shared" si="27"/>
        <v>1</v>
      </c>
      <c r="P127" s="63">
        <f t="shared" si="27"/>
        <v>3</v>
      </c>
      <c r="Q127" s="63">
        <f t="shared" si="27"/>
        <v>2</v>
      </c>
      <c r="R127" s="63">
        <f t="shared" si="27"/>
        <v>0</v>
      </c>
      <c r="S127" s="63">
        <f t="shared" si="27"/>
        <v>1</v>
      </c>
      <c r="T127" s="63">
        <f t="shared" si="27"/>
        <v>2</v>
      </c>
      <c r="U127" s="63">
        <f t="shared" si="27"/>
        <v>1</v>
      </c>
      <c r="V127" s="63">
        <f t="shared" si="27"/>
        <v>3</v>
      </c>
      <c r="W127" s="13">
        <f>SUM(E127:V127)</f>
        <v>20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5"/>
      <c r="Y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3.0</v>
      </c>
      <c r="F129" s="74">
        <v>3.0</v>
      </c>
      <c r="G129" s="74">
        <v>2.0</v>
      </c>
      <c r="H129" s="74">
        <v>0.0</v>
      </c>
      <c r="I129" s="74">
        <v>0.0</v>
      </c>
      <c r="J129" s="74">
        <v>1.0</v>
      </c>
      <c r="K129" s="74">
        <v>1.0</v>
      </c>
      <c r="L129" s="74">
        <v>1.0</v>
      </c>
      <c r="M129" s="74">
        <v>1.0</v>
      </c>
      <c r="N129" s="74">
        <v>0.0</v>
      </c>
      <c r="O129" s="74">
        <v>2.0</v>
      </c>
      <c r="P129" s="74">
        <v>1.0</v>
      </c>
      <c r="Q129" s="74">
        <v>11.0</v>
      </c>
      <c r="R129" s="74">
        <v>2.0</v>
      </c>
      <c r="S129" s="74">
        <v>3.0</v>
      </c>
      <c r="T129" s="74">
        <v>5.0</v>
      </c>
      <c r="U129" s="74">
        <v>2.0</v>
      </c>
      <c r="V129" s="74">
        <v>3.0</v>
      </c>
      <c r="W129" s="13">
        <f t="shared" ref="W129:W139" si="28">SUM(E129:V129)</f>
        <v>41</v>
      </c>
      <c r="X129" s="5"/>
      <c r="Y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0.0</v>
      </c>
      <c r="G130" s="74">
        <v>0.0</v>
      </c>
      <c r="H130" s="74">
        <v>2.0</v>
      </c>
      <c r="I130" s="74">
        <v>1.0</v>
      </c>
      <c r="J130" s="74">
        <v>2.0</v>
      </c>
      <c r="K130" s="74">
        <v>0.0</v>
      </c>
      <c r="L130" s="74">
        <v>2.0</v>
      </c>
      <c r="M130" s="74">
        <v>0.0</v>
      </c>
      <c r="N130" s="74">
        <v>1.0</v>
      </c>
      <c r="O130" s="74">
        <v>2.0</v>
      </c>
      <c r="P130" s="74">
        <v>1.0</v>
      </c>
      <c r="Q130" s="74">
        <v>4.0</v>
      </c>
      <c r="R130" s="74">
        <v>0.0</v>
      </c>
      <c r="S130" s="74">
        <v>4.0</v>
      </c>
      <c r="T130" s="74">
        <v>5.0</v>
      </c>
      <c r="U130" s="74">
        <v>5.0</v>
      </c>
      <c r="V130" s="74">
        <v>3.0</v>
      </c>
      <c r="W130" s="13">
        <f t="shared" si="28"/>
        <v>33</v>
      </c>
      <c r="X130" s="1"/>
      <c r="Y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1.0</v>
      </c>
      <c r="G131" s="74">
        <v>0.0</v>
      </c>
      <c r="H131" s="74">
        <v>0.0</v>
      </c>
      <c r="I131" s="74">
        <v>0.0</v>
      </c>
      <c r="J131" s="74">
        <v>1.0</v>
      </c>
      <c r="K131" s="74">
        <v>1.0</v>
      </c>
      <c r="L131" s="74">
        <v>0.0</v>
      </c>
      <c r="M131" s="74">
        <v>2.0</v>
      </c>
      <c r="N131" s="74">
        <v>0.0</v>
      </c>
      <c r="O131" s="74">
        <v>0.0</v>
      </c>
      <c r="P131" s="74">
        <v>0.0</v>
      </c>
      <c r="Q131" s="74">
        <v>3.0</v>
      </c>
      <c r="R131" s="74">
        <v>1.0</v>
      </c>
      <c r="S131" s="74">
        <v>0.0</v>
      </c>
      <c r="T131" s="74">
        <v>0.0</v>
      </c>
      <c r="U131" s="74">
        <v>0.0</v>
      </c>
      <c r="V131" s="74">
        <v>0.0</v>
      </c>
      <c r="W131" s="13">
        <f t="shared" si="28"/>
        <v>9</v>
      </c>
      <c r="X131" s="52"/>
      <c r="Y131" s="52"/>
    </row>
    <row r="132" ht="12.75" customHeight="1">
      <c r="A132" s="18"/>
      <c r="B132" s="55"/>
      <c r="C132" s="50" t="s">
        <v>106</v>
      </c>
      <c r="D132" s="56"/>
      <c r="E132" s="74">
        <v>1.0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1.0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1.0</v>
      </c>
      <c r="T132" s="74">
        <v>0.0</v>
      </c>
      <c r="U132" s="74">
        <v>1.0</v>
      </c>
      <c r="V132" s="74">
        <v>0.0</v>
      </c>
      <c r="W132" s="13">
        <f t="shared" si="28"/>
        <v>5</v>
      </c>
      <c r="X132" s="5"/>
      <c r="Y132" s="5"/>
    </row>
    <row r="133" ht="12.75" customHeight="1">
      <c r="A133" s="18"/>
      <c r="B133" s="55"/>
      <c r="C133" s="50" t="s">
        <v>107</v>
      </c>
      <c r="D133" s="56"/>
      <c r="E133" s="74">
        <v>2.0</v>
      </c>
      <c r="F133" s="74">
        <v>1.0</v>
      </c>
      <c r="G133" s="74">
        <v>0.0</v>
      </c>
      <c r="H133" s="74">
        <v>0.0</v>
      </c>
      <c r="I133" s="74">
        <v>1.0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1.0</v>
      </c>
      <c r="R133" s="74">
        <v>0.0</v>
      </c>
      <c r="S133" s="74">
        <v>0.0</v>
      </c>
      <c r="T133" s="74">
        <v>1.0</v>
      </c>
      <c r="U133" s="74">
        <v>0.0</v>
      </c>
      <c r="V133" s="74">
        <v>0.0</v>
      </c>
      <c r="W133" s="13">
        <f t="shared" si="28"/>
        <v>6</v>
      </c>
      <c r="X133" s="5"/>
      <c r="Y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3.0</v>
      </c>
      <c r="S134" s="74">
        <v>0.0</v>
      </c>
      <c r="T134" s="74">
        <v>0.0</v>
      </c>
      <c r="U134" s="74">
        <v>0.0</v>
      </c>
      <c r="V134" s="74">
        <v>1.0</v>
      </c>
      <c r="W134" s="13">
        <f t="shared" si="28"/>
        <v>4</v>
      </c>
      <c r="X134" s="5"/>
      <c r="Y134" s="5"/>
    </row>
    <row r="135" ht="12.75" customHeight="1">
      <c r="A135" s="18"/>
      <c r="B135" s="55"/>
      <c r="C135" s="50" t="s">
        <v>109</v>
      </c>
      <c r="D135" s="57"/>
      <c r="E135" s="74">
        <v>1.0</v>
      </c>
      <c r="F135" s="74">
        <v>0.0</v>
      </c>
      <c r="G135" s="74">
        <v>0.0</v>
      </c>
      <c r="H135" s="74">
        <v>0.0</v>
      </c>
      <c r="I135" s="74">
        <v>0.0</v>
      </c>
      <c r="J135" s="74">
        <v>1.0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8.0</v>
      </c>
      <c r="R135" s="74">
        <v>1.0</v>
      </c>
      <c r="S135" s="74">
        <v>2.0</v>
      </c>
      <c r="T135" s="74">
        <v>1.0</v>
      </c>
      <c r="U135" s="74">
        <v>1.0</v>
      </c>
      <c r="V135" s="74">
        <v>2.0</v>
      </c>
      <c r="W135" s="13">
        <f t="shared" si="28"/>
        <v>17</v>
      </c>
      <c r="X135" s="5"/>
      <c r="Y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1.0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1.0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13">
        <f t="shared" si="28"/>
        <v>2</v>
      </c>
      <c r="X136" s="5"/>
      <c r="Y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1.0</v>
      </c>
      <c r="S137" s="74">
        <v>0.0</v>
      </c>
      <c r="T137" s="74">
        <v>0.0</v>
      </c>
      <c r="U137" s="74">
        <v>0.0</v>
      </c>
      <c r="V137" s="74">
        <v>1.0</v>
      </c>
      <c r="W137" s="13">
        <f t="shared" si="28"/>
        <v>2</v>
      </c>
      <c r="X137" s="5"/>
      <c r="Y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1.0</v>
      </c>
      <c r="T138" s="74">
        <v>0.0</v>
      </c>
      <c r="U138" s="74">
        <v>0.0</v>
      </c>
      <c r="V138" s="74">
        <v>0.0</v>
      </c>
      <c r="W138" s="13">
        <f t="shared" si="28"/>
        <v>1</v>
      </c>
      <c r="X138" s="5"/>
      <c r="Y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V139" si="29">SUM(E129:E138)</f>
        <v>8</v>
      </c>
      <c r="F139" s="13">
        <f t="shared" si="29"/>
        <v>5</v>
      </c>
      <c r="G139" s="13">
        <f t="shared" si="29"/>
        <v>2</v>
      </c>
      <c r="H139" s="13">
        <f t="shared" si="29"/>
        <v>4</v>
      </c>
      <c r="I139" s="13">
        <f t="shared" si="29"/>
        <v>2</v>
      </c>
      <c r="J139" s="13">
        <f t="shared" si="29"/>
        <v>5</v>
      </c>
      <c r="K139" s="13">
        <f t="shared" si="29"/>
        <v>2</v>
      </c>
      <c r="L139" s="13">
        <f t="shared" si="29"/>
        <v>4</v>
      </c>
      <c r="M139" s="13">
        <f t="shared" si="29"/>
        <v>3</v>
      </c>
      <c r="N139" s="13">
        <f t="shared" si="29"/>
        <v>1</v>
      </c>
      <c r="O139" s="13">
        <f t="shared" si="29"/>
        <v>4</v>
      </c>
      <c r="P139" s="13">
        <f t="shared" si="29"/>
        <v>3</v>
      </c>
      <c r="Q139" s="13">
        <f t="shared" si="29"/>
        <v>27</v>
      </c>
      <c r="R139" s="13">
        <f t="shared" si="29"/>
        <v>8</v>
      </c>
      <c r="S139" s="13">
        <f t="shared" si="29"/>
        <v>11</v>
      </c>
      <c r="T139" s="13">
        <f t="shared" si="29"/>
        <v>12</v>
      </c>
      <c r="U139" s="13">
        <f t="shared" si="29"/>
        <v>9</v>
      </c>
      <c r="V139" s="13">
        <f t="shared" si="29"/>
        <v>10</v>
      </c>
      <c r="W139" s="13">
        <f t="shared" si="28"/>
        <v>120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5"/>
      <c r="Y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1.0</v>
      </c>
      <c r="U141" s="74">
        <v>0.0</v>
      </c>
      <c r="V141" s="74">
        <v>0.0</v>
      </c>
      <c r="W141" s="13">
        <f t="shared" ref="W141:W144" si="30">SUM(E141:V141)</f>
        <v>1</v>
      </c>
      <c r="X141" s="1"/>
      <c r="Y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13">
        <f t="shared" si="30"/>
        <v>0</v>
      </c>
      <c r="X142" s="52"/>
      <c r="Y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1.0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13">
        <f t="shared" si="30"/>
        <v>1</v>
      </c>
      <c r="X143" s="5"/>
      <c r="Y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13">
        <f t="shared" si="30"/>
        <v>0</v>
      </c>
      <c r="X144" s="5"/>
      <c r="Y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79"/>
      <c r="X145" s="5"/>
      <c r="Y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79"/>
      <c r="X146" s="5"/>
      <c r="Y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79"/>
      <c r="X147" s="5"/>
      <c r="Y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79"/>
      <c r="X148" s="5"/>
      <c r="Y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79"/>
      <c r="X149" s="5"/>
      <c r="Y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79"/>
      <c r="X150" s="5"/>
      <c r="Y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V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>SUM(E151:V151)</f>
        <v>2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13"/>
      <c r="X152" s="52"/>
      <c r="Y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1.0</v>
      </c>
      <c r="O153" s="74">
        <v>0.0</v>
      </c>
      <c r="P153" s="74">
        <v>1.0</v>
      </c>
      <c r="Q153" s="74">
        <v>0.0</v>
      </c>
      <c r="R153" s="74">
        <v>0.0</v>
      </c>
      <c r="S153" s="74">
        <v>1.0</v>
      </c>
      <c r="T153" s="74">
        <v>1.0</v>
      </c>
      <c r="U153" s="74">
        <v>0.0</v>
      </c>
      <c r="V153" s="74">
        <v>0.0</v>
      </c>
      <c r="W153" s="13">
        <f t="shared" ref="W153:W160" si="32">SUM(E153:V153)</f>
        <v>5</v>
      </c>
      <c r="X153" s="5"/>
      <c r="Y153" s="5"/>
    </row>
    <row r="154" ht="12.75" customHeight="1">
      <c r="A154" s="65" t="s">
        <v>39</v>
      </c>
      <c r="B154" s="55"/>
      <c r="C154" s="50" t="s">
        <v>120</v>
      </c>
      <c r="D154" s="57"/>
      <c r="E154" s="80">
        <v>0.0</v>
      </c>
      <c r="F154" s="80">
        <v>0.0</v>
      </c>
      <c r="G154" s="80">
        <v>0.0</v>
      </c>
      <c r="H154" s="80">
        <v>0.0</v>
      </c>
      <c r="I154" s="80">
        <v>0.0</v>
      </c>
      <c r="J154" s="80">
        <v>0.0</v>
      </c>
      <c r="K154" s="74">
        <v>2.0</v>
      </c>
      <c r="L154" s="74">
        <v>1.0</v>
      </c>
      <c r="M154" s="74">
        <v>0.0</v>
      </c>
      <c r="N154" s="74">
        <v>0.0</v>
      </c>
      <c r="O154" s="74">
        <v>0.0</v>
      </c>
      <c r="P154" s="74">
        <v>0.0</v>
      </c>
      <c r="Q154" s="74">
        <v>3.0</v>
      </c>
      <c r="R154" s="74">
        <v>0.0</v>
      </c>
      <c r="S154" s="74">
        <v>0.0</v>
      </c>
      <c r="T154" s="74">
        <v>0.0</v>
      </c>
      <c r="U154" s="74">
        <v>0.0</v>
      </c>
      <c r="V154" s="74">
        <v>1.0</v>
      </c>
      <c r="W154" s="13">
        <f t="shared" si="32"/>
        <v>7</v>
      </c>
      <c r="X154" s="5"/>
      <c r="Y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1.0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1.0</v>
      </c>
      <c r="T155" s="74">
        <v>0.0</v>
      </c>
      <c r="U155" s="74">
        <v>0.0</v>
      </c>
      <c r="V155" s="74">
        <v>0.0</v>
      </c>
      <c r="W155" s="13">
        <f t="shared" si="32"/>
        <v>2</v>
      </c>
      <c r="X155" s="5"/>
      <c r="Y155" s="5"/>
    </row>
    <row r="156" ht="12.75" customHeight="1">
      <c r="A156" s="18"/>
      <c r="B156" s="55"/>
      <c r="C156" s="50" t="s">
        <v>122</v>
      </c>
      <c r="D156" s="57"/>
      <c r="E156" s="80">
        <v>0.0</v>
      </c>
      <c r="F156" s="80">
        <v>0.0</v>
      </c>
      <c r="G156" s="80">
        <v>0.0</v>
      </c>
      <c r="H156" s="80">
        <v>0.0</v>
      </c>
      <c r="I156" s="80">
        <v>0.0</v>
      </c>
      <c r="J156" s="80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1.0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13">
        <f t="shared" si="32"/>
        <v>1</v>
      </c>
      <c r="X156" s="5"/>
      <c r="Y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13">
        <f t="shared" si="32"/>
        <v>0</v>
      </c>
      <c r="X157" s="5"/>
      <c r="Y157" s="5"/>
    </row>
    <row r="158" ht="12.75" customHeight="1">
      <c r="A158" s="18"/>
      <c r="B158" s="55"/>
      <c r="C158" s="50" t="s">
        <v>124</v>
      </c>
      <c r="D158" s="57"/>
      <c r="E158" s="80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13">
        <f t="shared" si="32"/>
        <v>0</v>
      </c>
      <c r="X158" s="5"/>
      <c r="Y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13">
        <f t="shared" si="32"/>
        <v>0</v>
      </c>
      <c r="X159" s="5"/>
      <c r="Y159" s="5"/>
    </row>
    <row r="160" ht="12.75" customHeight="1">
      <c r="A160" s="18"/>
      <c r="B160" s="55"/>
      <c r="C160" s="50" t="s">
        <v>126</v>
      </c>
      <c r="D160" s="57"/>
      <c r="E160" s="80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74">
        <v>0.0</v>
      </c>
      <c r="L160" s="74">
        <v>0.0</v>
      </c>
      <c r="M160" s="74">
        <v>0.0</v>
      </c>
      <c r="N160" s="74">
        <v>1.0</v>
      </c>
      <c r="O160" s="74">
        <v>0.0</v>
      </c>
      <c r="P160" s="74">
        <v>1.0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13">
        <f t="shared" si="32"/>
        <v>2</v>
      </c>
      <c r="X160" s="5"/>
      <c r="Y160" s="5"/>
    </row>
    <row r="161" ht="12.75" customHeight="1">
      <c r="A161" s="18"/>
      <c r="B161" s="58"/>
      <c r="C161" s="66"/>
      <c r="D161" s="60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79"/>
      <c r="X161" s="5"/>
      <c r="Y161" s="5"/>
    </row>
    <row r="162" ht="12.75" customHeight="1">
      <c r="A162" s="18"/>
      <c r="B162" s="58"/>
      <c r="C162" s="66"/>
      <c r="D162" s="60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79"/>
      <c r="X162" s="5"/>
      <c r="Y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W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4</v>
      </c>
      <c r="L163" s="13">
        <f t="shared" si="33"/>
        <v>1</v>
      </c>
      <c r="M163" s="13">
        <f t="shared" si="33"/>
        <v>0</v>
      </c>
      <c r="N163" s="13">
        <f t="shared" si="33"/>
        <v>2</v>
      </c>
      <c r="O163" s="13">
        <f t="shared" si="33"/>
        <v>0</v>
      </c>
      <c r="P163" s="13">
        <f t="shared" si="33"/>
        <v>2</v>
      </c>
      <c r="Q163" s="13">
        <f t="shared" si="33"/>
        <v>4</v>
      </c>
      <c r="R163" s="13">
        <f t="shared" si="33"/>
        <v>0</v>
      </c>
      <c r="S163" s="13">
        <f t="shared" si="33"/>
        <v>2</v>
      </c>
      <c r="T163" s="13">
        <f t="shared" si="33"/>
        <v>1</v>
      </c>
      <c r="U163" s="13">
        <f t="shared" si="33"/>
        <v>0</v>
      </c>
      <c r="V163" s="13">
        <f t="shared" si="33"/>
        <v>1</v>
      </c>
      <c r="W163" s="13">
        <f t="shared" si="33"/>
        <v>17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5"/>
      <c r="Y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1.0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74">
        <v>0.0</v>
      </c>
      <c r="U165" s="74">
        <v>1.0</v>
      </c>
      <c r="V165" s="74">
        <v>2.0</v>
      </c>
      <c r="W165" s="13">
        <f t="shared" ref="W165:W166" si="34">SUM(E165:V165)</f>
        <v>6</v>
      </c>
      <c r="X165" s="1"/>
      <c r="Y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0.0</v>
      </c>
      <c r="G166" s="74">
        <v>0.0</v>
      </c>
      <c r="H166" s="74">
        <v>1.0</v>
      </c>
      <c r="I166" s="74">
        <v>0.0</v>
      </c>
      <c r="J166" s="74">
        <v>0.0</v>
      </c>
      <c r="K166" s="74">
        <v>1.0</v>
      </c>
      <c r="L166" s="74">
        <v>0.0</v>
      </c>
      <c r="M166" s="74">
        <v>0.0</v>
      </c>
      <c r="N166" s="74">
        <v>1.0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1.0</v>
      </c>
      <c r="W166" s="13">
        <f t="shared" si="34"/>
        <v>5</v>
      </c>
      <c r="X166" s="52"/>
      <c r="Y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79"/>
      <c r="X167" s="5"/>
      <c r="Y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79"/>
      <c r="X168" s="5"/>
      <c r="Y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79"/>
      <c r="X169" s="5"/>
      <c r="Y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79"/>
      <c r="X170" s="5"/>
      <c r="Y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79"/>
      <c r="X171" s="5"/>
      <c r="Y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79"/>
      <c r="X172" s="5"/>
      <c r="Y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79"/>
      <c r="X173" s="5"/>
      <c r="Y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79"/>
      <c r="X174" s="5"/>
      <c r="Y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V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3</v>
      </c>
      <c r="W175" s="13">
        <f>SUM(E175:V175)</f>
        <v>11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"/>
      <c r="Y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1.0</v>
      </c>
      <c r="H177" s="74">
        <v>0.0</v>
      </c>
      <c r="I177" s="74">
        <v>0.0</v>
      </c>
      <c r="J177" s="74">
        <v>1.0</v>
      </c>
      <c r="K177" s="74">
        <v>1.0</v>
      </c>
      <c r="L177" s="74">
        <v>0.0</v>
      </c>
      <c r="M177" s="74">
        <v>0.0</v>
      </c>
      <c r="N177" s="74">
        <v>0.0</v>
      </c>
      <c r="O177" s="74">
        <v>0.0</v>
      </c>
      <c r="P177" s="74">
        <v>0.0</v>
      </c>
      <c r="Q177" s="74">
        <v>1.0</v>
      </c>
      <c r="R177" s="74">
        <v>1.0</v>
      </c>
      <c r="S177" s="74">
        <v>1.0</v>
      </c>
      <c r="T177" s="74">
        <v>0.0</v>
      </c>
      <c r="U177" s="74">
        <v>3.0</v>
      </c>
      <c r="V177" s="74">
        <v>0.0</v>
      </c>
      <c r="W177" s="13">
        <f t="shared" ref="W177:W187" si="36">SUM(E177:V177)</f>
        <v>9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1.0</v>
      </c>
      <c r="I178" s="74">
        <v>1.0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1.0</v>
      </c>
      <c r="Q178" s="74">
        <v>0.0</v>
      </c>
      <c r="R178" s="74">
        <v>0.0</v>
      </c>
      <c r="S178" s="74">
        <v>1.0</v>
      </c>
      <c r="T178" s="74">
        <v>3.0</v>
      </c>
      <c r="U178" s="74">
        <v>1.0</v>
      </c>
      <c r="V178" s="74">
        <v>1.0</v>
      </c>
      <c r="W178" s="13">
        <f t="shared" si="36"/>
        <v>9</v>
      </c>
      <c r="X178" s="5"/>
      <c r="Y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2.0</v>
      </c>
      <c r="V179" s="74">
        <v>1.0</v>
      </c>
      <c r="W179" s="13">
        <f t="shared" si="36"/>
        <v>3</v>
      </c>
      <c r="X179" s="5"/>
      <c r="Y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1.0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13">
        <f t="shared" si="36"/>
        <v>2</v>
      </c>
      <c r="X180" s="5"/>
      <c r="Y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1.0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3.0</v>
      </c>
      <c r="U181" s="74">
        <v>0.0</v>
      </c>
      <c r="V181" s="74">
        <v>0.0</v>
      </c>
      <c r="W181" s="13">
        <f t="shared" si="36"/>
        <v>4</v>
      </c>
      <c r="X181" s="5"/>
      <c r="Y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13">
        <f t="shared" si="36"/>
        <v>0</v>
      </c>
      <c r="X182" s="5"/>
      <c r="Y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1.0</v>
      </c>
      <c r="L183" s="74">
        <v>0.0</v>
      </c>
      <c r="M183" s="74">
        <v>0.0</v>
      </c>
      <c r="N183" s="74">
        <v>0.0</v>
      </c>
      <c r="O183" s="74">
        <v>0.0</v>
      </c>
      <c r="P183" s="74">
        <v>1.0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1.0</v>
      </c>
      <c r="W183" s="13">
        <f t="shared" si="36"/>
        <v>3</v>
      </c>
      <c r="X183" s="5"/>
      <c r="Y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13">
        <f t="shared" si="36"/>
        <v>0</v>
      </c>
      <c r="X184" s="5"/>
      <c r="Y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13">
        <f t="shared" si="36"/>
        <v>0</v>
      </c>
      <c r="X185" s="5"/>
      <c r="Y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13">
        <f t="shared" si="36"/>
        <v>0</v>
      </c>
      <c r="X186" s="5"/>
      <c r="Y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>SUM(E177:E186)</f>
        <v>0</v>
      </c>
      <c r="F187" s="13">
        <f t="shared" ref="F187:V187" si="37">SUM(F177:F184)</f>
        <v>0</v>
      </c>
      <c r="G187" s="13">
        <f t="shared" si="37"/>
        <v>2</v>
      </c>
      <c r="H187" s="13">
        <f t="shared" si="37"/>
        <v>1</v>
      </c>
      <c r="I187" s="13">
        <f t="shared" si="37"/>
        <v>1</v>
      </c>
      <c r="J187" s="13">
        <f t="shared" si="37"/>
        <v>1</v>
      </c>
      <c r="K187" s="13">
        <f t="shared" si="37"/>
        <v>3</v>
      </c>
      <c r="L187" s="13">
        <f t="shared" si="37"/>
        <v>0</v>
      </c>
      <c r="M187" s="13">
        <f t="shared" si="37"/>
        <v>0</v>
      </c>
      <c r="N187" s="13">
        <f t="shared" si="37"/>
        <v>1</v>
      </c>
      <c r="O187" s="13">
        <f t="shared" si="37"/>
        <v>0</v>
      </c>
      <c r="P187" s="13">
        <f t="shared" si="37"/>
        <v>2</v>
      </c>
      <c r="Q187" s="13">
        <f t="shared" si="37"/>
        <v>1</v>
      </c>
      <c r="R187" s="13">
        <f t="shared" si="37"/>
        <v>1</v>
      </c>
      <c r="S187" s="13">
        <f t="shared" si="37"/>
        <v>2</v>
      </c>
      <c r="T187" s="13">
        <f t="shared" si="37"/>
        <v>6</v>
      </c>
      <c r="U187" s="13">
        <f t="shared" si="37"/>
        <v>6</v>
      </c>
      <c r="V187" s="13">
        <f t="shared" si="37"/>
        <v>3</v>
      </c>
      <c r="W187" s="13">
        <f t="shared" si="36"/>
        <v>30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1.0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1.0</v>
      </c>
      <c r="S189" s="74">
        <v>0.0</v>
      </c>
      <c r="T189" s="74">
        <v>0.0</v>
      </c>
      <c r="U189" s="74">
        <v>0.0</v>
      </c>
      <c r="V189" s="74">
        <v>1.0</v>
      </c>
      <c r="W189" s="13">
        <f t="shared" ref="W189:W199" si="38">SUM(E189:V189)</f>
        <v>3</v>
      </c>
      <c r="X189" s="5"/>
      <c r="Y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1.0</v>
      </c>
      <c r="S190" s="74">
        <v>0.0</v>
      </c>
      <c r="T190" s="74">
        <v>1.0</v>
      </c>
      <c r="U190" s="74">
        <v>0.0</v>
      </c>
      <c r="V190" s="74">
        <v>0.0</v>
      </c>
      <c r="W190" s="13">
        <f t="shared" si="38"/>
        <v>3</v>
      </c>
      <c r="X190" s="5"/>
      <c r="Y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1.0</v>
      </c>
      <c r="K191" s="74">
        <v>0.0</v>
      </c>
      <c r="L191" s="74">
        <v>0.0</v>
      </c>
      <c r="M191" s="74">
        <v>1.0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13">
        <f t="shared" si="38"/>
        <v>2</v>
      </c>
      <c r="X191" s="5"/>
      <c r="Y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13">
        <f t="shared" si="38"/>
        <v>0</v>
      </c>
      <c r="X192" s="5"/>
      <c r="Y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13">
        <f t="shared" si="38"/>
        <v>0</v>
      </c>
      <c r="X193" s="5"/>
      <c r="Y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13">
        <f t="shared" si="38"/>
        <v>0</v>
      </c>
      <c r="X194" s="5"/>
      <c r="Y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13">
        <f t="shared" si="38"/>
        <v>0</v>
      </c>
      <c r="X195" s="5"/>
      <c r="Y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13">
        <f t="shared" si="38"/>
        <v>0</v>
      </c>
      <c r="X196" s="1"/>
      <c r="Y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13">
        <f t="shared" si="38"/>
        <v>0</v>
      </c>
      <c r="X197" s="1"/>
      <c r="Y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1.0</v>
      </c>
      <c r="U198" s="74">
        <v>0.0</v>
      </c>
      <c r="V198" s="74">
        <v>0.0</v>
      </c>
      <c r="W198" s="13">
        <f t="shared" si="38"/>
        <v>1</v>
      </c>
      <c r="X198" s="1"/>
      <c r="Y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V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2</v>
      </c>
      <c r="U199" s="13">
        <f t="shared" si="39"/>
        <v>0</v>
      </c>
      <c r="V199" s="13">
        <f t="shared" si="39"/>
        <v>1</v>
      </c>
      <c r="W199" s="13">
        <f t="shared" si="38"/>
        <v>9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5"/>
      <c r="Y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0.0</v>
      </c>
      <c r="F201" s="74">
        <v>1.0</v>
      </c>
      <c r="G201" s="74">
        <v>0.0</v>
      </c>
      <c r="H201" s="74">
        <v>1.0</v>
      </c>
      <c r="I201" s="74">
        <v>1.0</v>
      </c>
      <c r="J201" s="74">
        <v>2.0</v>
      </c>
      <c r="K201" s="74">
        <v>1.0</v>
      </c>
      <c r="L201" s="74">
        <v>1.0</v>
      </c>
      <c r="M201" s="74">
        <v>1.0</v>
      </c>
      <c r="N201" s="74">
        <v>1.0</v>
      </c>
      <c r="O201" s="74">
        <v>3.0</v>
      </c>
      <c r="P201" s="74">
        <v>1.0</v>
      </c>
      <c r="Q201" s="74">
        <v>1.0</v>
      </c>
      <c r="R201" s="74">
        <v>3.0</v>
      </c>
      <c r="S201" s="74">
        <v>2.0</v>
      </c>
      <c r="T201" s="74">
        <v>0.0</v>
      </c>
      <c r="U201" s="74">
        <v>4.0</v>
      </c>
      <c r="V201" s="74">
        <v>8.0</v>
      </c>
      <c r="W201" s="13">
        <f t="shared" ref="W201:W211" si="40">SUM(E201:V201)</f>
        <v>31</v>
      </c>
      <c r="X201" s="5"/>
      <c r="Y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0.0</v>
      </c>
      <c r="F202" s="74">
        <v>0.0</v>
      </c>
      <c r="G202" s="74">
        <v>1.0</v>
      </c>
      <c r="H202" s="74">
        <v>3.0</v>
      </c>
      <c r="I202" s="74">
        <v>0.0</v>
      </c>
      <c r="J202" s="74">
        <v>0.0</v>
      </c>
      <c r="K202" s="74">
        <v>1.0</v>
      </c>
      <c r="L202" s="74">
        <v>2.0</v>
      </c>
      <c r="M202" s="74">
        <v>0.0</v>
      </c>
      <c r="N202" s="74">
        <v>1.0</v>
      </c>
      <c r="O202" s="74">
        <v>6.0</v>
      </c>
      <c r="P202" s="74">
        <v>0.0</v>
      </c>
      <c r="Q202" s="74">
        <v>0.0</v>
      </c>
      <c r="R202" s="74">
        <v>0.0</v>
      </c>
      <c r="S202" s="74">
        <v>1.0</v>
      </c>
      <c r="T202" s="74">
        <v>3.0</v>
      </c>
      <c r="U202" s="74">
        <v>0.0</v>
      </c>
      <c r="V202" s="74">
        <v>0.0</v>
      </c>
      <c r="W202" s="13">
        <f t="shared" si="40"/>
        <v>18</v>
      </c>
      <c r="X202" s="5"/>
      <c r="Y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3.0</v>
      </c>
      <c r="G203" s="74">
        <v>0.0</v>
      </c>
      <c r="H203" s="74">
        <v>0.0</v>
      </c>
      <c r="I203" s="74">
        <v>0.0</v>
      </c>
      <c r="J203" s="74">
        <v>1.0</v>
      </c>
      <c r="K203" s="74">
        <v>0.0</v>
      </c>
      <c r="L203" s="74">
        <v>0.0</v>
      </c>
      <c r="M203" s="74">
        <v>1.0</v>
      </c>
      <c r="N203" s="74">
        <v>0.0</v>
      </c>
      <c r="O203" s="74">
        <v>2.0</v>
      </c>
      <c r="P203" s="74">
        <v>2.0</v>
      </c>
      <c r="Q203" s="74">
        <v>0.0</v>
      </c>
      <c r="R203" s="74">
        <v>1.0</v>
      </c>
      <c r="S203" s="74">
        <v>1.0</v>
      </c>
      <c r="T203" s="74">
        <v>4.0</v>
      </c>
      <c r="U203" s="74">
        <v>3.0</v>
      </c>
      <c r="V203" s="74">
        <v>8.0</v>
      </c>
      <c r="W203" s="13">
        <f t="shared" si="40"/>
        <v>26</v>
      </c>
      <c r="X203" s="5"/>
      <c r="Y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1.0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1.0</v>
      </c>
      <c r="P204" s="74">
        <v>0.0</v>
      </c>
      <c r="Q204" s="74">
        <v>0.0</v>
      </c>
      <c r="R204" s="74">
        <v>0.0</v>
      </c>
      <c r="S204" s="74">
        <v>0.0</v>
      </c>
      <c r="T204" s="74">
        <v>1.0</v>
      </c>
      <c r="U204" s="74">
        <v>0.0</v>
      </c>
      <c r="V204" s="74">
        <v>0.0</v>
      </c>
      <c r="W204" s="13">
        <f t="shared" si="40"/>
        <v>3</v>
      </c>
      <c r="X204" s="5"/>
      <c r="Y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1.0</v>
      </c>
      <c r="T205" s="74">
        <v>0.0</v>
      </c>
      <c r="U205" s="74">
        <v>0.0</v>
      </c>
      <c r="V205" s="74">
        <v>0.0</v>
      </c>
      <c r="W205" s="13">
        <f t="shared" si="40"/>
        <v>1</v>
      </c>
      <c r="X205" s="5"/>
      <c r="Y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2.0</v>
      </c>
      <c r="P206" s="74">
        <v>0.0</v>
      </c>
      <c r="Q206" s="74">
        <v>0.0</v>
      </c>
      <c r="R206" s="74">
        <v>0.0</v>
      </c>
      <c r="S206" s="74">
        <v>1.0</v>
      </c>
      <c r="T206" s="74">
        <v>0.0</v>
      </c>
      <c r="U206" s="74">
        <v>0.0</v>
      </c>
      <c r="V206" s="74">
        <v>0.0</v>
      </c>
      <c r="W206" s="13">
        <f t="shared" si="40"/>
        <v>3</v>
      </c>
      <c r="X206" s="5"/>
      <c r="Y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2.0</v>
      </c>
      <c r="I207" s="74">
        <v>0.0</v>
      </c>
      <c r="J207" s="74">
        <v>1.0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1.0</v>
      </c>
      <c r="R207" s="74">
        <v>0.0</v>
      </c>
      <c r="S207" s="74">
        <v>0.0</v>
      </c>
      <c r="T207" s="74">
        <v>0.0</v>
      </c>
      <c r="U207" s="74">
        <v>1.0</v>
      </c>
      <c r="V207" s="74">
        <v>0.0</v>
      </c>
      <c r="W207" s="13">
        <f t="shared" si="40"/>
        <v>5</v>
      </c>
      <c r="X207" s="1"/>
      <c r="Y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1.0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13">
        <f t="shared" si="40"/>
        <v>1</v>
      </c>
      <c r="X208" s="52"/>
      <c r="Y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13">
        <f t="shared" si="40"/>
        <v>0</v>
      </c>
      <c r="X209" s="52"/>
      <c r="Y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13">
        <f t="shared" si="40"/>
        <v>0</v>
      </c>
      <c r="X210" s="52"/>
      <c r="Y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V211" si="41">SUM(E201:E210)</f>
        <v>0</v>
      </c>
      <c r="F211" s="13">
        <f t="shared" si="41"/>
        <v>4</v>
      </c>
      <c r="G211" s="13">
        <f t="shared" si="41"/>
        <v>1</v>
      </c>
      <c r="H211" s="13">
        <f t="shared" si="41"/>
        <v>6</v>
      </c>
      <c r="I211" s="13">
        <f t="shared" si="41"/>
        <v>3</v>
      </c>
      <c r="J211" s="13">
        <f t="shared" si="41"/>
        <v>4</v>
      </c>
      <c r="K211" s="13">
        <f t="shared" si="41"/>
        <v>2</v>
      </c>
      <c r="L211" s="13">
        <f t="shared" si="41"/>
        <v>3</v>
      </c>
      <c r="M211" s="13">
        <f t="shared" si="41"/>
        <v>2</v>
      </c>
      <c r="N211" s="13">
        <f t="shared" si="41"/>
        <v>2</v>
      </c>
      <c r="O211" s="13">
        <f t="shared" si="41"/>
        <v>14</v>
      </c>
      <c r="P211" s="13">
        <f t="shared" si="41"/>
        <v>3</v>
      </c>
      <c r="Q211" s="13">
        <f t="shared" si="41"/>
        <v>2</v>
      </c>
      <c r="R211" s="13">
        <f t="shared" si="41"/>
        <v>4</v>
      </c>
      <c r="S211" s="13">
        <f t="shared" si="41"/>
        <v>6</v>
      </c>
      <c r="T211" s="13">
        <f t="shared" si="41"/>
        <v>8</v>
      </c>
      <c r="U211" s="13">
        <f t="shared" si="41"/>
        <v>8</v>
      </c>
      <c r="V211" s="13">
        <f t="shared" si="41"/>
        <v>16</v>
      </c>
      <c r="W211" s="13">
        <f t="shared" si="40"/>
        <v>88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5"/>
      <c r="Y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2.0</v>
      </c>
      <c r="G213" s="74">
        <v>2.0</v>
      </c>
      <c r="H213" s="74">
        <v>3.0</v>
      </c>
      <c r="I213" s="74">
        <v>7.0</v>
      </c>
      <c r="J213" s="74">
        <v>0.0</v>
      </c>
      <c r="K213" s="74">
        <v>3.0</v>
      </c>
      <c r="L213" s="74">
        <v>6.0</v>
      </c>
      <c r="M213" s="74">
        <v>1.0</v>
      </c>
      <c r="N213" s="74">
        <v>0.0</v>
      </c>
      <c r="O213" s="74">
        <v>2.0</v>
      </c>
      <c r="P213" s="74">
        <v>1.0</v>
      </c>
      <c r="Q213" s="74">
        <v>0.0</v>
      </c>
      <c r="R213" s="74">
        <v>0.0</v>
      </c>
      <c r="S213" s="74">
        <v>1.0</v>
      </c>
      <c r="T213" s="74">
        <v>0.0</v>
      </c>
      <c r="U213" s="74">
        <v>0.0</v>
      </c>
      <c r="V213" s="74">
        <v>0.0</v>
      </c>
      <c r="W213" s="13">
        <f t="shared" ref="W213:W216" si="42">SUM(E213:V213)</f>
        <v>28</v>
      </c>
      <c r="X213" s="5"/>
      <c r="Y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2.0</v>
      </c>
      <c r="H214" s="74">
        <v>3.0</v>
      </c>
      <c r="I214" s="74">
        <v>2.0</v>
      </c>
      <c r="J214" s="74">
        <v>0.0</v>
      </c>
      <c r="K214" s="74">
        <v>2.0</v>
      </c>
      <c r="L214" s="74">
        <v>2.0</v>
      </c>
      <c r="M214" s="74">
        <v>1.0</v>
      </c>
      <c r="N214" s="74">
        <v>5.0</v>
      </c>
      <c r="O214" s="74">
        <v>0.0</v>
      </c>
      <c r="P214" s="74">
        <v>1.0</v>
      </c>
      <c r="Q214" s="74">
        <v>0.0</v>
      </c>
      <c r="R214" s="74">
        <v>1.0</v>
      </c>
      <c r="S214" s="74">
        <v>1.0</v>
      </c>
      <c r="T214" s="74">
        <v>2.0</v>
      </c>
      <c r="U214" s="74">
        <v>0.0</v>
      </c>
      <c r="V214" s="74">
        <v>3.0</v>
      </c>
      <c r="W214" s="13">
        <f t="shared" si="42"/>
        <v>26</v>
      </c>
      <c r="X214" s="5"/>
      <c r="Y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2.0</v>
      </c>
      <c r="I215" s="74">
        <v>2.0</v>
      </c>
      <c r="J215" s="74">
        <v>1.0</v>
      </c>
      <c r="K215" s="74">
        <v>0.0</v>
      </c>
      <c r="L215" s="74">
        <v>1.0</v>
      </c>
      <c r="M215" s="74">
        <v>0.0</v>
      </c>
      <c r="N215" s="74">
        <v>1.0</v>
      </c>
      <c r="O215" s="74">
        <v>0.0</v>
      </c>
      <c r="P215" s="74">
        <v>2.0</v>
      </c>
      <c r="Q215" s="74">
        <v>1.0</v>
      </c>
      <c r="R215" s="74">
        <v>1.0</v>
      </c>
      <c r="S215" s="74">
        <v>0.0</v>
      </c>
      <c r="T215" s="74">
        <v>2.0</v>
      </c>
      <c r="U215" s="74">
        <v>0.0</v>
      </c>
      <c r="V215" s="74">
        <v>1.0</v>
      </c>
      <c r="W215" s="13">
        <f t="shared" si="42"/>
        <v>14</v>
      </c>
      <c r="X215" s="5"/>
      <c r="Y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1.0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1.0</v>
      </c>
      <c r="N216" s="74">
        <v>1.0</v>
      </c>
      <c r="O216" s="74">
        <v>0.0</v>
      </c>
      <c r="P216" s="74">
        <v>0.0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1.0</v>
      </c>
      <c r="W216" s="13">
        <f t="shared" si="42"/>
        <v>5</v>
      </c>
      <c r="X216" s="5"/>
      <c r="Y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79"/>
      <c r="X217" s="5"/>
      <c r="Y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79"/>
      <c r="X218" s="1"/>
      <c r="Y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79"/>
      <c r="X219" s="52"/>
      <c r="Y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79"/>
      <c r="X220" s="5"/>
      <c r="Y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79"/>
      <c r="X221" s="5"/>
      <c r="Y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79"/>
      <c r="X222" s="5"/>
      <c r="Y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V223" si="43">SUM(E213:E220)</f>
        <v>0</v>
      </c>
      <c r="F223" s="13">
        <f t="shared" si="43"/>
        <v>3</v>
      </c>
      <c r="G223" s="13">
        <f t="shared" si="43"/>
        <v>5</v>
      </c>
      <c r="H223" s="13">
        <f t="shared" si="43"/>
        <v>8</v>
      </c>
      <c r="I223" s="13">
        <f t="shared" si="43"/>
        <v>11</v>
      </c>
      <c r="J223" s="13">
        <f t="shared" si="43"/>
        <v>1</v>
      </c>
      <c r="K223" s="13">
        <f t="shared" si="43"/>
        <v>5</v>
      </c>
      <c r="L223" s="13">
        <f t="shared" si="43"/>
        <v>9</v>
      </c>
      <c r="M223" s="13">
        <f t="shared" si="43"/>
        <v>3</v>
      </c>
      <c r="N223" s="13">
        <f t="shared" si="43"/>
        <v>7</v>
      </c>
      <c r="O223" s="13">
        <f t="shared" si="43"/>
        <v>2</v>
      </c>
      <c r="P223" s="13">
        <f t="shared" si="43"/>
        <v>4</v>
      </c>
      <c r="Q223" s="13">
        <f t="shared" si="43"/>
        <v>2</v>
      </c>
      <c r="R223" s="13">
        <f t="shared" si="43"/>
        <v>2</v>
      </c>
      <c r="S223" s="13">
        <f t="shared" si="43"/>
        <v>2</v>
      </c>
      <c r="T223" s="13">
        <f t="shared" si="43"/>
        <v>4</v>
      </c>
      <c r="U223" s="13">
        <f t="shared" si="43"/>
        <v>0</v>
      </c>
      <c r="V223" s="13">
        <f t="shared" si="43"/>
        <v>5</v>
      </c>
      <c r="W223" s="13">
        <f>SUM(E223:V223)</f>
        <v>73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5"/>
      <c r="Y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3.0</v>
      </c>
      <c r="I225" s="74">
        <v>2.0</v>
      </c>
      <c r="J225" s="74">
        <v>1.0</v>
      </c>
      <c r="K225" s="74">
        <v>0.0</v>
      </c>
      <c r="L225" s="74">
        <v>0.0</v>
      </c>
      <c r="M225" s="74">
        <v>0.0</v>
      </c>
      <c r="N225" s="74">
        <v>1.0</v>
      </c>
      <c r="O225" s="74">
        <v>3.0</v>
      </c>
      <c r="P225" s="74">
        <v>0.0</v>
      </c>
      <c r="Q225" s="74">
        <v>1.0</v>
      </c>
      <c r="R225" s="74">
        <v>0.0</v>
      </c>
      <c r="S225" s="74">
        <v>1.0</v>
      </c>
      <c r="T225" s="74">
        <v>1.0</v>
      </c>
      <c r="U225" s="74">
        <v>1.0</v>
      </c>
      <c r="V225" s="74">
        <v>0.0</v>
      </c>
      <c r="W225" s="13">
        <f t="shared" ref="W225:W229" si="44">SUM(E225:V225)</f>
        <v>14</v>
      </c>
      <c r="X225" s="5"/>
      <c r="Y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1.0</v>
      </c>
      <c r="K226" s="74">
        <v>0.0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2.0</v>
      </c>
      <c r="W226" s="13">
        <f t="shared" si="44"/>
        <v>4</v>
      </c>
      <c r="X226" s="5"/>
      <c r="Y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13">
        <f t="shared" si="44"/>
        <v>0</v>
      </c>
      <c r="X227" s="5"/>
      <c r="Y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1.0</v>
      </c>
      <c r="M228" s="74">
        <v>0.0</v>
      </c>
      <c r="N228" s="74">
        <v>1.0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13">
        <f t="shared" si="44"/>
        <v>2</v>
      </c>
      <c r="X228" s="5"/>
      <c r="Y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2.0</v>
      </c>
      <c r="P229" s="74">
        <v>0.0</v>
      </c>
      <c r="Q229" s="74">
        <v>0.0</v>
      </c>
      <c r="R229" s="74">
        <v>0.0</v>
      </c>
      <c r="S229" s="74">
        <v>0.0</v>
      </c>
      <c r="T229" s="74">
        <v>1.0</v>
      </c>
      <c r="U229" s="74">
        <v>0.0</v>
      </c>
      <c r="V229" s="74">
        <v>0.0</v>
      </c>
      <c r="W229" s="13">
        <f t="shared" si="44"/>
        <v>3</v>
      </c>
      <c r="X229" s="1"/>
      <c r="Y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79"/>
      <c r="X230" s="52"/>
      <c r="Y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79"/>
      <c r="X231" s="5"/>
      <c r="Y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79"/>
      <c r="X232" s="5"/>
      <c r="Y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79"/>
      <c r="X233" s="5"/>
      <c r="Y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79"/>
      <c r="X234" s="5"/>
      <c r="Y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V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3</v>
      </c>
      <c r="I235" s="13">
        <f t="shared" si="45"/>
        <v>2</v>
      </c>
      <c r="J235" s="13">
        <f t="shared" si="45"/>
        <v>2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2</v>
      </c>
      <c r="O235" s="13">
        <f t="shared" si="45"/>
        <v>5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1</v>
      </c>
      <c r="T235" s="13">
        <f t="shared" si="45"/>
        <v>2</v>
      </c>
      <c r="U235" s="13">
        <f t="shared" si="45"/>
        <v>1</v>
      </c>
      <c r="V235" s="13">
        <f t="shared" si="45"/>
        <v>2</v>
      </c>
      <c r="W235" s="13">
        <f>SUM(E235:V235)</f>
        <v>23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5"/>
      <c r="Y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2.0</v>
      </c>
      <c r="H237" s="74">
        <v>0.0</v>
      </c>
      <c r="I237" s="74">
        <v>0.0</v>
      </c>
      <c r="J237" s="74">
        <v>0.0</v>
      </c>
      <c r="K237" s="74">
        <v>2.0</v>
      </c>
      <c r="L237" s="74">
        <v>1.0</v>
      </c>
      <c r="M237" s="74">
        <v>3.0</v>
      </c>
      <c r="N237" s="74">
        <v>3.0</v>
      </c>
      <c r="O237" s="74">
        <v>3.0</v>
      </c>
      <c r="P237" s="74">
        <v>1.0</v>
      </c>
      <c r="Q237" s="74">
        <v>1.0</v>
      </c>
      <c r="R237" s="74">
        <v>1.0</v>
      </c>
      <c r="S237" s="74">
        <v>2.0</v>
      </c>
      <c r="T237" s="74">
        <v>1.0</v>
      </c>
      <c r="U237" s="74">
        <v>2.0</v>
      </c>
      <c r="V237" s="74">
        <v>2.0</v>
      </c>
      <c r="W237" s="13">
        <f t="shared" ref="W237:W247" si="46">SUM(E237:V237)</f>
        <v>24</v>
      </c>
      <c r="X237" s="5"/>
      <c r="Y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4.0</v>
      </c>
      <c r="H238" s="74">
        <v>0.0</v>
      </c>
      <c r="I238" s="74">
        <v>0.0</v>
      </c>
      <c r="J238" s="74">
        <v>3.0</v>
      </c>
      <c r="K238" s="74">
        <v>0.0</v>
      </c>
      <c r="L238" s="74">
        <v>3.0</v>
      </c>
      <c r="M238" s="74">
        <v>1.0</v>
      </c>
      <c r="N238" s="74">
        <v>1.0</v>
      </c>
      <c r="O238" s="74">
        <v>2.0</v>
      </c>
      <c r="P238" s="74">
        <v>3.0</v>
      </c>
      <c r="Q238" s="74">
        <v>0.0</v>
      </c>
      <c r="R238" s="74">
        <v>1.0</v>
      </c>
      <c r="S238" s="74">
        <v>3.0</v>
      </c>
      <c r="T238" s="74">
        <v>2.0</v>
      </c>
      <c r="U238" s="74">
        <v>3.0</v>
      </c>
      <c r="V238" s="74">
        <v>3.0</v>
      </c>
      <c r="W238" s="13">
        <f t="shared" si="46"/>
        <v>29</v>
      </c>
      <c r="X238" s="5"/>
      <c r="Y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10.0</v>
      </c>
      <c r="H239" s="74">
        <v>2.0</v>
      </c>
      <c r="I239" s="74">
        <v>4.0</v>
      </c>
      <c r="J239" s="74">
        <v>6.0</v>
      </c>
      <c r="K239" s="74">
        <v>1.0</v>
      </c>
      <c r="L239" s="74">
        <v>4.0</v>
      </c>
      <c r="M239" s="74">
        <v>4.0</v>
      </c>
      <c r="N239" s="74">
        <v>8.0</v>
      </c>
      <c r="O239" s="74">
        <v>3.0</v>
      </c>
      <c r="P239" s="74">
        <v>9.0</v>
      </c>
      <c r="Q239" s="74">
        <v>2.0</v>
      </c>
      <c r="R239" s="74">
        <v>3.0</v>
      </c>
      <c r="S239" s="74">
        <v>4.0</v>
      </c>
      <c r="T239" s="74">
        <v>1.0</v>
      </c>
      <c r="U239" s="74">
        <v>2.0</v>
      </c>
      <c r="V239" s="74">
        <v>0.0</v>
      </c>
      <c r="W239" s="13">
        <f t="shared" si="46"/>
        <v>63</v>
      </c>
      <c r="X239" s="5"/>
      <c r="Y239" s="5"/>
    </row>
    <row r="240" ht="12.75" customHeight="1">
      <c r="A240" s="18"/>
      <c r="B240" s="55"/>
      <c r="C240" s="50" t="s">
        <v>178</v>
      </c>
      <c r="D240" s="57"/>
      <c r="E240" s="74">
        <v>1.0</v>
      </c>
      <c r="F240" s="74">
        <v>0.0</v>
      </c>
      <c r="G240" s="74">
        <v>2.0</v>
      </c>
      <c r="H240" s="74">
        <v>0.0</v>
      </c>
      <c r="I240" s="74">
        <v>0.0</v>
      </c>
      <c r="J240" s="74">
        <v>1.0</v>
      </c>
      <c r="K240" s="74">
        <v>0.0</v>
      </c>
      <c r="L240" s="74">
        <v>0.0</v>
      </c>
      <c r="M240" s="74">
        <v>0.0</v>
      </c>
      <c r="N240" s="74">
        <v>1.0</v>
      </c>
      <c r="O240" s="74">
        <v>0.0</v>
      </c>
      <c r="P240" s="74">
        <v>0.0</v>
      </c>
      <c r="Q240" s="74">
        <v>0.0</v>
      </c>
      <c r="R240" s="74">
        <v>1.0</v>
      </c>
      <c r="S240" s="74">
        <v>0.0</v>
      </c>
      <c r="T240" s="74">
        <v>0.0</v>
      </c>
      <c r="U240" s="74">
        <v>0.0</v>
      </c>
      <c r="V240" s="74">
        <v>0.0</v>
      </c>
      <c r="W240" s="13">
        <f t="shared" si="46"/>
        <v>6</v>
      </c>
      <c r="X240" s="1"/>
      <c r="Y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1.0</v>
      </c>
      <c r="R241" s="74">
        <v>0.0</v>
      </c>
      <c r="S241" s="74">
        <v>0.0</v>
      </c>
      <c r="T241" s="74">
        <v>0.0</v>
      </c>
      <c r="U241" s="74">
        <v>1.0</v>
      </c>
      <c r="V241" s="74">
        <v>1.0</v>
      </c>
      <c r="W241" s="13">
        <f t="shared" si="46"/>
        <v>3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1.0</v>
      </c>
      <c r="K242" s="74">
        <v>1.0</v>
      </c>
      <c r="L242" s="74">
        <v>0.0</v>
      </c>
      <c r="M242" s="74">
        <v>0.0</v>
      </c>
      <c r="N242" s="74">
        <v>0.0</v>
      </c>
      <c r="O242" s="74">
        <v>0.0</v>
      </c>
      <c r="P242" s="74">
        <v>1.0</v>
      </c>
      <c r="Q242" s="74">
        <v>0.0</v>
      </c>
      <c r="R242" s="74">
        <v>1.0</v>
      </c>
      <c r="S242" s="74">
        <v>1.0</v>
      </c>
      <c r="T242" s="74">
        <v>0.0</v>
      </c>
      <c r="U242" s="74">
        <v>0.0</v>
      </c>
      <c r="V242" s="74">
        <v>0.0</v>
      </c>
      <c r="W242" s="13">
        <f t="shared" si="46"/>
        <v>5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13">
        <f t="shared" si="46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13">
        <f t="shared" si="46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1.0</v>
      </c>
      <c r="R245" s="74">
        <v>1.0</v>
      </c>
      <c r="S245" s="74">
        <v>0.0</v>
      </c>
      <c r="T245" s="74">
        <v>0.0</v>
      </c>
      <c r="U245" s="74">
        <v>0.0</v>
      </c>
      <c r="V245" s="74">
        <v>0.0</v>
      </c>
      <c r="W245" s="13">
        <f t="shared" si="46"/>
        <v>2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1.0</v>
      </c>
      <c r="J246" s="74">
        <v>0.0</v>
      </c>
      <c r="K246" s="74">
        <v>0.0</v>
      </c>
      <c r="L246" s="74">
        <v>0.0</v>
      </c>
      <c r="M246" s="74">
        <v>0.0</v>
      </c>
      <c r="N246" s="74">
        <v>2.0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13">
        <f t="shared" si="46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V247" si="47">SUM(E237:E246)</f>
        <v>1</v>
      </c>
      <c r="F247" s="13">
        <f t="shared" si="47"/>
        <v>0</v>
      </c>
      <c r="G247" s="13">
        <f t="shared" si="47"/>
        <v>18</v>
      </c>
      <c r="H247" s="13">
        <f t="shared" si="47"/>
        <v>2</v>
      </c>
      <c r="I247" s="13">
        <f t="shared" si="47"/>
        <v>5</v>
      </c>
      <c r="J247" s="13">
        <f t="shared" si="47"/>
        <v>11</v>
      </c>
      <c r="K247" s="13">
        <f t="shared" si="47"/>
        <v>4</v>
      </c>
      <c r="L247" s="13">
        <f t="shared" si="47"/>
        <v>8</v>
      </c>
      <c r="M247" s="13">
        <f t="shared" si="47"/>
        <v>8</v>
      </c>
      <c r="N247" s="13">
        <f t="shared" si="47"/>
        <v>15</v>
      </c>
      <c r="O247" s="13">
        <f t="shared" si="47"/>
        <v>8</v>
      </c>
      <c r="P247" s="13">
        <f t="shared" si="47"/>
        <v>14</v>
      </c>
      <c r="Q247" s="13">
        <f t="shared" si="47"/>
        <v>5</v>
      </c>
      <c r="R247" s="13">
        <f t="shared" si="47"/>
        <v>8</v>
      </c>
      <c r="S247" s="13">
        <f t="shared" si="47"/>
        <v>10</v>
      </c>
      <c r="T247" s="13">
        <f t="shared" si="47"/>
        <v>4</v>
      </c>
      <c r="U247" s="13">
        <f t="shared" si="47"/>
        <v>8</v>
      </c>
      <c r="V247" s="13">
        <f t="shared" si="47"/>
        <v>6</v>
      </c>
      <c r="W247" s="13">
        <f t="shared" si="46"/>
        <v>135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1.0</v>
      </c>
      <c r="G249" s="74">
        <v>0.0</v>
      </c>
      <c r="H249" s="74">
        <v>0.0</v>
      </c>
      <c r="I249" s="74">
        <v>0.0</v>
      </c>
      <c r="J249" s="74">
        <v>2.0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3.0</v>
      </c>
      <c r="R249" s="74">
        <v>1.0</v>
      </c>
      <c r="S249" s="74">
        <v>0.0</v>
      </c>
      <c r="T249" s="74">
        <v>0.0</v>
      </c>
      <c r="U249" s="74">
        <v>1.0</v>
      </c>
      <c r="V249" s="74">
        <v>0.0</v>
      </c>
      <c r="W249" s="13">
        <f t="shared" ref="W249:W252" si="48">SUM(E249:V249)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2.0</v>
      </c>
      <c r="T250" s="74">
        <v>0.0</v>
      </c>
      <c r="U250" s="74">
        <v>0.0</v>
      </c>
      <c r="V250" s="74">
        <v>0.0</v>
      </c>
      <c r="W250" s="13">
        <f t="shared" si="48"/>
        <v>2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V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3</v>
      </c>
      <c r="R259" s="13">
        <f t="shared" si="49"/>
        <v>1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>SUM(E259:V259)</f>
        <v>10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3"/>
      <c r="O261" s="13"/>
      <c r="P261" s="13"/>
      <c r="Q261" s="13"/>
      <c r="R261" s="13"/>
      <c r="S261" s="83"/>
      <c r="T261" s="13"/>
      <c r="U261" s="13"/>
      <c r="V261" s="13"/>
      <c r="W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V262" si="50">E55+E67+E79+E91+E103+E115+E127+E139+E151+E163+E175+E187+E199+E211+E223+E235+E247+E259</f>
        <v>135</v>
      </c>
      <c r="F262" s="19">
        <f t="shared" si="50"/>
        <v>99</v>
      </c>
      <c r="G262" s="19">
        <f t="shared" si="50"/>
        <v>195</v>
      </c>
      <c r="H262" s="19">
        <f t="shared" si="50"/>
        <v>182</v>
      </c>
      <c r="I262" s="19">
        <f t="shared" si="50"/>
        <v>162</v>
      </c>
      <c r="J262" s="19">
        <f t="shared" si="50"/>
        <v>175</v>
      </c>
      <c r="K262" s="19">
        <f t="shared" si="50"/>
        <v>173</v>
      </c>
      <c r="L262" s="19">
        <f t="shared" si="50"/>
        <v>163</v>
      </c>
      <c r="M262" s="19">
        <f t="shared" si="50"/>
        <v>148</v>
      </c>
      <c r="N262" s="19">
        <f t="shared" si="50"/>
        <v>202</v>
      </c>
      <c r="O262" s="19">
        <f t="shared" si="50"/>
        <v>165</v>
      </c>
      <c r="P262" s="19">
        <f t="shared" si="50"/>
        <v>167</v>
      </c>
      <c r="Q262" s="19">
        <f t="shared" si="50"/>
        <v>189</v>
      </c>
      <c r="R262" s="19">
        <f t="shared" si="50"/>
        <v>191</v>
      </c>
      <c r="S262" s="19">
        <f t="shared" si="50"/>
        <v>200</v>
      </c>
      <c r="T262" s="19">
        <f t="shared" si="50"/>
        <v>162</v>
      </c>
      <c r="U262" s="19">
        <f t="shared" si="50"/>
        <v>193</v>
      </c>
      <c r="V262" s="19">
        <f t="shared" si="50"/>
        <v>206</v>
      </c>
      <c r="W262" s="13">
        <f t="shared" ref="W262:W264" si="51">SUM(E262:V262)</f>
        <v>3107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6.0</v>
      </c>
      <c r="F263" s="74">
        <v>5.0</v>
      </c>
      <c r="G263" s="74">
        <v>19.0</v>
      </c>
      <c r="H263" s="74">
        <v>26.0</v>
      </c>
      <c r="I263" s="74">
        <v>20.0</v>
      </c>
      <c r="J263" s="74">
        <v>31.0</v>
      </c>
      <c r="K263" s="74">
        <v>24.0</v>
      </c>
      <c r="L263" s="74">
        <v>28.0</v>
      </c>
      <c r="M263" s="74">
        <v>12.0</v>
      </c>
      <c r="N263" s="74">
        <v>26.0</v>
      </c>
      <c r="O263" s="74">
        <v>20.0</v>
      </c>
      <c r="P263" s="74">
        <v>14.0</v>
      </c>
      <c r="Q263" s="74">
        <v>28.0</v>
      </c>
      <c r="R263" s="74">
        <v>25.0</v>
      </c>
      <c r="S263" s="74">
        <v>18.0</v>
      </c>
      <c r="T263" s="74">
        <v>9.0</v>
      </c>
      <c r="U263" s="74">
        <v>17.0</v>
      </c>
      <c r="V263" s="74">
        <v>12.0</v>
      </c>
      <c r="W263" s="13">
        <f t="shared" si="51"/>
        <v>340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V264" si="52">SUM(E262:E263)</f>
        <v>141</v>
      </c>
      <c r="F264" s="13">
        <f t="shared" si="52"/>
        <v>104</v>
      </c>
      <c r="G264" s="13">
        <f t="shared" si="52"/>
        <v>214</v>
      </c>
      <c r="H264" s="13">
        <f t="shared" si="52"/>
        <v>208</v>
      </c>
      <c r="I264" s="13">
        <f t="shared" si="52"/>
        <v>182</v>
      </c>
      <c r="J264" s="13">
        <f t="shared" si="52"/>
        <v>206</v>
      </c>
      <c r="K264" s="13">
        <f t="shared" si="52"/>
        <v>197</v>
      </c>
      <c r="L264" s="13">
        <f t="shared" si="52"/>
        <v>191</v>
      </c>
      <c r="M264" s="13">
        <f t="shared" si="52"/>
        <v>160</v>
      </c>
      <c r="N264" s="13">
        <f t="shared" si="52"/>
        <v>228</v>
      </c>
      <c r="O264" s="13">
        <f t="shared" si="52"/>
        <v>185</v>
      </c>
      <c r="P264" s="13">
        <f t="shared" si="52"/>
        <v>181</v>
      </c>
      <c r="Q264" s="13">
        <f t="shared" si="52"/>
        <v>217</v>
      </c>
      <c r="R264" s="13">
        <f t="shared" si="52"/>
        <v>216</v>
      </c>
      <c r="S264" s="13">
        <f t="shared" si="52"/>
        <v>218</v>
      </c>
      <c r="T264" s="13">
        <f t="shared" si="52"/>
        <v>171</v>
      </c>
      <c r="U264" s="13">
        <f t="shared" si="52"/>
        <v>210</v>
      </c>
      <c r="V264" s="13">
        <f t="shared" si="52"/>
        <v>218</v>
      </c>
      <c r="W264" s="13">
        <f t="shared" si="51"/>
        <v>3447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V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T69:V78 E81:S90">
    <cfRule type="containsBlanks" dxfId="1" priority="13">
      <formula>LEN(TRIM(T69))=0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13" t="s">
        <v>220</v>
      </c>
      <c r="U13" s="13" t="s">
        <v>221</v>
      </c>
      <c r="V13" s="13" t="s">
        <v>222</v>
      </c>
      <c r="W13" s="13" t="s">
        <v>225</v>
      </c>
      <c r="X13" s="13" t="s">
        <v>226</v>
      </c>
      <c r="Y13" s="13" t="s">
        <v>227</v>
      </c>
      <c r="Z13" s="13" t="s">
        <v>228</v>
      </c>
      <c r="AA13" s="13" t="s">
        <v>229</v>
      </c>
      <c r="AB13" s="13" t="s">
        <v>230</v>
      </c>
      <c r="AC13" s="13" t="s">
        <v>231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74">
        <v>102.0</v>
      </c>
      <c r="F14" s="74">
        <v>102.0</v>
      </c>
      <c r="G14" s="74">
        <v>105.0</v>
      </c>
      <c r="H14" s="74">
        <v>102.0</v>
      </c>
      <c r="I14" s="74">
        <v>98.0</v>
      </c>
      <c r="J14" s="74">
        <v>96.0</v>
      </c>
      <c r="K14" s="74">
        <v>86.0</v>
      </c>
      <c r="L14" s="74">
        <v>99.0</v>
      </c>
      <c r="M14" s="74">
        <v>106.0</v>
      </c>
      <c r="N14" s="74">
        <v>147.0</v>
      </c>
      <c r="O14" s="74">
        <v>106.0</v>
      </c>
      <c r="P14" s="74">
        <v>96.0</v>
      </c>
      <c r="Q14" s="74">
        <v>129.0</v>
      </c>
      <c r="R14" s="74">
        <v>110.0</v>
      </c>
      <c r="S14" s="74">
        <v>88.0</v>
      </c>
      <c r="T14" s="74">
        <v>88.0</v>
      </c>
      <c r="U14" s="74">
        <v>101.0</v>
      </c>
      <c r="V14" s="74">
        <v>140.0</v>
      </c>
      <c r="W14" s="74">
        <v>124.0</v>
      </c>
      <c r="X14" s="74">
        <v>130.0</v>
      </c>
      <c r="Y14" s="74">
        <v>92.0</v>
      </c>
      <c r="Z14" s="74">
        <v>115.0</v>
      </c>
      <c r="AA14" s="74">
        <v>121.0</v>
      </c>
      <c r="AB14" s="74">
        <v>73.0</v>
      </c>
      <c r="AC14" s="74">
        <v>89.0</v>
      </c>
      <c r="AD14" s="13">
        <f t="shared" ref="AD14:AD16" si="1">SUM(E14:AC14)</f>
        <v>2645</v>
      </c>
    </row>
    <row r="15" ht="12.75" customHeight="1">
      <c r="A15" s="18"/>
      <c r="B15" s="26"/>
      <c r="C15" s="27"/>
      <c r="D15" s="19" t="s">
        <v>13</v>
      </c>
      <c r="E15" s="74">
        <v>103.0</v>
      </c>
      <c r="F15" s="74">
        <v>105.0</v>
      </c>
      <c r="G15" s="74">
        <v>114.0</v>
      </c>
      <c r="H15" s="74">
        <v>104.0</v>
      </c>
      <c r="I15" s="74">
        <v>102.0</v>
      </c>
      <c r="J15" s="74">
        <v>98.0</v>
      </c>
      <c r="K15" s="74">
        <v>90.0</v>
      </c>
      <c r="L15" s="74">
        <v>102.0</v>
      </c>
      <c r="M15" s="74">
        <v>98.0</v>
      </c>
      <c r="N15" s="74">
        <v>138.0</v>
      </c>
      <c r="O15" s="74">
        <v>105.0</v>
      </c>
      <c r="P15" s="74">
        <v>108.0</v>
      </c>
      <c r="Q15" s="74">
        <v>124.0</v>
      </c>
      <c r="R15" s="74">
        <v>106.0</v>
      </c>
      <c r="S15" s="74">
        <v>100.0</v>
      </c>
      <c r="T15" s="74">
        <v>83.0</v>
      </c>
      <c r="U15" s="74">
        <v>92.0</v>
      </c>
      <c r="V15" s="74">
        <v>138.0</v>
      </c>
      <c r="W15" s="74">
        <v>138.0</v>
      </c>
      <c r="X15" s="74">
        <v>135.0</v>
      </c>
      <c r="Y15" s="74">
        <v>92.0</v>
      </c>
      <c r="Z15" s="74">
        <v>115.0</v>
      </c>
      <c r="AA15" s="74">
        <v>126.0</v>
      </c>
      <c r="AB15" s="74">
        <v>79.0</v>
      </c>
      <c r="AC15" s="74">
        <v>96.0</v>
      </c>
      <c r="AD15" s="13">
        <f t="shared" si="1"/>
        <v>2691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205</v>
      </c>
      <c r="F16" s="13">
        <f t="shared" si="2"/>
        <v>207</v>
      </c>
      <c r="G16" s="13">
        <f t="shared" si="2"/>
        <v>219</v>
      </c>
      <c r="H16" s="13">
        <f t="shared" si="2"/>
        <v>206</v>
      </c>
      <c r="I16" s="13">
        <f t="shared" si="2"/>
        <v>200</v>
      </c>
      <c r="J16" s="13">
        <f t="shared" si="2"/>
        <v>194</v>
      </c>
      <c r="K16" s="13">
        <f t="shared" si="2"/>
        <v>176</v>
      </c>
      <c r="L16" s="13">
        <f t="shared" si="2"/>
        <v>201</v>
      </c>
      <c r="M16" s="13">
        <f t="shared" si="2"/>
        <v>204</v>
      </c>
      <c r="N16" s="13">
        <f t="shared" si="2"/>
        <v>285</v>
      </c>
      <c r="O16" s="13">
        <f t="shared" si="2"/>
        <v>211</v>
      </c>
      <c r="P16" s="13">
        <f t="shared" si="2"/>
        <v>204</v>
      </c>
      <c r="Q16" s="13">
        <f t="shared" si="2"/>
        <v>253</v>
      </c>
      <c r="R16" s="13">
        <f t="shared" si="2"/>
        <v>216</v>
      </c>
      <c r="S16" s="13">
        <f t="shared" si="2"/>
        <v>188</v>
      </c>
      <c r="T16" s="13">
        <f t="shared" si="2"/>
        <v>171</v>
      </c>
      <c r="U16" s="13">
        <f t="shared" si="2"/>
        <v>193</v>
      </c>
      <c r="V16" s="13">
        <f t="shared" si="2"/>
        <v>278</v>
      </c>
      <c r="W16" s="13">
        <f t="shared" si="2"/>
        <v>262</v>
      </c>
      <c r="X16" s="13">
        <f t="shared" si="2"/>
        <v>265</v>
      </c>
      <c r="Y16" s="13">
        <f t="shared" si="2"/>
        <v>184</v>
      </c>
      <c r="Z16" s="13">
        <f t="shared" si="2"/>
        <v>230</v>
      </c>
      <c r="AA16" s="13">
        <f t="shared" si="2"/>
        <v>247</v>
      </c>
      <c r="AB16" s="13">
        <f t="shared" si="2"/>
        <v>152</v>
      </c>
      <c r="AC16" s="13">
        <f t="shared" si="2"/>
        <v>185</v>
      </c>
      <c r="AD16" s="13">
        <f t="shared" si="1"/>
        <v>5336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2"/>
      <c r="O17" s="19"/>
      <c r="P17" s="19"/>
      <c r="Q17" s="19"/>
      <c r="R17" s="19"/>
      <c r="S17" s="82"/>
      <c r="T17" s="19"/>
      <c r="U17" s="19"/>
      <c r="V17" s="19"/>
      <c r="W17" s="19"/>
      <c r="X17" s="82"/>
      <c r="Y17" s="19"/>
      <c r="Z17" s="19"/>
      <c r="AA17" s="19"/>
      <c r="AB17" s="19"/>
      <c r="AC17" s="82"/>
      <c r="AD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2"/>
      <c r="O18" s="19"/>
      <c r="P18" s="19"/>
      <c r="Q18" s="19"/>
      <c r="R18" s="19"/>
      <c r="S18" s="82"/>
      <c r="T18" s="19"/>
      <c r="U18" s="19"/>
      <c r="V18" s="19"/>
      <c r="W18" s="19"/>
      <c r="X18" s="82"/>
      <c r="Y18" s="19"/>
      <c r="Z18" s="19"/>
      <c r="AA18" s="19"/>
      <c r="AB18" s="19"/>
      <c r="AC18" s="82"/>
      <c r="AD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80.0</v>
      </c>
      <c r="F19" s="74">
        <v>70.0</v>
      </c>
      <c r="G19" s="74">
        <v>73.0</v>
      </c>
      <c r="H19" s="74">
        <v>81.0</v>
      </c>
      <c r="I19" s="74">
        <v>73.0</v>
      </c>
      <c r="J19" s="74">
        <v>72.0</v>
      </c>
      <c r="K19" s="74">
        <v>62.0</v>
      </c>
      <c r="L19" s="74">
        <v>78.0</v>
      </c>
      <c r="M19" s="74">
        <v>86.0</v>
      </c>
      <c r="N19" s="74">
        <v>108.0</v>
      </c>
      <c r="O19" s="74">
        <v>85.0</v>
      </c>
      <c r="P19" s="74">
        <v>75.0</v>
      </c>
      <c r="Q19" s="74">
        <v>117.0</v>
      </c>
      <c r="R19" s="74">
        <v>89.0</v>
      </c>
      <c r="S19" s="74">
        <v>71.0</v>
      </c>
      <c r="T19" s="74">
        <v>77.0</v>
      </c>
      <c r="U19" s="74">
        <v>84.0</v>
      </c>
      <c r="V19" s="74">
        <v>110.0</v>
      </c>
      <c r="W19" s="74">
        <v>94.0</v>
      </c>
      <c r="X19" s="74">
        <v>101.0</v>
      </c>
      <c r="Y19" s="74">
        <v>74.0</v>
      </c>
      <c r="Z19" s="74">
        <v>92.0</v>
      </c>
      <c r="AA19" s="74">
        <v>104.0</v>
      </c>
      <c r="AB19" s="74">
        <v>71.0</v>
      </c>
      <c r="AC19" s="74">
        <v>68.0</v>
      </c>
      <c r="AD19" s="13">
        <f t="shared" ref="AD19:AD30" si="3">SUM(E19:AC19)</f>
        <v>2095</v>
      </c>
    </row>
    <row r="20" ht="12.75" customHeight="1">
      <c r="A20" s="33"/>
      <c r="B20" s="27"/>
      <c r="C20" s="34"/>
      <c r="D20" s="19" t="s">
        <v>13</v>
      </c>
      <c r="E20" s="74">
        <v>82.0</v>
      </c>
      <c r="F20" s="74">
        <v>74.0</v>
      </c>
      <c r="G20" s="74">
        <v>92.0</v>
      </c>
      <c r="H20" s="74">
        <v>85.0</v>
      </c>
      <c r="I20" s="74">
        <v>79.0</v>
      </c>
      <c r="J20" s="74">
        <v>78.0</v>
      </c>
      <c r="K20" s="74">
        <v>73.0</v>
      </c>
      <c r="L20" s="74">
        <v>91.0</v>
      </c>
      <c r="M20" s="74">
        <v>80.0</v>
      </c>
      <c r="N20" s="74">
        <v>110.0</v>
      </c>
      <c r="O20" s="74">
        <v>85.0</v>
      </c>
      <c r="P20" s="74">
        <v>88.0</v>
      </c>
      <c r="Q20" s="74">
        <v>113.0</v>
      </c>
      <c r="R20" s="74">
        <v>89.0</v>
      </c>
      <c r="S20" s="74">
        <v>86.0</v>
      </c>
      <c r="T20" s="74">
        <v>76.0</v>
      </c>
      <c r="U20" s="74">
        <v>83.0</v>
      </c>
      <c r="V20" s="74">
        <v>114.0</v>
      </c>
      <c r="W20" s="74">
        <v>111.0</v>
      </c>
      <c r="X20" s="74">
        <v>122.0</v>
      </c>
      <c r="Y20" s="74">
        <v>78.0</v>
      </c>
      <c r="Z20" s="74">
        <v>92.0</v>
      </c>
      <c r="AA20" s="74">
        <v>102.0</v>
      </c>
      <c r="AB20" s="74">
        <v>61.0</v>
      </c>
      <c r="AC20" s="74">
        <v>76.0</v>
      </c>
      <c r="AD20" s="13">
        <f t="shared" si="3"/>
        <v>2220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162</v>
      </c>
      <c r="F21" s="13">
        <f t="shared" si="4"/>
        <v>144</v>
      </c>
      <c r="G21" s="13">
        <f t="shared" si="4"/>
        <v>165</v>
      </c>
      <c r="H21" s="13">
        <f t="shared" si="4"/>
        <v>166</v>
      </c>
      <c r="I21" s="13">
        <f t="shared" si="4"/>
        <v>152</v>
      </c>
      <c r="J21" s="13">
        <f t="shared" si="4"/>
        <v>150</v>
      </c>
      <c r="K21" s="13">
        <f t="shared" si="4"/>
        <v>135</v>
      </c>
      <c r="L21" s="13">
        <f t="shared" si="4"/>
        <v>169</v>
      </c>
      <c r="M21" s="13">
        <f t="shared" si="4"/>
        <v>166</v>
      </c>
      <c r="N21" s="13">
        <f t="shared" si="4"/>
        <v>218</v>
      </c>
      <c r="O21" s="13">
        <f t="shared" si="4"/>
        <v>170</v>
      </c>
      <c r="P21" s="13">
        <f t="shared" si="4"/>
        <v>163</v>
      </c>
      <c r="Q21" s="13">
        <f t="shared" si="4"/>
        <v>230</v>
      </c>
      <c r="R21" s="13">
        <f t="shared" si="4"/>
        <v>178</v>
      </c>
      <c r="S21" s="13">
        <f t="shared" si="4"/>
        <v>157</v>
      </c>
      <c r="T21" s="13">
        <f t="shared" si="4"/>
        <v>153</v>
      </c>
      <c r="U21" s="13">
        <f t="shared" si="4"/>
        <v>167</v>
      </c>
      <c r="V21" s="13">
        <f t="shared" si="4"/>
        <v>224</v>
      </c>
      <c r="W21" s="13">
        <f t="shared" si="4"/>
        <v>205</v>
      </c>
      <c r="X21" s="13">
        <f t="shared" si="4"/>
        <v>223</v>
      </c>
      <c r="Y21" s="13">
        <f t="shared" si="4"/>
        <v>152</v>
      </c>
      <c r="Z21" s="13">
        <f t="shared" si="4"/>
        <v>184</v>
      </c>
      <c r="AA21" s="13">
        <f t="shared" si="4"/>
        <v>206</v>
      </c>
      <c r="AB21" s="13">
        <f t="shared" si="4"/>
        <v>132</v>
      </c>
      <c r="AC21" s="13">
        <f t="shared" si="4"/>
        <v>144</v>
      </c>
      <c r="AD21" s="13">
        <f t="shared" si="3"/>
        <v>4315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1.0</v>
      </c>
      <c r="H25" s="74">
        <v>0.0</v>
      </c>
      <c r="I25" s="74">
        <v>1.0</v>
      </c>
      <c r="J25" s="74">
        <v>2.0</v>
      </c>
      <c r="K25" s="74">
        <v>0.0</v>
      </c>
      <c r="L25" s="74">
        <v>0.0</v>
      </c>
      <c r="M25" s="74">
        <v>0.0</v>
      </c>
      <c r="N25" s="74">
        <v>1.0</v>
      </c>
      <c r="O25" s="74">
        <v>1.0</v>
      </c>
      <c r="P25" s="74">
        <v>11.0</v>
      </c>
      <c r="Q25" s="74">
        <v>0.0</v>
      </c>
      <c r="R25" s="74">
        <v>5.0</v>
      </c>
      <c r="S25" s="74">
        <v>4.0</v>
      </c>
      <c r="T25" s="74">
        <v>3.0</v>
      </c>
      <c r="U25" s="74">
        <v>3.0</v>
      </c>
      <c r="V25" s="74">
        <v>1.0</v>
      </c>
      <c r="W25" s="74">
        <v>3.0</v>
      </c>
      <c r="X25" s="74">
        <v>0.0</v>
      </c>
      <c r="Y25" s="74">
        <v>3.0</v>
      </c>
      <c r="Z25" s="74">
        <v>3.0</v>
      </c>
      <c r="AA25" s="74">
        <v>1.0</v>
      </c>
      <c r="AB25" s="74">
        <v>2.0</v>
      </c>
      <c r="AC25" s="74">
        <v>1.0</v>
      </c>
      <c r="AD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1.0</v>
      </c>
      <c r="G26" s="74">
        <v>2.0</v>
      </c>
      <c r="H26" s="74">
        <v>0.0</v>
      </c>
      <c r="I26" s="74">
        <v>0.0</v>
      </c>
      <c r="J26" s="74">
        <v>2.0</v>
      </c>
      <c r="K26" s="74">
        <v>0.0</v>
      </c>
      <c r="L26" s="74">
        <v>2.0</v>
      </c>
      <c r="M26" s="74">
        <v>1.0</v>
      </c>
      <c r="N26" s="74">
        <v>0.0</v>
      </c>
      <c r="O26" s="74">
        <v>2.0</v>
      </c>
      <c r="P26" s="74">
        <v>11.0</v>
      </c>
      <c r="Q26" s="74">
        <v>0.0</v>
      </c>
      <c r="R26" s="74">
        <v>5.0</v>
      </c>
      <c r="S26" s="74">
        <v>2.0</v>
      </c>
      <c r="T26" s="74">
        <v>4.0</v>
      </c>
      <c r="U26" s="74">
        <v>4.0</v>
      </c>
      <c r="V26" s="74">
        <v>0.0</v>
      </c>
      <c r="W26" s="74">
        <v>4.0</v>
      </c>
      <c r="X26" s="74">
        <v>0.0</v>
      </c>
      <c r="Y26" s="74">
        <v>3.0</v>
      </c>
      <c r="Z26" s="74">
        <v>0.0</v>
      </c>
      <c r="AA26" s="74">
        <v>2.0</v>
      </c>
      <c r="AB26" s="74">
        <v>4.0</v>
      </c>
      <c r="AC26" s="74">
        <v>2.0</v>
      </c>
      <c r="AD26" s="13">
        <f t="shared" si="3"/>
        <v>52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2</v>
      </c>
      <c r="F27" s="13">
        <f t="shared" si="6"/>
        <v>1</v>
      </c>
      <c r="G27" s="13">
        <f t="shared" si="6"/>
        <v>3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22</v>
      </c>
      <c r="Q27" s="13">
        <f t="shared" si="6"/>
        <v>0</v>
      </c>
      <c r="R27" s="13">
        <f t="shared" si="6"/>
        <v>10</v>
      </c>
      <c r="S27" s="13">
        <f t="shared" si="6"/>
        <v>6</v>
      </c>
      <c r="T27" s="13">
        <f t="shared" si="6"/>
        <v>7</v>
      </c>
      <c r="U27" s="13">
        <f t="shared" si="6"/>
        <v>7</v>
      </c>
      <c r="V27" s="13">
        <f t="shared" si="6"/>
        <v>1</v>
      </c>
      <c r="W27" s="13">
        <f t="shared" si="6"/>
        <v>7</v>
      </c>
      <c r="X27" s="13">
        <f t="shared" si="6"/>
        <v>0</v>
      </c>
      <c r="Y27" s="13">
        <f t="shared" si="6"/>
        <v>6</v>
      </c>
      <c r="Z27" s="13">
        <f t="shared" si="6"/>
        <v>3</v>
      </c>
      <c r="AA27" s="13">
        <f t="shared" si="6"/>
        <v>3</v>
      </c>
      <c r="AB27" s="13">
        <f t="shared" si="6"/>
        <v>6</v>
      </c>
      <c r="AC27" s="13">
        <f t="shared" si="6"/>
        <v>3</v>
      </c>
      <c r="AD27" s="13">
        <f t="shared" si="3"/>
        <v>99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81</v>
      </c>
      <c r="F28" s="13">
        <f t="shared" si="7"/>
        <v>70</v>
      </c>
      <c r="G28" s="13">
        <f t="shared" si="7"/>
        <v>74</v>
      </c>
      <c r="H28" s="13">
        <f t="shared" si="7"/>
        <v>81</v>
      </c>
      <c r="I28" s="13">
        <f t="shared" si="7"/>
        <v>74</v>
      </c>
      <c r="J28" s="13">
        <f t="shared" si="7"/>
        <v>74</v>
      </c>
      <c r="K28" s="13">
        <f t="shared" si="7"/>
        <v>62</v>
      </c>
      <c r="L28" s="13">
        <f t="shared" si="7"/>
        <v>78</v>
      </c>
      <c r="M28" s="13">
        <f t="shared" si="7"/>
        <v>86</v>
      </c>
      <c r="N28" s="13">
        <f t="shared" si="7"/>
        <v>109</v>
      </c>
      <c r="O28" s="13">
        <f t="shared" si="7"/>
        <v>86</v>
      </c>
      <c r="P28" s="13">
        <f t="shared" si="7"/>
        <v>87</v>
      </c>
      <c r="Q28" s="13">
        <f t="shared" si="7"/>
        <v>117</v>
      </c>
      <c r="R28" s="13">
        <f t="shared" si="7"/>
        <v>94</v>
      </c>
      <c r="S28" s="13">
        <f t="shared" si="7"/>
        <v>75</v>
      </c>
      <c r="T28" s="13">
        <f t="shared" si="7"/>
        <v>80</v>
      </c>
      <c r="U28" s="13">
        <f t="shared" si="7"/>
        <v>87</v>
      </c>
      <c r="V28" s="13">
        <f t="shared" si="7"/>
        <v>111</v>
      </c>
      <c r="W28" s="13">
        <f t="shared" si="7"/>
        <v>97</v>
      </c>
      <c r="X28" s="13">
        <f t="shared" si="7"/>
        <v>101</v>
      </c>
      <c r="Y28" s="13">
        <f t="shared" si="7"/>
        <v>77</v>
      </c>
      <c r="Z28" s="13">
        <f t="shared" si="7"/>
        <v>95</v>
      </c>
      <c r="AA28" s="13">
        <f t="shared" si="7"/>
        <v>105</v>
      </c>
      <c r="AB28" s="13">
        <f t="shared" si="7"/>
        <v>73</v>
      </c>
      <c r="AC28" s="13">
        <f t="shared" si="7"/>
        <v>69</v>
      </c>
      <c r="AD28" s="13">
        <f t="shared" si="3"/>
        <v>2143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83</v>
      </c>
      <c r="F29" s="13">
        <f t="shared" si="8"/>
        <v>75</v>
      </c>
      <c r="G29" s="13">
        <f t="shared" si="8"/>
        <v>94</v>
      </c>
      <c r="H29" s="13">
        <f t="shared" si="8"/>
        <v>85</v>
      </c>
      <c r="I29" s="13">
        <f t="shared" si="8"/>
        <v>79</v>
      </c>
      <c r="J29" s="13">
        <f t="shared" si="8"/>
        <v>80</v>
      </c>
      <c r="K29" s="13">
        <f t="shared" si="8"/>
        <v>73</v>
      </c>
      <c r="L29" s="13">
        <f t="shared" si="8"/>
        <v>93</v>
      </c>
      <c r="M29" s="13">
        <f t="shared" si="8"/>
        <v>81</v>
      </c>
      <c r="N29" s="13">
        <f t="shared" si="8"/>
        <v>110</v>
      </c>
      <c r="O29" s="13">
        <f t="shared" si="8"/>
        <v>87</v>
      </c>
      <c r="P29" s="13">
        <f t="shared" si="8"/>
        <v>99</v>
      </c>
      <c r="Q29" s="13">
        <f t="shared" si="8"/>
        <v>113</v>
      </c>
      <c r="R29" s="13">
        <f t="shared" si="8"/>
        <v>94</v>
      </c>
      <c r="S29" s="13">
        <f t="shared" si="8"/>
        <v>88</v>
      </c>
      <c r="T29" s="13">
        <f t="shared" si="8"/>
        <v>80</v>
      </c>
      <c r="U29" s="13">
        <f t="shared" si="8"/>
        <v>87</v>
      </c>
      <c r="V29" s="13">
        <f t="shared" si="8"/>
        <v>114</v>
      </c>
      <c r="W29" s="13">
        <f t="shared" si="8"/>
        <v>115</v>
      </c>
      <c r="X29" s="13">
        <f t="shared" si="8"/>
        <v>122</v>
      </c>
      <c r="Y29" s="13">
        <f t="shared" si="8"/>
        <v>81</v>
      </c>
      <c r="Z29" s="13">
        <f t="shared" si="8"/>
        <v>92</v>
      </c>
      <c r="AA29" s="13">
        <f t="shared" si="8"/>
        <v>104</v>
      </c>
      <c r="AB29" s="13">
        <f t="shared" si="8"/>
        <v>65</v>
      </c>
      <c r="AC29" s="13">
        <f t="shared" si="8"/>
        <v>78</v>
      </c>
      <c r="AD29" s="13">
        <f t="shared" si="3"/>
        <v>2272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164</v>
      </c>
      <c r="F30" s="13">
        <f t="shared" si="9"/>
        <v>145</v>
      </c>
      <c r="G30" s="13">
        <f t="shared" si="9"/>
        <v>168</v>
      </c>
      <c r="H30" s="13">
        <f t="shared" si="9"/>
        <v>166</v>
      </c>
      <c r="I30" s="13">
        <f t="shared" si="9"/>
        <v>153</v>
      </c>
      <c r="J30" s="13">
        <f t="shared" si="9"/>
        <v>154</v>
      </c>
      <c r="K30" s="13">
        <f t="shared" si="9"/>
        <v>135</v>
      </c>
      <c r="L30" s="13">
        <f t="shared" si="9"/>
        <v>171</v>
      </c>
      <c r="M30" s="13">
        <f t="shared" si="9"/>
        <v>167</v>
      </c>
      <c r="N30" s="13">
        <f t="shared" si="9"/>
        <v>219</v>
      </c>
      <c r="O30" s="13">
        <f t="shared" si="9"/>
        <v>173</v>
      </c>
      <c r="P30" s="13">
        <f t="shared" si="9"/>
        <v>186</v>
      </c>
      <c r="Q30" s="13">
        <f t="shared" si="9"/>
        <v>230</v>
      </c>
      <c r="R30" s="13">
        <f t="shared" si="9"/>
        <v>188</v>
      </c>
      <c r="S30" s="13">
        <f t="shared" si="9"/>
        <v>163</v>
      </c>
      <c r="T30" s="13">
        <f t="shared" si="9"/>
        <v>160</v>
      </c>
      <c r="U30" s="13">
        <f t="shared" si="9"/>
        <v>174</v>
      </c>
      <c r="V30" s="13">
        <f t="shared" si="9"/>
        <v>225</v>
      </c>
      <c r="W30" s="13">
        <f t="shared" si="9"/>
        <v>212</v>
      </c>
      <c r="X30" s="13">
        <f t="shared" si="9"/>
        <v>223</v>
      </c>
      <c r="Y30" s="13">
        <f t="shared" si="9"/>
        <v>158</v>
      </c>
      <c r="Z30" s="13">
        <f t="shared" si="9"/>
        <v>187</v>
      </c>
      <c r="AA30" s="13">
        <f t="shared" si="9"/>
        <v>209</v>
      </c>
      <c r="AB30" s="13">
        <f t="shared" si="9"/>
        <v>138</v>
      </c>
      <c r="AC30" s="13">
        <f t="shared" si="9"/>
        <v>147</v>
      </c>
      <c r="AD30" s="13">
        <f t="shared" si="3"/>
        <v>4415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2"/>
      <c r="O31" s="19"/>
      <c r="P31" s="19"/>
      <c r="Q31" s="19"/>
      <c r="R31" s="19"/>
      <c r="S31" s="82"/>
      <c r="T31" s="19"/>
      <c r="U31" s="19"/>
      <c r="V31" s="19"/>
      <c r="W31" s="19"/>
      <c r="X31" s="82"/>
      <c r="Y31" s="19"/>
      <c r="Z31" s="19"/>
      <c r="AA31" s="19"/>
      <c r="AB31" s="19"/>
      <c r="AC31" s="82"/>
      <c r="AD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3"/>
      <c r="O32" s="13"/>
      <c r="P32" s="13"/>
      <c r="Q32" s="13"/>
      <c r="R32" s="13"/>
      <c r="S32" s="83"/>
      <c r="T32" s="13"/>
      <c r="U32" s="13"/>
      <c r="V32" s="13"/>
      <c r="W32" s="13"/>
      <c r="X32" s="83"/>
      <c r="Y32" s="13"/>
      <c r="Z32" s="13"/>
      <c r="AA32" s="13"/>
      <c r="AB32" s="13"/>
      <c r="AC32" s="83"/>
      <c r="AD32" s="75"/>
    </row>
    <row r="33" ht="12.75" customHeight="1">
      <c r="A33" s="19">
        <v>1.0</v>
      </c>
      <c r="B33" s="20" t="s">
        <v>27</v>
      </c>
      <c r="C33" s="15"/>
      <c r="D33" s="16"/>
      <c r="E33" s="74">
        <v>210.0</v>
      </c>
      <c r="F33" s="74">
        <v>212.0</v>
      </c>
      <c r="G33" s="74">
        <v>224.0</v>
      </c>
      <c r="H33" s="74">
        <v>170.0</v>
      </c>
      <c r="I33" s="74">
        <v>205.0</v>
      </c>
      <c r="J33" s="74">
        <v>199.0</v>
      </c>
      <c r="K33" s="74">
        <v>181.0</v>
      </c>
      <c r="L33" s="74">
        <v>206.0</v>
      </c>
      <c r="M33" s="74">
        <v>208.0</v>
      </c>
      <c r="N33" s="74">
        <v>291.0</v>
      </c>
      <c r="O33" s="74">
        <v>216.0</v>
      </c>
      <c r="P33" s="74">
        <v>209.0</v>
      </c>
      <c r="Q33" s="74">
        <v>259.0</v>
      </c>
      <c r="R33" s="74">
        <v>221.0</v>
      </c>
      <c r="S33" s="74">
        <v>195.0</v>
      </c>
      <c r="T33" s="74">
        <v>176.0</v>
      </c>
      <c r="U33" s="74">
        <v>197.0</v>
      </c>
      <c r="V33" s="74">
        <v>284.0</v>
      </c>
      <c r="W33" s="74">
        <v>267.0</v>
      </c>
      <c r="X33" s="74">
        <v>270.0</v>
      </c>
      <c r="Y33" s="74">
        <v>188.0</v>
      </c>
      <c r="Z33" s="74">
        <v>235.0</v>
      </c>
      <c r="AA33" s="74">
        <v>252.0</v>
      </c>
      <c r="AB33" s="74">
        <v>156.0</v>
      </c>
      <c r="AC33" s="74">
        <v>190.0</v>
      </c>
      <c r="AD33" s="13">
        <f t="shared" ref="AD33:AD36" si="10">SUM(E33:AC33)</f>
        <v>5421</v>
      </c>
    </row>
    <row r="34" ht="12.75" customHeight="1">
      <c r="A34" s="19">
        <v>2.0</v>
      </c>
      <c r="B34" s="20" t="s">
        <v>28</v>
      </c>
      <c r="C34" s="15"/>
      <c r="D34" s="16"/>
      <c r="E34" s="76">
        <v>164.0</v>
      </c>
      <c r="F34" s="76">
        <v>145.0</v>
      </c>
      <c r="G34" s="76">
        <v>168.0</v>
      </c>
      <c r="H34" s="76">
        <v>166.0</v>
      </c>
      <c r="I34" s="76">
        <v>153.0</v>
      </c>
      <c r="J34" s="76">
        <v>154.0</v>
      </c>
      <c r="K34" s="76">
        <v>135.0</v>
      </c>
      <c r="L34" s="76">
        <v>171.0</v>
      </c>
      <c r="M34" s="76">
        <v>167.0</v>
      </c>
      <c r="N34" s="76">
        <v>219.0</v>
      </c>
      <c r="O34" s="76">
        <v>173.0</v>
      </c>
      <c r="P34" s="76">
        <v>186.0</v>
      </c>
      <c r="Q34" s="76">
        <v>230.0</v>
      </c>
      <c r="R34" s="76">
        <v>188.0</v>
      </c>
      <c r="S34" s="76">
        <v>163.0</v>
      </c>
      <c r="T34" s="76">
        <v>160.0</v>
      </c>
      <c r="U34" s="76">
        <v>172.0</v>
      </c>
      <c r="V34" s="76">
        <v>225.0</v>
      </c>
      <c r="W34" s="76">
        <v>212.0</v>
      </c>
      <c r="X34" s="76">
        <v>223.0</v>
      </c>
      <c r="Y34" s="76">
        <v>158.0</v>
      </c>
      <c r="Z34" s="76">
        <v>187.0</v>
      </c>
      <c r="AA34" s="76">
        <v>209.0</v>
      </c>
      <c r="AB34" s="76">
        <v>138.0</v>
      </c>
      <c r="AC34" s="76">
        <v>147.0</v>
      </c>
      <c r="AD34" s="13">
        <f t="shared" si="10"/>
        <v>4413</v>
      </c>
    </row>
    <row r="35" ht="12.75" customHeight="1">
      <c r="A35" s="19">
        <v>3.0</v>
      </c>
      <c r="B35" s="20" t="s">
        <v>29</v>
      </c>
      <c r="C35" s="15"/>
      <c r="D35" s="16"/>
      <c r="E35" s="74">
        <v>1.0</v>
      </c>
      <c r="F35" s="74">
        <v>0.0</v>
      </c>
      <c r="G35" s="74">
        <v>0.0</v>
      </c>
      <c r="H35" s="74">
        <v>1.0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2.0</v>
      </c>
      <c r="AA35" s="74">
        <v>0.0</v>
      </c>
      <c r="AB35" s="74">
        <v>0.0</v>
      </c>
      <c r="AC35" s="74">
        <v>0.0</v>
      </c>
      <c r="AD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45</v>
      </c>
      <c r="F36" s="13">
        <f t="shared" si="11"/>
        <v>67</v>
      </c>
      <c r="G36" s="13">
        <f t="shared" si="11"/>
        <v>56</v>
      </c>
      <c r="H36" s="13">
        <f t="shared" si="11"/>
        <v>3</v>
      </c>
      <c r="I36" s="13">
        <f t="shared" si="11"/>
        <v>52</v>
      </c>
      <c r="J36" s="13">
        <f t="shared" si="11"/>
        <v>45</v>
      </c>
      <c r="K36" s="13">
        <f t="shared" si="11"/>
        <v>46</v>
      </c>
      <c r="L36" s="13">
        <f t="shared" si="11"/>
        <v>35</v>
      </c>
      <c r="M36" s="13">
        <f t="shared" si="11"/>
        <v>41</v>
      </c>
      <c r="N36" s="13">
        <f t="shared" si="11"/>
        <v>72</v>
      </c>
      <c r="O36" s="13">
        <f t="shared" si="11"/>
        <v>43</v>
      </c>
      <c r="P36" s="13">
        <f t="shared" si="11"/>
        <v>23</v>
      </c>
      <c r="Q36" s="13">
        <f t="shared" si="11"/>
        <v>29</v>
      </c>
      <c r="R36" s="13">
        <f t="shared" si="11"/>
        <v>33</v>
      </c>
      <c r="S36" s="13">
        <f t="shared" si="11"/>
        <v>32</v>
      </c>
      <c r="T36" s="13">
        <f t="shared" si="11"/>
        <v>16</v>
      </c>
      <c r="U36" s="13">
        <f t="shared" si="11"/>
        <v>25</v>
      </c>
      <c r="V36" s="13">
        <f t="shared" si="11"/>
        <v>59</v>
      </c>
      <c r="W36" s="13">
        <f t="shared" si="11"/>
        <v>55</v>
      </c>
      <c r="X36" s="13">
        <f t="shared" si="11"/>
        <v>47</v>
      </c>
      <c r="Y36" s="13">
        <f t="shared" si="11"/>
        <v>30</v>
      </c>
      <c r="Z36" s="13">
        <f t="shared" si="11"/>
        <v>46</v>
      </c>
      <c r="AA36" s="13">
        <f t="shared" si="11"/>
        <v>43</v>
      </c>
      <c r="AB36" s="13">
        <f t="shared" si="11"/>
        <v>18</v>
      </c>
      <c r="AC36" s="13">
        <f t="shared" si="11"/>
        <v>43</v>
      </c>
      <c r="AD36" s="13">
        <f t="shared" si="10"/>
        <v>1004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82"/>
      <c r="O37" s="19"/>
      <c r="P37" s="19"/>
      <c r="Q37" s="19"/>
      <c r="R37" s="19"/>
      <c r="S37" s="82"/>
      <c r="T37" s="19"/>
      <c r="U37" s="19"/>
      <c r="V37" s="19"/>
      <c r="W37" s="19"/>
      <c r="X37" s="82"/>
      <c r="Y37" s="19"/>
      <c r="Z37" s="19"/>
      <c r="AA37" s="19"/>
      <c r="AB37" s="19"/>
      <c r="AC37" s="82"/>
      <c r="AD37" s="75"/>
    </row>
    <row r="38" ht="12.75" customHeight="1">
      <c r="A38" s="42" t="s">
        <v>31</v>
      </c>
      <c r="B38" s="14" t="s">
        <v>32</v>
      </c>
      <c r="C38" s="15"/>
      <c r="D38" s="16"/>
      <c r="E38" s="76"/>
      <c r="F38" s="13"/>
      <c r="G38" s="13"/>
      <c r="H38" s="13"/>
      <c r="I38" s="13"/>
      <c r="J38" s="13"/>
      <c r="K38" s="13"/>
      <c r="L38" s="13"/>
      <c r="M38" s="13"/>
      <c r="N38" s="83"/>
      <c r="O38" s="13"/>
      <c r="P38" s="13"/>
      <c r="Q38" s="13"/>
      <c r="R38" s="13"/>
      <c r="S38" s="83"/>
      <c r="T38" s="13"/>
      <c r="U38" s="13"/>
      <c r="V38" s="13"/>
      <c r="W38" s="13"/>
      <c r="X38" s="83"/>
      <c r="Y38" s="13"/>
      <c r="Z38" s="13"/>
      <c r="AA38" s="13"/>
      <c r="AB38" s="13"/>
      <c r="AC38" s="83"/>
      <c r="AD38" s="75"/>
    </row>
    <row r="39" ht="12.75" customHeight="1">
      <c r="A39" s="30"/>
      <c r="B39" s="43" t="s">
        <v>33</v>
      </c>
      <c r="C39" s="23"/>
      <c r="D39" s="19" t="s">
        <v>12</v>
      </c>
      <c r="E39" s="74">
        <v>1.0</v>
      </c>
      <c r="F39" s="74">
        <v>2.0</v>
      </c>
      <c r="G39" s="74">
        <v>0.0</v>
      </c>
      <c r="H39" s="74">
        <v>0.0</v>
      </c>
      <c r="I39" s="74">
        <v>2.0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1.0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1.0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13">
        <f t="shared" ref="AD39:AD41" si="12">SUM(E39:AC39)</f>
        <v>7</v>
      </c>
    </row>
    <row r="40" ht="12.75" customHeight="1">
      <c r="A40" s="33"/>
      <c r="C40" s="27"/>
      <c r="D40" s="19" t="s">
        <v>13</v>
      </c>
      <c r="E40" s="74">
        <v>0.0</v>
      </c>
      <c r="F40" s="74">
        <v>1.0</v>
      </c>
      <c r="G40" s="74">
        <v>0.0</v>
      </c>
      <c r="H40" s="74">
        <v>0.0</v>
      </c>
      <c r="I40" s="74">
        <v>1.0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1.0</v>
      </c>
      <c r="Y40" s="74">
        <v>0.0</v>
      </c>
      <c r="Z40" s="74">
        <v>0.0</v>
      </c>
      <c r="AA40" s="74">
        <v>0.0</v>
      </c>
      <c r="AB40" s="74">
        <v>0.0</v>
      </c>
      <c r="AC40" s="74">
        <v>0.0</v>
      </c>
      <c r="AD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1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3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82"/>
      <c r="O42" s="19"/>
      <c r="P42" s="19"/>
      <c r="Q42" s="19"/>
      <c r="R42" s="19"/>
      <c r="S42" s="82"/>
      <c r="T42" s="19"/>
      <c r="U42" s="19"/>
      <c r="V42" s="19"/>
      <c r="W42" s="19"/>
      <c r="X42" s="82"/>
      <c r="Y42" s="19"/>
      <c r="Z42" s="19"/>
      <c r="AA42" s="19"/>
      <c r="AB42" s="19"/>
      <c r="AC42" s="82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83"/>
      <c r="O43" s="13"/>
      <c r="P43" s="13"/>
      <c r="Q43" s="13"/>
      <c r="R43" s="13"/>
      <c r="S43" s="83"/>
      <c r="T43" s="13"/>
      <c r="U43" s="13"/>
      <c r="V43" s="13"/>
      <c r="W43" s="13"/>
      <c r="X43" s="83"/>
      <c r="Y43" s="13"/>
      <c r="Z43" s="13"/>
      <c r="AA43" s="13"/>
      <c r="AB43" s="13"/>
      <c r="AC43" s="8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82"/>
      <c r="O44" s="19"/>
      <c r="P44" s="19"/>
      <c r="Q44" s="19"/>
      <c r="R44" s="19"/>
      <c r="S44" s="82"/>
      <c r="T44" s="19"/>
      <c r="U44" s="19"/>
      <c r="V44" s="19"/>
      <c r="W44" s="19"/>
      <c r="X44" s="82"/>
      <c r="Y44" s="19"/>
      <c r="Z44" s="19"/>
      <c r="AA44" s="19"/>
      <c r="AB44" s="19"/>
      <c r="AC44" s="82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5.0</v>
      </c>
      <c r="F45" s="74">
        <v>8.0</v>
      </c>
      <c r="G45" s="74">
        <v>9.0</v>
      </c>
      <c r="H45" s="74">
        <v>6.0</v>
      </c>
      <c r="I45" s="74">
        <v>7.0</v>
      </c>
      <c r="J45" s="74">
        <v>7.0</v>
      </c>
      <c r="K45" s="74">
        <v>8.0</v>
      </c>
      <c r="L45" s="74">
        <v>23.0</v>
      </c>
      <c r="M45" s="74">
        <v>10.0</v>
      </c>
      <c r="N45" s="74">
        <v>13.0</v>
      </c>
      <c r="O45" s="74">
        <v>23.0</v>
      </c>
      <c r="P45" s="74">
        <v>5.0</v>
      </c>
      <c r="Q45" s="74">
        <v>16.0</v>
      </c>
      <c r="R45" s="74">
        <v>4.0</v>
      </c>
      <c r="S45" s="74">
        <v>10.0</v>
      </c>
      <c r="T45" s="74">
        <v>12.0</v>
      </c>
      <c r="U45" s="74">
        <v>10.0</v>
      </c>
      <c r="V45" s="74">
        <v>16.0</v>
      </c>
      <c r="W45" s="74">
        <v>13.0</v>
      </c>
      <c r="X45" s="74">
        <v>7.0</v>
      </c>
      <c r="Y45" s="74">
        <v>4.0</v>
      </c>
      <c r="Z45" s="74">
        <v>7.0</v>
      </c>
      <c r="AA45" s="74">
        <v>24.0</v>
      </c>
      <c r="AB45" s="74">
        <v>17.0</v>
      </c>
      <c r="AC45" s="74">
        <v>14.0</v>
      </c>
      <c r="AD45" s="13">
        <f t="shared" ref="AD45:AD55" si="14">SUM(E45:AC45)</f>
        <v>278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7.0</v>
      </c>
      <c r="F46" s="74">
        <v>11.0</v>
      </c>
      <c r="G46" s="74">
        <v>15.0</v>
      </c>
      <c r="H46" s="74">
        <v>18.0</v>
      </c>
      <c r="I46" s="74">
        <v>24.0</v>
      </c>
      <c r="J46" s="74">
        <v>33.0</v>
      </c>
      <c r="K46" s="74">
        <v>16.0</v>
      </c>
      <c r="L46" s="74">
        <v>17.0</v>
      </c>
      <c r="M46" s="74">
        <v>21.0</v>
      </c>
      <c r="N46" s="74">
        <v>15.0</v>
      </c>
      <c r="O46" s="74">
        <v>18.0</v>
      </c>
      <c r="P46" s="74">
        <v>14.0</v>
      </c>
      <c r="Q46" s="74">
        <v>12.0</v>
      </c>
      <c r="R46" s="74">
        <v>6.0</v>
      </c>
      <c r="S46" s="74">
        <v>11.0</v>
      </c>
      <c r="T46" s="74">
        <v>27.0</v>
      </c>
      <c r="U46" s="74">
        <v>20.0</v>
      </c>
      <c r="V46" s="74">
        <v>22.0</v>
      </c>
      <c r="W46" s="74">
        <v>35.0</v>
      </c>
      <c r="X46" s="74">
        <v>21.0</v>
      </c>
      <c r="Y46" s="74">
        <v>19.0</v>
      </c>
      <c r="Z46" s="74">
        <v>18.0</v>
      </c>
      <c r="AA46" s="74">
        <v>22.0</v>
      </c>
      <c r="AB46" s="74">
        <v>22.0</v>
      </c>
      <c r="AC46" s="74">
        <v>19.0</v>
      </c>
      <c r="AD46" s="13">
        <f t="shared" si="14"/>
        <v>463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1.0</v>
      </c>
      <c r="G47" s="74">
        <v>5.0</v>
      </c>
      <c r="H47" s="74">
        <v>1.0</v>
      </c>
      <c r="I47" s="74">
        <v>2.0</v>
      </c>
      <c r="J47" s="74">
        <v>0.0</v>
      </c>
      <c r="K47" s="74">
        <v>3.0</v>
      </c>
      <c r="L47" s="74">
        <v>1.0</v>
      </c>
      <c r="M47" s="74">
        <v>1.0</v>
      </c>
      <c r="N47" s="74">
        <v>3.0</v>
      </c>
      <c r="O47" s="74">
        <v>2.0</v>
      </c>
      <c r="P47" s="74">
        <v>2.0</v>
      </c>
      <c r="Q47" s="74">
        <v>7.0</v>
      </c>
      <c r="R47" s="74">
        <v>1.0</v>
      </c>
      <c r="S47" s="74">
        <v>2.0</v>
      </c>
      <c r="T47" s="74">
        <v>2.0</v>
      </c>
      <c r="U47" s="74">
        <v>3.0</v>
      </c>
      <c r="V47" s="74">
        <v>1.0</v>
      </c>
      <c r="W47" s="74">
        <v>1.0</v>
      </c>
      <c r="X47" s="74">
        <v>1.0</v>
      </c>
      <c r="Y47" s="74">
        <v>2.0</v>
      </c>
      <c r="Z47" s="74">
        <v>0.0</v>
      </c>
      <c r="AA47" s="74">
        <v>2.0</v>
      </c>
      <c r="AB47" s="74">
        <v>15.0</v>
      </c>
      <c r="AC47" s="74">
        <v>6.0</v>
      </c>
      <c r="AD47" s="13">
        <f t="shared" si="14"/>
        <v>64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2.0</v>
      </c>
      <c r="G48" s="74">
        <v>2.0</v>
      </c>
      <c r="H48" s="74">
        <v>3.0</v>
      </c>
      <c r="I48" s="74">
        <v>0.0</v>
      </c>
      <c r="J48" s="74">
        <v>0.0</v>
      </c>
      <c r="K48" s="74">
        <v>1.0</v>
      </c>
      <c r="L48" s="74">
        <v>4.0</v>
      </c>
      <c r="M48" s="74">
        <v>1.0</v>
      </c>
      <c r="N48" s="74">
        <v>7.0</v>
      </c>
      <c r="O48" s="74">
        <v>1.0</v>
      </c>
      <c r="P48" s="74">
        <v>3.0</v>
      </c>
      <c r="Q48" s="74">
        <v>7.0</v>
      </c>
      <c r="R48" s="74">
        <v>3.0</v>
      </c>
      <c r="S48" s="74">
        <v>4.0</v>
      </c>
      <c r="T48" s="74">
        <v>1.0</v>
      </c>
      <c r="U48" s="74">
        <v>6.0</v>
      </c>
      <c r="V48" s="74">
        <v>6.0</v>
      </c>
      <c r="W48" s="74">
        <v>6.0</v>
      </c>
      <c r="X48" s="74">
        <v>0.0</v>
      </c>
      <c r="Y48" s="74">
        <v>4.0</v>
      </c>
      <c r="Z48" s="74">
        <v>1.0</v>
      </c>
      <c r="AA48" s="74">
        <v>2.0</v>
      </c>
      <c r="AB48" s="74">
        <v>13.0</v>
      </c>
      <c r="AC48" s="74">
        <v>2.0</v>
      </c>
      <c r="AD48" s="13">
        <f t="shared" si="14"/>
        <v>79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0.0</v>
      </c>
      <c r="H49" s="74">
        <v>0.0</v>
      </c>
      <c r="I49" s="74">
        <v>1.0</v>
      </c>
      <c r="J49" s="74">
        <v>0.0</v>
      </c>
      <c r="K49" s="74">
        <v>2.0</v>
      </c>
      <c r="L49" s="74">
        <v>1.0</v>
      </c>
      <c r="M49" s="74">
        <v>0.0</v>
      </c>
      <c r="N49" s="74">
        <v>2.0</v>
      </c>
      <c r="O49" s="74">
        <v>0.0</v>
      </c>
      <c r="P49" s="74">
        <v>0.0</v>
      </c>
      <c r="Q49" s="74">
        <v>3.0</v>
      </c>
      <c r="R49" s="74">
        <v>1.0</v>
      </c>
      <c r="S49" s="74">
        <v>1.0</v>
      </c>
      <c r="T49" s="74">
        <v>0.0</v>
      </c>
      <c r="U49" s="74">
        <v>0.0</v>
      </c>
      <c r="V49" s="74">
        <v>1.0</v>
      </c>
      <c r="W49" s="74">
        <v>3.0</v>
      </c>
      <c r="X49" s="74">
        <v>1.0</v>
      </c>
      <c r="Y49" s="74">
        <v>0.0</v>
      </c>
      <c r="Z49" s="74">
        <v>1.0</v>
      </c>
      <c r="AA49" s="74">
        <v>1.0</v>
      </c>
      <c r="AB49" s="74">
        <v>2.0</v>
      </c>
      <c r="AC49" s="74">
        <v>3.0</v>
      </c>
      <c r="AD49" s="13">
        <f t="shared" si="14"/>
        <v>24</v>
      </c>
    </row>
    <row r="50" ht="12.75" customHeight="1">
      <c r="A50" s="18"/>
      <c r="B50" s="55"/>
      <c r="C50" s="50" t="s">
        <v>44</v>
      </c>
      <c r="D50" s="50"/>
      <c r="E50" s="74">
        <v>2.0</v>
      </c>
      <c r="F50" s="74">
        <v>0.0</v>
      </c>
      <c r="G50" s="74">
        <v>1.0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1.0</v>
      </c>
      <c r="P50" s="74">
        <v>0.0</v>
      </c>
      <c r="Q50" s="74">
        <v>3.0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1.0</v>
      </c>
      <c r="Y50" s="74">
        <v>1.0</v>
      </c>
      <c r="Z50" s="74">
        <v>0.0</v>
      </c>
      <c r="AA50" s="74">
        <v>0.0</v>
      </c>
      <c r="AB50" s="74">
        <v>0.0</v>
      </c>
      <c r="AC50" s="74">
        <v>1.0</v>
      </c>
      <c r="AD50" s="13">
        <f t="shared" si="14"/>
        <v>10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1.0</v>
      </c>
      <c r="J51" s="74">
        <v>0.0</v>
      </c>
      <c r="K51" s="74">
        <v>0.0</v>
      </c>
      <c r="L51" s="74">
        <v>0.0</v>
      </c>
      <c r="M51" s="74">
        <v>2.0</v>
      </c>
      <c r="N51" s="74">
        <v>1.0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74">
        <v>1.0</v>
      </c>
      <c r="V51" s="74">
        <v>0.0</v>
      </c>
      <c r="W51" s="74">
        <v>0.0</v>
      </c>
      <c r="X51" s="74">
        <v>1.0</v>
      </c>
      <c r="Y51" s="74">
        <v>0.0</v>
      </c>
      <c r="Z51" s="74">
        <v>0.0</v>
      </c>
      <c r="AA51" s="74">
        <v>1.0</v>
      </c>
      <c r="AB51" s="74">
        <v>0.0</v>
      </c>
      <c r="AC51" s="74">
        <v>0.0</v>
      </c>
      <c r="AD51" s="13">
        <f t="shared" si="14"/>
        <v>7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1.0</v>
      </c>
      <c r="J52" s="74">
        <v>0.0</v>
      </c>
      <c r="K52" s="74">
        <v>0.0</v>
      </c>
      <c r="L52" s="74">
        <v>0.0</v>
      </c>
      <c r="M52" s="74">
        <v>0.0</v>
      </c>
      <c r="N52" s="74">
        <v>0.0</v>
      </c>
      <c r="O52" s="74">
        <v>0.0</v>
      </c>
      <c r="P52" s="74">
        <v>1.0</v>
      </c>
      <c r="Q52" s="74">
        <v>0.0</v>
      </c>
      <c r="R52" s="74">
        <v>0.0</v>
      </c>
      <c r="S52" s="74">
        <v>0.0</v>
      </c>
      <c r="T52" s="74">
        <v>0.0</v>
      </c>
      <c r="U52" s="74">
        <v>0.0</v>
      </c>
      <c r="V52" s="74">
        <v>0.0</v>
      </c>
      <c r="W52" s="74">
        <v>1.0</v>
      </c>
      <c r="X52" s="74">
        <v>0.0</v>
      </c>
      <c r="Y52" s="74">
        <v>0.0</v>
      </c>
      <c r="Z52" s="74">
        <v>0.0</v>
      </c>
      <c r="AA52" s="74">
        <v>0.0</v>
      </c>
      <c r="AB52" s="74">
        <v>0.0</v>
      </c>
      <c r="AC52" s="74">
        <v>1.0</v>
      </c>
      <c r="AD52" s="13">
        <f t="shared" si="14"/>
        <v>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1.0</v>
      </c>
      <c r="M53" s="74">
        <v>0.0</v>
      </c>
      <c r="N53" s="74">
        <v>1.0</v>
      </c>
      <c r="O53" s="74">
        <v>0.0</v>
      </c>
      <c r="P53" s="74">
        <v>0.0</v>
      </c>
      <c r="Q53" s="74">
        <v>0.0</v>
      </c>
      <c r="R53" s="74">
        <v>1.0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1.0</v>
      </c>
      <c r="AA53" s="74">
        <v>3.0</v>
      </c>
      <c r="AB53" s="74">
        <v>0.0</v>
      </c>
      <c r="AC53" s="74">
        <v>0.0</v>
      </c>
      <c r="AD53" s="13">
        <f t="shared" si="14"/>
        <v>7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1.0</v>
      </c>
      <c r="H54" s="74">
        <v>0.0</v>
      </c>
      <c r="I54" s="74">
        <v>1.0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74">
        <v>1.0</v>
      </c>
      <c r="U54" s="74">
        <v>1.0</v>
      </c>
      <c r="V54" s="74">
        <v>0.0</v>
      </c>
      <c r="W54" s="74">
        <v>1.0</v>
      </c>
      <c r="X54" s="74">
        <v>0.0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C55" si="15">SUM(E45:E54)</f>
        <v>15</v>
      </c>
      <c r="F55" s="13">
        <f t="shared" si="15"/>
        <v>22</v>
      </c>
      <c r="G55" s="13">
        <f t="shared" si="15"/>
        <v>33</v>
      </c>
      <c r="H55" s="13">
        <f t="shared" si="15"/>
        <v>28</v>
      </c>
      <c r="I55" s="13">
        <f t="shared" si="15"/>
        <v>37</v>
      </c>
      <c r="J55" s="13">
        <f t="shared" si="15"/>
        <v>40</v>
      </c>
      <c r="K55" s="13">
        <f t="shared" si="15"/>
        <v>30</v>
      </c>
      <c r="L55" s="13">
        <f t="shared" si="15"/>
        <v>47</v>
      </c>
      <c r="M55" s="13">
        <f t="shared" si="15"/>
        <v>35</v>
      </c>
      <c r="N55" s="13">
        <f t="shared" si="15"/>
        <v>42</v>
      </c>
      <c r="O55" s="13">
        <f t="shared" si="15"/>
        <v>45</v>
      </c>
      <c r="P55" s="13">
        <f t="shared" si="15"/>
        <v>25</v>
      </c>
      <c r="Q55" s="13">
        <f t="shared" si="15"/>
        <v>48</v>
      </c>
      <c r="R55" s="13">
        <f t="shared" si="15"/>
        <v>16</v>
      </c>
      <c r="S55" s="13">
        <f t="shared" si="15"/>
        <v>28</v>
      </c>
      <c r="T55" s="13">
        <f t="shared" si="15"/>
        <v>43</v>
      </c>
      <c r="U55" s="13">
        <f t="shared" si="15"/>
        <v>41</v>
      </c>
      <c r="V55" s="13">
        <f t="shared" si="15"/>
        <v>46</v>
      </c>
      <c r="W55" s="13">
        <f t="shared" si="15"/>
        <v>60</v>
      </c>
      <c r="X55" s="13">
        <f t="shared" si="15"/>
        <v>32</v>
      </c>
      <c r="Y55" s="13">
        <f t="shared" si="15"/>
        <v>30</v>
      </c>
      <c r="Z55" s="13">
        <f t="shared" si="15"/>
        <v>28</v>
      </c>
      <c r="AA55" s="13">
        <f t="shared" si="15"/>
        <v>55</v>
      </c>
      <c r="AB55" s="13">
        <f t="shared" si="15"/>
        <v>69</v>
      </c>
      <c r="AC55" s="13">
        <f t="shared" si="15"/>
        <v>46</v>
      </c>
      <c r="AD55" s="13">
        <f t="shared" si="14"/>
        <v>941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11.0</v>
      </c>
      <c r="F57" s="74">
        <v>13.0</v>
      </c>
      <c r="G57" s="74">
        <v>6.0</v>
      </c>
      <c r="H57" s="74">
        <v>9.0</v>
      </c>
      <c r="I57" s="74">
        <v>6.0</v>
      </c>
      <c r="J57" s="74">
        <v>4.0</v>
      </c>
      <c r="K57" s="74">
        <v>10.0</v>
      </c>
      <c r="L57" s="74">
        <v>7.0</v>
      </c>
      <c r="M57" s="74">
        <v>15.0</v>
      </c>
      <c r="N57" s="74">
        <v>15.0</v>
      </c>
      <c r="O57" s="74">
        <v>8.0</v>
      </c>
      <c r="P57" s="74">
        <v>14.0</v>
      </c>
      <c r="Q57" s="74">
        <v>19.0</v>
      </c>
      <c r="R57" s="74">
        <v>20.0</v>
      </c>
      <c r="S57" s="74">
        <v>7.0</v>
      </c>
      <c r="T57" s="74">
        <v>13.0</v>
      </c>
      <c r="U57" s="74">
        <v>9.0</v>
      </c>
      <c r="V57" s="74">
        <v>16.0</v>
      </c>
      <c r="W57" s="74">
        <v>14.0</v>
      </c>
      <c r="X57" s="74">
        <v>10.0</v>
      </c>
      <c r="Y57" s="74">
        <v>11.0</v>
      </c>
      <c r="Z57" s="74">
        <v>22.0</v>
      </c>
      <c r="AA57" s="74">
        <v>34.0</v>
      </c>
      <c r="AB57" s="74">
        <v>5.0</v>
      </c>
      <c r="AC57" s="74">
        <v>6.0</v>
      </c>
      <c r="AD57" s="13">
        <f t="shared" ref="AD57:AD67" si="16">SUM(E57:AC57)</f>
        <v>304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6.0</v>
      </c>
      <c r="F58" s="74">
        <v>5.0</v>
      </c>
      <c r="G58" s="74">
        <v>8.0</v>
      </c>
      <c r="H58" s="74">
        <v>2.0</v>
      </c>
      <c r="I58" s="74">
        <v>7.0</v>
      </c>
      <c r="J58" s="74">
        <v>4.0</v>
      </c>
      <c r="K58" s="74">
        <v>6.0</v>
      </c>
      <c r="L58" s="74">
        <v>9.0</v>
      </c>
      <c r="M58" s="74">
        <v>10.0</v>
      </c>
      <c r="N58" s="74">
        <v>11.0</v>
      </c>
      <c r="O58" s="74">
        <v>5.0</v>
      </c>
      <c r="P58" s="74">
        <v>9.0</v>
      </c>
      <c r="Q58" s="74">
        <v>3.0</v>
      </c>
      <c r="R58" s="74">
        <v>6.0</v>
      </c>
      <c r="S58" s="74">
        <v>6.0</v>
      </c>
      <c r="T58" s="74">
        <v>11.0</v>
      </c>
      <c r="U58" s="74">
        <v>5.0</v>
      </c>
      <c r="V58" s="74">
        <v>10.0</v>
      </c>
      <c r="W58" s="74">
        <v>4.0</v>
      </c>
      <c r="X58" s="74">
        <v>6.0</v>
      </c>
      <c r="Y58" s="74">
        <v>3.0</v>
      </c>
      <c r="Z58" s="74">
        <v>7.0</v>
      </c>
      <c r="AA58" s="74">
        <v>10.0</v>
      </c>
      <c r="AB58" s="74">
        <v>1.0</v>
      </c>
      <c r="AC58" s="74">
        <v>3.0</v>
      </c>
      <c r="AD58" s="13">
        <f t="shared" si="16"/>
        <v>157</v>
      </c>
    </row>
    <row r="59" ht="12.75" customHeight="1">
      <c r="A59" s="18"/>
      <c r="B59" s="55"/>
      <c r="C59" s="50" t="s">
        <v>52</v>
      </c>
      <c r="D59" s="56"/>
      <c r="E59" s="74">
        <v>6.0</v>
      </c>
      <c r="F59" s="74">
        <v>10.0</v>
      </c>
      <c r="G59" s="74">
        <v>11.0</v>
      </c>
      <c r="H59" s="74">
        <v>13.0</v>
      </c>
      <c r="I59" s="74">
        <v>2.0</v>
      </c>
      <c r="J59" s="74">
        <v>1.0</v>
      </c>
      <c r="K59" s="74">
        <v>6.0</v>
      </c>
      <c r="L59" s="74">
        <v>8.0</v>
      </c>
      <c r="M59" s="74">
        <v>11.0</v>
      </c>
      <c r="N59" s="74">
        <v>21.0</v>
      </c>
      <c r="O59" s="74">
        <v>5.0</v>
      </c>
      <c r="P59" s="74">
        <v>19.0</v>
      </c>
      <c r="Q59" s="74">
        <v>19.0</v>
      </c>
      <c r="R59" s="74">
        <v>18.0</v>
      </c>
      <c r="S59" s="74">
        <v>13.0</v>
      </c>
      <c r="T59" s="74">
        <v>14.0</v>
      </c>
      <c r="U59" s="74">
        <v>4.0</v>
      </c>
      <c r="V59" s="74">
        <v>18.0</v>
      </c>
      <c r="W59" s="74">
        <v>8.0</v>
      </c>
      <c r="X59" s="74">
        <v>2.0</v>
      </c>
      <c r="Y59" s="74">
        <v>7.0</v>
      </c>
      <c r="Z59" s="74">
        <v>19.0</v>
      </c>
      <c r="AA59" s="74">
        <v>14.0</v>
      </c>
      <c r="AB59" s="74">
        <v>2.0</v>
      </c>
      <c r="AC59" s="74">
        <v>13.0</v>
      </c>
      <c r="AD59" s="13">
        <f t="shared" si="16"/>
        <v>264</v>
      </c>
    </row>
    <row r="60" ht="12.75" customHeight="1">
      <c r="A60" s="18"/>
      <c r="B60" s="55"/>
      <c r="C60" s="50" t="s">
        <v>53</v>
      </c>
      <c r="D60" s="56"/>
      <c r="E60" s="74">
        <v>6.0</v>
      </c>
      <c r="F60" s="74">
        <v>1.0</v>
      </c>
      <c r="G60" s="74">
        <v>2.0</v>
      </c>
      <c r="H60" s="74">
        <v>0.0</v>
      </c>
      <c r="I60" s="74">
        <v>2.0</v>
      </c>
      <c r="J60" s="74">
        <v>1.0</v>
      </c>
      <c r="K60" s="74">
        <v>2.0</v>
      </c>
      <c r="L60" s="74">
        <v>0.0</v>
      </c>
      <c r="M60" s="74">
        <v>1.0</v>
      </c>
      <c r="N60" s="74">
        <v>0.0</v>
      </c>
      <c r="O60" s="74">
        <v>1.0</v>
      </c>
      <c r="P60" s="74">
        <v>2.0</v>
      </c>
      <c r="Q60" s="74">
        <v>3.0</v>
      </c>
      <c r="R60" s="74">
        <v>2.0</v>
      </c>
      <c r="S60" s="74">
        <v>2.0</v>
      </c>
      <c r="T60" s="74">
        <v>4.0</v>
      </c>
      <c r="U60" s="74">
        <v>4.0</v>
      </c>
      <c r="V60" s="74">
        <v>1.0</v>
      </c>
      <c r="W60" s="74">
        <v>3.0</v>
      </c>
      <c r="X60" s="74">
        <v>4.0</v>
      </c>
      <c r="Y60" s="74">
        <v>5.0</v>
      </c>
      <c r="Z60" s="74">
        <v>2.0</v>
      </c>
      <c r="AA60" s="74">
        <v>2.0</v>
      </c>
      <c r="AB60" s="74">
        <v>1.0</v>
      </c>
      <c r="AC60" s="74">
        <v>2.0</v>
      </c>
      <c r="AD60" s="13">
        <f t="shared" si="16"/>
        <v>53</v>
      </c>
    </row>
    <row r="61" ht="12.75" customHeight="1">
      <c r="A61" s="18"/>
      <c r="B61" s="55"/>
      <c r="C61" s="50" t="s">
        <v>54</v>
      </c>
      <c r="D61" s="56"/>
      <c r="E61" s="74">
        <v>4.0</v>
      </c>
      <c r="F61" s="74">
        <v>6.0</v>
      </c>
      <c r="G61" s="74">
        <v>3.0</v>
      </c>
      <c r="H61" s="74">
        <v>1.0</v>
      </c>
      <c r="I61" s="74">
        <v>1.0</v>
      </c>
      <c r="J61" s="74">
        <v>2.0</v>
      </c>
      <c r="K61" s="74">
        <v>2.0</v>
      </c>
      <c r="L61" s="74">
        <v>0.0</v>
      </c>
      <c r="M61" s="74">
        <v>0.0</v>
      </c>
      <c r="N61" s="74">
        <v>1.0</v>
      </c>
      <c r="O61" s="74">
        <v>1.0</v>
      </c>
      <c r="P61" s="74">
        <v>1.0</v>
      </c>
      <c r="Q61" s="74">
        <v>1.0</v>
      </c>
      <c r="R61" s="74">
        <v>1.0</v>
      </c>
      <c r="S61" s="74">
        <v>1.0</v>
      </c>
      <c r="T61" s="74">
        <v>1.0</v>
      </c>
      <c r="U61" s="74">
        <v>0.0</v>
      </c>
      <c r="V61" s="74">
        <v>1.0</v>
      </c>
      <c r="W61" s="74">
        <v>1.0</v>
      </c>
      <c r="X61" s="74">
        <v>3.0</v>
      </c>
      <c r="Y61" s="74">
        <v>1.0</v>
      </c>
      <c r="Z61" s="74">
        <v>0.0</v>
      </c>
      <c r="AA61" s="74">
        <v>1.0</v>
      </c>
      <c r="AB61" s="74">
        <v>0.0</v>
      </c>
      <c r="AC61" s="74">
        <v>1.0</v>
      </c>
      <c r="AD61" s="13">
        <f t="shared" si="16"/>
        <v>34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1.0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0.0</v>
      </c>
      <c r="N62" s="74">
        <v>0.0</v>
      </c>
      <c r="O62" s="74">
        <v>0.0</v>
      </c>
      <c r="P62" s="74">
        <v>0.0</v>
      </c>
      <c r="Q62" s="74">
        <v>2.0</v>
      </c>
      <c r="R62" s="74">
        <v>0.0</v>
      </c>
      <c r="S62" s="74">
        <v>0.0</v>
      </c>
      <c r="T62" s="74">
        <v>0.0</v>
      </c>
      <c r="U62" s="74">
        <v>2.0</v>
      </c>
      <c r="V62" s="74">
        <v>0.0</v>
      </c>
      <c r="W62" s="74">
        <v>1.0</v>
      </c>
      <c r="X62" s="74">
        <v>0.0</v>
      </c>
      <c r="Y62" s="74">
        <v>3.0</v>
      </c>
      <c r="Z62" s="74">
        <v>1.0</v>
      </c>
      <c r="AA62" s="74">
        <v>1.0</v>
      </c>
      <c r="AB62" s="74">
        <v>1.0</v>
      </c>
      <c r="AC62" s="74">
        <v>1.0</v>
      </c>
      <c r="AD62" s="13">
        <f t="shared" si="16"/>
        <v>15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1.0</v>
      </c>
      <c r="J63" s="74">
        <v>0.0</v>
      </c>
      <c r="K63" s="74">
        <v>0.0</v>
      </c>
      <c r="L63" s="74">
        <v>0.0</v>
      </c>
      <c r="M63" s="74">
        <v>0.0</v>
      </c>
      <c r="N63" s="74">
        <v>2.0</v>
      </c>
      <c r="O63" s="74">
        <v>1.0</v>
      </c>
      <c r="P63" s="74">
        <v>0.0</v>
      </c>
      <c r="Q63" s="74">
        <v>0.0</v>
      </c>
      <c r="R63" s="74">
        <v>1.0</v>
      </c>
      <c r="S63" s="74">
        <v>0.0</v>
      </c>
      <c r="T63" s="74">
        <v>0.0</v>
      </c>
      <c r="U63" s="74">
        <v>1.0</v>
      </c>
      <c r="V63" s="74">
        <v>1.0</v>
      </c>
      <c r="W63" s="74">
        <v>0.0</v>
      </c>
      <c r="X63" s="74">
        <v>1.0</v>
      </c>
      <c r="Y63" s="74">
        <v>1.0</v>
      </c>
      <c r="Z63" s="74">
        <v>0.0</v>
      </c>
      <c r="AA63" s="74">
        <v>1.0</v>
      </c>
      <c r="AB63" s="74">
        <v>0.0</v>
      </c>
      <c r="AC63" s="74">
        <v>0.0</v>
      </c>
      <c r="AD63" s="13">
        <f t="shared" si="16"/>
        <v>10</v>
      </c>
    </row>
    <row r="64" ht="12.75" customHeight="1">
      <c r="A64" s="18"/>
      <c r="B64" s="55"/>
      <c r="C64" s="50" t="s">
        <v>57</v>
      </c>
      <c r="D64" s="56"/>
      <c r="E64" s="74">
        <v>1.0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1.0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1.0</v>
      </c>
      <c r="X64" s="74">
        <v>2.0</v>
      </c>
      <c r="Y64" s="74">
        <v>0.0</v>
      </c>
      <c r="Z64" s="74">
        <v>0.0</v>
      </c>
      <c r="AA64" s="74">
        <v>0.0</v>
      </c>
      <c r="AB64" s="74">
        <v>0.0</v>
      </c>
      <c r="AC64" s="74">
        <v>0.0</v>
      </c>
      <c r="AD64" s="13">
        <f t="shared" si="16"/>
        <v>5</v>
      </c>
    </row>
    <row r="65" ht="12.75" customHeight="1">
      <c r="A65" s="18"/>
      <c r="B65" s="55"/>
      <c r="C65" s="50" t="s">
        <v>58</v>
      </c>
      <c r="D65" s="56"/>
      <c r="E65" s="74">
        <v>1.0</v>
      </c>
      <c r="F65" s="74">
        <v>1.0</v>
      </c>
      <c r="G65" s="74">
        <v>0.0</v>
      </c>
      <c r="H65" s="74">
        <v>1.0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1.0</v>
      </c>
      <c r="R65" s="74">
        <v>0.0</v>
      </c>
      <c r="S65" s="74">
        <v>1.0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1.0</v>
      </c>
      <c r="AA65" s="74">
        <v>0.0</v>
      </c>
      <c r="AB65" s="74">
        <v>0.0</v>
      </c>
      <c r="AC65" s="74">
        <v>0.0</v>
      </c>
      <c r="AD65" s="13">
        <f t="shared" si="16"/>
        <v>6</v>
      </c>
    </row>
    <row r="66" ht="12.75" customHeight="1">
      <c r="A66" s="18"/>
      <c r="B66" s="55"/>
      <c r="C66" s="50" t="s">
        <v>59</v>
      </c>
      <c r="D66" s="56"/>
      <c r="E66" s="74">
        <v>2.0</v>
      </c>
      <c r="F66" s="74">
        <v>0.0</v>
      </c>
      <c r="G66" s="74">
        <v>0.0</v>
      </c>
      <c r="H66" s="74">
        <v>1.0</v>
      </c>
      <c r="I66" s="74">
        <v>1.0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1.0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4">
        <v>2.0</v>
      </c>
      <c r="AD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C67" si="17">SUM(E57:E66)</f>
        <v>39</v>
      </c>
      <c r="F67" s="13">
        <f t="shared" si="17"/>
        <v>37</v>
      </c>
      <c r="G67" s="13">
        <f t="shared" si="17"/>
        <v>30</v>
      </c>
      <c r="H67" s="13">
        <f t="shared" si="17"/>
        <v>27</v>
      </c>
      <c r="I67" s="13">
        <f t="shared" si="17"/>
        <v>20</v>
      </c>
      <c r="J67" s="13">
        <f t="shared" si="17"/>
        <v>12</v>
      </c>
      <c r="K67" s="13">
        <f t="shared" si="17"/>
        <v>26</v>
      </c>
      <c r="L67" s="13">
        <f t="shared" si="17"/>
        <v>24</v>
      </c>
      <c r="M67" s="13">
        <f t="shared" si="17"/>
        <v>37</v>
      </c>
      <c r="N67" s="13">
        <f t="shared" si="17"/>
        <v>50</v>
      </c>
      <c r="O67" s="13">
        <f t="shared" si="17"/>
        <v>21</v>
      </c>
      <c r="P67" s="13">
        <f t="shared" si="17"/>
        <v>46</v>
      </c>
      <c r="Q67" s="13">
        <f t="shared" si="17"/>
        <v>48</v>
      </c>
      <c r="R67" s="13">
        <f t="shared" si="17"/>
        <v>49</v>
      </c>
      <c r="S67" s="13">
        <f t="shared" si="17"/>
        <v>30</v>
      </c>
      <c r="T67" s="13">
        <f t="shared" si="17"/>
        <v>43</v>
      </c>
      <c r="U67" s="13">
        <f t="shared" si="17"/>
        <v>25</v>
      </c>
      <c r="V67" s="13">
        <f t="shared" si="17"/>
        <v>47</v>
      </c>
      <c r="W67" s="13">
        <f t="shared" si="17"/>
        <v>32</v>
      </c>
      <c r="X67" s="13">
        <f t="shared" si="17"/>
        <v>28</v>
      </c>
      <c r="Y67" s="13">
        <f t="shared" si="17"/>
        <v>31</v>
      </c>
      <c r="Z67" s="13">
        <f t="shared" si="17"/>
        <v>52</v>
      </c>
      <c r="AA67" s="13">
        <f t="shared" si="17"/>
        <v>63</v>
      </c>
      <c r="AB67" s="13">
        <f t="shared" si="17"/>
        <v>10</v>
      </c>
      <c r="AC67" s="13">
        <f t="shared" si="17"/>
        <v>28</v>
      </c>
      <c r="AD67" s="13">
        <f t="shared" si="16"/>
        <v>855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6.0</v>
      </c>
      <c r="F69" s="74">
        <v>6.0</v>
      </c>
      <c r="G69" s="74">
        <v>7.0</v>
      </c>
      <c r="H69" s="74">
        <v>6.0</v>
      </c>
      <c r="I69" s="74">
        <v>4.0</v>
      </c>
      <c r="J69" s="74">
        <v>7.0</v>
      </c>
      <c r="K69" s="74">
        <v>5.0</v>
      </c>
      <c r="L69" s="74">
        <v>2.0</v>
      </c>
      <c r="M69" s="74">
        <v>3.0</v>
      </c>
      <c r="N69" s="74">
        <v>7.0</v>
      </c>
      <c r="O69" s="74">
        <v>6.0</v>
      </c>
      <c r="P69" s="74">
        <v>2.0</v>
      </c>
      <c r="Q69" s="74">
        <v>3.0</v>
      </c>
      <c r="R69" s="74">
        <v>15.0</v>
      </c>
      <c r="S69" s="74">
        <v>11.0</v>
      </c>
      <c r="T69" s="74">
        <v>5.0</v>
      </c>
      <c r="U69" s="74">
        <v>5.0</v>
      </c>
      <c r="V69" s="89">
        <v>7.0</v>
      </c>
      <c r="W69" s="89">
        <v>4.0</v>
      </c>
      <c r="X69" s="74">
        <v>6.0</v>
      </c>
      <c r="Y69" s="74">
        <v>2.0</v>
      </c>
      <c r="Z69" s="74">
        <v>12.0</v>
      </c>
      <c r="AA69" s="74">
        <v>5.0</v>
      </c>
      <c r="AB69" s="74">
        <v>0.0</v>
      </c>
      <c r="AC69" s="74">
        <v>5.0</v>
      </c>
      <c r="AD69" s="13">
        <f t="shared" ref="AD69:AD79" si="18">SUM(E69:AC69)</f>
        <v>141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3.0</v>
      </c>
      <c r="F70" s="74">
        <v>1.0</v>
      </c>
      <c r="G70" s="74">
        <v>5.0</v>
      </c>
      <c r="H70" s="74">
        <v>2.0</v>
      </c>
      <c r="I70" s="74">
        <v>2.0</v>
      </c>
      <c r="J70" s="74">
        <v>1.0</v>
      </c>
      <c r="K70" s="74">
        <v>3.0</v>
      </c>
      <c r="L70" s="74">
        <v>1.0</v>
      </c>
      <c r="M70" s="74">
        <v>4.0</v>
      </c>
      <c r="N70" s="74">
        <v>5.0</v>
      </c>
      <c r="O70" s="74">
        <v>3.0</v>
      </c>
      <c r="P70" s="74">
        <v>4.0</v>
      </c>
      <c r="Q70" s="74">
        <v>1.0</v>
      </c>
      <c r="R70" s="74">
        <v>5.0</v>
      </c>
      <c r="S70" s="74">
        <v>1.0</v>
      </c>
      <c r="T70" s="74">
        <v>2.0</v>
      </c>
      <c r="U70" s="74">
        <v>1.0</v>
      </c>
      <c r="V70" s="89">
        <v>1.0</v>
      </c>
      <c r="W70" s="89">
        <v>3.0</v>
      </c>
      <c r="X70" s="74">
        <v>3.0</v>
      </c>
      <c r="Y70" s="74">
        <v>3.0</v>
      </c>
      <c r="Z70" s="74">
        <v>3.0</v>
      </c>
      <c r="AA70" s="74">
        <v>2.0</v>
      </c>
      <c r="AB70" s="74">
        <v>1.0</v>
      </c>
      <c r="AC70" s="74">
        <v>3.0</v>
      </c>
      <c r="AD70" s="13">
        <f t="shared" si="18"/>
        <v>63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4.0</v>
      </c>
      <c r="G71" s="74">
        <v>2.0</v>
      </c>
      <c r="H71" s="74">
        <v>3.0</v>
      </c>
      <c r="I71" s="74">
        <v>1.0</v>
      </c>
      <c r="J71" s="74">
        <v>2.0</v>
      </c>
      <c r="K71" s="74">
        <v>4.0</v>
      </c>
      <c r="L71" s="74">
        <v>0.0</v>
      </c>
      <c r="M71" s="74">
        <v>0.0</v>
      </c>
      <c r="N71" s="74">
        <v>1.0</v>
      </c>
      <c r="O71" s="74">
        <v>2.0</v>
      </c>
      <c r="P71" s="74">
        <v>6.0</v>
      </c>
      <c r="Q71" s="74">
        <v>2.0</v>
      </c>
      <c r="R71" s="74">
        <v>7.0</v>
      </c>
      <c r="S71" s="74">
        <v>3.0</v>
      </c>
      <c r="T71" s="74">
        <v>3.0</v>
      </c>
      <c r="U71" s="74">
        <v>9.0</v>
      </c>
      <c r="V71" s="89">
        <v>5.0</v>
      </c>
      <c r="W71" s="89">
        <v>2.0</v>
      </c>
      <c r="X71" s="74">
        <v>5.0</v>
      </c>
      <c r="Y71" s="74">
        <v>2.0</v>
      </c>
      <c r="Z71" s="74">
        <v>3.0</v>
      </c>
      <c r="AA71" s="74">
        <v>2.0</v>
      </c>
      <c r="AB71" s="74">
        <v>3.0</v>
      </c>
      <c r="AC71" s="74">
        <v>0.0</v>
      </c>
      <c r="AD71" s="13">
        <f t="shared" si="18"/>
        <v>75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3.0</v>
      </c>
      <c r="G72" s="74">
        <v>2.0</v>
      </c>
      <c r="H72" s="74">
        <v>0.0</v>
      </c>
      <c r="I72" s="74">
        <v>0.0</v>
      </c>
      <c r="J72" s="74">
        <v>0.0</v>
      </c>
      <c r="K72" s="74">
        <v>1.0</v>
      </c>
      <c r="L72" s="74">
        <v>2.0</v>
      </c>
      <c r="M72" s="74">
        <v>0.0</v>
      </c>
      <c r="N72" s="74">
        <v>1.0</v>
      </c>
      <c r="O72" s="74">
        <v>1.0</v>
      </c>
      <c r="P72" s="74">
        <v>0.0</v>
      </c>
      <c r="Q72" s="74">
        <v>2.0</v>
      </c>
      <c r="R72" s="74">
        <v>0.0</v>
      </c>
      <c r="S72" s="74">
        <v>0.0</v>
      </c>
      <c r="T72" s="74">
        <v>1.0</v>
      </c>
      <c r="U72" s="74">
        <v>3.0</v>
      </c>
      <c r="V72" s="89">
        <v>2.0</v>
      </c>
      <c r="W72" s="89">
        <v>1.0</v>
      </c>
      <c r="X72" s="74">
        <v>3.0</v>
      </c>
      <c r="Y72" s="74">
        <v>1.0</v>
      </c>
      <c r="Z72" s="74">
        <v>1.0</v>
      </c>
      <c r="AA72" s="74">
        <v>1.0</v>
      </c>
      <c r="AB72" s="74">
        <v>1.0</v>
      </c>
      <c r="AC72" s="74">
        <v>1.0</v>
      </c>
      <c r="AD72" s="13">
        <f t="shared" si="18"/>
        <v>28</v>
      </c>
    </row>
    <row r="73" ht="12.75" customHeight="1">
      <c r="A73" s="18"/>
      <c r="B73" s="55"/>
      <c r="C73" s="50" t="s">
        <v>64</v>
      </c>
      <c r="D73" s="57"/>
      <c r="E73" s="74">
        <v>2.0</v>
      </c>
      <c r="F73" s="74">
        <v>0.0</v>
      </c>
      <c r="G73" s="74">
        <v>0.0</v>
      </c>
      <c r="H73" s="74">
        <v>1.0</v>
      </c>
      <c r="I73" s="74">
        <v>0.0</v>
      </c>
      <c r="J73" s="74">
        <v>0.0</v>
      </c>
      <c r="K73" s="74">
        <v>1.0</v>
      </c>
      <c r="L73" s="74">
        <v>0.0</v>
      </c>
      <c r="M73" s="74">
        <v>2.0</v>
      </c>
      <c r="N73" s="74">
        <v>1.0</v>
      </c>
      <c r="O73" s="74">
        <v>0.0</v>
      </c>
      <c r="P73" s="74">
        <v>0.0</v>
      </c>
      <c r="Q73" s="74">
        <v>1.0</v>
      </c>
      <c r="R73" s="74">
        <v>11.0</v>
      </c>
      <c r="S73" s="74">
        <v>0.0</v>
      </c>
      <c r="T73" s="74">
        <v>0.0</v>
      </c>
      <c r="U73" s="74">
        <v>0.0</v>
      </c>
      <c r="V73" s="89">
        <v>2.0</v>
      </c>
      <c r="W73" s="89">
        <v>5.0</v>
      </c>
      <c r="X73" s="74">
        <v>0.0</v>
      </c>
      <c r="Y73" s="74">
        <v>0.0</v>
      </c>
      <c r="Z73" s="74">
        <v>1.0</v>
      </c>
      <c r="AA73" s="74">
        <v>0.0</v>
      </c>
      <c r="AB73" s="74">
        <v>1.0</v>
      </c>
      <c r="AC73" s="74">
        <v>2.0</v>
      </c>
      <c r="AD73" s="13">
        <f t="shared" si="18"/>
        <v>30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1.0</v>
      </c>
      <c r="G74" s="74">
        <v>4.0</v>
      </c>
      <c r="H74" s="74">
        <v>1.0</v>
      </c>
      <c r="I74" s="74">
        <v>3.0</v>
      </c>
      <c r="J74" s="74">
        <v>7.0</v>
      </c>
      <c r="K74" s="74">
        <v>2.0</v>
      </c>
      <c r="L74" s="74">
        <v>2.0</v>
      </c>
      <c r="M74" s="74">
        <v>4.0</v>
      </c>
      <c r="N74" s="74">
        <v>3.0</v>
      </c>
      <c r="O74" s="74">
        <v>0.0</v>
      </c>
      <c r="P74" s="74">
        <v>2.0</v>
      </c>
      <c r="Q74" s="74">
        <v>0.0</v>
      </c>
      <c r="R74" s="74">
        <v>0.0</v>
      </c>
      <c r="S74" s="74">
        <v>0.0</v>
      </c>
      <c r="T74" s="74">
        <v>1.0</v>
      </c>
      <c r="U74" s="74">
        <v>4.0</v>
      </c>
      <c r="V74" s="89">
        <v>1.0</v>
      </c>
      <c r="W74" s="89">
        <v>2.0</v>
      </c>
      <c r="X74" s="74">
        <v>3.0</v>
      </c>
      <c r="Y74" s="74">
        <v>1.0</v>
      </c>
      <c r="Z74" s="74">
        <v>4.0</v>
      </c>
      <c r="AA74" s="74">
        <v>0.0</v>
      </c>
      <c r="AB74" s="74">
        <v>0.0</v>
      </c>
      <c r="AC74" s="74">
        <v>0.0</v>
      </c>
      <c r="AD74" s="13">
        <f t="shared" si="18"/>
        <v>46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2.0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1.0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89">
        <v>1.0</v>
      </c>
      <c r="W75" s="89">
        <v>0.0</v>
      </c>
      <c r="X75" s="74">
        <v>1.0</v>
      </c>
      <c r="Y75" s="74">
        <v>0.0</v>
      </c>
      <c r="Z75" s="74">
        <v>1.0</v>
      </c>
      <c r="AA75" s="74">
        <v>0.0</v>
      </c>
      <c r="AB75" s="74">
        <v>0.0</v>
      </c>
      <c r="AC75" s="74">
        <v>0.0</v>
      </c>
      <c r="AD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2.0</v>
      </c>
      <c r="S76" s="74">
        <v>0.0</v>
      </c>
      <c r="T76" s="74">
        <v>0.0</v>
      </c>
      <c r="U76" s="74">
        <v>1.0</v>
      </c>
      <c r="V76" s="89">
        <v>0.0</v>
      </c>
      <c r="W76" s="89">
        <v>1.0</v>
      </c>
      <c r="X76" s="74">
        <v>1.0</v>
      </c>
      <c r="Y76" s="74">
        <v>0.0</v>
      </c>
      <c r="Z76" s="74">
        <v>2.0</v>
      </c>
      <c r="AA76" s="74">
        <v>0.0</v>
      </c>
      <c r="AB76" s="74">
        <v>0.0</v>
      </c>
      <c r="AC76" s="74">
        <v>0.0</v>
      </c>
      <c r="AD76" s="13">
        <f t="shared" si="18"/>
        <v>7</v>
      </c>
    </row>
    <row r="77" ht="12.75" customHeight="1">
      <c r="A77" s="18"/>
      <c r="B77" s="55"/>
      <c r="C77" s="50" t="s">
        <v>68</v>
      </c>
      <c r="D77" s="57"/>
      <c r="E77" s="74">
        <v>1.0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89">
        <v>0.0</v>
      </c>
      <c r="W77" s="89">
        <v>0.0</v>
      </c>
      <c r="X77" s="74">
        <v>0.0</v>
      </c>
      <c r="Y77" s="74">
        <v>0.0</v>
      </c>
      <c r="Z77" s="74">
        <v>0.0</v>
      </c>
      <c r="AA77" s="74">
        <v>0.0</v>
      </c>
      <c r="AB77" s="74">
        <v>0.0</v>
      </c>
      <c r="AC77" s="74">
        <v>0.0</v>
      </c>
      <c r="AD77" s="13">
        <f t="shared" si="18"/>
        <v>1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2.0</v>
      </c>
      <c r="H78" s="74">
        <v>1.0</v>
      </c>
      <c r="I78" s="74">
        <v>0.0</v>
      </c>
      <c r="J78" s="74">
        <v>1.0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89">
        <v>0.0</v>
      </c>
      <c r="W78" s="89">
        <v>1.0</v>
      </c>
      <c r="X78" s="74">
        <v>0.0</v>
      </c>
      <c r="Y78" s="74">
        <v>0.0</v>
      </c>
      <c r="Z78" s="74">
        <v>1.0</v>
      </c>
      <c r="AA78" s="74">
        <v>0.0</v>
      </c>
      <c r="AB78" s="74">
        <v>0.0</v>
      </c>
      <c r="AC78" s="74">
        <v>0.0</v>
      </c>
      <c r="AD78" s="13">
        <f t="shared" si="18"/>
        <v>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C79" si="19">SUM(E69:E78)</f>
        <v>19</v>
      </c>
      <c r="F79" s="13">
        <f t="shared" si="19"/>
        <v>15</v>
      </c>
      <c r="G79" s="13">
        <f t="shared" si="19"/>
        <v>24</v>
      </c>
      <c r="H79" s="13">
        <f t="shared" si="19"/>
        <v>14</v>
      </c>
      <c r="I79" s="13">
        <f t="shared" si="19"/>
        <v>10</v>
      </c>
      <c r="J79" s="13">
        <f t="shared" si="19"/>
        <v>18</v>
      </c>
      <c r="K79" s="13">
        <f t="shared" si="19"/>
        <v>16</v>
      </c>
      <c r="L79" s="13">
        <f t="shared" si="19"/>
        <v>7</v>
      </c>
      <c r="M79" s="13">
        <f t="shared" si="19"/>
        <v>14</v>
      </c>
      <c r="N79" s="13">
        <f t="shared" si="19"/>
        <v>18</v>
      </c>
      <c r="O79" s="13">
        <f t="shared" si="19"/>
        <v>12</v>
      </c>
      <c r="P79" s="13">
        <f t="shared" si="19"/>
        <v>14</v>
      </c>
      <c r="Q79" s="13">
        <f t="shared" si="19"/>
        <v>9</v>
      </c>
      <c r="R79" s="13">
        <f t="shared" si="19"/>
        <v>40</v>
      </c>
      <c r="S79" s="13">
        <f t="shared" si="19"/>
        <v>15</v>
      </c>
      <c r="T79" s="13">
        <f t="shared" si="19"/>
        <v>12</v>
      </c>
      <c r="U79" s="13">
        <f t="shared" si="19"/>
        <v>23</v>
      </c>
      <c r="V79" s="13">
        <f t="shared" si="19"/>
        <v>19</v>
      </c>
      <c r="W79" s="13">
        <f t="shared" si="19"/>
        <v>19</v>
      </c>
      <c r="X79" s="13">
        <f t="shared" si="19"/>
        <v>22</v>
      </c>
      <c r="Y79" s="13">
        <f t="shared" si="19"/>
        <v>9</v>
      </c>
      <c r="Z79" s="13">
        <f t="shared" si="19"/>
        <v>28</v>
      </c>
      <c r="AA79" s="13">
        <f t="shared" si="19"/>
        <v>10</v>
      </c>
      <c r="AB79" s="13">
        <f t="shared" si="19"/>
        <v>6</v>
      </c>
      <c r="AC79" s="13">
        <f t="shared" si="19"/>
        <v>11</v>
      </c>
      <c r="AD79" s="13">
        <f t="shared" si="18"/>
        <v>404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6.0</v>
      </c>
      <c r="F81" s="74">
        <v>5.0</v>
      </c>
      <c r="G81" s="74">
        <v>5.0</v>
      </c>
      <c r="H81" s="74">
        <v>10.0</v>
      </c>
      <c r="I81" s="74">
        <v>2.0</v>
      </c>
      <c r="J81" s="74">
        <v>2.0</v>
      </c>
      <c r="K81" s="74">
        <v>2.0</v>
      </c>
      <c r="L81" s="74">
        <v>5.0</v>
      </c>
      <c r="M81" s="74">
        <v>0.0</v>
      </c>
      <c r="N81" s="74">
        <v>8.0</v>
      </c>
      <c r="O81" s="74">
        <v>20.0</v>
      </c>
      <c r="P81" s="74">
        <v>9.0</v>
      </c>
      <c r="Q81" s="74">
        <v>10.0</v>
      </c>
      <c r="R81" s="74">
        <v>4.0</v>
      </c>
      <c r="S81" s="74">
        <v>1.0</v>
      </c>
      <c r="T81" s="74">
        <v>9.0</v>
      </c>
      <c r="U81" s="74">
        <v>5.0</v>
      </c>
      <c r="V81" s="74">
        <v>10.0</v>
      </c>
      <c r="W81" s="74">
        <v>14.0</v>
      </c>
      <c r="X81" s="74">
        <v>14.0</v>
      </c>
      <c r="Y81" s="74">
        <v>9.0</v>
      </c>
      <c r="Z81" s="74">
        <v>11.0</v>
      </c>
      <c r="AA81" s="74">
        <v>6.0</v>
      </c>
      <c r="AB81" s="74">
        <v>2.0</v>
      </c>
      <c r="AC81" s="74">
        <v>11.0</v>
      </c>
      <c r="AD81" s="13">
        <f t="shared" ref="AD81:AD91" si="20">SUM(E81:AC81)</f>
        <v>180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5.0</v>
      </c>
      <c r="F82" s="74">
        <v>2.0</v>
      </c>
      <c r="G82" s="74">
        <v>5.0</v>
      </c>
      <c r="H82" s="74">
        <v>24.0</v>
      </c>
      <c r="I82" s="74">
        <v>8.0</v>
      </c>
      <c r="J82" s="74">
        <v>7.0</v>
      </c>
      <c r="K82" s="74">
        <v>1.0</v>
      </c>
      <c r="L82" s="74">
        <v>6.0</v>
      </c>
      <c r="M82" s="74">
        <v>0.0</v>
      </c>
      <c r="N82" s="74">
        <v>7.0</v>
      </c>
      <c r="O82" s="74">
        <v>22.0</v>
      </c>
      <c r="P82" s="74">
        <v>13.0</v>
      </c>
      <c r="Q82" s="74">
        <v>7.0</v>
      </c>
      <c r="R82" s="74">
        <v>5.0</v>
      </c>
      <c r="S82" s="74">
        <v>11.0</v>
      </c>
      <c r="T82" s="74">
        <v>4.0</v>
      </c>
      <c r="U82" s="74">
        <v>3.0</v>
      </c>
      <c r="V82" s="74">
        <v>8.0</v>
      </c>
      <c r="W82" s="74">
        <v>3.0</v>
      </c>
      <c r="X82" s="74">
        <v>15.0</v>
      </c>
      <c r="Y82" s="74">
        <v>28.0</v>
      </c>
      <c r="Z82" s="74">
        <v>6.0</v>
      </c>
      <c r="AA82" s="74">
        <v>7.0</v>
      </c>
      <c r="AB82" s="74">
        <v>1.0</v>
      </c>
      <c r="AC82" s="74">
        <v>16.0</v>
      </c>
      <c r="AD82" s="13">
        <f t="shared" si="20"/>
        <v>214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1.0</v>
      </c>
      <c r="H83" s="74">
        <v>1.0</v>
      </c>
      <c r="I83" s="74">
        <v>0.0</v>
      </c>
      <c r="J83" s="74">
        <v>0.0</v>
      </c>
      <c r="K83" s="74">
        <v>1.0</v>
      </c>
      <c r="L83" s="74">
        <v>2.0</v>
      </c>
      <c r="M83" s="74">
        <v>1.0</v>
      </c>
      <c r="N83" s="74">
        <v>2.0</v>
      </c>
      <c r="O83" s="74">
        <v>7.0</v>
      </c>
      <c r="P83" s="74">
        <v>4.0</v>
      </c>
      <c r="Q83" s="74">
        <v>2.0</v>
      </c>
      <c r="R83" s="74">
        <v>2.0</v>
      </c>
      <c r="S83" s="74">
        <v>3.0</v>
      </c>
      <c r="T83" s="74">
        <v>5.0</v>
      </c>
      <c r="U83" s="74">
        <v>0.0</v>
      </c>
      <c r="V83" s="74">
        <v>1.0</v>
      </c>
      <c r="W83" s="74">
        <v>2.0</v>
      </c>
      <c r="X83" s="74">
        <v>3.0</v>
      </c>
      <c r="Y83" s="74">
        <v>0.0</v>
      </c>
      <c r="Z83" s="74">
        <v>1.0</v>
      </c>
      <c r="AA83" s="74">
        <v>3.0</v>
      </c>
      <c r="AB83" s="74">
        <v>2.0</v>
      </c>
      <c r="AC83" s="74">
        <v>1.0</v>
      </c>
      <c r="AD83" s="13">
        <f t="shared" si="20"/>
        <v>45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2.0</v>
      </c>
      <c r="H84" s="74">
        <v>0.0</v>
      </c>
      <c r="I84" s="74">
        <v>0.0</v>
      </c>
      <c r="J84" s="74">
        <v>1.0</v>
      </c>
      <c r="K84" s="74">
        <v>1.0</v>
      </c>
      <c r="L84" s="74">
        <v>0.0</v>
      </c>
      <c r="M84" s="74">
        <v>2.0</v>
      </c>
      <c r="N84" s="74">
        <v>1.0</v>
      </c>
      <c r="O84" s="74">
        <v>2.0</v>
      </c>
      <c r="P84" s="74">
        <v>1.0</v>
      </c>
      <c r="Q84" s="74">
        <v>0.0</v>
      </c>
      <c r="R84" s="74">
        <v>0.0</v>
      </c>
      <c r="S84" s="74">
        <v>1.0</v>
      </c>
      <c r="T84" s="74">
        <v>0.0</v>
      </c>
      <c r="U84" s="74">
        <v>2.0</v>
      </c>
      <c r="V84" s="74">
        <v>1.0</v>
      </c>
      <c r="W84" s="74">
        <v>0.0</v>
      </c>
      <c r="X84" s="74">
        <v>2.0</v>
      </c>
      <c r="Y84" s="74">
        <v>2.0</v>
      </c>
      <c r="Z84" s="74">
        <v>0.0</v>
      </c>
      <c r="AA84" s="74">
        <v>1.0</v>
      </c>
      <c r="AB84" s="74">
        <v>0.0</v>
      </c>
      <c r="AC84" s="74">
        <v>0.0</v>
      </c>
      <c r="AD84" s="13">
        <f t="shared" si="20"/>
        <v>20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1.0</v>
      </c>
      <c r="H85" s="74">
        <v>2.0</v>
      </c>
      <c r="I85" s="74">
        <v>3.0</v>
      </c>
      <c r="J85" s="74">
        <v>0.0</v>
      </c>
      <c r="K85" s="74">
        <v>0.0</v>
      </c>
      <c r="L85" s="74">
        <v>2.0</v>
      </c>
      <c r="M85" s="74">
        <v>0.0</v>
      </c>
      <c r="N85" s="74">
        <v>0.0</v>
      </c>
      <c r="O85" s="74">
        <v>5.0</v>
      </c>
      <c r="P85" s="74">
        <v>0.0</v>
      </c>
      <c r="Q85" s="74">
        <v>1.0</v>
      </c>
      <c r="R85" s="74">
        <v>4.0</v>
      </c>
      <c r="S85" s="74">
        <v>1.0</v>
      </c>
      <c r="T85" s="74">
        <v>0.0</v>
      </c>
      <c r="U85" s="74">
        <v>1.0</v>
      </c>
      <c r="V85" s="74">
        <v>2.0</v>
      </c>
      <c r="W85" s="74">
        <v>5.0</v>
      </c>
      <c r="X85" s="74">
        <v>3.0</v>
      </c>
      <c r="Y85" s="74">
        <v>2.0</v>
      </c>
      <c r="Z85" s="74">
        <v>0.0</v>
      </c>
      <c r="AA85" s="74">
        <v>0.0</v>
      </c>
      <c r="AB85" s="74">
        <v>1.0</v>
      </c>
      <c r="AC85" s="74">
        <v>0.0</v>
      </c>
      <c r="AD85" s="13">
        <f t="shared" si="20"/>
        <v>33</v>
      </c>
    </row>
    <row r="86" ht="12.75" customHeight="1">
      <c r="A86" s="18"/>
      <c r="B86" s="55"/>
      <c r="C86" s="50" t="s">
        <v>75</v>
      </c>
      <c r="D86" s="57"/>
      <c r="E86" s="74">
        <v>3.0</v>
      </c>
      <c r="F86" s="74">
        <v>0.0</v>
      </c>
      <c r="G86" s="74">
        <v>0.0</v>
      </c>
      <c r="H86" s="74">
        <v>0.0</v>
      </c>
      <c r="I86" s="74">
        <v>1.0</v>
      </c>
      <c r="J86" s="74">
        <v>1.0</v>
      </c>
      <c r="K86" s="74">
        <v>1.0</v>
      </c>
      <c r="L86" s="74">
        <v>0.0</v>
      </c>
      <c r="M86" s="74">
        <v>0.0</v>
      </c>
      <c r="N86" s="74">
        <v>2.0</v>
      </c>
      <c r="O86" s="74">
        <v>1.0</v>
      </c>
      <c r="P86" s="74">
        <v>0.0</v>
      </c>
      <c r="Q86" s="74">
        <v>0.0</v>
      </c>
      <c r="R86" s="74">
        <v>0.0</v>
      </c>
      <c r="S86" s="74">
        <v>0.0</v>
      </c>
      <c r="T86" s="74">
        <v>1.0</v>
      </c>
      <c r="U86" s="74">
        <v>0.0</v>
      </c>
      <c r="V86" s="74">
        <v>0.0</v>
      </c>
      <c r="W86" s="74">
        <v>2.0</v>
      </c>
      <c r="X86" s="74">
        <v>1.0</v>
      </c>
      <c r="Y86" s="74">
        <v>0.0</v>
      </c>
      <c r="Z86" s="74">
        <v>1.0</v>
      </c>
      <c r="AA86" s="74">
        <v>0.0</v>
      </c>
      <c r="AB86" s="74">
        <v>0.0</v>
      </c>
      <c r="AC86" s="74">
        <v>0.0</v>
      </c>
      <c r="AD86" s="13">
        <f t="shared" si="20"/>
        <v>14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1.0</v>
      </c>
      <c r="H87" s="74">
        <v>0.0</v>
      </c>
      <c r="I87" s="74">
        <v>2.0</v>
      </c>
      <c r="J87" s="74">
        <v>0.0</v>
      </c>
      <c r="K87" s="74">
        <v>0.0</v>
      </c>
      <c r="L87" s="74">
        <v>1.0</v>
      </c>
      <c r="M87" s="74">
        <v>0.0</v>
      </c>
      <c r="N87" s="74">
        <v>1.0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13">
        <f t="shared" si="20"/>
        <v>6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1.0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1.0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0.0</v>
      </c>
      <c r="AD88" s="13">
        <f t="shared" si="20"/>
        <v>3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1.0</v>
      </c>
      <c r="K89" s="74">
        <v>0.0</v>
      </c>
      <c r="L89" s="74">
        <v>0.0</v>
      </c>
      <c r="M89" s="74">
        <v>0.0</v>
      </c>
      <c r="N89" s="74">
        <v>1.0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13">
        <f t="shared" si="20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5.0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0.0</v>
      </c>
      <c r="X90" s="74">
        <v>0.0</v>
      </c>
      <c r="Y90" s="74">
        <v>0.0</v>
      </c>
      <c r="Z90" s="74">
        <v>0.0</v>
      </c>
      <c r="AA90" s="74">
        <v>0.0</v>
      </c>
      <c r="AB90" s="74">
        <v>0.0</v>
      </c>
      <c r="AC90" s="74">
        <v>1.0</v>
      </c>
      <c r="AD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C91" si="21">SUM(E81:E90)</f>
        <v>14</v>
      </c>
      <c r="F91" s="13">
        <f t="shared" si="21"/>
        <v>10</v>
      </c>
      <c r="G91" s="13">
        <f t="shared" si="21"/>
        <v>16</v>
      </c>
      <c r="H91" s="13">
        <f t="shared" si="21"/>
        <v>37</v>
      </c>
      <c r="I91" s="13">
        <f t="shared" si="21"/>
        <v>21</v>
      </c>
      <c r="J91" s="13">
        <f t="shared" si="21"/>
        <v>13</v>
      </c>
      <c r="K91" s="13">
        <f t="shared" si="21"/>
        <v>6</v>
      </c>
      <c r="L91" s="13">
        <f t="shared" si="21"/>
        <v>16</v>
      </c>
      <c r="M91" s="13">
        <f t="shared" si="21"/>
        <v>3</v>
      </c>
      <c r="N91" s="13">
        <f t="shared" si="21"/>
        <v>22</v>
      </c>
      <c r="O91" s="13">
        <f t="shared" si="21"/>
        <v>57</v>
      </c>
      <c r="P91" s="13">
        <f t="shared" si="21"/>
        <v>27</v>
      </c>
      <c r="Q91" s="13">
        <f t="shared" si="21"/>
        <v>20</v>
      </c>
      <c r="R91" s="13">
        <f t="shared" si="21"/>
        <v>15</v>
      </c>
      <c r="S91" s="13">
        <f t="shared" si="21"/>
        <v>17</v>
      </c>
      <c r="T91" s="13">
        <f t="shared" si="21"/>
        <v>20</v>
      </c>
      <c r="U91" s="13">
        <f t="shared" si="21"/>
        <v>11</v>
      </c>
      <c r="V91" s="13">
        <f t="shared" si="21"/>
        <v>22</v>
      </c>
      <c r="W91" s="13">
        <f t="shared" si="21"/>
        <v>26</v>
      </c>
      <c r="X91" s="13">
        <f t="shared" si="21"/>
        <v>38</v>
      </c>
      <c r="Y91" s="13">
        <f t="shared" si="21"/>
        <v>41</v>
      </c>
      <c r="Z91" s="13">
        <f t="shared" si="21"/>
        <v>19</v>
      </c>
      <c r="AA91" s="13">
        <f t="shared" si="21"/>
        <v>17</v>
      </c>
      <c r="AB91" s="13">
        <f t="shared" si="21"/>
        <v>6</v>
      </c>
      <c r="AC91" s="13">
        <f t="shared" si="21"/>
        <v>29</v>
      </c>
      <c r="AD91" s="13">
        <f t="shared" si="20"/>
        <v>523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0.0</v>
      </c>
      <c r="G93" s="74">
        <v>1.0</v>
      </c>
      <c r="H93" s="74">
        <v>0.0</v>
      </c>
      <c r="I93" s="74">
        <v>2.0</v>
      </c>
      <c r="J93" s="74">
        <v>2.0</v>
      </c>
      <c r="K93" s="74">
        <v>3.0</v>
      </c>
      <c r="L93" s="74">
        <v>0.0</v>
      </c>
      <c r="M93" s="74">
        <v>6.0</v>
      </c>
      <c r="N93" s="74">
        <v>3.0</v>
      </c>
      <c r="O93" s="74">
        <v>1.0</v>
      </c>
      <c r="P93" s="74">
        <v>1.0</v>
      </c>
      <c r="Q93" s="74">
        <v>2.0</v>
      </c>
      <c r="R93" s="74">
        <v>0.0</v>
      </c>
      <c r="S93" s="74">
        <v>5.0</v>
      </c>
      <c r="T93" s="74">
        <v>2.0</v>
      </c>
      <c r="U93" s="74">
        <v>6.0</v>
      </c>
      <c r="V93" s="74">
        <v>13.0</v>
      </c>
      <c r="W93" s="74">
        <v>0.0</v>
      </c>
      <c r="X93" s="74">
        <v>11.0</v>
      </c>
      <c r="Y93" s="74">
        <v>1.0</v>
      </c>
      <c r="Z93" s="74">
        <v>0.0</v>
      </c>
      <c r="AA93" s="74">
        <v>1.0</v>
      </c>
      <c r="AB93" s="74">
        <v>1.0</v>
      </c>
      <c r="AC93" s="74">
        <v>0.0</v>
      </c>
      <c r="AD93" s="13">
        <f t="shared" ref="AD93:AD103" si="22">SUM(E93:AC93)</f>
        <v>62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2.0</v>
      </c>
      <c r="F94" s="74">
        <v>0.0</v>
      </c>
      <c r="G94" s="74">
        <v>1.0</v>
      </c>
      <c r="H94" s="74">
        <v>2.0</v>
      </c>
      <c r="I94" s="74">
        <v>0.0</v>
      </c>
      <c r="J94" s="74">
        <v>4.0</v>
      </c>
      <c r="K94" s="74">
        <v>3.0</v>
      </c>
      <c r="L94" s="74">
        <v>3.0</v>
      </c>
      <c r="M94" s="74">
        <v>6.0</v>
      </c>
      <c r="N94" s="74">
        <v>0.0</v>
      </c>
      <c r="O94" s="74">
        <v>0.0</v>
      </c>
      <c r="P94" s="74">
        <v>2.0</v>
      </c>
      <c r="Q94" s="74">
        <v>1.0</v>
      </c>
      <c r="R94" s="74">
        <v>0.0</v>
      </c>
      <c r="S94" s="74">
        <v>7.0</v>
      </c>
      <c r="T94" s="74">
        <v>6.0</v>
      </c>
      <c r="U94" s="74">
        <v>8.0</v>
      </c>
      <c r="V94" s="74">
        <v>13.0</v>
      </c>
      <c r="W94" s="74">
        <v>1.0</v>
      </c>
      <c r="X94" s="74">
        <v>2.0</v>
      </c>
      <c r="Y94" s="74">
        <v>4.0</v>
      </c>
      <c r="Z94" s="74">
        <v>5.0</v>
      </c>
      <c r="AA94" s="74">
        <v>1.0</v>
      </c>
      <c r="AB94" s="74">
        <v>18.0</v>
      </c>
      <c r="AC94" s="74">
        <v>2.0</v>
      </c>
      <c r="AD94" s="13">
        <f t="shared" si="22"/>
        <v>91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0.0</v>
      </c>
      <c r="I95" s="74">
        <v>1.0</v>
      </c>
      <c r="J95" s="74">
        <v>1.0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1.0</v>
      </c>
      <c r="Q95" s="74">
        <v>0.0</v>
      </c>
      <c r="R95" s="74">
        <v>0.0</v>
      </c>
      <c r="S95" s="74">
        <v>1.0</v>
      </c>
      <c r="T95" s="74">
        <v>2.0</v>
      </c>
      <c r="U95" s="74">
        <v>2.0</v>
      </c>
      <c r="V95" s="74">
        <v>0.0</v>
      </c>
      <c r="W95" s="74">
        <v>0.0</v>
      </c>
      <c r="X95" s="74">
        <v>0.0</v>
      </c>
      <c r="Y95" s="74">
        <v>0.0</v>
      </c>
      <c r="Z95" s="74">
        <v>0.0</v>
      </c>
      <c r="AA95" s="74">
        <v>0.0</v>
      </c>
      <c r="AB95" s="74">
        <v>0.0</v>
      </c>
      <c r="AC95" s="74">
        <v>0.0</v>
      </c>
      <c r="AD95" s="13">
        <f t="shared" si="22"/>
        <v>8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1.0</v>
      </c>
      <c r="G96" s="74">
        <v>1.0</v>
      </c>
      <c r="H96" s="74">
        <v>1.0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1.0</v>
      </c>
      <c r="T96" s="74">
        <v>0.0</v>
      </c>
      <c r="U96" s="74">
        <v>0.0</v>
      </c>
      <c r="V96" s="74">
        <v>0.0</v>
      </c>
      <c r="W96" s="74">
        <v>0.0</v>
      </c>
      <c r="X96" s="74">
        <v>1.0</v>
      </c>
      <c r="Y96" s="74">
        <v>0.0</v>
      </c>
      <c r="Z96" s="74">
        <v>0.0</v>
      </c>
      <c r="AA96" s="74">
        <v>0.0</v>
      </c>
      <c r="AB96" s="74">
        <v>0.0</v>
      </c>
      <c r="AC96" s="74">
        <v>0.0</v>
      </c>
      <c r="AD96" s="13">
        <f t="shared" si="22"/>
        <v>5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1.0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1.0</v>
      </c>
      <c r="R97" s="74">
        <v>0.0</v>
      </c>
      <c r="S97" s="74">
        <v>0.0</v>
      </c>
      <c r="T97" s="74">
        <v>0.0</v>
      </c>
      <c r="U97" s="74">
        <v>2.0</v>
      </c>
      <c r="V97" s="74">
        <v>0.0</v>
      </c>
      <c r="W97" s="74">
        <v>0.0</v>
      </c>
      <c r="X97" s="74">
        <v>1.0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13">
        <f t="shared" si="22"/>
        <v>5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1.0</v>
      </c>
      <c r="K98" s="74">
        <v>0.0</v>
      </c>
      <c r="L98" s="74">
        <v>0.0</v>
      </c>
      <c r="M98" s="74">
        <v>1.0</v>
      </c>
      <c r="N98" s="74">
        <v>0.0</v>
      </c>
      <c r="O98" s="74">
        <v>0.0</v>
      </c>
      <c r="P98" s="74">
        <v>1.0</v>
      </c>
      <c r="Q98" s="74">
        <v>0.0</v>
      </c>
      <c r="R98" s="74">
        <v>0.0</v>
      </c>
      <c r="S98" s="74">
        <v>1.0</v>
      </c>
      <c r="T98" s="74">
        <v>0.0</v>
      </c>
      <c r="U98" s="74">
        <v>1.0</v>
      </c>
      <c r="V98" s="74">
        <v>1.0</v>
      </c>
      <c r="W98" s="74">
        <v>0.0</v>
      </c>
      <c r="X98" s="74">
        <v>10.0</v>
      </c>
      <c r="Y98" s="74">
        <v>2.0</v>
      </c>
      <c r="Z98" s="74">
        <v>0.0</v>
      </c>
      <c r="AA98" s="74">
        <v>0.0</v>
      </c>
      <c r="AB98" s="74">
        <v>0.0</v>
      </c>
      <c r="AC98" s="74">
        <v>0.0</v>
      </c>
      <c r="AD98" s="13">
        <f t="shared" si="22"/>
        <v>18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1.0</v>
      </c>
      <c r="N99" s="74">
        <v>0.0</v>
      </c>
      <c r="O99" s="74">
        <v>0.0</v>
      </c>
      <c r="P99" s="74">
        <v>0.0</v>
      </c>
      <c r="Q99" s="74">
        <v>0.0</v>
      </c>
      <c r="R99" s="74">
        <v>2.0</v>
      </c>
      <c r="S99" s="74">
        <v>0.0</v>
      </c>
      <c r="T99" s="74">
        <v>0.0</v>
      </c>
      <c r="U99" s="74">
        <v>1.0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2.0</v>
      </c>
      <c r="AB99" s="74">
        <v>0.0</v>
      </c>
      <c r="AC99" s="74">
        <v>1.0</v>
      </c>
      <c r="AD99" s="13">
        <f t="shared" si="22"/>
        <v>7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2.0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1.0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13">
        <f t="shared" si="22"/>
        <v>3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1.0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C103" si="23">SUM(E93:E102)</f>
        <v>5</v>
      </c>
      <c r="F103" s="13">
        <f t="shared" si="23"/>
        <v>1</v>
      </c>
      <c r="G103" s="13">
        <f t="shared" si="23"/>
        <v>3</v>
      </c>
      <c r="H103" s="13">
        <f t="shared" si="23"/>
        <v>4</v>
      </c>
      <c r="I103" s="13">
        <f t="shared" si="23"/>
        <v>3</v>
      </c>
      <c r="J103" s="13">
        <f t="shared" si="23"/>
        <v>8</v>
      </c>
      <c r="K103" s="13">
        <f t="shared" si="23"/>
        <v>6</v>
      </c>
      <c r="L103" s="13">
        <f t="shared" si="23"/>
        <v>3</v>
      </c>
      <c r="M103" s="13">
        <f t="shared" si="23"/>
        <v>14</v>
      </c>
      <c r="N103" s="13">
        <f t="shared" si="23"/>
        <v>3</v>
      </c>
      <c r="O103" s="13">
        <f t="shared" si="23"/>
        <v>1</v>
      </c>
      <c r="P103" s="13">
        <f t="shared" si="23"/>
        <v>5</v>
      </c>
      <c r="Q103" s="13">
        <f t="shared" si="23"/>
        <v>4</v>
      </c>
      <c r="R103" s="13">
        <f t="shared" si="23"/>
        <v>3</v>
      </c>
      <c r="S103" s="13">
        <f t="shared" si="23"/>
        <v>15</v>
      </c>
      <c r="T103" s="13">
        <f t="shared" si="23"/>
        <v>10</v>
      </c>
      <c r="U103" s="13">
        <f t="shared" si="23"/>
        <v>20</v>
      </c>
      <c r="V103" s="13">
        <f t="shared" si="23"/>
        <v>27</v>
      </c>
      <c r="W103" s="13">
        <f t="shared" si="23"/>
        <v>1</v>
      </c>
      <c r="X103" s="13">
        <f t="shared" si="23"/>
        <v>26</v>
      </c>
      <c r="Y103" s="13">
        <f t="shared" si="23"/>
        <v>7</v>
      </c>
      <c r="Z103" s="13">
        <f t="shared" si="23"/>
        <v>5</v>
      </c>
      <c r="AA103" s="13">
        <f t="shared" si="23"/>
        <v>4</v>
      </c>
      <c r="AB103" s="13">
        <f t="shared" si="23"/>
        <v>19</v>
      </c>
      <c r="AC103" s="13">
        <f t="shared" si="23"/>
        <v>3</v>
      </c>
      <c r="AD103" s="13">
        <f t="shared" si="22"/>
        <v>200</v>
      </c>
    </row>
    <row r="104" ht="12.75" customHeight="1">
      <c r="A104" s="45"/>
      <c r="B104" s="44"/>
      <c r="C104" s="44"/>
      <c r="D104" s="44"/>
      <c r="E104" s="44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2.0</v>
      </c>
      <c r="F105" s="74">
        <v>0.0</v>
      </c>
      <c r="G105" s="74">
        <v>1.0</v>
      </c>
      <c r="H105" s="74">
        <v>1.0</v>
      </c>
      <c r="I105" s="74">
        <v>0.0</v>
      </c>
      <c r="J105" s="74">
        <v>3.0</v>
      </c>
      <c r="K105" s="74">
        <v>1.0</v>
      </c>
      <c r="L105" s="74">
        <v>1.0</v>
      </c>
      <c r="M105" s="74">
        <v>3.0</v>
      </c>
      <c r="N105" s="74">
        <v>0.0</v>
      </c>
      <c r="O105" s="74">
        <v>0.0</v>
      </c>
      <c r="P105" s="74">
        <v>1.0</v>
      </c>
      <c r="Q105" s="74">
        <v>0.0</v>
      </c>
      <c r="R105" s="74">
        <v>0.0</v>
      </c>
      <c r="S105" s="74">
        <v>0.0</v>
      </c>
      <c r="T105" s="74">
        <v>0.0</v>
      </c>
      <c r="U105" s="74">
        <v>1.0</v>
      </c>
      <c r="V105" s="74">
        <v>0.0</v>
      </c>
      <c r="W105" s="74">
        <v>1.0</v>
      </c>
      <c r="X105" s="74">
        <v>0.0</v>
      </c>
      <c r="Y105" s="74">
        <v>1.0</v>
      </c>
      <c r="Z105" s="74">
        <v>0.0</v>
      </c>
      <c r="AA105" s="74">
        <v>0.0</v>
      </c>
      <c r="AB105" s="74">
        <v>0.0</v>
      </c>
      <c r="AC105" s="74">
        <v>2.0</v>
      </c>
      <c r="AD105" s="13">
        <f t="shared" ref="AD105:AD107" si="24">SUM(E105:AC105)</f>
        <v>18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2.0</v>
      </c>
      <c r="K106" s="74">
        <v>1.0</v>
      </c>
      <c r="L106" s="74">
        <v>0.0</v>
      </c>
      <c r="M106" s="74">
        <v>1.0</v>
      </c>
      <c r="N106" s="74">
        <v>0.0</v>
      </c>
      <c r="O106" s="74">
        <v>0.0</v>
      </c>
      <c r="P106" s="74">
        <v>1.0</v>
      </c>
      <c r="Q106" s="74">
        <v>1.0</v>
      </c>
      <c r="R106" s="74">
        <v>0.0</v>
      </c>
      <c r="S106" s="74">
        <v>0.0</v>
      </c>
      <c r="T106" s="74">
        <v>0.0</v>
      </c>
      <c r="U106" s="74">
        <v>1.0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1.0</v>
      </c>
      <c r="AD106" s="13">
        <f t="shared" si="24"/>
        <v>9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1.0</v>
      </c>
      <c r="G107" s="74">
        <v>0.0</v>
      </c>
      <c r="H107" s="74">
        <v>0.0</v>
      </c>
      <c r="I107" s="74">
        <v>0.0</v>
      </c>
      <c r="J107" s="74">
        <v>1.0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0.0</v>
      </c>
      <c r="AD107" s="13">
        <f t="shared" si="24"/>
        <v>3</v>
      </c>
    </row>
    <row r="108" ht="12.75" customHeight="1">
      <c r="A108" s="18"/>
      <c r="B108" s="58"/>
      <c r="C108" s="59"/>
      <c r="D108" s="60"/>
      <c r="E108" s="7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79"/>
    </row>
    <row r="109" ht="12.75" customHeight="1">
      <c r="A109" s="18"/>
      <c r="B109" s="58"/>
      <c r="C109" s="59"/>
      <c r="D109" s="60"/>
      <c r="E109" s="7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79"/>
    </row>
    <row r="110" ht="12.75" customHeight="1">
      <c r="A110" s="18"/>
      <c r="B110" s="58"/>
      <c r="C110" s="59"/>
      <c r="D110" s="60"/>
      <c r="E110" s="7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79"/>
    </row>
    <row r="111" ht="12.75" customHeight="1">
      <c r="A111" s="18"/>
      <c r="B111" s="58"/>
      <c r="C111" s="59"/>
      <c r="D111" s="60"/>
      <c r="E111" s="7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79"/>
    </row>
    <row r="112" ht="12.75" customHeight="1">
      <c r="A112" s="18"/>
      <c r="B112" s="58"/>
      <c r="C112" s="59"/>
      <c r="D112" s="60"/>
      <c r="E112" s="7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79"/>
    </row>
    <row r="113" ht="12.75" customHeight="1">
      <c r="A113" s="18"/>
      <c r="B113" s="58"/>
      <c r="C113" s="59"/>
      <c r="D113" s="60"/>
      <c r="E113" s="7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79"/>
    </row>
    <row r="114" ht="12.75" customHeight="1">
      <c r="A114" s="18"/>
      <c r="B114" s="58"/>
      <c r="C114" s="59"/>
      <c r="D114" s="60"/>
      <c r="E114" s="7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79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C115" si="25">SUM(E105:E112)</f>
        <v>3</v>
      </c>
      <c r="F115" s="13">
        <f t="shared" si="25"/>
        <v>1</v>
      </c>
      <c r="G115" s="13">
        <f t="shared" si="25"/>
        <v>1</v>
      </c>
      <c r="H115" s="13">
        <f t="shared" si="25"/>
        <v>2</v>
      </c>
      <c r="I115" s="13">
        <f t="shared" si="25"/>
        <v>0</v>
      </c>
      <c r="J115" s="13">
        <f t="shared" si="25"/>
        <v>6</v>
      </c>
      <c r="K115" s="13">
        <f t="shared" si="25"/>
        <v>2</v>
      </c>
      <c r="L115" s="13">
        <f t="shared" si="25"/>
        <v>1</v>
      </c>
      <c r="M115" s="13">
        <f t="shared" si="25"/>
        <v>4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3</v>
      </c>
      <c r="AD115" s="13">
        <f>SUM(E115:AC115)</f>
        <v>30</v>
      </c>
    </row>
    <row r="116" ht="12.75" customHeight="1">
      <c r="A116" s="24"/>
      <c r="B116" s="15"/>
      <c r="C116" s="15"/>
      <c r="D116" s="15"/>
      <c r="E116" s="16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2.0</v>
      </c>
      <c r="H117" s="74">
        <v>0.0</v>
      </c>
      <c r="I117" s="74">
        <v>1.0</v>
      </c>
      <c r="J117" s="74">
        <v>0.0</v>
      </c>
      <c r="K117" s="74">
        <v>1.0</v>
      </c>
      <c r="L117" s="74">
        <v>1.0</v>
      </c>
      <c r="M117" s="74">
        <v>0.0</v>
      </c>
      <c r="N117" s="74">
        <v>1.0</v>
      </c>
      <c r="O117" s="74">
        <v>1.0</v>
      </c>
      <c r="P117" s="74">
        <v>2.0</v>
      </c>
      <c r="Q117" s="74">
        <v>0.0</v>
      </c>
      <c r="R117" s="74">
        <v>0.0</v>
      </c>
      <c r="S117" s="74">
        <v>0.0</v>
      </c>
      <c r="T117" s="74">
        <v>0.0</v>
      </c>
      <c r="U117" s="74">
        <v>0.0</v>
      </c>
      <c r="V117" s="74">
        <v>1.0</v>
      </c>
      <c r="W117" s="74">
        <v>0.0</v>
      </c>
      <c r="X117" s="74">
        <v>0.0</v>
      </c>
      <c r="Y117" s="74">
        <v>1.0</v>
      </c>
      <c r="Z117" s="74">
        <v>0.0</v>
      </c>
      <c r="AA117" s="74">
        <v>0.0</v>
      </c>
      <c r="AB117" s="74">
        <v>0.0</v>
      </c>
      <c r="AC117" s="74">
        <v>2.0</v>
      </c>
      <c r="AD117" s="13">
        <f t="shared" ref="AD117:AD122" si="26">SUM(E117:AC117)</f>
        <v>13</v>
      </c>
      <c r="AE117" s="5"/>
      <c r="AF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1.0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1.0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2.0</v>
      </c>
      <c r="X118" s="74">
        <v>0.0</v>
      </c>
      <c r="Y118" s="74">
        <v>0.0</v>
      </c>
      <c r="Z118" s="74">
        <v>1.0</v>
      </c>
      <c r="AA118" s="74">
        <v>0.0</v>
      </c>
      <c r="AB118" s="74">
        <v>0.0</v>
      </c>
      <c r="AC118" s="74">
        <v>0.0</v>
      </c>
      <c r="AD118" s="13">
        <f t="shared" si="26"/>
        <v>5</v>
      </c>
      <c r="AE118" s="5"/>
      <c r="AF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13">
        <f t="shared" si="26"/>
        <v>1</v>
      </c>
      <c r="AE119" s="5"/>
      <c r="AF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13">
        <f t="shared" si="26"/>
        <v>0</v>
      </c>
      <c r="AE120" s="5"/>
      <c r="AF120" s="5"/>
    </row>
    <row r="121" ht="12.75" customHeight="1">
      <c r="A121" s="18"/>
      <c r="B121" s="55"/>
      <c r="C121" s="50" t="s">
        <v>100</v>
      </c>
      <c r="D121" s="57"/>
      <c r="E121" s="74">
        <v>1.0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1.0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13">
        <f t="shared" si="26"/>
        <v>2</v>
      </c>
      <c r="AE121" s="5"/>
      <c r="AF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1.0</v>
      </c>
      <c r="N122" s="74">
        <v>1.0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1.0</v>
      </c>
      <c r="U122" s="74">
        <v>1.0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13">
        <f t="shared" si="26"/>
        <v>4</v>
      </c>
      <c r="AE122" s="5"/>
      <c r="AF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79"/>
      <c r="AE123" s="5"/>
      <c r="AF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79"/>
      <c r="AE124" s="5"/>
      <c r="AF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79"/>
      <c r="AE125" s="5"/>
      <c r="AF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79"/>
      <c r="AE126" s="5"/>
      <c r="AF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C127" si="27">SUM(E117:E122)</f>
        <v>1</v>
      </c>
      <c r="F127" s="63">
        <f t="shared" si="27"/>
        <v>0</v>
      </c>
      <c r="G127" s="63">
        <f t="shared" si="27"/>
        <v>2</v>
      </c>
      <c r="H127" s="63">
        <f t="shared" si="27"/>
        <v>1</v>
      </c>
      <c r="I127" s="63">
        <f t="shared" si="27"/>
        <v>1</v>
      </c>
      <c r="J127" s="63">
        <f t="shared" si="27"/>
        <v>0</v>
      </c>
      <c r="K127" s="63">
        <f t="shared" si="27"/>
        <v>1</v>
      </c>
      <c r="L127" s="63">
        <f t="shared" si="27"/>
        <v>1</v>
      </c>
      <c r="M127" s="63">
        <f t="shared" si="27"/>
        <v>1</v>
      </c>
      <c r="N127" s="63">
        <f t="shared" si="27"/>
        <v>2</v>
      </c>
      <c r="O127" s="63">
        <f t="shared" si="27"/>
        <v>3</v>
      </c>
      <c r="P127" s="63">
        <f t="shared" si="27"/>
        <v>2</v>
      </c>
      <c r="Q127" s="63">
        <f t="shared" si="27"/>
        <v>0</v>
      </c>
      <c r="R127" s="63">
        <f t="shared" si="27"/>
        <v>0</v>
      </c>
      <c r="S127" s="63">
        <f t="shared" si="27"/>
        <v>0</v>
      </c>
      <c r="T127" s="63">
        <f t="shared" si="27"/>
        <v>1</v>
      </c>
      <c r="U127" s="63">
        <f t="shared" si="27"/>
        <v>1</v>
      </c>
      <c r="V127" s="63">
        <f t="shared" si="27"/>
        <v>1</v>
      </c>
      <c r="W127" s="63">
        <f t="shared" si="27"/>
        <v>2</v>
      </c>
      <c r="X127" s="63">
        <f t="shared" si="27"/>
        <v>1</v>
      </c>
      <c r="Y127" s="63">
        <f t="shared" si="27"/>
        <v>1</v>
      </c>
      <c r="Z127" s="63">
        <f t="shared" si="27"/>
        <v>1</v>
      </c>
      <c r="AA127" s="63">
        <f t="shared" si="27"/>
        <v>0</v>
      </c>
      <c r="AB127" s="63">
        <f t="shared" si="27"/>
        <v>0</v>
      </c>
      <c r="AC127" s="63">
        <f t="shared" si="27"/>
        <v>2</v>
      </c>
      <c r="AD127" s="13">
        <f>SUM(E127:AC127)</f>
        <v>25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5"/>
      <c r="AF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3.0</v>
      </c>
      <c r="F129" s="74">
        <v>3.0</v>
      </c>
      <c r="G129" s="74">
        <v>1.0</v>
      </c>
      <c r="H129" s="74">
        <v>1.0</v>
      </c>
      <c r="I129" s="74">
        <v>1.0</v>
      </c>
      <c r="J129" s="74">
        <v>0.0</v>
      </c>
      <c r="K129" s="74">
        <v>1.0</v>
      </c>
      <c r="L129" s="74">
        <v>8.0</v>
      </c>
      <c r="M129" s="74">
        <v>4.0</v>
      </c>
      <c r="N129" s="74">
        <v>5.0</v>
      </c>
      <c r="O129" s="74">
        <v>0.0</v>
      </c>
      <c r="P129" s="74">
        <v>0.0</v>
      </c>
      <c r="Q129" s="74">
        <v>0.0</v>
      </c>
      <c r="R129" s="74">
        <v>1.0</v>
      </c>
      <c r="S129" s="74">
        <v>0.0</v>
      </c>
      <c r="T129" s="74">
        <v>0.0</v>
      </c>
      <c r="U129" s="74">
        <v>0.0</v>
      </c>
      <c r="V129" s="74">
        <v>0.0</v>
      </c>
      <c r="W129" s="74">
        <v>1.0</v>
      </c>
      <c r="X129" s="74">
        <v>0.0</v>
      </c>
      <c r="Y129" s="74">
        <v>0.0</v>
      </c>
      <c r="Z129" s="74">
        <v>1.0</v>
      </c>
      <c r="AA129" s="74">
        <v>4.0</v>
      </c>
      <c r="AB129" s="74">
        <v>0.0</v>
      </c>
      <c r="AC129" s="74">
        <v>1.0</v>
      </c>
      <c r="AD129" s="13">
        <f t="shared" ref="AD129:AD138" si="28">SUM(E129:AC129)</f>
        <v>35</v>
      </c>
      <c r="AE129" s="5"/>
      <c r="AF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2.0</v>
      </c>
      <c r="F130" s="74">
        <v>1.0</v>
      </c>
      <c r="G130" s="74">
        <v>1.0</v>
      </c>
      <c r="H130" s="74">
        <v>2.0</v>
      </c>
      <c r="I130" s="74">
        <v>3.0</v>
      </c>
      <c r="J130" s="74">
        <v>4.0</v>
      </c>
      <c r="K130" s="74">
        <v>4.0</v>
      </c>
      <c r="L130" s="74">
        <v>23.0</v>
      </c>
      <c r="M130" s="74">
        <v>15.0</v>
      </c>
      <c r="N130" s="74">
        <v>12.0</v>
      </c>
      <c r="O130" s="74">
        <v>0.0</v>
      </c>
      <c r="P130" s="74">
        <v>1.0</v>
      </c>
      <c r="Q130" s="74">
        <v>3.0</v>
      </c>
      <c r="R130" s="74">
        <v>1.0</v>
      </c>
      <c r="S130" s="74">
        <v>1.0</v>
      </c>
      <c r="T130" s="74">
        <v>3.0</v>
      </c>
      <c r="U130" s="74">
        <v>0.0</v>
      </c>
      <c r="V130" s="74">
        <v>1.0</v>
      </c>
      <c r="W130" s="74">
        <v>1.0</v>
      </c>
      <c r="X130" s="74">
        <v>0.0</v>
      </c>
      <c r="Y130" s="74">
        <v>3.0</v>
      </c>
      <c r="Z130" s="74">
        <v>0.0</v>
      </c>
      <c r="AA130" s="74">
        <v>8.0</v>
      </c>
      <c r="AB130" s="74">
        <v>2.0</v>
      </c>
      <c r="AC130" s="74">
        <v>1.0</v>
      </c>
      <c r="AD130" s="13">
        <f t="shared" si="28"/>
        <v>92</v>
      </c>
      <c r="AE130" s="1"/>
      <c r="AF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1.0</v>
      </c>
      <c r="G131" s="74">
        <v>1.0</v>
      </c>
      <c r="H131" s="74">
        <v>1.0</v>
      </c>
      <c r="I131" s="74">
        <v>1.0</v>
      </c>
      <c r="J131" s="74">
        <v>2.0</v>
      </c>
      <c r="K131" s="74">
        <v>0.0</v>
      </c>
      <c r="L131" s="74">
        <v>3.0</v>
      </c>
      <c r="M131" s="74">
        <v>0.0</v>
      </c>
      <c r="N131" s="74">
        <v>3.0</v>
      </c>
      <c r="O131" s="74">
        <v>1.0</v>
      </c>
      <c r="P131" s="74">
        <v>0.0</v>
      </c>
      <c r="Q131" s="74">
        <v>1.0</v>
      </c>
      <c r="R131" s="74">
        <v>1.0</v>
      </c>
      <c r="S131" s="74">
        <v>0.0</v>
      </c>
      <c r="T131" s="74">
        <v>0.0</v>
      </c>
      <c r="U131" s="74">
        <v>1.0</v>
      </c>
      <c r="V131" s="74">
        <v>0.0</v>
      </c>
      <c r="W131" s="74">
        <v>0.0</v>
      </c>
      <c r="X131" s="74">
        <v>0.0</v>
      </c>
      <c r="Y131" s="74">
        <v>1.0</v>
      </c>
      <c r="Z131" s="74">
        <v>0.0</v>
      </c>
      <c r="AA131" s="74">
        <v>1.0</v>
      </c>
      <c r="AB131" s="74">
        <v>0.0</v>
      </c>
      <c r="AC131" s="74">
        <v>1.0</v>
      </c>
      <c r="AD131" s="13">
        <f t="shared" si="28"/>
        <v>19</v>
      </c>
      <c r="AE131" s="52"/>
      <c r="AF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1.0</v>
      </c>
      <c r="N132" s="74">
        <v>1.0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1.0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13">
        <f t="shared" si="28"/>
        <v>3</v>
      </c>
      <c r="AE132" s="5"/>
      <c r="AF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1.0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13">
        <f t="shared" si="28"/>
        <v>1</v>
      </c>
      <c r="AE133" s="5"/>
      <c r="AF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1.0</v>
      </c>
      <c r="L134" s="74">
        <v>1.0</v>
      </c>
      <c r="M134" s="74">
        <v>0.0</v>
      </c>
      <c r="N134" s="74">
        <v>1.0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5.0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1.0</v>
      </c>
      <c r="AD134" s="13">
        <f t="shared" si="28"/>
        <v>9</v>
      </c>
      <c r="AE134" s="5"/>
      <c r="AF134" s="5"/>
    </row>
    <row r="135" ht="12.75" customHeight="1">
      <c r="A135" s="18"/>
      <c r="B135" s="55"/>
      <c r="C135" s="50" t="s">
        <v>109</v>
      </c>
      <c r="D135" s="57"/>
      <c r="E135" s="74">
        <v>1.0</v>
      </c>
      <c r="F135" s="74">
        <v>0.0</v>
      </c>
      <c r="G135" s="74">
        <v>0.0</v>
      </c>
      <c r="H135" s="74">
        <v>0.0</v>
      </c>
      <c r="I135" s="74">
        <v>8.0</v>
      </c>
      <c r="J135" s="74">
        <v>6.0</v>
      </c>
      <c r="K135" s="74">
        <v>13.0</v>
      </c>
      <c r="L135" s="74">
        <v>0.0</v>
      </c>
      <c r="M135" s="74">
        <v>12.0</v>
      </c>
      <c r="N135" s="74">
        <v>0.0</v>
      </c>
      <c r="O135" s="74">
        <v>0.0</v>
      </c>
      <c r="P135" s="74">
        <v>1.0</v>
      </c>
      <c r="Q135" s="74">
        <v>1.0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13">
        <f t="shared" si="28"/>
        <v>42</v>
      </c>
      <c r="AE135" s="5"/>
      <c r="AF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1.0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1.0</v>
      </c>
      <c r="AA136" s="74">
        <v>0.0</v>
      </c>
      <c r="AB136" s="74">
        <v>0.0</v>
      </c>
      <c r="AC136" s="74">
        <v>0.0</v>
      </c>
      <c r="AD136" s="13">
        <f t="shared" si="28"/>
        <v>2</v>
      </c>
      <c r="AE136" s="5"/>
      <c r="AF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1.0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13">
        <f t="shared" si="28"/>
        <v>1</v>
      </c>
      <c r="AE137" s="5"/>
      <c r="AF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1.0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13">
        <f t="shared" si="28"/>
        <v>1</v>
      </c>
      <c r="AE138" s="5"/>
      <c r="AF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M139" si="29">SUM(E129:E136)</f>
        <v>6</v>
      </c>
      <c r="F139" s="13">
        <f t="shared" si="29"/>
        <v>5</v>
      </c>
      <c r="G139" s="13">
        <f t="shared" si="29"/>
        <v>3</v>
      </c>
      <c r="H139" s="13">
        <f t="shared" si="29"/>
        <v>4</v>
      </c>
      <c r="I139" s="13">
        <f t="shared" si="29"/>
        <v>13</v>
      </c>
      <c r="J139" s="13">
        <f t="shared" si="29"/>
        <v>13</v>
      </c>
      <c r="K139" s="13">
        <f t="shared" si="29"/>
        <v>19</v>
      </c>
      <c r="L139" s="13">
        <f t="shared" si="29"/>
        <v>35</v>
      </c>
      <c r="M139" s="13">
        <f t="shared" si="29"/>
        <v>33</v>
      </c>
      <c r="N139" s="13">
        <f t="shared" ref="N139:AD139" si="30">SUM(N129:N138)</f>
        <v>24</v>
      </c>
      <c r="O139" s="13">
        <f t="shared" si="30"/>
        <v>1</v>
      </c>
      <c r="P139" s="13">
        <f t="shared" si="30"/>
        <v>2</v>
      </c>
      <c r="Q139" s="13">
        <f t="shared" si="30"/>
        <v>5</v>
      </c>
      <c r="R139" s="13">
        <f t="shared" si="30"/>
        <v>3</v>
      </c>
      <c r="S139" s="13">
        <f t="shared" si="30"/>
        <v>1</v>
      </c>
      <c r="T139" s="13">
        <f t="shared" si="30"/>
        <v>3</v>
      </c>
      <c r="U139" s="13">
        <f t="shared" si="30"/>
        <v>1</v>
      </c>
      <c r="V139" s="13">
        <f t="shared" si="30"/>
        <v>1</v>
      </c>
      <c r="W139" s="13">
        <f t="shared" si="30"/>
        <v>3</v>
      </c>
      <c r="X139" s="13">
        <f t="shared" si="30"/>
        <v>5</v>
      </c>
      <c r="Y139" s="13">
        <f t="shared" si="30"/>
        <v>4</v>
      </c>
      <c r="Z139" s="13">
        <f t="shared" si="30"/>
        <v>2</v>
      </c>
      <c r="AA139" s="13">
        <f t="shared" si="30"/>
        <v>13</v>
      </c>
      <c r="AB139" s="13">
        <f t="shared" si="30"/>
        <v>2</v>
      </c>
      <c r="AC139" s="13">
        <f t="shared" si="30"/>
        <v>4</v>
      </c>
      <c r="AD139" s="13">
        <f t="shared" si="30"/>
        <v>205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5"/>
      <c r="AF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1.0</v>
      </c>
      <c r="Z141" s="74">
        <v>0.0</v>
      </c>
      <c r="AA141" s="74">
        <v>0.0</v>
      </c>
      <c r="AB141" s="74">
        <v>0.0</v>
      </c>
      <c r="AC141" s="74">
        <v>0.0</v>
      </c>
      <c r="AD141" s="13">
        <f t="shared" ref="AD141:AD144" si="31">SUM(E141:AC141)</f>
        <v>1</v>
      </c>
      <c r="AE141" s="1"/>
      <c r="AF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1.0</v>
      </c>
      <c r="AA142" s="74">
        <v>0.0</v>
      </c>
      <c r="AB142" s="74">
        <v>0.0</v>
      </c>
      <c r="AC142" s="74">
        <v>0.0</v>
      </c>
      <c r="AD142" s="13">
        <f t="shared" si="31"/>
        <v>1</v>
      </c>
      <c r="AE142" s="52"/>
      <c r="AF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1.0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13">
        <f t="shared" si="31"/>
        <v>1</v>
      </c>
      <c r="AE143" s="5"/>
      <c r="AF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13">
        <f t="shared" si="31"/>
        <v>0</v>
      </c>
      <c r="AE144" s="5"/>
      <c r="AF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79"/>
      <c r="AE145" s="5"/>
      <c r="AF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79"/>
      <c r="AE146" s="5"/>
      <c r="AF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79"/>
      <c r="AE147" s="5"/>
      <c r="AF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79"/>
      <c r="AE148" s="5"/>
      <c r="AF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79"/>
      <c r="AE149" s="5"/>
      <c r="AF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79"/>
      <c r="AE150" s="5"/>
      <c r="AF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C151" si="32">SUM(E141:E148)</f>
        <v>0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0</v>
      </c>
      <c r="K151" s="13">
        <f t="shared" si="32"/>
        <v>0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0</v>
      </c>
      <c r="S151" s="13">
        <f t="shared" si="32"/>
        <v>0</v>
      </c>
      <c r="T151" s="13">
        <f t="shared" si="32"/>
        <v>0</v>
      </c>
      <c r="U151" s="13">
        <f t="shared" si="32"/>
        <v>1</v>
      </c>
      <c r="V151" s="13">
        <f t="shared" si="32"/>
        <v>0</v>
      </c>
      <c r="W151" s="13">
        <f t="shared" si="32"/>
        <v>0</v>
      </c>
      <c r="X151" s="13">
        <f t="shared" si="32"/>
        <v>0</v>
      </c>
      <c r="Y151" s="13">
        <f t="shared" si="32"/>
        <v>1</v>
      </c>
      <c r="Z151" s="13">
        <f t="shared" si="32"/>
        <v>1</v>
      </c>
      <c r="AA151" s="13">
        <f t="shared" si="32"/>
        <v>0</v>
      </c>
      <c r="AB151" s="13">
        <f t="shared" si="32"/>
        <v>0</v>
      </c>
      <c r="AC151" s="13">
        <f t="shared" si="32"/>
        <v>0</v>
      </c>
      <c r="AD151" s="13">
        <f>SUM(E151:AC151)</f>
        <v>3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13"/>
      <c r="AE152" s="52"/>
      <c r="AF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10.0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1.0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1.0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13">
        <f t="shared" ref="AD153:AD162" si="33">SUM(E153:AC153)</f>
        <v>12</v>
      </c>
      <c r="AE153" s="5"/>
      <c r="AF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6.0</v>
      </c>
      <c r="H154" s="74">
        <v>1.0</v>
      </c>
      <c r="I154" s="74">
        <v>0.0</v>
      </c>
      <c r="J154" s="74">
        <v>0.0</v>
      </c>
      <c r="K154" s="74">
        <v>3.0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1.0</v>
      </c>
      <c r="T154" s="74">
        <v>0.0</v>
      </c>
      <c r="U154" s="74">
        <v>0.0</v>
      </c>
      <c r="V154" s="74">
        <v>1.0</v>
      </c>
      <c r="W154" s="74">
        <v>0.0</v>
      </c>
      <c r="X154" s="74">
        <v>2.0</v>
      </c>
      <c r="Y154" s="74">
        <v>0.0</v>
      </c>
      <c r="Z154" s="74">
        <v>0.0</v>
      </c>
      <c r="AA154" s="74">
        <v>1.0</v>
      </c>
      <c r="AB154" s="74">
        <v>0.0</v>
      </c>
      <c r="AC154" s="74">
        <v>0.0</v>
      </c>
      <c r="AD154" s="13">
        <f t="shared" si="33"/>
        <v>15</v>
      </c>
      <c r="AE154" s="5"/>
      <c r="AF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1.0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1.0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13">
        <f t="shared" si="33"/>
        <v>2</v>
      </c>
      <c r="AE155" s="5"/>
      <c r="AF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1.0</v>
      </c>
      <c r="W156" s="74">
        <v>0.0</v>
      </c>
      <c r="X156" s="74">
        <v>0.0</v>
      </c>
      <c r="Y156" s="74">
        <v>1.0</v>
      </c>
      <c r="Z156" s="74">
        <v>0.0</v>
      </c>
      <c r="AA156" s="74">
        <v>0.0</v>
      </c>
      <c r="AB156" s="74">
        <v>0.0</v>
      </c>
      <c r="AC156" s="74">
        <v>0.0</v>
      </c>
      <c r="AD156" s="13">
        <f t="shared" si="33"/>
        <v>3</v>
      </c>
      <c r="AE156" s="5"/>
      <c r="AF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1.0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13">
        <f t="shared" si="33"/>
        <v>1</v>
      </c>
      <c r="AE157" s="5"/>
      <c r="AF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13">
        <f t="shared" si="33"/>
        <v>0</v>
      </c>
      <c r="AE158" s="5"/>
      <c r="AF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13">
        <f t="shared" si="33"/>
        <v>0</v>
      </c>
      <c r="AE159" s="5"/>
      <c r="AF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13">
        <f t="shared" si="33"/>
        <v>0</v>
      </c>
      <c r="AE160" s="5"/>
      <c r="AF160" s="5"/>
    </row>
    <row r="161" ht="12.75" customHeight="1">
      <c r="A161" s="18"/>
      <c r="B161" s="58"/>
      <c r="C161" s="66"/>
      <c r="D161" s="60"/>
      <c r="E161" s="74">
        <v>0.0</v>
      </c>
      <c r="F161" s="74">
        <v>1.0</v>
      </c>
      <c r="G161" s="74">
        <v>0.0</v>
      </c>
      <c r="H161" s="74">
        <v>0.0</v>
      </c>
      <c r="I161" s="74">
        <v>0.0</v>
      </c>
      <c r="J161" s="74">
        <v>0.0</v>
      </c>
      <c r="K161" s="74">
        <v>0.0</v>
      </c>
      <c r="L161" s="74">
        <v>0.0</v>
      </c>
      <c r="M161" s="74">
        <v>0.0</v>
      </c>
      <c r="N161" s="74">
        <v>0.0</v>
      </c>
      <c r="O161" s="74">
        <v>0.0</v>
      </c>
      <c r="P161" s="74">
        <v>0.0</v>
      </c>
      <c r="Q161" s="74">
        <v>0.0</v>
      </c>
      <c r="R161" s="74">
        <v>0.0</v>
      </c>
      <c r="S161" s="74">
        <v>0.0</v>
      </c>
      <c r="T161" s="74">
        <v>0.0</v>
      </c>
      <c r="U161" s="74">
        <v>0.0</v>
      </c>
      <c r="V161" s="74">
        <v>0.0</v>
      </c>
      <c r="W161" s="74">
        <v>0.0</v>
      </c>
      <c r="X161" s="74">
        <v>0.0</v>
      </c>
      <c r="Y161" s="74">
        <v>0.0</v>
      </c>
      <c r="Z161" s="74">
        <v>0.0</v>
      </c>
      <c r="AA161" s="74">
        <v>0.0</v>
      </c>
      <c r="AB161" s="74">
        <v>0.0</v>
      </c>
      <c r="AC161" s="74">
        <v>0.0</v>
      </c>
      <c r="AD161" s="13">
        <f t="shared" si="33"/>
        <v>1</v>
      </c>
      <c r="AE161" s="5"/>
      <c r="AF161" s="5"/>
    </row>
    <row r="162" ht="12.75" customHeight="1">
      <c r="A162" s="18"/>
      <c r="B162" s="58"/>
      <c r="C162" s="66"/>
      <c r="D162" s="60"/>
      <c r="E162" s="74">
        <v>0.0</v>
      </c>
      <c r="F162" s="74">
        <v>0.0</v>
      </c>
      <c r="G162" s="74">
        <v>0.0</v>
      </c>
      <c r="H162" s="74">
        <v>0.0</v>
      </c>
      <c r="I162" s="74">
        <v>0.0</v>
      </c>
      <c r="J162" s="74">
        <v>0.0</v>
      </c>
      <c r="K162" s="74">
        <v>0.0</v>
      </c>
      <c r="L162" s="74">
        <v>0.0</v>
      </c>
      <c r="M162" s="74">
        <v>0.0</v>
      </c>
      <c r="N162" s="74">
        <v>0.0</v>
      </c>
      <c r="O162" s="74">
        <v>0.0</v>
      </c>
      <c r="P162" s="74">
        <v>0.0</v>
      </c>
      <c r="Q162" s="74">
        <v>0.0</v>
      </c>
      <c r="R162" s="74">
        <v>0.0</v>
      </c>
      <c r="S162" s="74">
        <v>0.0</v>
      </c>
      <c r="T162" s="74">
        <v>0.0</v>
      </c>
      <c r="U162" s="74">
        <v>0.0</v>
      </c>
      <c r="V162" s="74">
        <v>0.0</v>
      </c>
      <c r="W162" s="74">
        <v>0.0</v>
      </c>
      <c r="X162" s="74">
        <v>0.0</v>
      </c>
      <c r="Y162" s="74">
        <v>0.0</v>
      </c>
      <c r="Z162" s="74">
        <v>0.0</v>
      </c>
      <c r="AA162" s="74">
        <v>0.0</v>
      </c>
      <c r="AB162" s="74">
        <v>0.0</v>
      </c>
      <c r="AC162" s="74">
        <v>0.0</v>
      </c>
      <c r="AD162" s="13">
        <f t="shared" si="33"/>
        <v>0</v>
      </c>
      <c r="AE162" s="5"/>
      <c r="AF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D163" si="34">SUM(E153:E162)</f>
        <v>0</v>
      </c>
      <c r="F163" s="13">
        <f t="shared" si="34"/>
        <v>1</v>
      </c>
      <c r="G163" s="13">
        <f t="shared" si="34"/>
        <v>17</v>
      </c>
      <c r="H163" s="13">
        <f t="shared" si="34"/>
        <v>2</v>
      </c>
      <c r="I163" s="13">
        <f t="shared" si="34"/>
        <v>0</v>
      </c>
      <c r="J163" s="13">
        <f t="shared" si="34"/>
        <v>0</v>
      </c>
      <c r="K163" s="13">
        <f t="shared" si="34"/>
        <v>3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1</v>
      </c>
      <c r="T163" s="13">
        <f t="shared" si="34"/>
        <v>1</v>
      </c>
      <c r="U163" s="13">
        <f t="shared" si="34"/>
        <v>1</v>
      </c>
      <c r="V163" s="13">
        <f t="shared" si="34"/>
        <v>2</v>
      </c>
      <c r="W163" s="13">
        <f t="shared" si="34"/>
        <v>0</v>
      </c>
      <c r="X163" s="13">
        <f t="shared" si="34"/>
        <v>3</v>
      </c>
      <c r="Y163" s="13">
        <f t="shared" si="34"/>
        <v>1</v>
      </c>
      <c r="Z163" s="13">
        <f t="shared" si="34"/>
        <v>0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 t="shared" si="34"/>
        <v>34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5"/>
      <c r="AF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1.0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1.0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1.0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0.0</v>
      </c>
      <c r="AD165" s="13">
        <f t="shared" ref="AD165:AD166" si="35">SUM(E165:AC165)</f>
        <v>3</v>
      </c>
      <c r="AE165" s="1"/>
      <c r="AF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1.0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74">
        <v>0.0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13">
        <f t="shared" si="35"/>
        <v>1</v>
      </c>
      <c r="AE166" s="52"/>
      <c r="AF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79"/>
      <c r="AE167" s="5"/>
      <c r="AF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79"/>
      <c r="AE168" s="5"/>
      <c r="AF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79"/>
      <c r="AE169" s="5"/>
      <c r="AF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79"/>
      <c r="AE170" s="5"/>
      <c r="AF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79"/>
      <c r="AE171" s="5"/>
      <c r="AF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79"/>
      <c r="AE172" s="5"/>
      <c r="AF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79"/>
      <c r="AE173" s="5"/>
      <c r="AF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79"/>
      <c r="AE174" s="5"/>
      <c r="AF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C175" si="36">SUM(E165:E172)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>SUM(E175:AC175)</f>
        <v>4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1"/>
      <c r="AF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2.0</v>
      </c>
      <c r="F177" s="74">
        <v>1.0</v>
      </c>
      <c r="G177" s="74">
        <v>1.0</v>
      </c>
      <c r="H177" s="74">
        <v>2.0</v>
      </c>
      <c r="I177" s="74">
        <v>1.0</v>
      </c>
      <c r="J177" s="74">
        <v>3.0</v>
      </c>
      <c r="K177" s="74">
        <v>1.0</v>
      </c>
      <c r="L177" s="74">
        <v>1.0</v>
      </c>
      <c r="M177" s="74">
        <v>1.0</v>
      </c>
      <c r="N177" s="74">
        <v>1.0</v>
      </c>
      <c r="O177" s="74">
        <v>0.0</v>
      </c>
      <c r="P177" s="74">
        <v>0.0</v>
      </c>
      <c r="Q177" s="74">
        <v>2.0</v>
      </c>
      <c r="R177" s="74">
        <v>0.0</v>
      </c>
      <c r="S177" s="74">
        <v>1.0</v>
      </c>
      <c r="T177" s="74">
        <v>0.0</v>
      </c>
      <c r="U177" s="74">
        <v>2.0</v>
      </c>
      <c r="V177" s="74">
        <v>1.0</v>
      </c>
      <c r="W177" s="74">
        <v>0.0</v>
      </c>
      <c r="X177" s="74">
        <v>1.0</v>
      </c>
      <c r="Y177" s="74">
        <v>1.0</v>
      </c>
      <c r="Z177" s="74">
        <v>0.0</v>
      </c>
      <c r="AA177" s="74">
        <v>0.0</v>
      </c>
      <c r="AB177" s="74">
        <v>0.0</v>
      </c>
      <c r="AC177" s="74">
        <v>0.0</v>
      </c>
      <c r="AD177" s="13">
        <f t="shared" ref="AD177:AD186" si="37">SUM(E177:AC177)</f>
        <v>22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3.0</v>
      </c>
      <c r="G178" s="74">
        <v>1.0</v>
      </c>
      <c r="H178" s="74">
        <v>1.0</v>
      </c>
      <c r="I178" s="74">
        <v>4.0</v>
      </c>
      <c r="J178" s="74">
        <v>2.0</v>
      </c>
      <c r="K178" s="74">
        <v>0.0</v>
      </c>
      <c r="L178" s="74">
        <v>1.0</v>
      </c>
      <c r="M178" s="74">
        <v>0.0</v>
      </c>
      <c r="N178" s="74">
        <v>0.0</v>
      </c>
      <c r="O178" s="74">
        <v>0.0</v>
      </c>
      <c r="P178" s="74">
        <v>1.0</v>
      </c>
      <c r="Q178" s="74">
        <v>1.0</v>
      </c>
      <c r="R178" s="74">
        <v>0.0</v>
      </c>
      <c r="S178" s="74">
        <v>0.0</v>
      </c>
      <c r="T178" s="74">
        <v>0.0</v>
      </c>
      <c r="U178" s="74">
        <v>1.0</v>
      </c>
      <c r="V178" s="74">
        <v>0.0</v>
      </c>
      <c r="W178" s="74">
        <v>1.0</v>
      </c>
      <c r="X178" s="74">
        <v>5.0</v>
      </c>
      <c r="Y178" s="74">
        <v>1.0</v>
      </c>
      <c r="Z178" s="74">
        <v>2.0</v>
      </c>
      <c r="AA178" s="74">
        <v>0.0</v>
      </c>
      <c r="AB178" s="74">
        <v>0.0</v>
      </c>
      <c r="AC178" s="74">
        <v>0.0</v>
      </c>
      <c r="AD178" s="13">
        <f t="shared" si="37"/>
        <v>25</v>
      </c>
      <c r="AE178" s="5"/>
      <c r="AF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1.0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2.0</v>
      </c>
      <c r="AC179" s="74">
        <v>0.0</v>
      </c>
      <c r="AD179" s="13">
        <f t="shared" si="37"/>
        <v>4</v>
      </c>
      <c r="AE179" s="5"/>
      <c r="AF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1.0</v>
      </c>
      <c r="K180" s="74">
        <v>0.0</v>
      </c>
      <c r="L180" s="74">
        <v>1.0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3.0</v>
      </c>
      <c r="S180" s="74">
        <v>1.0</v>
      </c>
      <c r="T180" s="74">
        <v>0.0</v>
      </c>
      <c r="U180" s="74">
        <v>0.0</v>
      </c>
      <c r="V180" s="74">
        <v>0.0</v>
      </c>
      <c r="W180" s="74">
        <v>1.0</v>
      </c>
      <c r="X180" s="74">
        <v>1.0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13">
        <f t="shared" si="37"/>
        <v>8</v>
      </c>
      <c r="AE180" s="5"/>
      <c r="AF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1.0</v>
      </c>
      <c r="X181" s="74">
        <v>1.0</v>
      </c>
      <c r="Y181" s="74">
        <v>3.0</v>
      </c>
      <c r="Z181" s="74">
        <v>1.0</v>
      </c>
      <c r="AA181" s="74">
        <v>0.0</v>
      </c>
      <c r="AB181" s="74">
        <v>0.0</v>
      </c>
      <c r="AC181" s="74">
        <v>3.0</v>
      </c>
      <c r="AD181" s="13">
        <f t="shared" si="37"/>
        <v>10</v>
      </c>
      <c r="AE181" s="5"/>
      <c r="AF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1.0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13">
        <f t="shared" si="37"/>
        <v>1</v>
      </c>
      <c r="AE182" s="5"/>
      <c r="AF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13">
        <f t="shared" si="37"/>
        <v>0</v>
      </c>
      <c r="AE183" s="5"/>
      <c r="AF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13">
        <f t="shared" si="37"/>
        <v>0</v>
      </c>
      <c r="AE184" s="5"/>
      <c r="AF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1.0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13">
        <f t="shared" si="37"/>
        <v>1</v>
      </c>
      <c r="AE185" s="5"/>
      <c r="AF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1.0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13">
        <f t="shared" si="37"/>
        <v>1</v>
      </c>
      <c r="AE186" s="5"/>
      <c r="AF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D187" si="38">SUM(E177:E186)</f>
        <v>3</v>
      </c>
      <c r="F187" s="13">
        <f t="shared" si="38"/>
        <v>4</v>
      </c>
      <c r="G187" s="13">
        <f t="shared" si="38"/>
        <v>2</v>
      </c>
      <c r="H187" s="13">
        <f t="shared" si="38"/>
        <v>3</v>
      </c>
      <c r="I187" s="13">
        <f t="shared" si="38"/>
        <v>7</v>
      </c>
      <c r="J187" s="13">
        <f t="shared" si="38"/>
        <v>7</v>
      </c>
      <c r="K187" s="13">
        <f t="shared" si="38"/>
        <v>1</v>
      </c>
      <c r="L187" s="13">
        <f t="shared" si="38"/>
        <v>3</v>
      </c>
      <c r="M187" s="13">
        <f t="shared" si="38"/>
        <v>1</v>
      </c>
      <c r="N187" s="13">
        <f t="shared" si="38"/>
        <v>1</v>
      </c>
      <c r="O187" s="13">
        <f t="shared" si="38"/>
        <v>0</v>
      </c>
      <c r="P187" s="13">
        <f t="shared" si="38"/>
        <v>1</v>
      </c>
      <c r="Q187" s="13">
        <f t="shared" si="38"/>
        <v>3</v>
      </c>
      <c r="R187" s="13">
        <f t="shared" si="38"/>
        <v>4</v>
      </c>
      <c r="S187" s="13">
        <f t="shared" si="38"/>
        <v>3</v>
      </c>
      <c r="T187" s="13">
        <f t="shared" si="38"/>
        <v>0</v>
      </c>
      <c r="U187" s="13">
        <f t="shared" si="38"/>
        <v>3</v>
      </c>
      <c r="V187" s="13">
        <f t="shared" si="38"/>
        <v>2</v>
      </c>
      <c r="W187" s="13">
        <f t="shared" si="38"/>
        <v>3</v>
      </c>
      <c r="X187" s="13">
        <f t="shared" si="38"/>
        <v>8</v>
      </c>
      <c r="Y187" s="13">
        <f t="shared" si="38"/>
        <v>5</v>
      </c>
      <c r="Z187" s="13">
        <f t="shared" si="38"/>
        <v>3</v>
      </c>
      <c r="AA187" s="13">
        <f t="shared" si="38"/>
        <v>0</v>
      </c>
      <c r="AB187" s="13">
        <f t="shared" si="38"/>
        <v>2</v>
      </c>
      <c r="AC187" s="13">
        <f t="shared" si="38"/>
        <v>3</v>
      </c>
      <c r="AD187" s="13">
        <f t="shared" si="38"/>
        <v>72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2.0</v>
      </c>
      <c r="J189" s="74">
        <v>3.0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1.0</v>
      </c>
      <c r="Q189" s="74">
        <v>1.0</v>
      </c>
      <c r="R189" s="74">
        <v>0.0</v>
      </c>
      <c r="S189" s="74">
        <v>0.0</v>
      </c>
      <c r="T189" s="74">
        <v>0.0</v>
      </c>
      <c r="U189" s="74">
        <v>0.0</v>
      </c>
      <c r="V189" s="74">
        <v>1.0</v>
      </c>
      <c r="W189" s="74">
        <v>1.0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13">
        <f t="shared" ref="AD189:AD199" si="39">SUM(E189:AC189)</f>
        <v>10</v>
      </c>
      <c r="AE189" s="5"/>
      <c r="AF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13">
        <f t="shared" si="39"/>
        <v>0</v>
      </c>
      <c r="AE190" s="5"/>
      <c r="AF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1.0</v>
      </c>
      <c r="K191" s="74">
        <v>0.0</v>
      </c>
      <c r="L191" s="74">
        <v>0.0</v>
      </c>
      <c r="M191" s="74">
        <v>1.0</v>
      </c>
      <c r="N191" s="74">
        <v>1.0</v>
      </c>
      <c r="O191" s="74">
        <v>0.0</v>
      </c>
      <c r="P191" s="74">
        <v>1.0</v>
      </c>
      <c r="Q191" s="74">
        <v>1.0</v>
      </c>
      <c r="R191" s="74">
        <v>1.0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13">
        <f t="shared" si="39"/>
        <v>6</v>
      </c>
      <c r="AE191" s="5"/>
      <c r="AF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1.0</v>
      </c>
      <c r="H192" s="74">
        <v>0.0</v>
      </c>
      <c r="I192" s="74">
        <v>0.0</v>
      </c>
      <c r="J192" s="74">
        <v>1.0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1.0</v>
      </c>
      <c r="Q192" s="74">
        <v>1.0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13">
        <f t="shared" si="39"/>
        <v>4</v>
      </c>
      <c r="AE192" s="5"/>
      <c r="AF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13">
        <f t="shared" si="39"/>
        <v>0</v>
      </c>
      <c r="AE193" s="5"/>
      <c r="AF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13">
        <f t="shared" si="39"/>
        <v>0</v>
      </c>
      <c r="AE194" s="5"/>
      <c r="AF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13">
        <f t="shared" si="39"/>
        <v>0</v>
      </c>
      <c r="AE195" s="5"/>
      <c r="AF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13">
        <f t="shared" si="39"/>
        <v>0</v>
      </c>
      <c r="AE196" s="1"/>
      <c r="AF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13">
        <f t="shared" si="39"/>
        <v>0</v>
      </c>
      <c r="AE197" s="1"/>
      <c r="AF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13">
        <f t="shared" si="39"/>
        <v>0</v>
      </c>
      <c r="AE198" s="1"/>
      <c r="AF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C199" si="40">SUM(E189:E198)</f>
        <v>0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2</v>
      </c>
      <c r="J199" s="13">
        <f t="shared" si="40"/>
        <v>5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1</v>
      </c>
      <c r="P199" s="13">
        <f t="shared" si="40"/>
        <v>3</v>
      </c>
      <c r="Q199" s="13">
        <f t="shared" si="40"/>
        <v>3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1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39"/>
        <v>20</v>
      </c>
      <c r="AE199" s="52"/>
      <c r="AF199" s="52"/>
    </row>
    <row r="200" ht="12.75" customHeight="1">
      <c r="A200" s="24"/>
      <c r="B200" s="15"/>
      <c r="C200" s="15"/>
      <c r="D200" s="15"/>
      <c r="E200" s="1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5"/>
      <c r="AF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5.0</v>
      </c>
      <c r="F201" s="74">
        <v>1.0</v>
      </c>
      <c r="G201" s="74">
        <v>3.0</v>
      </c>
      <c r="H201" s="74">
        <v>3.0</v>
      </c>
      <c r="I201" s="74">
        <v>0.0</v>
      </c>
      <c r="J201" s="74">
        <v>2.0</v>
      </c>
      <c r="K201" s="74">
        <v>0.0</v>
      </c>
      <c r="L201" s="74">
        <v>1.0</v>
      </c>
      <c r="M201" s="74">
        <v>2.0</v>
      </c>
      <c r="N201" s="74">
        <v>0.0</v>
      </c>
      <c r="O201" s="74">
        <v>0.0</v>
      </c>
      <c r="P201" s="74">
        <v>3.0</v>
      </c>
      <c r="Q201" s="74">
        <v>4.0</v>
      </c>
      <c r="R201" s="74">
        <v>2.0</v>
      </c>
      <c r="S201" s="74">
        <v>1.0</v>
      </c>
      <c r="T201" s="74">
        <v>0.0</v>
      </c>
      <c r="U201" s="74">
        <v>1.0</v>
      </c>
      <c r="V201" s="74">
        <v>1.0</v>
      </c>
      <c r="W201" s="74">
        <v>5.0</v>
      </c>
      <c r="X201" s="74">
        <v>7.0</v>
      </c>
      <c r="Y201" s="74">
        <v>6.0</v>
      </c>
      <c r="Z201" s="74">
        <v>4.0</v>
      </c>
      <c r="AA201" s="74">
        <v>2.0</v>
      </c>
      <c r="AB201" s="74">
        <v>1.0</v>
      </c>
      <c r="AC201" s="74">
        <v>0.0</v>
      </c>
      <c r="AD201" s="13">
        <f t="shared" ref="AD201:AD210" si="41">SUM(E201:AC201)</f>
        <v>54</v>
      </c>
      <c r="AE201" s="5"/>
      <c r="AF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1.0</v>
      </c>
      <c r="F202" s="74">
        <v>0.0</v>
      </c>
      <c r="G202" s="74">
        <v>2.0</v>
      </c>
      <c r="H202" s="74">
        <v>0.0</v>
      </c>
      <c r="I202" s="74">
        <v>2.0</v>
      </c>
      <c r="J202" s="74">
        <v>0.0</v>
      </c>
      <c r="K202" s="74">
        <v>1.0</v>
      </c>
      <c r="L202" s="74">
        <v>3.0</v>
      </c>
      <c r="M202" s="74">
        <v>0.0</v>
      </c>
      <c r="N202" s="74">
        <v>1.0</v>
      </c>
      <c r="O202" s="74">
        <v>0.0</v>
      </c>
      <c r="P202" s="74">
        <v>3.0</v>
      </c>
      <c r="Q202" s="74">
        <v>2.0</v>
      </c>
      <c r="R202" s="74">
        <v>2.0</v>
      </c>
      <c r="S202" s="74">
        <v>1.0</v>
      </c>
      <c r="T202" s="74">
        <v>1.0</v>
      </c>
      <c r="U202" s="74">
        <v>2.0</v>
      </c>
      <c r="V202" s="74">
        <v>1.0</v>
      </c>
      <c r="W202" s="74">
        <v>2.0</v>
      </c>
      <c r="X202" s="74">
        <v>3.0</v>
      </c>
      <c r="Y202" s="74">
        <v>3.0</v>
      </c>
      <c r="Z202" s="74">
        <v>3.0</v>
      </c>
      <c r="AA202" s="74">
        <v>1.0</v>
      </c>
      <c r="AB202" s="74">
        <v>0.0</v>
      </c>
      <c r="AC202" s="74">
        <v>0.0</v>
      </c>
      <c r="AD202" s="13">
        <f t="shared" si="41"/>
        <v>34</v>
      </c>
      <c r="AE202" s="5"/>
      <c r="AF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2.0</v>
      </c>
      <c r="G203" s="74">
        <v>0.0</v>
      </c>
      <c r="H203" s="74">
        <v>0.0</v>
      </c>
      <c r="I203" s="74">
        <v>0.0</v>
      </c>
      <c r="J203" s="74">
        <v>1.0</v>
      </c>
      <c r="K203" s="74">
        <v>0.0</v>
      </c>
      <c r="L203" s="74">
        <v>0.0</v>
      </c>
      <c r="M203" s="74">
        <v>0.0</v>
      </c>
      <c r="N203" s="74">
        <v>4.0</v>
      </c>
      <c r="O203" s="74">
        <v>0.0</v>
      </c>
      <c r="P203" s="74">
        <v>2.0</v>
      </c>
      <c r="Q203" s="74">
        <v>7.0</v>
      </c>
      <c r="R203" s="74">
        <v>4.0</v>
      </c>
      <c r="S203" s="74">
        <v>1.0</v>
      </c>
      <c r="T203" s="74">
        <v>3.0</v>
      </c>
      <c r="U203" s="74">
        <v>0.0</v>
      </c>
      <c r="V203" s="74">
        <v>2.0</v>
      </c>
      <c r="W203" s="74">
        <v>5.0</v>
      </c>
      <c r="X203" s="74">
        <v>9.0</v>
      </c>
      <c r="Y203" s="74">
        <v>5.0</v>
      </c>
      <c r="Z203" s="74">
        <v>1.0</v>
      </c>
      <c r="AA203" s="74">
        <v>12.0</v>
      </c>
      <c r="AB203" s="74">
        <v>0.0</v>
      </c>
      <c r="AC203" s="74">
        <v>0.0</v>
      </c>
      <c r="AD203" s="13">
        <f t="shared" si="41"/>
        <v>59</v>
      </c>
      <c r="AE203" s="5"/>
      <c r="AF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1.0</v>
      </c>
      <c r="U204" s="74">
        <v>1.0</v>
      </c>
      <c r="V204" s="74">
        <v>0.0</v>
      </c>
      <c r="W204" s="74">
        <v>0.0</v>
      </c>
      <c r="X204" s="74">
        <v>0.0</v>
      </c>
      <c r="Y204" s="74">
        <v>0.0</v>
      </c>
      <c r="Z204" s="74">
        <v>0.0</v>
      </c>
      <c r="AA204" s="74">
        <v>0.0</v>
      </c>
      <c r="AB204" s="74">
        <v>0.0</v>
      </c>
      <c r="AC204" s="74">
        <v>0.0</v>
      </c>
      <c r="AD204" s="13">
        <f t="shared" si="41"/>
        <v>2</v>
      </c>
      <c r="AE204" s="5"/>
      <c r="AF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1.0</v>
      </c>
      <c r="R205" s="74">
        <v>2.0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0.0</v>
      </c>
      <c r="AB205" s="74">
        <v>1.0</v>
      </c>
      <c r="AC205" s="74">
        <v>0.0</v>
      </c>
      <c r="AD205" s="13">
        <f t="shared" si="41"/>
        <v>5</v>
      </c>
      <c r="AE205" s="5"/>
      <c r="AF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1.0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13">
        <f t="shared" si="41"/>
        <v>1</v>
      </c>
      <c r="AE206" s="5"/>
      <c r="AF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0.0</v>
      </c>
      <c r="G207" s="74">
        <v>0.0</v>
      </c>
      <c r="H207" s="74">
        <v>0.0</v>
      </c>
      <c r="I207" s="74">
        <v>1.0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0.0</v>
      </c>
      <c r="W207" s="74">
        <v>0.0</v>
      </c>
      <c r="X207" s="74">
        <v>1.0</v>
      </c>
      <c r="Y207" s="74">
        <v>0.0</v>
      </c>
      <c r="Z207" s="74">
        <v>0.0</v>
      </c>
      <c r="AA207" s="74">
        <v>1.0</v>
      </c>
      <c r="AB207" s="74">
        <v>0.0</v>
      </c>
      <c r="AC207" s="74">
        <v>0.0</v>
      </c>
      <c r="AD207" s="13">
        <f t="shared" si="41"/>
        <v>4</v>
      </c>
      <c r="AE207" s="1"/>
      <c r="AF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0.0</v>
      </c>
      <c r="V208" s="74">
        <v>1.0</v>
      </c>
      <c r="W208" s="74">
        <v>0.0</v>
      </c>
      <c r="X208" s="74">
        <v>0.0</v>
      </c>
      <c r="Y208" s="74">
        <v>0.0</v>
      </c>
      <c r="Z208" s="74">
        <v>0.0</v>
      </c>
      <c r="AA208" s="74">
        <v>0.0</v>
      </c>
      <c r="AB208" s="74">
        <v>0.0</v>
      </c>
      <c r="AC208" s="74">
        <v>0.0</v>
      </c>
      <c r="AD208" s="13">
        <f t="shared" si="41"/>
        <v>1</v>
      </c>
      <c r="AE208" s="52"/>
      <c r="AF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1.0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1.0</v>
      </c>
      <c r="AD209" s="13">
        <f t="shared" si="41"/>
        <v>2</v>
      </c>
      <c r="AE209" s="52"/>
      <c r="AF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1.0</v>
      </c>
      <c r="AC210" s="74">
        <v>0.0</v>
      </c>
      <c r="AD210" s="13">
        <f t="shared" si="41"/>
        <v>1</v>
      </c>
      <c r="AE210" s="52"/>
      <c r="AF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D211" si="42">SUM(E201:E210)</f>
        <v>8</v>
      </c>
      <c r="F211" s="13">
        <f t="shared" si="42"/>
        <v>3</v>
      </c>
      <c r="G211" s="13">
        <f t="shared" si="42"/>
        <v>5</v>
      </c>
      <c r="H211" s="13">
        <f t="shared" si="42"/>
        <v>3</v>
      </c>
      <c r="I211" s="13">
        <f t="shared" si="42"/>
        <v>3</v>
      </c>
      <c r="J211" s="13">
        <f t="shared" si="42"/>
        <v>3</v>
      </c>
      <c r="K211" s="13">
        <f t="shared" si="42"/>
        <v>1</v>
      </c>
      <c r="L211" s="13">
        <f t="shared" si="42"/>
        <v>4</v>
      </c>
      <c r="M211" s="13">
        <f t="shared" si="42"/>
        <v>2</v>
      </c>
      <c r="N211" s="13">
        <f t="shared" si="42"/>
        <v>5</v>
      </c>
      <c r="O211" s="13">
        <f t="shared" si="42"/>
        <v>0</v>
      </c>
      <c r="P211" s="13">
        <f t="shared" si="42"/>
        <v>8</v>
      </c>
      <c r="Q211" s="13">
        <f t="shared" si="42"/>
        <v>14</v>
      </c>
      <c r="R211" s="13">
        <f t="shared" si="42"/>
        <v>11</v>
      </c>
      <c r="S211" s="13">
        <f t="shared" si="42"/>
        <v>3</v>
      </c>
      <c r="T211" s="13">
        <f t="shared" si="42"/>
        <v>5</v>
      </c>
      <c r="U211" s="13">
        <f t="shared" si="42"/>
        <v>5</v>
      </c>
      <c r="V211" s="13">
        <f t="shared" si="42"/>
        <v>5</v>
      </c>
      <c r="W211" s="13">
        <f t="shared" si="42"/>
        <v>12</v>
      </c>
      <c r="X211" s="13">
        <f t="shared" si="42"/>
        <v>20</v>
      </c>
      <c r="Y211" s="13">
        <f t="shared" si="42"/>
        <v>14</v>
      </c>
      <c r="Z211" s="13">
        <f t="shared" si="42"/>
        <v>9</v>
      </c>
      <c r="AA211" s="13">
        <f t="shared" si="42"/>
        <v>16</v>
      </c>
      <c r="AB211" s="13">
        <f t="shared" si="42"/>
        <v>3</v>
      </c>
      <c r="AC211" s="13">
        <f t="shared" si="42"/>
        <v>1</v>
      </c>
      <c r="AD211" s="13">
        <f t="shared" si="42"/>
        <v>163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5"/>
      <c r="AF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2.0</v>
      </c>
      <c r="F213" s="74">
        <v>0.0</v>
      </c>
      <c r="G213" s="74">
        <v>2.0</v>
      </c>
      <c r="H213" s="74">
        <v>0.0</v>
      </c>
      <c r="I213" s="74">
        <v>1.0</v>
      </c>
      <c r="J213" s="74">
        <v>0.0</v>
      </c>
      <c r="K213" s="74">
        <v>1.0</v>
      </c>
      <c r="L213" s="74">
        <v>1.0</v>
      </c>
      <c r="M213" s="74">
        <v>1.0</v>
      </c>
      <c r="N213" s="74">
        <v>1.0</v>
      </c>
      <c r="O213" s="74">
        <v>0.0</v>
      </c>
      <c r="P213" s="74">
        <v>0.0</v>
      </c>
      <c r="Q213" s="74">
        <v>0.0</v>
      </c>
      <c r="R213" s="74">
        <v>0.0</v>
      </c>
      <c r="S213" s="74">
        <v>0.0</v>
      </c>
      <c r="T213" s="74">
        <v>0.0</v>
      </c>
      <c r="U213" s="74">
        <v>1.0</v>
      </c>
      <c r="V213" s="74">
        <v>1.0</v>
      </c>
      <c r="W213" s="74">
        <v>3.0</v>
      </c>
      <c r="X213" s="74">
        <v>3.0</v>
      </c>
      <c r="Y213" s="74">
        <v>1.0</v>
      </c>
      <c r="Z213" s="74">
        <v>1.0</v>
      </c>
      <c r="AA213" s="74">
        <v>0.0</v>
      </c>
      <c r="AB213" s="74">
        <v>0.0</v>
      </c>
      <c r="AC213" s="74">
        <v>1.0</v>
      </c>
      <c r="AD213" s="13">
        <f t="shared" ref="AD213:AD216" si="43">SUM(E213:AC213)</f>
        <v>20</v>
      </c>
      <c r="AE213" s="5"/>
      <c r="AF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1.0</v>
      </c>
      <c r="G214" s="74">
        <v>1.0</v>
      </c>
      <c r="H214" s="74">
        <v>0.0</v>
      </c>
      <c r="I214" s="74">
        <v>1.0</v>
      </c>
      <c r="J214" s="74">
        <v>1.0</v>
      </c>
      <c r="K214" s="74">
        <v>1.0</v>
      </c>
      <c r="L214" s="74">
        <v>1.0</v>
      </c>
      <c r="M214" s="74">
        <v>1.0</v>
      </c>
      <c r="N214" s="74">
        <v>0.0</v>
      </c>
      <c r="O214" s="74">
        <v>0.0</v>
      </c>
      <c r="P214" s="74">
        <v>0.0</v>
      </c>
      <c r="Q214" s="74">
        <v>0.0</v>
      </c>
      <c r="R214" s="74">
        <v>0.0</v>
      </c>
      <c r="S214" s="74">
        <v>0.0</v>
      </c>
      <c r="T214" s="74">
        <v>0.0</v>
      </c>
      <c r="U214" s="74">
        <v>1.0</v>
      </c>
      <c r="V214" s="74">
        <v>0.0</v>
      </c>
      <c r="W214" s="74">
        <v>1.0</v>
      </c>
      <c r="X214" s="74">
        <v>1.0</v>
      </c>
      <c r="Y214" s="74">
        <v>1.0</v>
      </c>
      <c r="Z214" s="74">
        <v>0.0</v>
      </c>
      <c r="AA214" s="74">
        <v>0.0</v>
      </c>
      <c r="AB214" s="74">
        <v>0.0</v>
      </c>
      <c r="AC214" s="74">
        <v>0.0</v>
      </c>
      <c r="AD214" s="13">
        <f t="shared" si="43"/>
        <v>12</v>
      </c>
      <c r="AE214" s="5"/>
      <c r="AF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0.0</v>
      </c>
      <c r="H215" s="74">
        <v>4.0</v>
      </c>
      <c r="I215" s="74">
        <v>0.0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2.0</v>
      </c>
      <c r="Q215" s="74">
        <v>0.0</v>
      </c>
      <c r="R215" s="74">
        <v>0.0</v>
      </c>
      <c r="S215" s="74">
        <v>3.0</v>
      </c>
      <c r="T215" s="74">
        <v>3.0</v>
      </c>
      <c r="U215" s="74">
        <v>0.0</v>
      </c>
      <c r="V215" s="74">
        <v>0.0</v>
      </c>
      <c r="W215" s="74">
        <v>0.0</v>
      </c>
      <c r="X215" s="74">
        <v>1.0</v>
      </c>
      <c r="Y215" s="74">
        <v>1.0</v>
      </c>
      <c r="Z215" s="74">
        <v>0.0</v>
      </c>
      <c r="AA215" s="74">
        <v>0.0</v>
      </c>
      <c r="AB215" s="74">
        <v>2.0</v>
      </c>
      <c r="AC215" s="74">
        <v>0.0</v>
      </c>
      <c r="AD215" s="13">
        <f t="shared" si="43"/>
        <v>17</v>
      </c>
      <c r="AE215" s="5"/>
      <c r="AF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74">
        <v>1.0</v>
      </c>
      <c r="AC216" s="74">
        <v>0.0</v>
      </c>
      <c r="AD216" s="13">
        <f t="shared" si="43"/>
        <v>1</v>
      </c>
      <c r="AE216" s="5"/>
      <c r="AF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79"/>
      <c r="AE217" s="5"/>
      <c r="AF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79"/>
      <c r="AE218" s="1"/>
      <c r="AF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79"/>
      <c r="AE219" s="52"/>
      <c r="AF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79"/>
      <c r="AE220" s="5"/>
      <c r="AF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79"/>
      <c r="AE221" s="5"/>
      <c r="AF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79"/>
      <c r="AE222" s="5"/>
      <c r="AF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C223" si="44">SUM(E213:E220)</f>
        <v>3</v>
      </c>
      <c r="F223" s="13">
        <f t="shared" si="44"/>
        <v>2</v>
      </c>
      <c r="G223" s="13">
        <f t="shared" si="44"/>
        <v>3</v>
      </c>
      <c r="H223" s="13">
        <f t="shared" si="44"/>
        <v>4</v>
      </c>
      <c r="I223" s="13">
        <f t="shared" si="44"/>
        <v>2</v>
      </c>
      <c r="J223" s="13">
        <f t="shared" si="44"/>
        <v>1</v>
      </c>
      <c r="K223" s="13">
        <f t="shared" si="44"/>
        <v>2</v>
      </c>
      <c r="L223" s="13">
        <f t="shared" si="44"/>
        <v>2</v>
      </c>
      <c r="M223" s="13">
        <f t="shared" si="44"/>
        <v>2</v>
      </c>
      <c r="N223" s="13">
        <f t="shared" si="44"/>
        <v>1</v>
      </c>
      <c r="O223" s="13">
        <f t="shared" si="44"/>
        <v>0</v>
      </c>
      <c r="P223" s="13">
        <f t="shared" si="44"/>
        <v>2</v>
      </c>
      <c r="Q223" s="13">
        <f t="shared" si="44"/>
        <v>0</v>
      </c>
      <c r="R223" s="13">
        <f t="shared" si="44"/>
        <v>0</v>
      </c>
      <c r="S223" s="13">
        <f t="shared" si="44"/>
        <v>3</v>
      </c>
      <c r="T223" s="13">
        <f t="shared" si="44"/>
        <v>3</v>
      </c>
      <c r="U223" s="13">
        <f t="shared" si="44"/>
        <v>2</v>
      </c>
      <c r="V223" s="13">
        <f t="shared" si="44"/>
        <v>1</v>
      </c>
      <c r="W223" s="13">
        <f t="shared" si="44"/>
        <v>4</v>
      </c>
      <c r="X223" s="13">
        <f t="shared" si="44"/>
        <v>5</v>
      </c>
      <c r="Y223" s="13">
        <f t="shared" si="44"/>
        <v>3</v>
      </c>
      <c r="Z223" s="13">
        <f t="shared" si="44"/>
        <v>1</v>
      </c>
      <c r="AA223" s="13">
        <f t="shared" si="44"/>
        <v>0</v>
      </c>
      <c r="AB223" s="13">
        <f t="shared" si="44"/>
        <v>3</v>
      </c>
      <c r="AC223" s="13">
        <f t="shared" si="44"/>
        <v>1</v>
      </c>
      <c r="AD223" s="13">
        <f>SUM(E223:AC223)</f>
        <v>50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5"/>
      <c r="AF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3.0</v>
      </c>
      <c r="H225" s="74">
        <v>2.0</v>
      </c>
      <c r="I225" s="74">
        <v>1.0</v>
      </c>
      <c r="J225" s="74">
        <v>0.0</v>
      </c>
      <c r="K225" s="74">
        <v>0.0</v>
      </c>
      <c r="L225" s="74">
        <v>0.0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1.0</v>
      </c>
      <c r="T225" s="74">
        <v>0.0</v>
      </c>
      <c r="U225" s="74">
        <v>0.0</v>
      </c>
      <c r="V225" s="74">
        <v>0.0</v>
      </c>
      <c r="W225" s="74">
        <v>0.0</v>
      </c>
      <c r="X225" s="74">
        <v>2.0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13">
        <f t="shared" ref="AD225:AD229" si="45">SUM(E225:AC225)</f>
        <v>10</v>
      </c>
      <c r="AE225" s="5"/>
      <c r="AF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2.0</v>
      </c>
      <c r="F226" s="74">
        <v>0.0</v>
      </c>
      <c r="G226" s="74">
        <v>1.0</v>
      </c>
      <c r="H226" s="74">
        <v>1.0</v>
      </c>
      <c r="I226" s="74">
        <v>0.0</v>
      </c>
      <c r="J226" s="74">
        <v>0.0</v>
      </c>
      <c r="K226" s="74">
        <v>1.0</v>
      </c>
      <c r="L226" s="74">
        <v>0.0</v>
      </c>
      <c r="M226" s="74">
        <v>0.0</v>
      </c>
      <c r="N226" s="74">
        <v>1.0</v>
      </c>
      <c r="O226" s="74">
        <v>0.0</v>
      </c>
      <c r="P226" s="74">
        <v>1.0</v>
      </c>
      <c r="Q226" s="74">
        <v>1.0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3.0</v>
      </c>
      <c r="AD226" s="13">
        <f t="shared" si="45"/>
        <v>11</v>
      </c>
      <c r="AE226" s="5"/>
      <c r="AF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1.0</v>
      </c>
      <c r="H227" s="74">
        <v>1.0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1.0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1.0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13">
        <f t="shared" si="45"/>
        <v>4</v>
      </c>
      <c r="AE227" s="5"/>
      <c r="AF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2.0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13">
        <f t="shared" si="45"/>
        <v>2</v>
      </c>
      <c r="AE228" s="5"/>
      <c r="AF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1.0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13">
        <f t="shared" si="45"/>
        <v>1</v>
      </c>
      <c r="AE229" s="1"/>
      <c r="AF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79"/>
      <c r="AE230" s="52"/>
      <c r="AF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79"/>
      <c r="AE231" s="5"/>
      <c r="AF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79"/>
      <c r="AE232" s="5"/>
      <c r="AF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79"/>
      <c r="AE233" s="5"/>
      <c r="AF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79"/>
      <c r="AE234" s="5"/>
      <c r="AF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C235" si="46">SUM(E225:E232)</f>
        <v>2</v>
      </c>
      <c r="F235" s="13">
        <f t="shared" si="46"/>
        <v>0</v>
      </c>
      <c r="G235" s="13">
        <f t="shared" si="46"/>
        <v>6</v>
      </c>
      <c r="H235" s="13">
        <f t="shared" si="46"/>
        <v>4</v>
      </c>
      <c r="I235" s="13">
        <f t="shared" si="46"/>
        <v>1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1</v>
      </c>
      <c r="N235" s="13">
        <f t="shared" si="46"/>
        <v>1</v>
      </c>
      <c r="O235" s="13">
        <f t="shared" si="46"/>
        <v>2</v>
      </c>
      <c r="P235" s="13">
        <f t="shared" si="46"/>
        <v>1</v>
      </c>
      <c r="Q235" s="13">
        <f t="shared" si="46"/>
        <v>1</v>
      </c>
      <c r="R235" s="13">
        <f t="shared" si="46"/>
        <v>1</v>
      </c>
      <c r="S235" s="13">
        <f t="shared" si="46"/>
        <v>1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3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3</v>
      </c>
      <c r="AD235" s="13">
        <f>SUM(E235:AC235)</f>
        <v>28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5"/>
      <c r="AF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1.0</v>
      </c>
      <c r="H237" s="74">
        <v>0.0</v>
      </c>
      <c r="I237" s="74">
        <v>0.0</v>
      </c>
      <c r="J237" s="74">
        <v>1.0</v>
      </c>
      <c r="K237" s="74">
        <v>0.0</v>
      </c>
      <c r="L237" s="74">
        <v>1.0</v>
      </c>
      <c r="M237" s="74">
        <v>0.0</v>
      </c>
      <c r="N237" s="74">
        <v>3.0</v>
      </c>
      <c r="O237" s="74">
        <v>0.0</v>
      </c>
      <c r="P237" s="74">
        <v>3.0</v>
      </c>
      <c r="Q237" s="74">
        <v>11.0</v>
      </c>
      <c r="R237" s="74">
        <v>3.0</v>
      </c>
      <c r="S237" s="74">
        <v>4.0</v>
      </c>
      <c r="T237" s="74">
        <v>1.0</v>
      </c>
      <c r="U237" s="74">
        <v>3.0</v>
      </c>
      <c r="V237" s="74">
        <v>3.0</v>
      </c>
      <c r="W237" s="74">
        <v>3.0</v>
      </c>
      <c r="X237" s="74">
        <v>6.0</v>
      </c>
      <c r="Y237" s="74">
        <v>0.0</v>
      </c>
      <c r="Z237" s="74">
        <v>0.0</v>
      </c>
      <c r="AA237" s="74">
        <v>2.0</v>
      </c>
      <c r="AB237" s="74">
        <v>0.0</v>
      </c>
      <c r="AC237" s="74">
        <v>0.0</v>
      </c>
      <c r="AD237" s="13">
        <f t="shared" ref="AD237:AD246" si="47">SUM(E237:AC237)</f>
        <v>45</v>
      </c>
      <c r="AE237" s="5"/>
      <c r="AF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5.0</v>
      </c>
      <c r="O238" s="74">
        <v>1.0</v>
      </c>
      <c r="P238" s="74">
        <v>3.0</v>
      </c>
      <c r="Q238" s="74">
        <v>7.0</v>
      </c>
      <c r="R238" s="74">
        <v>0.0</v>
      </c>
      <c r="S238" s="74">
        <v>29.0</v>
      </c>
      <c r="T238" s="74">
        <v>0.0</v>
      </c>
      <c r="U238" s="74">
        <v>12.0</v>
      </c>
      <c r="V238" s="74">
        <v>1.0</v>
      </c>
      <c r="W238" s="74">
        <v>4.0</v>
      </c>
      <c r="X238" s="74">
        <v>1.0</v>
      </c>
      <c r="Y238" s="74">
        <v>0.0</v>
      </c>
      <c r="Z238" s="74">
        <v>2.0</v>
      </c>
      <c r="AA238" s="74">
        <v>4.0</v>
      </c>
      <c r="AB238" s="74">
        <v>1.0</v>
      </c>
      <c r="AC238" s="74">
        <v>0.0</v>
      </c>
      <c r="AD238" s="13">
        <f t="shared" si="47"/>
        <v>70</v>
      </c>
      <c r="AE238" s="5"/>
      <c r="AF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1.0</v>
      </c>
      <c r="I239" s="74">
        <v>1.0</v>
      </c>
      <c r="J239" s="74">
        <v>1.0</v>
      </c>
      <c r="K239" s="74">
        <v>0.0</v>
      </c>
      <c r="L239" s="74">
        <v>0.0</v>
      </c>
      <c r="M239" s="74">
        <v>0.0</v>
      </c>
      <c r="N239" s="74">
        <v>5.0</v>
      </c>
      <c r="O239" s="74">
        <v>0.0</v>
      </c>
      <c r="P239" s="74">
        <v>7.0</v>
      </c>
      <c r="Q239" s="74">
        <v>25.0</v>
      </c>
      <c r="R239" s="74">
        <v>10.0</v>
      </c>
      <c r="S239" s="74">
        <v>0.0</v>
      </c>
      <c r="T239" s="74">
        <v>0.0</v>
      </c>
      <c r="U239" s="74">
        <v>0.0</v>
      </c>
      <c r="V239" s="74">
        <v>2.0</v>
      </c>
      <c r="W239" s="74">
        <v>1.0</v>
      </c>
      <c r="X239" s="74">
        <v>1.0</v>
      </c>
      <c r="Y239" s="74">
        <v>0.0</v>
      </c>
      <c r="Z239" s="74">
        <v>3.0</v>
      </c>
      <c r="AA239" s="74">
        <v>0.0</v>
      </c>
      <c r="AB239" s="74">
        <v>0.0</v>
      </c>
      <c r="AC239" s="74">
        <v>0.0</v>
      </c>
      <c r="AD239" s="13">
        <f t="shared" si="47"/>
        <v>57</v>
      </c>
      <c r="AE239" s="5"/>
      <c r="AF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1.0</v>
      </c>
      <c r="G240" s="74">
        <v>0.0</v>
      </c>
      <c r="H240" s="74">
        <v>0.0</v>
      </c>
      <c r="I240" s="74">
        <v>0.0</v>
      </c>
      <c r="J240" s="74">
        <v>1.0</v>
      </c>
      <c r="K240" s="74">
        <v>0.0</v>
      </c>
      <c r="L240" s="74">
        <v>0.0</v>
      </c>
      <c r="M240" s="74">
        <v>0.0</v>
      </c>
      <c r="N240" s="74">
        <v>0.0</v>
      </c>
      <c r="O240" s="74">
        <v>1.0</v>
      </c>
      <c r="P240" s="74">
        <v>2.0</v>
      </c>
      <c r="Q240" s="74">
        <v>1.0</v>
      </c>
      <c r="R240" s="74">
        <v>2.0</v>
      </c>
      <c r="S240" s="74">
        <v>0.0</v>
      </c>
      <c r="T240" s="74">
        <v>1.0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1.0</v>
      </c>
      <c r="AB240" s="74">
        <v>0.0</v>
      </c>
      <c r="AC240" s="74">
        <v>0.0</v>
      </c>
      <c r="AD240" s="13">
        <f t="shared" si="47"/>
        <v>10</v>
      </c>
      <c r="AE240" s="1"/>
      <c r="AF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1.0</v>
      </c>
      <c r="O241" s="74">
        <v>0.0</v>
      </c>
      <c r="P241" s="74">
        <v>0.0</v>
      </c>
      <c r="Q241" s="74">
        <v>2.0</v>
      </c>
      <c r="R241" s="74">
        <v>3.0</v>
      </c>
      <c r="S241" s="74">
        <v>2.0</v>
      </c>
      <c r="T241" s="74">
        <v>1.0</v>
      </c>
      <c r="U241" s="74">
        <v>3.0</v>
      </c>
      <c r="V241" s="74">
        <v>0.0</v>
      </c>
      <c r="W241" s="74">
        <v>1.0</v>
      </c>
      <c r="X241" s="74">
        <v>0.0</v>
      </c>
      <c r="Y241" s="74">
        <v>0.0</v>
      </c>
      <c r="Z241" s="74">
        <v>0.0</v>
      </c>
      <c r="AA241" s="74">
        <v>1.0</v>
      </c>
      <c r="AB241" s="74">
        <v>0.0</v>
      </c>
      <c r="AC241" s="74">
        <v>0.0</v>
      </c>
      <c r="AD241" s="13">
        <f t="shared" si="47"/>
        <v>15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1.0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1.0</v>
      </c>
      <c r="AB242" s="74">
        <v>0.0</v>
      </c>
      <c r="AC242" s="74">
        <v>0.0</v>
      </c>
      <c r="AD242" s="13">
        <f t="shared" si="47"/>
        <v>2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13">
        <f t="shared" si="47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0.0</v>
      </c>
      <c r="AC244" s="74">
        <v>0.0</v>
      </c>
      <c r="AD244" s="13">
        <f t="shared" si="47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1.0</v>
      </c>
      <c r="G245" s="74">
        <v>0.0</v>
      </c>
      <c r="H245" s="74">
        <v>0.0</v>
      </c>
      <c r="I245" s="74">
        <v>0.0</v>
      </c>
      <c r="J245" s="74">
        <v>1.0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13">
        <f t="shared" si="47"/>
        <v>2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1.0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1.0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13">
        <f t="shared" si="47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D247" si="48">SUM(E237:E246)</f>
        <v>1</v>
      </c>
      <c r="F247" s="13">
        <f t="shared" si="48"/>
        <v>3</v>
      </c>
      <c r="G247" s="13">
        <f t="shared" si="48"/>
        <v>1</v>
      </c>
      <c r="H247" s="13">
        <f t="shared" si="48"/>
        <v>1</v>
      </c>
      <c r="I247" s="13">
        <f t="shared" si="48"/>
        <v>1</v>
      </c>
      <c r="J247" s="13">
        <f t="shared" si="48"/>
        <v>4</v>
      </c>
      <c r="K247" s="13">
        <f t="shared" si="48"/>
        <v>0</v>
      </c>
      <c r="L247" s="13">
        <f t="shared" si="48"/>
        <v>1</v>
      </c>
      <c r="M247" s="13">
        <f t="shared" si="48"/>
        <v>0</v>
      </c>
      <c r="N247" s="13">
        <f t="shared" si="48"/>
        <v>15</v>
      </c>
      <c r="O247" s="13">
        <f t="shared" si="48"/>
        <v>2</v>
      </c>
      <c r="P247" s="13">
        <f t="shared" si="48"/>
        <v>16</v>
      </c>
      <c r="Q247" s="13">
        <f t="shared" si="48"/>
        <v>47</v>
      </c>
      <c r="R247" s="13">
        <f t="shared" si="48"/>
        <v>18</v>
      </c>
      <c r="S247" s="13">
        <f t="shared" si="48"/>
        <v>35</v>
      </c>
      <c r="T247" s="13">
        <f t="shared" si="48"/>
        <v>3</v>
      </c>
      <c r="U247" s="13">
        <f t="shared" si="48"/>
        <v>18</v>
      </c>
      <c r="V247" s="13">
        <f t="shared" si="48"/>
        <v>6</v>
      </c>
      <c r="W247" s="13">
        <f t="shared" si="48"/>
        <v>9</v>
      </c>
      <c r="X247" s="13">
        <f t="shared" si="48"/>
        <v>8</v>
      </c>
      <c r="Y247" s="13">
        <f t="shared" si="48"/>
        <v>0</v>
      </c>
      <c r="Z247" s="13">
        <f t="shared" si="48"/>
        <v>5</v>
      </c>
      <c r="AA247" s="13">
        <f t="shared" si="48"/>
        <v>9</v>
      </c>
      <c r="AB247" s="13">
        <f t="shared" si="48"/>
        <v>1</v>
      </c>
      <c r="AC247" s="13">
        <f t="shared" si="48"/>
        <v>0</v>
      </c>
      <c r="AD247" s="13">
        <f t="shared" si="48"/>
        <v>204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1.0</v>
      </c>
      <c r="I249" s="74">
        <v>0.0</v>
      </c>
      <c r="J249" s="74">
        <v>1.0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3.0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2.0</v>
      </c>
      <c r="W249" s="74">
        <v>1.0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0.0</v>
      </c>
      <c r="AC249" s="74">
        <v>0.0</v>
      </c>
      <c r="AD249" s="13">
        <f t="shared" ref="AD249:AD252" si="49">SUM(E249:AC249)</f>
        <v>8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2.0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2.0</v>
      </c>
      <c r="Q250" s="74">
        <v>0.0</v>
      </c>
      <c r="R250" s="74">
        <v>0.0</v>
      </c>
      <c r="S250" s="74">
        <v>0.0</v>
      </c>
      <c r="T250" s="74">
        <v>0.0</v>
      </c>
      <c r="U250" s="74">
        <v>1.0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13">
        <f t="shared" si="49"/>
        <v>5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1.0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13">
        <f t="shared" si="49"/>
        <v>1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13">
        <f t="shared" si="49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79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79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79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79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79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79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C259" si="50">SUM(E249:E255)</f>
        <v>2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0</v>
      </c>
      <c r="J259" s="13">
        <f t="shared" si="50"/>
        <v>1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5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2</v>
      </c>
      <c r="V259" s="13">
        <f t="shared" si="50"/>
        <v>2</v>
      </c>
      <c r="W259" s="13">
        <f t="shared" si="50"/>
        <v>1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>SUM(E259:AC259)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3"/>
      <c r="O261" s="13"/>
      <c r="P261" s="13"/>
      <c r="Q261" s="13"/>
      <c r="R261" s="13"/>
      <c r="S261" s="83"/>
      <c r="T261" s="13"/>
      <c r="U261" s="13"/>
      <c r="V261" s="13"/>
      <c r="W261" s="13"/>
      <c r="X261" s="83"/>
      <c r="Y261" s="13"/>
      <c r="Z261" s="13"/>
      <c r="AA261" s="13"/>
      <c r="AB261" s="13"/>
      <c r="AC261" s="83"/>
      <c r="AD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C262" si="51">E55+E67+E79+E91+E103+E115+E127+E139+E151+E163+E175+E187+E199+E211+E223+E235+E247+E259</f>
        <v>122</v>
      </c>
      <c r="F262" s="19">
        <f t="shared" si="51"/>
        <v>104</v>
      </c>
      <c r="G262" s="19">
        <f t="shared" si="51"/>
        <v>147</v>
      </c>
      <c r="H262" s="19">
        <f t="shared" si="51"/>
        <v>135</v>
      </c>
      <c r="I262" s="19">
        <f t="shared" si="51"/>
        <v>121</v>
      </c>
      <c r="J262" s="19">
        <f t="shared" si="51"/>
        <v>131</v>
      </c>
      <c r="K262" s="19">
        <f t="shared" si="51"/>
        <v>114</v>
      </c>
      <c r="L262" s="19">
        <f t="shared" si="51"/>
        <v>144</v>
      </c>
      <c r="M262" s="19">
        <f t="shared" si="51"/>
        <v>148</v>
      </c>
      <c r="N262" s="19">
        <f t="shared" si="51"/>
        <v>186</v>
      </c>
      <c r="O262" s="19">
        <f t="shared" si="51"/>
        <v>146</v>
      </c>
      <c r="P262" s="19">
        <f t="shared" si="51"/>
        <v>159</v>
      </c>
      <c r="Q262" s="19">
        <f t="shared" si="51"/>
        <v>203</v>
      </c>
      <c r="R262" s="19">
        <f t="shared" si="51"/>
        <v>162</v>
      </c>
      <c r="S262" s="19">
        <f t="shared" si="51"/>
        <v>152</v>
      </c>
      <c r="T262" s="19">
        <f t="shared" si="51"/>
        <v>144</v>
      </c>
      <c r="U262" s="19">
        <f t="shared" si="51"/>
        <v>156</v>
      </c>
      <c r="V262" s="19">
        <f t="shared" si="51"/>
        <v>182</v>
      </c>
      <c r="W262" s="19">
        <f t="shared" si="51"/>
        <v>174</v>
      </c>
      <c r="X262" s="19">
        <f t="shared" si="51"/>
        <v>200</v>
      </c>
      <c r="Y262" s="19">
        <f t="shared" si="51"/>
        <v>148</v>
      </c>
      <c r="Z262" s="19">
        <f t="shared" si="51"/>
        <v>154</v>
      </c>
      <c r="AA262" s="19">
        <f t="shared" si="51"/>
        <v>188</v>
      </c>
      <c r="AB262" s="19">
        <f t="shared" si="51"/>
        <v>121</v>
      </c>
      <c r="AC262" s="19">
        <f t="shared" si="51"/>
        <v>134</v>
      </c>
      <c r="AD262" s="13">
        <f t="shared" ref="AD262:AD264" si="52">SUM(E262:AC262)</f>
        <v>3775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42.0</v>
      </c>
      <c r="F263" s="74">
        <v>41.0</v>
      </c>
      <c r="G263" s="74">
        <v>21.0</v>
      </c>
      <c r="H263" s="74">
        <v>31.0</v>
      </c>
      <c r="I263" s="74">
        <v>32.0</v>
      </c>
      <c r="J263" s="74">
        <v>23.0</v>
      </c>
      <c r="K263" s="74">
        <v>21.0</v>
      </c>
      <c r="L263" s="74">
        <v>27.0</v>
      </c>
      <c r="M263" s="74">
        <v>19.0</v>
      </c>
      <c r="N263" s="74">
        <v>33.0</v>
      </c>
      <c r="O263" s="74">
        <v>27.0</v>
      </c>
      <c r="P263" s="74">
        <v>27.0</v>
      </c>
      <c r="Q263" s="74">
        <v>27.0</v>
      </c>
      <c r="R263" s="74">
        <v>26.0</v>
      </c>
      <c r="S263" s="74">
        <v>11.0</v>
      </c>
      <c r="T263" s="74">
        <v>16.0</v>
      </c>
      <c r="U263" s="74">
        <v>16.0</v>
      </c>
      <c r="V263" s="74">
        <v>43.0</v>
      </c>
      <c r="W263" s="74">
        <v>38.0</v>
      </c>
      <c r="X263" s="74">
        <v>23.0</v>
      </c>
      <c r="Y263" s="74">
        <v>10.0</v>
      </c>
      <c r="Z263" s="74">
        <v>33.0</v>
      </c>
      <c r="AA263" s="74">
        <v>21.0</v>
      </c>
      <c r="AB263" s="74">
        <v>17.0</v>
      </c>
      <c r="AC263" s="74">
        <v>13.0</v>
      </c>
      <c r="AD263" s="13">
        <f t="shared" si="52"/>
        <v>638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C264" si="53">SUM(E262:E263)</f>
        <v>164</v>
      </c>
      <c r="F264" s="13">
        <f t="shared" si="53"/>
        <v>145</v>
      </c>
      <c r="G264" s="13">
        <f t="shared" si="53"/>
        <v>168</v>
      </c>
      <c r="H264" s="13">
        <f t="shared" si="53"/>
        <v>166</v>
      </c>
      <c r="I264" s="13">
        <f t="shared" si="53"/>
        <v>153</v>
      </c>
      <c r="J264" s="13">
        <f t="shared" si="53"/>
        <v>154</v>
      </c>
      <c r="K264" s="13">
        <f t="shared" si="53"/>
        <v>135</v>
      </c>
      <c r="L264" s="13">
        <f t="shared" si="53"/>
        <v>171</v>
      </c>
      <c r="M264" s="13">
        <f t="shared" si="53"/>
        <v>167</v>
      </c>
      <c r="N264" s="13">
        <f t="shared" si="53"/>
        <v>219</v>
      </c>
      <c r="O264" s="13">
        <f t="shared" si="53"/>
        <v>173</v>
      </c>
      <c r="P264" s="13">
        <f t="shared" si="53"/>
        <v>186</v>
      </c>
      <c r="Q264" s="13">
        <f t="shared" si="53"/>
        <v>230</v>
      </c>
      <c r="R264" s="13">
        <f t="shared" si="53"/>
        <v>188</v>
      </c>
      <c r="S264" s="13">
        <f t="shared" si="53"/>
        <v>163</v>
      </c>
      <c r="T264" s="13">
        <f t="shared" si="53"/>
        <v>160</v>
      </c>
      <c r="U264" s="13">
        <f t="shared" si="53"/>
        <v>172</v>
      </c>
      <c r="V264" s="13">
        <f t="shared" si="53"/>
        <v>225</v>
      </c>
      <c r="W264" s="13">
        <f t="shared" si="53"/>
        <v>212</v>
      </c>
      <c r="X264" s="13">
        <f t="shared" si="53"/>
        <v>223</v>
      </c>
      <c r="Y264" s="13">
        <f t="shared" si="53"/>
        <v>158</v>
      </c>
      <c r="Z264" s="13">
        <f t="shared" si="53"/>
        <v>187</v>
      </c>
      <c r="AA264" s="13">
        <f t="shared" si="53"/>
        <v>209</v>
      </c>
      <c r="AB264" s="13">
        <f t="shared" si="53"/>
        <v>138</v>
      </c>
      <c r="AC264" s="13">
        <f t="shared" si="53"/>
        <v>147</v>
      </c>
      <c r="AD264" s="13">
        <f t="shared" si="52"/>
        <v>4413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C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