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PESANGGARAN" sheetId="2" r:id="rId5"/>
    <sheet state="visible" name="SARONGAN" sheetId="3" r:id="rId6"/>
    <sheet state="visible" name="SUMBERAGUNG" sheetId="4" r:id="rId7"/>
    <sheet state="visible" name="KANDANGAN" sheetId="5" r:id="rId8"/>
    <sheet state="visible" name="SUMBERMULYO" sheetId="6" r:id="rId9"/>
  </sheets>
  <definedNames/>
  <calcPr/>
  <extLst>
    <ext uri="GoogleSheetsCustomDataVersion2">
      <go:sheetsCustomData xmlns:go="http://customooxmlschemas.google.com/" r:id="rId10" roundtripDataChecksum="9mqFSGdcb6D8PM8gTjdLjwd/gscDAtP1m6Th3l4gUP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19">
      <text>
        <t xml:space="preserve">======
ID#AAABx5EbpmU
Yovi Widiyanto M.S    (2026-01-26 09:14:03)
PDF KURANG JELAS</t>
      </text>
    </comment>
  </commentList>
  <extLst>
    <ext uri="GoogleSheetsCustomDataVersion2">
      <go:sheetsCustomData xmlns:go="http://customooxmlschemas.google.com/" r:id="rId1" roundtripDataSignature="AMtx7mhpQ1SZF7SousWDBQKpGsSb+jGLF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41">
      <text>
        <t xml:space="preserve">======
ID#AAABvFmScA4
Yovi Widiyanto M.S    (2026-01-28 02:40:44)
PDF TIDAK ADA</t>
      </text>
    </comment>
  </commentList>
  <extLst>
    <ext uri="GoogleSheetsCustomDataVersion2">
      <go:sheetsCustomData xmlns:go="http://customooxmlschemas.google.com/" r:id="rId1" roundtripDataSignature="AMtx7mhr68Vp5yP6KqvL5U/AMW9h0EuGuA=="/>
    </ext>
  </extLst>
</comments>
</file>

<file path=xl/sharedStrings.xml><?xml version="1.0" encoding="utf-8"?>
<sst xmlns="http://schemas.openxmlformats.org/spreadsheetml/2006/main" count="1888" uniqueCount="250">
  <si>
    <t>Kecamatan</t>
  </si>
  <si>
    <t>PESANGGARAN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</si>
  <si>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</si>
  <si>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</si>
  <si>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</si>
  <si>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</si>
  <si>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</si>
  <si>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</si>
  <si>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</si>
  <si>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</si>
  <si>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</si>
  <si>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</si>
  <si>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</si>
  <si>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</si>
  <si>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</si>
  <si>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</si>
  <si>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</si>
  <si>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</si>
  <si>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</si>
  <si>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</si>
  <si>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</si>
  <si>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</si>
  <si>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</si>
  <si>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</si>
  <si>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</si>
  <si>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</si>
  <si>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</si>
  <si>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</si>
  <si>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</si>
  <si>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</si>
  <si>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</si>
  <si>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</si>
  <si>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</si>
  <si>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</si>
  <si>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</si>
  <si>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</si>
  <si>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</si>
  <si>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</si>
  <si>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</si>
  <si>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</si>
  <si>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</si>
  <si>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</si>
  <si>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</si>
  <si>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</si>
  <si>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</si>
  <si>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</si>
  <si>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</si>
  <si>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</si>
  <si>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</si>
  <si>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</si>
  <si>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</si>
  <si>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</si>
  <si>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</si>
  <si>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</si>
  <si>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</si>
  <si>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</si>
  <si>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</si>
  <si>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</si>
  <si>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</si>
  <si>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</si>
  <si>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</si>
  <si>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</si>
  <si>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</si>
  <si>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</si>
  <si>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</si>
  <si>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</si>
  <si>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</si>
  <si>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</si>
  <si>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</si>
  <si>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</si>
  <si>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</si>
  <si>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</si>
  <si>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</si>
  <si>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</si>
  <si>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</si>
  <si>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</si>
  <si>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</si>
  <si>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</si>
  <si>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</si>
  <si>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</si>
  <si>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</si>
  <si>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</si>
  <si>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</si>
  <si>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</si>
  <si>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</si>
  <si>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</si>
  <si>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</si>
  <si>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</si>
  <si>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</si>
  <si>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</si>
  <si>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</si>
  <si>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</si>
  <si>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</si>
  <si>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</si>
  <si>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</si>
  <si>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</si>
  <si>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</si>
  <si>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</si>
  <si>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</si>
  <si>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</si>
  <si>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</si>
  <si>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</si>
  <si>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</si>
  <si>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</si>
  <si>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</si>
  <si>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</si>
  <si>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</si>
  <si>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</si>
  <si>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</si>
  <si>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</si>
  <si>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</si>
  <si>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</si>
  <si>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</si>
  <si>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</si>
  <si>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</si>
  <si>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</si>
  <si>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</si>
  <si>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</si>
  <si>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</si>
  <si>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</si>
  <si>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</si>
  <si>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</si>
  <si>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</si>
  <si>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</si>
  <si>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</si>
  <si>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</si>
  <si>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</si>
  <si>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</si>
  <si>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</si>
  <si>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</si>
  <si>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</si>
  <si>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</si>
  <si>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</si>
  <si>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</si>
  <si>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</si>
  <si>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</si>
  <si>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</si>
  <si>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</si>
  <si>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</si>
  <si>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</si>
  <si>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</si>
  <si>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</si>
  <si>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</si>
  <si>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</si>
  <si>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</si>
  <si>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</si>
  <si>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</si>
  <si>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</si>
  <si>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</si>
  <si>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</si>
  <si>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</si>
  <si>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</si>
  <si>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</si>
  <si>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</si>
  <si>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</si>
  <si>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</si>
  <si>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</si>
  <si>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</si>
  <si>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</si>
  <si>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</si>
  <si>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</si>
  <si>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</si>
  <si>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</si>
  <si>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</si>
  <si>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</si>
  <si>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</si>
  <si>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</si>
  <si>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</si>
  <si>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</si>
  <si>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</si>
  <si>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</si>
  <si>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</si>
  <si>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</si>
  <si>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</si>
  <si>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</si>
  <si>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</si>
  <si>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</si>
  <si>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</si>
  <si>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</si>
  <si>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</si>
  <si>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</si>
  <si>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</si>
  <si>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</si>
  <si>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</si>
  <si>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</si>
  <si>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</si>
  <si>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</si>
  <si>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</si>
  <si>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</si>
  <si>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</si>
  <si>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</si>
  <si>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</si>
  <si>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</si>
  <si>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</si>
  <si>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</si>
  <si>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</si>
  <si>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</si>
  <si>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</si>
  <si>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</si>
  <si>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</si>
  <si>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</si>
  <si>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</si>
  <si>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</si>
  <si>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</si>
  <si>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</si>
  <si>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</si>
  <si>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</si>
  <si>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</si>
  <si>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</si>
  <si>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</si>
  <si>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</si>
  <si>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</si>
  <si>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</si>
  <si>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</si>
  <si>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</si>
  <si>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</si>
  <si>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</si>
  <si>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</si>
  <si>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</si>
  <si>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</si>
  <si>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</si>
  <si>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</si>
  <si>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</si>
  <si>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</si>
  <si>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</si>
  <si>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</si>
  <si>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</si>
  <si>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</si>
  <si>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</si>
  <si>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</si>
  <si>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</si>
  <si>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</si>
  <si>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</si>
  <si>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</si>
  <si>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</si>
  <si>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</si>
  <si>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</si>
  <si>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</si>
  <si>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</si>
  <si>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</si>
  <si>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</si>
  <si>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</si>
  <si>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</si>
  <si>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</si>
  <si>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</si>
  <si>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</si>
  <si>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SARONGAN</t>
  </si>
  <si>
    <t>SUMBERAGUNG</t>
  </si>
  <si>
    <t>KANDANGAN</t>
  </si>
  <si>
    <t>SUMBERMULYO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</si>
</sst>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  <font>
      <color theme="1"/>
      <name val="&quot;Google Sans Text&quot;"/>
    </font>
    <font>
      <color theme="1"/>
      <name val="Bookman Old Style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9" numFmtId="0" xfId="0" applyFont="1"/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1" fillId="2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1" fillId="0" fontId="12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KANDANGAN!AG14+PESANGGARAN!AZ14+SARONGAN!X14+SUMBERAGUNG!AX14+SUMBERMULYO!AB14</f>
        <v>21542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KANDANGAN!AG15+PESANGGARAN!AZ15+SARONGAN!X15+SUMBERAGUNG!AX15+SUMBERMULYO!AB15</f>
        <v>21455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42997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KANDANGAN!AG19+PESANGGARAN!AZ19+SARONGAN!X19+SUMBERAGUNG!AX19+SUMBERMULYO!AB19</f>
        <v>16156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KANDANGAN!AG20+PESANGGARAN!AZ20+SARONGAN!X20+SUMBERAGUNG!AX20+SUMBERMULYO!AB20</f>
        <v>16668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32824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KANDANGAN!AG22+PESANGGARAN!AZ22+SARONGAN!X22+SUMBERAGUNG!AX22+SUMBERMULYO!AB22</f>
        <v>33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KANDANGAN!AG23+PESANGGARAN!AZ23+SARONGAN!X23+SUMBERAGUNG!AX23+SUMBERMULYO!AB23</f>
        <v>19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KANDANGAN!AG25+PESANGGARAN!AZ25+SARONGAN!X25+SUMBERAGUNG!AX25+SUMBERMULYO!AB25</f>
        <v>291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KANDANGAN!AG26+PESANGGARAN!AZ26+SARONGAN!X26+SUMBERAGUNG!AX26+SUMBERMULYO!AB26</f>
        <v>311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602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16480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16998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33478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KANDANGAN!AG33+PESANGGARAN!AZ33+SARONGAN!X33+SUMBERAGUNG!AX33+SUMBERMULYO!AB33</f>
        <v>43944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KANDANGAN!AG34+PESANGGARAN!AZ34+SARONGAN!X34+SUMBERAGUNG!AX34+SUMBERMULYO!AB34</f>
        <v>33312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KANDANGAN!AG35+PESANGGARAN!AZ35+SARONGAN!X35+SUMBERAGUNG!AX35+SUMBERMULYO!AB35</f>
        <v>55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10577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KANDANGAN!AG39+PESANGGARAN!AZ39+SARONGAN!X39+SUMBERAGUNG!AX39+SUMBERMULYO!AB39</f>
        <v>24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KANDANGAN!AG40+PESANGGARAN!AZ40+SARONGAN!X40+SUMBERAGUNG!AX40+SUMBERMULYO!AB40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KANDANGAN!AG45+PESANGGARAN!AZ45+SARONGAN!X45+SUMBERAGUNG!AX45+SUMBERMULYO!AB45</f>
        <v>1235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0"/>
      <c r="E46" s="24">
        <f>KANDANGAN!AG46+PESANGGARAN!AZ46+SARONGAN!X46+SUMBERAGUNG!AX46+SUMBERMULYO!AB46</f>
        <v>2863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/>
      <c r="C47" s="50" t="s">
        <v>41</v>
      </c>
      <c r="D47" s="50"/>
      <c r="E47" s="24">
        <f>KANDANGAN!AG47+PESANGGARAN!AZ47+SARONGAN!X47+SUMBERAGUNG!AX47+SUMBERMULYO!AB47</f>
        <v>458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/>
      <c r="C48" s="50" t="s">
        <v>42</v>
      </c>
      <c r="D48" s="50"/>
      <c r="E48" s="24">
        <f>KANDANGAN!AG48+PESANGGARAN!AZ48+SARONGAN!X48+SUMBERAGUNG!AX48+SUMBERMULYO!AB48</f>
        <v>129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/>
      <c r="C49" s="50" t="s">
        <v>43</v>
      </c>
      <c r="D49" s="50"/>
      <c r="E49" s="24">
        <f>KANDANGAN!AG49+PESANGGARAN!AZ49+SARONGAN!X49+SUMBERAGUNG!AX49+SUMBERMULYO!AB49</f>
        <v>226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/>
      <c r="C50" s="50" t="s">
        <v>44</v>
      </c>
      <c r="D50" s="50"/>
      <c r="E50" s="24">
        <f>KANDANGAN!AG50+PESANGGARAN!AZ50+SARONGAN!X50+SUMBERAGUNG!AX50+SUMBERMULYO!AB50</f>
        <v>221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/>
      <c r="C51" s="50" t="s">
        <v>45</v>
      </c>
      <c r="D51" s="50"/>
      <c r="E51" s="24">
        <f>KANDANGAN!AG51+PESANGGARAN!AZ51+SARONGAN!X51+SUMBERAGUNG!AX51+SUMBERMULYO!AB51</f>
        <v>93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/>
      <c r="C52" s="50" t="s">
        <v>46</v>
      </c>
      <c r="D52" s="50"/>
      <c r="E52" s="24">
        <f>KANDANGAN!AG52+PESANGGARAN!AZ52+SARONGAN!X52+SUMBERAGUNG!AX52+SUMBERMULYO!AB52</f>
        <v>322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 t="s">
        <v>47</v>
      </c>
      <c r="D53" s="50"/>
      <c r="E53" s="24">
        <f>KANDANGAN!AG53+PESANGGARAN!AZ53+SARONGAN!X53+SUMBERAGUNG!AX53+SUMBERMULYO!AB53</f>
        <v>39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 t="s">
        <v>48</v>
      </c>
      <c r="D54" s="50"/>
      <c r="E54" s="24">
        <f>KANDANGAN!AG54+PESANGGARAN!AZ54+SARONGAN!X54+SUMBERAGUNG!AX54+SUMBERMULYO!AB54</f>
        <v>202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SUM(E45:E52)</f>
        <v>5547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KANDANGAN!AG57+PESANGGARAN!AZ57+SARONGAN!X57+SUMBERAGUNG!AX57+SUMBERMULYO!AB57</f>
        <v>1995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/>
      <c r="C58" s="50" t="s">
        <v>51</v>
      </c>
      <c r="D58" s="56"/>
      <c r="E58" s="24">
        <f>KANDANGAN!AG58+PESANGGARAN!AZ58+SARONGAN!X58+SUMBERAGUNG!AX58+SUMBERMULYO!AB58</f>
        <v>1554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/>
      <c r="C59" s="50" t="s">
        <v>52</v>
      </c>
      <c r="D59" s="56"/>
      <c r="E59" s="24">
        <f>KANDANGAN!AG59+PESANGGARAN!AZ59+SARONGAN!X59+SUMBERAGUNG!AX59+SUMBERMULYO!AB59</f>
        <v>786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/>
      <c r="C60" s="50" t="s">
        <v>53</v>
      </c>
      <c r="D60" s="56"/>
      <c r="E60" s="24">
        <f>KANDANGAN!AG60+PESANGGARAN!AZ60+SARONGAN!X60+SUMBERAGUNG!AX60+SUMBERMULYO!AB60</f>
        <v>473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/>
      <c r="C61" s="50" t="s">
        <v>54</v>
      </c>
      <c r="D61" s="56"/>
      <c r="E61" s="24">
        <f>KANDANGAN!AG61+PESANGGARAN!AZ61+SARONGAN!X61+SUMBERAGUNG!AX61+SUMBERMULYO!AB61</f>
        <v>920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/>
      <c r="C62" s="50" t="s">
        <v>55</v>
      </c>
      <c r="D62" s="56"/>
      <c r="E62" s="24">
        <f>KANDANGAN!AG62+PESANGGARAN!AZ62+SARONGAN!X62+SUMBERAGUNG!AX62+SUMBERMULYO!AB62</f>
        <v>234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/>
      <c r="C63" s="50" t="s">
        <v>56</v>
      </c>
      <c r="D63" s="57"/>
      <c r="E63" s="24">
        <f>KANDANGAN!AG63+PESANGGARAN!AZ63+SARONGAN!X63+SUMBERAGUNG!AX63+SUMBERMULYO!AB63</f>
        <v>78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/>
      <c r="C64" s="50" t="s">
        <v>57</v>
      </c>
      <c r="D64" s="56"/>
      <c r="E64" s="24">
        <f>KANDANGAN!AG64+PESANGGARAN!AZ64+SARONGAN!X64+SUMBERAGUNG!AX64+SUMBERMULYO!AB64</f>
        <v>49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 t="s">
        <v>58</v>
      </c>
      <c r="D65" s="56"/>
      <c r="E65" s="24">
        <f>KANDANGAN!AG65+PESANGGARAN!AZ65+SARONGAN!X65+SUMBERAGUNG!AX65+SUMBERMULYO!AB65</f>
        <v>55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 t="s">
        <v>59</v>
      </c>
      <c r="D66" s="56"/>
      <c r="E66" s="24">
        <f>KANDANGAN!AG66+PESANGGARAN!AZ66+SARONGAN!X66+SUMBERAGUNG!AX66+SUMBERMULYO!AB66</f>
        <v>113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SUM(E57:E64)</f>
        <v>6089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KANDANGAN!AG69+PESANGGARAN!AZ69+SARONGAN!X69+SUMBERAGUNG!AX69+SUMBERMULYO!AB69</f>
        <v>1925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/>
      <c r="C70" s="50" t="s">
        <v>61</v>
      </c>
      <c r="D70" s="57"/>
      <c r="E70" s="24">
        <f>KANDANGAN!AG70+PESANGGARAN!AZ70+SARONGAN!X70+SUMBERAGUNG!AX70+SUMBERMULYO!AB70</f>
        <v>1673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/>
      <c r="C71" s="50" t="s">
        <v>62</v>
      </c>
      <c r="D71" s="57"/>
      <c r="E71" s="24">
        <f>KANDANGAN!AG71+PESANGGARAN!AZ71+SARONGAN!X71+SUMBERAGUNG!AX71+SUMBERMULYO!AB71</f>
        <v>772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/>
      <c r="C72" s="50" t="s">
        <v>63</v>
      </c>
      <c r="D72" s="57"/>
      <c r="E72" s="24">
        <f>KANDANGAN!AG72+PESANGGARAN!AZ72+SARONGAN!X72+SUMBERAGUNG!AX72+SUMBERMULYO!AB72</f>
        <v>544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/>
      <c r="C73" s="50" t="s">
        <v>64</v>
      </c>
      <c r="D73" s="57"/>
      <c r="E73" s="24">
        <f>KANDANGAN!AG73+PESANGGARAN!AZ73+SARONGAN!X73+SUMBERAGUNG!AX73+SUMBERMULYO!AB73</f>
        <v>371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/>
      <c r="C74" s="50" t="s">
        <v>65</v>
      </c>
      <c r="D74" s="57"/>
      <c r="E74" s="24">
        <f>KANDANGAN!AG74+PESANGGARAN!AZ74+SARONGAN!X74+SUMBERAGUNG!AX74+SUMBERMULYO!AB74</f>
        <v>218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/>
      <c r="C75" s="50" t="s">
        <v>66</v>
      </c>
      <c r="D75" s="57"/>
      <c r="E75" s="24">
        <f>KANDANGAN!AG75+PESANGGARAN!AZ75+SARONGAN!X75+SUMBERAGUNG!AX75+SUMBERMULYO!AB75</f>
        <v>197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/>
      <c r="C76" s="50" t="s">
        <v>67</v>
      </c>
      <c r="D76" s="57"/>
      <c r="E76" s="24">
        <f>KANDANGAN!AG76+PESANGGARAN!AZ76+SARONGAN!X76+SUMBERAGUNG!AX76+SUMBERMULYO!AB76</f>
        <v>187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 t="s">
        <v>68</v>
      </c>
      <c r="D77" s="57"/>
      <c r="E77" s="24">
        <f>KANDANGAN!AG77+PESANGGARAN!AZ77+SARONGAN!X77+SUMBERAGUNG!AX77+SUMBERMULYO!AB77</f>
        <v>124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 t="s">
        <v>69</v>
      </c>
      <c r="D78" s="57"/>
      <c r="E78" s="24">
        <f>KANDANGAN!AG78+PESANGGARAN!AZ78+SARONGAN!X78+SUMBERAGUNG!AX78+SUMBERMULYO!AB78</f>
        <v>171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SUM(E69:E76)</f>
        <v>5887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KANDANGAN!AG81+PESANGGARAN!AZ81+SARONGAN!X81+SUMBERAGUNG!AX81+SUMBERMULYO!AB81</f>
        <v>818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/>
      <c r="C82" s="50" t="s">
        <v>71</v>
      </c>
      <c r="D82" s="57"/>
      <c r="E82" s="24">
        <f>KANDANGAN!AG82+PESANGGARAN!AZ82+SARONGAN!X82+SUMBERAGUNG!AX82+SUMBERMULYO!AB82</f>
        <v>1118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/>
      <c r="C83" s="50" t="s">
        <v>72</v>
      </c>
      <c r="D83" s="57"/>
      <c r="E83" s="24">
        <f>KANDANGAN!AG83+PESANGGARAN!AZ83+SARONGAN!X83+SUMBERAGUNG!AX83+SUMBERMULYO!AB83</f>
        <v>293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/>
      <c r="C84" s="50" t="s">
        <v>73</v>
      </c>
      <c r="D84" s="57"/>
      <c r="E84" s="24">
        <f>KANDANGAN!AG84+PESANGGARAN!AZ84+SARONGAN!X84+SUMBERAGUNG!AX84+SUMBERMULYO!AB84</f>
        <v>134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/>
      <c r="C85" s="50" t="s">
        <v>74</v>
      </c>
      <c r="D85" s="57"/>
      <c r="E85" s="24">
        <f>KANDANGAN!AG85+PESANGGARAN!AZ85+SARONGAN!X85+SUMBERAGUNG!AX85+SUMBERMULYO!AB85</f>
        <v>398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/>
      <c r="C86" s="50" t="s">
        <v>75</v>
      </c>
      <c r="D86" s="57"/>
      <c r="E86" s="24">
        <f>KANDANGAN!AG86+PESANGGARAN!AZ86+SARONGAN!X86+SUMBERAGUNG!AX86+SUMBERMULYO!AB86</f>
        <v>75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/>
      <c r="C87" s="50" t="s">
        <v>76</v>
      </c>
      <c r="D87" s="57"/>
      <c r="E87" s="24">
        <f>KANDANGAN!AG87+PESANGGARAN!AZ87+SARONGAN!X87+SUMBERAGUNG!AX87+SUMBERMULYO!AB87</f>
        <v>77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/>
      <c r="C88" s="50" t="s">
        <v>77</v>
      </c>
      <c r="D88" s="57"/>
      <c r="E88" s="24">
        <f>KANDANGAN!AG88+PESANGGARAN!AZ88+SARONGAN!X88+SUMBERAGUNG!AX88+SUMBERMULYO!AB88</f>
        <v>29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 t="s">
        <v>78</v>
      </c>
      <c r="D89" s="57"/>
      <c r="E89" s="24">
        <f>KANDANGAN!AG89+PESANGGARAN!AZ89+SARONGAN!X89+SUMBERAGUNG!AX89+SUMBERMULYO!AB89</f>
        <v>19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 t="s">
        <v>79</v>
      </c>
      <c r="D90" s="57"/>
      <c r="E90" s="24">
        <f>KANDANGAN!AG90+PESANGGARAN!AZ90+SARONGAN!X90+SUMBERAGUNG!AX90+SUMBERMULYO!AB90</f>
        <v>42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SUM(E81:E88)</f>
        <v>2942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KANDANGAN!AG93+PESANGGARAN!AZ93+SARONGAN!X93+SUMBERAGUNG!AX93+SUMBERMULYO!AB93</f>
        <v>286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/>
      <c r="C94" s="50" t="s">
        <v>82</v>
      </c>
      <c r="D94" s="57"/>
      <c r="E94" s="24">
        <f>KANDANGAN!AG94+PESANGGARAN!AZ94+SARONGAN!X94+SUMBERAGUNG!AX94+SUMBERMULYO!AB94</f>
        <v>355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/>
      <c r="C95" s="50" t="s">
        <v>83</v>
      </c>
      <c r="D95" s="57"/>
      <c r="E95" s="24">
        <f>KANDANGAN!AG95+PESANGGARAN!AZ95+SARONGAN!X95+SUMBERAGUNG!AX95+SUMBERMULYO!AB95</f>
        <v>77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/>
      <c r="C96" s="50" t="s">
        <v>84</v>
      </c>
      <c r="D96" s="57"/>
      <c r="E96" s="24">
        <f>KANDANGAN!AG96+PESANGGARAN!AZ96+SARONGAN!X96+SUMBERAGUNG!AX96+SUMBERMULYO!AB96</f>
        <v>61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/>
      <c r="C97" s="50" t="s">
        <v>85</v>
      </c>
      <c r="D97" s="57"/>
      <c r="E97" s="24">
        <f>KANDANGAN!AG97+PESANGGARAN!AZ97+SARONGAN!X97+SUMBERAGUNG!AX97+SUMBERMULYO!AB97</f>
        <v>90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/>
      <c r="C98" s="50" t="s">
        <v>86</v>
      </c>
      <c r="D98" s="57"/>
      <c r="E98" s="24">
        <f>KANDANGAN!AG98+PESANGGARAN!AZ98+SARONGAN!X98+SUMBERAGUNG!AX98+SUMBERMULYO!AB98</f>
        <v>45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/>
      <c r="C99" s="50" t="s">
        <v>87</v>
      </c>
      <c r="D99" s="57"/>
      <c r="E99" s="24">
        <f>KANDANGAN!AG99+PESANGGARAN!AZ99+SARONGAN!X99+SUMBERAGUNG!AX99+SUMBERMULYO!AB99</f>
        <v>12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/>
      <c r="C100" s="50" t="s">
        <v>88</v>
      </c>
      <c r="D100" s="57"/>
      <c r="E100" s="24">
        <f>KANDANGAN!AG100+PESANGGARAN!AZ100+SARONGAN!X100+SUMBERAGUNG!AX100+SUMBERMULYO!AB100</f>
        <v>16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 t="s">
        <v>89</v>
      </c>
      <c r="D101" s="57"/>
      <c r="E101" s="24">
        <f>KANDANGAN!AG101+PESANGGARAN!AZ101+SARONGAN!X101+SUMBERAGUNG!AX101+SUMBERMULYO!AB101</f>
        <v>18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 t="s">
        <v>90</v>
      </c>
      <c r="D102" s="57"/>
      <c r="E102" s="24">
        <f>KANDANGAN!AG102+PESANGGARAN!AZ102+SARONGAN!X102+SUMBERAGUNG!AX102+SUMBERMULYO!AB102</f>
        <v>7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SUM(E93:E100)</f>
        <v>942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KANDANGAN!AG105+PESANGGARAN!AZ105+SARONGAN!X105+SUMBERAGUNG!AX105+SUMBERMULYO!AB105</f>
        <v>53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/>
      <c r="C106" s="50" t="s">
        <v>93</v>
      </c>
      <c r="D106" s="57"/>
      <c r="E106" s="24">
        <f>KANDANGAN!AG106+PESANGGARAN!AZ106+SARONGAN!X106+SUMBERAGUNG!AX106+SUMBERMULYO!AB106</f>
        <v>55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/>
      <c r="C107" s="50" t="s">
        <v>94</v>
      </c>
      <c r="D107" s="57"/>
      <c r="E107" s="24">
        <f>KANDANGAN!AG107+PESANGGARAN!AZ107+SARONGAN!X107+SUMBERAGUNG!AX107+SUMBERMULYO!AB107</f>
        <v>22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8"/>
      <c r="C108" s="59"/>
      <c r="D108" s="60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8"/>
      <c r="C109" s="59"/>
      <c r="D109" s="60"/>
      <c r="E109" s="61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8"/>
      <c r="C110" s="59"/>
      <c r="D110" s="60"/>
      <c r="E110" s="61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8"/>
      <c r="C111" s="59"/>
      <c r="D111" s="60"/>
      <c r="E111" s="61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8"/>
      <c r="C112" s="59"/>
      <c r="D112" s="60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8"/>
      <c r="C113" s="59"/>
      <c r="D113" s="60"/>
      <c r="E113" s="61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8"/>
      <c r="C114" s="59"/>
      <c r="D114" s="60"/>
      <c r="E114" s="61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SUM(E105:E112)</f>
        <v>130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KANDANGAN!AG117+PESANGGARAN!AZ117+SARONGAN!X117+SUMBERAGUNG!AX117+SUMBERMULYO!AB117</f>
        <v>305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/>
      <c r="C118" s="50" t="s">
        <v>97</v>
      </c>
      <c r="D118" s="57"/>
      <c r="E118" s="24">
        <f>KANDANGAN!AG118+PESANGGARAN!AZ118+SARONGAN!X118+SUMBERAGUNG!AX118+SUMBERMULYO!AB118</f>
        <v>83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/>
      <c r="C119" s="50" t="s">
        <v>98</v>
      </c>
      <c r="D119" s="57"/>
      <c r="E119" s="24">
        <f>KANDANGAN!AG119+PESANGGARAN!AZ119+SARONGAN!X119+SUMBERAGUNG!AX119+SUMBERMULYO!AB119</f>
        <v>18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/>
      <c r="C120" s="50" t="s">
        <v>99</v>
      </c>
      <c r="D120" s="57"/>
      <c r="E120" s="24">
        <f>KANDANGAN!AG120+PESANGGARAN!AZ120+SARONGAN!X120+SUMBERAGUNG!AX120+SUMBERMULYO!AB120</f>
        <v>27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 t="s">
        <v>100</v>
      </c>
      <c r="D121" s="57"/>
      <c r="E121" s="24">
        <f>KANDANGAN!AG121+PESANGGARAN!AZ121+SARONGAN!X121+SUMBERAGUNG!AX121+SUMBERMULYO!AB121</f>
        <v>8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 t="s">
        <v>101</v>
      </c>
      <c r="D122" s="57"/>
      <c r="E122" s="24">
        <f>KANDANGAN!AG122+PESANGGARAN!AZ122+SARONGAN!X122+SUMBERAGUNG!AX122+SUMBERMULYO!AB122</f>
        <v>17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8"/>
      <c r="C123" s="59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8"/>
      <c r="C124" s="59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8"/>
      <c r="C125" s="59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8"/>
      <c r="C126" s="59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63">
        <f>SUM(E117:E120)</f>
        <v>433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KANDANGAN!AG129+PESANGGARAN!AZ129+SARONGAN!X129+SUMBERAGUNG!AX129+SUMBERMULYO!AB129</f>
        <v>54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/>
      <c r="C130" s="50" t="s">
        <v>104</v>
      </c>
      <c r="D130" s="56"/>
      <c r="E130" s="24">
        <f>KANDANGAN!AG130+PESANGGARAN!AZ130+SARONGAN!X130+SUMBERAGUNG!AX130+SUMBERMULYO!AB130</f>
        <v>83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/>
      <c r="C131" s="50" t="s">
        <v>105</v>
      </c>
      <c r="D131" s="56"/>
      <c r="E131" s="24">
        <f>KANDANGAN!AG131+PESANGGARAN!AZ131+SARONGAN!X131+SUMBERAGUNG!AX131+SUMBERMULYO!AB131</f>
        <v>25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/>
      <c r="C132" s="50" t="s">
        <v>106</v>
      </c>
      <c r="D132" s="56"/>
      <c r="E132" s="24">
        <f>KANDANGAN!AG132+PESANGGARAN!AZ132+SARONGAN!X132+SUMBERAGUNG!AX132+SUMBERMULYO!AB132</f>
        <v>11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/>
      <c r="C133" s="50" t="s">
        <v>107</v>
      </c>
      <c r="D133" s="56"/>
      <c r="E133" s="24">
        <f>KANDANGAN!AG133+PESANGGARAN!AZ133+SARONGAN!X133+SUMBERAGUNG!AX133+SUMBERMULYO!AB133</f>
        <v>4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/>
      <c r="C134" s="50" t="s">
        <v>108</v>
      </c>
      <c r="D134" s="56"/>
      <c r="E134" s="24">
        <f>KANDANGAN!AG134+PESANGGARAN!AZ134+SARONGAN!X134+SUMBERAGUNG!AX134+SUMBERMULYO!AB134</f>
        <v>9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/>
      <c r="C135" s="50" t="s">
        <v>109</v>
      </c>
      <c r="D135" s="57"/>
      <c r="E135" s="24">
        <f>KANDANGAN!AG135+PESANGGARAN!AZ135+SARONGAN!X135+SUMBERAGUNG!AX135+SUMBERMULYO!AB135</f>
        <v>8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/>
      <c r="C136" s="50" t="s">
        <v>110</v>
      </c>
      <c r="D136" s="56"/>
      <c r="E136" s="24">
        <f>KANDANGAN!AG136+PESANGGARAN!AZ136+SARONGAN!X136+SUMBERAGUNG!AX136+SUMBERMULYO!AB136</f>
        <v>11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 t="s">
        <v>111</v>
      </c>
      <c r="D137" s="56"/>
      <c r="E137" s="24">
        <f>KANDANGAN!AG137+PESANGGARAN!AZ137+SARONGAN!X137+SUMBERAGUNG!AX137+SUMBERMULYO!AB137</f>
        <v>3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 t="s">
        <v>112</v>
      </c>
      <c r="D138" s="56"/>
      <c r="E138" s="24">
        <f>KANDANGAN!AG138+PESANGGARAN!AZ138+SARONGAN!X138+SUMBERAGUNG!AX138+SUMBERMULYO!AB138</f>
        <v>1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SUM(E129:E136)</f>
        <v>205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KANDANGAN!AG141+PESANGGARAN!AZ141+SARONGAN!X141+SUMBERAGUNG!AX141+SUMBERMULYO!AB141</f>
        <v>25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/>
      <c r="C142" s="50" t="s">
        <v>115</v>
      </c>
      <c r="D142" s="57"/>
      <c r="E142" s="24">
        <f>KANDANGAN!AG142+PESANGGARAN!AZ142+SARONGAN!X142+SUMBERAGUNG!AX142+SUMBERMULYO!AB142</f>
        <v>6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/>
      <c r="C143" s="50" t="s">
        <v>116</v>
      </c>
      <c r="D143" s="57"/>
      <c r="E143" s="24">
        <f>KANDANGAN!AG143+PESANGGARAN!AZ143+SARONGAN!X143+SUMBERAGUNG!AX143+SUMBERMULYO!AB143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/>
      <c r="C144" s="50" t="s">
        <v>117</v>
      </c>
      <c r="D144" s="57"/>
      <c r="E144" s="24">
        <f>KANDANGAN!AG144+PESANGGARAN!AZ144+SARONGAN!X144+SUMBERAGUNG!AX144+SUMBERMULYO!AB144</f>
        <v>6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8"/>
      <c r="C145" s="59"/>
      <c r="D145" s="60"/>
      <c r="E145" s="61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8"/>
      <c r="C146" s="59"/>
      <c r="D146" s="60"/>
      <c r="E146" s="61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8"/>
      <c r="C147" s="59"/>
      <c r="D147" s="60"/>
      <c r="E147" s="61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8"/>
      <c r="C148" s="59"/>
      <c r="D148" s="60"/>
      <c r="E148" s="61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8"/>
      <c r="C149" s="59"/>
      <c r="D149" s="60"/>
      <c r="E149" s="61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8"/>
      <c r="C150" s="59"/>
      <c r="D150" s="60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SUM(E141:E148)</f>
        <v>40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>
        <f>KANDANGAN!AG153+PESANGGARAN!AZ153+SARONGAN!X153+SUMBERAGUNG!AX153+SUMBERMULYO!AB153</f>
        <v>23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/>
      <c r="C154" s="50" t="s">
        <v>120</v>
      </c>
      <c r="D154" s="57"/>
      <c r="E154" s="24">
        <f>KANDANGAN!AG154+PESANGGARAN!AZ154+SARONGAN!X154+SUMBERAGUNG!AX154+SUMBERMULYO!AB154</f>
        <v>31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/>
      <c r="C155" s="50" t="s">
        <v>121</v>
      </c>
      <c r="D155" s="57"/>
      <c r="E155" s="24">
        <f>KANDANGAN!AG155+PESANGGARAN!AZ155+SARONGAN!X155+SUMBERAGUNG!AX155+SUMBERMULYO!AB155</f>
        <v>4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/>
      <c r="C156" s="50" t="s">
        <v>122</v>
      </c>
      <c r="D156" s="57"/>
      <c r="E156" s="24">
        <f>KANDANGAN!AG156+PESANGGARAN!AZ156+SARONGAN!X156+SUMBERAGUNG!AX156+SUMBERMULYO!AB156</f>
        <v>16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/>
      <c r="C157" s="50" t="s">
        <v>123</v>
      </c>
      <c r="D157" s="57"/>
      <c r="E157" s="24">
        <f>KANDANGAN!AG157+PESANGGARAN!AZ157+SARONGAN!X157+SUMBERAGUNG!AX157+SUMBERMULYO!AB157</f>
        <v>6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50" t="s">
        <v>124</v>
      </c>
      <c r="D158" s="57"/>
      <c r="E158" s="24">
        <f>KANDANGAN!AG158+PESANGGARAN!AZ158+SARONGAN!X158+SUMBERAGUNG!AX158+SUMBERMULYO!AB158</f>
        <v>1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50" t="s">
        <v>125</v>
      </c>
      <c r="D159" s="57"/>
      <c r="E159" s="24">
        <f>KANDANGAN!AG159+PESANGGARAN!AZ159+SARONGAN!X159+SUMBERAGUNG!AX159+SUMBERMULYO!AB159</f>
        <v>3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50" t="s">
        <v>126</v>
      </c>
      <c r="D160" s="57"/>
      <c r="E160" s="24">
        <f>KANDANGAN!AG160+PESANGGARAN!AZ160+SARONGAN!X160+SUMBERAGUNG!AX160+SUMBERMULYO!AB160</f>
        <v>5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8"/>
      <c r="C161" s="66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8"/>
      <c r="C162" s="66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7" t="s">
        <v>49</v>
      </c>
      <c r="C163" s="44"/>
      <c r="D163" s="28"/>
      <c r="E163" s="13">
        <f>SUM(E153:E157)</f>
        <v>80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KANDANGAN!AG165+PESANGGARAN!AZ165+SARONGAN!X165+SUMBERAGUNG!AX165+SUMBERMULYO!AB165</f>
        <v>51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/>
      <c r="C166" s="50" t="s">
        <v>129</v>
      </c>
      <c r="D166" s="57"/>
      <c r="E166" s="24">
        <f>KANDANGAN!AG166+PESANGGARAN!AZ166+SARONGAN!X166+SUMBERAGUNG!AX166+SUMBERMULYO!AB166</f>
        <v>62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8"/>
      <c r="C167" s="59"/>
      <c r="D167" s="60"/>
      <c r="E167" s="61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8"/>
      <c r="C168" s="59"/>
      <c r="D168" s="60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8"/>
      <c r="C169" s="59"/>
      <c r="D169" s="60"/>
      <c r="E169" s="61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8"/>
      <c r="C170" s="59"/>
      <c r="D170" s="60"/>
      <c r="E170" s="61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8"/>
      <c r="C171" s="59"/>
      <c r="D171" s="60"/>
      <c r="E171" s="61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8"/>
      <c r="C172" s="59"/>
      <c r="D172" s="60"/>
      <c r="E172" s="61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8"/>
      <c r="C173" s="59"/>
      <c r="D173" s="60"/>
      <c r="E173" s="61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8"/>
      <c r="C174" s="59"/>
      <c r="D174" s="60"/>
      <c r="E174" s="61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SUM(E165:E172)</f>
        <v>113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KANDANGAN!AG177+PESANGGARAN!AZ177+SARONGAN!X177+SUMBERAGUNG!AX177+SUMBERMULYO!AB177</f>
        <v>86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/>
      <c r="C178" s="50" t="s">
        <v>132</v>
      </c>
      <c r="D178" s="57"/>
      <c r="E178" s="24">
        <f>KANDANGAN!AG178+PESANGGARAN!AZ178+SARONGAN!X178+SUMBERAGUNG!AX178+SUMBERMULYO!AB178</f>
        <v>78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/>
      <c r="C179" s="50" t="s">
        <v>133</v>
      </c>
      <c r="D179" s="57"/>
      <c r="E179" s="24">
        <f>KANDANGAN!AG179+PESANGGARAN!AZ179+SARONGAN!X179+SUMBERAGUNG!AX179+SUMBERMULYO!AB179</f>
        <v>23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/>
      <c r="C180" s="50" t="s">
        <v>134</v>
      </c>
      <c r="D180" s="57"/>
      <c r="E180" s="24">
        <f>KANDANGAN!AG180+PESANGGARAN!AZ180+SARONGAN!X180+SUMBERAGUNG!AX180+SUMBERMULYO!AB180</f>
        <v>34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/>
      <c r="C181" s="50" t="s">
        <v>135</v>
      </c>
      <c r="D181" s="57"/>
      <c r="E181" s="24">
        <f>KANDANGAN!AG181+PESANGGARAN!AZ181+SARONGAN!X181+SUMBERAGUNG!AX181+SUMBERMULYO!AB181</f>
        <v>22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/>
      <c r="C182" s="50" t="s">
        <v>136</v>
      </c>
      <c r="D182" s="57"/>
      <c r="E182" s="24">
        <f>KANDANGAN!AG182+PESANGGARAN!AZ182+SARONGAN!X182+SUMBERAGUNG!AX182+SUMBERMULYO!AB182</f>
        <v>14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/>
      <c r="C183" s="50" t="s">
        <v>137</v>
      </c>
      <c r="D183" s="57"/>
      <c r="E183" s="24">
        <f>KANDANGAN!AG183+PESANGGARAN!AZ183+SARONGAN!X183+SUMBERAGUNG!AX183+SUMBERMULYO!AB183</f>
        <v>9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/>
      <c r="C184" s="50" t="s">
        <v>138</v>
      </c>
      <c r="D184" s="57"/>
      <c r="E184" s="24">
        <f>KANDANGAN!AG184+PESANGGARAN!AZ184+SARONGAN!X184+SUMBERAGUNG!AX184+SUMBERMULYO!AB184</f>
        <v>6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 t="s">
        <v>139</v>
      </c>
      <c r="D185" s="57"/>
      <c r="E185" s="24">
        <f>KANDANGAN!AG185+PESANGGARAN!AZ185+SARONGAN!X185+SUMBERAGUNG!AX185+SUMBERMULYO!AB185</f>
        <v>16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 t="s">
        <v>140</v>
      </c>
      <c r="D186" s="57"/>
      <c r="E186" s="24">
        <f>KANDANGAN!AG186+PESANGGARAN!AZ186+SARONGAN!X186+SUMBERAGUNG!AX186+SUMBERMULYO!AB186</f>
        <v>11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SUM(E177:E184)</f>
        <v>272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KANDANGAN!AG189+PESANGGARAN!AZ189+SARONGAN!X189+SUMBERAGUNG!AX189+SUMBERMULYO!AB189</f>
        <v>27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/>
      <c r="C190" s="50" t="s">
        <v>143</v>
      </c>
      <c r="D190" s="57"/>
      <c r="E190" s="24">
        <f>KANDANGAN!AG190+PESANGGARAN!AZ190+SARONGAN!X190+SUMBERAGUNG!AX190+SUMBERMULYO!AB190</f>
        <v>29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/>
      <c r="C191" s="50" t="s">
        <v>144</v>
      </c>
      <c r="D191" s="57"/>
      <c r="E191" s="24">
        <f>KANDANGAN!AG191+PESANGGARAN!AZ191+SARONGAN!X191+SUMBERAGUNG!AX191+SUMBERMULYO!AB191</f>
        <v>16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/>
      <c r="C192" s="50" t="s">
        <v>145</v>
      </c>
      <c r="D192" s="57"/>
      <c r="E192" s="24">
        <f>KANDANGAN!AG192+PESANGGARAN!AZ192+SARONGAN!X192+SUMBERAGUNG!AX192+SUMBERMULYO!AB192</f>
        <v>11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/>
      <c r="C193" s="50" t="s">
        <v>146</v>
      </c>
      <c r="D193" s="57"/>
      <c r="E193" s="24">
        <f>KANDANGAN!AG193+PESANGGARAN!AZ193+SARONGAN!X193+SUMBERAGUNG!AX193+SUMBERMULYO!AB193</f>
        <v>6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/>
      <c r="C194" s="50" t="s">
        <v>147</v>
      </c>
      <c r="D194" s="57"/>
      <c r="E194" s="24">
        <f>KANDANGAN!AG194+PESANGGARAN!AZ194+SARONGAN!X194+SUMBERAGUNG!AX194+SUMBERMULYO!AB194</f>
        <v>4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/>
      <c r="C195" s="50" t="s">
        <v>148</v>
      </c>
      <c r="D195" s="57"/>
      <c r="E195" s="24">
        <f>KANDANGAN!AG195+PESANGGARAN!AZ195+SARONGAN!X195+SUMBERAGUNG!AX195+SUMBERMULYO!AB195</f>
        <v>4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/>
      <c r="C196" s="50" t="s">
        <v>149</v>
      </c>
      <c r="D196" s="57"/>
      <c r="E196" s="24">
        <f>KANDANGAN!AG196+PESANGGARAN!AZ196+SARONGAN!X196+SUMBERAGUNG!AX196+SUMBERMULYO!AB196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 t="s">
        <v>150</v>
      </c>
      <c r="D197" s="57"/>
      <c r="E197" s="24">
        <f>KANDANGAN!AG197+PESANGGARAN!AZ197+SARONGAN!X197+SUMBERAGUNG!AX197+SUMBERMULYO!AB197</f>
        <v>3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 t="s">
        <v>151</v>
      </c>
      <c r="D198" s="57"/>
      <c r="E198" s="24">
        <f>KANDANGAN!AG198+PESANGGARAN!AZ198+SARONGAN!X198+SUMBERAGUNG!AX198+SUMBERMULYO!AB198</f>
        <v>4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SUM(E189:E196)</f>
        <v>99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KANDANGAN!AG201+PESANGGARAN!AZ201+SARONGAN!X201+SUMBERAGUNG!AX201+SUMBERMULYO!AB201</f>
        <v>515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/>
      <c r="C202" s="50" t="s">
        <v>154</v>
      </c>
      <c r="D202" s="57"/>
      <c r="E202" s="24">
        <f>KANDANGAN!AG202+PESANGGARAN!AZ202+SARONGAN!X202+SUMBERAGUNG!AX202+SUMBERMULYO!AB202</f>
        <v>1505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/>
      <c r="C203" s="50" t="s">
        <v>155</v>
      </c>
      <c r="D203" s="57"/>
      <c r="E203" s="24">
        <f>KANDANGAN!AG203+PESANGGARAN!AZ203+SARONGAN!X203+SUMBERAGUNG!AX203+SUMBERMULYO!AB203</f>
        <v>182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/>
      <c r="C204" s="50" t="s">
        <v>156</v>
      </c>
      <c r="D204" s="57"/>
      <c r="E204" s="24">
        <f>KANDANGAN!AG204+PESANGGARAN!AZ204+SARONGAN!X204+SUMBERAGUNG!AX204+SUMBERMULYO!AB204</f>
        <v>59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/>
      <c r="C205" s="50" t="s">
        <v>157</v>
      </c>
      <c r="D205" s="57"/>
      <c r="E205" s="24">
        <f>KANDANGAN!AG205+PESANGGARAN!AZ205+SARONGAN!X205+SUMBERAGUNG!AX205+SUMBERMULYO!AB205</f>
        <v>30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/>
      <c r="C206" s="50" t="s">
        <v>158</v>
      </c>
      <c r="D206" s="57"/>
      <c r="E206" s="24">
        <f>KANDANGAN!AG206+PESANGGARAN!AZ206+SARONGAN!X206+SUMBERAGUNG!AX206+SUMBERMULYO!AB206</f>
        <v>22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/>
      <c r="C207" s="50" t="s">
        <v>159</v>
      </c>
      <c r="D207" s="57"/>
      <c r="E207" s="24">
        <f>KANDANGAN!AG207+PESANGGARAN!AZ207+SARONGAN!X207+SUMBERAGUNG!AX207+SUMBERMULYO!AB207</f>
        <v>34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/>
      <c r="C208" s="50" t="s">
        <v>160</v>
      </c>
      <c r="D208" s="57"/>
      <c r="E208" s="24">
        <f>KANDANGAN!AG208+PESANGGARAN!AZ208+SARONGAN!X208+SUMBERAGUNG!AX208+SUMBERMULYO!AB208</f>
        <v>42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 t="s">
        <v>161</v>
      </c>
      <c r="D209" s="57"/>
      <c r="E209" s="24">
        <f>KANDANGAN!AG209+PESANGGARAN!AZ209+SARONGAN!X209+SUMBERAGUNG!AX209+SUMBERMULYO!AB209</f>
        <v>2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 t="s">
        <v>162</v>
      </c>
      <c r="D210" s="57"/>
      <c r="E210" s="24">
        <f>KANDANGAN!AG210+PESANGGARAN!AZ210+SARONGAN!X210+SUMBERAGUNG!AX210+SUMBERMULYO!AB210</f>
        <v>62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SUM(E201:E208)</f>
        <v>2389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KANDANGAN!AG213+PESANGGARAN!AZ213+SARONGAN!X213+SUMBERAGUNG!AX213+SUMBERMULYO!AB213</f>
        <v>300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/>
      <c r="C214" s="50" t="s">
        <v>165</v>
      </c>
      <c r="D214" s="56"/>
      <c r="E214" s="24">
        <f>KANDANGAN!AG214+PESANGGARAN!AZ214+SARONGAN!X214+SUMBERAGUNG!AX214+SUMBERMULYO!AB214</f>
        <v>210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/>
      <c r="C215" s="50" t="s">
        <v>166</v>
      </c>
      <c r="D215" s="56"/>
      <c r="E215" s="24">
        <f>KANDANGAN!AG215+PESANGGARAN!AZ215+SARONGAN!X215+SUMBERAGUNG!AX215+SUMBERMULYO!AB215</f>
        <v>198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/>
      <c r="C216" s="50" t="s">
        <v>167</v>
      </c>
      <c r="E216" s="24">
        <f>KANDANGAN!AG216+PESANGGARAN!AZ216+SARONGAN!X216+SUMBERAGUNG!AX216+SUMBERMULYO!AB216</f>
        <v>46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8"/>
      <c r="C217" s="59"/>
      <c r="D217" s="68"/>
      <c r="E217" s="61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8"/>
      <c r="C218" s="59"/>
      <c r="D218" s="68"/>
      <c r="E218" s="61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8"/>
      <c r="C219" s="59"/>
      <c r="D219" s="68"/>
      <c r="E219" s="61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8"/>
      <c r="C220" s="59"/>
      <c r="D220" s="68"/>
      <c r="E220" s="61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8"/>
      <c r="C221" s="59"/>
      <c r="D221" s="68"/>
      <c r="E221" s="61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8"/>
      <c r="C222" s="59"/>
      <c r="D222" s="68"/>
      <c r="E222" s="61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SUM(E213:E220)</f>
        <v>754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KANDANGAN!AG225+PESANGGARAN!AZ225+SARONGAN!X225+SUMBERAGUNG!AX225+SUMBERMULYO!AB225</f>
        <v>36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/>
      <c r="C226" s="50" t="s">
        <v>170</v>
      </c>
      <c r="D226" s="57"/>
      <c r="E226" s="24">
        <f>KANDANGAN!AG226+PESANGGARAN!AZ226+SARONGAN!X226+SUMBERAGUNG!AX226+SUMBERMULYO!AB226</f>
        <v>67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/>
      <c r="C227" s="50" t="s">
        <v>171</v>
      </c>
      <c r="D227" s="57"/>
      <c r="E227" s="24">
        <f>KANDANGAN!AG227+PESANGGARAN!AZ227+SARONGAN!X227+SUMBERAGUNG!AX227+SUMBERMULYO!AB227</f>
        <v>13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/>
      <c r="C228" s="50" t="s">
        <v>172</v>
      </c>
      <c r="D228" s="57"/>
      <c r="E228" s="24">
        <f>KANDANGAN!AG228+PESANGGARAN!AZ228+SARONGAN!X228+SUMBERAGUNG!AX228+SUMBERMULYO!AB228</f>
        <v>4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/>
      <c r="C229" s="50" t="s">
        <v>173</v>
      </c>
      <c r="D229" s="57"/>
      <c r="E229" s="24">
        <f>KANDANGAN!AG229+PESANGGARAN!AZ229+SARONGAN!X229+SUMBERAGUNG!AX229+SUMBERMULYO!AB229</f>
        <v>17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8"/>
      <c r="C230" s="59"/>
      <c r="D230" s="60"/>
      <c r="E230" s="61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8"/>
      <c r="C231" s="59"/>
      <c r="D231" s="60"/>
      <c r="E231" s="61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8"/>
      <c r="C232" s="59"/>
      <c r="D232" s="60"/>
      <c r="E232" s="61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8"/>
      <c r="C233" s="59"/>
      <c r="D233" s="60"/>
      <c r="E233" s="61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8"/>
      <c r="C234" s="59"/>
      <c r="D234" s="60"/>
      <c r="E234" s="61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SUM(E225:E232)</f>
        <v>137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KANDANGAN!AG237+PESANGGARAN!AZ237+SARONGAN!X237+SUMBERAGUNG!AX237+SUMBERMULYO!AB237</f>
        <v>392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/>
      <c r="C238" s="50" t="s">
        <v>176</v>
      </c>
      <c r="D238" s="57"/>
      <c r="E238" s="24">
        <f>KANDANGAN!AG238+PESANGGARAN!AZ238+SARONGAN!X238+SUMBERAGUNG!AX238+SUMBERMULYO!AB238</f>
        <v>482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/>
      <c r="C239" s="50" t="s">
        <v>177</v>
      </c>
      <c r="D239" s="57"/>
      <c r="E239" s="24">
        <f>KANDANGAN!AG239+PESANGGARAN!AZ239+SARONGAN!X239+SUMBERAGUNG!AX239+SUMBERMULYO!AB239</f>
        <v>309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/>
      <c r="C240" s="50" t="s">
        <v>178</v>
      </c>
      <c r="D240" s="57"/>
      <c r="E240" s="24">
        <f>KANDANGAN!AG240+PESANGGARAN!AZ240+SARONGAN!X240+SUMBERAGUNG!AX240+SUMBERMULYO!AB240</f>
        <v>29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/>
      <c r="C241" s="50" t="s">
        <v>179</v>
      </c>
      <c r="D241" s="57"/>
      <c r="E241" s="24">
        <f>KANDANGAN!AG241+PESANGGARAN!AZ241+SARONGAN!X241+SUMBERAGUNG!AX241+SUMBERMULYO!AB241</f>
        <v>43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/>
      <c r="C242" s="50" t="s">
        <v>180</v>
      </c>
      <c r="D242" s="57"/>
      <c r="E242" s="24">
        <f>KANDANGAN!AG242+PESANGGARAN!AZ242+SARONGAN!X242+SUMBERAGUNG!AX242+SUMBERMULYO!AB242</f>
        <v>92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/>
      <c r="C243" s="50" t="s">
        <v>181</v>
      </c>
      <c r="D243" s="57"/>
      <c r="E243" s="24">
        <f>KANDANGAN!AG243+PESANGGARAN!AZ243+SARONGAN!X243+SUMBERAGUNG!AX243+SUMBERMULYO!AB243</f>
        <v>18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/>
      <c r="C244" s="50" t="s">
        <v>182</v>
      </c>
      <c r="D244" s="57"/>
      <c r="E244" s="24">
        <f>KANDANGAN!AG244+PESANGGARAN!AZ244+SARONGAN!X244+SUMBERAGUNG!AX244+SUMBERMULYO!AB244</f>
        <v>27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 t="s">
        <v>183</v>
      </c>
      <c r="D245" s="57"/>
      <c r="E245" s="24">
        <f>KANDANGAN!AG245+PESANGGARAN!AZ245+SARONGAN!X245+SUMBERAGUNG!AX245+SUMBERMULYO!AB245</f>
        <v>16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 t="s">
        <v>184</v>
      </c>
      <c r="D246" s="57"/>
      <c r="E246" s="24">
        <f>KANDANGAN!AG246+PESANGGARAN!AZ246+SARONGAN!X246+SUMBERAGUNG!AX246+SUMBERMULYO!AB246</f>
        <v>17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SUM(E237:E244)</f>
        <v>1392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KANDANGAN!AG249+PESANGGARAN!AZ249+SARONGAN!X249+SUMBERAGUNG!AX249+SUMBERMULYO!AB249</f>
        <v>21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/>
      <c r="C250" s="50" t="s">
        <v>187</v>
      </c>
      <c r="D250" s="57"/>
      <c r="E250" s="24">
        <f>KANDANGAN!AG250+PESANGGARAN!AZ250+SARONGAN!X250+SUMBERAGUNG!AX250+SUMBERMULYO!AB250</f>
        <v>29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/>
      <c r="C251" s="50" t="s">
        <v>188</v>
      </c>
      <c r="D251" s="57"/>
      <c r="E251" s="24">
        <f>KANDANGAN!AG251+PESANGGARAN!AZ251+SARONGAN!X251+SUMBERAGUNG!AX251+SUMBERMULYO!AB251</f>
        <v>3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/>
      <c r="C252" s="50" t="s">
        <v>189</v>
      </c>
      <c r="D252" s="57"/>
      <c r="E252" s="24">
        <f>KANDANGAN!AG252+PESANGGARAN!AZ252+SARONGAN!X252+SUMBERAGUNG!AX252+SUMBERMULYO!AB252</f>
        <v>6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8"/>
      <c r="C253" s="66"/>
      <c r="D253" s="60"/>
      <c r="E253" s="61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8"/>
      <c r="C254" s="66"/>
      <c r="D254" s="60"/>
      <c r="E254" s="61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8"/>
      <c r="C255" s="66"/>
      <c r="D255" s="60"/>
      <c r="E255" s="61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8"/>
      <c r="C256" s="66"/>
      <c r="D256" s="60"/>
      <c r="E256" s="61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8"/>
      <c r="C257" s="66"/>
      <c r="D257" s="60"/>
      <c r="E257" s="61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8"/>
      <c r="C258" s="66"/>
      <c r="D258" s="60"/>
      <c r="E258" s="61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SUM(E249:E255)</f>
        <v>59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192</v>
      </c>
      <c r="C262" s="70" t="s">
        <v>193</v>
      </c>
      <c r="D262" s="16"/>
      <c r="E262" s="24">
        <f>KANDANGAN!AG262+PESANGGARAN!AZ262+SARONGAN!X262+SUMBERAGUNG!AX262+SUMBERMULYO!AB262</f>
        <v>28444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194</v>
      </c>
      <c r="C263" s="70" t="s">
        <v>195</v>
      </c>
      <c r="D263" s="16"/>
      <c r="E263" s="24">
        <f>KANDANGAN!AG263+PESANGGARAN!AZ263+SARONGAN!X263+SUMBERAGUNG!AX263+SUMBERMULYO!AB263</f>
        <v>4701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196</v>
      </c>
      <c r="C264" s="70" t="s">
        <v>197</v>
      </c>
      <c r="D264" s="16"/>
      <c r="E264" s="13">
        <f>SUM(E262:E263)</f>
        <v>33145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1" width="8.71"/>
    <col customWidth="1" min="52" max="52" width="13.29"/>
    <col customWidth="1" min="53" max="5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227</v>
      </c>
      <c r="AH13" s="13" t="s">
        <v>228</v>
      </c>
      <c r="AI13" s="13" t="s">
        <v>229</v>
      </c>
      <c r="AJ13" s="13" t="s">
        <v>230</v>
      </c>
      <c r="AK13" s="13" t="s">
        <v>231</v>
      </c>
      <c r="AL13" s="13" t="s">
        <v>232</v>
      </c>
      <c r="AM13" s="13" t="s">
        <v>233</v>
      </c>
      <c r="AN13" s="13" t="s">
        <v>234</v>
      </c>
      <c r="AO13" s="13" t="s">
        <v>235</v>
      </c>
      <c r="AP13" s="13" t="s">
        <v>236</v>
      </c>
      <c r="AQ13" s="13" t="s">
        <v>237</v>
      </c>
      <c r="AR13" s="13" t="s">
        <v>238</v>
      </c>
      <c r="AS13" s="13" t="s">
        <v>239</v>
      </c>
      <c r="AT13" s="13" t="s">
        <v>240</v>
      </c>
      <c r="AU13" s="13" t="s">
        <v>241</v>
      </c>
      <c r="AV13" s="13" t="s">
        <v>242</v>
      </c>
      <c r="AW13" s="13" t="s">
        <v>243</v>
      </c>
      <c r="AX13" s="13" t="s">
        <v>244</v>
      </c>
      <c r="AY13" s="13" t="s">
        <v>245</v>
      </c>
      <c r="AZ13" s="36"/>
    </row>
    <row r="14" ht="12.75" customHeight="1">
      <c r="A14" s="18"/>
      <c r="B14" s="22" t="s">
        <v>11</v>
      </c>
      <c r="C14" s="23"/>
      <c r="D14" s="19" t="s">
        <v>12</v>
      </c>
      <c r="E14" s="74">
        <v>138.0</v>
      </c>
      <c r="F14" s="74">
        <v>150.0</v>
      </c>
      <c r="G14" s="74">
        <v>141.0</v>
      </c>
      <c r="H14" s="74">
        <v>129.0</v>
      </c>
      <c r="I14" s="74">
        <v>146.0</v>
      </c>
      <c r="J14" s="74">
        <v>133.0</v>
      </c>
      <c r="K14" s="74">
        <v>83.0</v>
      </c>
      <c r="L14" s="74">
        <v>145.0</v>
      </c>
      <c r="M14" s="74">
        <v>142.0</v>
      </c>
      <c r="N14" s="74">
        <v>150.0</v>
      </c>
      <c r="O14" s="74">
        <v>147.0</v>
      </c>
      <c r="P14" s="74">
        <v>129.0</v>
      </c>
      <c r="Q14" s="74">
        <v>149.0</v>
      </c>
      <c r="R14" s="74">
        <v>134.0</v>
      </c>
      <c r="S14" s="74">
        <v>132.0</v>
      </c>
      <c r="T14" s="74">
        <v>136.0</v>
      </c>
      <c r="U14" s="74">
        <v>145.0</v>
      </c>
      <c r="V14" s="74">
        <v>131.0</v>
      </c>
      <c r="W14" s="74">
        <v>152.0</v>
      </c>
      <c r="X14" s="74">
        <v>155.0</v>
      </c>
      <c r="Y14" s="74">
        <v>115.0</v>
      </c>
      <c r="Z14" s="74">
        <v>109.0</v>
      </c>
      <c r="AA14" s="74">
        <v>205.0</v>
      </c>
      <c r="AB14" s="74">
        <v>127.0</v>
      </c>
      <c r="AC14" s="74">
        <v>144.0</v>
      </c>
      <c r="AD14" s="74">
        <v>128.0</v>
      </c>
      <c r="AE14" s="74">
        <v>118.0</v>
      </c>
      <c r="AF14" s="74">
        <v>129.0</v>
      </c>
      <c r="AG14" s="74">
        <v>118.0</v>
      </c>
      <c r="AH14" s="74">
        <v>144.0</v>
      </c>
      <c r="AI14" s="74">
        <v>112.0</v>
      </c>
      <c r="AJ14" s="74">
        <v>141.0</v>
      </c>
      <c r="AK14" s="74">
        <v>144.0</v>
      </c>
      <c r="AL14" s="74">
        <v>148.0</v>
      </c>
      <c r="AM14" s="74">
        <v>144.0</v>
      </c>
      <c r="AN14" s="74">
        <v>135.0</v>
      </c>
      <c r="AO14" s="74">
        <v>120.0</v>
      </c>
      <c r="AP14" s="74">
        <v>144.0</v>
      </c>
      <c r="AQ14" s="74">
        <v>142.0</v>
      </c>
      <c r="AR14" s="74">
        <v>146.0</v>
      </c>
      <c r="AS14" s="74">
        <v>130.0</v>
      </c>
      <c r="AT14" s="74">
        <v>132.0</v>
      </c>
      <c r="AU14" s="74">
        <v>128.0</v>
      </c>
      <c r="AV14" s="74">
        <v>134.0</v>
      </c>
      <c r="AW14" s="74">
        <v>146.0</v>
      </c>
      <c r="AX14" s="74">
        <v>146.0</v>
      </c>
      <c r="AY14" s="74">
        <v>125.0</v>
      </c>
      <c r="AZ14" s="13">
        <f t="shared" ref="AZ14:AZ16" si="1">SUM(E14:AY14)</f>
        <v>6421</v>
      </c>
    </row>
    <row r="15" ht="12.75" customHeight="1">
      <c r="A15" s="18"/>
      <c r="B15" s="26"/>
      <c r="C15" s="27"/>
      <c r="D15" s="19" t="s">
        <v>13</v>
      </c>
      <c r="E15" s="74">
        <v>141.0</v>
      </c>
      <c r="F15" s="74">
        <v>138.0</v>
      </c>
      <c r="G15" s="74">
        <v>130.0</v>
      </c>
      <c r="H15" s="74">
        <v>152.0</v>
      </c>
      <c r="I15" s="74">
        <v>151.0</v>
      </c>
      <c r="J15" s="74">
        <v>161.0</v>
      </c>
      <c r="K15" s="74">
        <v>83.0</v>
      </c>
      <c r="L15" s="74">
        <v>136.0</v>
      </c>
      <c r="M15" s="74">
        <v>135.0</v>
      </c>
      <c r="N15" s="74">
        <v>144.0</v>
      </c>
      <c r="O15" s="74">
        <v>142.0</v>
      </c>
      <c r="P15" s="74">
        <v>152.0</v>
      </c>
      <c r="Q15" s="74">
        <v>141.0</v>
      </c>
      <c r="R15" s="74">
        <v>132.0</v>
      </c>
      <c r="S15" s="74">
        <v>128.0</v>
      </c>
      <c r="T15" s="74">
        <v>157.0</v>
      </c>
      <c r="U15" s="74">
        <v>134.0</v>
      </c>
      <c r="V15" s="74">
        <v>126.0</v>
      </c>
      <c r="W15" s="74">
        <v>145.0</v>
      </c>
      <c r="X15" s="74">
        <v>140.0</v>
      </c>
      <c r="Y15" s="74">
        <v>107.0</v>
      </c>
      <c r="Z15" s="74">
        <v>113.0</v>
      </c>
      <c r="AA15" s="74">
        <v>94.0</v>
      </c>
      <c r="AB15" s="74">
        <v>130.0</v>
      </c>
      <c r="AC15" s="74">
        <v>149.0</v>
      </c>
      <c r="AD15" s="74">
        <v>144.0</v>
      </c>
      <c r="AE15" s="74">
        <v>126.0</v>
      </c>
      <c r="AF15" s="74">
        <v>111.0</v>
      </c>
      <c r="AG15" s="74">
        <v>126.0</v>
      </c>
      <c r="AH15" s="74">
        <v>136.0</v>
      </c>
      <c r="AI15" s="74">
        <v>109.0</v>
      </c>
      <c r="AJ15" s="74">
        <v>148.0</v>
      </c>
      <c r="AK15" s="74">
        <v>148.0</v>
      </c>
      <c r="AL15" s="74">
        <v>138.0</v>
      </c>
      <c r="AM15" s="74">
        <v>134.0</v>
      </c>
      <c r="AN15" s="74">
        <v>115.0</v>
      </c>
      <c r="AO15" s="74">
        <v>119.0</v>
      </c>
      <c r="AP15" s="74">
        <v>147.0</v>
      </c>
      <c r="AQ15" s="74">
        <v>153.0</v>
      </c>
      <c r="AR15" s="74">
        <v>142.0</v>
      </c>
      <c r="AS15" s="74">
        <v>148.0</v>
      </c>
      <c r="AT15" s="74">
        <v>160.0</v>
      </c>
      <c r="AU15" s="74">
        <v>157.0</v>
      </c>
      <c r="AV15" s="74">
        <v>160.0</v>
      </c>
      <c r="AW15" s="74">
        <v>146.0</v>
      </c>
      <c r="AX15" s="74">
        <v>144.0</v>
      </c>
      <c r="AY15" s="74">
        <v>145.0</v>
      </c>
      <c r="AZ15" s="13">
        <f t="shared" si="1"/>
        <v>6417</v>
      </c>
    </row>
    <row r="16" ht="12.75" customHeight="1">
      <c r="A16" s="25"/>
      <c r="B16" s="21"/>
      <c r="C16" s="28"/>
      <c r="D16" s="13" t="s">
        <v>14</v>
      </c>
      <c r="E16" s="13">
        <f t="shared" ref="E16:AY16" si="2">SUM(E14:E15)</f>
        <v>279</v>
      </c>
      <c r="F16" s="13">
        <f t="shared" si="2"/>
        <v>288</v>
      </c>
      <c r="G16" s="13">
        <f t="shared" si="2"/>
        <v>271</v>
      </c>
      <c r="H16" s="13">
        <f t="shared" si="2"/>
        <v>281</v>
      </c>
      <c r="I16" s="13">
        <f t="shared" si="2"/>
        <v>297</v>
      </c>
      <c r="J16" s="13">
        <f t="shared" si="2"/>
        <v>294</v>
      </c>
      <c r="K16" s="13">
        <f t="shared" si="2"/>
        <v>166</v>
      </c>
      <c r="L16" s="13">
        <f t="shared" si="2"/>
        <v>281</v>
      </c>
      <c r="M16" s="13">
        <f t="shared" si="2"/>
        <v>277</v>
      </c>
      <c r="N16" s="13">
        <f t="shared" si="2"/>
        <v>294</v>
      </c>
      <c r="O16" s="13">
        <f t="shared" si="2"/>
        <v>289</v>
      </c>
      <c r="P16" s="13">
        <f t="shared" si="2"/>
        <v>281</v>
      </c>
      <c r="Q16" s="13">
        <f t="shared" si="2"/>
        <v>290</v>
      </c>
      <c r="R16" s="13">
        <f t="shared" si="2"/>
        <v>266</v>
      </c>
      <c r="S16" s="13">
        <f t="shared" si="2"/>
        <v>260</v>
      </c>
      <c r="T16" s="13">
        <f t="shared" si="2"/>
        <v>293</v>
      </c>
      <c r="U16" s="13">
        <f t="shared" si="2"/>
        <v>279</v>
      </c>
      <c r="V16" s="13">
        <f t="shared" si="2"/>
        <v>257</v>
      </c>
      <c r="W16" s="13">
        <f t="shared" si="2"/>
        <v>297</v>
      </c>
      <c r="X16" s="13">
        <f t="shared" si="2"/>
        <v>295</v>
      </c>
      <c r="Y16" s="13">
        <f t="shared" si="2"/>
        <v>222</v>
      </c>
      <c r="Z16" s="13">
        <f t="shared" si="2"/>
        <v>222</v>
      </c>
      <c r="AA16" s="13">
        <f t="shared" si="2"/>
        <v>299</v>
      </c>
      <c r="AB16" s="13">
        <f t="shared" si="2"/>
        <v>257</v>
      </c>
      <c r="AC16" s="13">
        <f t="shared" si="2"/>
        <v>293</v>
      </c>
      <c r="AD16" s="13">
        <f t="shared" si="2"/>
        <v>272</v>
      </c>
      <c r="AE16" s="13">
        <f t="shared" si="2"/>
        <v>244</v>
      </c>
      <c r="AF16" s="13">
        <f t="shared" si="2"/>
        <v>240</v>
      </c>
      <c r="AG16" s="13">
        <f t="shared" si="2"/>
        <v>244</v>
      </c>
      <c r="AH16" s="13">
        <f t="shared" si="2"/>
        <v>280</v>
      </c>
      <c r="AI16" s="13">
        <f t="shared" si="2"/>
        <v>221</v>
      </c>
      <c r="AJ16" s="13">
        <f t="shared" si="2"/>
        <v>289</v>
      </c>
      <c r="AK16" s="13">
        <f t="shared" si="2"/>
        <v>292</v>
      </c>
      <c r="AL16" s="13">
        <f t="shared" si="2"/>
        <v>286</v>
      </c>
      <c r="AM16" s="13">
        <f t="shared" si="2"/>
        <v>278</v>
      </c>
      <c r="AN16" s="13">
        <f t="shared" si="2"/>
        <v>250</v>
      </c>
      <c r="AO16" s="13">
        <f t="shared" si="2"/>
        <v>239</v>
      </c>
      <c r="AP16" s="13">
        <f t="shared" si="2"/>
        <v>291</v>
      </c>
      <c r="AQ16" s="13">
        <f t="shared" si="2"/>
        <v>295</v>
      </c>
      <c r="AR16" s="13">
        <f t="shared" si="2"/>
        <v>288</v>
      </c>
      <c r="AS16" s="13">
        <f t="shared" si="2"/>
        <v>278</v>
      </c>
      <c r="AT16" s="13">
        <f t="shared" si="2"/>
        <v>292</v>
      </c>
      <c r="AU16" s="13">
        <f t="shared" si="2"/>
        <v>285</v>
      </c>
      <c r="AV16" s="13">
        <f t="shared" si="2"/>
        <v>294</v>
      </c>
      <c r="AW16" s="13">
        <f t="shared" si="2"/>
        <v>292</v>
      </c>
      <c r="AX16" s="13">
        <f t="shared" si="2"/>
        <v>290</v>
      </c>
      <c r="AY16" s="13">
        <f t="shared" si="2"/>
        <v>270</v>
      </c>
      <c r="AZ16" s="13">
        <f t="shared" si="1"/>
        <v>12838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19"/>
      <c r="AH17" s="75"/>
      <c r="AI17" s="19"/>
      <c r="AJ17" s="19"/>
      <c r="AK17" s="19"/>
      <c r="AL17" s="19"/>
      <c r="AM17" s="75"/>
      <c r="AN17" s="19"/>
      <c r="AO17" s="19"/>
      <c r="AP17" s="19"/>
      <c r="AQ17" s="19"/>
      <c r="AR17" s="75"/>
      <c r="AS17" s="19"/>
      <c r="AT17" s="19"/>
      <c r="AU17" s="19"/>
      <c r="AV17" s="19"/>
      <c r="AW17" s="75"/>
      <c r="AX17" s="19"/>
      <c r="AY17" s="19"/>
      <c r="AZ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19"/>
      <c r="AH18" s="75"/>
      <c r="AI18" s="19"/>
      <c r="AJ18" s="19"/>
      <c r="AK18" s="19"/>
      <c r="AL18" s="19"/>
      <c r="AM18" s="75"/>
      <c r="AN18" s="19"/>
      <c r="AO18" s="19"/>
      <c r="AP18" s="19"/>
      <c r="AQ18" s="19"/>
      <c r="AR18" s="75"/>
      <c r="AS18" s="19"/>
      <c r="AT18" s="19"/>
      <c r="AU18" s="19"/>
      <c r="AV18" s="19"/>
      <c r="AW18" s="75"/>
      <c r="AX18" s="19"/>
      <c r="AY18" s="19"/>
      <c r="AZ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104.0</v>
      </c>
      <c r="F19" s="74">
        <v>115.0</v>
      </c>
      <c r="G19" s="74">
        <v>100.0</v>
      </c>
      <c r="H19" s="74">
        <v>90.0</v>
      </c>
      <c r="I19" s="74">
        <v>103.0</v>
      </c>
      <c r="J19" s="74">
        <v>97.0</v>
      </c>
      <c r="K19" s="74">
        <v>59.0</v>
      </c>
      <c r="L19" s="74">
        <v>108.0</v>
      </c>
      <c r="M19" s="74">
        <v>97.0</v>
      </c>
      <c r="N19" s="74">
        <v>106.0</v>
      </c>
      <c r="O19" s="74">
        <v>117.0</v>
      </c>
      <c r="P19" s="74">
        <v>90.0</v>
      </c>
      <c r="Q19" s="74">
        <v>113.0</v>
      </c>
      <c r="R19" s="74">
        <v>100.0</v>
      </c>
      <c r="S19" s="74">
        <v>109.0</v>
      </c>
      <c r="T19" s="74">
        <v>102.0</v>
      </c>
      <c r="U19" s="74">
        <v>105.0</v>
      </c>
      <c r="V19" s="74">
        <v>99.0</v>
      </c>
      <c r="W19" s="74">
        <v>119.0</v>
      </c>
      <c r="X19" s="74">
        <v>119.0</v>
      </c>
      <c r="Y19" s="74">
        <v>86.0</v>
      </c>
      <c r="Z19" s="74">
        <v>92.0</v>
      </c>
      <c r="AA19" s="74">
        <v>87.0</v>
      </c>
      <c r="AB19" s="74">
        <v>90.0</v>
      </c>
      <c r="AC19" s="74">
        <v>108.0</v>
      </c>
      <c r="AD19" s="74">
        <v>98.0</v>
      </c>
      <c r="AE19" s="74">
        <v>93.0</v>
      </c>
      <c r="AF19" s="74">
        <v>118.0</v>
      </c>
      <c r="AG19" s="74">
        <v>90.0</v>
      </c>
      <c r="AH19" s="74">
        <v>130.0</v>
      </c>
      <c r="AI19" s="74">
        <v>90.0</v>
      </c>
      <c r="AJ19" s="74">
        <v>106.0</v>
      </c>
      <c r="AK19" s="74">
        <v>107.0</v>
      </c>
      <c r="AL19" s="74">
        <v>114.0</v>
      </c>
      <c r="AM19" s="74">
        <v>114.0</v>
      </c>
      <c r="AN19" s="74">
        <v>103.0</v>
      </c>
      <c r="AO19" s="74">
        <v>96.0</v>
      </c>
      <c r="AP19" s="74">
        <v>108.0</v>
      </c>
      <c r="AQ19" s="74">
        <v>106.0</v>
      </c>
      <c r="AR19" s="74">
        <v>110.0</v>
      </c>
      <c r="AS19" s="74">
        <v>85.0</v>
      </c>
      <c r="AT19" s="74">
        <v>97.0</v>
      </c>
      <c r="AU19" s="74">
        <v>100.0</v>
      </c>
      <c r="AV19" s="74">
        <v>90.0</v>
      </c>
      <c r="AW19" s="74">
        <v>94.0</v>
      </c>
      <c r="AX19" s="74">
        <v>90.0</v>
      </c>
      <c r="AY19" s="74">
        <v>100.0</v>
      </c>
      <c r="AZ19" s="13">
        <f t="shared" ref="AZ19:AZ30" si="3">SUM(E19:AY19)</f>
        <v>4754</v>
      </c>
    </row>
    <row r="20" ht="12.75" customHeight="1">
      <c r="A20" s="33"/>
      <c r="B20" s="27"/>
      <c r="C20" s="34"/>
      <c r="D20" s="19" t="s">
        <v>13</v>
      </c>
      <c r="E20" s="74">
        <v>112.0</v>
      </c>
      <c r="F20" s="74">
        <v>119.0</v>
      </c>
      <c r="G20" s="74">
        <v>102.0</v>
      </c>
      <c r="H20" s="74">
        <v>111.0</v>
      </c>
      <c r="I20" s="74">
        <v>115.0</v>
      </c>
      <c r="J20" s="74">
        <v>122.0</v>
      </c>
      <c r="K20" s="74">
        <v>63.0</v>
      </c>
      <c r="L20" s="74">
        <v>110.0</v>
      </c>
      <c r="M20" s="74">
        <v>95.0</v>
      </c>
      <c r="N20" s="74">
        <v>116.0</v>
      </c>
      <c r="O20" s="74">
        <v>124.0</v>
      </c>
      <c r="P20" s="74">
        <v>107.0</v>
      </c>
      <c r="Q20" s="74">
        <v>111.0</v>
      </c>
      <c r="R20" s="74">
        <v>100.0</v>
      </c>
      <c r="S20" s="74">
        <v>103.0</v>
      </c>
      <c r="T20" s="74">
        <v>111.0</v>
      </c>
      <c r="U20" s="74">
        <v>97.0</v>
      </c>
      <c r="V20" s="74">
        <v>101.0</v>
      </c>
      <c r="W20" s="74">
        <v>113.0</v>
      </c>
      <c r="X20" s="74">
        <v>112.0</v>
      </c>
      <c r="Y20" s="74">
        <v>78.0</v>
      </c>
      <c r="Z20" s="74">
        <v>98.0</v>
      </c>
      <c r="AA20" s="74">
        <v>70.0</v>
      </c>
      <c r="AB20" s="74">
        <v>107.0</v>
      </c>
      <c r="AC20" s="74">
        <v>102.0</v>
      </c>
      <c r="AD20" s="74">
        <v>108.0</v>
      </c>
      <c r="AE20" s="74">
        <v>215.0</v>
      </c>
      <c r="AF20" s="74">
        <v>82.0</v>
      </c>
      <c r="AG20" s="74">
        <v>87.0</v>
      </c>
      <c r="AH20" s="74">
        <v>209.0</v>
      </c>
      <c r="AI20" s="74">
        <v>89.0</v>
      </c>
      <c r="AJ20" s="74">
        <v>107.0</v>
      </c>
      <c r="AK20" s="74">
        <v>110.0</v>
      </c>
      <c r="AL20" s="74">
        <v>100.0</v>
      </c>
      <c r="AM20" s="74">
        <v>103.0</v>
      </c>
      <c r="AN20" s="74">
        <v>92.0</v>
      </c>
      <c r="AO20" s="74">
        <v>92.0</v>
      </c>
      <c r="AP20" s="74">
        <v>118.0</v>
      </c>
      <c r="AQ20" s="74">
        <v>119.0</v>
      </c>
      <c r="AR20" s="74">
        <v>112.0</v>
      </c>
      <c r="AS20" s="74">
        <v>106.0</v>
      </c>
      <c r="AT20" s="74">
        <v>120.0</v>
      </c>
      <c r="AU20" s="74">
        <v>114.0</v>
      </c>
      <c r="AV20" s="74">
        <v>110.0</v>
      </c>
      <c r="AW20" s="74">
        <v>100.0</v>
      </c>
      <c r="AX20" s="74">
        <v>101.0</v>
      </c>
      <c r="AY20" s="74">
        <v>108.0</v>
      </c>
      <c r="AZ20" s="13">
        <f t="shared" si="3"/>
        <v>5101</v>
      </c>
    </row>
    <row r="21" ht="12.75" customHeight="1">
      <c r="A21" s="35"/>
      <c r="B21" s="28"/>
      <c r="C21" s="36"/>
      <c r="D21" s="13" t="s">
        <v>14</v>
      </c>
      <c r="E21" s="13">
        <f t="shared" ref="E21:AY21" si="4">SUM(E19:E20)</f>
        <v>216</v>
      </c>
      <c r="F21" s="13">
        <f t="shared" si="4"/>
        <v>234</v>
      </c>
      <c r="G21" s="13">
        <f t="shared" si="4"/>
        <v>202</v>
      </c>
      <c r="H21" s="13">
        <f t="shared" si="4"/>
        <v>201</v>
      </c>
      <c r="I21" s="13">
        <f t="shared" si="4"/>
        <v>218</v>
      </c>
      <c r="J21" s="13">
        <f t="shared" si="4"/>
        <v>219</v>
      </c>
      <c r="K21" s="13">
        <f t="shared" si="4"/>
        <v>122</v>
      </c>
      <c r="L21" s="13">
        <f t="shared" si="4"/>
        <v>218</v>
      </c>
      <c r="M21" s="13">
        <f t="shared" si="4"/>
        <v>192</v>
      </c>
      <c r="N21" s="13">
        <f t="shared" si="4"/>
        <v>222</v>
      </c>
      <c r="O21" s="13">
        <f t="shared" si="4"/>
        <v>241</v>
      </c>
      <c r="P21" s="13">
        <f t="shared" si="4"/>
        <v>197</v>
      </c>
      <c r="Q21" s="13">
        <f t="shared" si="4"/>
        <v>224</v>
      </c>
      <c r="R21" s="13">
        <f t="shared" si="4"/>
        <v>200</v>
      </c>
      <c r="S21" s="13">
        <f t="shared" si="4"/>
        <v>212</v>
      </c>
      <c r="T21" s="13">
        <f t="shared" si="4"/>
        <v>213</v>
      </c>
      <c r="U21" s="13">
        <f t="shared" si="4"/>
        <v>202</v>
      </c>
      <c r="V21" s="13">
        <f t="shared" si="4"/>
        <v>200</v>
      </c>
      <c r="W21" s="13">
        <f t="shared" si="4"/>
        <v>232</v>
      </c>
      <c r="X21" s="13">
        <f t="shared" si="4"/>
        <v>231</v>
      </c>
      <c r="Y21" s="13">
        <f t="shared" si="4"/>
        <v>164</v>
      </c>
      <c r="Z21" s="13">
        <f t="shared" si="4"/>
        <v>190</v>
      </c>
      <c r="AA21" s="13">
        <f t="shared" si="4"/>
        <v>157</v>
      </c>
      <c r="AB21" s="13">
        <f t="shared" si="4"/>
        <v>197</v>
      </c>
      <c r="AC21" s="13">
        <f t="shared" si="4"/>
        <v>210</v>
      </c>
      <c r="AD21" s="13">
        <f t="shared" si="4"/>
        <v>206</v>
      </c>
      <c r="AE21" s="13">
        <f t="shared" si="4"/>
        <v>308</v>
      </c>
      <c r="AF21" s="13">
        <f t="shared" si="4"/>
        <v>200</v>
      </c>
      <c r="AG21" s="13">
        <f t="shared" si="4"/>
        <v>177</v>
      </c>
      <c r="AH21" s="13">
        <f t="shared" si="4"/>
        <v>339</v>
      </c>
      <c r="AI21" s="13">
        <f t="shared" si="4"/>
        <v>179</v>
      </c>
      <c r="AJ21" s="13">
        <f t="shared" si="4"/>
        <v>213</v>
      </c>
      <c r="AK21" s="13">
        <f t="shared" si="4"/>
        <v>217</v>
      </c>
      <c r="AL21" s="13">
        <f t="shared" si="4"/>
        <v>214</v>
      </c>
      <c r="AM21" s="13">
        <f t="shared" si="4"/>
        <v>217</v>
      </c>
      <c r="AN21" s="13">
        <f t="shared" si="4"/>
        <v>195</v>
      </c>
      <c r="AO21" s="13">
        <f t="shared" si="4"/>
        <v>188</v>
      </c>
      <c r="AP21" s="13">
        <f t="shared" si="4"/>
        <v>226</v>
      </c>
      <c r="AQ21" s="13">
        <f t="shared" si="4"/>
        <v>225</v>
      </c>
      <c r="AR21" s="13">
        <f t="shared" si="4"/>
        <v>222</v>
      </c>
      <c r="AS21" s="13">
        <f t="shared" si="4"/>
        <v>191</v>
      </c>
      <c r="AT21" s="13">
        <f t="shared" si="4"/>
        <v>217</v>
      </c>
      <c r="AU21" s="13">
        <f t="shared" si="4"/>
        <v>214</v>
      </c>
      <c r="AV21" s="13">
        <f t="shared" si="4"/>
        <v>200</v>
      </c>
      <c r="AW21" s="13">
        <f t="shared" si="4"/>
        <v>194</v>
      </c>
      <c r="AX21" s="13">
        <f t="shared" si="4"/>
        <v>191</v>
      </c>
      <c r="AY21" s="13">
        <f t="shared" si="4"/>
        <v>208</v>
      </c>
      <c r="AZ21" s="13">
        <f t="shared" si="3"/>
        <v>9855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1.0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0.0</v>
      </c>
      <c r="AF22" s="74">
        <v>0.0</v>
      </c>
      <c r="AG22" s="74">
        <v>0.0</v>
      </c>
      <c r="AH22" s="74">
        <v>0.0</v>
      </c>
      <c r="AI22" s="74">
        <v>0.0</v>
      </c>
      <c r="AJ22" s="74">
        <v>2.0</v>
      </c>
      <c r="AK22" s="74">
        <v>0.0</v>
      </c>
      <c r="AL22" s="74">
        <v>0.0</v>
      </c>
      <c r="AM22" s="74">
        <v>0.0</v>
      </c>
      <c r="AN22" s="74">
        <v>0.0</v>
      </c>
      <c r="AO22" s="74">
        <v>0.0</v>
      </c>
      <c r="AP22" s="74">
        <v>0.0</v>
      </c>
      <c r="AQ22" s="74">
        <v>0.0</v>
      </c>
      <c r="AR22" s="74">
        <v>0.0</v>
      </c>
      <c r="AS22" s="74">
        <v>0.0</v>
      </c>
      <c r="AT22" s="74">
        <v>0.0</v>
      </c>
      <c r="AU22" s="74">
        <v>0.0</v>
      </c>
      <c r="AV22" s="74">
        <v>1.0</v>
      </c>
      <c r="AW22" s="74">
        <v>0.0</v>
      </c>
      <c r="AX22" s="74">
        <v>0.0</v>
      </c>
      <c r="AY22" s="74">
        <v>0.0</v>
      </c>
      <c r="AZ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1.0</v>
      </c>
      <c r="AE23" s="74">
        <v>0.0</v>
      </c>
      <c r="AF23" s="74">
        <v>0.0</v>
      </c>
      <c r="AG23" s="74">
        <v>0.0</v>
      </c>
      <c r="AH23" s="74">
        <v>0.0</v>
      </c>
      <c r="AI23" s="74">
        <v>0.0</v>
      </c>
      <c r="AJ23" s="74">
        <v>0.0</v>
      </c>
      <c r="AK23" s="74">
        <v>0.0</v>
      </c>
      <c r="AL23" s="74">
        <v>0.0</v>
      </c>
      <c r="AM23" s="74">
        <v>0.0</v>
      </c>
      <c r="AN23" s="74">
        <v>0.0</v>
      </c>
      <c r="AO23" s="74">
        <v>0.0</v>
      </c>
      <c r="AP23" s="74">
        <v>1.0</v>
      </c>
      <c r="AQ23" s="74">
        <v>0.0</v>
      </c>
      <c r="AR23" s="74">
        <v>1.0</v>
      </c>
      <c r="AS23" s="74">
        <v>0.0</v>
      </c>
      <c r="AT23" s="74">
        <v>0.0</v>
      </c>
      <c r="AU23" s="74">
        <v>0.0</v>
      </c>
      <c r="AV23" s="74">
        <v>0.0</v>
      </c>
      <c r="AW23" s="74">
        <v>0.0</v>
      </c>
      <c r="AX23" s="74">
        <v>0.0</v>
      </c>
      <c r="AY23" s="74">
        <v>0.0</v>
      </c>
      <c r="AZ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1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3.0</v>
      </c>
      <c r="F25" s="74">
        <v>0.0</v>
      </c>
      <c r="G25" s="74">
        <v>1.0</v>
      </c>
      <c r="H25" s="74">
        <v>0.0</v>
      </c>
      <c r="I25" s="74">
        <v>1.0</v>
      </c>
      <c r="J25" s="74">
        <v>1.0</v>
      </c>
      <c r="K25" s="74">
        <v>0.0</v>
      </c>
      <c r="L25" s="74">
        <v>5.0</v>
      </c>
      <c r="M25" s="74">
        <v>2.0</v>
      </c>
      <c r="N25" s="74">
        <v>2.0</v>
      </c>
      <c r="O25" s="74">
        <v>0.0</v>
      </c>
      <c r="P25" s="74">
        <v>1.0</v>
      </c>
      <c r="Q25" s="74">
        <v>3.0</v>
      </c>
      <c r="R25" s="74">
        <v>0.0</v>
      </c>
      <c r="S25" s="74">
        <v>1.0</v>
      </c>
      <c r="T25" s="74">
        <v>2.0</v>
      </c>
      <c r="U25" s="74">
        <v>2.0</v>
      </c>
      <c r="V25" s="74">
        <v>2.0</v>
      </c>
      <c r="W25" s="74">
        <v>0.0</v>
      </c>
      <c r="X25" s="74">
        <v>3.0</v>
      </c>
      <c r="Y25" s="74">
        <v>0.0</v>
      </c>
      <c r="Z25" s="74">
        <v>1.0</v>
      </c>
      <c r="AA25" s="74">
        <v>0.0</v>
      </c>
      <c r="AB25" s="74">
        <v>1.0</v>
      </c>
      <c r="AC25" s="74">
        <v>1.0</v>
      </c>
      <c r="AD25" s="74">
        <v>0.0</v>
      </c>
      <c r="AE25" s="74">
        <v>0.0</v>
      </c>
      <c r="AF25" s="74">
        <v>0.0</v>
      </c>
      <c r="AG25" s="74">
        <v>0.0</v>
      </c>
      <c r="AH25" s="74">
        <v>4.0</v>
      </c>
      <c r="AI25" s="74">
        <v>0.0</v>
      </c>
      <c r="AJ25" s="74">
        <v>2.0</v>
      </c>
      <c r="AK25" s="74">
        <v>0.0</v>
      </c>
      <c r="AL25" s="74">
        <v>1.0</v>
      </c>
      <c r="AM25" s="74">
        <v>1.0</v>
      </c>
      <c r="AN25" s="74">
        <v>0.0</v>
      </c>
      <c r="AO25" s="74">
        <v>0.0</v>
      </c>
      <c r="AP25" s="74">
        <v>3.0</v>
      </c>
      <c r="AQ25" s="74">
        <v>2.0</v>
      </c>
      <c r="AR25" s="74">
        <v>1.0</v>
      </c>
      <c r="AS25" s="74">
        <v>5.0</v>
      </c>
      <c r="AT25" s="74">
        <v>4.0</v>
      </c>
      <c r="AU25" s="74">
        <v>3.0</v>
      </c>
      <c r="AV25" s="74">
        <v>3.0</v>
      </c>
      <c r="AW25" s="74">
        <v>1.0</v>
      </c>
      <c r="AX25" s="74">
        <v>1.0</v>
      </c>
      <c r="AY25" s="74">
        <v>3.0</v>
      </c>
      <c r="AZ25" s="13">
        <f t="shared" si="3"/>
        <v>66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0.0</v>
      </c>
      <c r="G26" s="74">
        <v>1.0</v>
      </c>
      <c r="H26" s="74">
        <v>4.0</v>
      </c>
      <c r="I26" s="74">
        <v>1.0</v>
      </c>
      <c r="J26" s="74">
        <v>1.0</v>
      </c>
      <c r="K26" s="74">
        <v>0.0</v>
      </c>
      <c r="L26" s="74">
        <v>2.0</v>
      </c>
      <c r="M26" s="74">
        <v>4.0</v>
      </c>
      <c r="N26" s="74">
        <v>1.0</v>
      </c>
      <c r="O26" s="74">
        <v>0.0</v>
      </c>
      <c r="P26" s="74">
        <v>1.0</v>
      </c>
      <c r="Q26" s="74">
        <v>3.0</v>
      </c>
      <c r="R26" s="74">
        <v>1.0</v>
      </c>
      <c r="S26" s="74">
        <v>0.0</v>
      </c>
      <c r="T26" s="74">
        <v>1.0</v>
      </c>
      <c r="U26" s="74">
        <v>3.0</v>
      </c>
      <c r="V26" s="74">
        <v>1.0</v>
      </c>
      <c r="W26" s="74">
        <v>0.0</v>
      </c>
      <c r="X26" s="74">
        <v>2.0</v>
      </c>
      <c r="Y26" s="74">
        <v>0.0</v>
      </c>
      <c r="Z26" s="74">
        <v>0.0</v>
      </c>
      <c r="AA26" s="74">
        <v>1.0</v>
      </c>
      <c r="AB26" s="74">
        <v>1.0</v>
      </c>
      <c r="AC26" s="74">
        <v>0.0</v>
      </c>
      <c r="AD26" s="74">
        <v>2.0</v>
      </c>
      <c r="AE26" s="74">
        <v>0.0</v>
      </c>
      <c r="AF26" s="74">
        <v>3.0</v>
      </c>
      <c r="AG26" s="74">
        <v>0.0</v>
      </c>
      <c r="AH26" s="74">
        <v>2.0</v>
      </c>
      <c r="AI26" s="74">
        <v>1.0</v>
      </c>
      <c r="AJ26" s="74">
        <v>0.0</v>
      </c>
      <c r="AK26" s="74">
        <v>0.0</v>
      </c>
      <c r="AL26" s="74">
        <v>2.0</v>
      </c>
      <c r="AM26" s="74">
        <v>0.0</v>
      </c>
      <c r="AN26" s="74">
        <v>0.0</v>
      </c>
      <c r="AO26" s="74">
        <v>0.0</v>
      </c>
      <c r="AP26" s="74">
        <v>2.0</v>
      </c>
      <c r="AQ26" s="74">
        <v>1.0</v>
      </c>
      <c r="AR26" s="74">
        <v>1.0</v>
      </c>
      <c r="AS26" s="74">
        <v>6.0</v>
      </c>
      <c r="AT26" s="74">
        <v>5.0</v>
      </c>
      <c r="AU26" s="74">
        <v>5.0</v>
      </c>
      <c r="AV26" s="74">
        <v>5.0</v>
      </c>
      <c r="AW26" s="74">
        <v>5.0</v>
      </c>
      <c r="AX26" s="74">
        <v>1.0</v>
      </c>
      <c r="AY26" s="74">
        <v>1.0</v>
      </c>
      <c r="AZ26" s="13">
        <f t="shared" si="3"/>
        <v>71</v>
      </c>
    </row>
    <row r="27" ht="12.75" customHeight="1">
      <c r="A27" s="35"/>
      <c r="B27" s="28"/>
      <c r="C27" s="36"/>
      <c r="D27" s="13" t="s">
        <v>14</v>
      </c>
      <c r="E27" s="13">
        <f t="shared" ref="E27:AY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2</v>
      </c>
      <c r="J27" s="13">
        <f t="shared" si="6"/>
        <v>2</v>
      </c>
      <c r="K27" s="13">
        <f t="shared" si="6"/>
        <v>0</v>
      </c>
      <c r="L27" s="13">
        <f t="shared" si="6"/>
        <v>7</v>
      </c>
      <c r="M27" s="13">
        <f t="shared" si="6"/>
        <v>6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6</v>
      </c>
      <c r="R27" s="13">
        <f t="shared" si="6"/>
        <v>1</v>
      </c>
      <c r="S27" s="13">
        <f t="shared" si="6"/>
        <v>1</v>
      </c>
      <c r="T27" s="13">
        <f t="shared" si="6"/>
        <v>3</v>
      </c>
      <c r="U27" s="13">
        <f t="shared" si="6"/>
        <v>5</v>
      </c>
      <c r="V27" s="13">
        <f t="shared" si="6"/>
        <v>3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1</v>
      </c>
      <c r="AA27" s="13">
        <f t="shared" si="6"/>
        <v>1</v>
      </c>
      <c r="AB27" s="13">
        <f t="shared" si="6"/>
        <v>2</v>
      </c>
      <c r="AC27" s="13">
        <f t="shared" si="6"/>
        <v>1</v>
      </c>
      <c r="AD27" s="13">
        <f t="shared" si="6"/>
        <v>2</v>
      </c>
      <c r="AE27" s="13">
        <f t="shared" si="6"/>
        <v>0</v>
      </c>
      <c r="AF27" s="13">
        <f t="shared" si="6"/>
        <v>3</v>
      </c>
      <c r="AG27" s="13">
        <f t="shared" si="6"/>
        <v>0</v>
      </c>
      <c r="AH27" s="13">
        <f t="shared" si="6"/>
        <v>6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3</v>
      </c>
      <c r="AM27" s="13">
        <f t="shared" si="6"/>
        <v>1</v>
      </c>
      <c r="AN27" s="13">
        <f t="shared" si="6"/>
        <v>0</v>
      </c>
      <c r="AO27" s="13">
        <f t="shared" si="6"/>
        <v>0</v>
      </c>
      <c r="AP27" s="13">
        <f t="shared" si="6"/>
        <v>5</v>
      </c>
      <c r="AQ27" s="13">
        <f t="shared" si="6"/>
        <v>3</v>
      </c>
      <c r="AR27" s="13">
        <f t="shared" si="6"/>
        <v>2</v>
      </c>
      <c r="AS27" s="13">
        <f t="shared" si="6"/>
        <v>11</v>
      </c>
      <c r="AT27" s="13">
        <f t="shared" si="6"/>
        <v>9</v>
      </c>
      <c r="AU27" s="13">
        <f t="shared" si="6"/>
        <v>8</v>
      </c>
      <c r="AV27" s="13">
        <f t="shared" si="6"/>
        <v>8</v>
      </c>
      <c r="AW27" s="13">
        <f t="shared" si="6"/>
        <v>6</v>
      </c>
      <c r="AX27" s="13">
        <f t="shared" si="6"/>
        <v>2</v>
      </c>
      <c r="AY27" s="13">
        <f t="shared" si="6"/>
        <v>4</v>
      </c>
      <c r="AZ27" s="13">
        <f t="shared" si="3"/>
        <v>137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Y28" si="7">SUM(E19,E22,E25)</f>
        <v>107</v>
      </c>
      <c r="F28" s="13">
        <f t="shared" si="7"/>
        <v>115</v>
      </c>
      <c r="G28" s="13">
        <f t="shared" si="7"/>
        <v>101</v>
      </c>
      <c r="H28" s="13">
        <f t="shared" si="7"/>
        <v>90</v>
      </c>
      <c r="I28" s="13">
        <f t="shared" si="7"/>
        <v>104</v>
      </c>
      <c r="J28" s="13">
        <f t="shared" si="7"/>
        <v>98</v>
      </c>
      <c r="K28" s="13">
        <f t="shared" si="7"/>
        <v>59</v>
      </c>
      <c r="L28" s="13">
        <f t="shared" si="7"/>
        <v>113</v>
      </c>
      <c r="M28" s="13">
        <f t="shared" si="7"/>
        <v>99</v>
      </c>
      <c r="N28" s="13">
        <f t="shared" si="7"/>
        <v>108</v>
      </c>
      <c r="O28" s="13">
        <f t="shared" si="7"/>
        <v>117</v>
      </c>
      <c r="P28" s="13">
        <f t="shared" si="7"/>
        <v>92</v>
      </c>
      <c r="Q28" s="13">
        <f t="shared" si="7"/>
        <v>116</v>
      </c>
      <c r="R28" s="13">
        <f t="shared" si="7"/>
        <v>100</v>
      </c>
      <c r="S28" s="13">
        <f t="shared" si="7"/>
        <v>110</v>
      </c>
      <c r="T28" s="13">
        <f t="shared" si="7"/>
        <v>104</v>
      </c>
      <c r="U28" s="13">
        <f t="shared" si="7"/>
        <v>107</v>
      </c>
      <c r="V28" s="13">
        <f t="shared" si="7"/>
        <v>101</v>
      </c>
      <c r="W28" s="13">
        <f t="shared" si="7"/>
        <v>119</v>
      </c>
      <c r="X28" s="13">
        <f t="shared" si="7"/>
        <v>122</v>
      </c>
      <c r="Y28" s="13">
        <f t="shared" si="7"/>
        <v>86</v>
      </c>
      <c r="Z28" s="13">
        <f t="shared" si="7"/>
        <v>93</v>
      </c>
      <c r="AA28" s="13">
        <f t="shared" si="7"/>
        <v>87</v>
      </c>
      <c r="AB28" s="13">
        <f t="shared" si="7"/>
        <v>91</v>
      </c>
      <c r="AC28" s="13">
        <f t="shared" si="7"/>
        <v>109</v>
      </c>
      <c r="AD28" s="13">
        <f t="shared" si="7"/>
        <v>98</v>
      </c>
      <c r="AE28" s="13">
        <f t="shared" si="7"/>
        <v>93</v>
      </c>
      <c r="AF28" s="13">
        <f t="shared" si="7"/>
        <v>118</v>
      </c>
      <c r="AG28" s="13">
        <f t="shared" si="7"/>
        <v>90</v>
      </c>
      <c r="AH28" s="13">
        <f t="shared" si="7"/>
        <v>134</v>
      </c>
      <c r="AI28" s="13">
        <f t="shared" si="7"/>
        <v>90</v>
      </c>
      <c r="AJ28" s="13">
        <f t="shared" si="7"/>
        <v>110</v>
      </c>
      <c r="AK28" s="13">
        <f t="shared" si="7"/>
        <v>107</v>
      </c>
      <c r="AL28" s="13">
        <f t="shared" si="7"/>
        <v>115</v>
      </c>
      <c r="AM28" s="13">
        <f t="shared" si="7"/>
        <v>115</v>
      </c>
      <c r="AN28" s="13">
        <f t="shared" si="7"/>
        <v>103</v>
      </c>
      <c r="AO28" s="13">
        <f t="shared" si="7"/>
        <v>96</v>
      </c>
      <c r="AP28" s="13">
        <f t="shared" si="7"/>
        <v>111</v>
      </c>
      <c r="AQ28" s="13">
        <f t="shared" si="7"/>
        <v>108</v>
      </c>
      <c r="AR28" s="13">
        <f t="shared" si="7"/>
        <v>111</v>
      </c>
      <c r="AS28" s="13">
        <f t="shared" si="7"/>
        <v>90</v>
      </c>
      <c r="AT28" s="13">
        <f t="shared" si="7"/>
        <v>101</v>
      </c>
      <c r="AU28" s="13">
        <f t="shared" si="7"/>
        <v>103</v>
      </c>
      <c r="AV28" s="13">
        <f t="shared" si="7"/>
        <v>94</v>
      </c>
      <c r="AW28" s="13">
        <f t="shared" si="7"/>
        <v>95</v>
      </c>
      <c r="AX28" s="13">
        <f t="shared" si="7"/>
        <v>91</v>
      </c>
      <c r="AY28" s="13">
        <f t="shared" si="7"/>
        <v>103</v>
      </c>
      <c r="AZ28" s="13">
        <f t="shared" si="3"/>
        <v>4824</v>
      </c>
    </row>
    <row r="29" ht="12.75" customHeight="1">
      <c r="A29" s="35"/>
      <c r="B29" s="27"/>
      <c r="C29" s="34"/>
      <c r="D29" s="13" t="s">
        <v>13</v>
      </c>
      <c r="E29" s="13">
        <f t="shared" ref="E29:AY29" si="8">SUM(E20,E23,E26)</f>
        <v>113</v>
      </c>
      <c r="F29" s="13">
        <f t="shared" si="8"/>
        <v>119</v>
      </c>
      <c r="G29" s="13">
        <f t="shared" si="8"/>
        <v>103</v>
      </c>
      <c r="H29" s="13">
        <f t="shared" si="8"/>
        <v>115</v>
      </c>
      <c r="I29" s="13">
        <f t="shared" si="8"/>
        <v>116</v>
      </c>
      <c r="J29" s="13">
        <f t="shared" si="8"/>
        <v>123</v>
      </c>
      <c r="K29" s="13">
        <f t="shared" si="8"/>
        <v>63</v>
      </c>
      <c r="L29" s="13">
        <f t="shared" si="8"/>
        <v>112</v>
      </c>
      <c r="M29" s="13">
        <f t="shared" si="8"/>
        <v>99</v>
      </c>
      <c r="N29" s="13">
        <f t="shared" si="8"/>
        <v>117</v>
      </c>
      <c r="O29" s="13">
        <f t="shared" si="8"/>
        <v>124</v>
      </c>
      <c r="P29" s="13">
        <f t="shared" si="8"/>
        <v>108</v>
      </c>
      <c r="Q29" s="13">
        <f t="shared" si="8"/>
        <v>114</v>
      </c>
      <c r="R29" s="13">
        <f t="shared" si="8"/>
        <v>101</v>
      </c>
      <c r="S29" s="13">
        <f t="shared" si="8"/>
        <v>103</v>
      </c>
      <c r="T29" s="13">
        <f t="shared" si="8"/>
        <v>112</v>
      </c>
      <c r="U29" s="13">
        <f t="shared" si="8"/>
        <v>100</v>
      </c>
      <c r="V29" s="13">
        <f t="shared" si="8"/>
        <v>102</v>
      </c>
      <c r="W29" s="13">
        <f t="shared" si="8"/>
        <v>113</v>
      </c>
      <c r="X29" s="13">
        <f t="shared" si="8"/>
        <v>114</v>
      </c>
      <c r="Y29" s="13">
        <f t="shared" si="8"/>
        <v>78</v>
      </c>
      <c r="Z29" s="13">
        <f t="shared" si="8"/>
        <v>98</v>
      </c>
      <c r="AA29" s="13">
        <f t="shared" si="8"/>
        <v>71</v>
      </c>
      <c r="AB29" s="13">
        <f t="shared" si="8"/>
        <v>108</v>
      </c>
      <c r="AC29" s="13">
        <f t="shared" si="8"/>
        <v>102</v>
      </c>
      <c r="AD29" s="13">
        <f t="shared" si="8"/>
        <v>111</v>
      </c>
      <c r="AE29" s="13">
        <f t="shared" si="8"/>
        <v>215</v>
      </c>
      <c r="AF29" s="13">
        <f t="shared" si="8"/>
        <v>85</v>
      </c>
      <c r="AG29" s="13">
        <f t="shared" si="8"/>
        <v>87</v>
      </c>
      <c r="AH29" s="13">
        <f t="shared" si="8"/>
        <v>211</v>
      </c>
      <c r="AI29" s="13">
        <f t="shared" si="8"/>
        <v>90</v>
      </c>
      <c r="AJ29" s="13">
        <f t="shared" si="8"/>
        <v>107</v>
      </c>
      <c r="AK29" s="13">
        <f t="shared" si="8"/>
        <v>110</v>
      </c>
      <c r="AL29" s="13">
        <f t="shared" si="8"/>
        <v>102</v>
      </c>
      <c r="AM29" s="13">
        <f t="shared" si="8"/>
        <v>103</v>
      </c>
      <c r="AN29" s="13">
        <f t="shared" si="8"/>
        <v>92</v>
      </c>
      <c r="AO29" s="13">
        <f t="shared" si="8"/>
        <v>92</v>
      </c>
      <c r="AP29" s="13">
        <f t="shared" si="8"/>
        <v>121</v>
      </c>
      <c r="AQ29" s="13">
        <f t="shared" si="8"/>
        <v>120</v>
      </c>
      <c r="AR29" s="13">
        <f t="shared" si="8"/>
        <v>114</v>
      </c>
      <c r="AS29" s="13">
        <f t="shared" si="8"/>
        <v>112</v>
      </c>
      <c r="AT29" s="13">
        <f t="shared" si="8"/>
        <v>125</v>
      </c>
      <c r="AU29" s="13">
        <f t="shared" si="8"/>
        <v>119</v>
      </c>
      <c r="AV29" s="13">
        <f t="shared" si="8"/>
        <v>115</v>
      </c>
      <c r="AW29" s="13">
        <f t="shared" si="8"/>
        <v>105</v>
      </c>
      <c r="AX29" s="13">
        <f t="shared" si="8"/>
        <v>102</v>
      </c>
      <c r="AY29" s="13">
        <f t="shared" si="8"/>
        <v>109</v>
      </c>
      <c r="AZ29" s="13">
        <f t="shared" si="3"/>
        <v>5175</v>
      </c>
    </row>
    <row r="30" ht="12.75" customHeight="1">
      <c r="A30" s="35"/>
      <c r="B30" s="28"/>
      <c r="C30" s="36"/>
      <c r="D30" s="13" t="s">
        <v>14</v>
      </c>
      <c r="E30" s="13">
        <f t="shared" ref="E30:AY30" si="9">SUM(E28:E29)</f>
        <v>220</v>
      </c>
      <c r="F30" s="13">
        <f t="shared" si="9"/>
        <v>234</v>
      </c>
      <c r="G30" s="13">
        <f t="shared" si="9"/>
        <v>204</v>
      </c>
      <c r="H30" s="13">
        <f t="shared" si="9"/>
        <v>205</v>
      </c>
      <c r="I30" s="13">
        <f t="shared" si="9"/>
        <v>220</v>
      </c>
      <c r="J30" s="13">
        <f t="shared" si="9"/>
        <v>221</v>
      </c>
      <c r="K30" s="13">
        <f t="shared" si="9"/>
        <v>122</v>
      </c>
      <c r="L30" s="13">
        <f t="shared" si="9"/>
        <v>225</v>
      </c>
      <c r="M30" s="13">
        <f t="shared" si="9"/>
        <v>198</v>
      </c>
      <c r="N30" s="13">
        <f t="shared" si="9"/>
        <v>225</v>
      </c>
      <c r="O30" s="13">
        <f t="shared" si="9"/>
        <v>241</v>
      </c>
      <c r="P30" s="13">
        <f t="shared" si="9"/>
        <v>200</v>
      </c>
      <c r="Q30" s="13">
        <f t="shared" si="9"/>
        <v>230</v>
      </c>
      <c r="R30" s="13">
        <f t="shared" si="9"/>
        <v>201</v>
      </c>
      <c r="S30" s="13">
        <f t="shared" si="9"/>
        <v>213</v>
      </c>
      <c r="T30" s="13">
        <f t="shared" si="9"/>
        <v>216</v>
      </c>
      <c r="U30" s="13">
        <f t="shared" si="9"/>
        <v>207</v>
      </c>
      <c r="V30" s="13">
        <f t="shared" si="9"/>
        <v>203</v>
      </c>
      <c r="W30" s="13">
        <f t="shared" si="9"/>
        <v>232</v>
      </c>
      <c r="X30" s="13">
        <f t="shared" si="9"/>
        <v>236</v>
      </c>
      <c r="Y30" s="13">
        <f t="shared" si="9"/>
        <v>164</v>
      </c>
      <c r="Z30" s="13">
        <f t="shared" si="9"/>
        <v>191</v>
      </c>
      <c r="AA30" s="13">
        <f t="shared" si="9"/>
        <v>158</v>
      </c>
      <c r="AB30" s="13">
        <f t="shared" si="9"/>
        <v>199</v>
      </c>
      <c r="AC30" s="13">
        <f t="shared" si="9"/>
        <v>211</v>
      </c>
      <c r="AD30" s="13">
        <f t="shared" si="9"/>
        <v>209</v>
      </c>
      <c r="AE30" s="13">
        <f t="shared" si="9"/>
        <v>308</v>
      </c>
      <c r="AF30" s="13">
        <f t="shared" si="9"/>
        <v>203</v>
      </c>
      <c r="AG30" s="13">
        <f t="shared" si="9"/>
        <v>177</v>
      </c>
      <c r="AH30" s="13">
        <f t="shared" si="9"/>
        <v>345</v>
      </c>
      <c r="AI30" s="13">
        <f t="shared" si="9"/>
        <v>180</v>
      </c>
      <c r="AJ30" s="13">
        <f t="shared" si="9"/>
        <v>217</v>
      </c>
      <c r="AK30" s="13">
        <f t="shared" si="9"/>
        <v>217</v>
      </c>
      <c r="AL30" s="13">
        <f t="shared" si="9"/>
        <v>217</v>
      </c>
      <c r="AM30" s="13">
        <f t="shared" si="9"/>
        <v>218</v>
      </c>
      <c r="AN30" s="13">
        <f t="shared" si="9"/>
        <v>195</v>
      </c>
      <c r="AO30" s="13">
        <f t="shared" si="9"/>
        <v>188</v>
      </c>
      <c r="AP30" s="13">
        <f t="shared" si="9"/>
        <v>232</v>
      </c>
      <c r="AQ30" s="13">
        <f t="shared" si="9"/>
        <v>228</v>
      </c>
      <c r="AR30" s="13">
        <f t="shared" si="9"/>
        <v>225</v>
      </c>
      <c r="AS30" s="13">
        <f t="shared" si="9"/>
        <v>202</v>
      </c>
      <c r="AT30" s="13">
        <f t="shared" si="9"/>
        <v>226</v>
      </c>
      <c r="AU30" s="13">
        <f t="shared" si="9"/>
        <v>222</v>
      </c>
      <c r="AV30" s="13">
        <f t="shared" si="9"/>
        <v>209</v>
      </c>
      <c r="AW30" s="13">
        <f t="shared" si="9"/>
        <v>200</v>
      </c>
      <c r="AX30" s="13">
        <f t="shared" si="9"/>
        <v>193</v>
      </c>
      <c r="AY30" s="13">
        <f t="shared" si="9"/>
        <v>212</v>
      </c>
      <c r="AZ30" s="13">
        <f t="shared" si="3"/>
        <v>9999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19"/>
      <c r="AH31" s="75"/>
      <c r="AI31" s="19"/>
      <c r="AJ31" s="19"/>
      <c r="AK31" s="19"/>
      <c r="AL31" s="19"/>
      <c r="AM31" s="75"/>
      <c r="AN31" s="19"/>
      <c r="AO31" s="19"/>
      <c r="AP31" s="19"/>
      <c r="AQ31" s="19"/>
      <c r="AR31" s="75"/>
      <c r="AS31" s="19"/>
      <c r="AT31" s="19"/>
      <c r="AU31" s="19"/>
      <c r="AV31" s="19"/>
      <c r="AW31" s="75"/>
      <c r="AX31" s="19"/>
      <c r="AY31" s="19"/>
      <c r="AZ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13"/>
      <c r="AH32" s="77"/>
      <c r="AI32" s="13"/>
      <c r="AJ32" s="13"/>
      <c r="AK32" s="13"/>
      <c r="AL32" s="13"/>
      <c r="AM32" s="77"/>
      <c r="AN32" s="13"/>
      <c r="AO32" s="13"/>
      <c r="AP32" s="13"/>
      <c r="AQ32" s="13"/>
      <c r="AR32" s="77"/>
      <c r="AS32" s="13"/>
      <c r="AT32" s="13"/>
      <c r="AU32" s="13"/>
      <c r="AV32" s="13"/>
      <c r="AW32" s="77"/>
      <c r="AX32" s="13"/>
      <c r="AY32" s="13"/>
      <c r="AZ32" s="76"/>
    </row>
    <row r="33" ht="12.75" customHeight="1">
      <c r="A33" s="19">
        <v>1.0</v>
      </c>
      <c r="B33" s="20" t="s">
        <v>27</v>
      </c>
      <c r="C33" s="15"/>
      <c r="D33" s="16"/>
      <c r="E33" s="74">
        <v>285.0</v>
      </c>
      <c r="F33" s="74">
        <v>294.0</v>
      </c>
      <c r="G33" s="74">
        <v>277.0</v>
      </c>
      <c r="H33" s="74">
        <v>287.0</v>
      </c>
      <c r="I33" s="74">
        <v>303.0</v>
      </c>
      <c r="J33" s="74">
        <v>300.0</v>
      </c>
      <c r="K33" s="74">
        <v>170.0</v>
      </c>
      <c r="L33" s="74">
        <v>285.0</v>
      </c>
      <c r="M33" s="74">
        <v>283.0</v>
      </c>
      <c r="N33" s="74">
        <v>300.0</v>
      </c>
      <c r="O33" s="74">
        <v>295.0</v>
      </c>
      <c r="P33" s="74">
        <v>287.0</v>
      </c>
      <c r="Q33" s="74">
        <v>296.0</v>
      </c>
      <c r="R33" s="74">
        <v>272.0</v>
      </c>
      <c r="S33" s="74">
        <v>276.0</v>
      </c>
      <c r="T33" s="74">
        <v>59.0</v>
      </c>
      <c r="U33" s="74">
        <v>245.0</v>
      </c>
      <c r="V33" s="74">
        <v>253.0</v>
      </c>
      <c r="W33" s="74">
        <v>303.0</v>
      </c>
      <c r="X33" s="74">
        <v>301.0</v>
      </c>
      <c r="Y33" s="74">
        <v>297.0</v>
      </c>
      <c r="Z33" s="74">
        <v>297.0</v>
      </c>
      <c r="AA33" s="74">
        <v>263.0</v>
      </c>
      <c r="AB33" s="74">
        <v>253.0</v>
      </c>
      <c r="AC33" s="74">
        <v>299.0</v>
      </c>
      <c r="AD33" s="74">
        <v>279.0</v>
      </c>
      <c r="AE33" s="74">
        <v>269.0</v>
      </c>
      <c r="AF33" s="74">
        <v>265.0</v>
      </c>
      <c r="AG33" s="74">
        <v>265.0</v>
      </c>
      <c r="AH33" s="74">
        <v>285.0</v>
      </c>
      <c r="AI33" s="74">
        <v>226.0</v>
      </c>
      <c r="AJ33" s="74">
        <v>295.0</v>
      </c>
      <c r="AK33" s="74">
        <v>298.0</v>
      </c>
      <c r="AL33" s="74">
        <v>292.0</v>
      </c>
      <c r="AM33" s="74">
        <v>284.0</v>
      </c>
      <c r="AN33" s="74">
        <v>255.0</v>
      </c>
      <c r="AO33" s="74">
        <v>244.0</v>
      </c>
      <c r="AP33" s="74">
        <v>298.0</v>
      </c>
      <c r="AQ33" s="74">
        <v>301.0</v>
      </c>
      <c r="AR33" s="74">
        <v>294.0</v>
      </c>
      <c r="AS33" s="74">
        <v>284.0</v>
      </c>
      <c r="AT33" s="74">
        <v>298.0</v>
      </c>
      <c r="AU33" s="74">
        <v>291.0</v>
      </c>
      <c r="AV33" s="74">
        <v>300.0</v>
      </c>
      <c r="AW33" s="74">
        <v>298.0</v>
      </c>
      <c r="AX33" s="74">
        <v>296.0</v>
      </c>
      <c r="AY33" s="74">
        <v>276.0</v>
      </c>
      <c r="AZ33" s="13">
        <f t="shared" ref="AZ33:AZ36" si="10">SUM(E33:AY33)</f>
        <v>12973</v>
      </c>
    </row>
    <row r="34" ht="12.75" customHeight="1">
      <c r="A34" s="19">
        <v>2.0</v>
      </c>
      <c r="B34" s="20" t="s">
        <v>28</v>
      </c>
      <c r="C34" s="15"/>
      <c r="D34" s="16"/>
      <c r="E34" s="78">
        <v>220.0</v>
      </c>
      <c r="F34" s="78">
        <v>234.0</v>
      </c>
      <c r="G34" s="78">
        <v>204.0</v>
      </c>
      <c r="H34" s="78">
        <v>205.0</v>
      </c>
      <c r="I34" s="78">
        <v>220.0</v>
      </c>
      <c r="J34" s="78">
        <v>221.0</v>
      </c>
      <c r="K34" s="78">
        <v>122.0</v>
      </c>
      <c r="L34" s="78">
        <v>225.0</v>
      </c>
      <c r="M34" s="78">
        <v>198.0</v>
      </c>
      <c r="N34" s="78">
        <v>225.0</v>
      </c>
      <c r="O34" s="78">
        <v>241.0</v>
      </c>
      <c r="P34" s="78">
        <v>200.0</v>
      </c>
      <c r="Q34" s="78">
        <v>230.0</v>
      </c>
      <c r="R34" s="78">
        <v>201.0</v>
      </c>
      <c r="S34" s="78">
        <v>213.0</v>
      </c>
      <c r="T34" s="78">
        <v>216.0</v>
      </c>
      <c r="U34" s="78">
        <v>207.0</v>
      </c>
      <c r="V34" s="78">
        <v>203.0</v>
      </c>
      <c r="W34" s="78">
        <v>232.0</v>
      </c>
      <c r="X34" s="78">
        <v>236.0</v>
      </c>
      <c r="Y34" s="78">
        <v>164.0</v>
      </c>
      <c r="Z34" s="78">
        <v>191.0</v>
      </c>
      <c r="AA34" s="78">
        <v>158.0</v>
      </c>
      <c r="AB34" s="78">
        <v>200.0</v>
      </c>
      <c r="AC34" s="78">
        <v>222.0</v>
      </c>
      <c r="AD34" s="78">
        <v>209.0</v>
      </c>
      <c r="AE34" s="78">
        <v>198.0</v>
      </c>
      <c r="AF34" s="78">
        <v>200.0</v>
      </c>
      <c r="AG34" s="78">
        <v>179.0</v>
      </c>
      <c r="AH34" s="78">
        <v>285.0</v>
      </c>
      <c r="AI34" s="78">
        <v>180.0</v>
      </c>
      <c r="AJ34" s="78">
        <v>217.0</v>
      </c>
      <c r="AK34" s="78">
        <v>217.0</v>
      </c>
      <c r="AL34" s="78">
        <v>217.0</v>
      </c>
      <c r="AM34" s="78">
        <v>218.0</v>
      </c>
      <c r="AN34" s="78">
        <v>195.0</v>
      </c>
      <c r="AO34" s="78">
        <v>188.0</v>
      </c>
      <c r="AP34" s="78">
        <v>232.0</v>
      </c>
      <c r="AQ34" s="78">
        <v>228.0</v>
      </c>
      <c r="AR34" s="78">
        <v>225.0</v>
      </c>
      <c r="AS34" s="78">
        <v>202.0</v>
      </c>
      <c r="AT34" s="78">
        <v>226.0</v>
      </c>
      <c r="AU34" s="78">
        <v>222.0</v>
      </c>
      <c r="AV34" s="78">
        <v>209.0</v>
      </c>
      <c r="AW34" s="78">
        <v>200.0</v>
      </c>
      <c r="AX34" s="78">
        <v>193.0</v>
      </c>
      <c r="AY34" s="78">
        <v>212.0</v>
      </c>
      <c r="AZ34" s="13">
        <f t="shared" si="10"/>
        <v>9840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1.0</v>
      </c>
      <c r="H35" s="74">
        <v>0.0</v>
      </c>
      <c r="I35" s="74">
        <v>0.0</v>
      </c>
      <c r="J35" s="74">
        <v>0.0</v>
      </c>
      <c r="K35" s="74">
        <v>0.0</v>
      </c>
      <c r="L35" s="74">
        <v>1.0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4.0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1.0</v>
      </c>
      <c r="AE35" s="74">
        <v>0.0</v>
      </c>
      <c r="AF35" s="74">
        <v>1.0</v>
      </c>
      <c r="AG35" s="74">
        <v>0.0</v>
      </c>
      <c r="AH35" s="74">
        <v>0.0</v>
      </c>
      <c r="AI35" s="74">
        <v>0.0</v>
      </c>
      <c r="AJ35" s="74">
        <v>0.0</v>
      </c>
      <c r="AK35" s="74">
        <v>3.0</v>
      </c>
      <c r="AL35" s="74">
        <v>0.0</v>
      </c>
      <c r="AM35" s="74">
        <v>0.0</v>
      </c>
      <c r="AN35" s="74">
        <v>0.0</v>
      </c>
      <c r="AO35" s="74">
        <v>0.0</v>
      </c>
      <c r="AP35" s="74">
        <v>0.0</v>
      </c>
      <c r="AQ35" s="74">
        <v>0.0</v>
      </c>
      <c r="AR35" s="74">
        <v>0.0</v>
      </c>
      <c r="AS35" s="74">
        <v>0.0</v>
      </c>
      <c r="AT35" s="74">
        <v>0.0</v>
      </c>
      <c r="AU35" s="74">
        <v>0.0</v>
      </c>
      <c r="AV35" s="74">
        <v>0.0</v>
      </c>
      <c r="AW35" s="74">
        <v>0.0</v>
      </c>
      <c r="AX35" s="74">
        <v>0.0</v>
      </c>
      <c r="AY35" s="74">
        <v>4.0</v>
      </c>
      <c r="AZ35" s="13">
        <f t="shared" si="10"/>
        <v>15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Y36" si="11">E33-(E34+E35)</f>
        <v>65</v>
      </c>
      <c r="F36" s="13">
        <f t="shared" si="11"/>
        <v>60</v>
      </c>
      <c r="G36" s="13">
        <f t="shared" si="11"/>
        <v>72</v>
      </c>
      <c r="H36" s="13">
        <f t="shared" si="11"/>
        <v>82</v>
      </c>
      <c r="I36" s="13">
        <f t="shared" si="11"/>
        <v>83</v>
      </c>
      <c r="J36" s="13">
        <f t="shared" si="11"/>
        <v>79</v>
      </c>
      <c r="K36" s="13">
        <f t="shared" si="11"/>
        <v>48</v>
      </c>
      <c r="L36" s="13">
        <f t="shared" si="11"/>
        <v>59</v>
      </c>
      <c r="M36" s="13">
        <f t="shared" si="11"/>
        <v>85</v>
      </c>
      <c r="N36" s="13">
        <f t="shared" si="11"/>
        <v>75</v>
      </c>
      <c r="O36" s="13">
        <f t="shared" si="11"/>
        <v>54</v>
      </c>
      <c r="P36" s="13">
        <f t="shared" si="11"/>
        <v>87</v>
      </c>
      <c r="Q36" s="13">
        <f t="shared" si="11"/>
        <v>66</v>
      </c>
      <c r="R36" s="13">
        <f t="shared" si="11"/>
        <v>71</v>
      </c>
      <c r="S36" s="13">
        <f t="shared" si="11"/>
        <v>63</v>
      </c>
      <c r="T36" s="13">
        <f t="shared" si="11"/>
        <v>-157</v>
      </c>
      <c r="U36" s="13">
        <f t="shared" si="11"/>
        <v>38</v>
      </c>
      <c r="V36" s="13">
        <f t="shared" si="11"/>
        <v>50</v>
      </c>
      <c r="W36" s="13">
        <f t="shared" si="11"/>
        <v>71</v>
      </c>
      <c r="X36" s="13">
        <f t="shared" si="11"/>
        <v>61</v>
      </c>
      <c r="Y36" s="13">
        <f t="shared" si="11"/>
        <v>133</v>
      </c>
      <c r="Z36" s="13">
        <f t="shared" si="11"/>
        <v>106</v>
      </c>
      <c r="AA36" s="13">
        <f t="shared" si="11"/>
        <v>105</v>
      </c>
      <c r="AB36" s="13">
        <f t="shared" si="11"/>
        <v>53</v>
      </c>
      <c r="AC36" s="13">
        <f t="shared" si="11"/>
        <v>77</v>
      </c>
      <c r="AD36" s="13">
        <f t="shared" si="11"/>
        <v>69</v>
      </c>
      <c r="AE36" s="13">
        <f t="shared" si="11"/>
        <v>71</v>
      </c>
      <c r="AF36" s="13">
        <f t="shared" si="11"/>
        <v>64</v>
      </c>
      <c r="AG36" s="13">
        <f t="shared" si="11"/>
        <v>86</v>
      </c>
      <c r="AH36" s="13">
        <f t="shared" si="11"/>
        <v>0</v>
      </c>
      <c r="AI36" s="13">
        <f t="shared" si="11"/>
        <v>46</v>
      </c>
      <c r="AJ36" s="13">
        <f t="shared" si="11"/>
        <v>78</v>
      </c>
      <c r="AK36" s="13">
        <f t="shared" si="11"/>
        <v>78</v>
      </c>
      <c r="AL36" s="13">
        <f t="shared" si="11"/>
        <v>75</v>
      </c>
      <c r="AM36" s="13">
        <f t="shared" si="11"/>
        <v>66</v>
      </c>
      <c r="AN36" s="13">
        <f t="shared" si="11"/>
        <v>60</v>
      </c>
      <c r="AO36" s="13">
        <f t="shared" si="11"/>
        <v>56</v>
      </c>
      <c r="AP36" s="13">
        <f t="shared" si="11"/>
        <v>66</v>
      </c>
      <c r="AQ36" s="13">
        <f t="shared" si="11"/>
        <v>73</v>
      </c>
      <c r="AR36" s="13">
        <f t="shared" si="11"/>
        <v>69</v>
      </c>
      <c r="AS36" s="13">
        <f t="shared" si="11"/>
        <v>82</v>
      </c>
      <c r="AT36" s="13">
        <f t="shared" si="11"/>
        <v>72</v>
      </c>
      <c r="AU36" s="13">
        <f t="shared" si="11"/>
        <v>69</v>
      </c>
      <c r="AV36" s="13">
        <f t="shared" si="11"/>
        <v>91</v>
      </c>
      <c r="AW36" s="13">
        <f t="shared" si="11"/>
        <v>98</v>
      </c>
      <c r="AX36" s="13">
        <f t="shared" si="11"/>
        <v>103</v>
      </c>
      <c r="AY36" s="13">
        <f t="shared" si="11"/>
        <v>60</v>
      </c>
      <c r="AZ36" s="13">
        <f t="shared" si="10"/>
        <v>3118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19"/>
      <c r="AH37" s="75"/>
      <c r="AI37" s="19"/>
      <c r="AJ37" s="19"/>
      <c r="AK37" s="19"/>
      <c r="AL37" s="19"/>
      <c r="AM37" s="75"/>
      <c r="AN37" s="19"/>
      <c r="AO37" s="19"/>
      <c r="AP37" s="19"/>
      <c r="AQ37" s="19"/>
      <c r="AR37" s="75"/>
      <c r="AS37" s="19"/>
      <c r="AT37" s="19"/>
      <c r="AU37" s="19"/>
      <c r="AV37" s="19"/>
      <c r="AW37" s="75"/>
      <c r="AX37" s="19"/>
      <c r="AY37" s="19"/>
      <c r="AZ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13"/>
      <c r="AH38" s="77"/>
      <c r="AI38" s="13"/>
      <c r="AJ38" s="13"/>
      <c r="AK38" s="13"/>
      <c r="AL38" s="13"/>
      <c r="AM38" s="77"/>
      <c r="AN38" s="13"/>
      <c r="AO38" s="13"/>
      <c r="AP38" s="13"/>
      <c r="AQ38" s="13"/>
      <c r="AR38" s="77"/>
      <c r="AS38" s="13"/>
      <c r="AT38" s="13"/>
      <c r="AU38" s="13"/>
      <c r="AV38" s="13"/>
      <c r="AW38" s="77"/>
      <c r="AX38" s="13"/>
      <c r="AY38" s="13"/>
      <c r="AZ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1.0</v>
      </c>
      <c r="V39" s="74">
        <v>1.0</v>
      </c>
      <c r="W39" s="74">
        <v>0.0</v>
      </c>
      <c r="X39" s="74">
        <v>0.0</v>
      </c>
      <c r="Y39" s="74">
        <v>0.0</v>
      </c>
      <c r="Z39" s="74">
        <v>2.0</v>
      </c>
      <c r="AA39" s="74">
        <v>0.0</v>
      </c>
      <c r="AB39" s="74">
        <v>1.0</v>
      </c>
      <c r="AC39" s="74">
        <v>0.0</v>
      </c>
      <c r="AD39" s="74">
        <v>0.0</v>
      </c>
      <c r="AE39" s="74">
        <v>0.0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74">
        <v>0.0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1.0</v>
      </c>
      <c r="AR39" s="74">
        <v>0.0</v>
      </c>
      <c r="AS39" s="74">
        <v>1.0</v>
      </c>
      <c r="AT39" s="74">
        <v>0.0</v>
      </c>
      <c r="AU39" s="74">
        <v>0.0</v>
      </c>
      <c r="AV39" s="74">
        <v>0.0</v>
      </c>
      <c r="AW39" s="74">
        <v>0.0</v>
      </c>
      <c r="AX39" s="74">
        <v>0.0</v>
      </c>
      <c r="AY39" s="74">
        <v>0.0</v>
      </c>
      <c r="AZ39" s="13">
        <f t="shared" ref="AZ39:AZ41" si="12">SUM(E39:AY39)</f>
        <v>7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1.0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1.0</v>
      </c>
      <c r="AA40" s="74">
        <v>0.0</v>
      </c>
      <c r="AB40" s="74">
        <v>1.0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74">
        <v>0.0</v>
      </c>
      <c r="AL40" s="74">
        <v>0.0</v>
      </c>
      <c r="AM40" s="74">
        <v>0.0</v>
      </c>
      <c r="AN40" s="74">
        <v>0.0</v>
      </c>
      <c r="AO40" s="74">
        <v>0.0</v>
      </c>
      <c r="AP40" s="74">
        <v>0.0</v>
      </c>
      <c r="AQ40" s="74">
        <v>0.0</v>
      </c>
      <c r="AR40" s="74">
        <v>0.0</v>
      </c>
      <c r="AS40" s="74">
        <v>0.0</v>
      </c>
      <c r="AT40" s="74">
        <v>0.0</v>
      </c>
      <c r="AU40" s="74">
        <v>0.0</v>
      </c>
      <c r="AV40" s="74">
        <v>0.0</v>
      </c>
      <c r="AW40" s="74">
        <v>0.0</v>
      </c>
      <c r="AX40" s="74">
        <v>0.0</v>
      </c>
      <c r="AY40" s="74">
        <v>0.0</v>
      </c>
      <c r="AZ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9"/>
      <c r="AH42" s="75"/>
      <c r="AI42" s="19"/>
      <c r="AJ42" s="19"/>
      <c r="AK42" s="19"/>
      <c r="AL42" s="19"/>
      <c r="AM42" s="75"/>
      <c r="AN42" s="19"/>
      <c r="AO42" s="19"/>
      <c r="AP42" s="19"/>
      <c r="AQ42" s="19"/>
      <c r="AR42" s="75"/>
      <c r="AS42" s="19"/>
      <c r="AT42" s="19"/>
      <c r="AU42" s="19"/>
      <c r="AV42" s="19"/>
      <c r="AW42" s="75"/>
      <c r="AX42" s="19"/>
      <c r="AY42" s="19"/>
      <c r="A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  <c r="AH43" s="77"/>
      <c r="AI43" s="13"/>
      <c r="AJ43" s="13"/>
      <c r="AK43" s="13"/>
      <c r="AL43" s="13"/>
      <c r="AM43" s="77"/>
      <c r="AN43" s="13"/>
      <c r="AO43" s="13"/>
      <c r="AP43" s="13"/>
      <c r="AQ43" s="13"/>
      <c r="AR43" s="77"/>
      <c r="AS43" s="13"/>
      <c r="AT43" s="13"/>
      <c r="AU43" s="13"/>
      <c r="AV43" s="13"/>
      <c r="AW43" s="77"/>
      <c r="AX43" s="13"/>
      <c r="AY43" s="13"/>
      <c r="A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9"/>
      <c r="AH44" s="75"/>
      <c r="AI44" s="19"/>
      <c r="AJ44" s="19"/>
      <c r="AK44" s="19"/>
      <c r="AL44" s="19"/>
      <c r="AM44" s="75"/>
      <c r="AN44" s="19"/>
      <c r="AO44" s="19"/>
      <c r="AP44" s="19"/>
      <c r="AQ44" s="19"/>
      <c r="AR44" s="75"/>
      <c r="AS44" s="19"/>
      <c r="AT44" s="19"/>
      <c r="AU44" s="19"/>
      <c r="AV44" s="19"/>
      <c r="AW44" s="75"/>
      <c r="AX44" s="19"/>
      <c r="AY44" s="19"/>
      <c r="A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15.0</v>
      </c>
      <c r="F45" s="74">
        <v>7.0</v>
      </c>
      <c r="G45" s="74">
        <v>12.0</v>
      </c>
      <c r="H45" s="74">
        <v>6.0</v>
      </c>
      <c r="I45" s="74">
        <v>15.0</v>
      </c>
      <c r="J45" s="74">
        <v>13.0</v>
      </c>
      <c r="K45" s="74">
        <v>11.0</v>
      </c>
      <c r="L45" s="74">
        <v>9.0</v>
      </c>
      <c r="M45" s="74">
        <v>3.0</v>
      </c>
      <c r="N45" s="74">
        <v>4.0</v>
      </c>
      <c r="O45" s="74">
        <v>10.0</v>
      </c>
      <c r="P45" s="74">
        <v>10.0</v>
      </c>
      <c r="Q45" s="74">
        <v>7.0</v>
      </c>
      <c r="R45" s="74">
        <v>13.0</v>
      </c>
      <c r="S45" s="74">
        <v>7.0</v>
      </c>
      <c r="T45" s="74">
        <v>6.0</v>
      </c>
      <c r="U45" s="74">
        <v>7.0</v>
      </c>
      <c r="V45" s="74">
        <v>10.0</v>
      </c>
      <c r="W45" s="74">
        <v>8.0</v>
      </c>
      <c r="X45" s="74">
        <v>12.0</v>
      </c>
      <c r="Y45" s="74">
        <v>1.0</v>
      </c>
      <c r="Z45" s="74">
        <v>2.0</v>
      </c>
      <c r="AA45" s="74">
        <v>4.0</v>
      </c>
      <c r="AB45" s="74">
        <v>3.0</v>
      </c>
      <c r="AC45" s="74">
        <v>8.0</v>
      </c>
      <c r="AD45" s="74">
        <v>17.0</v>
      </c>
      <c r="AE45" s="74">
        <v>7.0</v>
      </c>
      <c r="AF45" s="74">
        <v>0.0</v>
      </c>
      <c r="AG45" s="74">
        <v>7.0</v>
      </c>
      <c r="AH45" s="74">
        <v>10.0</v>
      </c>
      <c r="AI45" s="74">
        <v>6.0</v>
      </c>
      <c r="AJ45" s="74">
        <v>4.0</v>
      </c>
      <c r="AK45" s="74">
        <v>5.0</v>
      </c>
      <c r="AL45" s="74">
        <v>13.0</v>
      </c>
      <c r="AM45" s="74">
        <v>4.0</v>
      </c>
      <c r="AN45" s="74">
        <v>5.0</v>
      </c>
      <c r="AO45" s="74">
        <v>4.0</v>
      </c>
      <c r="AP45" s="74">
        <v>7.0</v>
      </c>
      <c r="AQ45" s="74">
        <v>8.0</v>
      </c>
      <c r="AR45" s="74">
        <v>10.0</v>
      </c>
      <c r="AS45" s="74">
        <v>8.0</v>
      </c>
      <c r="AT45" s="74">
        <v>10.0</v>
      </c>
      <c r="AU45" s="74">
        <v>11.0</v>
      </c>
      <c r="AV45" s="74">
        <v>3.0</v>
      </c>
      <c r="AW45" s="74">
        <v>9.0</v>
      </c>
      <c r="AX45" s="74">
        <v>5.0</v>
      </c>
      <c r="AY45" s="74">
        <v>8.0</v>
      </c>
      <c r="AZ45" s="13">
        <f t="shared" ref="AZ45:AZ54" si="14">SUM(E45:AY45)</f>
        <v>364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10.0</v>
      </c>
      <c r="F46" s="74">
        <v>20.0</v>
      </c>
      <c r="G46" s="74">
        <v>10.0</v>
      </c>
      <c r="H46" s="74">
        <v>20.0</v>
      </c>
      <c r="I46" s="74">
        <v>16.0</v>
      </c>
      <c r="J46" s="74">
        <v>18.0</v>
      </c>
      <c r="K46" s="74">
        <v>5.0</v>
      </c>
      <c r="L46" s="74">
        <v>13.0</v>
      </c>
      <c r="M46" s="74">
        <v>11.0</v>
      </c>
      <c r="N46" s="74">
        <v>15.0</v>
      </c>
      <c r="O46" s="74">
        <v>6.0</v>
      </c>
      <c r="P46" s="74">
        <v>31.0</v>
      </c>
      <c r="Q46" s="74">
        <v>11.0</v>
      </c>
      <c r="R46" s="74">
        <v>19.0</v>
      </c>
      <c r="S46" s="74">
        <v>4.0</v>
      </c>
      <c r="T46" s="74">
        <v>24.0</v>
      </c>
      <c r="U46" s="74">
        <v>19.0</v>
      </c>
      <c r="V46" s="74">
        <v>3.0</v>
      </c>
      <c r="W46" s="74">
        <v>10.0</v>
      </c>
      <c r="X46" s="74">
        <v>6.0</v>
      </c>
      <c r="Y46" s="74">
        <v>2.0</v>
      </c>
      <c r="Z46" s="74">
        <v>5.0</v>
      </c>
      <c r="AA46" s="74">
        <v>1.0</v>
      </c>
      <c r="AB46" s="74">
        <v>6.0</v>
      </c>
      <c r="AC46" s="74">
        <v>7.0</v>
      </c>
      <c r="AD46" s="74">
        <v>14.0</v>
      </c>
      <c r="AE46" s="74">
        <v>2.0</v>
      </c>
      <c r="AF46" s="74">
        <v>1.0</v>
      </c>
      <c r="AG46" s="74">
        <v>8.0</v>
      </c>
      <c r="AH46" s="74">
        <v>19.0</v>
      </c>
      <c r="AI46" s="74">
        <v>19.0</v>
      </c>
      <c r="AJ46" s="74">
        <v>15.0</v>
      </c>
      <c r="AK46" s="74">
        <v>37.0</v>
      </c>
      <c r="AL46" s="74">
        <v>27.0</v>
      </c>
      <c r="AM46" s="74">
        <v>5.0</v>
      </c>
      <c r="AN46" s="74">
        <v>3.0</v>
      </c>
      <c r="AO46" s="74">
        <v>31.0</v>
      </c>
      <c r="AP46" s="74">
        <v>31.0</v>
      </c>
      <c r="AQ46" s="74">
        <v>14.0</v>
      </c>
      <c r="AR46" s="74">
        <v>36.0</v>
      </c>
      <c r="AS46" s="74">
        <v>16.0</v>
      </c>
      <c r="AT46" s="74">
        <v>8.0</v>
      </c>
      <c r="AU46" s="74">
        <v>9.0</v>
      </c>
      <c r="AV46" s="74">
        <v>8.0</v>
      </c>
      <c r="AW46" s="74">
        <v>15.0</v>
      </c>
      <c r="AX46" s="74">
        <v>3.0</v>
      </c>
      <c r="AY46" s="74">
        <v>12.0</v>
      </c>
      <c r="AZ46" s="13">
        <f t="shared" si="14"/>
        <v>625</v>
      </c>
    </row>
    <row r="47" ht="12.75" customHeight="1">
      <c r="A47" s="18"/>
      <c r="B47" s="55"/>
      <c r="C47" s="50" t="s">
        <v>41</v>
      </c>
      <c r="D47" s="50"/>
      <c r="E47" s="74">
        <v>6.0</v>
      </c>
      <c r="F47" s="74">
        <v>1.0</v>
      </c>
      <c r="G47" s="74">
        <v>3.0</v>
      </c>
      <c r="H47" s="74">
        <v>1.0</v>
      </c>
      <c r="I47" s="74">
        <v>3.0</v>
      </c>
      <c r="J47" s="74">
        <v>24.0</v>
      </c>
      <c r="K47" s="74">
        <v>31.0</v>
      </c>
      <c r="L47" s="74">
        <v>1.0</v>
      </c>
      <c r="M47" s="74">
        <v>9.0</v>
      </c>
      <c r="N47" s="74">
        <v>2.0</v>
      </c>
      <c r="O47" s="74">
        <v>2.0</v>
      </c>
      <c r="P47" s="74">
        <v>2.0</v>
      </c>
      <c r="Q47" s="74">
        <v>1.0</v>
      </c>
      <c r="R47" s="74">
        <v>2.0</v>
      </c>
      <c r="S47" s="74">
        <v>1.0</v>
      </c>
      <c r="T47" s="74">
        <v>2.0</v>
      </c>
      <c r="U47" s="74">
        <v>8.0</v>
      </c>
      <c r="V47" s="74">
        <v>1.0</v>
      </c>
      <c r="W47" s="74">
        <v>1.0</v>
      </c>
      <c r="X47" s="74">
        <v>0.0</v>
      </c>
      <c r="Y47" s="74">
        <v>1.0</v>
      </c>
      <c r="Z47" s="74">
        <v>1.0</v>
      </c>
      <c r="AA47" s="74">
        <v>0.0</v>
      </c>
      <c r="AB47" s="74">
        <v>0.0</v>
      </c>
      <c r="AC47" s="74">
        <v>2.0</v>
      </c>
      <c r="AD47" s="74">
        <v>5.0</v>
      </c>
      <c r="AE47" s="74">
        <v>3.0</v>
      </c>
      <c r="AF47" s="74">
        <v>0.0</v>
      </c>
      <c r="AG47" s="74">
        <v>2.0</v>
      </c>
      <c r="AH47" s="74">
        <v>44.0</v>
      </c>
      <c r="AI47" s="74">
        <v>9.0</v>
      </c>
      <c r="AJ47" s="74">
        <v>4.0</v>
      </c>
      <c r="AK47" s="74">
        <v>3.0</v>
      </c>
      <c r="AL47" s="74">
        <v>2.0</v>
      </c>
      <c r="AM47" s="74">
        <v>2.0</v>
      </c>
      <c r="AN47" s="74">
        <v>0.0</v>
      </c>
      <c r="AO47" s="74">
        <v>4.0</v>
      </c>
      <c r="AP47" s="74">
        <v>5.0</v>
      </c>
      <c r="AQ47" s="74">
        <v>1.0</v>
      </c>
      <c r="AR47" s="74">
        <v>3.0</v>
      </c>
      <c r="AS47" s="74">
        <v>2.0</v>
      </c>
      <c r="AT47" s="74">
        <v>4.0</v>
      </c>
      <c r="AU47" s="74">
        <v>0.0</v>
      </c>
      <c r="AV47" s="74">
        <v>0.0</v>
      </c>
      <c r="AW47" s="74">
        <v>1.0</v>
      </c>
      <c r="AX47" s="74">
        <v>1.0</v>
      </c>
      <c r="AY47" s="74">
        <v>2.0</v>
      </c>
      <c r="AZ47" s="13">
        <f t="shared" si="14"/>
        <v>202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1.0</v>
      </c>
      <c r="G48" s="74">
        <v>2.0</v>
      </c>
      <c r="H48" s="74">
        <v>1.0</v>
      </c>
      <c r="I48" s="74">
        <v>3.0</v>
      </c>
      <c r="J48" s="74">
        <v>1.0</v>
      </c>
      <c r="K48" s="74">
        <v>1.0</v>
      </c>
      <c r="L48" s="74">
        <v>1.0</v>
      </c>
      <c r="M48" s="74">
        <v>0.0</v>
      </c>
      <c r="N48" s="74">
        <v>1.0</v>
      </c>
      <c r="O48" s="74">
        <v>0.0</v>
      </c>
      <c r="P48" s="74">
        <v>1.0</v>
      </c>
      <c r="Q48" s="74">
        <v>1.0</v>
      </c>
      <c r="R48" s="74">
        <v>3.0</v>
      </c>
      <c r="S48" s="74">
        <v>0.0</v>
      </c>
      <c r="T48" s="74">
        <v>0.0</v>
      </c>
      <c r="U48" s="74">
        <v>1.0</v>
      </c>
      <c r="V48" s="74">
        <v>1.0</v>
      </c>
      <c r="W48" s="74">
        <v>1.0</v>
      </c>
      <c r="X48" s="74">
        <v>1.0</v>
      </c>
      <c r="Y48" s="74">
        <v>0.0</v>
      </c>
      <c r="Z48" s="74">
        <v>0.0</v>
      </c>
      <c r="AA48" s="74">
        <v>0.0</v>
      </c>
      <c r="AB48" s="74">
        <v>0.0</v>
      </c>
      <c r="AC48" s="74">
        <v>0.0</v>
      </c>
      <c r="AD48" s="74">
        <v>2.0</v>
      </c>
      <c r="AE48" s="74">
        <v>1.0</v>
      </c>
      <c r="AF48" s="74">
        <v>0.0</v>
      </c>
      <c r="AG48" s="74">
        <v>1.0</v>
      </c>
      <c r="AH48" s="74">
        <v>0.0</v>
      </c>
      <c r="AI48" s="74">
        <v>0.0</v>
      </c>
      <c r="AJ48" s="74">
        <v>0.0</v>
      </c>
      <c r="AK48" s="74">
        <v>0.0</v>
      </c>
      <c r="AL48" s="74">
        <v>0.0</v>
      </c>
      <c r="AM48" s="74">
        <v>1.0</v>
      </c>
      <c r="AN48" s="74">
        <v>0.0</v>
      </c>
      <c r="AO48" s="74">
        <v>2.0</v>
      </c>
      <c r="AP48" s="74">
        <v>1.0</v>
      </c>
      <c r="AQ48" s="74">
        <v>0.0</v>
      </c>
      <c r="AR48" s="74">
        <v>2.0</v>
      </c>
      <c r="AS48" s="74">
        <v>0.0</v>
      </c>
      <c r="AT48" s="74">
        <v>0.0</v>
      </c>
      <c r="AU48" s="74">
        <v>1.0</v>
      </c>
      <c r="AV48" s="74">
        <v>1.0</v>
      </c>
      <c r="AW48" s="74">
        <v>1.0</v>
      </c>
      <c r="AX48" s="74">
        <v>1.0</v>
      </c>
      <c r="AY48" s="74">
        <v>0.0</v>
      </c>
      <c r="AZ48" s="13">
        <f t="shared" si="14"/>
        <v>35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2.0</v>
      </c>
      <c r="G49" s="74">
        <v>2.0</v>
      </c>
      <c r="H49" s="74">
        <v>2.0</v>
      </c>
      <c r="I49" s="74">
        <v>1.0</v>
      </c>
      <c r="J49" s="74">
        <v>1.0</v>
      </c>
      <c r="K49" s="74">
        <v>0.0</v>
      </c>
      <c r="L49" s="74">
        <v>1.0</v>
      </c>
      <c r="M49" s="74">
        <v>0.0</v>
      </c>
      <c r="N49" s="74">
        <v>5.0</v>
      </c>
      <c r="O49" s="74">
        <v>0.0</v>
      </c>
      <c r="P49" s="74">
        <v>0.0</v>
      </c>
      <c r="Q49" s="74">
        <v>1.0</v>
      </c>
      <c r="R49" s="74">
        <v>2.0</v>
      </c>
      <c r="S49" s="74">
        <v>1.0</v>
      </c>
      <c r="T49" s="74">
        <v>1.0</v>
      </c>
      <c r="U49" s="74">
        <v>3.0</v>
      </c>
      <c r="V49" s="74">
        <v>1.0</v>
      </c>
      <c r="W49" s="74">
        <v>1.0</v>
      </c>
      <c r="X49" s="74">
        <v>0.0</v>
      </c>
      <c r="Y49" s="74">
        <v>0.0</v>
      </c>
      <c r="Z49" s="74">
        <v>1.0</v>
      </c>
      <c r="AA49" s="74">
        <v>1.0</v>
      </c>
      <c r="AB49" s="74">
        <v>1.0</v>
      </c>
      <c r="AC49" s="74">
        <v>0.0</v>
      </c>
      <c r="AD49" s="74">
        <v>1.0</v>
      </c>
      <c r="AE49" s="74">
        <v>1.0</v>
      </c>
      <c r="AF49" s="74">
        <v>1.0</v>
      </c>
      <c r="AG49" s="74">
        <v>1.0</v>
      </c>
      <c r="AH49" s="74">
        <v>2.0</v>
      </c>
      <c r="AI49" s="74">
        <v>1.0</v>
      </c>
      <c r="AJ49" s="74">
        <v>1.0</v>
      </c>
      <c r="AK49" s="74">
        <v>1.0</v>
      </c>
      <c r="AL49" s="74">
        <v>1.0</v>
      </c>
      <c r="AM49" s="74">
        <v>1.0</v>
      </c>
      <c r="AN49" s="74">
        <v>0.0</v>
      </c>
      <c r="AO49" s="74">
        <v>2.0</v>
      </c>
      <c r="AP49" s="74">
        <v>1.0</v>
      </c>
      <c r="AQ49" s="74">
        <v>2.0</v>
      </c>
      <c r="AR49" s="74">
        <v>4.0</v>
      </c>
      <c r="AS49" s="74">
        <v>1.0</v>
      </c>
      <c r="AT49" s="74">
        <v>1.0</v>
      </c>
      <c r="AU49" s="74">
        <v>1.0</v>
      </c>
      <c r="AV49" s="74">
        <v>2.0</v>
      </c>
      <c r="AW49" s="74">
        <v>1.0</v>
      </c>
      <c r="AX49" s="74">
        <v>1.0</v>
      </c>
      <c r="AY49" s="74">
        <v>0.0</v>
      </c>
      <c r="AZ49" s="13">
        <f t="shared" si="14"/>
        <v>54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1.0</v>
      </c>
      <c r="G50" s="74">
        <v>1.0</v>
      </c>
      <c r="H50" s="74">
        <v>0.0</v>
      </c>
      <c r="I50" s="74">
        <v>2.0</v>
      </c>
      <c r="J50" s="74">
        <v>2.0</v>
      </c>
      <c r="K50" s="74">
        <v>0.0</v>
      </c>
      <c r="L50" s="74">
        <v>4.0</v>
      </c>
      <c r="M50" s="74">
        <v>0.0</v>
      </c>
      <c r="N50" s="74">
        <v>1.0</v>
      </c>
      <c r="O50" s="74">
        <v>0.0</v>
      </c>
      <c r="P50" s="74">
        <v>2.0</v>
      </c>
      <c r="Q50" s="74">
        <v>3.0</v>
      </c>
      <c r="R50" s="74">
        <v>2.0</v>
      </c>
      <c r="S50" s="74">
        <v>2.0</v>
      </c>
      <c r="T50" s="74">
        <v>0.0</v>
      </c>
      <c r="U50" s="74">
        <v>0.0</v>
      </c>
      <c r="V50" s="74">
        <v>1.0</v>
      </c>
      <c r="W50" s="74">
        <v>0.0</v>
      </c>
      <c r="X50" s="74">
        <v>0.0</v>
      </c>
      <c r="Y50" s="74">
        <v>2.0</v>
      </c>
      <c r="Z50" s="74">
        <v>2.0</v>
      </c>
      <c r="AA50" s="74">
        <v>1.0</v>
      </c>
      <c r="AB50" s="74">
        <v>6.0</v>
      </c>
      <c r="AC50" s="74">
        <v>0.0</v>
      </c>
      <c r="AD50" s="74">
        <v>1.0</v>
      </c>
      <c r="AE50" s="74">
        <v>0.0</v>
      </c>
      <c r="AF50" s="74">
        <v>0.0</v>
      </c>
      <c r="AG50" s="74">
        <v>0.0</v>
      </c>
      <c r="AH50" s="74">
        <v>0.0</v>
      </c>
      <c r="AI50" s="74">
        <v>1.0</v>
      </c>
      <c r="AJ50" s="74">
        <v>2.0</v>
      </c>
      <c r="AK50" s="74">
        <v>1.0</v>
      </c>
      <c r="AL50" s="74">
        <v>3.0</v>
      </c>
      <c r="AM50" s="74">
        <v>2.0</v>
      </c>
      <c r="AN50" s="74">
        <v>0.0</v>
      </c>
      <c r="AO50" s="74">
        <v>5.0</v>
      </c>
      <c r="AP50" s="74">
        <v>2.0</v>
      </c>
      <c r="AQ50" s="74">
        <v>0.0</v>
      </c>
      <c r="AR50" s="74">
        <v>0.0</v>
      </c>
      <c r="AS50" s="74">
        <v>1.0</v>
      </c>
      <c r="AT50" s="74">
        <v>0.0</v>
      </c>
      <c r="AU50" s="74">
        <v>0.0</v>
      </c>
      <c r="AV50" s="74">
        <v>0.0</v>
      </c>
      <c r="AW50" s="74">
        <v>3.0</v>
      </c>
      <c r="AX50" s="74">
        <v>0.0</v>
      </c>
      <c r="AY50" s="74">
        <v>0.0</v>
      </c>
      <c r="AZ50" s="13">
        <f t="shared" si="14"/>
        <v>53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5.0</v>
      </c>
      <c r="G51" s="74">
        <v>2.0</v>
      </c>
      <c r="H51" s="74">
        <v>3.0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0.0</v>
      </c>
      <c r="O51" s="74">
        <v>2.0</v>
      </c>
      <c r="P51" s="74">
        <v>0.0</v>
      </c>
      <c r="Q51" s="74">
        <v>0.0</v>
      </c>
      <c r="R51" s="74">
        <v>0.0</v>
      </c>
      <c r="S51" s="74">
        <v>0.0</v>
      </c>
      <c r="T51" s="74">
        <v>1.0</v>
      </c>
      <c r="U51" s="74">
        <v>0.0</v>
      </c>
      <c r="V51" s="74">
        <v>0.0</v>
      </c>
      <c r="W51" s="74">
        <v>1.0</v>
      </c>
      <c r="X51" s="74">
        <v>0.0</v>
      </c>
      <c r="Y51" s="74">
        <v>1.0</v>
      </c>
      <c r="Z51" s="74">
        <v>0.0</v>
      </c>
      <c r="AA51" s="74">
        <v>0.0</v>
      </c>
      <c r="AB51" s="74">
        <v>0.0</v>
      </c>
      <c r="AC51" s="74">
        <v>2.0</v>
      </c>
      <c r="AD51" s="74">
        <v>1.0</v>
      </c>
      <c r="AE51" s="74">
        <v>3.0</v>
      </c>
      <c r="AF51" s="74">
        <v>2.0</v>
      </c>
      <c r="AG51" s="74">
        <v>0.0</v>
      </c>
      <c r="AH51" s="74">
        <v>1.0</v>
      </c>
      <c r="AI51" s="74">
        <v>0.0</v>
      </c>
      <c r="AJ51" s="74">
        <v>0.0</v>
      </c>
      <c r="AK51" s="74">
        <v>1.0</v>
      </c>
      <c r="AL51" s="74">
        <v>2.0</v>
      </c>
      <c r="AM51" s="74">
        <v>1.0</v>
      </c>
      <c r="AN51" s="74">
        <v>1.0</v>
      </c>
      <c r="AO51" s="74">
        <v>0.0</v>
      </c>
      <c r="AP51" s="74">
        <v>0.0</v>
      </c>
      <c r="AQ51" s="74">
        <v>1.0</v>
      </c>
      <c r="AR51" s="74">
        <v>1.0</v>
      </c>
      <c r="AS51" s="74">
        <v>1.0</v>
      </c>
      <c r="AT51" s="74">
        <v>0.0</v>
      </c>
      <c r="AU51" s="74">
        <v>1.0</v>
      </c>
      <c r="AV51" s="74">
        <v>0.0</v>
      </c>
      <c r="AW51" s="74">
        <v>1.0</v>
      </c>
      <c r="AX51" s="74">
        <v>1.0</v>
      </c>
      <c r="AY51" s="74">
        <v>0.0</v>
      </c>
      <c r="AZ51" s="13">
        <f t="shared" si="14"/>
        <v>36</v>
      </c>
    </row>
    <row r="52" ht="12.75" customHeight="1">
      <c r="A52" s="18"/>
      <c r="B52" s="55"/>
      <c r="C52" s="50" t="s">
        <v>46</v>
      </c>
      <c r="D52" s="50"/>
      <c r="E52" s="74">
        <v>2.0</v>
      </c>
      <c r="F52" s="74">
        <v>0.0</v>
      </c>
      <c r="G52" s="74">
        <v>3.0</v>
      </c>
      <c r="H52" s="74">
        <v>2.0</v>
      </c>
      <c r="I52" s="74">
        <v>3.0</v>
      </c>
      <c r="J52" s="74">
        <v>1.0</v>
      </c>
      <c r="K52" s="74">
        <v>4.0</v>
      </c>
      <c r="L52" s="74">
        <v>5.0</v>
      </c>
      <c r="M52" s="74">
        <v>5.0</v>
      </c>
      <c r="N52" s="74">
        <v>1.0</v>
      </c>
      <c r="O52" s="74">
        <v>3.0</v>
      </c>
      <c r="P52" s="74">
        <v>2.0</v>
      </c>
      <c r="Q52" s="74">
        <v>4.0</v>
      </c>
      <c r="R52" s="74">
        <v>2.0</v>
      </c>
      <c r="S52" s="74">
        <v>3.0</v>
      </c>
      <c r="T52" s="74">
        <v>1.0</v>
      </c>
      <c r="U52" s="74">
        <v>3.0</v>
      </c>
      <c r="V52" s="74">
        <v>1.0</v>
      </c>
      <c r="W52" s="74">
        <v>2.0</v>
      </c>
      <c r="X52" s="74">
        <v>1.0</v>
      </c>
      <c r="Y52" s="74">
        <v>2.0</v>
      </c>
      <c r="Z52" s="74">
        <v>2.0</v>
      </c>
      <c r="AA52" s="74">
        <v>2.0</v>
      </c>
      <c r="AB52" s="74">
        <v>1.0</v>
      </c>
      <c r="AC52" s="74">
        <v>3.0</v>
      </c>
      <c r="AD52" s="74">
        <v>0.0</v>
      </c>
      <c r="AE52" s="74">
        <v>7.0</v>
      </c>
      <c r="AF52" s="74">
        <v>0.0</v>
      </c>
      <c r="AG52" s="74">
        <v>2.0</v>
      </c>
      <c r="AH52" s="74">
        <v>2.0</v>
      </c>
      <c r="AI52" s="74">
        <v>5.0</v>
      </c>
      <c r="AJ52" s="74">
        <v>2.0</v>
      </c>
      <c r="AK52" s="74">
        <v>2.0</v>
      </c>
      <c r="AL52" s="74">
        <v>2.0</v>
      </c>
      <c r="AM52" s="74">
        <v>2.0</v>
      </c>
      <c r="AN52" s="74">
        <v>1.0</v>
      </c>
      <c r="AO52" s="74">
        <v>2.0</v>
      </c>
      <c r="AP52" s="74">
        <v>4.0</v>
      </c>
      <c r="AQ52" s="74">
        <v>2.0</v>
      </c>
      <c r="AR52" s="74">
        <v>3.0</v>
      </c>
      <c r="AS52" s="74">
        <v>3.0</v>
      </c>
      <c r="AT52" s="74">
        <v>0.0</v>
      </c>
      <c r="AU52" s="74">
        <v>2.0</v>
      </c>
      <c r="AV52" s="74">
        <v>2.0</v>
      </c>
      <c r="AW52" s="74">
        <v>2.0</v>
      </c>
      <c r="AX52" s="74">
        <v>1.0</v>
      </c>
      <c r="AY52" s="74">
        <v>2.0</v>
      </c>
      <c r="AZ52" s="13">
        <f t="shared" si="14"/>
        <v>106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2.0</v>
      </c>
      <c r="K53" s="74">
        <v>1.0</v>
      </c>
      <c r="L53" s="74">
        <v>0.0</v>
      </c>
      <c r="M53" s="74">
        <v>0.0</v>
      </c>
      <c r="N53" s="74">
        <v>0.0</v>
      </c>
      <c r="O53" s="74">
        <v>0.0</v>
      </c>
      <c r="P53" s="74">
        <v>1.0</v>
      </c>
      <c r="Q53" s="74">
        <v>0.0</v>
      </c>
      <c r="R53" s="74">
        <v>2.0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1.0</v>
      </c>
      <c r="Z53" s="74">
        <v>0.0</v>
      </c>
      <c r="AA53" s="74">
        <v>1.0</v>
      </c>
      <c r="AB53" s="74">
        <v>0.0</v>
      </c>
      <c r="AC53" s="74">
        <v>0.0</v>
      </c>
      <c r="AD53" s="74">
        <v>1.0</v>
      </c>
      <c r="AE53" s="74">
        <v>1.0</v>
      </c>
      <c r="AF53" s="74">
        <v>0.0</v>
      </c>
      <c r="AG53" s="74">
        <v>0.0</v>
      </c>
      <c r="AH53" s="74">
        <v>0.0</v>
      </c>
      <c r="AI53" s="74">
        <v>1.0</v>
      </c>
      <c r="AJ53" s="74">
        <v>0.0</v>
      </c>
      <c r="AK53" s="74">
        <v>0.0</v>
      </c>
      <c r="AL53" s="74">
        <v>1.0</v>
      </c>
      <c r="AM53" s="74">
        <v>0.0</v>
      </c>
      <c r="AN53" s="74">
        <v>0.0</v>
      </c>
      <c r="AO53" s="74">
        <v>0.0</v>
      </c>
      <c r="AP53" s="74">
        <v>0.0</v>
      </c>
      <c r="AQ53" s="74">
        <v>0.0</v>
      </c>
      <c r="AR53" s="74">
        <v>0.0</v>
      </c>
      <c r="AS53" s="74">
        <v>0.0</v>
      </c>
      <c r="AT53" s="74">
        <v>1.0</v>
      </c>
      <c r="AU53" s="74">
        <v>0.0</v>
      </c>
      <c r="AV53" s="74">
        <v>0.0</v>
      </c>
      <c r="AW53" s="74">
        <v>0.0</v>
      </c>
      <c r="AX53" s="74">
        <v>0.0</v>
      </c>
      <c r="AY53" s="74">
        <v>0.0</v>
      </c>
      <c r="AZ53" s="13">
        <f t="shared" si="14"/>
        <v>13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3.0</v>
      </c>
      <c r="G54" s="74">
        <v>1.0</v>
      </c>
      <c r="H54" s="74">
        <v>3.0</v>
      </c>
      <c r="I54" s="74">
        <v>1.0</v>
      </c>
      <c r="J54" s="74">
        <v>1.0</v>
      </c>
      <c r="K54" s="74">
        <v>0.0</v>
      </c>
      <c r="L54" s="74">
        <v>2.0</v>
      </c>
      <c r="M54" s="74">
        <v>1.0</v>
      </c>
      <c r="N54" s="74">
        <v>0.0</v>
      </c>
      <c r="O54" s="74">
        <v>3.0</v>
      </c>
      <c r="P54" s="74">
        <v>0.0</v>
      </c>
      <c r="Q54" s="74">
        <v>0.0</v>
      </c>
      <c r="R54" s="74">
        <v>3.0</v>
      </c>
      <c r="S54" s="74">
        <v>0.0</v>
      </c>
      <c r="T54" s="74">
        <v>0.0</v>
      </c>
      <c r="U54" s="74">
        <v>0.0</v>
      </c>
      <c r="V54" s="74">
        <v>0.0</v>
      </c>
      <c r="W54" s="74">
        <v>1.0</v>
      </c>
      <c r="X54" s="74">
        <v>2.0</v>
      </c>
      <c r="Y54" s="74">
        <v>0.0</v>
      </c>
      <c r="Z54" s="74">
        <v>0.0</v>
      </c>
      <c r="AA54" s="74">
        <v>0.0</v>
      </c>
      <c r="AB54" s="74">
        <v>2.0</v>
      </c>
      <c r="AC54" s="74">
        <v>1.0</v>
      </c>
      <c r="AD54" s="74">
        <v>0.0</v>
      </c>
      <c r="AE54" s="74">
        <v>1.0</v>
      </c>
      <c r="AF54" s="74">
        <v>0.0</v>
      </c>
      <c r="AG54" s="74">
        <v>1.0</v>
      </c>
      <c r="AH54" s="74">
        <v>0.0</v>
      </c>
      <c r="AI54" s="74">
        <v>3.0</v>
      </c>
      <c r="AJ54" s="74">
        <v>1.0</v>
      </c>
      <c r="AK54" s="74">
        <v>2.0</v>
      </c>
      <c r="AL54" s="74">
        <v>1.0</v>
      </c>
      <c r="AM54" s="74">
        <v>3.0</v>
      </c>
      <c r="AN54" s="74">
        <v>1.0</v>
      </c>
      <c r="AO54" s="74">
        <v>3.0</v>
      </c>
      <c r="AP54" s="74">
        <v>5.0</v>
      </c>
      <c r="AQ54" s="74">
        <v>0.0</v>
      </c>
      <c r="AR54" s="74">
        <v>4.0</v>
      </c>
      <c r="AS54" s="74">
        <v>1.0</v>
      </c>
      <c r="AT54" s="74">
        <v>3.0</v>
      </c>
      <c r="AU54" s="74">
        <v>1.0</v>
      </c>
      <c r="AV54" s="74">
        <v>0.0</v>
      </c>
      <c r="AW54" s="74">
        <v>1.0</v>
      </c>
      <c r="AX54" s="74">
        <v>1.0</v>
      </c>
      <c r="AY54" s="74">
        <v>0.0</v>
      </c>
      <c r="AZ54" s="13">
        <f t="shared" si="14"/>
        <v>56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Z55" si="15">SUM(E45:E54)</f>
        <v>35</v>
      </c>
      <c r="F55" s="13">
        <f t="shared" si="15"/>
        <v>40</v>
      </c>
      <c r="G55" s="13">
        <f t="shared" si="15"/>
        <v>36</v>
      </c>
      <c r="H55" s="13">
        <f t="shared" si="15"/>
        <v>38</v>
      </c>
      <c r="I55" s="13">
        <f t="shared" si="15"/>
        <v>44</v>
      </c>
      <c r="J55" s="13">
        <f t="shared" si="15"/>
        <v>63</v>
      </c>
      <c r="K55" s="13">
        <f t="shared" si="15"/>
        <v>53</v>
      </c>
      <c r="L55" s="13">
        <f t="shared" si="15"/>
        <v>36</v>
      </c>
      <c r="M55" s="13">
        <f t="shared" si="15"/>
        <v>29</v>
      </c>
      <c r="N55" s="13">
        <f t="shared" si="15"/>
        <v>29</v>
      </c>
      <c r="O55" s="13">
        <f t="shared" si="15"/>
        <v>26</v>
      </c>
      <c r="P55" s="13">
        <f t="shared" si="15"/>
        <v>49</v>
      </c>
      <c r="Q55" s="13">
        <f t="shared" si="15"/>
        <v>28</v>
      </c>
      <c r="R55" s="13">
        <f t="shared" si="15"/>
        <v>48</v>
      </c>
      <c r="S55" s="13">
        <f t="shared" si="15"/>
        <v>18</v>
      </c>
      <c r="T55" s="13">
        <f t="shared" si="15"/>
        <v>35</v>
      </c>
      <c r="U55" s="13">
        <f t="shared" si="15"/>
        <v>41</v>
      </c>
      <c r="V55" s="13">
        <f t="shared" si="15"/>
        <v>18</v>
      </c>
      <c r="W55" s="13">
        <f t="shared" si="15"/>
        <v>25</v>
      </c>
      <c r="X55" s="13">
        <f t="shared" si="15"/>
        <v>22</v>
      </c>
      <c r="Y55" s="13">
        <f t="shared" si="15"/>
        <v>10</v>
      </c>
      <c r="Z55" s="13">
        <f t="shared" si="15"/>
        <v>13</v>
      </c>
      <c r="AA55" s="13">
        <f t="shared" si="15"/>
        <v>10</v>
      </c>
      <c r="AB55" s="13">
        <f t="shared" si="15"/>
        <v>19</v>
      </c>
      <c r="AC55" s="13">
        <f t="shared" si="15"/>
        <v>23</v>
      </c>
      <c r="AD55" s="13">
        <f t="shared" si="15"/>
        <v>42</v>
      </c>
      <c r="AE55" s="13">
        <f t="shared" si="15"/>
        <v>26</v>
      </c>
      <c r="AF55" s="13">
        <f t="shared" si="15"/>
        <v>4</v>
      </c>
      <c r="AG55" s="13">
        <f t="shared" si="15"/>
        <v>22</v>
      </c>
      <c r="AH55" s="13">
        <f t="shared" si="15"/>
        <v>78</v>
      </c>
      <c r="AI55" s="13">
        <f t="shared" si="15"/>
        <v>45</v>
      </c>
      <c r="AJ55" s="13">
        <f t="shared" si="15"/>
        <v>29</v>
      </c>
      <c r="AK55" s="13">
        <f t="shared" si="15"/>
        <v>52</v>
      </c>
      <c r="AL55" s="13">
        <f t="shared" si="15"/>
        <v>52</v>
      </c>
      <c r="AM55" s="13">
        <f t="shared" si="15"/>
        <v>21</v>
      </c>
      <c r="AN55" s="13">
        <f t="shared" si="15"/>
        <v>11</v>
      </c>
      <c r="AO55" s="13">
        <f t="shared" si="15"/>
        <v>53</v>
      </c>
      <c r="AP55" s="13">
        <f t="shared" si="15"/>
        <v>56</v>
      </c>
      <c r="AQ55" s="13">
        <f t="shared" si="15"/>
        <v>28</v>
      </c>
      <c r="AR55" s="13">
        <f t="shared" si="15"/>
        <v>63</v>
      </c>
      <c r="AS55" s="13">
        <f t="shared" si="15"/>
        <v>33</v>
      </c>
      <c r="AT55" s="13">
        <f t="shared" si="15"/>
        <v>27</v>
      </c>
      <c r="AU55" s="13">
        <f t="shared" si="15"/>
        <v>26</v>
      </c>
      <c r="AV55" s="13">
        <f t="shared" si="15"/>
        <v>16</v>
      </c>
      <c r="AW55" s="13">
        <f t="shared" si="15"/>
        <v>34</v>
      </c>
      <c r="AX55" s="13">
        <f t="shared" si="15"/>
        <v>14</v>
      </c>
      <c r="AY55" s="13">
        <f t="shared" si="15"/>
        <v>24</v>
      </c>
      <c r="AZ55" s="13">
        <f t="shared" si="15"/>
        <v>1544</v>
      </c>
    </row>
    <row r="56" ht="12.75" customHeight="1">
      <c r="A56" s="45"/>
      <c r="B56" s="44"/>
      <c r="C56" s="44"/>
      <c r="D56" s="44"/>
      <c r="E56" s="44"/>
      <c r="AZ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18.0</v>
      </c>
      <c r="F57" s="74">
        <v>19.0</v>
      </c>
      <c r="G57" s="74">
        <v>13.0</v>
      </c>
      <c r="H57" s="74">
        <v>14.0</v>
      </c>
      <c r="I57" s="74">
        <v>17.0</v>
      </c>
      <c r="J57" s="74">
        <v>8.0</v>
      </c>
      <c r="K57" s="74">
        <v>10.0</v>
      </c>
      <c r="L57" s="74">
        <v>9.0</v>
      </c>
      <c r="M57" s="74">
        <v>5.0</v>
      </c>
      <c r="N57" s="74">
        <v>19.0</v>
      </c>
      <c r="O57" s="74">
        <v>7.0</v>
      </c>
      <c r="P57" s="74">
        <v>11.0</v>
      </c>
      <c r="Q57" s="74">
        <v>21.0</v>
      </c>
      <c r="R57" s="74">
        <v>10.0</v>
      </c>
      <c r="S57" s="74">
        <v>9.0</v>
      </c>
      <c r="T57" s="74">
        <v>4.0</v>
      </c>
      <c r="U57" s="74">
        <v>18.0</v>
      </c>
      <c r="V57" s="74">
        <v>18.0</v>
      </c>
      <c r="W57" s="74">
        <v>13.0</v>
      </c>
      <c r="X57" s="74">
        <v>15.0</v>
      </c>
      <c r="Y57" s="74">
        <v>17.0</v>
      </c>
      <c r="Z57" s="74">
        <v>22.0</v>
      </c>
      <c r="AA57" s="74">
        <v>6.0</v>
      </c>
      <c r="AB57" s="74">
        <v>8.0</v>
      </c>
      <c r="AC57" s="74">
        <v>13.0</v>
      </c>
      <c r="AD57" s="74">
        <v>11.0</v>
      </c>
      <c r="AE57" s="74">
        <v>3.0</v>
      </c>
      <c r="AF57" s="74">
        <v>4.0</v>
      </c>
      <c r="AG57" s="74">
        <v>8.0</v>
      </c>
      <c r="AH57" s="74">
        <v>13.0</v>
      </c>
      <c r="AI57" s="74">
        <v>12.0</v>
      </c>
      <c r="AJ57" s="74">
        <v>10.0</v>
      </c>
      <c r="AK57" s="74">
        <v>9.0</v>
      </c>
      <c r="AL57" s="74">
        <v>13.0</v>
      </c>
      <c r="AM57" s="74">
        <v>10.0</v>
      </c>
      <c r="AN57" s="74">
        <v>7.0</v>
      </c>
      <c r="AO57" s="74">
        <v>13.0</v>
      </c>
      <c r="AP57" s="74">
        <v>14.0</v>
      </c>
      <c r="AQ57" s="74">
        <v>13.0</v>
      </c>
      <c r="AR57" s="74">
        <v>11.0</v>
      </c>
      <c r="AS57" s="74">
        <v>13.0</v>
      </c>
      <c r="AT57" s="74">
        <v>7.0</v>
      </c>
      <c r="AU57" s="74">
        <v>9.0</v>
      </c>
      <c r="AV57" s="74">
        <v>5.0</v>
      </c>
      <c r="AW57" s="74">
        <v>10.0</v>
      </c>
      <c r="AX57" s="74">
        <v>21.0</v>
      </c>
      <c r="AY57" s="74">
        <v>20.0</v>
      </c>
      <c r="AZ57" s="13">
        <f t="shared" ref="AZ57:AZ66" si="16">SUM(E57:AY57)</f>
        <v>560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7.0</v>
      </c>
      <c r="F58" s="74">
        <v>9.0</v>
      </c>
      <c r="G58" s="74">
        <v>9.0</v>
      </c>
      <c r="H58" s="74">
        <v>8.0</v>
      </c>
      <c r="I58" s="74">
        <v>6.0</v>
      </c>
      <c r="J58" s="74">
        <v>4.0</v>
      </c>
      <c r="K58" s="74">
        <v>2.0</v>
      </c>
      <c r="L58" s="74">
        <v>7.0</v>
      </c>
      <c r="M58" s="74">
        <v>7.0</v>
      </c>
      <c r="N58" s="74">
        <v>9.0</v>
      </c>
      <c r="O58" s="74">
        <v>4.0</v>
      </c>
      <c r="P58" s="74">
        <v>3.0</v>
      </c>
      <c r="Q58" s="74">
        <v>11.0</v>
      </c>
      <c r="R58" s="74">
        <v>10.0</v>
      </c>
      <c r="S58" s="74">
        <v>5.0</v>
      </c>
      <c r="T58" s="74">
        <v>19.0</v>
      </c>
      <c r="U58" s="74">
        <v>45.0</v>
      </c>
      <c r="V58" s="74">
        <v>60.0</v>
      </c>
      <c r="W58" s="74">
        <v>14.0</v>
      </c>
      <c r="X58" s="74">
        <v>1.0</v>
      </c>
      <c r="Y58" s="74">
        <v>4.0</v>
      </c>
      <c r="Z58" s="74">
        <v>11.0</v>
      </c>
      <c r="AA58" s="74">
        <v>2.0</v>
      </c>
      <c r="AB58" s="74">
        <v>6.0</v>
      </c>
      <c r="AC58" s="74">
        <v>9.0</v>
      </c>
      <c r="AD58" s="74">
        <v>9.0</v>
      </c>
      <c r="AE58" s="74">
        <v>4.0</v>
      </c>
      <c r="AF58" s="74">
        <v>0.0</v>
      </c>
      <c r="AG58" s="74">
        <v>7.0</v>
      </c>
      <c r="AH58" s="74">
        <v>10.0</v>
      </c>
      <c r="AI58" s="74">
        <v>10.0</v>
      </c>
      <c r="AJ58" s="74">
        <v>18.0</v>
      </c>
      <c r="AK58" s="74">
        <v>7.0</v>
      </c>
      <c r="AL58" s="74">
        <v>6.0</v>
      </c>
      <c r="AM58" s="74">
        <v>9.0</v>
      </c>
      <c r="AN58" s="74">
        <v>8.0</v>
      </c>
      <c r="AO58" s="74">
        <v>5.0</v>
      </c>
      <c r="AP58" s="74">
        <v>14.0</v>
      </c>
      <c r="AQ58" s="74">
        <v>9.0</v>
      </c>
      <c r="AR58" s="74">
        <v>16.0</v>
      </c>
      <c r="AS58" s="74">
        <v>8.0</v>
      </c>
      <c r="AT58" s="74">
        <v>6.0</v>
      </c>
      <c r="AU58" s="74">
        <v>5.0</v>
      </c>
      <c r="AV58" s="74">
        <v>4.0</v>
      </c>
      <c r="AW58" s="74">
        <v>9.0</v>
      </c>
      <c r="AX58" s="74">
        <v>9.0</v>
      </c>
      <c r="AY58" s="74">
        <v>3.0</v>
      </c>
      <c r="AZ58" s="13">
        <f t="shared" si="16"/>
        <v>448</v>
      </c>
    </row>
    <row r="59" ht="12.75" customHeight="1">
      <c r="A59" s="18"/>
      <c r="B59" s="55"/>
      <c r="C59" s="50" t="s">
        <v>52</v>
      </c>
      <c r="D59" s="56"/>
      <c r="E59" s="74">
        <v>7.0</v>
      </c>
      <c r="F59" s="74">
        <v>8.0</v>
      </c>
      <c r="G59" s="74">
        <v>4.0</v>
      </c>
      <c r="H59" s="74">
        <v>2.0</v>
      </c>
      <c r="I59" s="74">
        <v>3.0</v>
      </c>
      <c r="J59" s="74">
        <v>2.0</v>
      </c>
      <c r="K59" s="74">
        <v>1.0</v>
      </c>
      <c r="L59" s="74">
        <v>2.0</v>
      </c>
      <c r="M59" s="74">
        <v>1.0</v>
      </c>
      <c r="N59" s="74">
        <v>8.0</v>
      </c>
      <c r="O59" s="74">
        <v>5.0</v>
      </c>
      <c r="P59" s="74">
        <v>9.0</v>
      </c>
      <c r="Q59" s="74">
        <v>2.0</v>
      </c>
      <c r="R59" s="74">
        <v>2.0</v>
      </c>
      <c r="S59" s="74">
        <v>7.0</v>
      </c>
      <c r="T59" s="74">
        <v>3.0</v>
      </c>
      <c r="U59" s="74">
        <v>6.0</v>
      </c>
      <c r="V59" s="74">
        <v>1.0</v>
      </c>
      <c r="W59" s="74">
        <v>4.0</v>
      </c>
      <c r="X59" s="74">
        <v>4.0</v>
      </c>
      <c r="Y59" s="74">
        <v>15.0</v>
      </c>
      <c r="Z59" s="74">
        <v>17.0</v>
      </c>
      <c r="AA59" s="74">
        <v>10.0</v>
      </c>
      <c r="AB59" s="74">
        <v>3.0</v>
      </c>
      <c r="AC59" s="74">
        <v>3.0</v>
      </c>
      <c r="AD59" s="74">
        <v>3.0</v>
      </c>
      <c r="AE59" s="74">
        <v>2.0</v>
      </c>
      <c r="AF59" s="74">
        <v>3.0</v>
      </c>
      <c r="AG59" s="74">
        <v>3.0</v>
      </c>
      <c r="AH59" s="74">
        <v>5.0</v>
      </c>
      <c r="AI59" s="74">
        <v>6.0</v>
      </c>
      <c r="AJ59" s="74">
        <v>3.0</v>
      </c>
      <c r="AK59" s="74">
        <v>9.0</v>
      </c>
      <c r="AL59" s="74">
        <v>5.0</v>
      </c>
      <c r="AM59" s="74">
        <v>2.0</v>
      </c>
      <c r="AN59" s="74">
        <v>5.0</v>
      </c>
      <c r="AO59" s="74">
        <v>8.0</v>
      </c>
      <c r="AP59" s="74">
        <v>13.0</v>
      </c>
      <c r="AQ59" s="74">
        <v>11.0</v>
      </c>
      <c r="AR59" s="74">
        <v>1.0</v>
      </c>
      <c r="AS59" s="74">
        <v>5.0</v>
      </c>
      <c r="AT59" s="74">
        <v>3.0</v>
      </c>
      <c r="AU59" s="74">
        <v>5.0</v>
      </c>
      <c r="AV59" s="74">
        <v>2.0</v>
      </c>
      <c r="AW59" s="74">
        <v>2.0</v>
      </c>
      <c r="AX59" s="74">
        <v>5.0</v>
      </c>
      <c r="AY59" s="74">
        <v>5.0</v>
      </c>
      <c r="AZ59" s="13">
        <f t="shared" si="16"/>
        <v>235</v>
      </c>
    </row>
    <row r="60" ht="12.75" customHeight="1">
      <c r="A60" s="18"/>
      <c r="B60" s="55"/>
      <c r="C60" s="50" t="s">
        <v>53</v>
      </c>
      <c r="D60" s="56"/>
      <c r="E60" s="74">
        <v>6.0</v>
      </c>
      <c r="F60" s="74">
        <v>2.0</v>
      </c>
      <c r="G60" s="74">
        <v>1.0</v>
      </c>
      <c r="H60" s="74">
        <v>2.0</v>
      </c>
      <c r="I60" s="74">
        <v>2.0</v>
      </c>
      <c r="J60" s="74">
        <v>1.0</v>
      </c>
      <c r="K60" s="74">
        <v>1.0</v>
      </c>
      <c r="L60" s="74">
        <v>8.0</v>
      </c>
      <c r="M60" s="74">
        <v>6.0</v>
      </c>
      <c r="N60" s="74">
        <v>8.0</v>
      </c>
      <c r="O60" s="74">
        <v>8.0</v>
      </c>
      <c r="P60" s="74">
        <v>4.0</v>
      </c>
      <c r="Q60" s="74">
        <v>5.0</v>
      </c>
      <c r="R60" s="74">
        <v>1.0</v>
      </c>
      <c r="S60" s="74">
        <v>2.0</v>
      </c>
      <c r="T60" s="74">
        <v>2.0</v>
      </c>
      <c r="U60" s="74">
        <v>1.0</v>
      </c>
      <c r="V60" s="74">
        <v>2.0</v>
      </c>
      <c r="W60" s="74">
        <v>5.0</v>
      </c>
      <c r="X60" s="74">
        <v>4.0</v>
      </c>
      <c r="Y60" s="74">
        <v>5.0</v>
      </c>
      <c r="Z60" s="74">
        <v>6.0</v>
      </c>
      <c r="AA60" s="74">
        <v>6.0</v>
      </c>
      <c r="AB60" s="74">
        <v>5.0</v>
      </c>
      <c r="AC60" s="74">
        <v>2.0</v>
      </c>
      <c r="AD60" s="74">
        <v>4.0</v>
      </c>
      <c r="AE60" s="74">
        <v>1.0</v>
      </c>
      <c r="AF60" s="74">
        <v>0.0</v>
      </c>
      <c r="AG60" s="74">
        <v>5.0</v>
      </c>
      <c r="AH60" s="74">
        <v>2.0</v>
      </c>
      <c r="AI60" s="74">
        <v>2.0</v>
      </c>
      <c r="AJ60" s="74">
        <v>0.0</v>
      </c>
      <c r="AK60" s="74">
        <v>1.0</v>
      </c>
      <c r="AL60" s="74">
        <v>2.0</v>
      </c>
      <c r="AM60" s="74">
        <v>7.0</v>
      </c>
      <c r="AN60" s="74">
        <v>4.0</v>
      </c>
      <c r="AO60" s="74">
        <v>1.0</v>
      </c>
      <c r="AP60" s="74">
        <v>1.0</v>
      </c>
      <c r="AQ60" s="74">
        <v>5.0</v>
      </c>
      <c r="AR60" s="74">
        <v>1.0</v>
      </c>
      <c r="AS60" s="74">
        <v>3.0</v>
      </c>
      <c r="AT60" s="74">
        <v>1.0</v>
      </c>
      <c r="AU60" s="74">
        <v>3.0</v>
      </c>
      <c r="AV60" s="74">
        <v>0.0</v>
      </c>
      <c r="AW60" s="74">
        <v>5.0</v>
      </c>
      <c r="AX60" s="74">
        <v>1.0</v>
      </c>
      <c r="AY60" s="74">
        <v>5.0</v>
      </c>
      <c r="AZ60" s="13">
        <f t="shared" si="16"/>
        <v>149</v>
      </c>
    </row>
    <row r="61" ht="12.75" customHeight="1">
      <c r="A61" s="18"/>
      <c r="B61" s="55"/>
      <c r="C61" s="50" t="s">
        <v>54</v>
      </c>
      <c r="D61" s="56"/>
      <c r="E61" s="74">
        <v>6.0</v>
      </c>
      <c r="F61" s="74">
        <v>7.0</v>
      </c>
      <c r="G61" s="74">
        <v>6.0</v>
      </c>
      <c r="H61" s="74">
        <v>10.0</v>
      </c>
      <c r="I61" s="74">
        <v>3.0</v>
      </c>
      <c r="J61" s="74">
        <v>6.0</v>
      </c>
      <c r="K61" s="74">
        <v>1.0</v>
      </c>
      <c r="L61" s="74">
        <v>7.0</v>
      </c>
      <c r="M61" s="74">
        <v>7.0</v>
      </c>
      <c r="N61" s="74">
        <v>14.0</v>
      </c>
      <c r="O61" s="74">
        <v>4.0</v>
      </c>
      <c r="P61" s="74">
        <v>2.0</v>
      </c>
      <c r="Q61" s="74">
        <v>3.0</v>
      </c>
      <c r="R61" s="74">
        <v>5.0</v>
      </c>
      <c r="S61" s="74">
        <v>3.0</v>
      </c>
      <c r="T61" s="74">
        <v>2.0</v>
      </c>
      <c r="U61" s="74">
        <v>3.0</v>
      </c>
      <c r="V61" s="74">
        <v>5.0</v>
      </c>
      <c r="W61" s="74">
        <v>4.0</v>
      </c>
      <c r="X61" s="74">
        <v>3.0</v>
      </c>
      <c r="Y61" s="74">
        <v>1.0</v>
      </c>
      <c r="Z61" s="74">
        <v>3.0</v>
      </c>
      <c r="AA61" s="74">
        <v>7.0</v>
      </c>
      <c r="AB61" s="74">
        <v>3.0</v>
      </c>
      <c r="AC61" s="74">
        <v>4.0</v>
      </c>
      <c r="AD61" s="74">
        <v>3.0</v>
      </c>
      <c r="AE61" s="74">
        <v>0.0</v>
      </c>
      <c r="AF61" s="74">
        <v>0.0</v>
      </c>
      <c r="AG61" s="74">
        <v>1.0</v>
      </c>
      <c r="AH61" s="74">
        <v>0.0</v>
      </c>
      <c r="AI61" s="74">
        <v>0.0</v>
      </c>
      <c r="AJ61" s="74">
        <v>2.0</v>
      </c>
      <c r="AK61" s="74">
        <v>2.0</v>
      </c>
      <c r="AL61" s="74">
        <v>2.0</v>
      </c>
      <c r="AM61" s="74">
        <v>6.0</v>
      </c>
      <c r="AN61" s="74">
        <v>0.0</v>
      </c>
      <c r="AO61" s="74">
        <v>1.0</v>
      </c>
      <c r="AP61" s="74">
        <v>8.0</v>
      </c>
      <c r="AQ61" s="74">
        <v>9.0</v>
      </c>
      <c r="AR61" s="74">
        <v>28.0</v>
      </c>
      <c r="AS61" s="74">
        <v>3.0</v>
      </c>
      <c r="AT61" s="74">
        <v>3.0</v>
      </c>
      <c r="AU61" s="74">
        <v>1.0</v>
      </c>
      <c r="AV61" s="74">
        <v>12.0</v>
      </c>
      <c r="AW61" s="74">
        <v>10.0</v>
      </c>
      <c r="AX61" s="74">
        <v>29.0</v>
      </c>
      <c r="AY61" s="74">
        <v>5.0</v>
      </c>
      <c r="AZ61" s="13">
        <f t="shared" si="16"/>
        <v>244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2.0</v>
      </c>
      <c r="G62" s="74">
        <v>4.0</v>
      </c>
      <c r="H62" s="74">
        <v>1.0</v>
      </c>
      <c r="I62" s="74">
        <v>1.0</v>
      </c>
      <c r="J62" s="74">
        <v>2.0</v>
      </c>
      <c r="K62" s="74">
        <v>1.0</v>
      </c>
      <c r="L62" s="74">
        <v>2.0</v>
      </c>
      <c r="M62" s="74">
        <v>3.0</v>
      </c>
      <c r="N62" s="74">
        <v>2.0</v>
      </c>
      <c r="O62" s="74">
        <v>0.0</v>
      </c>
      <c r="P62" s="74">
        <v>2.0</v>
      </c>
      <c r="Q62" s="74">
        <v>1.0</v>
      </c>
      <c r="R62" s="74">
        <v>2.0</v>
      </c>
      <c r="S62" s="74">
        <v>4.0</v>
      </c>
      <c r="T62" s="74">
        <v>2.0</v>
      </c>
      <c r="U62" s="74">
        <v>0.0</v>
      </c>
      <c r="V62" s="74">
        <v>0.0</v>
      </c>
      <c r="W62" s="74">
        <v>1.0</v>
      </c>
      <c r="X62" s="74">
        <v>4.0</v>
      </c>
      <c r="Y62" s="74">
        <v>3.0</v>
      </c>
      <c r="Z62" s="74">
        <v>3.0</v>
      </c>
      <c r="AA62" s="74">
        <v>0.0</v>
      </c>
      <c r="AB62" s="74">
        <v>1.0</v>
      </c>
      <c r="AC62" s="74">
        <v>3.0</v>
      </c>
      <c r="AD62" s="74">
        <v>0.0</v>
      </c>
      <c r="AE62" s="74">
        <v>1.0</v>
      </c>
      <c r="AF62" s="74">
        <v>0.0</v>
      </c>
      <c r="AG62" s="74">
        <v>2.0</v>
      </c>
      <c r="AH62" s="74">
        <v>1.0</v>
      </c>
      <c r="AI62" s="74">
        <v>1.0</v>
      </c>
      <c r="AJ62" s="74">
        <v>1.0</v>
      </c>
      <c r="AK62" s="74">
        <v>0.0</v>
      </c>
      <c r="AL62" s="74">
        <v>3.0</v>
      </c>
      <c r="AM62" s="74">
        <v>3.0</v>
      </c>
      <c r="AN62" s="74">
        <v>1.0</v>
      </c>
      <c r="AO62" s="74">
        <v>0.0</v>
      </c>
      <c r="AP62" s="74">
        <v>4.0</v>
      </c>
      <c r="AQ62" s="74">
        <v>3.0</v>
      </c>
      <c r="AR62" s="74">
        <v>0.0</v>
      </c>
      <c r="AS62" s="74">
        <v>4.0</v>
      </c>
      <c r="AT62" s="74">
        <v>0.0</v>
      </c>
      <c r="AU62" s="74">
        <v>1.0</v>
      </c>
      <c r="AV62" s="74">
        <v>1.0</v>
      </c>
      <c r="AW62" s="74">
        <v>1.0</v>
      </c>
      <c r="AX62" s="74">
        <v>3.0</v>
      </c>
      <c r="AY62" s="74">
        <v>1.0</v>
      </c>
      <c r="AZ62" s="13">
        <f t="shared" si="16"/>
        <v>77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1.0</v>
      </c>
      <c r="G63" s="74">
        <v>1.0</v>
      </c>
      <c r="H63" s="74">
        <v>0.0</v>
      </c>
      <c r="I63" s="74">
        <v>2.0</v>
      </c>
      <c r="J63" s="74">
        <v>1.0</v>
      </c>
      <c r="K63" s="74">
        <v>0.0</v>
      </c>
      <c r="L63" s="74">
        <v>1.0</v>
      </c>
      <c r="M63" s="74">
        <v>0.0</v>
      </c>
      <c r="N63" s="74">
        <v>2.0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3.0</v>
      </c>
      <c r="W63" s="74">
        <v>1.0</v>
      </c>
      <c r="X63" s="74">
        <v>0.0</v>
      </c>
      <c r="Y63" s="74">
        <v>0.0</v>
      </c>
      <c r="Z63" s="74">
        <v>1.0</v>
      </c>
      <c r="AA63" s="74">
        <v>0.0</v>
      </c>
      <c r="AB63" s="74">
        <v>0.0</v>
      </c>
      <c r="AC63" s="74">
        <v>0.0</v>
      </c>
      <c r="AD63" s="74">
        <v>0.0</v>
      </c>
      <c r="AE63" s="74">
        <v>1.0</v>
      </c>
      <c r="AF63" s="74">
        <v>0.0</v>
      </c>
      <c r="AG63" s="74">
        <v>0.0</v>
      </c>
      <c r="AH63" s="74">
        <v>1.0</v>
      </c>
      <c r="AI63" s="74">
        <v>1.0</v>
      </c>
      <c r="AJ63" s="74">
        <v>0.0</v>
      </c>
      <c r="AK63" s="74">
        <v>0.0</v>
      </c>
      <c r="AL63" s="74">
        <v>0.0</v>
      </c>
      <c r="AM63" s="74">
        <v>1.0</v>
      </c>
      <c r="AN63" s="74">
        <v>2.0</v>
      </c>
      <c r="AO63" s="74">
        <v>0.0</v>
      </c>
      <c r="AP63" s="74">
        <v>2.0</v>
      </c>
      <c r="AQ63" s="74">
        <v>0.0</v>
      </c>
      <c r="AR63" s="74">
        <v>0.0</v>
      </c>
      <c r="AS63" s="74">
        <v>1.0</v>
      </c>
      <c r="AT63" s="74">
        <v>1.0</v>
      </c>
      <c r="AU63" s="74">
        <v>0.0</v>
      </c>
      <c r="AV63" s="74">
        <v>2.0</v>
      </c>
      <c r="AW63" s="74">
        <v>0.0</v>
      </c>
      <c r="AX63" s="74">
        <v>0.0</v>
      </c>
      <c r="AY63" s="74">
        <v>1.0</v>
      </c>
      <c r="AZ63" s="13">
        <f t="shared" si="16"/>
        <v>26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1.0</v>
      </c>
      <c r="H64" s="74">
        <v>0.0</v>
      </c>
      <c r="I64" s="74">
        <v>0.0</v>
      </c>
      <c r="J64" s="74">
        <v>0.0</v>
      </c>
      <c r="K64" s="74">
        <v>1.0</v>
      </c>
      <c r="L64" s="74">
        <v>0.0</v>
      </c>
      <c r="M64" s="74">
        <v>0.0</v>
      </c>
      <c r="N64" s="74">
        <v>1.0</v>
      </c>
      <c r="O64" s="74">
        <v>0.0</v>
      </c>
      <c r="P64" s="74">
        <v>0.0</v>
      </c>
      <c r="Q64" s="74">
        <v>0.0</v>
      </c>
      <c r="R64" s="74">
        <v>1.0</v>
      </c>
      <c r="S64" s="74">
        <v>0.0</v>
      </c>
      <c r="T64" s="74">
        <v>1.0</v>
      </c>
      <c r="U64" s="74">
        <v>0.0</v>
      </c>
      <c r="V64" s="74">
        <v>0.0</v>
      </c>
      <c r="W64" s="74">
        <v>1.0</v>
      </c>
      <c r="X64" s="74">
        <v>0.0</v>
      </c>
      <c r="Y64" s="74">
        <v>0.0</v>
      </c>
      <c r="Z64" s="74">
        <v>3.0</v>
      </c>
      <c r="AA64" s="74">
        <v>0.0</v>
      </c>
      <c r="AB64" s="74">
        <v>0.0</v>
      </c>
      <c r="AC64" s="74">
        <v>0.0</v>
      </c>
      <c r="AD64" s="74">
        <v>0.0</v>
      </c>
      <c r="AE64" s="74">
        <v>0.0</v>
      </c>
      <c r="AF64" s="74">
        <v>0.0</v>
      </c>
      <c r="AG64" s="74">
        <v>0.0</v>
      </c>
      <c r="AH64" s="74">
        <v>2.0</v>
      </c>
      <c r="AI64" s="74">
        <v>0.0</v>
      </c>
      <c r="AJ64" s="74">
        <v>0.0</v>
      </c>
      <c r="AK64" s="74">
        <v>0.0</v>
      </c>
      <c r="AL64" s="74">
        <v>0.0</v>
      </c>
      <c r="AM64" s="74">
        <v>2.0</v>
      </c>
      <c r="AN64" s="74">
        <v>0.0</v>
      </c>
      <c r="AO64" s="74">
        <v>0.0</v>
      </c>
      <c r="AP64" s="74">
        <v>1.0</v>
      </c>
      <c r="AQ64" s="74">
        <v>1.0</v>
      </c>
      <c r="AR64" s="74">
        <v>0.0</v>
      </c>
      <c r="AS64" s="74">
        <v>0.0</v>
      </c>
      <c r="AT64" s="74">
        <v>3.0</v>
      </c>
      <c r="AU64" s="74">
        <v>1.0</v>
      </c>
      <c r="AV64" s="74">
        <v>0.0</v>
      </c>
      <c r="AW64" s="74">
        <v>0.0</v>
      </c>
      <c r="AX64" s="74">
        <v>1.0</v>
      </c>
      <c r="AY64" s="74">
        <v>0.0</v>
      </c>
      <c r="AZ64" s="13">
        <f t="shared" si="16"/>
        <v>20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1.0</v>
      </c>
      <c r="H65" s="74">
        <v>1.0</v>
      </c>
      <c r="I65" s="74">
        <v>2.0</v>
      </c>
      <c r="J65" s="74">
        <v>1.0</v>
      </c>
      <c r="K65" s="74">
        <v>0.0</v>
      </c>
      <c r="L65" s="74">
        <v>2.0</v>
      </c>
      <c r="M65" s="74">
        <v>1.0</v>
      </c>
      <c r="N65" s="74">
        <v>1.0</v>
      </c>
      <c r="O65" s="74">
        <v>1.0</v>
      </c>
      <c r="P65" s="74">
        <v>0.0</v>
      </c>
      <c r="Q65" s="74">
        <v>0.0</v>
      </c>
      <c r="R65" s="74">
        <v>1.0</v>
      </c>
      <c r="S65" s="74">
        <v>0.0</v>
      </c>
      <c r="T65" s="74">
        <v>0.0</v>
      </c>
      <c r="U65" s="74">
        <v>1.0</v>
      </c>
      <c r="V65" s="74">
        <v>0.0</v>
      </c>
      <c r="W65" s="74">
        <v>0.0</v>
      </c>
      <c r="X65" s="74">
        <v>0.0</v>
      </c>
      <c r="Y65" s="74">
        <v>1.0</v>
      </c>
      <c r="Z65" s="74">
        <v>0.0</v>
      </c>
      <c r="AA65" s="74">
        <v>0.0</v>
      </c>
      <c r="AB65" s="74">
        <v>0.0</v>
      </c>
      <c r="AC65" s="74">
        <v>2.0</v>
      </c>
      <c r="AD65" s="74">
        <v>0.0</v>
      </c>
      <c r="AE65" s="74">
        <v>0.0</v>
      </c>
      <c r="AF65" s="74">
        <v>0.0</v>
      </c>
      <c r="AG65" s="74">
        <v>1.0</v>
      </c>
      <c r="AH65" s="74">
        <v>0.0</v>
      </c>
      <c r="AI65" s="74">
        <v>0.0</v>
      </c>
      <c r="AJ65" s="74">
        <v>0.0</v>
      </c>
      <c r="AK65" s="74">
        <v>1.0</v>
      </c>
      <c r="AL65" s="74">
        <v>0.0</v>
      </c>
      <c r="AM65" s="74">
        <v>0.0</v>
      </c>
      <c r="AN65" s="74">
        <v>1.0</v>
      </c>
      <c r="AO65" s="74">
        <v>0.0</v>
      </c>
      <c r="AP65" s="74">
        <v>1.0</v>
      </c>
      <c r="AQ65" s="74">
        <v>1.0</v>
      </c>
      <c r="AR65" s="74">
        <v>0.0</v>
      </c>
      <c r="AS65" s="74">
        <v>0.0</v>
      </c>
      <c r="AT65" s="74">
        <v>0.0</v>
      </c>
      <c r="AU65" s="74">
        <v>0.0</v>
      </c>
      <c r="AV65" s="74">
        <v>1.0</v>
      </c>
      <c r="AW65" s="74">
        <v>0.0</v>
      </c>
      <c r="AX65" s="74">
        <v>0.0</v>
      </c>
      <c r="AY65" s="74">
        <v>1.0</v>
      </c>
      <c r="AZ65" s="13">
        <f t="shared" si="16"/>
        <v>22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0.0</v>
      </c>
      <c r="H66" s="74">
        <v>1.0</v>
      </c>
      <c r="I66" s="74">
        <v>2.0</v>
      </c>
      <c r="J66" s="74">
        <v>2.0</v>
      </c>
      <c r="K66" s="74">
        <v>0.0</v>
      </c>
      <c r="L66" s="74">
        <v>0.0</v>
      </c>
      <c r="M66" s="74">
        <v>0.0</v>
      </c>
      <c r="N66" s="74">
        <v>1.0</v>
      </c>
      <c r="O66" s="74">
        <v>3.0</v>
      </c>
      <c r="P66" s="74">
        <v>2.0</v>
      </c>
      <c r="Q66" s="74">
        <v>2.0</v>
      </c>
      <c r="R66" s="74">
        <v>0.0</v>
      </c>
      <c r="S66" s="74">
        <v>2.0</v>
      </c>
      <c r="T66" s="74">
        <v>1.0</v>
      </c>
      <c r="U66" s="74">
        <v>1.0</v>
      </c>
      <c r="V66" s="74">
        <v>1.0</v>
      </c>
      <c r="W66" s="74">
        <v>1.0</v>
      </c>
      <c r="X66" s="74">
        <v>0.0</v>
      </c>
      <c r="Y66" s="74">
        <v>0.0</v>
      </c>
      <c r="Z66" s="74">
        <v>3.0</v>
      </c>
      <c r="AA66" s="74">
        <v>1.0</v>
      </c>
      <c r="AB66" s="74">
        <v>2.0</v>
      </c>
      <c r="AC66" s="74">
        <v>2.0</v>
      </c>
      <c r="AD66" s="74">
        <v>0.0</v>
      </c>
      <c r="AE66" s="74">
        <v>0.0</v>
      </c>
      <c r="AF66" s="74">
        <v>0.0</v>
      </c>
      <c r="AG66" s="74">
        <v>1.0</v>
      </c>
      <c r="AH66" s="74">
        <v>0.0</v>
      </c>
      <c r="AI66" s="74">
        <v>1.0</v>
      </c>
      <c r="AJ66" s="74">
        <v>0.0</v>
      </c>
      <c r="AK66" s="74">
        <v>0.0</v>
      </c>
      <c r="AL66" s="74">
        <v>0.0</v>
      </c>
      <c r="AM66" s="74">
        <v>0.0</v>
      </c>
      <c r="AN66" s="74">
        <v>0.0</v>
      </c>
      <c r="AO66" s="74">
        <v>0.0</v>
      </c>
      <c r="AP66" s="74">
        <v>1.0</v>
      </c>
      <c r="AQ66" s="74">
        <v>0.0</v>
      </c>
      <c r="AR66" s="74">
        <v>0.0</v>
      </c>
      <c r="AS66" s="74">
        <v>1.0</v>
      </c>
      <c r="AT66" s="74">
        <v>1.0</v>
      </c>
      <c r="AU66" s="74">
        <v>0.0</v>
      </c>
      <c r="AV66" s="74">
        <v>0.0</v>
      </c>
      <c r="AW66" s="74">
        <v>2.0</v>
      </c>
      <c r="AX66" s="74">
        <v>2.0</v>
      </c>
      <c r="AY66" s="74">
        <v>4.0</v>
      </c>
      <c r="AZ66" s="13">
        <f t="shared" si="16"/>
        <v>41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Z67" si="17">SUM(E57:E66)</f>
        <v>46</v>
      </c>
      <c r="F67" s="13">
        <f t="shared" si="17"/>
        <v>49</v>
      </c>
      <c r="G67" s="13">
        <f t="shared" si="17"/>
        <v>40</v>
      </c>
      <c r="H67" s="13">
        <f t="shared" si="17"/>
        <v>39</v>
      </c>
      <c r="I67" s="13">
        <f t="shared" si="17"/>
        <v>38</v>
      </c>
      <c r="J67" s="13">
        <f t="shared" si="17"/>
        <v>27</v>
      </c>
      <c r="K67" s="13">
        <f t="shared" si="17"/>
        <v>17</v>
      </c>
      <c r="L67" s="13">
        <f t="shared" si="17"/>
        <v>38</v>
      </c>
      <c r="M67" s="13">
        <f t="shared" si="17"/>
        <v>30</v>
      </c>
      <c r="N67" s="13">
        <f t="shared" si="17"/>
        <v>65</v>
      </c>
      <c r="O67" s="13">
        <f t="shared" si="17"/>
        <v>32</v>
      </c>
      <c r="P67" s="13">
        <f t="shared" si="17"/>
        <v>33</v>
      </c>
      <c r="Q67" s="13">
        <f t="shared" si="17"/>
        <v>45</v>
      </c>
      <c r="R67" s="13">
        <f t="shared" si="17"/>
        <v>32</v>
      </c>
      <c r="S67" s="13">
        <f t="shared" si="17"/>
        <v>32</v>
      </c>
      <c r="T67" s="13">
        <f t="shared" si="17"/>
        <v>34</v>
      </c>
      <c r="U67" s="13">
        <f t="shared" si="17"/>
        <v>75</v>
      </c>
      <c r="V67" s="13">
        <f t="shared" si="17"/>
        <v>90</v>
      </c>
      <c r="W67" s="13">
        <f t="shared" si="17"/>
        <v>44</v>
      </c>
      <c r="X67" s="13">
        <f t="shared" si="17"/>
        <v>31</v>
      </c>
      <c r="Y67" s="13">
        <f t="shared" si="17"/>
        <v>46</v>
      </c>
      <c r="Z67" s="13">
        <f t="shared" si="17"/>
        <v>69</v>
      </c>
      <c r="AA67" s="13">
        <f t="shared" si="17"/>
        <v>32</v>
      </c>
      <c r="AB67" s="13">
        <f t="shared" si="17"/>
        <v>28</v>
      </c>
      <c r="AC67" s="13">
        <f t="shared" si="17"/>
        <v>38</v>
      </c>
      <c r="AD67" s="13">
        <f t="shared" si="17"/>
        <v>30</v>
      </c>
      <c r="AE67" s="13">
        <f t="shared" si="17"/>
        <v>12</v>
      </c>
      <c r="AF67" s="13">
        <f t="shared" si="17"/>
        <v>7</v>
      </c>
      <c r="AG67" s="13">
        <f t="shared" si="17"/>
        <v>28</v>
      </c>
      <c r="AH67" s="13">
        <f t="shared" si="17"/>
        <v>34</v>
      </c>
      <c r="AI67" s="13">
        <f t="shared" si="17"/>
        <v>33</v>
      </c>
      <c r="AJ67" s="13">
        <f t="shared" si="17"/>
        <v>34</v>
      </c>
      <c r="AK67" s="13">
        <f t="shared" si="17"/>
        <v>29</v>
      </c>
      <c r="AL67" s="13">
        <f t="shared" si="17"/>
        <v>31</v>
      </c>
      <c r="AM67" s="13">
        <f t="shared" si="17"/>
        <v>40</v>
      </c>
      <c r="AN67" s="13">
        <f t="shared" si="17"/>
        <v>28</v>
      </c>
      <c r="AO67" s="13">
        <f t="shared" si="17"/>
        <v>28</v>
      </c>
      <c r="AP67" s="13">
        <f t="shared" si="17"/>
        <v>59</v>
      </c>
      <c r="AQ67" s="13">
        <f t="shared" si="17"/>
        <v>52</v>
      </c>
      <c r="AR67" s="13">
        <f t="shared" si="17"/>
        <v>57</v>
      </c>
      <c r="AS67" s="13">
        <f t="shared" si="17"/>
        <v>38</v>
      </c>
      <c r="AT67" s="13">
        <f t="shared" si="17"/>
        <v>25</v>
      </c>
      <c r="AU67" s="13">
        <f t="shared" si="17"/>
        <v>25</v>
      </c>
      <c r="AV67" s="13">
        <f t="shared" si="17"/>
        <v>27</v>
      </c>
      <c r="AW67" s="13">
        <f t="shared" si="17"/>
        <v>39</v>
      </c>
      <c r="AX67" s="13">
        <f t="shared" si="17"/>
        <v>71</v>
      </c>
      <c r="AY67" s="13">
        <f t="shared" si="17"/>
        <v>45</v>
      </c>
      <c r="AZ67" s="13">
        <f t="shared" si="17"/>
        <v>1822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8.0</v>
      </c>
      <c r="F69" s="74">
        <v>19.0</v>
      </c>
      <c r="G69" s="74">
        <v>13.0</v>
      </c>
      <c r="H69" s="74">
        <v>8.0</v>
      </c>
      <c r="I69" s="74">
        <v>16.0</v>
      </c>
      <c r="J69" s="74">
        <v>14.0</v>
      </c>
      <c r="K69" s="74">
        <v>8.0</v>
      </c>
      <c r="L69" s="74">
        <v>16.0</v>
      </c>
      <c r="M69" s="74">
        <v>19.0</v>
      </c>
      <c r="N69" s="74">
        <v>13.0</v>
      </c>
      <c r="O69" s="74">
        <v>31.0</v>
      </c>
      <c r="P69" s="74">
        <v>8.0</v>
      </c>
      <c r="Q69" s="74">
        <v>9.0</v>
      </c>
      <c r="R69" s="74">
        <v>7.0</v>
      </c>
      <c r="S69" s="74">
        <v>14.0</v>
      </c>
      <c r="T69" s="74">
        <v>18.0</v>
      </c>
      <c r="U69" s="74">
        <v>8.0</v>
      </c>
      <c r="V69" s="74">
        <v>8.0</v>
      </c>
      <c r="W69" s="74">
        <v>21.0</v>
      </c>
      <c r="X69" s="74">
        <v>20.0</v>
      </c>
      <c r="Y69" s="74">
        <v>8.0</v>
      </c>
      <c r="Z69" s="74">
        <v>12.0</v>
      </c>
      <c r="AA69" s="74">
        <v>26.0</v>
      </c>
      <c r="AB69" s="74">
        <v>16.0</v>
      </c>
      <c r="AC69" s="74">
        <v>22.0</v>
      </c>
      <c r="AD69" s="74">
        <v>12.0</v>
      </c>
      <c r="AE69" s="74">
        <v>4.0</v>
      </c>
      <c r="AF69" s="74">
        <v>6.0</v>
      </c>
      <c r="AG69" s="74">
        <v>13.0</v>
      </c>
      <c r="AH69" s="74">
        <v>7.0</v>
      </c>
      <c r="AI69" s="74">
        <v>9.0</v>
      </c>
      <c r="AJ69" s="74">
        <v>12.0</v>
      </c>
      <c r="AK69" s="74">
        <v>11.0</v>
      </c>
      <c r="AL69" s="74">
        <v>9.0</v>
      </c>
      <c r="AM69" s="74">
        <v>22.0</v>
      </c>
      <c r="AN69" s="74">
        <v>27.0</v>
      </c>
      <c r="AO69" s="74">
        <v>13.0</v>
      </c>
      <c r="AP69" s="74">
        <v>4.0</v>
      </c>
      <c r="AQ69" s="74">
        <v>6.0</v>
      </c>
      <c r="AR69" s="74">
        <v>15.0</v>
      </c>
      <c r="AS69" s="74">
        <v>17.0</v>
      </c>
      <c r="AT69" s="74">
        <v>12.0</v>
      </c>
      <c r="AU69" s="74">
        <v>3.0</v>
      </c>
      <c r="AV69" s="74">
        <v>15.0</v>
      </c>
      <c r="AW69" s="74">
        <v>6.0</v>
      </c>
      <c r="AX69" s="74">
        <v>20.0</v>
      </c>
      <c r="AY69" s="74">
        <v>19.0</v>
      </c>
      <c r="AZ69" s="13">
        <f t="shared" ref="AZ69:AZ78" si="18">SUM(E69:AY69)</f>
        <v>624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3.0</v>
      </c>
      <c r="G70" s="74">
        <v>3.0</v>
      </c>
      <c r="H70" s="74">
        <v>9.0</v>
      </c>
      <c r="I70" s="74">
        <v>8.0</v>
      </c>
      <c r="J70" s="74">
        <v>12.0</v>
      </c>
      <c r="K70" s="74">
        <v>5.0</v>
      </c>
      <c r="L70" s="74">
        <v>13.0</v>
      </c>
      <c r="M70" s="74">
        <v>20.0</v>
      </c>
      <c r="N70" s="74">
        <v>7.0</v>
      </c>
      <c r="O70" s="74">
        <v>23.0</v>
      </c>
      <c r="P70" s="74">
        <v>5.0</v>
      </c>
      <c r="Q70" s="74">
        <v>6.0</v>
      </c>
      <c r="R70" s="74">
        <v>1.0</v>
      </c>
      <c r="S70" s="74">
        <v>12.0</v>
      </c>
      <c r="T70" s="74">
        <v>17.0</v>
      </c>
      <c r="U70" s="74">
        <v>10.0</v>
      </c>
      <c r="V70" s="74">
        <v>10.0</v>
      </c>
      <c r="W70" s="74">
        <v>35.0</v>
      </c>
      <c r="X70" s="74">
        <v>72.0</v>
      </c>
      <c r="Y70" s="74">
        <v>13.0</v>
      </c>
      <c r="Z70" s="74">
        <v>6.0</v>
      </c>
      <c r="AA70" s="74">
        <v>17.0</v>
      </c>
      <c r="AB70" s="74">
        <v>9.0</v>
      </c>
      <c r="AC70" s="74">
        <v>12.0</v>
      </c>
      <c r="AD70" s="74">
        <v>14.0</v>
      </c>
      <c r="AE70" s="74">
        <v>30.0</v>
      </c>
      <c r="AF70" s="74">
        <v>73.0</v>
      </c>
      <c r="AG70" s="74">
        <v>11.0</v>
      </c>
      <c r="AH70" s="74">
        <v>3.0</v>
      </c>
      <c r="AI70" s="74">
        <v>5.0</v>
      </c>
      <c r="AJ70" s="74">
        <v>7.0</v>
      </c>
      <c r="AK70" s="74">
        <v>9.0</v>
      </c>
      <c r="AL70" s="74">
        <v>4.0</v>
      </c>
      <c r="AM70" s="74">
        <v>11.0</v>
      </c>
      <c r="AN70" s="74">
        <v>22.0</v>
      </c>
      <c r="AO70" s="74">
        <v>4.0</v>
      </c>
      <c r="AP70" s="74">
        <v>6.0</v>
      </c>
      <c r="AQ70" s="74">
        <v>11.0</v>
      </c>
      <c r="AR70" s="74">
        <v>18.0</v>
      </c>
      <c r="AS70" s="74">
        <v>15.0</v>
      </c>
      <c r="AT70" s="74">
        <v>16.0</v>
      </c>
      <c r="AU70" s="74">
        <v>5.0</v>
      </c>
      <c r="AV70" s="74">
        <v>10.0</v>
      </c>
      <c r="AW70" s="74">
        <v>24.0</v>
      </c>
      <c r="AX70" s="74">
        <v>8.0</v>
      </c>
      <c r="AY70" s="74">
        <v>36.0</v>
      </c>
      <c r="AZ70" s="13">
        <f t="shared" si="18"/>
        <v>674</v>
      </c>
    </row>
    <row r="71" ht="12.75" customHeight="1">
      <c r="A71" s="18"/>
      <c r="B71" s="55"/>
      <c r="C71" s="50" t="s">
        <v>62</v>
      </c>
      <c r="D71" s="57"/>
      <c r="E71" s="74">
        <v>4.0</v>
      </c>
      <c r="F71" s="74">
        <v>4.0</v>
      </c>
      <c r="G71" s="74">
        <v>0.0</v>
      </c>
      <c r="H71" s="74">
        <v>1.0</v>
      </c>
      <c r="I71" s="74">
        <v>5.0</v>
      </c>
      <c r="J71" s="74">
        <v>3.0</v>
      </c>
      <c r="K71" s="74">
        <v>7.0</v>
      </c>
      <c r="L71" s="74">
        <v>13.0</v>
      </c>
      <c r="M71" s="74">
        <v>6.0</v>
      </c>
      <c r="N71" s="74">
        <v>5.0</v>
      </c>
      <c r="O71" s="74">
        <v>2.0</v>
      </c>
      <c r="P71" s="74">
        <v>6.0</v>
      </c>
      <c r="Q71" s="74">
        <v>7.0</v>
      </c>
      <c r="R71" s="74">
        <v>9.0</v>
      </c>
      <c r="S71" s="74">
        <v>9.0</v>
      </c>
      <c r="T71" s="74">
        <v>3.0</v>
      </c>
      <c r="U71" s="74">
        <v>2.0</v>
      </c>
      <c r="V71" s="74">
        <v>8.0</v>
      </c>
      <c r="W71" s="74">
        <v>6.0</v>
      </c>
      <c r="X71" s="74">
        <v>9.0</v>
      </c>
      <c r="Y71" s="74">
        <v>0.0</v>
      </c>
      <c r="Z71" s="74">
        <v>8.0</v>
      </c>
      <c r="AA71" s="74">
        <v>4.0</v>
      </c>
      <c r="AB71" s="74">
        <v>13.0</v>
      </c>
      <c r="AC71" s="74">
        <v>5.0</v>
      </c>
      <c r="AD71" s="74">
        <v>3.0</v>
      </c>
      <c r="AE71" s="74">
        <v>7.0</v>
      </c>
      <c r="AF71" s="74">
        <v>2.0</v>
      </c>
      <c r="AG71" s="74">
        <v>6.0</v>
      </c>
      <c r="AH71" s="74">
        <v>4.0</v>
      </c>
      <c r="AI71" s="74">
        <v>4.0</v>
      </c>
      <c r="AJ71" s="74">
        <v>4.0</v>
      </c>
      <c r="AK71" s="74">
        <v>7.0</v>
      </c>
      <c r="AL71" s="74">
        <v>5.0</v>
      </c>
      <c r="AM71" s="74">
        <v>6.0</v>
      </c>
      <c r="AN71" s="74">
        <v>6.0</v>
      </c>
      <c r="AO71" s="74">
        <v>4.0</v>
      </c>
      <c r="AP71" s="74">
        <v>1.0</v>
      </c>
      <c r="AQ71" s="74">
        <v>7.0</v>
      </c>
      <c r="AR71" s="74">
        <v>1.0</v>
      </c>
      <c r="AS71" s="74">
        <v>6.0</v>
      </c>
      <c r="AT71" s="74">
        <v>9.0</v>
      </c>
      <c r="AU71" s="74">
        <v>11.0</v>
      </c>
      <c r="AV71" s="74">
        <v>3.0</v>
      </c>
      <c r="AW71" s="74">
        <v>2.0</v>
      </c>
      <c r="AX71" s="74">
        <v>4.0</v>
      </c>
      <c r="AY71" s="74">
        <v>4.0</v>
      </c>
      <c r="AZ71" s="13">
        <f t="shared" si="18"/>
        <v>245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0.0</v>
      </c>
      <c r="G72" s="74">
        <v>1.0</v>
      </c>
      <c r="H72" s="74">
        <v>2.0</v>
      </c>
      <c r="I72" s="74">
        <v>11.0</v>
      </c>
      <c r="J72" s="74">
        <v>3.0</v>
      </c>
      <c r="K72" s="74">
        <v>2.0</v>
      </c>
      <c r="L72" s="74">
        <v>3.0</v>
      </c>
      <c r="M72" s="74">
        <v>5.0</v>
      </c>
      <c r="N72" s="74">
        <v>1.0</v>
      </c>
      <c r="O72" s="74">
        <v>4.0</v>
      </c>
      <c r="P72" s="74">
        <v>1.0</v>
      </c>
      <c r="Q72" s="74">
        <v>2.0</v>
      </c>
      <c r="R72" s="74">
        <v>3.0</v>
      </c>
      <c r="S72" s="74">
        <v>4.0</v>
      </c>
      <c r="T72" s="74">
        <v>6.0</v>
      </c>
      <c r="U72" s="74">
        <v>3.0</v>
      </c>
      <c r="V72" s="74">
        <v>2.0</v>
      </c>
      <c r="W72" s="74">
        <v>5.0</v>
      </c>
      <c r="X72" s="74">
        <v>4.0</v>
      </c>
      <c r="Y72" s="74">
        <v>2.0</v>
      </c>
      <c r="Z72" s="74">
        <v>3.0</v>
      </c>
      <c r="AA72" s="74">
        <v>2.0</v>
      </c>
      <c r="AB72" s="74">
        <v>3.0</v>
      </c>
      <c r="AC72" s="74">
        <v>2.0</v>
      </c>
      <c r="AD72" s="74">
        <v>2.0</v>
      </c>
      <c r="AE72" s="74">
        <v>2.0</v>
      </c>
      <c r="AF72" s="74">
        <v>2.0</v>
      </c>
      <c r="AG72" s="74">
        <v>4.0</v>
      </c>
      <c r="AH72" s="74">
        <v>2.0</v>
      </c>
      <c r="AI72" s="74">
        <v>3.0</v>
      </c>
      <c r="AJ72" s="74">
        <v>4.0</v>
      </c>
      <c r="AK72" s="74">
        <v>5.0</v>
      </c>
      <c r="AL72" s="74">
        <v>4.0</v>
      </c>
      <c r="AM72" s="74">
        <v>8.0</v>
      </c>
      <c r="AN72" s="74">
        <v>9.0</v>
      </c>
      <c r="AO72" s="74">
        <v>5.0</v>
      </c>
      <c r="AP72" s="74">
        <v>2.0</v>
      </c>
      <c r="AQ72" s="74">
        <v>10.0</v>
      </c>
      <c r="AR72" s="74">
        <v>3.0</v>
      </c>
      <c r="AS72" s="74">
        <v>4.0</v>
      </c>
      <c r="AT72" s="74">
        <v>2.0</v>
      </c>
      <c r="AU72" s="74">
        <v>4.0</v>
      </c>
      <c r="AV72" s="74">
        <v>4.0</v>
      </c>
      <c r="AW72" s="74">
        <v>3.0</v>
      </c>
      <c r="AX72" s="74">
        <v>5.0</v>
      </c>
      <c r="AY72" s="74">
        <v>3.0</v>
      </c>
      <c r="AZ72" s="13">
        <f t="shared" si="18"/>
        <v>167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1.0</v>
      </c>
      <c r="G73" s="74">
        <v>3.0</v>
      </c>
      <c r="H73" s="74">
        <v>0.0</v>
      </c>
      <c r="I73" s="74">
        <v>11.0</v>
      </c>
      <c r="J73" s="74">
        <v>1.0</v>
      </c>
      <c r="K73" s="74">
        <v>0.0</v>
      </c>
      <c r="L73" s="74">
        <v>4.0</v>
      </c>
      <c r="M73" s="74">
        <v>0.0</v>
      </c>
      <c r="N73" s="74">
        <v>2.0</v>
      </c>
      <c r="O73" s="74">
        <v>4.0</v>
      </c>
      <c r="P73" s="74">
        <v>2.0</v>
      </c>
      <c r="Q73" s="74">
        <v>0.0</v>
      </c>
      <c r="R73" s="74">
        <v>0.0</v>
      </c>
      <c r="S73" s="74">
        <v>6.0</v>
      </c>
      <c r="T73" s="74">
        <v>11.0</v>
      </c>
      <c r="U73" s="74">
        <v>1.0</v>
      </c>
      <c r="V73" s="74">
        <v>4.0</v>
      </c>
      <c r="W73" s="74">
        <v>1.0</v>
      </c>
      <c r="X73" s="74">
        <v>8.0</v>
      </c>
      <c r="Y73" s="74">
        <v>3.0</v>
      </c>
      <c r="Z73" s="74">
        <v>0.0</v>
      </c>
      <c r="AA73" s="74">
        <v>2.0</v>
      </c>
      <c r="AB73" s="74">
        <v>3.0</v>
      </c>
      <c r="AC73" s="74">
        <v>3.0</v>
      </c>
      <c r="AD73" s="74">
        <v>4.0</v>
      </c>
      <c r="AE73" s="74">
        <v>2.0</v>
      </c>
      <c r="AF73" s="74">
        <v>0.0</v>
      </c>
      <c r="AG73" s="74">
        <v>1.0</v>
      </c>
      <c r="AH73" s="74">
        <v>5.0</v>
      </c>
      <c r="AI73" s="74">
        <v>1.0</v>
      </c>
      <c r="AJ73" s="74">
        <v>12.0</v>
      </c>
      <c r="AK73" s="74">
        <v>6.0</v>
      </c>
      <c r="AL73" s="74">
        <v>5.0</v>
      </c>
      <c r="AM73" s="74">
        <v>10.0</v>
      </c>
      <c r="AN73" s="74">
        <v>20.0</v>
      </c>
      <c r="AO73" s="74">
        <v>8.0</v>
      </c>
      <c r="AP73" s="74">
        <v>3.0</v>
      </c>
      <c r="AQ73" s="74">
        <v>0.0</v>
      </c>
      <c r="AR73" s="74">
        <v>1.0</v>
      </c>
      <c r="AS73" s="74">
        <v>3.0</v>
      </c>
      <c r="AT73" s="74">
        <v>1.0</v>
      </c>
      <c r="AU73" s="74">
        <v>0.0</v>
      </c>
      <c r="AV73" s="74">
        <v>0.0</v>
      </c>
      <c r="AW73" s="74">
        <v>2.0</v>
      </c>
      <c r="AX73" s="74">
        <v>7.0</v>
      </c>
      <c r="AY73" s="74">
        <v>1.0</v>
      </c>
      <c r="AZ73" s="13">
        <f t="shared" si="18"/>
        <v>165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1.0</v>
      </c>
      <c r="H74" s="74">
        <v>0.0</v>
      </c>
      <c r="I74" s="74">
        <v>3.0</v>
      </c>
      <c r="J74" s="74">
        <v>1.0</v>
      </c>
      <c r="K74" s="74">
        <v>0.0</v>
      </c>
      <c r="L74" s="74">
        <v>1.0</v>
      </c>
      <c r="M74" s="74">
        <v>3.0</v>
      </c>
      <c r="N74" s="74">
        <v>2.0</v>
      </c>
      <c r="O74" s="74">
        <v>1.0</v>
      </c>
      <c r="P74" s="74">
        <v>0.0</v>
      </c>
      <c r="Q74" s="74">
        <v>0.0</v>
      </c>
      <c r="R74" s="74">
        <v>1.0</v>
      </c>
      <c r="S74" s="74">
        <v>1.0</v>
      </c>
      <c r="T74" s="74">
        <v>2.0</v>
      </c>
      <c r="U74" s="74">
        <v>2.0</v>
      </c>
      <c r="V74" s="74">
        <v>1.0</v>
      </c>
      <c r="W74" s="74">
        <v>4.0</v>
      </c>
      <c r="X74" s="74">
        <v>2.0</v>
      </c>
      <c r="Y74" s="74">
        <v>2.0</v>
      </c>
      <c r="Z74" s="74">
        <v>5.0</v>
      </c>
      <c r="AA74" s="74">
        <v>3.0</v>
      </c>
      <c r="AB74" s="74">
        <v>1.0</v>
      </c>
      <c r="AC74" s="74">
        <v>0.0</v>
      </c>
      <c r="AD74" s="74">
        <v>0.0</v>
      </c>
      <c r="AE74" s="74">
        <v>0.0</v>
      </c>
      <c r="AF74" s="74">
        <v>2.0</v>
      </c>
      <c r="AG74" s="74">
        <v>0.0</v>
      </c>
      <c r="AH74" s="74">
        <v>1.0</v>
      </c>
      <c r="AI74" s="74">
        <v>1.0</v>
      </c>
      <c r="AJ74" s="74">
        <v>0.0</v>
      </c>
      <c r="AK74" s="74">
        <v>3.0</v>
      </c>
      <c r="AL74" s="74">
        <v>3.0</v>
      </c>
      <c r="AM74" s="74">
        <v>4.0</v>
      </c>
      <c r="AN74" s="74">
        <v>5.0</v>
      </c>
      <c r="AO74" s="74">
        <v>1.0</v>
      </c>
      <c r="AP74" s="74">
        <v>1.0</v>
      </c>
      <c r="AQ74" s="74">
        <v>0.0</v>
      </c>
      <c r="AR74" s="74">
        <v>0.0</v>
      </c>
      <c r="AS74" s="74">
        <v>2.0</v>
      </c>
      <c r="AT74" s="74">
        <v>1.0</v>
      </c>
      <c r="AU74" s="74">
        <v>1.0</v>
      </c>
      <c r="AV74" s="74">
        <v>1.0</v>
      </c>
      <c r="AW74" s="74">
        <v>2.0</v>
      </c>
      <c r="AX74" s="74">
        <v>1.0</v>
      </c>
      <c r="AY74" s="74">
        <v>0.0</v>
      </c>
      <c r="AZ74" s="13">
        <f t="shared" si="18"/>
        <v>66</v>
      </c>
    </row>
    <row r="75" ht="12.75" customHeight="1">
      <c r="A75" s="18"/>
      <c r="B75" s="55"/>
      <c r="C75" s="50" t="s">
        <v>66</v>
      </c>
      <c r="D75" s="57"/>
      <c r="E75" s="74">
        <v>2.0</v>
      </c>
      <c r="F75" s="74">
        <v>2.0</v>
      </c>
      <c r="G75" s="74">
        <v>1.0</v>
      </c>
      <c r="H75" s="74">
        <v>1.0</v>
      </c>
      <c r="I75" s="74">
        <v>2.0</v>
      </c>
      <c r="J75" s="74">
        <v>0.0</v>
      </c>
      <c r="K75" s="74">
        <v>1.0</v>
      </c>
      <c r="L75" s="74">
        <v>3.0</v>
      </c>
      <c r="M75" s="74">
        <v>4.0</v>
      </c>
      <c r="N75" s="74">
        <v>1.0</v>
      </c>
      <c r="O75" s="74">
        <v>2.0</v>
      </c>
      <c r="P75" s="74">
        <v>0.0</v>
      </c>
      <c r="Q75" s="74">
        <v>2.0</v>
      </c>
      <c r="R75" s="74">
        <v>1.0</v>
      </c>
      <c r="S75" s="74">
        <v>2.0</v>
      </c>
      <c r="T75" s="74">
        <v>3.0</v>
      </c>
      <c r="U75" s="74">
        <v>0.0</v>
      </c>
      <c r="V75" s="74">
        <v>0.0</v>
      </c>
      <c r="W75" s="74">
        <v>1.0</v>
      </c>
      <c r="X75" s="74">
        <v>2.0</v>
      </c>
      <c r="Y75" s="74">
        <v>4.0</v>
      </c>
      <c r="Z75" s="74">
        <v>0.0</v>
      </c>
      <c r="AA75" s="74">
        <v>3.0</v>
      </c>
      <c r="AB75" s="74">
        <v>2.0</v>
      </c>
      <c r="AC75" s="74">
        <v>3.0</v>
      </c>
      <c r="AD75" s="74">
        <v>1.0</v>
      </c>
      <c r="AE75" s="74">
        <v>1.0</v>
      </c>
      <c r="AF75" s="74">
        <v>0.0</v>
      </c>
      <c r="AG75" s="74">
        <v>0.0</v>
      </c>
      <c r="AH75" s="74">
        <v>0.0</v>
      </c>
      <c r="AI75" s="74">
        <v>0.0</v>
      </c>
      <c r="AJ75" s="74">
        <v>3.0</v>
      </c>
      <c r="AK75" s="74">
        <v>3.0</v>
      </c>
      <c r="AL75" s="74">
        <v>3.0</v>
      </c>
      <c r="AM75" s="74">
        <v>2.0</v>
      </c>
      <c r="AN75" s="74">
        <v>5.0</v>
      </c>
      <c r="AO75" s="74">
        <v>5.0</v>
      </c>
      <c r="AP75" s="74">
        <v>2.0</v>
      </c>
      <c r="AQ75" s="74">
        <v>1.0</v>
      </c>
      <c r="AR75" s="74">
        <v>1.0</v>
      </c>
      <c r="AS75" s="74">
        <v>0.0</v>
      </c>
      <c r="AT75" s="74">
        <v>2.0</v>
      </c>
      <c r="AU75" s="74">
        <v>0.0</v>
      </c>
      <c r="AV75" s="74">
        <v>6.0</v>
      </c>
      <c r="AW75" s="74">
        <v>1.0</v>
      </c>
      <c r="AX75" s="74">
        <v>0.0</v>
      </c>
      <c r="AY75" s="74">
        <v>3.0</v>
      </c>
      <c r="AZ75" s="13">
        <f t="shared" si="18"/>
        <v>81</v>
      </c>
    </row>
    <row r="76" ht="12.75" customHeight="1">
      <c r="A76" s="18"/>
      <c r="B76" s="55"/>
      <c r="C76" s="50" t="s">
        <v>67</v>
      </c>
      <c r="D76" s="57"/>
      <c r="E76" s="74">
        <v>2.0</v>
      </c>
      <c r="F76" s="74">
        <v>0.0</v>
      </c>
      <c r="G76" s="74">
        <v>1.0</v>
      </c>
      <c r="H76" s="74">
        <v>0.0</v>
      </c>
      <c r="I76" s="74">
        <v>3.0</v>
      </c>
      <c r="J76" s="74">
        <v>0.0</v>
      </c>
      <c r="K76" s="74">
        <v>0.0</v>
      </c>
      <c r="L76" s="74">
        <v>6.0</v>
      </c>
      <c r="M76" s="74">
        <v>3.0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5.0</v>
      </c>
      <c r="T76" s="74">
        <v>4.0</v>
      </c>
      <c r="U76" s="74">
        <v>1.0</v>
      </c>
      <c r="V76" s="74">
        <v>3.0</v>
      </c>
      <c r="W76" s="74">
        <v>0.0</v>
      </c>
      <c r="X76" s="74">
        <v>3.0</v>
      </c>
      <c r="Y76" s="74">
        <v>10.0</v>
      </c>
      <c r="Z76" s="74">
        <v>12.0</v>
      </c>
      <c r="AA76" s="74">
        <v>12.0</v>
      </c>
      <c r="AB76" s="74">
        <v>8.0</v>
      </c>
      <c r="AC76" s="74">
        <v>1.0</v>
      </c>
      <c r="AD76" s="74">
        <v>0.0</v>
      </c>
      <c r="AE76" s="74">
        <v>1.0</v>
      </c>
      <c r="AF76" s="74">
        <v>0.0</v>
      </c>
      <c r="AG76" s="74">
        <v>1.0</v>
      </c>
      <c r="AH76" s="74">
        <v>0.0</v>
      </c>
      <c r="AI76" s="74">
        <v>0.0</v>
      </c>
      <c r="AJ76" s="74">
        <v>0.0</v>
      </c>
      <c r="AK76" s="74">
        <v>6.0</v>
      </c>
      <c r="AL76" s="74">
        <v>9.0</v>
      </c>
      <c r="AM76" s="74">
        <v>16.0</v>
      </c>
      <c r="AN76" s="74">
        <v>3.0</v>
      </c>
      <c r="AO76" s="74">
        <v>5.0</v>
      </c>
      <c r="AP76" s="74">
        <v>0.0</v>
      </c>
      <c r="AQ76" s="74">
        <v>0.0</v>
      </c>
      <c r="AR76" s="74">
        <v>1.0</v>
      </c>
      <c r="AS76" s="74">
        <v>0.0</v>
      </c>
      <c r="AT76" s="74">
        <v>3.0</v>
      </c>
      <c r="AU76" s="74">
        <v>0.0</v>
      </c>
      <c r="AV76" s="74">
        <v>0.0</v>
      </c>
      <c r="AW76" s="74">
        <v>0.0</v>
      </c>
      <c r="AX76" s="74">
        <v>0.0</v>
      </c>
      <c r="AY76" s="74">
        <v>2.0</v>
      </c>
      <c r="AZ76" s="13">
        <f t="shared" si="18"/>
        <v>121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2.0</v>
      </c>
      <c r="G77" s="74">
        <v>2.0</v>
      </c>
      <c r="H77" s="74">
        <v>0.0</v>
      </c>
      <c r="I77" s="74">
        <v>3.0</v>
      </c>
      <c r="J77" s="74">
        <v>0.0</v>
      </c>
      <c r="K77" s="74">
        <v>0.0</v>
      </c>
      <c r="L77" s="74">
        <v>2.0</v>
      </c>
      <c r="M77" s="74">
        <v>0.0</v>
      </c>
      <c r="N77" s="74">
        <v>2.0</v>
      </c>
      <c r="O77" s="74">
        <v>2.0</v>
      </c>
      <c r="P77" s="74">
        <v>0.0</v>
      </c>
      <c r="Q77" s="74">
        <v>1.0</v>
      </c>
      <c r="R77" s="74">
        <v>0.0</v>
      </c>
      <c r="S77" s="74">
        <v>1.0</v>
      </c>
      <c r="T77" s="74">
        <v>2.0</v>
      </c>
      <c r="U77" s="74">
        <v>0.0</v>
      </c>
      <c r="V77" s="74">
        <v>0.0</v>
      </c>
      <c r="W77" s="74">
        <v>1.0</v>
      </c>
      <c r="X77" s="74">
        <v>1.0</v>
      </c>
      <c r="Y77" s="74">
        <v>0.0</v>
      </c>
      <c r="Z77" s="74">
        <v>1.0</v>
      </c>
      <c r="AA77" s="74">
        <v>2.0</v>
      </c>
      <c r="AB77" s="74">
        <v>1.0</v>
      </c>
      <c r="AC77" s="74">
        <v>0.0</v>
      </c>
      <c r="AD77" s="74">
        <v>0.0</v>
      </c>
      <c r="AE77" s="74">
        <v>0.0</v>
      </c>
      <c r="AF77" s="74">
        <v>0.0</v>
      </c>
      <c r="AG77" s="74">
        <v>2.0</v>
      </c>
      <c r="AH77" s="74">
        <v>0.0</v>
      </c>
      <c r="AI77" s="74">
        <v>1.0</v>
      </c>
      <c r="AJ77" s="74">
        <v>2.0</v>
      </c>
      <c r="AK77" s="74">
        <v>3.0</v>
      </c>
      <c r="AL77" s="74">
        <v>0.0</v>
      </c>
      <c r="AM77" s="74">
        <v>1.0</v>
      </c>
      <c r="AN77" s="74">
        <v>1.0</v>
      </c>
      <c r="AO77" s="74">
        <v>2.0</v>
      </c>
      <c r="AP77" s="74">
        <v>1.0</v>
      </c>
      <c r="AQ77" s="74">
        <v>0.0</v>
      </c>
      <c r="AR77" s="74">
        <v>1.0</v>
      </c>
      <c r="AS77" s="74">
        <v>0.0</v>
      </c>
      <c r="AT77" s="74">
        <v>2.0</v>
      </c>
      <c r="AU77" s="74">
        <v>0.0</v>
      </c>
      <c r="AV77" s="74">
        <v>0.0</v>
      </c>
      <c r="AW77" s="74">
        <v>1.0</v>
      </c>
      <c r="AX77" s="74">
        <v>0.0</v>
      </c>
      <c r="AY77" s="74">
        <v>1.0</v>
      </c>
      <c r="AZ77" s="13">
        <f t="shared" si="18"/>
        <v>41</v>
      </c>
    </row>
    <row r="78" ht="12.75" customHeight="1">
      <c r="A78" s="18"/>
      <c r="B78" s="55"/>
      <c r="C78" s="50" t="s">
        <v>69</v>
      </c>
      <c r="D78" s="57"/>
      <c r="E78" s="74">
        <v>1.0</v>
      </c>
      <c r="F78" s="74">
        <v>0.0</v>
      </c>
      <c r="G78" s="74">
        <v>2.0</v>
      </c>
      <c r="H78" s="74">
        <v>2.0</v>
      </c>
      <c r="I78" s="74">
        <v>0.0</v>
      </c>
      <c r="J78" s="74">
        <v>0.0</v>
      </c>
      <c r="K78" s="74">
        <v>1.0</v>
      </c>
      <c r="L78" s="74">
        <v>1.0</v>
      </c>
      <c r="M78" s="74">
        <v>2.0</v>
      </c>
      <c r="N78" s="74">
        <v>1.0</v>
      </c>
      <c r="O78" s="74">
        <v>2.0</v>
      </c>
      <c r="P78" s="74">
        <v>0.0</v>
      </c>
      <c r="Q78" s="74">
        <v>1.0</v>
      </c>
      <c r="R78" s="74">
        <v>1.0</v>
      </c>
      <c r="S78" s="74">
        <v>3.0</v>
      </c>
      <c r="T78" s="74">
        <v>4.0</v>
      </c>
      <c r="U78" s="74">
        <v>0.0</v>
      </c>
      <c r="V78" s="74">
        <v>0.0</v>
      </c>
      <c r="W78" s="74">
        <v>2.0</v>
      </c>
      <c r="X78" s="74">
        <v>1.0</v>
      </c>
      <c r="Y78" s="74">
        <v>3.0</v>
      </c>
      <c r="Z78" s="74">
        <v>2.0</v>
      </c>
      <c r="AA78" s="74">
        <v>0.0</v>
      </c>
      <c r="AB78" s="74">
        <v>9.0</v>
      </c>
      <c r="AC78" s="74">
        <v>4.0</v>
      </c>
      <c r="AD78" s="74">
        <v>2.0</v>
      </c>
      <c r="AE78" s="74">
        <v>1.0</v>
      </c>
      <c r="AF78" s="74">
        <v>1.0</v>
      </c>
      <c r="AG78" s="74">
        <v>1.0</v>
      </c>
      <c r="AH78" s="74">
        <v>1.0</v>
      </c>
      <c r="AI78" s="74">
        <v>1.0</v>
      </c>
      <c r="AJ78" s="74">
        <v>1.0</v>
      </c>
      <c r="AK78" s="74">
        <v>1.0</v>
      </c>
      <c r="AL78" s="74">
        <v>3.0</v>
      </c>
      <c r="AM78" s="74">
        <v>3.0</v>
      </c>
      <c r="AN78" s="74">
        <v>1.0</v>
      </c>
      <c r="AO78" s="74">
        <v>2.0</v>
      </c>
      <c r="AP78" s="74">
        <v>0.0</v>
      </c>
      <c r="AQ78" s="74">
        <v>2.0</v>
      </c>
      <c r="AR78" s="74">
        <v>1.0</v>
      </c>
      <c r="AS78" s="74">
        <v>1.0</v>
      </c>
      <c r="AT78" s="74">
        <v>2.0</v>
      </c>
      <c r="AU78" s="74">
        <v>3.0</v>
      </c>
      <c r="AV78" s="74">
        <v>0.0</v>
      </c>
      <c r="AW78" s="74">
        <v>1.0</v>
      </c>
      <c r="AX78" s="74">
        <v>1.0</v>
      </c>
      <c r="AY78" s="74">
        <v>1.0</v>
      </c>
      <c r="AZ78" s="13">
        <f t="shared" si="18"/>
        <v>72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Z79" si="19">SUM(E69:E78)</f>
        <v>27</v>
      </c>
      <c r="F79" s="13">
        <f t="shared" si="19"/>
        <v>32</v>
      </c>
      <c r="G79" s="13">
        <f t="shared" si="19"/>
        <v>27</v>
      </c>
      <c r="H79" s="13">
        <f t="shared" si="19"/>
        <v>23</v>
      </c>
      <c r="I79" s="13">
        <f t="shared" si="19"/>
        <v>62</v>
      </c>
      <c r="J79" s="13">
        <f t="shared" si="19"/>
        <v>34</v>
      </c>
      <c r="K79" s="13">
        <f t="shared" si="19"/>
        <v>24</v>
      </c>
      <c r="L79" s="13">
        <f t="shared" si="19"/>
        <v>62</v>
      </c>
      <c r="M79" s="13">
        <f t="shared" si="19"/>
        <v>62</v>
      </c>
      <c r="N79" s="13">
        <f t="shared" si="19"/>
        <v>34</v>
      </c>
      <c r="O79" s="13">
        <f t="shared" si="19"/>
        <v>71</v>
      </c>
      <c r="P79" s="13">
        <f t="shared" si="19"/>
        <v>22</v>
      </c>
      <c r="Q79" s="13">
        <f t="shared" si="19"/>
        <v>28</v>
      </c>
      <c r="R79" s="13">
        <f t="shared" si="19"/>
        <v>23</v>
      </c>
      <c r="S79" s="13">
        <f t="shared" si="19"/>
        <v>57</v>
      </c>
      <c r="T79" s="13">
        <f t="shared" si="19"/>
        <v>70</v>
      </c>
      <c r="U79" s="13">
        <f t="shared" si="19"/>
        <v>27</v>
      </c>
      <c r="V79" s="13">
        <f t="shared" si="19"/>
        <v>36</v>
      </c>
      <c r="W79" s="13">
        <f t="shared" si="19"/>
        <v>76</v>
      </c>
      <c r="X79" s="13">
        <f t="shared" si="19"/>
        <v>122</v>
      </c>
      <c r="Y79" s="13">
        <f t="shared" si="19"/>
        <v>45</v>
      </c>
      <c r="Z79" s="13">
        <f t="shared" si="19"/>
        <v>49</v>
      </c>
      <c r="AA79" s="13">
        <f t="shared" si="19"/>
        <v>71</v>
      </c>
      <c r="AB79" s="13">
        <f t="shared" si="19"/>
        <v>65</v>
      </c>
      <c r="AC79" s="13">
        <f t="shared" si="19"/>
        <v>52</v>
      </c>
      <c r="AD79" s="13">
        <f t="shared" si="19"/>
        <v>38</v>
      </c>
      <c r="AE79" s="13">
        <f t="shared" si="19"/>
        <v>48</v>
      </c>
      <c r="AF79" s="13">
        <f t="shared" si="19"/>
        <v>86</v>
      </c>
      <c r="AG79" s="13">
        <f t="shared" si="19"/>
        <v>39</v>
      </c>
      <c r="AH79" s="13">
        <f t="shared" si="19"/>
        <v>23</v>
      </c>
      <c r="AI79" s="13">
        <f t="shared" si="19"/>
        <v>25</v>
      </c>
      <c r="AJ79" s="13">
        <f t="shared" si="19"/>
        <v>45</v>
      </c>
      <c r="AK79" s="13">
        <f t="shared" si="19"/>
        <v>54</v>
      </c>
      <c r="AL79" s="13">
        <f t="shared" si="19"/>
        <v>45</v>
      </c>
      <c r="AM79" s="13">
        <f t="shared" si="19"/>
        <v>83</v>
      </c>
      <c r="AN79" s="13">
        <f t="shared" si="19"/>
        <v>99</v>
      </c>
      <c r="AO79" s="13">
        <f t="shared" si="19"/>
        <v>49</v>
      </c>
      <c r="AP79" s="13">
        <f t="shared" si="19"/>
        <v>20</v>
      </c>
      <c r="AQ79" s="13">
        <f t="shared" si="19"/>
        <v>37</v>
      </c>
      <c r="AR79" s="13">
        <f t="shared" si="19"/>
        <v>42</v>
      </c>
      <c r="AS79" s="13">
        <f t="shared" si="19"/>
        <v>48</v>
      </c>
      <c r="AT79" s="13">
        <f t="shared" si="19"/>
        <v>50</v>
      </c>
      <c r="AU79" s="13">
        <f t="shared" si="19"/>
        <v>27</v>
      </c>
      <c r="AV79" s="13">
        <f t="shared" si="19"/>
        <v>39</v>
      </c>
      <c r="AW79" s="13">
        <f t="shared" si="19"/>
        <v>42</v>
      </c>
      <c r="AX79" s="13">
        <f t="shared" si="19"/>
        <v>46</v>
      </c>
      <c r="AY79" s="13">
        <f t="shared" si="19"/>
        <v>70</v>
      </c>
      <c r="AZ79" s="13">
        <f t="shared" si="19"/>
        <v>2256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2.0</v>
      </c>
      <c r="G81" s="74">
        <v>3.0</v>
      </c>
      <c r="H81" s="74">
        <v>5.0</v>
      </c>
      <c r="I81" s="74">
        <v>2.0</v>
      </c>
      <c r="J81" s="74">
        <v>1.0</v>
      </c>
      <c r="K81" s="74">
        <v>2.0</v>
      </c>
      <c r="L81" s="74">
        <v>4.0</v>
      </c>
      <c r="M81" s="74">
        <v>2.0</v>
      </c>
      <c r="N81" s="74">
        <v>4.0</v>
      </c>
      <c r="O81" s="74">
        <v>10.0</v>
      </c>
      <c r="P81" s="74">
        <v>3.0</v>
      </c>
      <c r="Q81" s="74">
        <v>7.0</v>
      </c>
      <c r="R81" s="74">
        <v>5.0</v>
      </c>
      <c r="S81" s="74">
        <v>3.0</v>
      </c>
      <c r="T81" s="74">
        <v>2.0</v>
      </c>
      <c r="U81" s="74">
        <v>3.0</v>
      </c>
      <c r="V81" s="74">
        <v>1.0</v>
      </c>
      <c r="W81" s="74">
        <v>3.0</v>
      </c>
      <c r="X81" s="74">
        <v>2.0</v>
      </c>
      <c r="Y81" s="74">
        <v>0.0</v>
      </c>
      <c r="Z81" s="74">
        <v>1.0</v>
      </c>
      <c r="AA81" s="74">
        <v>0.0</v>
      </c>
      <c r="AB81" s="74">
        <v>1.0</v>
      </c>
      <c r="AC81" s="74">
        <v>7.0</v>
      </c>
      <c r="AD81" s="74">
        <v>6.0</v>
      </c>
      <c r="AE81" s="74">
        <v>4.0</v>
      </c>
      <c r="AF81" s="74">
        <v>6.0</v>
      </c>
      <c r="AG81" s="74">
        <v>17.0</v>
      </c>
      <c r="AH81" s="74">
        <v>16.0</v>
      </c>
      <c r="AI81" s="74">
        <v>13.0</v>
      </c>
      <c r="AJ81" s="74">
        <v>8.0</v>
      </c>
      <c r="AK81" s="74">
        <v>5.0</v>
      </c>
      <c r="AL81" s="74">
        <v>8.0</v>
      </c>
      <c r="AM81" s="74">
        <v>14.0</v>
      </c>
      <c r="AN81" s="74">
        <v>3.0</v>
      </c>
      <c r="AO81" s="74">
        <v>3.0</v>
      </c>
      <c r="AP81" s="74">
        <v>12.0</v>
      </c>
      <c r="AQ81" s="74">
        <v>7.0</v>
      </c>
      <c r="AR81" s="74">
        <v>7.0</v>
      </c>
      <c r="AS81" s="74">
        <v>7.0</v>
      </c>
      <c r="AT81" s="74">
        <v>4.0</v>
      </c>
      <c r="AU81" s="74">
        <v>9.0</v>
      </c>
      <c r="AV81" s="74">
        <v>3.0</v>
      </c>
      <c r="AW81" s="74">
        <v>2.0</v>
      </c>
      <c r="AX81" s="74">
        <v>6.0</v>
      </c>
      <c r="AY81" s="74">
        <v>3.0</v>
      </c>
      <c r="AZ81" s="13">
        <f t="shared" ref="AZ81:AZ90" si="20">SUM(E81:AY81)</f>
        <v>240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3.0</v>
      </c>
      <c r="F82" s="74">
        <v>10.0</v>
      </c>
      <c r="G82" s="74">
        <v>4.0</v>
      </c>
      <c r="H82" s="74">
        <v>9.0</v>
      </c>
      <c r="I82" s="74">
        <v>5.0</v>
      </c>
      <c r="J82" s="74">
        <v>5.0</v>
      </c>
      <c r="K82" s="74">
        <v>3.0</v>
      </c>
      <c r="L82" s="74">
        <v>8.0</v>
      </c>
      <c r="M82" s="74">
        <v>7.0</v>
      </c>
      <c r="N82" s="74">
        <v>21.0</v>
      </c>
      <c r="O82" s="74">
        <v>12.0</v>
      </c>
      <c r="P82" s="74">
        <v>30.0</v>
      </c>
      <c r="Q82" s="74">
        <v>4.0</v>
      </c>
      <c r="R82" s="74">
        <v>3.0</v>
      </c>
      <c r="S82" s="74">
        <v>6.0</v>
      </c>
      <c r="T82" s="74">
        <v>8.0</v>
      </c>
      <c r="U82" s="74">
        <v>3.0</v>
      </c>
      <c r="V82" s="74">
        <v>6.0</v>
      </c>
      <c r="W82" s="74">
        <v>0.0</v>
      </c>
      <c r="X82" s="74">
        <v>5.0</v>
      </c>
      <c r="Y82" s="74">
        <v>5.0</v>
      </c>
      <c r="Z82" s="74">
        <v>13.0</v>
      </c>
      <c r="AA82" s="74">
        <v>0.0</v>
      </c>
      <c r="AB82" s="74">
        <v>3.0</v>
      </c>
      <c r="AC82" s="74">
        <v>1.0</v>
      </c>
      <c r="AD82" s="74">
        <v>3.0</v>
      </c>
      <c r="AE82" s="74">
        <v>3.0</v>
      </c>
      <c r="AF82" s="74">
        <v>4.0</v>
      </c>
      <c r="AG82" s="74">
        <v>6.0</v>
      </c>
      <c r="AH82" s="74">
        <v>8.0</v>
      </c>
      <c r="AI82" s="74">
        <v>5.0</v>
      </c>
      <c r="AJ82" s="74">
        <v>3.0</v>
      </c>
      <c r="AK82" s="74">
        <v>5.0</v>
      </c>
      <c r="AL82" s="74">
        <v>5.0</v>
      </c>
      <c r="AM82" s="74">
        <v>9.0</v>
      </c>
      <c r="AN82" s="74">
        <v>3.0</v>
      </c>
      <c r="AO82" s="74">
        <v>3.0</v>
      </c>
      <c r="AP82" s="74">
        <v>11.0</v>
      </c>
      <c r="AQ82" s="74">
        <v>7.0</v>
      </c>
      <c r="AR82" s="74">
        <v>1.0</v>
      </c>
      <c r="AS82" s="74">
        <v>6.0</v>
      </c>
      <c r="AT82" s="74">
        <v>28.0</v>
      </c>
      <c r="AU82" s="74">
        <v>66.0</v>
      </c>
      <c r="AV82" s="74">
        <v>33.0</v>
      </c>
      <c r="AW82" s="74">
        <v>10.0</v>
      </c>
      <c r="AX82" s="74">
        <v>1.0</v>
      </c>
      <c r="AY82" s="74">
        <v>2.0</v>
      </c>
      <c r="AZ82" s="13">
        <f t="shared" si="20"/>
        <v>396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4.0</v>
      </c>
      <c r="G83" s="74">
        <v>2.0</v>
      </c>
      <c r="H83" s="74">
        <v>2.0</v>
      </c>
      <c r="I83" s="74">
        <v>1.0</v>
      </c>
      <c r="J83" s="74">
        <v>3.0</v>
      </c>
      <c r="K83" s="74">
        <v>0.0</v>
      </c>
      <c r="L83" s="74">
        <v>1.0</v>
      </c>
      <c r="M83" s="74">
        <v>2.0</v>
      </c>
      <c r="N83" s="74">
        <v>1.0</v>
      </c>
      <c r="O83" s="74">
        <v>2.0</v>
      </c>
      <c r="P83" s="74">
        <v>1.0</v>
      </c>
      <c r="Q83" s="74">
        <v>3.0</v>
      </c>
      <c r="R83" s="74">
        <v>2.0</v>
      </c>
      <c r="S83" s="74">
        <v>3.0</v>
      </c>
      <c r="T83" s="74">
        <v>3.0</v>
      </c>
      <c r="U83" s="74">
        <v>0.0</v>
      </c>
      <c r="V83" s="74">
        <v>2.0</v>
      </c>
      <c r="W83" s="74">
        <v>0.0</v>
      </c>
      <c r="X83" s="74">
        <v>1.0</v>
      </c>
      <c r="Y83" s="74">
        <v>0.0</v>
      </c>
      <c r="Z83" s="74">
        <v>0.0</v>
      </c>
      <c r="AA83" s="74">
        <v>0.0</v>
      </c>
      <c r="AB83" s="74">
        <v>0.0</v>
      </c>
      <c r="AC83" s="74">
        <v>0.0</v>
      </c>
      <c r="AD83" s="74">
        <v>4.0</v>
      </c>
      <c r="AE83" s="74">
        <v>11.0</v>
      </c>
      <c r="AF83" s="74">
        <v>6.0</v>
      </c>
      <c r="AG83" s="74">
        <v>9.0</v>
      </c>
      <c r="AH83" s="74">
        <v>10.0</v>
      </c>
      <c r="AI83" s="74">
        <v>4.0</v>
      </c>
      <c r="AJ83" s="74">
        <v>4.0</v>
      </c>
      <c r="AK83" s="74">
        <v>13.0</v>
      </c>
      <c r="AL83" s="74">
        <v>9.0</v>
      </c>
      <c r="AM83" s="74">
        <v>0.0</v>
      </c>
      <c r="AN83" s="74">
        <v>0.0</v>
      </c>
      <c r="AO83" s="74">
        <v>8.0</v>
      </c>
      <c r="AP83" s="74">
        <v>9.0</v>
      </c>
      <c r="AQ83" s="74">
        <v>20.0</v>
      </c>
      <c r="AR83" s="74">
        <v>2.0</v>
      </c>
      <c r="AS83" s="74">
        <v>1.0</v>
      </c>
      <c r="AT83" s="74">
        <v>2.0</v>
      </c>
      <c r="AU83" s="74">
        <v>0.0</v>
      </c>
      <c r="AV83" s="74">
        <v>0.0</v>
      </c>
      <c r="AW83" s="74">
        <v>0.0</v>
      </c>
      <c r="AX83" s="74">
        <v>0.0</v>
      </c>
      <c r="AY83" s="74">
        <v>1.0</v>
      </c>
      <c r="AZ83" s="13">
        <f t="shared" si="20"/>
        <v>147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0.0</v>
      </c>
      <c r="G84" s="74">
        <v>3.0</v>
      </c>
      <c r="H84" s="74">
        <v>0.0</v>
      </c>
      <c r="I84" s="74">
        <v>3.0</v>
      </c>
      <c r="J84" s="74">
        <v>0.0</v>
      </c>
      <c r="K84" s="74">
        <v>2.0</v>
      </c>
      <c r="L84" s="74">
        <v>0.0</v>
      </c>
      <c r="M84" s="74">
        <v>0.0</v>
      </c>
      <c r="N84" s="74">
        <v>0.0</v>
      </c>
      <c r="O84" s="74">
        <v>2.0</v>
      </c>
      <c r="P84" s="74">
        <v>0.0</v>
      </c>
      <c r="Q84" s="74">
        <v>1.0</v>
      </c>
      <c r="R84" s="74">
        <v>0.0</v>
      </c>
      <c r="S84" s="74">
        <v>2.0</v>
      </c>
      <c r="T84" s="74">
        <v>1.0</v>
      </c>
      <c r="U84" s="74">
        <v>2.0</v>
      </c>
      <c r="V84" s="74">
        <v>0.0</v>
      </c>
      <c r="W84" s="74">
        <v>0.0</v>
      </c>
      <c r="X84" s="74">
        <v>0.0</v>
      </c>
      <c r="Y84" s="74">
        <v>0.0</v>
      </c>
      <c r="Z84" s="74">
        <v>1.0</v>
      </c>
      <c r="AA84" s="74">
        <v>1.0</v>
      </c>
      <c r="AB84" s="74">
        <v>0.0</v>
      </c>
      <c r="AC84" s="74">
        <v>0.0</v>
      </c>
      <c r="AD84" s="74">
        <v>2.0</v>
      </c>
      <c r="AE84" s="74">
        <v>5.0</v>
      </c>
      <c r="AF84" s="74">
        <v>3.0</v>
      </c>
      <c r="AG84" s="74">
        <v>3.0</v>
      </c>
      <c r="AH84" s="74">
        <v>3.0</v>
      </c>
      <c r="AI84" s="74">
        <v>1.0</v>
      </c>
      <c r="AJ84" s="74">
        <v>2.0</v>
      </c>
      <c r="AK84" s="74">
        <v>0.0</v>
      </c>
      <c r="AL84" s="74">
        <v>1.0</v>
      </c>
      <c r="AM84" s="74">
        <v>4.0</v>
      </c>
      <c r="AN84" s="74">
        <v>0.0</v>
      </c>
      <c r="AO84" s="74">
        <v>3.0</v>
      </c>
      <c r="AP84" s="74">
        <v>5.0</v>
      </c>
      <c r="AQ84" s="74">
        <v>4.0</v>
      </c>
      <c r="AR84" s="74">
        <v>1.0</v>
      </c>
      <c r="AS84" s="74">
        <v>1.0</v>
      </c>
      <c r="AT84" s="74">
        <v>0.0</v>
      </c>
      <c r="AU84" s="74">
        <v>0.0</v>
      </c>
      <c r="AV84" s="74">
        <v>1.0</v>
      </c>
      <c r="AW84" s="74">
        <v>1.0</v>
      </c>
      <c r="AX84" s="74">
        <v>2.0</v>
      </c>
      <c r="AY84" s="74">
        <v>1.0</v>
      </c>
      <c r="AZ84" s="13">
        <f t="shared" si="20"/>
        <v>62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7.0</v>
      </c>
      <c r="G85" s="74">
        <v>5.0</v>
      </c>
      <c r="H85" s="74">
        <v>2.0</v>
      </c>
      <c r="I85" s="74">
        <v>1.0</v>
      </c>
      <c r="J85" s="74">
        <v>2.0</v>
      </c>
      <c r="K85" s="74">
        <v>0.0</v>
      </c>
      <c r="L85" s="74">
        <v>2.0</v>
      </c>
      <c r="M85" s="74">
        <v>0.0</v>
      </c>
      <c r="N85" s="74">
        <v>4.0</v>
      </c>
      <c r="O85" s="74">
        <v>3.0</v>
      </c>
      <c r="P85" s="74">
        <v>0.0</v>
      </c>
      <c r="Q85" s="74">
        <v>1.0</v>
      </c>
      <c r="R85" s="74">
        <v>0.0</v>
      </c>
      <c r="S85" s="74">
        <v>8.0</v>
      </c>
      <c r="T85" s="74">
        <v>1.0</v>
      </c>
      <c r="U85" s="74">
        <v>3.0</v>
      </c>
      <c r="V85" s="74">
        <v>4.0</v>
      </c>
      <c r="W85" s="74">
        <v>0.0</v>
      </c>
      <c r="X85" s="74">
        <v>0.0</v>
      </c>
      <c r="Y85" s="74">
        <v>0.0</v>
      </c>
      <c r="Z85" s="74">
        <v>0.0</v>
      </c>
      <c r="AA85" s="74">
        <v>1.0</v>
      </c>
      <c r="AB85" s="74">
        <v>1.0</v>
      </c>
      <c r="AC85" s="74">
        <v>3.0</v>
      </c>
      <c r="AD85" s="74">
        <v>13.0</v>
      </c>
      <c r="AE85" s="74">
        <v>34.0</v>
      </c>
      <c r="AF85" s="74">
        <v>49.0</v>
      </c>
      <c r="AG85" s="74">
        <v>17.0</v>
      </c>
      <c r="AH85" s="74">
        <v>14.0</v>
      </c>
      <c r="AI85" s="74">
        <v>13.0</v>
      </c>
      <c r="AJ85" s="74">
        <v>31.0</v>
      </c>
      <c r="AK85" s="74">
        <v>2.0</v>
      </c>
      <c r="AL85" s="74">
        <v>3.0</v>
      </c>
      <c r="AM85" s="74">
        <v>2.0</v>
      </c>
      <c r="AN85" s="74">
        <v>2.0</v>
      </c>
      <c r="AO85" s="74">
        <v>6.0</v>
      </c>
      <c r="AP85" s="74">
        <v>6.0</v>
      </c>
      <c r="AQ85" s="74">
        <v>11.0</v>
      </c>
      <c r="AR85" s="74">
        <v>1.0</v>
      </c>
      <c r="AS85" s="74">
        <v>0.0</v>
      </c>
      <c r="AT85" s="74">
        <v>2.0</v>
      </c>
      <c r="AU85" s="74">
        <v>5.0</v>
      </c>
      <c r="AV85" s="74">
        <v>3.0</v>
      </c>
      <c r="AW85" s="74">
        <v>3.0</v>
      </c>
      <c r="AX85" s="74">
        <v>0.0</v>
      </c>
      <c r="AY85" s="74">
        <v>0.0</v>
      </c>
      <c r="AZ85" s="13">
        <f t="shared" si="20"/>
        <v>267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0.0</v>
      </c>
      <c r="G86" s="74">
        <v>0.0</v>
      </c>
      <c r="H86" s="74">
        <v>0.0</v>
      </c>
      <c r="I86" s="74">
        <v>1.0</v>
      </c>
      <c r="J86" s="74">
        <v>0.0</v>
      </c>
      <c r="K86" s="74">
        <v>0.0</v>
      </c>
      <c r="L86" s="74">
        <v>1.0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1.0</v>
      </c>
      <c r="T86" s="74">
        <v>1.0</v>
      </c>
      <c r="U86" s="74">
        <v>0.0</v>
      </c>
      <c r="V86" s="74">
        <v>0.0</v>
      </c>
      <c r="W86" s="74">
        <v>1.0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0.0</v>
      </c>
      <c r="AE86" s="74">
        <v>0.0</v>
      </c>
      <c r="AF86" s="74">
        <v>2.0</v>
      </c>
      <c r="AG86" s="74">
        <v>2.0</v>
      </c>
      <c r="AH86" s="74">
        <v>4.0</v>
      </c>
      <c r="AI86" s="74">
        <v>1.0</v>
      </c>
      <c r="AJ86" s="74">
        <v>1.0</v>
      </c>
      <c r="AK86" s="74">
        <v>0.0</v>
      </c>
      <c r="AL86" s="74">
        <v>3.0</v>
      </c>
      <c r="AM86" s="74">
        <v>0.0</v>
      </c>
      <c r="AN86" s="74">
        <v>1.0</v>
      </c>
      <c r="AO86" s="74">
        <v>0.0</v>
      </c>
      <c r="AP86" s="74">
        <v>1.0</v>
      </c>
      <c r="AQ86" s="74">
        <v>1.0</v>
      </c>
      <c r="AR86" s="74">
        <v>1.0</v>
      </c>
      <c r="AS86" s="74">
        <v>0.0</v>
      </c>
      <c r="AT86" s="74">
        <v>1.0</v>
      </c>
      <c r="AU86" s="74">
        <v>0.0</v>
      </c>
      <c r="AV86" s="74">
        <v>0.0</v>
      </c>
      <c r="AW86" s="74">
        <v>2.0</v>
      </c>
      <c r="AX86" s="74">
        <v>0.0</v>
      </c>
      <c r="AY86" s="74">
        <v>0.0</v>
      </c>
      <c r="AZ86" s="13">
        <f t="shared" si="20"/>
        <v>26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1.0</v>
      </c>
      <c r="H87" s="74">
        <v>0.0</v>
      </c>
      <c r="I87" s="74">
        <v>1.0</v>
      </c>
      <c r="J87" s="74">
        <v>0.0</v>
      </c>
      <c r="K87" s="74">
        <v>0.0</v>
      </c>
      <c r="L87" s="74">
        <v>3.0</v>
      </c>
      <c r="M87" s="74">
        <v>1.0</v>
      </c>
      <c r="N87" s="74">
        <v>1.0</v>
      </c>
      <c r="O87" s="74">
        <v>0.0</v>
      </c>
      <c r="P87" s="74">
        <v>1.0</v>
      </c>
      <c r="Q87" s="74">
        <v>0.0</v>
      </c>
      <c r="R87" s="74">
        <v>1.0</v>
      </c>
      <c r="S87" s="74">
        <v>1.0</v>
      </c>
      <c r="T87" s="74">
        <v>0.0</v>
      </c>
      <c r="U87" s="74">
        <v>1.0</v>
      </c>
      <c r="V87" s="74">
        <v>1.0</v>
      </c>
      <c r="W87" s="74">
        <v>1.0</v>
      </c>
      <c r="X87" s="74">
        <v>1.0</v>
      </c>
      <c r="Y87" s="74">
        <v>1.0</v>
      </c>
      <c r="Z87" s="74">
        <v>0.0</v>
      </c>
      <c r="AA87" s="74">
        <v>1.0</v>
      </c>
      <c r="AB87" s="74">
        <v>0.0</v>
      </c>
      <c r="AC87" s="74">
        <v>1.0</v>
      </c>
      <c r="AD87" s="74">
        <v>0.0</v>
      </c>
      <c r="AE87" s="74">
        <v>1.0</v>
      </c>
      <c r="AF87" s="74">
        <v>0.0</v>
      </c>
      <c r="AG87" s="74">
        <v>0.0</v>
      </c>
      <c r="AH87" s="74">
        <v>0.0</v>
      </c>
      <c r="AI87" s="74">
        <v>1.0</v>
      </c>
      <c r="AJ87" s="74">
        <v>2.0</v>
      </c>
      <c r="AK87" s="74">
        <v>0.0</v>
      </c>
      <c r="AL87" s="74">
        <v>0.0</v>
      </c>
      <c r="AM87" s="74">
        <v>1.0</v>
      </c>
      <c r="AN87" s="74">
        <v>0.0</v>
      </c>
      <c r="AO87" s="74">
        <v>2.0</v>
      </c>
      <c r="AP87" s="74">
        <v>2.0</v>
      </c>
      <c r="AQ87" s="74">
        <v>1.0</v>
      </c>
      <c r="AR87" s="74">
        <v>0.0</v>
      </c>
      <c r="AS87" s="74">
        <v>0.0</v>
      </c>
      <c r="AT87" s="74">
        <v>1.0</v>
      </c>
      <c r="AU87" s="74">
        <v>0.0</v>
      </c>
      <c r="AV87" s="74">
        <v>0.0</v>
      </c>
      <c r="AW87" s="74">
        <v>0.0</v>
      </c>
      <c r="AX87" s="74">
        <v>0.0</v>
      </c>
      <c r="AY87" s="74">
        <v>1.0</v>
      </c>
      <c r="AZ87" s="13">
        <f t="shared" si="20"/>
        <v>29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1.0</v>
      </c>
      <c r="K88" s="74">
        <v>0.0</v>
      </c>
      <c r="L88" s="74">
        <v>1.0</v>
      </c>
      <c r="M88" s="74">
        <v>1.0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74">
        <v>0.0</v>
      </c>
      <c r="AC88" s="74">
        <v>0.0</v>
      </c>
      <c r="AD88" s="74">
        <v>0.0</v>
      </c>
      <c r="AE88" s="74">
        <v>0.0</v>
      </c>
      <c r="AF88" s="74">
        <v>0.0</v>
      </c>
      <c r="AG88" s="74">
        <v>0.0</v>
      </c>
      <c r="AH88" s="74">
        <v>0.0</v>
      </c>
      <c r="AI88" s="74">
        <v>0.0</v>
      </c>
      <c r="AJ88" s="74">
        <v>1.0</v>
      </c>
      <c r="AK88" s="74">
        <v>0.0</v>
      </c>
      <c r="AL88" s="74">
        <v>0.0</v>
      </c>
      <c r="AM88" s="74">
        <v>0.0</v>
      </c>
      <c r="AN88" s="74">
        <v>0.0</v>
      </c>
      <c r="AO88" s="74">
        <v>0.0</v>
      </c>
      <c r="AP88" s="74">
        <v>0.0</v>
      </c>
      <c r="AQ88" s="74">
        <v>0.0</v>
      </c>
      <c r="AR88" s="74">
        <v>0.0</v>
      </c>
      <c r="AS88" s="74">
        <v>2.0</v>
      </c>
      <c r="AT88" s="74">
        <v>0.0</v>
      </c>
      <c r="AU88" s="74">
        <v>0.0</v>
      </c>
      <c r="AV88" s="74">
        <v>0.0</v>
      </c>
      <c r="AW88" s="74">
        <v>0.0</v>
      </c>
      <c r="AX88" s="74">
        <v>0.0</v>
      </c>
      <c r="AY88" s="74">
        <v>0.0</v>
      </c>
      <c r="AZ88" s="13">
        <f t="shared" si="20"/>
        <v>6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1.0</v>
      </c>
      <c r="G89" s="74">
        <v>1.0</v>
      </c>
      <c r="H89" s="74">
        <v>0.0</v>
      </c>
      <c r="I89" s="74">
        <v>0.0</v>
      </c>
      <c r="J89" s="74">
        <v>0.0</v>
      </c>
      <c r="K89" s="74">
        <v>0.0</v>
      </c>
      <c r="L89" s="74">
        <v>1.0</v>
      </c>
      <c r="M89" s="74">
        <v>0.0</v>
      </c>
      <c r="N89" s="74">
        <v>0.0</v>
      </c>
      <c r="O89" s="74">
        <v>1.0</v>
      </c>
      <c r="P89" s="74">
        <v>1.0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1.0</v>
      </c>
      <c r="AI89" s="74">
        <v>0.0</v>
      </c>
      <c r="AJ89" s="74">
        <v>0.0</v>
      </c>
      <c r="AK89" s="74">
        <v>0.0</v>
      </c>
      <c r="AL89" s="74">
        <v>0.0</v>
      </c>
      <c r="AM89" s="74">
        <v>0.0</v>
      </c>
      <c r="AN89" s="74">
        <v>0.0</v>
      </c>
      <c r="AO89" s="74">
        <v>0.0</v>
      </c>
      <c r="AP89" s="74">
        <v>1.0</v>
      </c>
      <c r="AQ89" s="74">
        <v>0.0</v>
      </c>
      <c r="AR89" s="74">
        <v>0.0</v>
      </c>
      <c r="AS89" s="74">
        <v>0.0</v>
      </c>
      <c r="AT89" s="74">
        <v>0.0</v>
      </c>
      <c r="AU89" s="74">
        <v>0.0</v>
      </c>
      <c r="AV89" s="74">
        <v>0.0</v>
      </c>
      <c r="AW89" s="74">
        <v>0.0</v>
      </c>
      <c r="AX89" s="74">
        <v>0.0</v>
      </c>
      <c r="AY89" s="74">
        <v>0.0</v>
      </c>
      <c r="AZ89" s="13">
        <f t="shared" si="20"/>
        <v>7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1.0</v>
      </c>
      <c r="K90" s="74">
        <v>0.0</v>
      </c>
      <c r="L90" s="74">
        <v>1.0</v>
      </c>
      <c r="M90" s="74">
        <v>1.0</v>
      </c>
      <c r="N90" s="74">
        <v>0.0</v>
      </c>
      <c r="O90" s="74">
        <v>0.0</v>
      </c>
      <c r="P90" s="74">
        <v>0.0</v>
      </c>
      <c r="Q90" s="74">
        <v>1.0</v>
      </c>
      <c r="R90" s="74">
        <v>0.0</v>
      </c>
      <c r="S90" s="74">
        <v>0.0</v>
      </c>
      <c r="T90" s="74">
        <v>0.0</v>
      </c>
      <c r="U90" s="74">
        <v>3.0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0.0</v>
      </c>
      <c r="AF90" s="74">
        <v>2.0</v>
      </c>
      <c r="AG90" s="74">
        <v>0.0</v>
      </c>
      <c r="AH90" s="74">
        <v>1.0</v>
      </c>
      <c r="AI90" s="74">
        <v>0.0</v>
      </c>
      <c r="AJ90" s="74">
        <v>0.0</v>
      </c>
      <c r="AK90" s="74">
        <v>0.0</v>
      </c>
      <c r="AL90" s="74">
        <v>1.0</v>
      </c>
      <c r="AM90" s="74">
        <v>0.0</v>
      </c>
      <c r="AN90" s="74">
        <v>0.0</v>
      </c>
      <c r="AO90" s="74">
        <v>0.0</v>
      </c>
      <c r="AP90" s="74">
        <v>0.0</v>
      </c>
      <c r="AQ90" s="74">
        <v>0.0</v>
      </c>
      <c r="AR90" s="74">
        <v>0.0</v>
      </c>
      <c r="AS90" s="74">
        <v>0.0</v>
      </c>
      <c r="AT90" s="74">
        <v>0.0</v>
      </c>
      <c r="AU90" s="74">
        <v>0.0</v>
      </c>
      <c r="AV90" s="74">
        <v>0.0</v>
      </c>
      <c r="AW90" s="74">
        <v>0.0</v>
      </c>
      <c r="AX90" s="74">
        <v>0.0</v>
      </c>
      <c r="AY90" s="74">
        <v>0.0</v>
      </c>
      <c r="AZ90" s="13">
        <f t="shared" si="20"/>
        <v>11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Z91" si="21">SUM(E81:E90)</f>
        <v>12</v>
      </c>
      <c r="F91" s="13">
        <f t="shared" si="21"/>
        <v>24</v>
      </c>
      <c r="G91" s="13">
        <f t="shared" si="21"/>
        <v>19</v>
      </c>
      <c r="H91" s="13">
        <f t="shared" si="21"/>
        <v>18</v>
      </c>
      <c r="I91" s="13">
        <f t="shared" si="21"/>
        <v>14</v>
      </c>
      <c r="J91" s="13">
        <f t="shared" si="21"/>
        <v>13</v>
      </c>
      <c r="K91" s="13">
        <f t="shared" si="21"/>
        <v>7</v>
      </c>
      <c r="L91" s="13">
        <f t="shared" si="21"/>
        <v>22</v>
      </c>
      <c r="M91" s="13">
        <f t="shared" si="21"/>
        <v>14</v>
      </c>
      <c r="N91" s="13">
        <f t="shared" si="21"/>
        <v>31</v>
      </c>
      <c r="O91" s="13">
        <f t="shared" si="21"/>
        <v>30</v>
      </c>
      <c r="P91" s="13">
        <f t="shared" si="21"/>
        <v>36</v>
      </c>
      <c r="Q91" s="13">
        <f t="shared" si="21"/>
        <v>17</v>
      </c>
      <c r="R91" s="13">
        <f t="shared" si="21"/>
        <v>11</v>
      </c>
      <c r="S91" s="13">
        <f t="shared" si="21"/>
        <v>24</v>
      </c>
      <c r="T91" s="13">
        <f t="shared" si="21"/>
        <v>16</v>
      </c>
      <c r="U91" s="13">
        <f t="shared" si="21"/>
        <v>15</v>
      </c>
      <c r="V91" s="13">
        <f t="shared" si="21"/>
        <v>14</v>
      </c>
      <c r="W91" s="13">
        <f t="shared" si="21"/>
        <v>5</v>
      </c>
      <c r="X91" s="13">
        <f t="shared" si="21"/>
        <v>9</v>
      </c>
      <c r="Y91" s="13">
        <f t="shared" si="21"/>
        <v>6</v>
      </c>
      <c r="Z91" s="13">
        <f t="shared" si="21"/>
        <v>15</v>
      </c>
      <c r="AA91" s="13">
        <f t="shared" si="21"/>
        <v>3</v>
      </c>
      <c r="AB91" s="13">
        <f t="shared" si="21"/>
        <v>5</v>
      </c>
      <c r="AC91" s="13">
        <f t="shared" si="21"/>
        <v>12</v>
      </c>
      <c r="AD91" s="13">
        <f t="shared" si="21"/>
        <v>28</v>
      </c>
      <c r="AE91" s="13">
        <f t="shared" si="21"/>
        <v>58</v>
      </c>
      <c r="AF91" s="13">
        <f t="shared" si="21"/>
        <v>72</v>
      </c>
      <c r="AG91" s="13">
        <f t="shared" si="21"/>
        <v>54</v>
      </c>
      <c r="AH91" s="13">
        <f t="shared" si="21"/>
        <v>57</v>
      </c>
      <c r="AI91" s="13">
        <f t="shared" si="21"/>
        <v>38</v>
      </c>
      <c r="AJ91" s="13">
        <f t="shared" si="21"/>
        <v>52</v>
      </c>
      <c r="AK91" s="13">
        <f t="shared" si="21"/>
        <v>25</v>
      </c>
      <c r="AL91" s="13">
        <f t="shared" si="21"/>
        <v>30</v>
      </c>
      <c r="AM91" s="13">
        <f t="shared" si="21"/>
        <v>30</v>
      </c>
      <c r="AN91" s="13">
        <f t="shared" si="21"/>
        <v>9</v>
      </c>
      <c r="AO91" s="13">
        <f t="shared" si="21"/>
        <v>25</v>
      </c>
      <c r="AP91" s="13">
        <f t="shared" si="21"/>
        <v>47</v>
      </c>
      <c r="AQ91" s="13">
        <f t="shared" si="21"/>
        <v>51</v>
      </c>
      <c r="AR91" s="13">
        <f t="shared" si="21"/>
        <v>13</v>
      </c>
      <c r="AS91" s="13">
        <f t="shared" si="21"/>
        <v>17</v>
      </c>
      <c r="AT91" s="13">
        <f t="shared" si="21"/>
        <v>38</v>
      </c>
      <c r="AU91" s="13">
        <f t="shared" si="21"/>
        <v>80</v>
      </c>
      <c r="AV91" s="13">
        <f t="shared" si="21"/>
        <v>40</v>
      </c>
      <c r="AW91" s="13">
        <f t="shared" si="21"/>
        <v>18</v>
      </c>
      <c r="AX91" s="13">
        <f t="shared" si="21"/>
        <v>9</v>
      </c>
      <c r="AY91" s="13">
        <f t="shared" si="21"/>
        <v>8</v>
      </c>
      <c r="AZ91" s="13">
        <f t="shared" si="21"/>
        <v>1191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4.0</v>
      </c>
      <c r="F93" s="74">
        <v>4.0</v>
      </c>
      <c r="G93" s="74">
        <v>5.0</v>
      </c>
      <c r="H93" s="74">
        <v>1.0</v>
      </c>
      <c r="I93" s="74">
        <v>0.0</v>
      </c>
      <c r="J93" s="74">
        <v>3.0</v>
      </c>
      <c r="K93" s="74">
        <v>0.0</v>
      </c>
      <c r="L93" s="74">
        <v>0.0</v>
      </c>
      <c r="M93" s="74">
        <v>2.0</v>
      </c>
      <c r="N93" s="74">
        <v>0.0</v>
      </c>
      <c r="O93" s="74">
        <v>2.0</v>
      </c>
      <c r="P93" s="74">
        <v>5.0</v>
      </c>
      <c r="Q93" s="74">
        <v>2.0</v>
      </c>
      <c r="R93" s="74">
        <v>1.0</v>
      </c>
      <c r="S93" s="74">
        <v>4.0</v>
      </c>
      <c r="T93" s="74">
        <v>2.0</v>
      </c>
      <c r="U93" s="74">
        <v>5.0</v>
      </c>
      <c r="V93" s="74">
        <v>0.0</v>
      </c>
      <c r="W93" s="74">
        <v>5.0</v>
      </c>
      <c r="X93" s="74">
        <v>7.0</v>
      </c>
      <c r="Y93" s="74">
        <v>0.0</v>
      </c>
      <c r="Z93" s="74">
        <v>0.0</v>
      </c>
      <c r="AA93" s="74">
        <v>0.0</v>
      </c>
      <c r="AB93" s="74">
        <v>0.0</v>
      </c>
      <c r="AC93" s="74">
        <v>3.0</v>
      </c>
      <c r="AD93" s="74">
        <v>1.0</v>
      </c>
      <c r="AE93" s="74">
        <v>1.0</v>
      </c>
      <c r="AF93" s="74">
        <v>0.0</v>
      </c>
      <c r="AG93" s="74">
        <v>1.0</v>
      </c>
      <c r="AH93" s="74">
        <v>0.0</v>
      </c>
      <c r="AI93" s="74">
        <v>0.0</v>
      </c>
      <c r="AJ93" s="74">
        <v>0.0</v>
      </c>
      <c r="AK93" s="74">
        <v>0.0</v>
      </c>
      <c r="AL93" s="74">
        <v>0.0</v>
      </c>
      <c r="AM93" s="74">
        <v>0.0</v>
      </c>
      <c r="AN93" s="74">
        <v>0.0</v>
      </c>
      <c r="AO93" s="74">
        <v>0.0</v>
      </c>
      <c r="AP93" s="74">
        <v>0.0</v>
      </c>
      <c r="AQ93" s="74">
        <v>0.0</v>
      </c>
      <c r="AR93" s="74">
        <v>2.0</v>
      </c>
      <c r="AS93" s="74">
        <v>5.0</v>
      </c>
      <c r="AT93" s="74">
        <v>1.0</v>
      </c>
      <c r="AU93" s="74">
        <v>5.0</v>
      </c>
      <c r="AV93" s="74">
        <v>4.0</v>
      </c>
      <c r="AW93" s="74">
        <v>1.0</v>
      </c>
      <c r="AX93" s="74">
        <v>1.0</v>
      </c>
      <c r="AY93" s="74">
        <v>2.0</v>
      </c>
      <c r="AZ93" s="13">
        <f t="shared" ref="AZ93:AZ102" si="22">SUM(E93:AY93)</f>
        <v>79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18.0</v>
      </c>
      <c r="F94" s="74">
        <v>1.0</v>
      </c>
      <c r="G94" s="74">
        <v>4.0</v>
      </c>
      <c r="H94" s="74">
        <v>0.0</v>
      </c>
      <c r="I94" s="74">
        <v>3.0</v>
      </c>
      <c r="J94" s="74">
        <v>3.0</v>
      </c>
      <c r="K94" s="74">
        <v>0.0</v>
      </c>
      <c r="L94" s="74">
        <v>1.0</v>
      </c>
      <c r="M94" s="74">
        <v>2.0</v>
      </c>
      <c r="N94" s="74">
        <v>3.0</v>
      </c>
      <c r="O94" s="74">
        <v>0.0</v>
      </c>
      <c r="P94" s="74">
        <v>3.0</v>
      </c>
      <c r="Q94" s="74">
        <v>2.0</v>
      </c>
      <c r="R94" s="74">
        <v>3.0</v>
      </c>
      <c r="S94" s="74">
        <v>2.0</v>
      </c>
      <c r="T94" s="74">
        <v>5.0</v>
      </c>
      <c r="U94" s="74">
        <v>2.0</v>
      </c>
      <c r="V94" s="74">
        <v>0.0</v>
      </c>
      <c r="W94" s="74">
        <v>10.0</v>
      </c>
      <c r="X94" s="74">
        <v>2.0</v>
      </c>
      <c r="Y94" s="74">
        <v>1.0</v>
      </c>
      <c r="Z94" s="74">
        <v>0.0</v>
      </c>
      <c r="AA94" s="74">
        <v>0.0</v>
      </c>
      <c r="AB94" s="74">
        <v>1.0</v>
      </c>
      <c r="AC94" s="74">
        <v>5.0</v>
      </c>
      <c r="AD94" s="74">
        <v>3.0</v>
      </c>
      <c r="AE94" s="74">
        <v>1.0</v>
      </c>
      <c r="AF94" s="74">
        <v>0.0</v>
      </c>
      <c r="AG94" s="74">
        <v>1.0</v>
      </c>
      <c r="AH94" s="74">
        <v>0.0</v>
      </c>
      <c r="AI94" s="74">
        <v>2.0</v>
      </c>
      <c r="AJ94" s="74">
        <v>1.0</v>
      </c>
      <c r="AK94" s="74">
        <v>2.0</v>
      </c>
      <c r="AL94" s="74">
        <v>3.0</v>
      </c>
      <c r="AM94" s="74">
        <v>2.0</v>
      </c>
      <c r="AN94" s="74">
        <v>0.0</v>
      </c>
      <c r="AO94" s="74">
        <v>0.0</v>
      </c>
      <c r="AP94" s="74">
        <v>0.0</v>
      </c>
      <c r="AQ94" s="74">
        <v>1.0</v>
      </c>
      <c r="AR94" s="74">
        <v>2.0</v>
      </c>
      <c r="AS94" s="74">
        <v>2.0</v>
      </c>
      <c r="AT94" s="74">
        <v>1.0</v>
      </c>
      <c r="AU94" s="74">
        <v>9.0</v>
      </c>
      <c r="AV94" s="74">
        <v>7.0</v>
      </c>
      <c r="AW94" s="74">
        <v>1.0</v>
      </c>
      <c r="AX94" s="74">
        <v>0.0</v>
      </c>
      <c r="AY94" s="74">
        <v>4.0</v>
      </c>
      <c r="AZ94" s="13">
        <f t="shared" si="22"/>
        <v>113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2.0</v>
      </c>
      <c r="H95" s="74">
        <v>0.0</v>
      </c>
      <c r="I95" s="74">
        <v>0.0</v>
      </c>
      <c r="J95" s="74">
        <v>1.0</v>
      </c>
      <c r="K95" s="74">
        <v>0.0</v>
      </c>
      <c r="L95" s="74">
        <v>0.0</v>
      </c>
      <c r="M95" s="74">
        <v>1.0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0.0</v>
      </c>
      <c r="T95" s="74">
        <v>0.0</v>
      </c>
      <c r="U95" s="74">
        <v>1.0</v>
      </c>
      <c r="V95" s="74">
        <v>1.0</v>
      </c>
      <c r="W95" s="74">
        <v>1.0</v>
      </c>
      <c r="X95" s="74">
        <v>0.0</v>
      </c>
      <c r="Y95" s="74">
        <v>0.0</v>
      </c>
      <c r="Z95" s="74">
        <v>0.0</v>
      </c>
      <c r="AA95" s="74">
        <v>0.0</v>
      </c>
      <c r="AB95" s="74">
        <v>0.0</v>
      </c>
      <c r="AC95" s="74">
        <v>0.0</v>
      </c>
      <c r="AD95" s="74">
        <v>1.0</v>
      </c>
      <c r="AE95" s="74">
        <v>0.0</v>
      </c>
      <c r="AF95" s="74">
        <v>1.0</v>
      </c>
      <c r="AG95" s="74">
        <v>1.0</v>
      </c>
      <c r="AH95" s="74">
        <v>0.0</v>
      </c>
      <c r="AI95" s="74">
        <v>1.0</v>
      </c>
      <c r="AJ95" s="74">
        <v>3.0</v>
      </c>
      <c r="AK95" s="74">
        <v>1.0</v>
      </c>
      <c r="AL95" s="74">
        <v>0.0</v>
      </c>
      <c r="AM95" s="74">
        <v>0.0</v>
      </c>
      <c r="AN95" s="74">
        <v>3.0</v>
      </c>
      <c r="AO95" s="74">
        <v>0.0</v>
      </c>
      <c r="AP95" s="74">
        <v>2.0</v>
      </c>
      <c r="AQ95" s="74">
        <v>0.0</v>
      </c>
      <c r="AR95" s="74">
        <v>0.0</v>
      </c>
      <c r="AS95" s="74">
        <v>0.0</v>
      </c>
      <c r="AT95" s="74">
        <v>1.0</v>
      </c>
      <c r="AU95" s="74">
        <v>1.0</v>
      </c>
      <c r="AV95" s="74">
        <v>2.0</v>
      </c>
      <c r="AW95" s="74">
        <v>0.0</v>
      </c>
      <c r="AX95" s="74">
        <v>0.0</v>
      </c>
      <c r="AY95" s="74">
        <v>0.0</v>
      </c>
      <c r="AZ95" s="13">
        <f t="shared" si="22"/>
        <v>24</v>
      </c>
    </row>
    <row r="96" ht="12.75" customHeight="1">
      <c r="A96" s="18"/>
      <c r="B96" s="55"/>
      <c r="C96" s="50" t="s">
        <v>84</v>
      </c>
      <c r="D96" s="57"/>
      <c r="E96" s="74">
        <v>2.0</v>
      </c>
      <c r="F96" s="74">
        <v>1.0</v>
      </c>
      <c r="G96" s="74">
        <v>1.0</v>
      </c>
      <c r="H96" s="74">
        <v>2.0</v>
      </c>
      <c r="I96" s="74">
        <v>1.0</v>
      </c>
      <c r="J96" s="74">
        <v>0.0</v>
      </c>
      <c r="K96" s="74">
        <v>0.0</v>
      </c>
      <c r="L96" s="74">
        <v>0.0</v>
      </c>
      <c r="M96" s="74">
        <v>1.0</v>
      </c>
      <c r="N96" s="74">
        <v>1.0</v>
      </c>
      <c r="O96" s="74">
        <v>0.0</v>
      </c>
      <c r="P96" s="74">
        <v>2.0</v>
      </c>
      <c r="Q96" s="74">
        <v>1.0</v>
      </c>
      <c r="R96" s="74">
        <v>0.0</v>
      </c>
      <c r="S96" s="74">
        <v>0.0</v>
      </c>
      <c r="T96" s="74">
        <v>1.0</v>
      </c>
      <c r="U96" s="74">
        <v>0.0</v>
      </c>
      <c r="V96" s="74">
        <v>2.0</v>
      </c>
      <c r="W96" s="74">
        <v>1.0</v>
      </c>
      <c r="X96" s="74">
        <v>0.0</v>
      </c>
      <c r="Y96" s="74">
        <v>0.0</v>
      </c>
      <c r="Z96" s="74">
        <v>0.0</v>
      </c>
      <c r="AA96" s="74">
        <v>0.0</v>
      </c>
      <c r="AB96" s="74">
        <v>1.0</v>
      </c>
      <c r="AC96" s="74">
        <v>0.0</v>
      </c>
      <c r="AD96" s="74">
        <v>0.0</v>
      </c>
      <c r="AE96" s="74">
        <v>0.0</v>
      </c>
      <c r="AF96" s="74">
        <v>0.0</v>
      </c>
      <c r="AG96" s="74">
        <v>0.0</v>
      </c>
      <c r="AH96" s="74">
        <v>0.0</v>
      </c>
      <c r="AI96" s="74">
        <v>0.0</v>
      </c>
      <c r="AJ96" s="74">
        <v>0.0</v>
      </c>
      <c r="AK96" s="74">
        <v>2.0</v>
      </c>
      <c r="AL96" s="74">
        <v>0.0</v>
      </c>
      <c r="AM96" s="74">
        <v>0.0</v>
      </c>
      <c r="AN96" s="74">
        <v>0.0</v>
      </c>
      <c r="AO96" s="74">
        <v>0.0</v>
      </c>
      <c r="AP96" s="74">
        <v>0.0</v>
      </c>
      <c r="AQ96" s="74">
        <v>0.0</v>
      </c>
      <c r="AR96" s="74">
        <v>0.0</v>
      </c>
      <c r="AS96" s="74">
        <v>0.0</v>
      </c>
      <c r="AT96" s="74">
        <v>0.0</v>
      </c>
      <c r="AU96" s="74">
        <v>1.0</v>
      </c>
      <c r="AV96" s="74">
        <v>0.0</v>
      </c>
      <c r="AW96" s="74">
        <v>0.0</v>
      </c>
      <c r="AX96" s="74">
        <v>0.0</v>
      </c>
      <c r="AY96" s="74">
        <v>1.0</v>
      </c>
      <c r="AZ96" s="13">
        <f t="shared" si="22"/>
        <v>21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1.0</v>
      </c>
      <c r="G97" s="74">
        <v>1.0</v>
      </c>
      <c r="H97" s="74">
        <v>2.0</v>
      </c>
      <c r="I97" s="74">
        <v>2.0</v>
      </c>
      <c r="J97" s="74">
        <v>0.0</v>
      </c>
      <c r="K97" s="74">
        <v>0.0</v>
      </c>
      <c r="L97" s="74">
        <v>0.0</v>
      </c>
      <c r="M97" s="74">
        <v>0.0</v>
      </c>
      <c r="N97" s="74">
        <v>1.0</v>
      </c>
      <c r="O97" s="74">
        <v>1.0</v>
      </c>
      <c r="P97" s="74">
        <v>0.0</v>
      </c>
      <c r="Q97" s="74">
        <v>0.0</v>
      </c>
      <c r="R97" s="74">
        <v>1.0</v>
      </c>
      <c r="S97" s="74">
        <v>1.0</v>
      </c>
      <c r="T97" s="74">
        <v>0.0</v>
      </c>
      <c r="U97" s="74">
        <v>0.0</v>
      </c>
      <c r="V97" s="74">
        <v>0.0</v>
      </c>
      <c r="W97" s="74">
        <v>0.0</v>
      </c>
      <c r="X97" s="74">
        <v>1.0</v>
      </c>
      <c r="Y97" s="74">
        <v>0.0</v>
      </c>
      <c r="Z97" s="74">
        <v>0.0</v>
      </c>
      <c r="AA97" s="74">
        <v>0.0</v>
      </c>
      <c r="AB97" s="74">
        <v>0.0</v>
      </c>
      <c r="AC97" s="74">
        <v>1.0</v>
      </c>
      <c r="AD97" s="74">
        <v>0.0</v>
      </c>
      <c r="AE97" s="74">
        <v>0.0</v>
      </c>
      <c r="AF97" s="74">
        <v>0.0</v>
      </c>
      <c r="AG97" s="74">
        <v>0.0</v>
      </c>
      <c r="AH97" s="74">
        <v>0.0</v>
      </c>
      <c r="AI97" s="74">
        <v>0.0</v>
      </c>
      <c r="AJ97" s="74">
        <v>0.0</v>
      </c>
      <c r="AK97" s="74">
        <v>1.0</v>
      </c>
      <c r="AL97" s="74">
        <v>1.0</v>
      </c>
      <c r="AM97" s="74">
        <v>0.0</v>
      </c>
      <c r="AN97" s="74">
        <v>0.0</v>
      </c>
      <c r="AO97" s="74">
        <v>2.0</v>
      </c>
      <c r="AP97" s="74">
        <v>0.0</v>
      </c>
      <c r="AQ97" s="74">
        <v>0.0</v>
      </c>
      <c r="AR97" s="74">
        <v>0.0</v>
      </c>
      <c r="AS97" s="74">
        <v>2.0</v>
      </c>
      <c r="AT97" s="74">
        <v>0.0</v>
      </c>
      <c r="AU97" s="74">
        <v>3.0</v>
      </c>
      <c r="AV97" s="74">
        <v>2.0</v>
      </c>
      <c r="AW97" s="74">
        <v>1.0</v>
      </c>
      <c r="AX97" s="74">
        <v>0.0</v>
      </c>
      <c r="AY97" s="74">
        <v>1.0</v>
      </c>
      <c r="AZ97" s="13">
        <f t="shared" si="22"/>
        <v>26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1.0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2.0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0.0</v>
      </c>
      <c r="AB98" s="74">
        <v>0.0</v>
      </c>
      <c r="AC98" s="74">
        <v>0.0</v>
      </c>
      <c r="AD98" s="74">
        <v>0.0</v>
      </c>
      <c r="AE98" s="74">
        <v>0.0</v>
      </c>
      <c r="AF98" s="74">
        <v>0.0</v>
      </c>
      <c r="AG98" s="74">
        <v>0.0</v>
      </c>
      <c r="AH98" s="74">
        <v>0.0</v>
      </c>
      <c r="AI98" s="74">
        <v>0.0</v>
      </c>
      <c r="AJ98" s="74">
        <v>0.0</v>
      </c>
      <c r="AK98" s="74">
        <v>0.0</v>
      </c>
      <c r="AL98" s="74">
        <v>0.0</v>
      </c>
      <c r="AM98" s="74">
        <v>0.0</v>
      </c>
      <c r="AN98" s="74">
        <v>1.0</v>
      </c>
      <c r="AO98" s="74">
        <v>0.0</v>
      </c>
      <c r="AP98" s="74">
        <v>0.0</v>
      </c>
      <c r="AQ98" s="74">
        <v>0.0</v>
      </c>
      <c r="AR98" s="74">
        <v>0.0</v>
      </c>
      <c r="AS98" s="74">
        <v>1.0</v>
      </c>
      <c r="AT98" s="74">
        <v>0.0</v>
      </c>
      <c r="AU98" s="74">
        <v>2.0</v>
      </c>
      <c r="AV98" s="74">
        <v>2.0</v>
      </c>
      <c r="AW98" s="74">
        <v>2.0</v>
      </c>
      <c r="AX98" s="74">
        <v>0.0</v>
      </c>
      <c r="AY98" s="74">
        <v>1.0</v>
      </c>
      <c r="AZ98" s="13">
        <f t="shared" si="22"/>
        <v>12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2.0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0.0</v>
      </c>
      <c r="AN99" s="74">
        <v>0.0</v>
      </c>
      <c r="AO99" s="74">
        <v>0.0</v>
      </c>
      <c r="AP99" s="74">
        <v>0.0</v>
      </c>
      <c r="AQ99" s="74">
        <v>0.0</v>
      </c>
      <c r="AR99" s="74">
        <v>1.0</v>
      </c>
      <c r="AS99" s="74">
        <v>0.0</v>
      </c>
      <c r="AT99" s="74">
        <v>0.0</v>
      </c>
      <c r="AU99" s="74">
        <v>0.0</v>
      </c>
      <c r="AV99" s="74">
        <v>0.0</v>
      </c>
      <c r="AW99" s="74">
        <v>0.0</v>
      </c>
      <c r="AX99" s="74">
        <v>0.0</v>
      </c>
      <c r="AY99" s="74">
        <v>1.0</v>
      </c>
      <c r="AZ99" s="13">
        <f t="shared" si="22"/>
        <v>5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1.0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1.0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1.0</v>
      </c>
      <c r="AK100" s="74">
        <v>0.0</v>
      </c>
      <c r="AL100" s="74">
        <v>0.0</v>
      </c>
      <c r="AM100" s="74">
        <v>0.0</v>
      </c>
      <c r="AN100" s="74">
        <v>0.0</v>
      </c>
      <c r="AO100" s="74">
        <v>0.0</v>
      </c>
      <c r="AP100" s="74">
        <v>0.0</v>
      </c>
      <c r="AQ100" s="74">
        <v>0.0</v>
      </c>
      <c r="AR100" s="74">
        <v>0.0</v>
      </c>
      <c r="AS100" s="74">
        <v>0.0</v>
      </c>
      <c r="AT100" s="74">
        <v>0.0</v>
      </c>
      <c r="AU100" s="74">
        <v>1.0</v>
      </c>
      <c r="AV100" s="74">
        <v>0.0</v>
      </c>
      <c r="AW100" s="74">
        <v>0.0</v>
      </c>
      <c r="AX100" s="74">
        <v>0.0</v>
      </c>
      <c r="AY100" s="74">
        <v>0.0</v>
      </c>
      <c r="AZ100" s="13">
        <f t="shared" si="22"/>
        <v>4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1.0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74">
        <v>0.0</v>
      </c>
      <c r="AL101" s="74">
        <v>0.0</v>
      </c>
      <c r="AM101" s="74">
        <v>0.0</v>
      </c>
      <c r="AN101" s="74">
        <v>0.0</v>
      </c>
      <c r="AO101" s="74">
        <v>0.0</v>
      </c>
      <c r="AP101" s="74">
        <v>0.0</v>
      </c>
      <c r="AQ101" s="74">
        <v>0.0</v>
      </c>
      <c r="AR101" s="74">
        <v>0.0</v>
      </c>
      <c r="AS101" s="74">
        <v>0.0</v>
      </c>
      <c r="AT101" s="74">
        <v>0.0</v>
      </c>
      <c r="AU101" s="74">
        <v>0.0</v>
      </c>
      <c r="AV101" s="74">
        <v>1.0</v>
      </c>
      <c r="AW101" s="74">
        <v>0.0</v>
      </c>
      <c r="AX101" s="74">
        <v>0.0</v>
      </c>
      <c r="AY101" s="74">
        <v>0.0</v>
      </c>
      <c r="AZ101" s="13">
        <f t="shared" si="22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1.0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1.0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1.0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74">
        <v>0.0</v>
      </c>
      <c r="AL102" s="74">
        <v>0.0</v>
      </c>
      <c r="AM102" s="74">
        <v>0.0</v>
      </c>
      <c r="AN102" s="74">
        <v>0.0</v>
      </c>
      <c r="AO102" s="74">
        <v>0.0</v>
      </c>
      <c r="AP102" s="74">
        <v>0.0</v>
      </c>
      <c r="AQ102" s="74">
        <v>0.0</v>
      </c>
      <c r="AR102" s="74">
        <v>0.0</v>
      </c>
      <c r="AS102" s="74">
        <v>0.0</v>
      </c>
      <c r="AT102" s="74">
        <v>0.0</v>
      </c>
      <c r="AU102" s="74">
        <v>0.0</v>
      </c>
      <c r="AV102" s="74">
        <v>0.0</v>
      </c>
      <c r="AW102" s="74">
        <v>0.0</v>
      </c>
      <c r="AX102" s="74">
        <v>0.0</v>
      </c>
      <c r="AY102" s="74">
        <v>0.0</v>
      </c>
      <c r="AZ102" s="13">
        <f t="shared" si="22"/>
        <v>3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Z103" si="23">SUM(E93:E102)</f>
        <v>25</v>
      </c>
      <c r="F103" s="13">
        <f t="shared" si="23"/>
        <v>7</v>
      </c>
      <c r="G103" s="13">
        <f t="shared" si="23"/>
        <v>14</v>
      </c>
      <c r="H103" s="13">
        <f t="shared" si="23"/>
        <v>5</v>
      </c>
      <c r="I103" s="13">
        <f t="shared" si="23"/>
        <v>7</v>
      </c>
      <c r="J103" s="13">
        <f t="shared" si="23"/>
        <v>8</v>
      </c>
      <c r="K103" s="13">
        <f t="shared" si="23"/>
        <v>1</v>
      </c>
      <c r="L103" s="13">
        <f t="shared" si="23"/>
        <v>1</v>
      </c>
      <c r="M103" s="13">
        <f t="shared" si="23"/>
        <v>6</v>
      </c>
      <c r="N103" s="13">
        <f t="shared" si="23"/>
        <v>5</v>
      </c>
      <c r="O103" s="13">
        <f t="shared" si="23"/>
        <v>4</v>
      </c>
      <c r="P103" s="13">
        <f t="shared" si="23"/>
        <v>12</v>
      </c>
      <c r="Q103" s="13">
        <f t="shared" si="23"/>
        <v>5</v>
      </c>
      <c r="R103" s="13">
        <f t="shared" si="23"/>
        <v>5</v>
      </c>
      <c r="S103" s="13">
        <f t="shared" si="23"/>
        <v>7</v>
      </c>
      <c r="T103" s="13">
        <f t="shared" si="23"/>
        <v>8</v>
      </c>
      <c r="U103" s="13">
        <f t="shared" si="23"/>
        <v>8</v>
      </c>
      <c r="V103" s="13">
        <f t="shared" si="23"/>
        <v>3</v>
      </c>
      <c r="W103" s="13">
        <f t="shared" si="23"/>
        <v>18</v>
      </c>
      <c r="X103" s="13">
        <f t="shared" si="23"/>
        <v>12</v>
      </c>
      <c r="Y103" s="13">
        <f t="shared" si="23"/>
        <v>1</v>
      </c>
      <c r="Z103" s="13">
        <f t="shared" si="23"/>
        <v>1</v>
      </c>
      <c r="AA103" s="13">
        <f t="shared" si="23"/>
        <v>0</v>
      </c>
      <c r="AB103" s="13">
        <f t="shared" si="23"/>
        <v>2</v>
      </c>
      <c r="AC103" s="13">
        <f t="shared" si="23"/>
        <v>9</v>
      </c>
      <c r="AD103" s="13">
        <f t="shared" si="23"/>
        <v>5</v>
      </c>
      <c r="AE103" s="13">
        <f t="shared" si="23"/>
        <v>3</v>
      </c>
      <c r="AF103" s="13">
        <f t="shared" si="23"/>
        <v>1</v>
      </c>
      <c r="AG103" s="13">
        <f t="shared" si="23"/>
        <v>3</v>
      </c>
      <c r="AH103" s="13">
        <f t="shared" si="23"/>
        <v>0</v>
      </c>
      <c r="AI103" s="13">
        <f t="shared" si="23"/>
        <v>3</v>
      </c>
      <c r="AJ103" s="13">
        <f t="shared" si="23"/>
        <v>5</v>
      </c>
      <c r="AK103" s="13">
        <f t="shared" si="23"/>
        <v>6</v>
      </c>
      <c r="AL103" s="13">
        <f t="shared" si="23"/>
        <v>4</v>
      </c>
      <c r="AM103" s="13">
        <f t="shared" si="23"/>
        <v>2</v>
      </c>
      <c r="AN103" s="13">
        <f t="shared" si="23"/>
        <v>4</v>
      </c>
      <c r="AO103" s="13">
        <f t="shared" si="23"/>
        <v>2</v>
      </c>
      <c r="AP103" s="13">
        <f t="shared" si="23"/>
        <v>2</v>
      </c>
      <c r="AQ103" s="13">
        <f t="shared" si="23"/>
        <v>1</v>
      </c>
      <c r="AR103" s="13">
        <f t="shared" si="23"/>
        <v>5</v>
      </c>
      <c r="AS103" s="13">
        <f t="shared" si="23"/>
        <v>10</v>
      </c>
      <c r="AT103" s="13">
        <f t="shared" si="23"/>
        <v>3</v>
      </c>
      <c r="AU103" s="13">
        <f t="shared" si="23"/>
        <v>22</v>
      </c>
      <c r="AV103" s="13">
        <f t="shared" si="23"/>
        <v>18</v>
      </c>
      <c r="AW103" s="13">
        <f t="shared" si="23"/>
        <v>5</v>
      </c>
      <c r="AX103" s="13">
        <f t="shared" si="23"/>
        <v>1</v>
      </c>
      <c r="AY103" s="13">
        <f t="shared" si="23"/>
        <v>10</v>
      </c>
      <c r="AZ103" s="13">
        <f t="shared" si="23"/>
        <v>289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1.0</v>
      </c>
      <c r="H105" s="74">
        <v>0.0</v>
      </c>
      <c r="I105" s="74">
        <v>0.0</v>
      </c>
      <c r="J105" s="74">
        <v>0.0</v>
      </c>
      <c r="K105" s="74">
        <v>0.0</v>
      </c>
      <c r="L105" s="74">
        <v>1.0</v>
      </c>
      <c r="M105" s="74">
        <v>0.0</v>
      </c>
      <c r="N105" s="74">
        <v>0.0</v>
      </c>
      <c r="O105" s="74">
        <v>1.0</v>
      </c>
      <c r="P105" s="74">
        <v>0.0</v>
      </c>
      <c r="Q105" s="74">
        <v>0.0</v>
      </c>
      <c r="R105" s="74">
        <v>0.0</v>
      </c>
      <c r="S105" s="74">
        <v>0.0</v>
      </c>
      <c r="T105" s="74">
        <v>1.0</v>
      </c>
      <c r="U105" s="74">
        <v>0.0</v>
      </c>
      <c r="V105" s="74">
        <v>1.0</v>
      </c>
      <c r="W105" s="74">
        <v>0.0</v>
      </c>
      <c r="X105" s="74">
        <v>1.0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1.0</v>
      </c>
      <c r="AD105" s="74">
        <v>0.0</v>
      </c>
      <c r="AE105" s="74">
        <v>0.0</v>
      </c>
      <c r="AF105" s="74">
        <v>0.0</v>
      </c>
      <c r="AG105" s="74">
        <v>0.0</v>
      </c>
      <c r="AH105" s="74">
        <v>0.0</v>
      </c>
      <c r="AI105" s="74">
        <v>0.0</v>
      </c>
      <c r="AJ105" s="74">
        <v>1.0</v>
      </c>
      <c r="AK105" s="74">
        <v>1.0</v>
      </c>
      <c r="AL105" s="74">
        <v>2.0</v>
      </c>
      <c r="AM105" s="74">
        <v>0.0</v>
      </c>
      <c r="AN105" s="74">
        <v>2.0</v>
      </c>
      <c r="AO105" s="74">
        <v>1.0</v>
      </c>
      <c r="AP105" s="74">
        <v>0.0</v>
      </c>
      <c r="AQ105" s="74">
        <v>0.0</v>
      </c>
      <c r="AR105" s="74">
        <v>0.0</v>
      </c>
      <c r="AS105" s="74">
        <v>1.0</v>
      </c>
      <c r="AT105" s="74">
        <v>1.0</v>
      </c>
      <c r="AU105" s="74">
        <v>0.0</v>
      </c>
      <c r="AV105" s="74">
        <v>0.0</v>
      </c>
      <c r="AW105" s="74">
        <v>0.0</v>
      </c>
      <c r="AX105" s="74">
        <v>1.0</v>
      </c>
      <c r="AY105" s="74">
        <v>3.0</v>
      </c>
      <c r="AZ105" s="13">
        <f t="shared" ref="AZ105:AZ107" si="24">SUM(E105:AY105)</f>
        <v>20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1.0</v>
      </c>
      <c r="R106" s="74">
        <v>3.0</v>
      </c>
      <c r="S106" s="74">
        <v>0.0</v>
      </c>
      <c r="T106" s="74">
        <v>0.0</v>
      </c>
      <c r="U106" s="74">
        <v>0.0</v>
      </c>
      <c r="V106" s="74">
        <v>1.0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1.0</v>
      </c>
      <c r="AE106" s="74">
        <v>0.0</v>
      </c>
      <c r="AF106" s="74">
        <v>2.0</v>
      </c>
      <c r="AG106" s="74">
        <v>0.0</v>
      </c>
      <c r="AH106" s="74">
        <v>0.0</v>
      </c>
      <c r="AI106" s="74">
        <v>0.0</v>
      </c>
      <c r="AJ106" s="74">
        <v>1.0</v>
      </c>
      <c r="AK106" s="74">
        <v>2.0</v>
      </c>
      <c r="AL106" s="74">
        <v>1.0</v>
      </c>
      <c r="AM106" s="74">
        <v>1.0</v>
      </c>
      <c r="AN106" s="74">
        <v>0.0</v>
      </c>
      <c r="AO106" s="74">
        <v>1.0</v>
      </c>
      <c r="AP106" s="74">
        <v>0.0</v>
      </c>
      <c r="AQ106" s="74">
        <v>0.0</v>
      </c>
      <c r="AR106" s="74">
        <v>0.0</v>
      </c>
      <c r="AS106" s="74">
        <v>0.0</v>
      </c>
      <c r="AT106" s="74">
        <v>0.0</v>
      </c>
      <c r="AU106" s="74">
        <v>0.0</v>
      </c>
      <c r="AV106" s="74">
        <v>1.0</v>
      </c>
      <c r="AW106" s="74">
        <v>0.0</v>
      </c>
      <c r="AX106" s="74">
        <v>0.0</v>
      </c>
      <c r="AY106" s="74">
        <v>0.0</v>
      </c>
      <c r="AZ106" s="13">
        <f t="shared" si="24"/>
        <v>16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0.0</v>
      </c>
      <c r="G107" s="74">
        <v>1.0</v>
      </c>
      <c r="H107" s="74">
        <v>0.0</v>
      </c>
      <c r="I107" s="74">
        <v>0.0</v>
      </c>
      <c r="J107" s="74">
        <v>1.0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1.0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0.0</v>
      </c>
      <c r="AG107" s="74">
        <v>1.0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0.0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0.0</v>
      </c>
      <c r="AU107" s="74">
        <v>0.0</v>
      </c>
      <c r="AV107" s="74">
        <v>0.0</v>
      </c>
      <c r="AW107" s="74">
        <v>0.0</v>
      </c>
      <c r="AX107" s="74">
        <v>0.0</v>
      </c>
      <c r="AY107" s="74">
        <v>0.0</v>
      </c>
      <c r="AZ107" s="13">
        <f t="shared" si="24"/>
        <v>5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Z115" si="25">SUM(E105:E114)</f>
        <v>2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3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1</v>
      </c>
      <c r="AD115" s="13">
        <f t="shared" si="25"/>
        <v>1</v>
      </c>
      <c r="AE115" s="13">
        <f t="shared" si="25"/>
        <v>0</v>
      </c>
      <c r="AF115" s="13">
        <f t="shared" si="25"/>
        <v>2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2</v>
      </c>
      <c r="AK115" s="13">
        <f t="shared" si="25"/>
        <v>3</v>
      </c>
      <c r="AL115" s="13">
        <f t="shared" si="25"/>
        <v>3</v>
      </c>
      <c r="AM115" s="13">
        <f t="shared" si="25"/>
        <v>1</v>
      </c>
      <c r="AN115" s="13">
        <f t="shared" si="25"/>
        <v>2</v>
      </c>
      <c r="AO115" s="13">
        <f t="shared" si="25"/>
        <v>2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1</v>
      </c>
      <c r="AT115" s="13">
        <f t="shared" si="25"/>
        <v>1</v>
      </c>
      <c r="AU115" s="13">
        <f t="shared" si="25"/>
        <v>0</v>
      </c>
      <c r="AV115" s="13">
        <f t="shared" si="25"/>
        <v>1</v>
      </c>
      <c r="AW115" s="13">
        <f t="shared" si="25"/>
        <v>0</v>
      </c>
      <c r="AX115" s="13">
        <f t="shared" si="25"/>
        <v>1</v>
      </c>
      <c r="AY115" s="13">
        <f t="shared" si="25"/>
        <v>3</v>
      </c>
      <c r="AZ115" s="13">
        <f t="shared" si="25"/>
        <v>41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3.0</v>
      </c>
      <c r="F117" s="74">
        <v>2.0</v>
      </c>
      <c r="G117" s="74">
        <v>5.0</v>
      </c>
      <c r="H117" s="74">
        <v>3.0</v>
      </c>
      <c r="I117" s="74">
        <v>0.0</v>
      </c>
      <c r="J117" s="74">
        <v>0.0</v>
      </c>
      <c r="K117" s="74">
        <v>1.0</v>
      </c>
      <c r="L117" s="74">
        <v>5.0</v>
      </c>
      <c r="M117" s="74">
        <v>1.0</v>
      </c>
      <c r="N117" s="74">
        <v>1.0</v>
      </c>
      <c r="O117" s="74">
        <v>0.0</v>
      </c>
      <c r="P117" s="74">
        <v>0.0</v>
      </c>
      <c r="Q117" s="74">
        <v>2.0</v>
      </c>
      <c r="R117" s="74">
        <v>3.0</v>
      </c>
      <c r="S117" s="74">
        <v>3.0</v>
      </c>
      <c r="T117" s="74">
        <v>5.0</v>
      </c>
      <c r="U117" s="74">
        <v>4.0</v>
      </c>
      <c r="V117" s="74">
        <v>0.0</v>
      </c>
      <c r="W117" s="74">
        <v>4.0</v>
      </c>
      <c r="X117" s="74">
        <v>3.0</v>
      </c>
      <c r="Y117" s="74">
        <v>3.0</v>
      </c>
      <c r="Z117" s="74">
        <v>4.0</v>
      </c>
      <c r="AA117" s="74">
        <v>3.0</v>
      </c>
      <c r="AB117" s="74">
        <v>2.0</v>
      </c>
      <c r="AC117" s="74">
        <v>7.0</v>
      </c>
      <c r="AD117" s="74">
        <v>1.0</v>
      </c>
      <c r="AE117" s="74">
        <v>2.0</v>
      </c>
      <c r="AF117" s="74">
        <v>1.0</v>
      </c>
      <c r="AG117" s="74">
        <v>1.0</v>
      </c>
      <c r="AH117" s="74">
        <v>3.0</v>
      </c>
      <c r="AI117" s="74">
        <v>3.0</v>
      </c>
      <c r="AJ117" s="74">
        <v>1.0</v>
      </c>
      <c r="AK117" s="74">
        <v>0.0</v>
      </c>
      <c r="AL117" s="74">
        <v>7.0</v>
      </c>
      <c r="AM117" s="74">
        <v>3.0</v>
      </c>
      <c r="AN117" s="74">
        <v>0.0</v>
      </c>
      <c r="AO117" s="74">
        <v>7.0</v>
      </c>
      <c r="AP117" s="74">
        <v>1.0</v>
      </c>
      <c r="AQ117" s="74">
        <v>1.0</v>
      </c>
      <c r="AR117" s="74">
        <v>6.0</v>
      </c>
      <c r="AS117" s="74">
        <v>2.0</v>
      </c>
      <c r="AT117" s="74">
        <v>4.0</v>
      </c>
      <c r="AU117" s="74">
        <v>5.0</v>
      </c>
      <c r="AV117" s="74">
        <v>1.0</v>
      </c>
      <c r="AW117" s="74">
        <v>4.0</v>
      </c>
      <c r="AX117" s="74">
        <v>1.0</v>
      </c>
      <c r="AY117" s="74">
        <v>0.0</v>
      </c>
      <c r="AZ117" s="13">
        <f t="shared" ref="AZ117:AZ122" si="26">SUM(E117:AY117)</f>
        <v>118</v>
      </c>
      <c r="BA117" s="5"/>
      <c r="BB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2.0</v>
      </c>
      <c r="H118" s="74">
        <v>1.0</v>
      </c>
      <c r="I118" s="74">
        <v>1.0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1.0</v>
      </c>
      <c r="P118" s="74">
        <v>0.0</v>
      </c>
      <c r="Q118" s="74">
        <v>0.0</v>
      </c>
      <c r="R118" s="74">
        <v>1.0</v>
      </c>
      <c r="S118" s="74">
        <v>0.0</v>
      </c>
      <c r="T118" s="74">
        <v>1.0</v>
      </c>
      <c r="U118" s="74">
        <v>1.0</v>
      </c>
      <c r="V118" s="74">
        <v>1.0</v>
      </c>
      <c r="W118" s="74">
        <v>0.0</v>
      </c>
      <c r="X118" s="74">
        <v>1.0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1.0</v>
      </c>
      <c r="AD118" s="74">
        <v>1.0</v>
      </c>
      <c r="AE118" s="74">
        <v>0.0</v>
      </c>
      <c r="AF118" s="74">
        <v>1.0</v>
      </c>
      <c r="AG118" s="74">
        <v>0.0</v>
      </c>
      <c r="AH118" s="74">
        <v>0.0</v>
      </c>
      <c r="AI118" s="74">
        <v>0.0</v>
      </c>
      <c r="AJ118" s="74">
        <v>0.0</v>
      </c>
      <c r="AK118" s="74">
        <v>0.0</v>
      </c>
      <c r="AL118" s="74">
        <v>0.0</v>
      </c>
      <c r="AM118" s="74">
        <v>1.0</v>
      </c>
      <c r="AN118" s="74">
        <v>0.0</v>
      </c>
      <c r="AO118" s="74">
        <v>0.0</v>
      </c>
      <c r="AP118" s="74">
        <v>2.0</v>
      </c>
      <c r="AQ118" s="74">
        <v>0.0</v>
      </c>
      <c r="AR118" s="74">
        <v>0.0</v>
      </c>
      <c r="AS118" s="74">
        <v>0.0</v>
      </c>
      <c r="AT118" s="74">
        <v>0.0</v>
      </c>
      <c r="AU118" s="74">
        <v>0.0</v>
      </c>
      <c r="AV118" s="74">
        <v>0.0</v>
      </c>
      <c r="AW118" s="74">
        <v>0.0</v>
      </c>
      <c r="AX118" s="74">
        <v>0.0</v>
      </c>
      <c r="AY118" s="74">
        <v>1.0</v>
      </c>
      <c r="AZ118" s="13">
        <f t="shared" si="26"/>
        <v>17</v>
      </c>
      <c r="BA118" s="5"/>
      <c r="BB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1.0</v>
      </c>
      <c r="R119" s="74">
        <v>0.0</v>
      </c>
      <c r="S119" s="74">
        <v>0.0</v>
      </c>
      <c r="T119" s="74">
        <v>1.0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1.0</v>
      </c>
      <c r="AI119" s="74">
        <v>0.0</v>
      </c>
      <c r="AJ119" s="74">
        <v>1.0</v>
      </c>
      <c r="AK119" s="74">
        <v>0.0</v>
      </c>
      <c r="AL119" s="74">
        <v>0.0</v>
      </c>
      <c r="AM119" s="74">
        <v>1.0</v>
      </c>
      <c r="AN119" s="74">
        <v>0.0</v>
      </c>
      <c r="AO119" s="74">
        <v>0.0</v>
      </c>
      <c r="AP119" s="74">
        <v>0.0</v>
      </c>
      <c r="AQ119" s="74">
        <v>1.0</v>
      </c>
      <c r="AR119" s="74">
        <v>0.0</v>
      </c>
      <c r="AS119" s="74">
        <v>0.0</v>
      </c>
      <c r="AT119" s="74">
        <v>0.0</v>
      </c>
      <c r="AU119" s="74">
        <v>0.0</v>
      </c>
      <c r="AV119" s="74">
        <v>0.0</v>
      </c>
      <c r="AW119" s="74">
        <v>1.0</v>
      </c>
      <c r="AX119" s="74">
        <v>0.0</v>
      </c>
      <c r="AY119" s="74">
        <v>0.0</v>
      </c>
      <c r="AZ119" s="13">
        <f t="shared" si="26"/>
        <v>7</v>
      </c>
      <c r="BA119" s="5"/>
      <c r="BB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1.0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1.0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1.0</v>
      </c>
      <c r="AD120" s="74">
        <v>0.0</v>
      </c>
      <c r="AE120" s="74">
        <v>0.0</v>
      </c>
      <c r="AF120" s="74">
        <v>1.0</v>
      </c>
      <c r="AG120" s="74">
        <v>0.0</v>
      </c>
      <c r="AH120" s="74">
        <v>0.0</v>
      </c>
      <c r="AI120" s="74">
        <v>0.0</v>
      </c>
      <c r="AJ120" s="74">
        <v>1.0</v>
      </c>
      <c r="AK120" s="74">
        <v>0.0</v>
      </c>
      <c r="AL120" s="74">
        <v>1.0</v>
      </c>
      <c r="AM120" s="74">
        <v>0.0</v>
      </c>
      <c r="AN120" s="74">
        <v>0.0</v>
      </c>
      <c r="AO120" s="74">
        <v>1.0</v>
      </c>
      <c r="AP120" s="74">
        <v>0.0</v>
      </c>
      <c r="AQ120" s="74">
        <v>0.0</v>
      </c>
      <c r="AR120" s="74">
        <v>0.0</v>
      </c>
      <c r="AS120" s="74">
        <v>1.0</v>
      </c>
      <c r="AT120" s="74">
        <v>0.0</v>
      </c>
      <c r="AU120" s="74">
        <v>0.0</v>
      </c>
      <c r="AV120" s="74">
        <v>1.0</v>
      </c>
      <c r="AW120" s="74">
        <v>1.0</v>
      </c>
      <c r="AX120" s="74">
        <v>1.0</v>
      </c>
      <c r="AY120" s="74">
        <v>0.0</v>
      </c>
      <c r="AZ120" s="13">
        <f t="shared" si="26"/>
        <v>11</v>
      </c>
      <c r="BA120" s="5"/>
      <c r="BB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74">
        <v>0.0</v>
      </c>
      <c r="AL121" s="74">
        <v>0.0</v>
      </c>
      <c r="AM121" s="74">
        <v>0.0</v>
      </c>
      <c r="AN121" s="74">
        <v>0.0</v>
      </c>
      <c r="AO121" s="74">
        <v>0.0</v>
      </c>
      <c r="AP121" s="74">
        <v>1.0</v>
      </c>
      <c r="AQ121" s="74">
        <v>0.0</v>
      </c>
      <c r="AR121" s="74">
        <v>0.0</v>
      </c>
      <c r="AS121" s="74">
        <v>0.0</v>
      </c>
      <c r="AT121" s="74">
        <v>0.0</v>
      </c>
      <c r="AU121" s="74">
        <v>0.0</v>
      </c>
      <c r="AV121" s="74">
        <v>0.0</v>
      </c>
      <c r="AW121" s="74">
        <v>0.0</v>
      </c>
      <c r="AX121" s="74">
        <v>0.0</v>
      </c>
      <c r="AY121" s="74">
        <v>0.0</v>
      </c>
      <c r="AZ121" s="13">
        <f t="shared" si="26"/>
        <v>1</v>
      </c>
      <c r="BA121" s="5"/>
      <c r="BB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1.0</v>
      </c>
      <c r="G122" s="74">
        <v>0.0</v>
      </c>
      <c r="H122" s="74">
        <v>1.0</v>
      </c>
      <c r="I122" s="74">
        <v>1.0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1.0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1.0</v>
      </c>
      <c r="AI122" s="74">
        <v>0.0</v>
      </c>
      <c r="AJ122" s="74">
        <v>0.0</v>
      </c>
      <c r="AK122" s="74">
        <v>0.0</v>
      </c>
      <c r="AL122" s="74">
        <v>0.0</v>
      </c>
      <c r="AM122" s="74">
        <v>1.0</v>
      </c>
      <c r="AN122" s="74">
        <v>0.0</v>
      </c>
      <c r="AO122" s="74">
        <v>0.0</v>
      </c>
      <c r="AP122" s="74">
        <v>0.0</v>
      </c>
      <c r="AQ122" s="74">
        <v>0.0</v>
      </c>
      <c r="AR122" s="74">
        <v>0.0</v>
      </c>
      <c r="AS122" s="74">
        <v>0.0</v>
      </c>
      <c r="AT122" s="74">
        <v>0.0</v>
      </c>
      <c r="AU122" s="74">
        <v>0.0</v>
      </c>
      <c r="AV122" s="74">
        <v>0.0</v>
      </c>
      <c r="AW122" s="74">
        <v>0.0</v>
      </c>
      <c r="AX122" s="74">
        <v>0.0</v>
      </c>
      <c r="AY122" s="74">
        <v>0.0</v>
      </c>
      <c r="AZ122" s="13">
        <f t="shared" si="26"/>
        <v>6</v>
      </c>
      <c r="BA122" s="5"/>
      <c r="BB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81"/>
      <c r="BA123" s="5"/>
      <c r="BB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81"/>
      <c r="BA124" s="5"/>
      <c r="BB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81"/>
      <c r="BA125" s="5"/>
      <c r="BB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81"/>
      <c r="BA126" s="5"/>
      <c r="BB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Z127" si="27">SUM(E117:E125)</f>
        <v>3</v>
      </c>
      <c r="F127" s="63">
        <f t="shared" si="27"/>
        <v>3</v>
      </c>
      <c r="G127" s="63">
        <f t="shared" si="27"/>
        <v>7</v>
      </c>
      <c r="H127" s="63">
        <f t="shared" si="27"/>
        <v>5</v>
      </c>
      <c r="I127" s="63">
        <f t="shared" si="27"/>
        <v>2</v>
      </c>
      <c r="J127" s="63">
        <f t="shared" si="27"/>
        <v>0</v>
      </c>
      <c r="K127" s="63">
        <f t="shared" si="27"/>
        <v>1</v>
      </c>
      <c r="L127" s="63">
        <f t="shared" si="27"/>
        <v>6</v>
      </c>
      <c r="M127" s="63">
        <f t="shared" si="27"/>
        <v>1</v>
      </c>
      <c r="N127" s="63">
        <f t="shared" si="27"/>
        <v>1</v>
      </c>
      <c r="O127" s="63">
        <f t="shared" si="27"/>
        <v>1</v>
      </c>
      <c r="P127" s="63">
        <f t="shared" si="27"/>
        <v>0</v>
      </c>
      <c r="Q127" s="63">
        <f t="shared" si="27"/>
        <v>3</v>
      </c>
      <c r="R127" s="63">
        <f t="shared" si="27"/>
        <v>5</v>
      </c>
      <c r="S127" s="63">
        <f t="shared" si="27"/>
        <v>3</v>
      </c>
      <c r="T127" s="63">
        <f t="shared" si="27"/>
        <v>7</v>
      </c>
      <c r="U127" s="63">
        <f t="shared" si="27"/>
        <v>5</v>
      </c>
      <c r="V127" s="63">
        <f t="shared" si="27"/>
        <v>1</v>
      </c>
      <c r="W127" s="63">
        <f t="shared" si="27"/>
        <v>5</v>
      </c>
      <c r="X127" s="63">
        <f t="shared" si="27"/>
        <v>4</v>
      </c>
      <c r="Y127" s="63">
        <f t="shared" si="27"/>
        <v>3</v>
      </c>
      <c r="Z127" s="63">
        <f t="shared" si="27"/>
        <v>4</v>
      </c>
      <c r="AA127" s="63">
        <f t="shared" si="27"/>
        <v>3</v>
      </c>
      <c r="AB127" s="63">
        <f t="shared" si="27"/>
        <v>2</v>
      </c>
      <c r="AC127" s="63">
        <f t="shared" si="27"/>
        <v>9</v>
      </c>
      <c r="AD127" s="63">
        <f t="shared" si="27"/>
        <v>2</v>
      </c>
      <c r="AE127" s="63">
        <f t="shared" si="27"/>
        <v>2</v>
      </c>
      <c r="AF127" s="63">
        <f t="shared" si="27"/>
        <v>3</v>
      </c>
      <c r="AG127" s="63">
        <f t="shared" si="27"/>
        <v>1</v>
      </c>
      <c r="AH127" s="63">
        <f t="shared" si="27"/>
        <v>5</v>
      </c>
      <c r="AI127" s="63">
        <f t="shared" si="27"/>
        <v>3</v>
      </c>
      <c r="AJ127" s="63">
        <f t="shared" si="27"/>
        <v>3</v>
      </c>
      <c r="AK127" s="63">
        <f t="shared" si="27"/>
        <v>0</v>
      </c>
      <c r="AL127" s="63">
        <f t="shared" si="27"/>
        <v>8</v>
      </c>
      <c r="AM127" s="63">
        <f t="shared" si="27"/>
        <v>6</v>
      </c>
      <c r="AN127" s="63">
        <f t="shared" si="27"/>
        <v>0</v>
      </c>
      <c r="AO127" s="63">
        <f t="shared" si="27"/>
        <v>8</v>
      </c>
      <c r="AP127" s="63">
        <f t="shared" si="27"/>
        <v>4</v>
      </c>
      <c r="AQ127" s="63">
        <f t="shared" si="27"/>
        <v>2</v>
      </c>
      <c r="AR127" s="63">
        <f t="shared" si="27"/>
        <v>6</v>
      </c>
      <c r="AS127" s="63">
        <f t="shared" si="27"/>
        <v>3</v>
      </c>
      <c r="AT127" s="63">
        <f t="shared" si="27"/>
        <v>4</v>
      </c>
      <c r="AU127" s="63">
        <f t="shared" si="27"/>
        <v>5</v>
      </c>
      <c r="AV127" s="63">
        <f t="shared" si="27"/>
        <v>2</v>
      </c>
      <c r="AW127" s="63">
        <f t="shared" si="27"/>
        <v>6</v>
      </c>
      <c r="AX127" s="63">
        <f t="shared" si="27"/>
        <v>2</v>
      </c>
      <c r="AY127" s="63">
        <f t="shared" si="27"/>
        <v>1</v>
      </c>
      <c r="AZ127" s="63">
        <f t="shared" si="27"/>
        <v>160</v>
      </c>
      <c r="BA127" s="5"/>
      <c r="BB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5"/>
      <c r="BB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2.0</v>
      </c>
      <c r="F129" s="74">
        <v>0.0</v>
      </c>
      <c r="G129" s="74">
        <v>0.0</v>
      </c>
      <c r="H129" s="74">
        <v>0.0</v>
      </c>
      <c r="I129" s="74">
        <v>2.0</v>
      </c>
      <c r="J129" s="74">
        <v>1.0</v>
      </c>
      <c r="K129" s="74">
        <v>0.0</v>
      </c>
      <c r="L129" s="74">
        <v>0.0</v>
      </c>
      <c r="M129" s="74">
        <v>0.0</v>
      </c>
      <c r="N129" s="74">
        <v>0.0</v>
      </c>
      <c r="O129" s="74">
        <v>1.0</v>
      </c>
      <c r="P129" s="74">
        <v>1.0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1.0</v>
      </c>
      <c r="Y129" s="74">
        <v>0.0</v>
      </c>
      <c r="Z129" s="74">
        <v>0.0</v>
      </c>
      <c r="AA129" s="74">
        <v>0.0</v>
      </c>
      <c r="AB129" s="74">
        <v>0.0</v>
      </c>
      <c r="AC129" s="74">
        <v>1.0</v>
      </c>
      <c r="AD129" s="74">
        <v>1.0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1.0</v>
      </c>
      <c r="AJ129" s="74">
        <v>0.0</v>
      </c>
      <c r="AK129" s="74">
        <v>0.0</v>
      </c>
      <c r="AL129" s="74">
        <v>1.0</v>
      </c>
      <c r="AM129" s="74">
        <v>0.0</v>
      </c>
      <c r="AN129" s="74">
        <v>0.0</v>
      </c>
      <c r="AO129" s="74">
        <v>0.0</v>
      </c>
      <c r="AP129" s="74">
        <v>0.0</v>
      </c>
      <c r="AQ129" s="74">
        <v>0.0</v>
      </c>
      <c r="AR129" s="74">
        <v>0.0</v>
      </c>
      <c r="AS129" s="74">
        <v>0.0</v>
      </c>
      <c r="AT129" s="74">
        <v>4.0</v>
      </c>
      <c r="AU129" s="74">
        <v>0.0</v>
      </c>
      <c r="AV129" s="74">
        <v>6.0</v>
      </c>
      <c r="AW129" s="74">
        <v>0.0</v>
      </c>
      <c r="AX129" s="74">
        <v>1.0</v>
      </c>
      <c r="AY129" s="74">
        <v>0.0</v>
      </c>
      <c r="AZ129" s="13">
        <f t="shared" ref="AZ129:AZ138" si="28">SUM(E129:AY129)</f>
        <v>23</v>
      </c>
      <c r="BA129" s="5"/>
      <c r="BB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1.0</v>
      </c>
      <c r="G130" s="74">
        <v>1.0</v>
      </c>
      <c r="H130" s="74">
        <v>2.0</v>
      </c>
      <c r="I130" s="74">
        <v>0.0</v>
      </c>
      <c r="J130" s="74">
        <v>3.0</v>
      </c>
      <c r="K130" s="74">
        <v>0.0</v>
      </c>
      <c r="L130" s="74">
        <v>0.0</v>
      </c>
      <c r="M130" s="74">
        <v>3.0</v>
      </c>
      <c r="N130" s="74">
        <v>0.0</v>
      </c>
      <c r="O130" s="74">
        <v>1.0</v>
      </c>
      <c r="P130" s="74">
        <v>0.0</v>
      </c>
      <c r="Q130" s="74">
        <v>1.0</v>
      </c>
      <c r="R130" s="74">
        <v>2.0</v>
      </c>
      <c r="S130" s="74">
        <v>1.0</v>
      </c>
      <c r="T130" s="74">
        <v>0.0</v>
      </c>
      <c r="U130" s="74">
        <v>0.0</v>
      </c>
      <c r="V130" s="74">
        <v>0.0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0.0</v>
      </c>
      <c r="AB130" s="74">
        <v>2.0</v>
      </c>
      <c r="AC130" s="74">
        <v>2.0</v>
      </c>
      <c r="AD130" s="74">
        <v>0.0</v>
      </c>
      <c r="AE130" s="74">
        <v>0.0</v>
      </c>
      <c r="AF130" s="74">
        <v>0.0</v>
      </c>
      <c r="AG130" s="74">
        <v>0.0</v>
      </c>
      <c r="AH130" s="74">
        <v>0.0</v>
      </c>
      <c r="AI130" s="74">
        <v>0.0</v>
      </c>
      <c r="AJ130" s="74">
        <v>0.0</v>
      </c>
      <c r="AK130" s="74">
        <v>0.0</v>
      </c>
      <c r="AL130" s="74">
        <v>0.0</v>
      </c>
      <c r="AM130" s="74">
        <v>0.0</v>
      </c>
      <c r="AN130" s="74">
        <v>0.0</v>
      </c>
      <c r="AO130" s="74">
        <v>0.0</v>
      </c>
      <c r="AP130" s="74">
        <v>0.0</v>
      </c>
      <c r="AQ130" s="74">
        <v>0.0</v>
      </c>
      <c r="AR130" s="74">
        <v>0.0</v>
      </c>
      <c r="AS130" s="74">
        <v>0.0</v>
      </c>
      <c r="AT130" s="74">
        <v>1.0</v>
      </c>
      <c r="AU130" s="74">
        <v>0.0</v>
      </c>
      <c r="AV130" s="74">
        <v>1.0</v>
      </c>
      <c r="AW130" s="74">
        <v>0.0</v>
      </c>
      <c r="AX130" s="74">
        <v>1.0</v>
      </c>
      <c r="AY130" s="74">
        <v>4.0</v>
      </c>
      <c r="AZ130" s="13">
        <f t="shared" si="28"/>
        <v>26</v>
      </c>
      <c r="BA130" s="1"/>
      <c r="BB130" s="1"/>
    </row>
    <row r="131" ht="12.75" customHeight="1">
      <c r="A131" s="18"/>
      <c r="B131" s="55"/>
      <c r="C131" s="50" t="s">
        <v>105</v>
      </c>
      <c r="D131" s="56"/>
      <c r="E131" s="74">
        <v>2.0</v>
      </c>
      <c r="F131" s="74">
        <v>0.0</v>
      </c>
      <c r="G131" s="74">
        <v>3.0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1.0</v>
      </c>
      <c r="P131" s="74">
        <v>0.0</v>
      </c>
      <c r="Q131" s="74">
        <v>0.0</v>
      </c>
      <c r="R131" s="74">
        <v>1.0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74">
        <v>0.0</v>
      </c>
      <c r="AL131" s="74">
        <v>0.0</v>
      </c>
      <c r="AM131" s="74">
        <v>0.0</v>
      </c>
      <c r="AN131" s="74">
        <v>0.0</v>
      </c>
      <c r="AO131" s="74">
        <v>1.0</v>
      </c>
      <c r="AP131" s="74">
        <v>0.0</v>
      </c>
      <c r="AQ131" s="74">
        <v>0.0</v>
      </c>
      <c r="AR131" s="74">
        <v>1.0</v>
      </c>
      <c r="AS131" s="74">
        <v>0.0</v>
      </c>
      <c r="AT131" s="74">
        <v>0.0</v>
      </c>
      <c r="AU131" s="74">
        <v>0.0</v>
      </c>
      <c r="AV131" s="74">
        <v>0.0</v>
      </c>
      <c r="AW131" s="74">
        <v>0.0</v>
      </c>
      <c r="AX131" s="74">
        <v>0.0</v>
      </c>
      <c r="AY131" s="74">
        <v>0.0</v>
      </c>
      <c r="AZ131" s="13">
        <f t="shared" si="28"/>
        <v>9</v>
      </c>
      <c r="BA131" s="52"/>
      <c r="BB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1.0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1.0</v>
      </c>
      <c r="AG132" s="74">
        <v>0.0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0.0</v>
      </c>
      <c r="AN132" s="74">
        <v>0.0</v>
      </c>
      <c r="AO132" s="74">
        <v>0.0</v>
      </c>
      <c r="AP132" s="74">
        <v>0.0</v>
      </c>
      <c r="AQ132" s="74">
        <v>0.0</v>
      </c>
      <c r="AR132" s="74">
        <v>0.0</v>
      </c>
      <c r="AS132" s="74">
        <v>0.0</v>
      </c>
      <c r="AT132" s="74">
        <v>0.0</v>
      </c>
      <c r="AU132" s="74">
        <v>0.0</v>
      </c>
      <c r="AV132" s="74">
        <v>1.0</v>
      </c>
      <c r="AW132" s="74">
        <v>0.0</v>
      </c>
      <c r="AX132" s="74">
        <v>0.0</v>
      </c>
      <c r="AY132" s="74">
        <v>0.0</v>
      </c>
      <c r="AZ132" s="13">
        <f t="shared" si="28"/>
        <v>3</v>
      </c>
      <c r="BA132" s="5"/>
      <c r="BB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1.0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1.0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74">
        <v>0.0</v>
      </c>
      <c r="AL133" s="74">
        <v>0.0</v>
      </c>
      <c r="AM133" s="74">
        <v>0.0</v>
      </c>
      <c r="AN133" s="74">
        <v>0.0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0.0</v>
      </c>
      <c r="AT133" s="74">
        <v>0.0</v>
      </c>
      <c r="AU133" s="74">
        <v>0.0</v>
      </c>
      <c r="AV133" s="74">
        <v>0.0</v>
      </c>
      <c r="AW133" s="74">
        <v>0.0</v>
      </c>
      <c r="AX133" s="74">
        <v>0.0</v>
      </c>
      <c r="AY133" s="74">
        <v>0.0</v>
      </c>
      <c r="AZ133" s="13">
        <f t="shared" si="28"/>
        <v>2</v>
      </c>
      <c r="BA133" s="5"/>
      <c r="BB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1.0</v>
      </c>
      <c r="G134" s="74">
        <v>0.0</v>
      </c>
      <c r="H134" s="74">
        <v>0.0</v>
      </c>
      <c r="I134" s="74">
        <v>0.0</v>
      </c>
      <c r="J134" s="74">
        <v>1.0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1.0</v>
      </c>
      <c r="W134" s="74">
        <v>1.0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2.0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0.0</v>
      </c>
      <c r="AU134" s="74">
        <v>0.0</v>
      </c>
      <c r="AV134" s="74">
        <v>0.0</v>
      </c>
      <c r="AW134" s="74">
        <v>0.0</v>
      </c>
      <c r="AX134" s="74">
        <v>0.0</v>
      </c>
      <c r="AY134" s="74">
        <v>0.0</v>
      </c>
      <c r="AZ134" s="13">
        <f t="shared" si="28"/>
        <v>6</v>
      </c>
      <c r="BA134" s="5"/>
      <c r="BB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1.0</v>
      </c>
      <c r="G135" s="74">
        <v>0.0</v>
      </c>
      <c r="H135" s="74">
        <v>1.0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1.0</v>
      </c>
      <c r="AK135" s="74">
        <v>1.0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0.0</v>
      </c>
      <c r="AS135" s="74">
        <v>0.0</v>
      </c>
      <c r="AT135" s="74">
        <v>0.0</v>
      </c>
      <c r="AU135" s="74">
        <v>0.0</v>
      </c>
      <c r="AV135" s="74">
        <v>0.0</v>
      </c>
      <c r="AW135" s="74">
        <v>0.0</v>
      </c>
      <c r="AX135" s="74">
        <v>0.0</v>
      </c>
      <c r="AY135" s="74">
        <v>0.0</v>
      </c>
      <c r="AZ135" s="13">
        <f t="shared" si="28"/>
        <v>4</v>
      </c>
      <c r="BA135" s="5"/>
      <c r="BB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1.0</v>
      </c>
      <c r="I136" s="74">
        <v>0.0</v>
      </c>
      <c r="J136" s="74">
        <v>0.0</v>
      </c>
      <c r="K136" s="74">
        <v>0.0</v>
      </c>
      <c r="L136" s="74">
        <v>0.0</v>
      </c>
      <c r="M136" s="74">
        <v>1.0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74">
        <v>1.0</v>
      </c>
      <c r="AK136" s="74">
        <v>0.0</v>
      </c>
      <c r="AL136" s="74">
        <v>0.0</v>
      </c>
      <c r="AM136" s="74">
        <v>1.0</v>
      </c>
      <c r="AN136" s="74">
        <v>1.0</v>
      </c>
      <c r="AO136" s="74">
        <v>0.0</v>
      </c>
      <c r="AP136" s="74">
        <v>0.0</v>
      </c>
      <c r="AQ136" s="74">
        <v>0.0</v>
      </c>
      <c r="AR136" s="74">
        <v>0.0</v>
      </c>
      <c r="AS136" s="74">
        <v>0.0</v>
      </c>
      <c r="AT136" s="74">
        <v>0.0</v>
      </c>
      <c r="AU136" s="74">
        <v>1.0</v>
      </c>
      <c r="AV136" s="74">
        <v>0.0</v>
      </c>
      <c r="AW136" s="74">
        <v>0.0</v>
      </c>
      <c r="AX136" s="74">
        <v>0.0</v>
      </c>
      <c r="AY136" s="74">
        <v>0.0</v>
      </c>
      <c r="AZ136" s="13">
        <f t="shared" si="28"/>
        <v>6</v>
      </c>
      <c r="BA136" s="5"/>
      <c r="BB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1.0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0.0</v>
      </c>
      <c r="AJ137" s="74">
        <v>0.0</v>
      </c>
      <c r="AK137" s="74">
        <v>0.0</v>
      </c>
      <c r="AL137" s="74">
        <v>0.0</v>
      </c>
      <c r="AM137" s="74">
        <v>0.0</v>
      </c>
      <c r="AN137" s="74">
        <v>0.0</v>
      </c>
      <c r="AO137" s="74">
        <v>0.0</v>
      </c>
      <c r="AP137" s="74">
        <v>0.0</v>
      </c>
      <c r="AQ137" s="74">
        <v>0.0</v>
      </c>
      <c r="AR137" s="74">
        <v>0.0</v>
      </c>
      <c r="AS137" s="74">
        <v>0.0</v>
      </c>
      <c r="AT137" s="74">
        <v>0.0</v>
      </c>
      <c r="AU137" s="74">
        <v>0.0</v>
      </c>
      <c r="AV137" s="74">
        <v>0.0</v>
      </c>
      <c r="AW137" s="74">
        <v>0.0</v>
      </c>
      <c r="AX137" s="74">
        <v>0.0</v>
      </c>
      <c r="AY137" s="74">
        <v>1.0</v>
      </c>
      <c r="AZ137" s="13">
        <f t="shared" si="28"/>
        <v>2</v>
      </c>
      <c r="BA137" s="5"/>
      <c r="BB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74">
        <v>0.0</v>
      </c>
      <c r="AL138" s="74">
        <v>0.0</v>
      </c>
      <c r="AM138" s="74">
        <v>0.0</v>
      </c>
      <c r="AN138" s="74">
        <v>0.0</v>
      </c>
      <c r="AO138" s="74">
        <v>0.0</v>
      </c>
      <c r="AP138" s="74">
        <v>0.0</v>
      </c>
      <c r="AQ138" s="74">
        <v>0.0</v>
      </c>
      <c r="AR138" s="74">
        <v>0.0</v>
      </c>
      <c r="AS138" s="74">
        <v>0.0</v>
      </c>
      <c r="AT138" s="74">
        <v>0.0</v>
      </c>
      <c r="AU138" s="74">
        <v>0.0</v>
      </c>
      <c r="AV138" s="74">
        <v>0.0</v>
      </c>
      <c r="AW138" s="74">
        <v>0.0</v>
      </c>
      <c r="AX138" s="74">
        <v>0.0</v>
      </c>
      <c r="AY138" s="74">
        <v>0.0</v>
      </c>
      <c r="AZ138" s="13">
        <f t="shared" si="28"/>
        <v>0</v>
      </c>
      <c r="BA138" s="5"/>
      <c r="BB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Z139" si="29">SUM(E129:E138)</f>
        <v>4</v>
      </c>
      <c r="F139" s="13">
        <f t="shared" si="29"/>
        <v>3</v>
      </c>
      <c r="G139" s="13">
        <f t="shared" si="29"/>
        <v>4</v>
      </c>
      <c r="H139" s="13">
        <f t="shared" si="29"/>
        <v>4</v>
      </c>
      <c r="I139" s="13">
        <f t="shared" si="29"/>
        <v>2</v>
      </c>
      <c r="J139" s="13">
        <f t="shared" si="29"/>
        <v>5</v>
      </c>
      <c r="K139" s="13">
        <f t="shared" si="29"/>
        <v>0</v>
      </c>
      <c r="L139" s="13">
        <f t="shared" si="29"/>
        <v>0</v>
      </c>
      <c r="M139" s="13">
        <f t="shared" si="29"/>
        <v>5</v>
      </c>
      <c r="N139" s="13">
        <f t="shared" si="29"/>
        <v>0</v>
      </c>
      <c r="O139" s="13">
        <f t="shared" si="29"/>
        <v>4</v>
      </c>
      <c r="P139" s="13">
        <f t="shared" si="29"/>
        <v>1</v>
      </c>
      <c r="Q139" s="13">
        <f t="shared" si="29"/>
        <v>2</v>
      </c>
      <c r="R139" s="13">
        <f t="shared" si="29"/>
        <v>3</v>
      </c>
      <c r="S139" s="13">
        <f t="shared" si="29"/>
        <v>1</v>
      </c>
      <c r="T139" s="13">
        <f t="shared" si="29"/>
        <v>0</v>
      </c>
      <c r="U139" s="13">
        <f t="shared" si="29"/>
        <v>0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2</v>
      </c>
      <c r="AC139" s="13">
        <f t="shared" si="29"/>
        <v>3</v>
      </c>
      <c r="AD139" s="13">
        <f t="shared" si="29"/>
        <v>2</v>
      </c>
      <c r="AE139" s="13">
        <f t="shared" si="29"/>
        <v>0</v>
      </c>
      <c r="AF139" s="13">
        <f t="shared" si="29"/>
        <v>3</v>
      </c>
      <c r="AG139" s="13">
        <f t="shared" si="29"/>
        <v>0</v>
      </c>
      <c r="AH139" s="13">
        <f t="shared" si="29"/>
        <v>0</v>
      </c>
      <c r="AI139" s="13">
        <f t="shared" si="29"/>
        <v>1</v>
      </c>
      <c r="AJ139" s="13">
        <f t="shared" si="29"/>
        <v>2</v>
      </c>
      <c r="AK139" s="13">
        <f t="shared" si="29"/>
        <v>1</v>
      </c>
      <c r="AL139" s="13">
        <f t="shared" si="29"/>
        <v>1</v>
      </c>
      <c r="AM139" s="13">
        <f t="shared" si="29"/>
        <v>1</v>
      </c>
      <c r="AN139" s="13">
        <f t="shared" si="29"/>
        <v>1</v>
      </c>
      <c r="AO139" s="13">
        <f t="shared" si="29"/>
        <v>1</v>
      </c>
      <c r="AP139" s="13">
        <f t="shared" si="29"/>
        <v>0</v>
      </c>
      <c r="AQ139" s="13">
        <f t="shared" si="29"/>
        <v>0</v>
      </c>
      <c r="AR139" s="13">
        <f t="shared" si="29"/>
        <v>1</v>
      </c>
      <c r="AS139" s="13">
        <f t="shared" si="29"/>
        <v>0</v>
      </c>
      <c r="AT139" s="13">
        <f t="shared" si="29"/>
        <v>5</v>
      </c>
      <c r="AU139" s="13">
        <f t="shared" si="29"/>
        <v>1</v>
      </c>
      <c r="AV139" s="13">
        <f t="shared" si="29"/>
        <v>8</v>
      </c>
      <c r="AW139" s="13">
        <f t="shared" si="29"/>
        <v>0</v>
      </c>
      <c r="AX139" s="13">
        <f t="shared" si="29"/>
        <v>2</v>
      </c>
      <c r="AY139" s="13">
        <f t="shared" si="29"/>
        <v>5</v>
      </c>
      <c r="AZ139" s="13">
        <f t="shared" si="29"/>
        <v>81</v>
      </c>
      <c r="BA139" s="5"/>
      <c r="BB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5"/>
      <c r="BB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1.0</v>
      </c>
      <c r="R141" s="74">
        <v>0.0</v>
      </c>
      <c r="S141" s="74">
        <v>7.0</v>
      </c>
      <c r="T141" s="74">
        <v>1.0</v>
      </c>
      <c r="U141" s="74">
        <v>0.0</v>
      </c>
      <c r="V141" s="74">
        <v>1.0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2.0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74">
        <v>1.0</v>
      </c>
      <c r="AL141" s="74">
        <v>0.0</v>
      </c>
      <c r="AM141" s="74">
        <v>0.0</v>
      </c>
      <c r="AN141" s="74">
        <v>0.0</v>
      </c>
      <c r="AO141" s="74">
        <v>2.0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74">
        <v>0.0</v>
      </c>
      <c r="AV141" s="74">
        <v>0.0</v>
      </c>
      <c r="AW141" s="74">
        <v>0.0</v>
      </c>
      <c r="AX141" s="74">
        <v>0.0</v>
      </c>
      <c r="AY141" s="74">
        <v>0.0</v>
      </c>
      <c r="AZ141" s="13">
        <f t="shared" ref="AZ141:AZ144" si="30">SUM(E141:AY141)</f>
        <v>15</v>
      </c>
      <c r="BA141" s="1"/>
      <c r="BB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0.0</v>
      </c>
      <c r="AO142" s="74">
        <v>0.0</v>
      </c>
      <c r="AP142" s="74">
        <v>0.0</v>
      </c>
      <c r="AQ142" s="74">
        <v>0.0</v>
      </c>
      <c r="AR142" s="74">
        <v>0.0</v>
      </c>
      <c r="AS142" s="74">
        <v>0.0</v>
      </c>
      <c r="AT142" s="74">
        <v>0.0</v>
      </c>
      <c r="AU142" s="74">
        <v>0.0</v>
      </c>
      <c r="AV142" s="74">
        <v>0.0</v>
      </c>
      <c r="AW142" s="74">
        <v>0.0</v>
      </c>
      <c r="AX142" s="74">
        <v>0.0</v>
      </c>
      <c r="AY142" s="74">
        <v>0.0</v>
      </c>
      <c r="AZ142" s="13">
        <f t="shared" si="30"/>
        <v>0</v>
      </c>
      <c r="BA142" s="52"/>
      <c r="BB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74">
        <v>0.0</v>
      </c>
      <c r="AV143" s="74">
        <v>0.0</v>
      </c>
      <c r="AW143" s="74">
        <v>0.0</v>
      </c>
      <c r="AX143" s="74">
        <v>0.0</v>
      </c>
      <c r="AY143" s="74">
        <v>0.0</v>
      </c>
      <c r="AZ143" s="13">
        <f t="shared" si="30"/>
        <v>0</v>
      </c>
      <c r="BA143" s="5"/>
      <c r="BB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1.0</v>
      </c>
      <c r="AK144" s="74">
        <v>1.0</v>
      </c>
      <c r="AL144" s="74">
        <v>1.0</v>
      </c>
      <c r="AM144" s="74">
        <v>0.0</v>
      </c>
      <c r="AN144" s="74">
        <v>1.0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74">
        <v>0.0</v>
      </c>
      <c r="AV144" s="74">
        <v>0.0</v>
      </c>
      <c r="AW144" s="74">
        <v>0.0</v>
      </c>
      <c r="AX144" s="74">
        <v>0.0</v>
      </c>
      <c r="AY144" s="74">
        <v>0.0</v>
      </c>
      <c r="AZ144" s="13">
        <f t="shared" si="30"/>
        <v>4</v>
      </c>
      <c r="BA144" s="5"/>
      <c r="BB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81"/>
      <c r="BA145" s="5"/>
      <c r="BB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81"/>
      <c r="BA146" s="5"/>
      <c r="BB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81"/>
      <c r="BA147" s="5"/>
      <c r="BB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81"/>
      <c r="BA148" s="5"/>
      <c r="BB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81"/>
      <c r="BA149" s="5"/>
      <c r="BB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81"/>
      <c r="BA150" s="5"/>
      <c r="BB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Y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7</v>
      </c>
      <c r="T151" s="13">
        <f t="shared" si="31"/>
        <v>1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2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1</v>
      </c>
      <c r="AK151" s="13">
        <f t="shared" si="31"/>
        <v>2</v>
      </c>
      <c r="AL151" s="13">
        <f t="shared" si="31"/>
        <v>1</v>
      </c>
      <c r="AM151" s="13">
        <f t="shared" si="31"/>
        <v>0</v>
      </c>
      <c r="AN151" s="13">
        <f t="shared" si="31"/>
        <v>1</v>
      </c>
      <c r="AO151" s="13">
        <f t="shared" si="31"/>
        <v>2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>SUM(E151:AY151)</f>
        <v>19</v>
      </c>
      <c r="BA151" s="1"/>
      <c r="BB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13"/>
      <c r="BA152" s="52"/>
      <c r="BB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1.0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1.0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0.0</v>
      </c>
      <c r="AN153" s="74">
        <v>0.0</v>
      </c>
      <c r="AO153" s="74">
        <v>1.0</v>
      </c>
      <c r="AP153" s="74">
        <v>0.0</v>
      </c>
      <c r="AQ153" s="74">
        <v>0.0</v>
      </c>
      <c r="AR153" s="74">
        <v>0.0</v>
      </c>
      <c r="AS153" s="74">
        <v>0.0</v>
      </c>
      <c r="AT153" s="74">
        <v>2.0</v>
      </c>
      <c r="AU153" s="74">
        <v>1.0</v>
      </c>
      <c r="AV153" s="74">
        <v>0.0</v>
      </c>
      <c r="AW153" s="74">
        <v>0.0</v>
      </c>
      <c r="AX153" s="74">
        <v>0.0</v>
      </c>
      <c r="AY153" s="74">
        <v>0.0</v>
      </c>
      <c r="AZ153" s="13">
        <f t="shared" ref="AZ153:AZ160" si="32">SUM(E153:AY153)</f>
        <v>6</v>
      </c>
      <c r="BA153" s="5"/>
      <c r="BB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1.0</v>
      </c>
      <c r="M154" s="74">
        <v>0.0</v>
      </c>
      <c r="N154" s="74">
        <v>0.0</v>
      </c>
      <c r="O154" s="74">
        <v>0.0</v>
      </c>
      <c r="P154" s="74">
        <v>0.0</v>
      </c>
      <c r="Q154" s="74">
        <v>1.0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74">
        <v>0.0</v>
      </c>
      <c r="AL154" s="74">
        <v>0.0</v>
      </c>
      <c r="AM154" s="74">
        <v>0.0</v>
      </c>
      <c r="AN154" s="74">
        <v>0.0</v>
      </c>
      <c r="AO154" s="74">
        <v>0.0</v>
      </c>
      <c r="AP154" s="74">
        <v>0.0</v>
      </c>
      <c r="AQ154" s="74">
        <v>0.0</v>
      </c>
      <c r="AR154" s="74">
        <v>0.0</v>
      </c>
      <c r="AS154" s="74">
        <v>0.0</v>
      </c>
      <c r="AT154" s="74">
        <v>0.0</v>
      </c>
      <c r="AU154" s="74">
        <v>0.0</v>
      </c>
      <c r="AV154" s="74">
        <v>0.0</v>
      </c>
      <c r="AW154" s="74">
        <v>0.0</v>
      </c>
      <c r="AX154" s="74">
        <v>0.0</v>
      </c>
      <c r="AY154" s="74">
        <v>0.0</v>
      </c>
      <c r="AZ154" s="13">
        <f t="shared" si="32"/>
        <v>2</v>
      </c>
      <c r="BA154" s="5"/>
      <c r="BB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1.0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0.0</v>
      </c>
      <c r="AN155" s="74">
        <v>0.0</v>
      </c>
      <c r="AO155" s="74">
        <v>0.0</v>
      </c>
      <c r="AP155" s="74">
        <v>0.0</v>
      </c>
      <c r="AQ155" s="74">
        <v>0.0</v>
      </c>
      <c r="AR155" s="74">
        <v>0.0</v>
      </c>
      <c r="AS155" s="74">
        <v>0.0</v>
      </c>
      <c r="AT155" s="74">
        <v>0.0</v>
      </c>
      <c r="AU155" s="74">
        <v>0.0</v>
      </c>
      <c r="AV155" s="74">
        <v>0.0</v>
      </c>
      <c r="AW155" s="74">
        <v>0.0</v>
      </c>
      <c r="AX155" s="74">
        <v>0.0</v>
      </c>
      <c r="AY155" s="74">
        <v>0.0</v>
      </c>
      <c r="AZ155" s="13">
        <f t="shared" si="32"/>
        <v>1</v>
      </c>
      <c r="BA155" s="5"/>
      <c r="BB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1.0</v>
      </c>
      <c r="K156" s="74">
        <v>0.0</v>
      </c>
      <c r="L156" s="74">
        <v>0.0</v>
      </c>
      <c r="M156" s="74">
        <v>1.0</v>
      </c>
      <c r="N156" s="74">
        <v>0.0</v>
      </c>
      <c r="O156" s="74">
        <v>1.0</v>
      </c>
      <c r="P156" s="74">
        <v>0.0</v>
      </c>
      <c r="Q156" s="74">
        <v>1.0</v>
      </c>
      <c r="R156" s="74">
        <v>1.0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1.0</v>
      </c>
      <c r="AA156" s="74">
        <v>1.0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74">
        <v>0.0</v>
      </c>
      <c r="AL156" s="74">
        <v>0.0</v>
      </c>
      <c r="AM156" s="74">
        <v>1.0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0.0</v>
      </c>
      <c r="AS156" s="74">
        <v>0.0</v>
      </c>
      <c r="AT156" s="74">
        <v>0.0</v>
      </c>
      <c r="AU156" s="74">
        <v>1.0</v>
      </c>
      <c r="AV156" s="74">
        <v>0.0</v>
      </c>
      <c r="AW156" s="74">
        <v>0.0</v>
      </c>
      <c r="AX156" s="74">
        <v>1.0</v>
      </c>
      <c r="AY156" s="74">
        <v>0.0</v>
      </c>
      <c r="AZ156" s="13">
        <f t="shared" si="32"/>
        <v>10</v>
      </c>
      <c r="BA156" s="5"/>
      <c r="BB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1.0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0.0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0.0</v>
      </c>
      <c r="AT157" s="74">
        <v>0.0</v>
      </c>
      <c r="AU157" s="74">
        <v>0.0</v>
      </c>
      <c r="AV157" s="74">
        <v>0.0</v>
      </c>
      <c r="AW157" s="74">
        <v>0.0</v>
      </c>
      <c r="AX157" s="74">
        <v>0.0</v>
      </c>
      <c r="AY157" s="74">
        <v>0.0</v>
      </c>
      <c r="AZ157" s="13">
        <f t="shared" si="32"/>
        <v>1</v>
      </c>
      <c r="BA157" s="5"/>
      <c r="BB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74">
        <v>0.0</v>
      </c>
      <c r="AV158" s="74">
        <v>0.0</v>
      </c>
      <c r="AW158" s="74">
        <v>0.0</v>
      </c>
      <c r="AX158" s="74">
        <v>0.0</v>
      </c>
      <c r="AY158" s="74">
        <v>0.0</v>
      </c>
      <c r="AZ158" s="13">
        <f t="shared" si="32"/>
        <v>0</v>
      </c>
      <c r="BA158" s="5"/>
      <c r="BB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1.0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74">
        <v>0.0</v>
      </c>
      <c r="AV159" s="74">
        <v>0.0</v>
      </c>
      <c r="AW159" s="74">
        <v>0.0</v>
      </c>
      <c r="AX159" s="74">
        <v>0.0</v>
      </c>
      <c r="AY159" s="74">
        <v>0.0</v>
      </c>
      <c r="AZ159" s="13">
        <f t="shared" si="32"/>
        <v>1</v>
      </c>
      <c r="BA159" s="5"/>
      <c r="BB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74">
        <v>0.0</v>
      </c>
      <c r="AL160" s="74">
        <v>0.0</v>
      </c>
      <c r="AM160" s="74">
        <v>0.0</v>
      </c>
      <c r="AN160" s="74">
        <v>0.0</v>
      </c>
      <c r="AO160" s="74">
        <v>0.0</v>
      </c>
      <c r="AP160" s="74">
        <v>0.0</v>
      </c>
      <c r="AQ160" s="74">
        <v>0.0</v>
      </c>
      <c r="AR160" s="74">
        <v>0.0</v>
      </c>
      <c r="AS160" s="74">
        <v>0.0</v>
      </c>
      <c r="AT160" s="74">
        <v>0.0</v>
      </c>
      <c r="AU160" s="74">
        <v>0.0</v>
      </c>
      <c r="AV160" s="74">
        <v>0.0</v>
      </c>
      <c r="AW160" s="74">
        <v>0.0</v>
      </c>
      <c r="AX160" s="74">
        <v>0.0</v>
      </c>
      <c r="AY160" s="74">
        <v>0.0</v>
      </c>
      <c r="AZ160" s="13">
        <f t="shared" si="32"/>
        <v>0</v>
      </c>
      <c r="BA160" s="5"/>
      <c r="BB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81"/>
      <c r="BA161" s="5"/>
      <c r="BB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81"/>
      <c r="BA162" s="5"/>
      <c r="BB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S163" si="33">SUM(E153:E160)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2</v>
      </c>
      <c r="R163" s="13">
        <f t="shared" si="33"/>
        <v>1</v>
      </c>
      <c r="S163" s="13">
        <f t="shared" si="33"/>
        <v>0</v>
      </c>
      <c r="T163" s="13">
        <f t="shared" ref="T163:AH163" si="34">SUM(T153:T159)</f>
        <v>1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1</v>
      </c>
      <c r="Y163" s="13">
        <f t="shared" si="34"/>
        <v>0</v>
      </c>
      <c r="Z163" s="13">
        <f t="shared" si="34"/>
        <v>1</v>
      </c>
      <c r="AA163" s="13">
        <f t="shared" si="34"/>
        <v>1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0</v>
      </c>
      <c r="AF163" s="13">
        <f t="shared" si="34"/>
        <v>1</v>
      </c>
      <c r="AG163" s="13">
        <f t="shared" si="34"/>
        <v>0</v>
      </c>
      <c r="AH163" s="13">
        <f t="shared" si="34"/>
        <v>0</v>
      </c>
      <c r="AI163" s="13">
        <f t="shared" ref="AI163:AZ163" si="35">SUM(AI153:AI160)</f>
        <v>0</v>
      </c>
      <c r="AJ163" s="13">
        <f t="shared" si="35"/>
        <v>0</v>
      </c>
      <c r="AK163" s="13">
        <f t="shared" si="35"/>
        <v>0</v>
      </c>
      <c r="AL163" s="13">
        <f t="shared" si="35"/>
        <v>0</v>
      </c>
      <c r="AM163" s="13">
        <f t="shared" si="35"/>
        <v>1</v>
      </c>
      <c r="AN163" s="13">
        <f t="shared" si="35"/>
        <v>0</v>
      </c>
      <c r="AO163" s="13">
        <f t="shared" si="35"/>
        <v>1</v>
      </c>
      <c r="AP163" s="13">
        <f t="shared" si="35"/>
        <v>0</v>
      </c>
      <c r="AQ163" s="13">
        <f t="shared" si="35"/>
        <v>0</v>
      </c>
      <c r="AR163" s="13">
        <f t="shared" si="35"/>
        <v>0</v>
      </c>
      <c r="AS163" s="13">
        <f t="shared" si="35"/>
        <v>0</v>
      </c>
      <c r="AT163" s="13">
        <f t="shared" si="35"/>
        <v>2</v>
      </c>
      <c r="AU163" s="13">
        <f t="shared" si="35"/>
        <v>2</v>
      </c>
      <c r="AV163" s="13">
        <f t="shared" si="35"/>
        <v>0</v>
      </c>
      <c r="AW163" s="13">
        <f t="shared" si="35"/>
        <v>0</v>
      </c>
      <c r="AX163" s="13">
        <f t="shared" si="35"/>
        <v>1</v>
      </c>
      <c r="AY163" s="13">
        <f t="shared" si="35"/>
        <v>0</v>
      </c>
      <c r="AZ163" s="13">
        <f t="shared" si="35"/>
        <v>21</v>
      </c>
      <c r="BA163" s="5"/>
      <c r="BB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5"/>
      <c r="BB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1.0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2.0</v>
      </c>
      <c r="Z165" s="74">
        <v>0.0</v>
      </c>
      <c r="AA165" s="74">
        <v>0.0</v>
      </c>
      <c r="AB165" s="74">
        <v>1.0</v>
      </c>
      <c r="AC165" s="74">
        <v>1.0</v>
      </c>
      <c r="AD165" s="74">
        <v>0.0</v>
      </c>
      <c r="AE165" s="74">
        <v>0.0</v>
      </c>
      <c r="AF165" s="74">
        <v>0.0</v>
      </c>
      <c r="AG165" s="74">
        <v>0.0</v>
      </c>
      <c r="AH165" s="74">
        <v>0.0</v>
      </c>
      <c r="AI165" s="74">
        <v>0.0</v>
      </c>
      <c r="AJ165" s="74">
        <v>1.0</v>
      </c>
      <c r="AK165" s="74">
        <v>0.0</v>
      </c>
      <c r="AL165" s="74">
        <v>1.0</v>
      </c>
      <c r="AM165" s="74">
        <v>0.0</v>
      </c>
      <c r="AN165" s="74">
        <v>0.0</v>
      </c>
      <c r="AO165" s="74">
        <v>0.0</v>
      </c>
      <c r="AP165" s="74">
        <v>0.0</v>
      </c>
      <c r="AQ165" s="74">
        <v>0.0</v>
      </c>
      <c r="AR165" s="74">
        <v>1.0</v>
      </c>
      <c r="AS165" s="74">
        <v>0.0</v>
      </c>
      <c r="AT165" s="74">
        <v>1.0</v>
      </c>
      <c r="AU165" s="74">
        <v>0.0</v>
      </c>
      <c r="AV165" s="74">
        <v>0.0</v>
      </c>
      <c r="AW165" s="74">
        <v>0.0</v>
      </c>
      <c r="AX165" s="74">
        <v>1.0</v>
      </c>
      <c r="AY165" s="74">
        <v>1.0</v>
      </c>
      <c r="AZ165" s="13">
        <f t="shared" ref="AZ165:AZ166" si="36">SUM(E165:AY165)</f>
        <v>12</v>
      </c>
      <c r="BA165" s="1"/>
      <c r="BB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1.0</v>
      </c>
      <c r="J166" s="74">
        <v>0.0</v>
      </c>
      <c r="K166" s="74">
        <v>0.0</v>
      </c>
      <c r="L166" s="74">
        <v>1.0</v>
      </c>
      <c r="M166" s="74">
        <v>1.0</v>
      </c>
      <c r="N166" s="74">
        <v>0.0</v>
      </c>
      <c r="O166" s="74">
        <v>0.0</v>
      </c>
      <c r="P166" s="74">
        <v>0.0</v>
      </c>
      <c r="Q166" s="74">
        <v>1.0</v>
      </c>
      <c r="R166" s="74">
        <v>1.0</v>
      </c>
      <c r="S166" s="74">
        <v>1.0</v>
      </c>
      <c r="T166" s="74">
        <v>0.0</v>
      </c>
      <c r="U166" s="74">
        <v>0.0</v>
      </c>
      <c r="V166" s="74">
        <v>0.0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1.0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0.0</v>
      </c>
      <c r="AJ166" s="74">
        <v>0.0</v>
      </c>
      <c r="AK166" s="74">
        <v>0.0</v>
      </c>
      <c r="AL166" s="74">
        <v>0.0</v>
      </c>
      <c r="AM166" s="74">
        <v>0.0</v>
      </c>
      <c r="AN166" s="74">
        <v>0.0</v>
      </c>
      <c r="AO166" s="74">
        <v>0.0</v>
      </c>
      <c r="AP166" s="74">
        <v>0.0</v>
      </c>
      <c r="AQ166" s="74">
        <v>0.0</v>
      </c>
      <c r="AR166" s="74">
        <v>2.0</v>
      </c>
      <c r="AS166" s="74">
        <v>0.0</v>
      </c>
      <c r="AT166" s="74">
        <v>0.0</v>
      </c>
      <c r="AU166" s="74">
        <v>0.0</v>
      </c>
      <c r="AV166" s="74">
        <v>0.0</v>
      </c>
      <c r="AW166" s="74">
        <v>0.0</v>
      </c>
      <c r="AX166" s="74">
        <v>0.0</v>
      </c>
      <c r="AY166" s="74">
        <v>0.0</v>
      </c>
      <c r="AZ166" s="13">
        <f t="shared" si="36"/>
        <v>9</v>
      </c>
      <c r="BA166" s="52"/>
      <c r="BB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81"/>
      <c r="BA167" s="5"/>
      <c r="BB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81"/>
      <c r="BA168" s="5"/>
      <c r="BB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81"/>
      <c r="BA169" s="5"/>
      <c r="BB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81"/>
      <c r="BA170" s="5"/>
      <c r="BB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81"/>
      <c r="BA171" s="5"/>
      <c r="BB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81"/>
      <c r="BA172" s="5"/>
      <c r="BB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81"/>
      <c r="BA173" s="5"/>
      <c r="BB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81"/>
      <c r="BA174" s="5"/>
      <c r="BB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Y175" si="37">SUM(E165:E172)</f>
        <v>0</v>
      </c>
      <c r="F175" s="13">
        <f t="shared" si="37"/>
        <v>0</v>
      </c>
      <c r="G175" s="13">
        <f t="shared" si="37"/>
        <v>1</v>
      </c>
      <c r="H175" s="13">
        <f t="shared" si="37"/>
        <v>0</v>
      </c>
      <c r="I175" s="13">
        <f t="shared" si="37"/>
        <v>1</v>
      </c>
      <c r="J175" s="13">
        <f t="shared" si="37"/>
        <v>0</v>
      </c>
      <c r="K175" s="13">
        <f t="shared" si="37"/>
        <v>0</v>
      </c>
      <c r="L175" s="13">
        <f t="shared" si="37"/>
        <v>1</v>
      </c>
      <c r="M175" s="13">
        <f t="shared" si="37"/>
        <v>1</v>
      </c>
      <c r="N175" s="13">
        <f t="shared" si="37"/>
        <v>0</v>
      </c>
      <c r="O175" s="13">
        <f t="shared" si="37"/>
        <v>1</v>
      </c>
      <c r="P175" s="13">
        <f t="shared" si="37"/>
        <v>0</v>
      </c>
      <c r="Q175" s="13">
        <f t="shared" si="37"/>
        <v>1</v>
      </c>
      <c r="R175" s="13">
        <f t="shared" si="37"/>
        <v>1</v>
      </c>
      <c r="S175" s="13">
        <f t="shared" si="37"/>
        <v>1</v>
      </c>
      <c r="T175" s="13">
        <f t="shared" si="37"/>
        <v>0</v>
      </c>
      <c r="U175" s="13">
        <f t="shared" si="37"/>
        <v>0</v>
      </c>
      <c r="V175" s="13">
        <f t="shared" si="37"/>
        <v>0</v>
      </c>
      <c r="W175" s="13">
        <f t="shared" si="37"/>
        <v>0</v>
      </c>
      <c r="X175" s="13">
        <f t="shared" si="37"/>
        <v>0</v>
      </c>
      <c r="Y175" s="13">
        <f t="shared" si="37"/>
        <v>2</v>
      </c>
      <c r="Z175" s="13">
        <f t="shared" si="37"/>
        <v>0</v>
      </c>
      <c r="AA175" s="13">
        <f t="shared" si="37"/>
        <v>0</v>
      </c>
      <c r="AB175" s="13">
        <f t="shared" si="37"/>
        <v>1</v>
      </c>
      <c r="AC175" s="13">
        <f t="shared" si="37"/>
        <v>1</v>
      </c>
      <c r="AD175" s="13">
        <f t="shared" si="37"/>
        <v>1</v>
      </c>
      <c r="AE175" s="13">
        <f t="shared" si="37"/>
        <v>0</v>
      </c>
      <c r="AF175" s="13">
        <f t="shared" si="37"/>
        <v>0</v>
      </c>
      <c r="AG175" s="13">
        <f t="shared" si="37"/>
        <v>0</v>
      </c>
      <c r="AH175" s="13">
        <f t="shared" si="37"/>
        <v>0</v>
      </c>
      <c r="AI175" s="13">
        <f t="shared" si="37"/>
        <v>0</v>
      </c>
      <c r="AJ175" s="13">
        <f t="shared" si="37"/>
        <v>1</v>
      </c>
      <c r="AK175" s="13">
        <f t="shared" si="37"/>
        <v>0</v>
      </c>
      <c r="AL175" s="13">
        <f t="shared" si="37"/>
        <v>1</v>
      </c>
      <c r="AM175" s="13">
        <f t="shared" si="37"/>
        <v>0</v>
      </c>
      <c r="AN175" s="13">
        <f t="shared" si="37"/>
        <v>0</v>
      </c>
      <c r="AO175" s="13">
        <f t="shared" si="37"/>
        <v>0</v>
      </c>
      <c r="AP175" s="13">
        <f t="shared" si="37"/>
        <v>0</v>
      </c>
      <c r="AQ175" s="13">
        <f t="shared" si="37"/>
        <v>0</v>
      </c>
      <c r="AR175" s="13">
        <f t="shared" si="37"/>
        <v>3</v>
      </c>
      <c r="AS175" s="13">
        <f t="shared" si="37"/>
        <v>0</v>
      </c>
      <c r="AT175" s="13">
        <f t="shared" si="37"/>
        <v>1</v>
      </c>
      <c r="AU175" s="13">
        <f t="shared" si="37"/>
        <v>0</v>
      </c>
      <c r="AV175" s="13">
        <f t="shared" si="37"/>
        <v>0</v>
      </c>
      <c r="AW175" s="13">
        <f t="shared" si="37"/>
        <v>0</v>
      </c>
      <c r="AX175" s="13">
        <f t="shared" si="37"/>
        <v>1</v>
      </c>
      <c r="AY175" s="13">
        <f t="shared" si="37"/>
        <v>1</v>
      </c>
      <c r="AZ175" s="13">
        <f>SUM(E175:AY175)</f>
        <v>21</v>
      </c>
      <c r="BA175" s="5"/>
      <c r="BB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1"/>
      <c r="BB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1.0</v>
      </c>
      <c r="J177" s="74">
        <v>0.0</v>
      </c>
      <c r="K177" s="74">
        <v>0.0</v>
      </c>
      <c r="L177" s="74">
        <v>1.0</v>
      </c>
      <c r="M177" s="74">
        <v>1.0</v>
      </c>
      <c r="N177" s="74">
        <v>0.0</v>
      </c>
      <c r="O177" s="74">
        <v>1.0</v>
      </c>
      <c r="P177" s="74">
        <v>2.0</v>
      </c>
      <c r="Q177" s="74">
        <v>0.0</v>
      </c>
      <c r="R177" s="74">
        <v>0.0</v>
      </c>
      <c r="S177" s="74">
        <v>0.0</v>
      </c>
      <c r="T177" s="74">
        <v>0.0</v>
      </c>
      <c r="U177" s="74">
        <v>1.0</v>
      </c>
      <c r="V177" s="74">
        <v>0.0</v>
      </c>
      <c r="W177" s="74">
        <v>0.0</v>
      </c>
      <c r="X177" s="74">
        <v>2.0</v>
      </c>
      <c r="Y177" s="74">
        <v>0.0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1.0</v>
      </c>
      <c r="AE177" s="74">
        <v>1.0</v>
      </c>
      <c r="AF177" s="74">
        <v>0.0</v>
      </c>
      <c r="AG177" s="74">
        <v>1.0</v>
      </c>
      <c r="AH177" s="74">
        <v>0.0</v>
      </c>
      <c r="AI177" s="74">
        <v>0.0</v>
      </c>
      <c r="AJ177" s="74">
        <v>0.0</v>
      </c>
      <c r="AK177" s="74">
        <v>0.0</v>
      </c>
      <c r="AL177" s="74">
        <v>1.0</v>
      </c>
      <c r="AM177" s="74">
        <v>0.0</v>
      </c>
      <c r="AN177" s="74">
        <v>1.0</v>
      </c>
      <c r="AO177" s="74">
        <v>0.0</v>
      </c>
      <c r="AP177" s="74">
        <v>0.0</v>
      </c>
      <c r="AQ177" s="74">
        <v>0.0</v>
      </c>
      <c r="AR177" s="74">
        <v>0.0</v>
      </c>
      <c r="AS177" s="74">
        <v>0.0</v>
      </c>
      <c r="AT177" s="74">
        <v>0.0</v>
      </c>
      <c r="AU177" s="74">
        <v>0.0</v>
      </c>
      <c r="AV177" s="74">
        <v>1.0</v>
      </c>
      <c r="AW177" s="74">
        <v>0.0</v>
      </c>
      <c r="AX177" s="74">
        <v>2.0</v>
      </c>
      <c r="AY177" s="74">
        <v>1.0</v>
      </c>
      <c r="AZ177" s="13">
        <f t="shared" ref="AZ177:AZ187" si="38">SUM(E177:AY177)</f>
        <v>18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2.0</v>
      </c>
      <c r="I178" s="74">
        <v>2.0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1.0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1.0</v>
      </c>
      <c r="V178" s="74">
        <v>0.0</v>
      </c>
      <c r="W178" s="74">
        <v>0.0</v>
      </c>
      <c r="X178" s="74">
        <v>0.0</v>
      </c>
      <c r="Y178" s="74">
        <v>1.0</v>
      </c>
      <c r="Z178" s="74">
        <v>0.0</v>
      </c>
      <c r="AA178" s="74">
        <v>1.0</v>
      </c>
      <c r="AB178" s="74">
        <v>0.0</v>
      </c>
      <c r="AC178" s="74">
        <v>0.0</v>
      </c>
      <c r="AD178" s="74">
        <v>0.0</v>
      </c>
      <c r="AE178" s="74">
        <v>0.0</v>
      </c>
      <c r="AF178" s="74">
        <v>0.0</v>
      </c>
      <c r="AG178" s="74">
        <v>0.0</v>
      </c>
      <c r="AH178" s="74">
        <v>0.0</v>
      </c>
      <c r="AI178" s="74">
        <v>0.0</v>
      </c>
      <c r="AJ178" s="74">
        <v>0.0</v>
      </c>
      <c r="AK178" s="74">
        <v>0.0</v>
      </c>
      <c r="AL178" s="74">
        <v>0.0</v>
      </c>
      <c r="AM178" s="74">
        <v>1.0</v>
      </c>
      <c r="AN178" s="74">
        <v>0.0</v>
      </c>
      <c r="AO178" s="74">
        <v>0.0</v>
      </c>
      <c r="AP178" s="74">
        <v>0.0</v>
      </c>
      <c r="AQ178" s="74">
        <v>0.0</v>
      </c>
      <c r="AR178" s="74">
        <v>0.0</v>
      </c>
      <c r="AS178" s="74">
        <v>0.0</v>
      </c>
      <c r="AT178" s="74">
        <v>1.0</v>
      </c>
      <c r="AU178" s="74">
        <v>1.0</v>
      </c>
      <c r="AV178" s="74">
        <v>0.0</v>
      </c>
      <c r="AW178" s="74">
        <v>0.0</v>
      </c>
      <c r="AX178" s="74">
        <v>1.0</v>
      </c>
      <c r="AY178" s="74">
        <v>2.0</v>
      </c>
      <c r="AZ178" s="13">
        <f t="shared" si="38"/>
        <v>14</v>
      </c>
      <c r="BA178" s="5"/>
      <c r="BB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1.0</v>
      </c>
      <c r="P179" s="74">
        <v>0.0</v>
      </c>
      <c r="Q179" s="74">
        <v>0.0</v>
      </c>
      <c r="R179" s="74">
        <v>1.0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0.0</v>
      </c>
      <c r="AJ179" s="74">
        <v>0.0</v>
      </c>
      <c r="AK179" s="74">
        <v>0.0</v>
      </c>
      <c r="AL179" s="74">
        <v>0.0</v>
      </c>
      <c r="AM179" s="74">
        <v>1.0</v>
      </c>
      <c r="AN179" s="74">
        <v>0.0</v>
      </c>
      <c r="AO179" s="74">
        <v>0.0</v>
      </c>
      <c r="AP179" s="74">
        <v>0.0</v>
      </c>
      <c r="AQ179" s="74">
        <v>0.0</v>
      </c>
      <c r="AR179" s="74">
        <v>0.0</v>
      </c>
      <c r="AS179" s="74">
        <v>0.0</v>
      </c>
      <c r="AT179" s="74">
        <v>0.0</v>
      </c>
      <c r="AU179" s="74">
        <v>0.0</v>
      </c>
      <c r="AV179" s="74">
        <v>0.0</v>
      </c>
      <c r="AW179" s="74">
        <v>1.0</v>
      </c>
      <c r="AX179" s="74">
        <v>0.0</v>
      </c>
      <c r="AY179" s="74">
        <v>0.0</v>
      </c>
      <c r="AZ179" s="13">
        <f t="shared" si="38"/>
        <v>4</v>
      </c>
      <c r="BA179" s="5"/>
      <c r="BB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1.0</v>
      </c>
      <c r="K180" s="74">
        <v>1.0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1.0</v>
      </c>
      <c r="R180" s="74">
        <v>1.0</v>
      </c>
      <c r="S180" s="74">
        <v>0.0</v>
      </c>
      <c r="T180" s="74">
        <v>0.0</v>
      </c>
      <c r="U180" s="74">
        <v>0.0</v>
      </c>
      <c r="V180" s="74">
        <v>1.0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1.0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74">
        <v>0.0</v>
      </c>
      <c r="AK180" s="74">
        <v>0.0</v>
      </c>
      <c r="AL180" s="74">
        <v>0.0</v>
      </c>
      <c r="AM180" s="74">
        <v>0.0</v>
      </c>
      <c r="AN180" s="74">
        <v>0.0</v>
      </c>
      <c r="AO180" s="74">
        <v>0.0</v>
      </c>
      <c r="AP180" s="74">
        <v>0.0</v>
      </c>
      <c r="AQ180" s="74">
        <v>0.0</v>
      </c>
      <c r="AR180" s="74">
        <v>0.0</v>
      </c>
      <c r="AS180" s="74">
        <v>0.0</v>
      </c>
      <c r="AT180" s="74">
        <v>0.0</v>
      </c>
      <c r="AU180" s="74">
        <v>1.0</v>
      </c>
      <c r="AV180" s="74">
        <v>0.0</v>
      </c>
      <c r="AW180" s="74">
        <v>1.0</v>
      </c>
      <c r="AX180" s="74">
        <v>0.0</v>
      </c>
      <c r="AY180" s="74">
        <v>1.0</v>
      </c>
      <c r="AZ180" s="13">
        <f t="shared" si="38"/>
        <v>9</v>
      </c>
      <c r="BA180" s="5"/>
      <c r="BB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1.0</v>
      </c>
      <c r="P181" s="74">
        <v>0.0</v>
      </c>
      <c r="Q181" s="74">
        <v>0.0</v>
      </c>
      <c r="R181" s="74">
        <v>2.0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74">
        <v>0.0</v>
      </c>
      <c r="AL181" s="74">
        <v>0.0</v>
      </c>
      <c r="AM181" s="74">
        <v>0.0</v>
      </c>
      <c r="AN181" s="74">
        <v>0.0</v>
      </c>
      <c r="AO181" s="74">
        <v>0.0</v>
      </c>
      <c r="AP181" s="74">
        <v>0.0</v>
      </c>
      <c r="AQ181" s="74">
        <v>0.0</v>
      </c>
      <c r="AR181" s="74">
        <v>0.0</v>
      </c>
      <c r="AS181" s="74">
        <v>0.0</v>
      </c>
      <c r="AT181" s="74">
        <v>0.0</v>
      </c>
      <c r="AU181" s="74">
        <v>1.0</v>
      </c>
      <c r="AV181" s="74">
        <v>0.0</v>
      </c>
      <c r="AW181" s="74">
        <v>0.0</v>
      </c>
      <c r="AX181" s="74">
        <v>0.0</v>
      </c>
      <c r="AY181" s="74">
        <v>0.0</v>
      </c>
      <c r="AZ181" s="13">
        <f t="shared" si="38"/>
        <v>4</v>
      </c>
      <c r="BA181" s="5"/>
      <c r="BB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1.0</v>
      </c>
      <c r="N182" s="74">
        <v>0.0</v>
      </c>
      <c r="O182" s="74">
        <v>0.0</v>
      </c>
      <c r="P182" s="74">
        <v>0.0</v>
      </c>
      <c r="Q182" s="74">
        <v>0.0</v>
      </c>
      <c r="R182" s="74">
        <v>1.0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1.0</v>
      </c>
      <c r="AA182" s="74">
        <v>0.0</v>
      </c>
      <c r="AB182" s="74">
        <v>1.0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1.0</v>
      </c>
      <c r="AI182" s="74">
        <v>0.0</v>
      </c>
      <c r="AJ182" s="74">
        <v>0.0</v>
      </c>
      <c r="AK182" s="74">
        <v>0.0</v>
      </c>
      <c r="AL182" s="74">
        <v>0.0</v>
      </c>
      <c r="AM182" s="74">
        <v>0.0</v>
      </c>
      <c r="AN182" s="74">
        <v>0.0</v>
      </c>
      <c r="AO182" s="74">
        <v>0.0</v>
      </c>
      <c r="AP182" s="74">
        <v>0.0</v>
      </c>
      <c r="AQ182" s="74">
        <v>0.0</v>
      </c>
      <c r="AR182" s="74">
        <v>0.0</v>
      </c>
      <c r="AS182" s="74">
        <v>0.0</v>
      </c>
      <c r="AT182" s="74">
        <v>1.0</v>
      </c>
      <c r="AU182" s="74">
        <v>0.0</v>
      </c>
      <c r="AV182" s="74">
        <v>0.0</v>
      </c>
      <c r="AW182" s="74">
        <v>1.0</v>
      </c>
      <c r="AX182" s="74">
        <v>0.0</v>
      </c>
      <c r="AY182" s="74">
        <v>0.0</v>
      </c>
      <c r="AZ182" s="13">
        <f t="shared" si="38"/>
        <v>7</v>
      </c>
      <c r="BA182" s="5"/>
      <c r="BB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1.0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1.0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74">
        <v>0.0</v>
      </c>
      <c r="AL183" s="74">
        <v>0.0</v>
      </c>
      <c r="AM183" s="74">
        <v>0.0</v>
      </c>
      <c r="AN183" s="74">
        <v>0.0</v>
      </c>
      <c r="AO183" s="74">
        <v>0.0</v>
      </c>
      <c r="AP183" s="74">
        <v>0.0</v>
      </c>
      <c r="AQ183" s="74">
        <v>0.0</v>
      </c>
      <c r="AR183" s="74">
        <v>0.0</v>
      </c>
      <c r="AS183" s="74">
        <v>0.0</v>
      </c>
      <c r="AT183" s="74">
        <v>0.0</v>
      </c>
      <c r="AU183" s="74">
        <v>0.0</v>
      </c>
      <c r="AV183" s="74">
        <v>0.0</v>
      </c>
      <c r="AW183" s="74">
        <v>0.0</v>
      </c>
      <c r="AX183" s="74">
        <v>0.0</v>
      </c>
      <c r="AY183" s="74">
        <v>0.0</v>
      </c>
      <c r="AZ183" s="13">
        <f t="shared" si="38"/>
        <v>2</v>
      </c>
      <c r="BA183" s="5"/>
      <c r="BB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74">
        <v>0.0</v>
      </c>
      <c r="AL184" s="74">
        <v>0.0</v>
      </c>
      <c r="AM184" s="74">
        <v>0.0</v>
      </c>
      <c r="AN184" s="74">
        <v>0.0</v>
      </c>
      <c r="AO184" s="74">
        <v>0.0</v>
      </c>
      <c r="AP184" s="74">
        <v>0.0</v>
      </c>
      <c r="AQ184" s="74">
        <v>0.0</v>
      </c>
      <c r="AR184" s="74">
        <v>0.0</v>
      </c>
      <c r="AS184" s="74">
        <v>0.0</v>
      </c>
      <c r="AT184" s="74">
        <v>0.0</v>
      </c>
      <c r="AU184" s="74">
        <v>0.0</v>
      </c>
      <c r="AV184" s="74">
        <v>0.0</v>
      </c>
      <c r="AW184" s="74">
        <v>0.0</v>
      </c>
      <c r="AX184" s="74">
        <v>0.0</v>
      </c>
      <c r="AY184" s="74">
        <v>0.0</v>
      </c>
      <c r="AZ184" s="13">
        <f t="shared" si="38"/>
        <v>0</v>
      </c>
      <c r="BA184" s="5"/>
      <c r="BB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1.0</v>
      </c>
      <c r="M185" s="74">
        <v>0.0</v>
      </c>
      <c r="N185" s="74">
        <v>0.0</v>
      </c>
      <c r="O185" s="74">
        <v>1.0</v>
      </c>
      <c r="P185" s="74">
        <v>0.0</v>
      </c>
      <c r="Q185" s="74">
        <v>1.0</v>
      </c>
      <c r="R185" s="74">
        <v>0.0</v>
      </c>
      <c r="S185" s="74">
        <v>0.0</v>
      </c>
      <c r="T185" s="74">
        <v>0.0</v>
      </c>
      <c r="U185" s="74">
        <v>1.0</v>
      </c>
      <c r="V185" s="74">
        <v>0.0</v>
      </c>
      <c r="W185" s="74">
        <v>0.0</v>
      </c>
      <c r="X185" s="74">
        <v>0.0</v>
      </c>
      <c r="Y185" s="74">
        <v>0.0</v>
      </c>
      <c r="Z185" s="74">
        <v>1.0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1.0</v>
      </c>
      <c r="AJ185" s="74">
        <v>0.0</v>
      </c>
      <c r="AK185" s="74">
        <v>0.0</v>
      </c>
      <c r="AL185" s="74">
        <v>0.0</v>
      </c>
      <c r="AM185" s="74">
        <v>0.0</v>
      </c>
      <c r="AN185" s="74">
        <v>0.0</v>
      </c>
      <c r="AO185" s="74">
        <v>0.0</v>
      </c>
      <c r="AP185" s="74">
        <v>0.0</v>
      </c>
      <c r="AQ185" s="74">
        <v>0.0</v>
      </c>
      <c r="AR185" s="74">
        <v>0.0</v>
      </c>
      <c r="AS185" s="74">
        <v>0.0</v>
      </c>
      <c r="AT185" s="74">
        <v>0.0</v>
      </c>
      <c r="AU185" s="74">
        <v>0.0</v>
      </c>
      <c r="AV185" s="74">
        <v>0.0</v>
      </c>
      <c r="AW185" s="74">
        <v>1.0</v>
      </c>
      <c r="AX185" s="74">
        <v>0.0</v>
      </c>
      <c r="AY185" s="74">
        <v>0.0</v>
      </c>
      <c r="AZ185" s="13">
        <f t="shared" si="38"/>
        <v>7</v>
      </c>
      <c r="BA185" s="5"/>
      <c r="BB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1.0</v>
      </c>
      <c r="L186" s="74">
        <v>0.0</v>
      </c>
      <c r="M186" s="74">
        <v>0.0</v>
      </c>
      <c r="N186" s="74">
        <v>1.0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1.0</v>
      </c>
      <c r="Y186" s="74">
        <v>0.0</v>
      </c>
      <c r="Z186" s="74">
        <v>0.0</v>
      </c>
      <c r="AA186" s="74">
        <v>0.0</v>
      </c>
      <c r="AB186" s="74">
        <v>1.0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1.0</v>
      </c>
      <c r="AJ186" s="74">
        <v>1.0</v>
      </c>
      <c r="AK186" s="74">
        <v>0.0</v>
      </c>
      <c r="AL186" s="74">
        <v>0.0</v>
      </c>
      <c r="AM186" s="74">
        <v>0.0</v>
      </c>
      <c r="AN186" s="74">
        <v>1.0</v>
      </c>
      <c r="AO186" s="74">
        <v>0.0</v>
      </c>
      <c r="AP186" s="74">
        <v>1.0</v>
      </c>
      <c r="AQ186" s="74">
        <v>0.0</v>
      </c>
      <c r="AR186" s="74">
        <v>0.0</v>
      </c>
      <c r="AS186" s="74">
        <v>0.0</v>
      </c>
      <c r="AT186" s="74">
        <v>0.0</v>
      </c>
      <c r="AU186" s="74">
        <v>0.0</v>
      </c>
      <c r="AV186" s="74">
        <v>0.0</v>
      </c>
      <c r="AW186" s="74">
        <v>0.0</v>
      </c>
      <c r="AX186" s="74">
        <v>0.0</v>
      </c>
      <c r="AY186" s="74">
        <v>0.0</v>
      </c>
      <c r="AZ186" s="13">
        <f t="shared" si="38"/>
        <v>8</v>
      </c>
      <c r="BA186" s="5"/>
      <c r="BB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Y187" si="39">SUM(E177:E186)</f>
        <v>0</v>
      </c>
      <c r="F187" s="13">
        <f t="shared" si="39"/>
        <v>0</v>
      </c>
      <c r="G187" s="13">
        <f t="shared" si="39"/>
        <v>1</v>
      </c>
      <c r="H187" s="13">
        <f t="shared" si="39"/>
        <v>2</v>
      </c>
      <c r="I187" s="13">
        <f t="shared" si="39"/>
        <v>3</v>
      </c>
      <c r="J187" s="13">
        <f t="shared" si="39"/>
        <v>1</v>
      </c>
      <c r="K187" s="13">
        <f t="shared" si="39"/>
        <v>2</v>
      </c>
      <c r="L187" s="13">
        <f t="shared" si="39"/>
        <v>2</v>
      </c>
      <c r="M187" s="13">
        <f t="shared" si="39"/>
        <v>2</v>
      </c>
      <c r="N187" s="13">
        <f t="shared" si="39"/>
        <v>1</v>
      </c>
      <c r="O187" s="13">
        <f t="shared" si="39"/>
        <v>5</v>
      </c>
      <c r="P187" s="13">
        <f t="shared" si="39"/>
        <v>2</v>
      </c>
      <c r="Q187" s="13">
        <f t="shared" si="39"/>
        <v>2</v>
      </c>
      <c r="R187" s="13">
        <f t="shared" si="39"/>
        <v>5</v>
      </c>
      <c r="S187" s="13">
        <f t="shared" si="39"/>
        <v>0</v>
      </c>
      <c r="T187" s="13">
        <f t="shared" si="39"/>
        <v>0</v>
      </c>
      <c r="U187" s="13">
        <f t="shared" si="39"/>
        <v>3</v>
      </c>
      <c r="V187" s="13">
        <f t="shared" si="39"/>
        <v>1</v>
      </c>
      <c r="W187" s="13">
        <f t="shared" si="39"/>
        <v>0</v>
      </c>
      <c r="X187" s="13">
        <f t="shared" si="39"/>
        <v>3</v>
      </c>
      <c r="Y187" s="13">
        <f t="shared" si="39"/>
        <v>1</v>
      </c>
      <c r="Z187" s="13">
        <f t="shared" si="39"/>
        <v>2</v>
      </c>
      <c r="AA187" s="13">
        <f t="shared" si="39"/>
        <v>1</v>
      </c>
      <c r="AB187" s="13">
        <f t="shared" si="39"/>
        <v>3</v>
      </c>
      <c r="AC187" s="13">
        <f t="shared" si="39"/>
        <v>0</v>
      </c>
      <c r="AD187" s="13">
        <f t="shared" si="39"/>
        <v>2</v>
      </c>
      <c r="AE187" s="13">
        <f t="shared" si="39"/>
        <v>1</v>
      </c>
      <c r="AF187" s="13">
        <f t="shared" si="39"/>
        <v>0</v>
      </c>
      <c r="AG187" s="13">
        <f t="shared" si="39"/>
        <v>1</v>
      </c>
      <c r="AH187" s="13">
        <f t="shared" si="39"/>
        <v>1</v>
      </c>
      <c r="AI187" s="13">
        <f t="shared" si="39"/>
        <v>2</v>
      </c>
      <c r="AJ187" s="13">
        <f t="shared" si="39"/>
        <v>1</v>
      </c>
      <c r="AK187" s="13">
        <f t="shared" si="39"/>
        <v>0</v>
      </c>
      <c r="AL187" s="13">
        <f t="shared" si="39"/>
        <v>1</v>
      </c>
      <c r="AM187" s="13">
        <f t="shared" si="39"/>
        <v>2</v>
      </c>
      <c r="AN187" s="13">
        <f t="shared" si="39"/>
        <v>2</v>
      </c>
      <c r="AO187" s="13">
        <f t="shared" si="39"/>
        <v>0</v>
      </c>
      <c r="AP187" s="13">
        <f t="shared" si="39"/>
        <v>1</v>
      </c>
      <c r="AQ187" s="13">
        <f t="shared" si="39"/>
        <v>0</v>
      </c>
      <c r="AR187" s="13">
        <f t="shared" si="39"/>
        <v>0</v>
      </c>
      <c r="AS187" s="13">
        <f t="shared" si="39"/>
        <v>0</v>
      </c>
      <c r="AT187" s="13">
        <f t="shared" si="39"/>
        <v>2</v>
      </c>
      <c r="AU187" s="13">
        <f t="shared" si="39"/>
        <v>3</v>
      </c>
      <c r="AV187" s="13">
        <f t="shared" si="39"/>
        <v>1</v>
      </c>
      <c r="AW187" s="13">
        <f t="shared" si="39"/>
        <v>4</v>
      </c>
      <c r="AX187" s="13">
        <f t="shared" si="39"/>
        <v>3</v>
      </c>
      <c r="AY187" s="13">
        <f t="shared" si="39"/>
        <v>4</v>
      </c>
      <c r="AZ187" s="13">
        <f t="shared" si="38"/>
        <v>73</v>
      </c>
      <c r="BA187" s="1"/>
      <c r="BB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1.0</v>
      </c>
      <c r="AA189" s="74">
        <v>0.0</v>
      </c>
      <c r="AB189" s="74">
        <v>0.0</v>
      </c>
      <c r="AC189" s="74">
        <v>1.0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0.0</v>
      </c>
      <c r="AP189" s="74">
        <v>0.0</v>
      </c>
      <c r="AQ189" s="74">
        <v>0.0</v>
      </c>
      <c r="AR189" s="74">
        <v>0.0</v>
      </c>
      <c r="AS189" s="74">
        <v>0.0</v>
      </c>
      <c r="AT189" s="74">
        <v>0.0</v>
      </c>
      <c r="AU189" s="74">
        <v>0.0</v>
      </c>
      <c r="AV189" s="74">
        <v>1.0</v>
      </c>
      <c r="AW189" s="74">
        <v>1.0</v>
      </c>
      <c r="AX189" s="74">
        <v>0.0</v>
      </c>
      <c r="AY189" s="74">
        <v>0.0</v>
      </c>
      <c r="AZ189" s="13">
        <f t="shared" ref="AZ189:AZ198" si="40">SUM(E189:AY189)</f>
        <v>4</v>
      </c>
      <c r="BA189" s="5"/>
      <c r="BB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1.0</v>
      </c>
      <c r="H190" s="74">
        <v>1.0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1.0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0.0</v>
      </c>
      <c r="AM190" s="74">
        <v>0.0</v>
      </c>
      <c r="AN190" s="74">
        <v>0.0</v>
      </c>
      <c r="AO190" s="74">
        <v>0.0</v>
      </c>
      <c r="AP190" s="74">
        <v>0.0</v>
      </c>
      <c r="AQ190" s="74">
        <v>0.0</v>
      </c>
      <c r="AR190" s="74">
        <v>0.0</v>
      </c>
      <c r="AS190" s="74">
        <v>0.0</v>
      </c>
      <c r="AT190" s="74">
        <v>0.0</v>
      </c>
      <c r="AU190" s="74">
        <v>0.0</v>
      </c>
      <c r="AV190" s="74">
        <v>0.0</v>
      </c>
      <c r="AW190" s="74">
        <v>0.0</v>
      </c>
      <c r="AX190" s="74">
        <v>0.0</v>
      </c>
      <c r="AY190" s="74">
        <v>0.0</v>
      </c>
      <c r="AZ190" s="13">
        <f t="shared" si="40"/>
        <v>3</v>
      </c>
      <c r="BA190" s="5"/>
      <c r="BB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1.0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1.0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0.0</v>
      </c>
      <c r="AR191" s="74">
        <v>0.0</v>
      </c>
      <c r="AS191" s="74">
        <v>0.0</v>
      </c>
      <c r="AT191" s="74">
        <v>0.0</v>
      </c>
      <c r="AU191" s="74">
        <v>0.0</v>
      </c>
      <c r="AV191" s="74">
        <v>0.0</v>
      </c>
      <c r="AW191" s="74">
        <v>0.0</v>
      </c>
      <c r="AX191" s="74">
        <v>0.0</v>
      </c>
      <c r="AY191" s="74">
        <v>0.0</v>
      </c>
      <c r="AZ191" s="13">
        <f t="shared" si="40"/>
        <v>2</v>
      </c>
      <c r="BA191" s="5"/>
      <c r="BB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0.0</v>
      </c>
      <c r="AM192" s="74">
        <v>0.0</v>
      </c>
      <c r="AN192" s="74">
        <v>1.0</v>
      </c>
      <c r="AO192" s="74">
        <v>0.0</v>
      </c>
      <c r="AP192" s="74">
        <v>1.0</v>
      </c>
      <c r="AQ192" s="74">
        <v>0.0</v>
      </c>
      <c r="AR192" s="74">
        <v>0.0</v>
      </c>
      <c r="AS192" s="74">
        <v>0.0</v>
      </c>
      <c r="AT192" s="74">
        <v>0.0</v>
      </c>
      <c r="AU192" s="74">
        <v>0.0</v>
      </c>
      <c r="AV192" s="74">
        <v>1.0</v>
      </c>
      <c r="AW192" s="74">
        <v>0.0</v>
      </c>
      <c r="AX192" s="74">
        <v>0.0</v>
      </c>
      <c r="AY192" s="74">
        <v>0.0</v>
      </c>
      <c r="AZ192" s="13">
        <f t="shared" si="40"/>
        <v>3</v>
      </c>
      <c r="BA192" s="5"/>
      <c r="BB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1.0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74">
        <v>0.0</v>
      </c>
      <c r="AV193" s="74">
        <v>0.0</v>
      </c>
      <c r="AW193" s="74">
        <v>0.0</v>
      </c>
      <c r="AX193" s="74">
        <v>0.0</v>
      </c>
      <c r="AY193" s="74">
        <v>0.0</v>
      </c>
      <c r="AZ193" s="13">
        <f t="shared" si="40"/>
        <v>1</v>
      </c>
      <c r="BA193" s="5"/>
      <c r="BB193" s="5"/>
    </row>
    <row r="194" ht="12.75" customHeight="1">
      <c r="A194" s="18"/>
      <c r="B194" s="55"/>
      <c r="C194" s="50" t="s">
        <v>147</v>
      </c>
      <c r="D194" s="57"/>
      <c r="E194" s="74">
        <v>1.0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1.0</v>
      </c>
      <c r="AJ194" s="74">
        <v>0.0</v>
      </c>
      <c r="AK194" s="74">
        <v>1.0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0.0</v>
      </c>
      <c r="AR194" s="74">
        <v>0.0</v>
      </c>
      <c r="AS194" s="74">
        <v>0.0</v>
      </c>
      <c r="AT194" s="74">
        <v>0.0</v>
      </c>
      <c r="AU194" s="74">
        <v>0.0</v>
      </c>
      <c r="AV194" s="74">
        <v>0.0</v>
      </c>
      <c r="AW194" s="74">
        <v>0.0</v>
      </c>
      <c r="AX194" s="74">
        <v>0.0</v>
      </c>
      <c r="AY194" s="74">
        <v>0.0</v>
      </c>
      <c r="AZ194" s="13">
        <f t="shared" si="40"/>
        <v>3</v>
      </c>
      <c r="BA194" s="5"/>
      <c r="BB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1.0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74">
        <v>0.0</v>
      </c>
      <c r="AV195" s="74">
        <v>0.0</v>
      </c>
      <c r="AW195" s="74">
        <v>0.0</v>
      </c>
      <c r="AX195" s="74">
        <v>0.0</v>
      </c>
      <c r="AY195" s="74">
        <v>0.0</v>
      </c>
      <c r="AZ195" s="13">
        <f t="shared" si="40"/>
        <v>1</v>
      </c>
      <c r="BA195" s="5"/>
      <c r="BB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74">
        <v>0.0</v>
      </c>
      <c r="AL196" s="74">
        <v>0.0</v>
      </c>
      <c r="AM196" s="74">
        <v>0.0</v>
      </c>
      <c r="AN196" s="74">
        <v>0.0</v>
      </c>
      <c r="AO196" s="74">
        <v>0.0</v>
      </c>
      <c r="AP196" s="74">
        <v>0.0</v>
      </c>
      <c r="AQ196" s="74">
        <v>0.0</v>
      </c>
      <c r="AR196" s="74">
        <v>0.0</v>
      </c>
      <c r="AS196" s="74">
        <v>0.0</v>
      </c>
      <c r="AT196" s="74">
        <v>0.0</v>
      </c>
      <c r="AU196" s="74">
        <v>0.0</v>
      </c>
      <c r="AV196" s="74">
        <v>0.0</v>
      </c>
      <c r="AW196" s="74">
        <v>0.0</v>
      </c>
      <c r="AX196" s="74">
        <v>0.0</v>
      </c>
      <c r="AY196" s="74">
        <v>0.0</v>
      </c>
      <c r="AZ196" s="13">
        <f t="shared" si="40"/>
        <v>0</v>
      </c>
      <c r="BA196" s="1"/>
      <c r="BB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1.0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1.0</v>
      </c>
      <c r="AK197" s="74">
        <v>0.0</v>
      </c>
      <c r="AL197" s="74">
        <v>0.0</v>
      </c>
      <c r="AM197" s="74">
        <v>0.0</v>
      </c>
      <c r="AN197" s="74">
        <v>0.0</v>
      </c>
      <c r="AO197" s="74">
        <v>0.0</v>
      </c>
      <c r="AP197" s="74">
        <v>0.0</v>
      </c>
      <c r="AQ197" s="74">
        <v>0.0</v>
      </c>
      <c r="AR197" s="74">
        <v>0.0</v>
      </c>
      <c r="AS197" s="74">
        <v>0.0</v>
      </c>
      <c r="AT197" s="74">
        <v>0.0</v>
      </c>
      <c r="AU197" s="74">
        <v>0.0</v>
      </c>
      <c r="AV197" s="74">
        <v>0.0</v>
      </c>
      <c r="AW197" s="74">
        <v>0.0</v>
      </c>
      <c r="AX197" s="74">
        <v>0.0</v>
      </c>
      <c r="AY197" s="74">
        <v>0.0</v>
      </c>
      <c r="AZ197" s="13">
        <f t="shared" si="40"/>
        <v>2</v>
      </c>
      <c r="BA197" s="1"/>
      <c r="BB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74">
        <v>0.0</v>
      </c>
      <c r="AL198" s="74">
        <v>0.0</v>
      </c>
      <c r="AM198" s="74">
        <v>0.0</v>
      </c>
      <c r="AN198" s="74">
        <v>0.0</v>
      </c>
      <c r="AO198" s="74">
        <v>0.0</v>
      </c>
      <c r="AP198" s="74">
        <v>0.0</v>
      </c>
      <c r="AQ198" s="74">
        <v>0.0</v>
      </c>
      <c r="AR198" s="74">
        <v>0.0</v>
      </c>
      <c r="AS198" s="74">
        <v>0.0</v>
      </c>
      <c r="AT198" s="74">
        <v>0.0</v>
      </c>
      <c r="AU198" s="74">
        <v>0.0</v>
      </c>
      <c r="AV198" s="74">
        <v>0.0</v>
      </c>
      <c r="AW198" s="74">
        <v>0.0</v>
      </c>
      <c r="AX198" s="74">
        <v>0.0</v>
      </c>
      <c r="AY198" s="74">
        <v>0.0</v>
      </c>
      <c r="AZ198" s="13">
        <f t="shared" si="40"/>
        <v>0</v>
      </c>
      <c r="BA198" s="1"/>
      <c r="BB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Z199" si="41">SUM(E189:E198)</f>
        <v>1</v>
      </c>
      <c r="F199" s="13">
        <f t="shared" si="41"/>
        <v>0</v>
      </c>
      <c r="G199" s="13">
        <f t="shared" si="41"/>
        <v>1</v>
      </c>
      <c r="H199" s="13">
        <f t="shared" si="41"/>
        <v>1</v>
      </c>
      <c r="I199" s="13">
        <f t="shared" si="41"/>
        <v>0</v>
      </c>
      <c r="J199" s="13">
        <f t="shared" si="41"/>
        <v>0</v>
      </c>
      <c r="K199" s="13">
        <f t="shared" si="41"/>
        <v>0</v>
      </c>
      <c r="L199" s="13">
        <f t="shared" si="41"/>
        <v>0</v>
      </c>
      <c r="M199" s="13">
        <f t="shared" si="41"/>
        <v>0</v>
      </c>
      <c r="N199" s="13">
        <f t="shared" si="41"/>
        <v>1</v>
      </c>
      <c r="O199" s="13">
        <f t="shared" si="41"/>
        <v>0</v>
      </c>
      <c r="P199" s="13">
        <f t="shared" si="41"/>
        <v>0</v>
      </c>
      <c r="Q199" s="13">
        <f t="shared" si="41"/>
        <v>1</v>
      </c>
      <c r="R199" s="13">
        <f t="shared" si="41"/>
        <v>0</v>
      </c>
      <c r="S199" s="13">
        <f t="shared" si="41"/>
        <v>0</v>
      </c>
      <c r="T199" s="13">
        <f t="shared" si="41"/>
        <v>0</v>
      </c>
      <c r="U199" s="13">
        <f t="shared" si="41"/>
        <v>0</v>
      </c>
      <c r="V199" s="13">
        <f t="shared" si="41"/>
        <v>0</v>
      </c>
      <c r="W199" s="13">
        <f t="shared" si="41"/>
        <v>0</v>
      </c>
      <c r="X199" s="13">
        <f t="shared" si="41"/>
        <v>0</v>
      </c>
      <c r="Y199" s="13">
        <f t="shared" si="41"/>
        <v>0</v>
      </c>
      <c r="Z199" s="13">
        <f t="shared" si="41"/>
        <v>1</v>
      </c>
      <c r="AA199" s="13">
        <f t="shared" si="41"/>
        <v>0</v>
      </c>
      <c r="AB199" s="13">
        <f t="shared" si="41"/>
        <v>1</v>
      </c>
      <c r="AC199" s="13">
        <f t="shared" si="41"/>
        <v>2</v>
      </c>
      <c r="AD199" s="13">
        <f t="shared" si="41"/>
        <v>1</v>
      </c>
      <c r="AE199" s="13">
        <f t="shared" si="41"/>
        <v>0</v>
      </c>
      <c r="AF199" s="13">
        <f t="shared" si="41"/>
        <v>0</v>
      </c>
      <c r="AG199" s="13">
        <f t="shared" si="41"/>
        <v>0</v>
      </c>
      <c r="AH199" s="13">
        <f t="shared" si="41"/>
        <v>0</v>
      </c>
      <c r="AI199" s="13">
        <f t="shared" si="41"/>
        <v>1</v>
      </c>
      <c r="AJ199" s="13">
        <f t="shared" si="41"/>
        <v>1</v>
      </c>
      <c r="AK199" s="13">
        <f t="shared" si="41"/>
        <v>1</v>
      </c>
      <c r="AL199" s="13">
        <f t="shared" si="41"/>
        <v>0</v>
      </c>
      <c r="AM199" s="13">
        <f t="shared" si="41"/>
        <v>1</v>
      </c>
      <c r="AN199" s="13">
        <f t="shared" si="41"/>
        <v>1</v>
      </c>
      <c r="AO199" s="13">
        <f t="shared" si="41"/>
        <v>0</v>
      </c>
      <c r="AP199" s="13">
        <f t="shared" si="41"/>
        <v>1</v>
      </c>
      <c r="AQ199" s="13">
        <f t="shared" si="41"/>
        <v>0</v>
      </c>
      <c r="AR199" s="13">
        <f t="shared" si="41"/>
        <v>0</v>
      </c>
      <c r="AS199" s="13">
        <f t="shared" si="41"/>
        <v>0</v>
      </c>
      <c r="AT199" s="13">
        <f t="shared" si="41"/>
        <v>0</v>
      </c>
      <c r="AU199" s="13">
        <f t="shared" si="41"/>
        <v>0</v>
      </c>
      <c r="AV199" s="13">
        <f t="shared" si="41"/>
        <v>2</v>
      </c>
      <c r="AW199" s="13">
        <f t="shared" si="41"/>
        <v>1</v>
      </c>
      <c r="AX199" s="13">
        <f t="shared" si="41"/>
        <v>0</v>
      </c>
      <c r="AY199" s="13">
        <f t="shared" si="41"/>
        <v>0</v>
      </c>
      <c r="AZ199" s="13">
        <f t="shared" si="41"/>
        <v>19</v>
      </c>
      <c r="BA199" s="52"/>
      <c r="BB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5"/>
      <c r="BB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5.0</v>
      </c>
      <c r="F201" s="74">
        <v>5.0</v>
      </c>
      <c r="G201" s="74">
        <v>4.0</v>
      </c>
      <c r="H201" s="74">
        <v>2.0</v>
      </c>
      <c r="I201" s="74">
        <v>3.0</v>
      </c>
      <c r="J201" s="74">
        <v>4.0</v>
      </c>
      <c r="K201" s="74">
        <v>0.0</v>
      </c>
      <c r="L201" s="74">
        <v>4.0</v>
      </c>
      <c r="M201" s="74">
        <v>0.0</v>
      </c>
      <c r="N201" s="74">
        <v>5.0</v>
      </c>
      <c r="O201" s="74">
        <v>1.0</v>
      </c>
      <c r="P201" s="74">
        <v>0.0</v>
      </c>
      <c r="Q201" s="74">
        <v>3.0</v>
      </c>
      <c r="R201" s="74">
        <v>5.0</v>
      </c>
      <c r="S201" s="74">
        <v>2.0</v>
      </c>
      <c r="T201" s="85">
        <v>1.0</v>
      </c>
      <c r="U201" s="85">
        <v>2.0</v>
      </c>
      <c r="V201" s="85">
        <v>2.0</v>
      </c>
      <c r="W201" s="85">
        <v>1.0</v>
      </c>
      <c r="X201" s="85">
        <v>2.0</v>
      </c>
      <c r="Y201" s="85">
        <v>1.0</v>
      </c>
      <c r="Z201" s="85">
        <v>0.0</v>
      </c>
      <c r="AA201" s="85">
        <v>1.0</v>
      </c>
      <c r="AB201" s="85">
        <v>1.0</v>
      </c>
      <c r="AC201" s="85">
        <v>2.0</v>
      </c>
      <c r="AD201" s="85">
        <v>5.0</v>
      </c>
      <c r="AE201" s="85">
        <v>1.0</v>
      </c>
      <c r="AF201" s="85">
        <v>0.0</v>
      </c>
      <c r="AG201" s="85">
        <v>0.0</v>
      </c>
      <c r="AH201" s="85">
        <v>1.0</v>
      </c>
      <c r="AI201" s="74">
        <v>0.0</v>
      </c>
      <c r="AJ201" s="74">
        <v>1.0</v>
      </c>
      <c r="AK201" s="74">
        <v>1.0</v>
      </c>
      <c r="AL201" s="74">
        <v>0.0</v>
      </c>
      <c r="AM201" s="74">
        <v>1.0</v>
      </c>
      <c r="AN201" s="74">
        <v>0.0</v>
      </c>
      <c r="AO201" s="74">
        <v>0.0</v>
      </c>
      <c r="AP201" s="74">
        <v>1.0</v>
      </c>
      <c r="AQ201" s="74">
        <v>1.0</v>
      </c>
      <c r="AR201" s="74">
        <v>1.0</v>
      </c>
      <c r="AS201" s="74">
        <v>1.0</v>
      </c>
      <c r="AT201" s="74">
        <v>1.0</v>
      </c>
      <c r="AU201" s="74">
        <v>3.0</v>
      </c>
      <c r="AV201" s="74">
        <v>0.0</v>
      </c>
      <c r="AW201" s="74">
        <v>7.0</v>
      </c>
      <c r="AX201" s="74">
        <v>6.0</v>
      </c>
      <c r="AY201" s="74">
        <v>3.0</v>
      </c>
      <c r="AZ201" s="13">
        <f t="shared" ref="AZ201:AZ210" si="42">SUM(E201:AY201)</f>
        <v>90</v>
      </c>
      <c r="BA201" s="5"/>
      <c r="BB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19.0</v>
      </c>
      <c r="F202" s="74">
        <v>24.0</v>
      </c>
      <c r="G202" s="74">
        <v>14.0</v>
      </c>
      <c r="H202" s="74">
        <v>16.0</v>
      </c>
      <c r="I202" s="74">
        <v>8.0</v>
      </c>
      <c r="J202" s="74">
        <v>19.0</v>
      </c>
      <c r="K202" s="74">
        <v>4.0</v>
      </c>
      <c r="L202" s="74">
        <v>12.0</v>
      </c>
      <c r="M202" s="74">
        <v>7.0</v>
      </c>
      <c r="N202" s="74">
        <v>15.0</v>
      </c>
      <c r="O202" s="74">
        <v>12.0</v>
      </c>
      <c r="P202" s="74">
        <v>13.0</v>
      </c>
      <c r="Q202" s="74">
        <v>11.0</v>
      </c>
      <c r="R202" s="74">
        <v>12.0</v>
      </c>
      <c r="S202" s="74">
        <v>6.0</v>
      </c>
      <c r="T202" s="85">
        <v>9.0</v>
      </c>
      <c r="U202" s="85">
        <v>10.0</v>
      </c>
      <c r="V202" s="85">
        <v>6.0</v>
      </c>
      <c r="W202" s="85">
        <v>13.0</v>
      </c>
      <c r="X202" s="85">
        <v>7.0</v>
      </c>
      <c r="Y202" s="85">
        <v>2.0</v>
      </c>
      <c r="Z202" s="85">
        <v>1.0</v>
      </c>
      <c r="AA202" s="85">
        <v>1.0</v>
      </c>
      <c r="AB202" s="85">
        <v>9.0</v>
      </c>
      <c r="AC202" s="85">
        <v>4.0</v>
      </c>
      <c r="AD202" s="85">
        <v>10.0</v>
      </c>
      <c r="AE202" s="85">
        <v>7.0</v>
      </c>
      <c r="AF202" s="85">
        <v>5.0</v>
      </c>
      <c r="AG202" s="85">
        <v>2.0</v>
      </c>
      <c r="AH202" s="85">
        <v>0.0</v>
      </c>
      <c r="AI202" s="74">
        <v>2.0</v>
      </c>
      <c r="AJ202" s="74">
        <v>4.0</v>
      </c>
      <c r="AK202" s="74">
        <v>4.0</v>
      </c>
      <c r="AL202" s="74">
        <v>3.0</v>
      </c>
      <c r="AM202" s="74">
        <v>4.0</v>
      </c>
      <c r="AN202" s="74">
        <v>5.0</v>
      </c>
      <c r="AO202" s="74">
        <v>5.0</v>
      </c>
      <c r="AP202" s="74">
        <v>12.0</v>
      </c>
      <c r="AQ202" s="74">
        <v>18.0</v>
      </c>
      <c r="AR202" s="74">
        <v>4.0</v>
      </c>
      <c r="AS202" s="74">
        <v>7.0</v>
      </c>
      <c r="AT202" s="74">
        <v>18.0</v>
      </c>
      <c r="AU202" s="74">
        <v>10.0</v>
      </c>
      <c r="AV202" s="74">
        <v>13.0</v>
      </c>
      <c r="AW202" s="74">
        <v>8.0</v>
      </c>
      <c r="AX202" s="74">
        <v>3.0</v>
      </c>
      <c r="AY202" s="74">
        <v>5.0</v>
      </c>
      <c r="AZ202" s="13">
        <f t="shared" si="42"/>
        <v>403</v>
      </c>
      <c r="BA202" s="5"/>
      <c r="BB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4.0</v>
      </c>
      <c r="G203" s="74">
        <v>3.0</v>
      </c>
      <c r="H203" s="74">
        <v>0.0</v>
      </c>
      <c r="I203" s="74">
        <v>1.0</v>
      </c>
      <c r="J203" s="74">
        <v>0.0</v>
      </c>
      <c r="K203" s="74">
        <v>0.0</v>
      </c>
      <c r="L203" s="74">
        <v>4.0</v>
      </c>
      <c r="M203" s="74">
        <v>0.0</v>
      </c>
      <c r="N203" s="74">
        <v>1.0</v>
      </c>
      <c r="O203" s="74">
        <v>0.0</v>
      </c>
      <c r="P203" s="74">
        <v>0.0</v>
      </c>
      <c r="Q203" s="74">
        <v>0.0</v>
      </c>
      <c r="R203" s="74">
        <v>1.0</v>
      </c>
      <c r="S203" s="74">
        <v>0.0</v>
      </c>
      <c r="T203" s="85">
        <v>1.0</v>
      </c>
      <c r="U203" s="85">
        <v>0.0</v>
      </c>
      <c r="V203" s="85">
        <v>0.0</v>
      </c>
      <c r="W203" s="85">
        <v>1.0</v>
      </c>
      <c r="X203" s="85">
        <v>0.0</v>
      </c>
      <c r="Y203" s="85">
        <v>3.0</v>
      </c>
      <c r="Z203" s="85">
        <v>0.0</v>
      </c>
      <c r="AA203" s="85">
        <v>0.0</v>
      </c>
      <c r="AB203" s="85">
        <v>0.0</v>
      </c>
      <c r="AC203" s="85">
        <v>1.0</v>
      </c>
      <c r="AD203" s="85">
        <v>1.0</v>
      </c>
      <c r="AE203" s="85">
        <v>0.0</v>
      </c>
      <c r="AF203" s="85">
        <v>0.0</v>
      </c>
      <c r="AG203" s="85">
        <v>1.0</v>
      </c>
      <c r="AH203" s="85">
        <v>1.0</v>
      </c>
      <c r="AI203" s="74">
        <v>1.0</v>
      </c>
      <c r="AJ203" s="74">
        <v>0.0</v>
      </c>
      <c r="AK203" s="74">
        <v>0.0</v>
      </c>
      <c r="AL203" s="74">
        <v>0.0</v>
      </c>
      <c r="AM203" s="74">
        <v>1.0</v>
      </c>
      <c r="AN203" s="74">
        <v>0.0</v>
      </c>
      <c r="AO203" s="74">
        <v>0.0</v>
      </c>
      <c r="AP203" s="74">
        <v>1.0</v>
      </c>
      <c r="AQ203" s="74">
        <v>1.0</v>
      </c>
      <c r="AR203" s="74">
        <v>1.0</v>
      </c>
      <c r="AS203" s="74">
        <v>1.0</v>
      </c>
      <c r="AT203" s="74">
        <v>8.0</v>
      </c>
      <c r="AU203" s="74">
        <v>0.0</v>
      </c>
      <c r="AV203" s="74">
        <v>2.0</v>
      </c>
      <c r="AW203" s="74">
        <v>2.0</v>
      </c>
      <c r="AX203" s="74">
        <v>0.0</v>
      </c>
      <c r="AY203" s="74">
        <v>3.0</v>
      </c>
      <c r="AZ203" s="13">
        <f t="shared" si="42"/>
        <v>45</v>
      </c>
      <c r="BA203" s="5"/>
      <c r="BB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1.0</v>
      </c>
      <c r="G204" s="74">
        <v>1.0</v>
      </c>
      <c r="H204" s="74">
        <v>1.0</v>
      </c>
      <c r="I204" s="74">
        <v>0.0</v>
      </c>
      <c r="J204" s="74">
        <v>1.0</v>
      </c>
      <c r="K204" s="74">
        <v>0.0</v>
      </c>
      <c r="L204" s="74">
        <v>2.0</v>
      </c>
      <c r="M204" s="74">
        <v>0.0</v>
      </c>
      <c r="N204" s="74">
        <v>0.0</v>
      </c>
      <c r="O204" s="74">
        <v>0.0</v>
      </c>
      <c r="P204" s="74">
        <v>2.0</v>
      </c>
      <c r="Q204" s="74">
        <v>0.0</v>
      </c>
      <c r="R204" s="74">
        <v>0.0</v>
      </c>
      <c r="S204" s="74">
        <v>0.0</v>
      </c>
      <c r="T204" s="85">
        <v>0.0</v>
      </c>
      <c r="U204" s="85">
        <v>0.0</v>
      </c>
      <c r="V204" s="85">
        <v>0.0</v>
      </c>
      <c r="W204" s="85">
        <v>0.0</v>
      </c>
      <c r="X204" s="85">
        <v>0.0</v>
      </c>
      <c r="Y204" s="85">
        <v>0.0</v>
      </c>
      <c r="Z204" s="85">
        <v>0.0</v>
      </c>
      <c r="AA204" s="85">
        <v>0.0</v>
      </c>
      <c r="AB204" s="85">
        <v>0.0</v>
      </c>
      <c r="AC204" s="85">
        <v>0.0</v>
      </c>
      <c r="AD204" s="85">
        <v>0.0</v>
      </c>
      <c r="AE204" s="85">
        <v>0.0</v>
      </c>
      <c r="AF204" s="85">
        <v>0.0</v>
      </c>
      <c r="AG204" s="85">
        <v>0.0</v>
      </c>
      <c r="AH204" s="85">
        <v>0.0</v>
      </c>
      <c r="AI204" s="74">
        <v>0.0</v>
      </c>
      <c r="AJ204" s="74">
        <v>1.0</v>
      </c>
      <c r="AK204" s="74">
        <v>0.0</v>
      </c>
      <c r="AL204" s="74">
        <v>0.0</v>
      </c>
      <c r="AM204" s="74">
        <v>0.0</v>
      </c>
      <c r="AN204" s="74">
        <v>0.0</v>
      </c>
      <c r="AO204" s="74">
        <v>0.0</v>
      </c>
      <c r="AP204" s="74">
        <v>0.0</v>
      </c>
      <c r="AQ204" s="74">
        <v>0.0</v>
      </c>
      <c r="AR204" s="74">
        <v>0.0</v>
      </c>
      <c r="AS204" s="74">
        <v>1.0</v>
      </c>
      <c r="AT204" s="74">
        <v>2.0</v>
      </c>
      <c r="AU204" s="74">
        <v>0.0</v>
      </c>
      <c r="AV204" s="74">
        <v>0.0</v>
      </c>
      <c r="AW204" s="74">
        <v>1.0</v>
      </c>
      <c r="AX204" s="74">
        <v>1.0</v>
      </c>
      <c r="AY204" s="74">
        <v>0.0</v>
      </c>
      <c r="AZ204" s="13">
        <f t="shared" si="42"/>
        <v>14</v>
      </c>
      <c r="BA204" s="5"/>
      <c r="BB204" s="5"/>
    </row>
    <row r="205" ht="12.75" customHeight="1">
      <c r="A205" s="18"/>
      <c r="B205" s="55"/>
      <c r="C205" s="50" t="s">
        <v>157</v>
      </c>
      <c r="D205" s="57"/>
      <c r="E205" s="74">
        <v>2.0</v>
      </c>
      <c r="F205" s="74">
        <v>0.0</v>
      </c>
      <c r="G205" s="74">
        <v>0.0</v>
      </c>
      <c r="H205" s="74">
        <v>1.0</v>
      </c>
      <c r="I205" s="74">
        <v>0.0</v>
      </c>
      <c r="J205" s="74">
        <v>1.0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1.0</v>
      </c>
      <c r="Q205" s="74">
        <v>0.0</v>
      </c>
      <c r="R205" s="74">
        <v>0.0</v>
      </c>
      <c r="S205" s="74">
        <v>0.0</v>
      </c>
      <c r="T205" s="85">
        <v>1.0</v>
      </c>
      <c r="U205" s="85">
        <v>0.0</v>
      </c>
      <c r="V205" s="85">
        <v>0.0</v>
      </c>
      <c r="W205" s="85">
        <v>0.0</v>
      </c>
      <c r="X205" s="85">
        <v>0.0</v>
      </c>
      <c r="Y205" s="85">
        <v>0.0</v>
      </c>
      <c r="Z205" s="85">
        <v>0.0</v>
      </c>
      <c r="AA205" s="85">
        <v>0.0</v>
      </c>
      <c r="AB205" s="85">
        <v>0.0</v>
      </c>
      <c r="AC205" s="85">
        <v>0.0</v>
      </c>
      <c r="AD205" s="85">
        <v>0.0</v>
      </c>
      <c r="AE205" s="85">
        <v>0.0</v>
      </c>
      <c r="AF205" s="85">
        <v>0.0</v>
      </c>
      <c r="AG205" s="85">
        <v>0.0</v>
      </c>
      <c r="AH205" s="85">
        <v>0.0</v>
      </c>
      <c r="AI205" s="74">
        <v>0.0</v>
      </c>
      <c r="AJ205" s="74">
        <v>1.0</v>
      </c>
      <c r="AK205" s="74">
        <v>1.0</v>
      </c>
      <c r="AL205" s="74">
        <v>0.0</v>
      </c>
      <c r="AM205" s="74">
        <v>0.0</v>
      </c>
      <c r="AN205" s="74">
        <v>0.0</v>
      </c>
      <c r="AO205" s="74">
        <v>0.0</v>
      </c>
      <c r="AP205" s="74">
        <v>0.0</v>
      </c>
      <c r="AQ205" s="74">
        <v>0.0</v>
      </c>
      <c r="AR205" s="74">
        <v>0.0</v>
      </c>
      <c r="AS205" s="74">
        <v>1.0</v>
      </c>
      <c r="AT205" s="74">
        <v>0.0</v>
      </c>
      <c r="AU205" s="74">
        <v>0.0</v>
      </c>
      <c r="AV205" s="74">
        <v>1.0</v>
      </c>
      <c r="AW205" s="74">
        <v>0.0</v>
      </c>
      <c r="AX205" s="74">
        <v>0.0</v>
      </c>
      <c r="AY205" s="74">
        <v>1.0</v>
      </c>
      <c r="AZ205" s="13">
        <f t="shared" si="42"/>
        <v>11</v>
      </c>
      <c r="BA205" s="5"/>
      <c r="BB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1.0</v>
      </c>
      <c r="P206" s="74">
        <v>0.0</v>
      </c>
      <c r="Q206" s="74">
        <v>0.0</v>
      </c>
      <c r="R206" s="74">
        <v>0.0</v>
      </c>
      <c r="S206" s="74">
        <v>0.0</v>
      </c>
      <c r="T206" s="85">
        <v>0.0</v>
      </c>
      <c r="U206" s="85">
        <v>0.0</v>
      </c>
      <c r="V206" s="85">
        <v>0.0</v>
      </c>
      <c r="W206" s="85">
        <v>0.0</v>
      </c>
      <c r="X206" s="85">
        <v>0.0</v>
      </c>
      <c r="Y206" s="85">
        <v>0.0</v>
      </c>
      <c r="Z206" s="85">
        <v>0.0</v>
      </c>
      <c r="AA206" s="85">
        <v>0.0</v>
      </c>
      <c r="AB206" s="85">
        <v>0.0</v>
      </c>
      <c r="AC206" s="85">
        <v>0.0</v>
      </c>
      <c r="AD206" s="85">
        <v>0.0</v>
      </c>
      <c r="AE206" s="85">
        <v>0.0</v>
      </c>
      <c r="AF206" s="85">
        <v>0.0</v>
      </c>
      <c r="AG206" s="85">
        <v>0.0</v>
      </c>
      <c r="AH206" s="85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0.0</v>
      </c>
      <c r="AN206" s="74">
        <v>1.0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74">
        <v>0.0</v>
      </c>
      <c r="AV206" s="74">
        <v>0.0</v>
      </c>
      <c r="AW206" s="74">
        <v>1.0</v>
      </c>
      <c r="AX206" s="74">
        <v>0.0</v>
      </c>
      <c r="AY206" s="74">
        <v>0.0</v>
      </c>
      <c r="AZ206" s="13">
        <f t="shared" si="42"/>
        <v>3</v>
      </c>
      <c r="BA206" s="5"/>
      <c r="BB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1.0</v>
      </c>
      <c r="G207" s="74">
        <v>0.0</v>
      </c>
      <c r="H207" s="74">
        <v>1.0</v>
      </c>
      <c r="I207" s="74">
        <v>1.0</v>
      </c>
      <c r="J207" s="74">
        <v>0.0</v>
      </c>
      <c r="K207" s="74">
        <v>0.0</v>
      </c>
      <c r="L207" s="74">
        <v>1.0</v>
      </c>
      <c r="M207" s="74">
        <v>0.0</v>
      </c>
      <c r="N207" s="74">
        <v>0.0</v>
      </c>
      <c r="O207" s="74">
        <v>1.0</v>
      </c>
      <c r="P207" s="74">
        <v>0.0</v>
      </c>
      <c r="Q207" s="74">
        <v>0.0</v>
      </c>
      <c r="R207" s="74">
        <v>0.0</v>
      </c>
      <c r="S207" s="74">
        <v>0.0</v>
      </c>
      <c r="T207" s="85">
        <v>0.0</v>
      </c>
      <c r="U207" s="85">
        <v>0.0</v>
      </c>
      <c r="V207" s="85">
        <v>0.0</v>
      </c>
      <c r="W207" s="85">
        <v>0.0</v>
      </c>
      <c r="X207" s="85">
        <v>0.0</v>
      </c>
      <c r="Y207" s="85">
        <v>0.0</v>
      </c>
      <c r="Z207" s="85">
        <v>0.0</v>
      </c>
      <c r="AA207" s="85">
        <v>0.0</v>
      </c>
      <c r="AB207" s="85">
        <v>0.0</v>
      </c>
      <c r="AC207" s="85">
        <v>0.0</v>
      </c>
      <c r="AD207" s="85">
        <v>0.0</v>
      </c>
      <c r="AE207" s="85">
        <v>0.0</v>
      </c>
      <c r="AF207" s="85">
        <v>1.0</v>
      </c>
      <c r="AG207" s="85">
        <v>0.0</v>
      </c>
      <c r="AH207" s="85">
        <v>0.0</v>
      </c>
      <c r="AI207" s="74">
        <v>0.0</v>
      </c>
      <c r="AJ207" s="74">
        <v>0.0</v>
      </c>
      <c r="AK207" s="74">
        <v>0.0</v>
      </c>
      <c r="AL207" s="74">
        <v>0.0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0.0</v>
      </c>
      <c r="AT207" s="74">
        <v>1.0</v>
      </c>
      <c r="AU207" s="74">
        <v>0.0</v>
      </c>
      <c r="AV207" s="74">
        <v>0.0</v>
      </c>
      <c r="AW207" s="74">
        <v>0.0</v>
      </c>
      <c r="AX207" s="74">
        <v>0.0</v>
      </c>
      <c r="AY207" s="74">
        <v>0.0</v>
      </c>
      <c r="AZ207" s="13">
        <f t="shared" si="42"/>
        <v>7</v>
      </c>
      <c r="BA207" s="1"/>
      <c r="BB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0.0</v>
      </c>
      <c r="G208" s="74">
        <v>0.0</v>
      </c>
      <c r="H208" s="74">
        <v>0.0</v>
      </c>
      <c r="I208" s="74">
        <v>1.0</v>
      </c>
      <c r="J208" s="74">
        <v>0.0</v>
      </c>
      <c r="K208" s="74">
        <v>0.0</v>
      </c>
      <c r="L208" s="74">
        <v>0.0</v>
      </c>
      <c r="M208" s="74">
        <v>0.0</v>
      </c>
      <c r="N208" s="74">
        <v>1.0</v>
      </c>
      <c r="O208" s="74">
        <v>0.0</v>
      </c>
      <c r="P208" s="74">
        <v>0.0</v>
      </c>
      <c r="Q208" s="74">
        <v>0.0</v>
      </c>
      <c r="R208" s="74">
        <v>2.0</v>
      </c>
      <c r="S208" s="74">
        <v>0.0</v>
      </c>
      <c r="T208" s="85">
        <v>0.0</v>
      </c>
      <c r="U208" s="85">
        <v>0.0</v>
      </c>
      <c r="V208" s="85">
        <v>0.0</v>
      </c>
      <c r="W208" s="85">
        <v>0.0</v>
      </c>
      <c r="X208" s="85">
        <v>0.0</v>
      </c>
      <c r="Y208" s="85">
        <v>0.0</v>
      </c>
      <c r="Z208" s="85">
        <v>0.0</v>
      </c>
      <c r="AA208" s="85">
        <v>0.0</v>
      </c>
      <c r="AB208" s="85">
        <v>0.0</v>
      </c>
      <c r="AC208" s="85">
        <v>0.0</v>
      </c>
      <c r="AD208" s="85">
        <v>0.0</v>
      </c>
      <c r="AE208" s="85">
        <v>0.0</v>
      </c>
      <c r="AF208" s="85">
        <v>0.0</v>
      </c>
      <c r="AG208" s="85">
        <v>0.0</v>
      </c>
      <c r="AH208" s="85">
        <v>0.0</v>
      </c>
      <c r="AI208" s="74">
        <v>1.0</v>
      </c>
      <c r="AJ208" s="74">
        <v>0.0</v>
      </c>
      <c r="AK208" s="74">
        <v>0.0</v>
      </c>
      <c r="AL208" s="74">
        <v>1.0</v>
      </c>
      <c r="AM208" s="74">
        <v>0.0</v>
      </c>
      <c r="AN208" s="74">
        <v>0.0</v>
      </c>
      <c r="AO208" s="74">
        <v>0.0</v>
      </c>
      <c r="AP208" s="74">
        <v>0.0</v>
      </c>
      <c r="AQ208" s="74">
        <v>1.0</v>
      </c>
      <c r="AR208" s="74">
        <v>0.0</v>
      </c>
      <c r="AS208" s="74">
        <v>2.0</v>
      </c>
      <c r="AT208" s="74">
        <v>1.0</v>
      </c>
      <c r="AU208" s="74">
        <v>1.0</v>
      </c>
      <c r="AV208" s="74">
        <v>0.0</v>
      </c>
      <c r="AW208" s="74">
        <v>0.0</v>
      </c>
      <c r="AX208" s="74">
        <v>0.0</v>
      </c>
      <c r="AY208" s="74">
        <v>0.0</v>
      </c>
      <c r="AZ208" s="13">
        <f t="shared" si="42"/>
        <v>12</v>
      </c>
      <c r="BA208" s="52"/>
      <c r="BB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85">
        <v>0.0</v>
      </c>
      <c r="U209" s="85">
        <v>0.0</v>
      </c>
      <c r="V209" s="85">
        <v>0.0</v>
      </c>
      <c r="W209" s="85">
        <v>0.0</v>
      </c>
      <c r="X209" s="85">
        <v>0.0</v>
      </c>
      <c r="Y209" s="85">
        <v>0.0</v>
      </c>
      <c r="Z209" s="85">
        <v>0.0</v>
      </c>
      <c r="AA209" s="85">
        <v>0.0</v>
      </c>
      <c r="AB209" s="85">
        <v>0.0</v>
      </c>
      <c r="AC209" s="85">
        <v>0.0</v>
      </c>
      <c r="AD209" s="85">
        <v>0.0</v>
      </c>
      <c r="AE209" s="85">
        <v>0.0</v>
      </c>
      <c r="AF209" s="85">
        <v>0.0</v>
      </c>
      <c r="AG209" s="85">
        <v>0.0</v>
      </c>
      <c r="AH209" s="85">
        <v>0.0</v>
      </c>
      <c r="AI209" s="74">
        <v>0.0</v>
      </c>
      <c r="AJ209" s="74">
        <v>0.0</v>
      </c>
      <c r="AK209" s="74">
        <v>0.0</v>
      </c>
      <c r="AL209" s="74">
        <v>0.0</v>
      </c>
      <c r="AM209" s="74">
        <v>0.0</v>
      </c>
      <c r="AN209" s="74">
        <v>0.0</v>
      </c>
      <c r="AO209" s="74">
        <v>0.0</v>
      </c>
      <c r="AP209" s="74">
        <v>0.0</v>
      </c>
      <c r="AQ209" s="74">
        <v>0.0</v>
      </c>
      <c r="AR209" s="74">
        <v>0.0</v>
      </c>
      <c r="AS209" s="74">
        <v>0.0</v>
      </c>
      <c r="AT209" s="74">
        <v>0.0</v>
      </c>
      <c r="AU209" s="74">
        <v>0.0</v>
      </c>
      <c r="AV209" s="74">
        <v>0.0</v>
      </c>
      <c r="AW209" s="74">
        <v>0.0</v>
      </c>
      <c r="AX209" s="74">
        <v>0.0</v>
      </c>
      <c r="AY209" s="74">
        <v>0.0</v>
      </c>
      <c r="AZ209" s="13">
        <f t="shared" si="42"/>
        <v>0</v>
      </c>
      <c r="BA209" s="52"/>
      <c r="BB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1.0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2.0</v>
      </c>
      <c r="O210" s="74">
        <v>1.0</v>
      </c>
      <c r="P210" s="74">
        <v>2.0</v>
      </c>
      <c r="Q210" s="74">
        <v>0.0</v>
      </c>
      <c r="R210" s="74">
        <v>2.0</v>
      </c>
      <c r="S210" s="74">
        <v>0.0</v>
      </c>
      <c r="T210" s="85">
        <v>2.0</v>
      </c>
      <c r="U210" s="85">
        <v>0.0</v>
      </c>
      <c r="V210" s="85">
        <v>0.0</v>
      </c>
      <c r="W210" s="85">
        <v>0.0</v>
      </c>
      <c r="X210" s="85">
        <v>0.0</v>
      </c>
      <c r="Y210" s="85">
        <v>1.0</v>
      </c>
      <c r="Z210" s="85">
        <v>1.0</v>
      </c>
      <c r="AA210" s="85">
        <v>2.0</v>
      </c>
      <c r="AB210" s="85">
        <v>1.0</v>
      </c>
      <c r="AC210" s="85">
        <v>0.0</v>
      </c>
      <c r="AD210" s="85">
        <v>0.0</v>
      </c>
      <c r="AE210" s="85">
        <v>0.0</v>
      </c>
      <c r="AF210" s="85">
        <v>0.0</v>
      </c>
      <c r="AG210" s="85">
        <v>0.0</v>
      </c>
      <c r="AH210" s="85">
        <v>0.0</v>
      </c>
      <c r="AI210" s="74">
        <v>0.0</v>
      </c>
      <c r="AJ210" s="74">
        <v>0.0</v>
      </c>
      <c r="AK210" s="74">
        <v>0.0</v>
      </c>
      <c r="AL210" s="74">
        <v>0.0</v>
      </c>
      <c r="AM210" s="74">
        <v>1.0</v>
      </c>
      <c r="AN210" s="74">
        <v>0.0</v>
      </c>
      <c r="AO210" s="74">
        <v>0.0</v>
      </c>
      <c r="AP210" s="74">
        <v>0.0</v>
      </c>
      <c r="AQ210" s="74">
        <v>1.0</v>
      </c>
      <c r="AR210" s="74">
        <v>0.0</v>
      </c>
      <c r="AS210" s="74">
        <v>0.0</v>
      </c>
      <c r="AT210" s="74">
        <v>1.0</v>
      </c>
      <c r="AU210" s="74">
        <v>0.0</v>
      </c>
      <c r="AV210" s="74">
        <v>0.0</v>
      </c>
      <c r="AW210" s="74">
        <v>0.0</v>
      </c>
      <c r="AX210" s="74">
        <v>0.0</v>
      </c>
      <c r="AY210" s="74">
        <v>0.0</v>
      </c>
      <c r="AZ210" s="13">
        <f t="shared" si="42"/>
        <v>18</v>
      </c>
      <c r="BA210" s="52"/>
      <c r="BB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Z211" si="43">SUM(E201:E210)</f>
        <v>28</v>
      </c>
      <c r="F211" s="13">
        <f t="shared" si="43"/>
        <v>35</v>
      </c>
      <c r="G211" s="13">
        <f t="shared" si="43"/>
        <v>22</v>
      </c>
      <c r="H211" s="13">
        <f t="shared" si="43"/>
        <v>22</v>
      </c>
      <c r="I211" s="13">
        <f t="shared" si="43"/>
        <v>14</v>
      </c>
      <c r="J211" s="13">
        <f t="shared" si="43"/>
        <v>25</v>
      </c>
      <c r="K211" s="13">
        <f t="shared" si="43"/>
        <v>4</v>
      </c>
      <c r="L211" s="13">
        <f t="shared" si="43"/>
        <v>23</v>
      </c>
      <c r="M211" s="13">
        <f t="shared" si="43"/>
        <v>7</v>
      </c>
      <c r="N211" s="13">
        <f t="shared" si="43"/>
        <v>24</v>
      </c>
      <c r="O211" s="13">
        <f t="shared" si="43"/>
        <v>16</v>
      </c>
      <c r="P211" s="13">
        <f t="shared" si="43"/>
        <v>18</v>
      </c>
      <c r="Q211" s="13">
        <f t="shared" si="43"/>
        <v>14</v>
      </c>
      <c r="R211" s="13">
        <f t="shared" si="43"/>
        <v>22</v>
      </c>
      <c r="S211" s="13">
        <f t="shared" si="43"/>
        <v>8</v>
      </c>
      <c r="T211" s="13">
        <f t="shared" si="43"/>
        <v>14</v>
      </c>
      <c r="U211" s="13">
        <f t="shared" si="43"/>
        <v>12</v>
      </c>
      <c r="V211" s="13">
        <f t="shared" si="43"/>
        <v>8</v>
      </c>
      <c r="W211" s="13">
        <f t="shared" si="43"/>
        <v>15</v>
      </c>
      <c r="X211" s="13">
        <f t="shared" si="43"/>
        <v>9</v>
      </c>
      <c r="Y211" s="13">
        <f t="shared" si="43"/>
        <v>7</v>
      </c>
      <c r="Z211" s="13">
        <f t="shared" si="43"/>
        <v>2</v>
      </c>
      <c r="AA211" s="13">
        <f t="shared" si="43"/>
        <v>4</v>
      </c>
      <c r="AB211" s="13">
        <f t="shared" si="43"/>
        <v>11</v>
      </c>
      <c r="AC211" s="13">
        <f t="shared" si="43"/>
        <v>7</v>
      </c>
      <c r="AD211" s="13">
        <f t="shared" si="43"/>
        <v>16</v>
      </c>
      <c r="AE211" s="13">
        <f t="shared" si="43"/>
        <v>8</v>
      </c>
      <c r="AF211" s="13">
        <f t="shared" si="43"/>
        <v>6</v>
      </c>
      <c r="AG211" s="13">
        <f t="shared" si="43"/>
        <v>3</v>
      </c>
      <c r="AH211" s="13">
        <f t="shared" si="43"/>
        <v>2</v>
      </c>
      <c r="AI211" s="13">
        <f t="shared" si="43"/>
        <v>4</v>
      </c>
      <c r="AJ211" s="13">
        <f t="shared" si="43"/>
        <v>7</v>
      </c>
      <c r="AK211" s="13">
        <f t="shared" si="43"/>
        <v>6</v>
      </c>
      <c r="AL211" s="13">
        <f t="shared" si="43"/>
        <v>4</v>
      </c>
      <c r="AM211" s="13">
        <f t="shared" si="43"/>
        <v>7</v>
      </c>
      <c r="AN211" s="13">
        <f t="shared" si="43"/>
        <v>6</v>
      </c>
      <c r="AO211" s="13">
        <f t="shared" si="43"/>
        <v>5</v>
      </c>
      <c r="AP211" s="13">
        <f t="shared" si="43"/>
        <v>14</v>
      </c>
      <c r="AQ211" s="13">
        <f t="shared" si="43"/>
        <v>22</v>
      </c>
      <c r="AR211" s="13">
        <f t="shared" si="43"/>
        <v>6</v>
      </c>
      <c r="AS211" s="13">
        <f t="shared" si="43"/>
        <v>13</v>
      </c>
      <c r="AT211" s="13">
        <f t="shared" si="43"/>
        <v>32</v>
      </c>
      <c r="AU211" s="13">
        <f t="shared" si="43"/>
        <v>14</v>
      </c>
      <c r="AV211" s="13">
        <f t="shared" si="43"/>
        <v>16</v>
      </c>
      <c r="AW211" s="13">
        <f t="shared" si="43"/>
        <v>19</v>
      </c>
      <c r="AX211" s="13">
        <f t="shared" si="43"/>
        <v>10</v>
      </c>
      <c r="AY211" s="13">
        <f t="shared" si="43"/>
        <v>12</v>
      </c>
      <c r="AZ211" s="13">
        <f t="shared" si="43"/>
        <v>603</v>
      </c>
      <c r="BA211" s="5"/>
      <c r="BB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5"/>
      <c r="BB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2.0</v>
      </c>
      <c r="F213" s="74">
        <v>2.0</v>
      </c>
      <c r="G213" s="74">
        <v>2.0</v>
      </c>
      <c r="H213" s="74">
        <v>4.0</v>
      </c>
      <c r="I213" s="74">
        <v>7.0</v>
      </c>
      <c r="J213" s="74">
        <v>7.0</v>
      </c>
      <c r="K213" s="74">
        <v>2.0</v>
      </c>
      <c r="L213" s="74">
        <v>5.0</v>
      </c>
      <c r="M213" s="74">
        <v>1.0</v>
      </c>
      <c r="N213" s="74">
        <v>6.0</v>
      </c>
      <c r="O213" s="74">
        <v>2.0</v>
      </c>
      <c r="P213" s="74">
        <v>2.0</v>
      </c>
      <c r="Q213" s="74">
        <v>0.0</v>
      </c>
      <c r="R213" s="74">
        <v>0.0</v>
      </c>
      <c r="S213" s="74">
        <v>4.0</v>
      </c>
      <c r="T213" s="74">
        <v>0.0</v>
      </c>
      <c r="U213" s="74">
        <v>0.0</v>
      </c>
      <c r="V213" s="74">
        <v>0.0</v>
      </c>
      <c r="W213" s="74">
        <v>1.0</v>
      </c>
      <c r="X213" s="74">
        <v>1.0</v>
      </c>
      <c r="Y213" s="74">
        <v>3.0</v>
      </c>
      <c r="Z213" s="74">
        <v>0.0</v>
      </c>
      <c r="AA213" s="74">
        <v>0.0</v>
      </c>
      <c r="AB213" s="74">
        <v>2.0</v>
      </c>
      <c r="AC213" s="74">
        <v>6.0</v>
      </c>
      <c r="AD213" s="74">
        <v>0.0</v>
      </c>
      <c r="AE213" s="74">
        <v>0.0</v>
      </c>
      <c r="AF213" s="74">
        <v>2.0</v>
      </c>
      <c r="AG213" s="74">
        <v>2.0</v>
      </c>
      <c r="AH213" s="74">
        <v>4.0</v>
      </c>
      <c r="AI213" s="74">
        <v>2.0</v>
      </c>
      <c r="AJ213" s="74">
        <v>1.0</v>
      </c>
      <c r="AK213" s="74">
        <v>4.0</v>
      </c>
      <c r="AL213" s="74">
        <v>0.0</v>
      </c>
      <c r="AM213" s="74">
        <v>0.0</v>
      </c>
      <c r="AN213" s="74">
        <v>2.0</v>
      </c>
      <c r="AO213" s="74">
        <v>1.0</v>
      </c>
      <c r="AP213" s="74">
        <v>0.0</v>
      </c>
      <c r="AQ213" s="74">
        <v>0.0</v>
      </c>
      <c r="AR213" s="74">
        <v>2.0</v>
      </c>
      <c r="AS213" s="74">
        <v>4.0</v>
      </c>
      <c r="AT213" s="74">
        <v>0.0</v>
      </c>
      <c r="AU213" s="74">
        <v>2.0</v>
      </c>
      <c r="AV213" s="74">
        <v>1.0</v>
      </c>
      <c r="AW213" s="74">
        <v>1.0</v>
      </c>
      <c r="AX213" s="74">
        <v>2.0</v>
      </c>
      <c r="AY213" s="74">
        <v>0.0</v>
      </c>
      <c r="AZ213" s="13">
        <f t="shared" ref="AZ213:AZ216" si="44">SUM(E213:AY213)</f>
        <v>89</v>
      </c>
      <c r="BA213" s="5"/>
      <c r="BB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3.0</v>
      </c>
      <c r="F214" s="74">
        <v>1.0</v>
      </c>
      <c r="G214" s="74">
        <v>4.0</v>
      </c>
      <c r="H214" s="74">
        <v>5.0</v>
      </c>
      <c r="I214" s="74">
        <v>0.0</v>
      </c>
      <c r="J214" s="74">
        <v>0.0</v>
      </c>
      <c r="K214" s="74">
        <v>0.0</v>
      </c>
      <c r="L214" s="74">
        <v>4.0</v>
      </c>
      <c r="M214" s="74">
        <v>1.0</v>
      </c>
      <c r="N214" s="74">
        <v>0.0</v>
      </c>
      <c r="O214" s="74">
        <v>4.0</v>
      </c>
      <c r="P214" s="74">
        <v>2.0</v>
      </c>
      <c r="Q214" s="74">
        <v>0.0</v>
      </c>
      <c r="R214" s="74">
        <v>4.0</v>
      </c>
      <c r="S214" s="74">
        <v>1.0</v>
      </c>
      <c r="T214" s="74">
        <v>0.0</v>
      </c>
      <c r="U214" s="74">
        <v>0.0</v>
      </c>
      <c r="V214" s="74">
        <v>0.0</v>
      </c>
      <c r="W214" s="74">
        <v>1.0</v>
      </c>
      <c r="X214" s="74">
        <v>0.0</v>
      </c>
      <c r="Y214" s="74">
        <v>1.0</v>
      </c>
      <c r="Z214" s="74">
        <v>1.0</v>
      </c>
      <c r="AA214" s="74">
        <v>0.0</v>
      </c>
      <c r="AB214" s="74">
        <v>0.0</v>
      </c>
      <c r="AC214" s="74">
        <v>3.0</v>
      </c>
      <c r="AD214" s="74">
        <v>1.0</v>
      </c>
      <c r="AE214" s="74">
        <v>0.0</v>
      </c>
      <c r="AF214" s="74">
        <v>1.0</v>
      </c>
      <c r="AG214" s="74">
        <v>1.0</v>
      </c>
      <c r="AH214" s="74">
        <v>0.0</v>
      </c>
      <c r="AI214" s="74">
        <v>0.0</v>
      </c>
      <c r="AJ214" s="74">
        <v>0.0</v>
      </c>
      <c r="AK214" s="74">
        <v>1.0</v>
      </c>
      <c r="AL214" s="74">
        <v>1.0</v>
      </c>
      <c r="AM214" s="74">
        <v>1.0</v>
      </c>
      <c r="AN214" s="74">
        <v>1.0</v>
      </c>
      <c r="AO214" s="74">
        <v>1.0</v>
      </c>
      <c r="AP214" s="74">
        <v>0.0</v>
      </c>
      <c r="AQ214" s="74">
        <v>1.0</v>
      </c>
      <c r="AR214" s="74">
        <v>2.0</v>
      </c>
      <c r="AS214" s="74">
        <v>2.0</v>
      </c>
      <c r="AT214" s="74">
        <v>1.0</v>
      </c>
      <c r="AU214" s="74">
        <v>2.0</v>
      </c>
      <c r="AV214" s="74">
        <v>4.0</v>
      </c>
      <c r="AW214" s="74">
        <v>2.0</v>
      </c>
      <c r="AX214" s="74">
        <v>1.0</v>
      </c>
      <c r="AY214" s="74">
        <v>1.0</v>
      </c>
      <c r="AZ214" s="13">
        <f t="shared" si="44"/>
        <v>59</v>
      </c>
      <c r="BA214" s="5"/>
      <c r="BB214" s="5"/>
    </row>
    <row r="215" ht="12.75" customHeight="1">
      <c r="A215" s="18"/>
      <c r="B215" s="55"/>
      <c r="C215" s="50" t="s">
        <v>166</v>
      </c>
      <c r="D215" s="56"/>
      <c r="E215" s="74">
        <v>3.0</v>
      </c>
      <c r="F215" s="74">
        <v>4.0</v>
      </c>
      <c r="G215" s="74">
        <v>1.0</v>
      </c>
      <c r="H215" s="74">
        <v>3.0</v>
      </c>
      <c r="I215" s="74">
        <v>4.0</v>
      </c>
      <c r="J215" s="74">
        <v>4.0</v>
      </c>
      <c r="K215" s="74">
        <v>1.0</v>
      </c>
      <c r="L215" s="74">
        <v>0.0</v>
      </c>
      <c r="M215" s="74">
        <v>1.0</v>
      </c>
      <c r="N215" s="74">
        <v>2.0</v>
      </c>
      <c r="O215" s="74">
        <v>1.0</v>
      </c>
      <c r="P215" s="74">
        <v>3.0</v>
      </c>
      <c r="Q215" s="74">
        <v>2.0</v>
      </c>
      <c r="R215" s="74">
        <v>1.0</v>
      </c>
      <c r="S215" s="74">
        <v>1.0</v>
      </c>
      <c r="T215" s="74">
        <v>0.0</v>
      </c>
      <c r="U215" s="74">
        <v>0.0</v>
      </c>
      <c r="V215" s="74">
        <v>0.0</v>
      </c>
      <c r="W215" s="74">
        <v>1.0</v>
      </c>
      <c r="X215" s="74">
        <v>1.0</v>
      </c>
      <c r="Y215" s="74">
        <v>1.0</v>
      </c>
      <c r="Z215" s="74">
        <v>1.0</v>
      </c>
      <c r="AA215" s="74">
        <v>0.0</v>
      </c>
      <c r="AB215" s="74">
        <v>1.0</v>
      </c>
      <c r="AC215" s="74">
        <v>1.0</v>
      </c>
      <c r="AD215" s="74">
        <v>0.0</v>
      </c>
      <c r="AE215" s="74">
        <v>1.0</v>
      </c>
      <c r="AF215" s="74">
        <v>1.0</v>
      </c>
      <c r="AG215" s="74">
        <v>1.0</v>
      </c>
      <c r="AH215" s="74">
        <v>2.0</v>
      </c>
      <c r="AI215" s="74">
        <v>3.0</v>
      </c>
      <c r="AJ215" s="74">
        <v>2.0</v>
      </c>
      <c r="AK215" s="74">
        <v>2.0</v>
      </c>
      <c r="AL215" s="74">
        <v>2.0</v>
      </c>
      <c r="AM215" s="74">
        <v>1.0</v>
      </c>
      <c r="AN215" s="74">
        <v>1.0</v>
      </c>
      <c r="AO215" s="74">
        <v>0.0</v>
      </c>
      <c r="AP215" s="74">
        <v>1.0</v>
      </c>
      <c r="AQ215" s="74">
        <v>0.0</v>
      </c>
      <c r="AR215" s="74">
        <v>1.0</v>
      </c>
      <c r="AS215" s="74">
        <v>1.0</v>
      </c>
      <c r="AT215" s="74">
        <v>6.0</v>
      </c>
      <c r="AU215" s="74">
        <v>2.0</v>
      </c>
      <c r="AV215" s="74">
        <v>2.0</v>
      </c>
      <c r="AW215" s="74">
        <v>0.0</v>
      </c>
      <c r="AX215" s="74">
        <v>1.0</v>
      </c>
      <c r="AY215" s="74">
        <v>0.0</v>
      </c>
      <c r="AZ215" s="13">
        <f t="shared" si="44"/>
        <v>67</v>
      </c>
      <c r="BA215" s="5"/>
      <c r="BB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2.0</v>
      </c>
      <c r="I216" s="74">
        <v>1.0</v>
      </c>
      <c r="J216" s="74">
        <v>1.0</v>
      </c>
      <c r="K216" s="74">
        <v>0.0</v>
      </c>
      <c r="L216" s="74">
        <v>1.0</v>
      </c>
      <c r="M216" s="74">
        <v>1.0</v>
      </c>
      <c r="N216" s="74">
        <v>0.0</v>
      </c>
      <c r="O216" s="74">
        <v>0.0</v>
      </c>
      <c r="P216" s="74">
        <v>1.0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74">
        <v>0.0</v>
      </c>
      <c r="AC216" s="74">
        <v>0.0</v>
      </c>
      <c r="AD216" s="74">
        <v>1.0</v>
      </c>
      <c r="AE216" s="74">
        <v>0.0</v>
      </c>
      <c r="AF216" s="74">
        <v>0.0</v>
      </c>
      <c r="AG216" s="74">
        <v>0.0</v>
      </c>
      <c r="AH216" s="74">
        <v>2.0</v>
      </c>
      <c r="AI216" s="74">
        <v>1.0</v>
      </c>
      <c r="AJ216" s="74">
        <v>1.0</v>
      </c>
      <c r="AK216" s="74">
        <v>0.0</v>
      </c>
      <c r="AL216" s="74">
        <v>0.0</v>
      </c>
      <c r="AM216" s="74">
        <v>0.0</v>
      </c>
      <c r="AN216" s="74">
        <v>0.0</v>
      </c>
      <c r="AO216" s="74">
        <v>0.0</v>
      </c>
      <c r="AP216" s="74">
        <v>0.0</v>
      </c>
      <c r="AQ216" s="74">
        <v>1.0</v>
      </c>
      <c r="AR216" s="74">
        <v>2.0</v>
      </c>
      <c r="AS216" s="74">
        <v>0.0</v>
      </c>
      <c r="AT216" s="74">
        <v>0.0</v>
      </c>
      <c r="AU216" s="74">
        <v>0.0</v>
      </c>
      <c r="AV216" s="74">
        <v>1.0</v>
      </c>
      <c r="AW216" s="74">
        <v>0.0</v>
      </c>
      <c r="AX216" s="74">
        <v>0.0</v>
      </c>
      <c r="AY216" s="74">
        <v>1.0</v>
      </c>
      <c r="AZ216" s="13">
        <f t="shared" si="44"/>
        <v>17</v>
      </c>
      <c r="BA216" s="5"/>
      <c r="BB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81"/>
      <c r="BA217" s="5"/>
      <c r="BB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81"/>
      <c r="BA218" s="1"/>
      <c r="BB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81"/>
      <c r="BA219" s="52"/>
      <c r="BB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81"/>
      <c r="BA220" s="5"/>
      <c r="BB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81"/>
      <c r="BA221" s="5"/>
      <c r="BB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81"/>
      <c r="BA222" s="5"/>
      <c r="BB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Y223" si="45">SUM(E213:E220)</f>
        <v>8</v>
      </c>
      <c r="F223" s="13">
        <f t="shared" si="45"/>
        <v>7</v>
      </c>
      <c r="G223" s="13">
        <f t="shared" si="45"/>
        <v>7</v>
      </c>
      <c r="H223" s="13">
        <f t="shared" si="45"/>
        <v>14</v>
      </c>
      <c r="I223" s="13">
        <f t="shared" si="45"/>
        <v>12</v>
      </c>
      <c r="J223" s="13">
        <f t="shared" si="45"/>
        <v>12</v>
      </c>
      <c r="K223" s="13">
        <f t="shared" si="45"/>
        <v>3</v>
      </c>
      <c r="L223" s="13">
        <f t="shared" si="45"/>
        <v>10</v>
      </c>
      <c r="M223" s="13">
        <f t="shared" si="45"/>
        <v>4</v>
      </c>
      <c r="N223" s="13">
        <f t="shared" si="45"/>
        <v>8</v>
      </c>
      <c r="O223" s="13">
        <f t="shared" si="45"/>
        <v>7</v>
      </c>
      <c r="P223" s="13">
        <f t="shared" si="45"/>
        <v>8</v>
      </c>
      <c r="Q223" s="13">
        <f t="shared" si="45"/>
        <v>2</v>
      </c>
      <c r="R223" s="13">
        <f t="shared" si="45"/>
        <v>5</v>
      </c>
      <c r="S223" s="13">
        <f t="shared" si="45"/>
        <v>6</v>
      </c>
      <c r="T223" s="13">
        <f t="shared" si="45"/>
        <v>0</v>
      </c>
      <c r="U223" s="13">
        <f t="shared" si="45"/>
        <v>0</v>
      </c>
      <c r="V223" s="13">
        <f t="shared" si="45"/>
        <v>0</v>
      </c>
      <c r="W223" s="13">
        <f t="shared" si="45"/>
        <v>3</v>
      </c>
      <c r="X223" s="13">
        <f t="shared" si="45"/>
        <v>2</v>
      </c>
      <c r="Y223" s="13">
        <f t="shared" si="45"/>
        <v>5</v>
      </c>
      <c r="Z223" s="13">
        <f t="shared" si="45"/>
        <v>2</v>
      </c>
      <c r="AA223" s="13">
        <f t="shared" si="45"/>
        <v>0</v>
      </c>
      <c r="AB223" s="13">
        <f t="shared" si="45"/>
        <v>3</v>
      </c>
      <c r="AC223" s="13">
        <f t="shared" si="45"/>
        <v>10</v>
      </c>
      <c r="AD223" s="13">
        <f t="shared" si="45"/>
        <v>2</v>
      </c>
      <c r="AE223" s="13">
        <f t="shared" si="45"/>
        <v>1</v>
      </c>
      <c r="AF223" s="13">
        <f t="shared" si="45"/>
        <v>4</v>
      </c>
      <c r="AG223" s="13">
        <f t="shared" si="45"/>
        <v>4</v>
      </c>
      <c r="AH223" s="13">
        <f t="shared" si="45"/>
        <v>8</v>
      </c>
      <c r="AI223" s="13">
        <f t="shared" si="45"/>
        <v>6</v>
      </c>
      <c r="AJ223" s="13">
        <f t="shared" si="45"/>
        <v>4</v>
      </c>
      <c r="AK223" s="13">
        <f t="shared" si="45"/>
        <v>7</v>
      </c>
      <c r="AL223" s="13">
        <f t="shared" si="45"/>
        <v>3</v>
      </c>
      <c r="AM223" s="13">
        <f t="shared" si="45"/>
        <v>2</v>
      </c>
      <c r="AN223" s="13">
        <f t="shared" si="45"/>
        <v>4</v>
      </c>
      <c r="AO223" s="13">
        <f t="shared" si="45"/>
        <v>2</v>
      </c>
      <c r="AP223" s="13">
        <f t="shared" si="45"/>
        <v>1</v>
      </c>
      <c r="AQ223" s="13">
        <f t="shared" si="45"/>
        <v>2</v>
      </c>
      <c r="AR223" s="13">
        <f t="shared" si="45"/>
        <v>7</v>
      </c>
      <c r="AS223" s="13">
        <f t="shared" si="45"/>
        <v>7</v>
      </c>
      <c r="AT223" s="13">
        <f t="shared" si="45"/>
        <v>7</v>
      </c>
      <c r="AU223" s="13">
        <f t="shared" si="45"/>
        <v>6</v>
      </c>
      <c r="AV223" s="13">
        <f t="shared" si="45"/>
        <v>8</v>
      </c>
      <c r="AW223" s="13">
        <f t="shared" si="45"/>
        <v>3</v>
      </c>
      <c r="AX223" s="13">
        <f t="shared" si="45"/>
        <v>4</v>
      </c>
      <c r="AY223" s="13">
        <f t="shared" si="45"/>
        <v>2</v>
      </c>
      <c r="AZ223" s="13">
        <f>SUM(E223:AY223)</f>
        <v>232</v>
      </c>
      <c r="BA223" s="5"/>
      <c r="BB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5"/>
      <c r="BB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1.0</v>
      </c>
      <c r="I225" s="74">
        <v>0.0</v>
      </c>
      <c r="J225" s="74">
        <v>1.0</v>
      </c>
      <c r="K225" s="74">
        <v>0.0</v>
      </c>
      <c r="L225" s="74">
        <v>0.0</v>
      </c>
      <c r="M225" s="74">
        <v>0.0</v>
      </c>
      <c r="N225" s="74">
        <v>0.0</v>
      </c>
      <c r="O225" s="74">
        <v>1.0</v>
      </c>
      <c r="P225" s="74">
        <v>0.0</v>
      </c>
      <c r="Q225" s="74">
        <v>1.0</v>
      </c>
      <c r="R225" s="74">
        <v>1.0</v>
      </c>
      <c r="S225" s="74">
        <v>2.0</v>
      </c>
      <c r="T225" s="74">
        <v>2.0</v>
      </c>
      <c r="U225" s="74">
        <v>1.0</v>
      </c>
      <c r="V225" s="74">
        <v>0.0</v>
      </c>
      <c r="W225" s="74">
        <v>0.0</v>
      </c>
      <c r="X225" s="74">
        <v>2.0</v>
      </c>
      <c r="Y225" s="74">
        <v>0.0</v>
      </c>
      <c r="Z225" s="74">
        <v>0.0</v>
      </c>
      <c r="AA225" s="74">
        <v>0.0</v>
      </c>
      <c r="AB225" s="74">
        <v>2.0</v>
      </c>
      <c r="AC225" s="74">
        <v>1.0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0.0</v>
      </c>
      <c r="AI225" s="74">
        <v>0.0</v>
      </c>
      <c r="AJ225" s="74">
        <v>0.0</v>
      </c>
      <c r="AK225" s="74">
        <v>0.0</v>
      </c>
      <c r="AL225" s="74">
        <v>0.0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1.0</v>
      </c>
      <c r="AT225" s="74">
        <v>1.0</v>
      </c>
      <c r="AU225" s="74">
        <v>0.0</v>
      </c>
      <c r="AV225" s="74">
        <v>0.0</v>
      </c>
      <c r="AW225" s="74">
        <v>0.0</v>
      </c>
      <c r="AX225" s="74">
        <v>0.0</v>
      </c>
      <c r="AY225" s="74">
        <v>1.0</v>
      </c>
      <c r="AZ225" s="13">
        <f t="shared" ref="AZ225:AZ229" si="46">SUM(E225:AY225)</f>
        <v>18</v>
      </c>
      <c r="BA225" s="5"/>
      <c r="BB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8.0</v>
      </c>
      <c r="K226" s="74">
        <v>0.0</v>
      </c>
      <c r="L226" s="74">
        <v>0.0</v>
      </c>
      <c r="M226" s="74">
        <v>0.0</v>
      </c>
      <c r="N226" s="74">
        <v>5.0</v>
      </c>
      <c r="O226" s="74">
        <v>0.0</v>
      </c>
      <c r="P226" s="74">
        <v>0.0</v>
      </c>
      <c r="Q226" s="74">
        <v>0.0</v>
      </c>
      <c r="R226" s="74">
        <v>1.0</v>
      </c>
      <c r="S226" s="74">
        <v>0.0</v>
      </c>
      <c r="T226" s="74">
        <v>6.0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1.0</v>
      </c>
      <c r="AD226" s="74">
        <v>0.0</v>
      </c>
      <c r="AE226" s="74">
        <v>1.0</v>
      </c>
      <c r="AF226" s="74">
        <v>0.0</v>
      </c>
      <c r="AG226" s="74">
        <v>0.0</v>
      </c>
      <c r="AH226" s="74">
        <v>0.0</v>
      </c>
      <c r="AI226" s="74">
        <v>0.0</v>
      </c>
      <c r="AJ226" s="74">
        <v>2.0</v>
      </c>
      <c r="AK226" s="74">
        <v>0.0</v>
      </c>
      <c r="AL226" s="74">
        <v>0.0</v>
      </c>
      <c r="AM226" s="74">
        <v>1.0</v>
      </c>
      <c r="AN226" s="74">
        <v>0.0</v>
      </c>
      <c r="AO226" s="74">
        <v>0.0</v>
      </c>
      <c r="AP226" s="74">
        <v>0.0</v>
      </c>
      <c r="AQ226" s="74">
        <v>0.0</v>
      </c>
      <c r="AR226" s="74">
        <v>0.0</v>
      </c>
      <c r="AS226" s="74">
        <v>0.0</v>
      </c>
      <c r="AT226" s="74">
        <v>3.0</v>
      </c>
      <c r="AU226" s="74">
        <v>0.0</v>
      </c>
      <c r="AV226" s="74">
        <v>0.0</v>
      </c>
      <c r="AW226" s="74">
        <v>0.0</v>
      </c>
      <c r="AX226" s="74">
        <v>0.0</v>
      </c>
      <c r="AY226" s="74">
        <v>0.0</v>
      </c>
      <c r="AZ226" s="13">
        <f t="shared" si="46"/>
        <v>29</v>
      </c>
      <c r="BA226" s="5"/>
      <c r="BB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1.0</v>
      </c>
      <c r="R227" s="74">
        <v>1.0</v>
      </c>
      <c r="S227" s="74">
        <v>1.0</v>
      </c>
      <c r="T227" s="74">
        <v>1.0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0.0</v>
      </c>
      <c r="AI227" s="74">
        <v>0.0</v>
      </c>
      <c r="AJ227" s="74">
        <v>0.0</v>
      </c>
      <c r="AK227" s="74">
        <v>0.0</v>
      </c>
      <c r="AL227" s="74">
        <v>0.0</v>
      </c>
      <c r="AM227" s="74">
        <v>0.0</v>
      </c>
      <c r="AN227" s="74">
        <v>0.0</v>
      </c>
      <c r="AO227" s="74">
        <v>0.0</v>
      </c>
      <c r="AP227" s="74">
        <v>0.0</v>
      </c>
      <c r="AQ227" s="74">
        <v>0.0</v>
      </c>
      <c r="AR227" s="74">
        <v>0.0</v>
      </c>
      <c r="AS227" s="74">
        <v>0.0</v>
      </c>
      <c r="AT227" s="74">
        <v>0.0</v>
      </c>
      <c r="AU227" s="74">
        <v>0.0</v>
      </c>
      <c r="AV227" s="74">
        <v>0.0</v>
      </c>
      <c r="AW227" s="74">
        <v>0.0</v>
      </c>
      <c r="AX227" s="74">
        <v>0.0</v>
      </c>
      <c r="AY227" s="74">
        <v>0.0</v>
      </c>
      <c r="AZ227" s="13">
        <f t="shared" si="46"/>
        <v>4</v>
      </c>
      <c r="BA227" s="5"/>
      <c r="BB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74">
        <v>0.0</v>
      </c>
      <c r="AL228" s="74">
        <v>0.0</v>
      </c>
      <c r="AM228" s="74">
        <v>1.0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0.0</v>
      </c>
      <c r="AT228" s="74">
        <v>0.0</v>
      </c>
      <c r="AU228" s="74">
        <v>0.0</v>
      </c>
      <c r="AV228" s="74">
        <v>0.0</v>
      </c>
      <c r="AW228" s="74">
        <v>0.0</v>
      </c>
      <c r="AX228" s="74">
        <v>0.0</v>
      </c>
      <c r="AY228" s="74">
        <v>0.0</v>
      </c>
      <c r="AZ228" s="13">
        <f t="shared" si="46"/>
        <v>1</v>
      </c>
      <c r="BA228" s="5"/>
      <c r="BB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1.0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1.0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1.0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1.0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0.0</v>
      </c>
      <c r="AI229" s="74">
        <v>0.0</v>
      </c>
      <c r="AJ229" s="74">
        <v>0.0</v>
      </c>
      <c r="AK229" s="74">
        <v>1.0</v>
      </c>
      <c r="AL229" s="74">
        <v>0.0</v>
      </c>
      <c r="AM229" s="74">
        <v>0.0</v>
      </c>
      <c r="AN229" s="74">
        <v>0.0</v>
      </c>
      <c r="AO229" s="74">
        <v>0.0</v>
      </c>
      <c r="AP229" s="74">
        <v>0.0</v>
      </c>
      <c r="AQ229" s="74">
        <v>0.0</v>
      </c>
      <c r="AR229" s="74">
        <v>0.0</v>
      </c>
      <c r="AS229" s="74">
        <v>0.0</v>
      </c>
      <c r="AT229" s="74">
        <v>0.0</v>
      </c>
      <c r="AU229" s="74">
        <v>0.0</v>
      </c>
      <c r="AV229" s="74">
        <v>0.0</v>
      </c>
      <c r="AW229" s="74">
        <v>0.0</v>
      </c>
      <c r="AX229" s="74">
        <v>0.0</v>
      </c>
      <c r="AY229" s="74">
        <v>0.0</v>
      </c>
      <c r="AZ229" s="13">
        <f t="shared" si="46"/>
        <v>5</v>
      </c>
      <c r="BA229" s="1"/>
      <c r="BB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81"/>
      <c r="BA230" s="52"/>
      <c r="BB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81"/>
      <c r="BA231" s="5"/>
      <c r="BB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81"/>
      <c r="BA232" s="5"/>
      <c r="BB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81"/>
      <c r="BA233" s="5"/>
      <c r="BB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81"/>
      <c r="BA234" s="5"/>
      <c r="BB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Z235" si="47">SUM(E225:E229)</f>
        <v>0</v>
      </c>
      <c r="F235" s="13">
        <f t="shared" si="47"/>
        <v>0</v>
      </c>
      <c r="G235" s="13">
        <f t="shared" si="47"/>
        <v>0</v>
      </c>
      <c r="H235" s="13">
        <f t="shared" si="47"/>
        <v>2</v>
      </c>
      <c r="I235" s="13">
        <f t="shared" si="47"/>
        <v>1</v>
      </c>
      <c r="J235" s="13">
        <f t="shared" si="47"/>
        <v>9</v>
      </c>
      <c r="K235" s="13">
        <f t="shared" si="47"/>
        <v>0</v>
      </c>
      <c r="L235" s="13">
        <f t="shared" si="47"/>
        <v>0</v>
      </c>
      <c r="M235" s="13">
        <f t="shared" si="47"/>
        <v>0</v>
      </c>
      <c r="N235" s="13">
        <f t="shared" si="47"/>
        <v>5</v>
      </c>
      <c r="O235" s="13">
        <f t="shared" si="47"/>
        <v>1</v>
      </c>
      <c r="P235" s="13">
        <f t="shared" si="47"/>
        <v>0</v>
      </c>
      <c r="Q235" s="13">
        <f t="shared" si="47"/>
        <v>3</v>
      </c>
      <c r="R235" s="13">
        <f t="shared" si="47"/>
        <v>3</v>
      </c>
      <c r="S235" s="13">
        <f t="shared" si="47"/>
        <v>3</v>
      </c>
      <c r="T235" s="13">
        <f t="shared" si="47"/>
        <v>9</v>
      </c>
      <c r="U235" s="13">
        <f t="shared" si="47"/>
        <v>1</v>
      </c>
      <c r="V235" s="13">
        <f t="shared" si="47"/>
        <v>0</v>
      </c>
      <c r="W235" s="13">
        <f t="shared" si="47"/>
        <v>0</v>
      </c>
      <c r="X235" s="13">
        <f t="shared" si="47"/>
        <v>3</v>
      </c>
      <c r="Y235" s="13">
        <f t="shared" si="47"/>
        <v>0</v>
      </c>
      <c r="Z235" s="13">
        <f t="shared" si="47"/>
        <v>0</v>
      </c>
      <c r="AA235" s="13">
        <f t="shared" si="47"/>
        <v>0</v>
      </c>
      <c r="AB235" s="13">
        <f t="shared" si="47"/>
        <v>2</v>
      </c>
      <c r="AC235" s="13">
        <f t="shared" si="47"/>
        <v>3</v>
      </c>
      <c r="AD235" s="13">
        <f t="shared" si="47"/>
        <v>0</v>
      </c>
      <c r="AE235" s="13">
        <f t="shared" si="47"/>
        <v>1</v>
      </c>
      <c r="AF235" s="13">
        <f t="shared" si="47"/>
        <v>0</v>
      </c>
      <c r="AG235" s="13">
        <f t="shared" si="47"/>
        <v>0</v>
      </c>
      <c r="AH235" s="13">
        <f t="shared" si="47"/>
        <v>0</v>
      </c>
      <c r="AI235" s="13">
        <f t="shared" si="47"/>
        <v>0</v>
      </c>
      <c r="AJ235" s="13">
        <f t="shared" si="47"/>
        <v>2</v>
      </c>
      <c r="AK235" s="13">
        <f t="shared" si="47"/>
        <v>1</v>
      </c>
      <c r="AL235" s="13">
        <f t="shared" si="47"/>
        <v>0</v>
      </c>
      <c r="AM235" s="13">
        <f t="shared" si="47"/>
        <v>2</v>
      </c>
      <c r="AN235" s="13">
        <f t="shared" si="47"/>
        <v>0</v>
      </c>
      <c r="AO235" s="13">
        <f t="shared" si="47"/>
        <v>0</v>
      </c>
      <c r="AP235" s="13">
        <f t="shared" si="47"/>
        <v>0</v>
      </c>
      <c r="AQ235" s="13">
        <f t="shared" si="47"/>
        <v>0</v>
      </c>
      <c r="AR235" s="13">
        <f t="shared" si="47"/>
        <v>0</v>
      </c>
      <c r="AS235" s="13">
        <f t="shared" si="47"/>
        <v>1</v>
      </c>
      <c r="AT235" s="13">
        <f t="shared" si="47"/>
        <v>4</v>
      </c>
      <c r="AU235" s="13">
        <f t="shared" si="47"/>
        <v>0</v>
      </c>
      <c r="AV235" s="13">
        <f t="shared" si="47"/>
        <v>0</v>
      </c>
      <c r="AW235" s="13">
        <f t="shared" si="47"/>
        <v>0</v>
      </c>
      <c r="AX235" s="13">
        <f t="shared" si="47"/>
        <v>0</v>
      </c>
      <c r="AY235" s="13">
        <f t="shared" si="47"/>
        <v>1</v>
      </c>
      <c r="AZ235" s="13">
        <f t="shared" si="47"/>
        <v>57</v>
      </c>
      <c r="BA235" s="5"/>
      <c r="BB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5"/>
      <c r="BB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86">
        <v>2.0</v>
      </c>
      <c r="F237" s="86">
        <v>0.0</v>
      </c>
      <c r="G237" s="86">
        <v>0.0</v>
      </c>
      <c r="H237" s="86">
        <v>2.0</v>
      </c>
      <c r="I237" s="86">
        <v>1.0</v>
      </c>
      <c r="J237" s="86">
        <v>0.0</v>
      </c>
      <c r="K237" s="86">
        <v>0.0</v>
      </c>
      <c r="L237" s="86">
        <v>1.0</v>
      </c>
      <c r="M237" s="86">
        <v>0.0</v>
      </c>
      <c r="N237" s="86">
        <v>0.0</v>
      </c>
      <c r="O237" s="86">
        <v>0.0</v>
      </c>
      <c r="P237" s="86">
        <v>0.0</v>
      </c>
      <c r="Q237" s="86">
        <v>0.0</v>
      </c>
      <c r="R237" s="86">
        <v>2.0</v>
      </c>
      <c r="S237" s="86">
        <v>0.0</v>
      </c>
      <c r="T237" s="86">
        <v>0.0</v>
      </c>
      <c r="U237" s="86">
        <v>0.0</v>
      </c>
      <c r="V237" s="86">
        <v>0.0</v>
      </c>
      <c r="W237" s="86">
        <v>1.0</v>
      </c>
      <c r="X237" s="86">
        <v>0.0</v>
      </c>
      <c r="Y237" s="86">
        <v>0.0</v>
      </c>
      <c r="Z237" s="86">
        <v>0.0</v>
      </c>
      <c r="AA237" s="86">
        <v>0.0</v>
      </c>
      <c r="AB237" s="86">
        <v>2.0</v>
      </c>
      <c r="AC237" s="86">
        <v>2.0</v>
      </c>
      <c r="AD237" s="86">
        <v>5.0</v>
      </c>
      <c r="AE237" s="86">
        <v>0.0</v>
      </c>
      <c r="AF237" s="86">
        <v>0.0</v>
      </c>
      <c r="AG237" s="86">
        <v>1.0</v>
      </c>
      <c r="AH237" s="86">
        <v>1.0</v>
      </c>
      <c r="AI237" s="74">
        <v>0.0</v>
      </c>
      <c r="AJ237" s="74">
        <v>1.0</v>
      </c>
      <c r="AK237" s="74">
        <v>0.0</v>
      </c>
      <c r="AL237" s="74">
        <v>2.0</v>
      </c>
      <c r="AM237" s="74">
        <v>0.0</v>
      </c>
      <c r="AN237" s="74">
        <v>0.0</v>
      </c>
      <c r="AO237" s="74">
        <v>0.0</v>
      </c>
      <c r="AP237" s="74">
        <v>0.0</v>
      </c>
      <c r="AQ237" s="74">
        <v>0.0</v>
      </c>
      <c r="AR237" s="74">
        <v>2.0</v>
      </c>
      <c r="AS237" s="74">
        <v>1.0</v>
      </c>
      <c r="AT237" s="74">
        <v>0.0</v>
      </c>
      <c r="AU237" s="74">
        <v>1.0</v>
      </c>
      <c r="AV237" s="74">
        <v>1.0</v>
      </c>
      <c r="AW237" s="74">
        <v>0.0</v>
      </c>
      <c r="AX237" s="74">
        <v>0.0</v>
      </c>
      <c r="AY237" s="74">
        <v>0.0</v>
      </c>
      <c r="AZ237" s="13">
        <f t="shared" ref="AZ237:AZ246" si="48">SUM(E237:AY237)</f>
        <v>28</v>
      </c>
      <c r="BA237" s="5"/>
      <c r="BB237" s="5"/>
    </row>
    <row r="238" ht="12.75" customHeight="1">
      <c r="A238" s="30" t="s">
        <v>39</v>
      </c>
      <c r="B238" s="55"/>
      <c r="C238" s="50" t="s">
        <v>176</v>
      </c>
      <c r="D238" s="57"/>
      <c r="E238" s="86">
        <v>0.0</v>
      </c>
      <c r="F238" s="86">
        <v>0.0</v>
      </c>
      <c r="G238" s="86">
        <v>0.0</v>
      </c>
      <c r="H238" s="86">
        <v>0.0</v>
      </c>
      <c r="I238" s="86">
        <v>0.0</v>
      </c>
      <c r="J238" s="86">
        <v>1.0</v>
      </c>
      <c r="K238" s="86">
        <v>0.0</v>
      </c>
      <c r="L238" s="86">
        <v>0.0</v>
      </c>
      <c r="M238" s="86">
        <v>0.0</v>
      </c>
      <c r="N238" s="86">
        <v>0.0</v>
      </c>
      <c r="O238" s="86">
        <v>0.0</v>
      </c>
      <c r="P238" s="86">
        <v>0.0</v>
      </c>
      <c r="Q238" s="86">
        <v>0.0</v>
      </c>
      <c r="R238" s="86">
        <v>0.0</v>
      </c>
      <c r="S238" s="86">
        <v>0.0</v>
      </c>
      <c r="T238" s="86">
        <v>0.0</v>
      </c>
      <c r="U238" s="86">
        <v>1.0</v>
      </c>
      <c r="V238" s="86">
        <v>0.0</v>
      </c>
      <c r="W238" s="86">
        <v>0.0</v>
      </c>
      <c r="X238" s="86">
        <v>0.0</v>
      </c>
      <c r="Y238" s="86">
        <v>0.0</v>
      </c>
      <c r="Z238" s="86">
        <v>0.0</v>
      </c>
      <c r="AA238" s="86">
        <v>0.0</v>
      </c>
      <c r="AB238" s="86">
        <v>1.0</v>
      </c>
      <c r="AC238" s="86">
        <v>1.0</v>
      </c>
      <c r="AD238" s="86">
        <v>3.0</v>
      </c>
      <c r="AE238" s="86">
        <v>0.0</v>
      </c>
      <c r="AF238" s="86">
        <v>0.0</v>
      </c>
      <c r="AG238" s="86">
        <v>0.0</v>
      </c>
      <c r="AH238" s="86">
        <v>0.0</v>
      </c>
      <c r="AI238" s="74">
        <v>0.0</v>
      </c>
      <c r="AJ238" s="74">
        <v>0.0</v>
      </c>
      <c r="AK238" s="74">
        <v>2.0</v>
      </c>
      <c r="AL238" s="74">
        <v>0.0</v>
      </c>
      <c r="AM238" s="74">
        <v>0.0</v>
      </c>
      <c r="AN238" s="74">
        <v>0.0</v>
      </c>
      <c r="AO238" s="74">
        <v>0.0</v>
      </c>
      <c r="AP238" s="74">
        <v>0.0</v>
      </c>
      <c r="AQ238" s="74">
        <v>1.0</v>
      </c>
      <c r="AR238" s="74">
        <v>1.0</v>
      </c>
      <c r="AS238" s="74">
        <v>0.0</v>
      </c>
      <c r="AT238" s="74">
        <v>1.0</v>
      </c>
      <c r="AU238" s="74">
        <v>1.0</v>
      </c>
      <c r="AV238" s="74">
        <v>0.0</v>
      </c>
      <c r="AW238" s="74">
        <v>0.0</v>
      </c>
      <c r="AX238" s="74">
        <v>0.0</v>
      </c>
      <c r="AY238" s="74">
        <v>1.0</v>
      </c>
      <c r="AZ238" s="13">
        <f t="shared" si="48"/>
        <v>14</v>
      </c>
      <c r="BA238" s="5"/>
      <c r="BB238" s="5"/>
    </row>
    <row r="239" ht="12.75" customHeight="1">
      <c r="A239" s="18"/>
      <c r="B239" s="55"/>
      <c r="C239" s="50" t="s">
        <v>177</v>
      </c>
      <c r="D239" s="57"/>
      <c r="E239" s="86">
        <v>0.0</v>
      </c>
      <c r="F239" s="86">
        <v>4.0</v>
      </c>
      <c r="G239" s="86">
        <v>1.0</v>
      </c>
      <c r="H239" s="86">
        <v>5.0</v>
      </c>
      <c r="I239" s="86">
        <v>0.0</v>
      </c>
      <c r="J239" s="86">
        <v>0.0</v>
      </c>
      <c r="K239" s="86">
        <v>0.0</v>
      </c>
      <c r="L239" s="86">
        <v>1.0</v>
      </c>
      <c r="M239" s="86">
        <v>1.0</v>
      </c>
      <c r="N239" s="86">
        <v>0.0</v>
      </c>
      <c r="O239" s="86">
        <v>0.0</v>
      </c>
      <c r="P239" s="86">
        <v>0.0</v>
      </c>
      <c r="Q239" s="86">
        <v>0.0</v>
      </c>
      <c r="R239" s="86">
        <v>1.0</v>
      </c>
      <c r="S239" s="86">
        <v>0.0</v>
      </c>
      <c r="T239" s="86">
        <v>0.0</v>
      </c>
      <c r="U239" s="86">
        <v>0.0</v>
      </c>
      <c r="V239" s="86">
        <v>0.0</v>
      </c>
      <c r="W239" s="86">
        <v>1.0</v>
      </c>
      <c r="X239" s="86">
        <v>0.0</v>
      </c>
      <c r="Y239" s="86">
        <v>0.0</v>
      </c>
      <c r="Z239" s="86">
        <v>0.0</v>
      </c>
      <c r="AA239" s="86">
        <v>0.0</v>
      </c>
      <c r="AB239" s="86">
        <v>0.0</v>
      </c>
      <c r="AC239" s="86">
        <v>1.0</v>
      </c>
      <c r="AD239" s="86">
        <v>0.0</v>
      </c>
      <c r="AE239" s="86">
        <v>0.0</v>
      </c>
      <c r="AF239" s="86">
        <v>0.0</v>
      </c>
      <c r="AG239" s="86">
        <v>0.0</v>
      </c>
      <c r="AH239" s="86">
        <v>0.0</v>
      </c>
      <c r="AI239" s="74">
        <v>1.0</v>
      </c>
      <c r="AJ239" s="74">
        <v>0.0</v>
      </c>
      <c r="AK239" s="74">
        <v>0.0</v>
      </c>
      <c r="AL239" s="74">
        <v>0.0</v>
      </c>
      <c r="AM239" s="74">
        <v>0.0</v>
      </c>
      <c r="AN239" s="74">
        <v>1.0</v>
      </c>
      <c r="AO239" s="74">
        <v>0.0</v>
      </c>
      <c r="AP239" s="74">
        <v>0.0</v>
      </c>
      <c r="AQ239" s="74">
        <v>2.0</v>
      </c>
      <c r="AR239" s="74">
        <v>1.0</v>
      </c>
      <c r="AS239" s="74">
        <v>1.0</v>
      </c>
      <c r="AT239" s="74">
        <v>1.0</v>
      </c>
      <c r="AU239" s="74">
        <v>0.0</v>
      </c>
      <c r="AV239" s="74">
        <v>0.0</v>
      </c>
      <c r="AW239" s="74">
        <v>0.0</v>
      </c>
      <c r="AX239" s="74">
        <v>1.0</v>
      </c>
      <c r="AY239" s="74">
        <v>0.0</v>
      </c>
      <c r="AZ239" s="13">
        <f t="shared" si="48"/>
        <v>23</v>
      </c>
      <c r="BA239" s="5"/>
      <c r="BB239" s="5"/>
    </row>
    <row r="240" ht="12.75" customHeight="1">
      <c r="A240" s="18"/>
      <c r="B240" s="55"/>
      <c r="C240" s="50" t="s">
        <v>178</v>
      </c>
      <c r="D240" s="57"/>
      <c r="E240" s="86">
        <v>0.0</v>
      </c>
      <c r="F240" s="86">
        <v>0.0</v>
      </c>
      <c r="G240" s="86">
        <v>0.0</v>
      </c>
      <c r="H240" s="86">
        <v>0.0</v>
      </c>
      <c r="I240" s="86">
        <v>0.0</v>
      </c>
      <c r="J240" s="86">
        <v>1.0</v>
      </c>
      <c r="K240" s="86">
        <v>0.0</v>
      </c>
      <c r="L240" s="86">
        <v>0.0</v>
      </c>
      <c r="M240" s="86">
        <v>0.0</v>
      </c>
      <c r="N240" s="86">
        <v>0.0</v>
      </c>
      <c r="O240" s="86">
        <v>0.0</v>
      </c>
      <c r="P240" s="86">
        <v>0.0</v>
      </c>
      <c r="Q240" s="86">
        <v>0.0</v>
      </c>
      <c r="R240" s="86">
        <v>0.0</v>
      </c>
      <c r="S240" s="86">
        <v>0.0</v>
      </c>
      <c r="T240" s="86">
        <v>0.0</v>
      </c>
      <c r="U240" s="86">
        <v>0.0</v>
      </c>
      <c r="V240" s="86">
        <v>0.0</v>
      </c>
      <c r="W240" s="86">
        <v>0.0</v>
      </c>
      <c r="X240" s="86">
        <v>0.0</v>
      </c>
      <c r="Y240" s="86">
        <v>0.0</v>
      </c>
      <c r="Z240" s="86">
        <v>0.0</v>
      </c>
      <c r="AA240" s="86">
        <v>0.0</v>
      </c>
      <c r="AB240" s="86">
        <v>0.0</v>
      </c>
      <c r="AC240" s="86">
        <v>0.0</v>
      </c>
      <c r="AD240" s="86">
        <v>0.0</v>
      </c>
      <c r="AE240" s="86">
        <v>0.0</v>
      </c>
      <c r="AF240" s="86">
        <v>0.0</v>
      </c>
      <c r="AG240" s="86">
        <v>0.0</v>
      </c>
      <c r="AH240" s="86">
        <v>0.0</v>
      </c>
      <c r="AI240" s="74">
        <v>0.0</v>
      </c>
      <c r="AJ240" s="74">
        <v>0.0</v>
      </c>
      <c r="AK240" s="74">
        <v>0.0</v>
      </c>
      <c r="AL240" s="74">
        <v>0.0</v>
      </c>
      <c r="AM240" s="74">
        <v>0.0</v>
      </c>
      <c r="AN240" s="74">
        <v>0.0</v>
      </c>
      <c r="AO240" s="74">
        <v>0.0</v>
      </c>
      <c r="AP240" s="74">
        <v>0.0</v>
      </c>
      <c r="AQ240" s="74">
        <v>0.0</v>
      </c>
      <c r="AR240" s="74">
        <v>0.0</v>
      </c>
      <c r="AS240" s="74">
        <v>0.0</v>
      </c>
      <c r="AT240" s="74">
        <v>1.0</v>
      </c>
      <c r="AU240" s="74">
        <v>0.0</v>
      </c>
      <c r="AV240" s="74">
        <v>0.0</v>
      </c>
      <c r="AW240" s="74">
        <v>0.0</v>
      </c>
      <c r="AX240" s="74">
        <v>1.0</v>
      </c>
      <c r="AY240" s="74">
        <v>0.0</v>
      </c>
      <c r="AZ240" s="13">
        <f t="shared" si="48"/>
        <v>3</v>
      </c>
      <c r="BA240" s="1"/>
      <c r="BB240" s="1"/>
    </row>
    <row r="241" ht="12.75" customHeight="1">
      <c r="A241" s="18"/>
      <c r="B241" s="55"/>
      <c r="C241" s="50" t="s">
        <v>179</v>
      </c>
      <c r="D241" s="57"/>
      <c r="E241" s="86">
        <v>0.0</v>
      </c>
      <c r="F241" s="86">
        <v>0.0</v>
      </c>
      <c r="G241" s="86">
        <v>0.0</v>
      </c>
      <c r="H241" s="86">
        <v>0.0</v>
      </c>
      <c r="I241" s="86">
        <v>0.0</v>
      </c>
      <c r="J241" s="86">
        <v>0.0</v>
      </c>
      <c r="K241" s="86">
        <v>0.0</v>
      </c>
      <c r="L241" s="86">
        <v>0.0</v>
      </c>
      <c r="M241" s="86">
        <v>0.0</v>
      </c>
      <c r="N241" s="86">
        <v>0.0</v>
      </c>
      <c r="O241" s="86">
        <v>0.0</v>
      </c>
      <c r="P241" s="86">
        <v>0.0</v>
      </c>
      <c r="Q241" s="86">
        <v>0.0</v>
      </c>
      <c r="R241" s="86">
        <v>1.0</v>
      </c>
      <c r="S241" s="86">
        <v>0.0</v>
      </c>
      <c r="T241" s="86">
        <v>0.0</v>
      </c>
      <c r="U241" s="86">
        <v>0.0</v>
      </c>
      <c r="V241" s="86">
        <v>0.0</v>
      </c>
      <c r="W241" s="86">
        <v>0.0</v>
      </c>
      <c r="X241" s="86">
        <v>0.0</v>
      </c>
      <c r="Y241" s="86">
        <v>0.0</v>
      </c>
      <c r="Z241" s="86">
        <v>0.0</v>
      </c>
      <c r="AA241" s="86">
        <v>1.0</v>
      </c>
      <c r="AB241" s="86">
        <v>0.0</v>
      </c>
      <c r="AC241" s="86">
        <v>0.0</v>
      </c>
      <c r="AD241" s="86">
        <v>0.0</v>
      </c>
      <c r="AE241" s="86">
        <v>0.0</v>
      </c>
      <c r="AF241" s="86">
        <v>0.0</v>
      </c>
      <c r="AG241" s="86">
        <v>0.0</v>
      </c>
      <c r="AH241" s="86">
        <v>0.0</v>
      </c>
      <c r="AI241" s="74">
        <v>0.0</v>
      </c>
      <c r="AJ241" s="74">
        <v>0.0</v>
      </c>
      <c r="AK241" s="74">
        <v>0.0</v>
      </c>
      <c r="AL241" s="74">
        <v>1.0</v>
      </c>
      <c r="AM241" s="74">
        <v>0.0</v>
      </c>
      <c r="AN241" s="74">
        <v>0.0</v>
      </c>
      <c r="AO241" s="74">
        <v>0.0</v>
      </c>
      <c r="AP241" s="74">
        <v>0.0</v>
      </c>
      <c r="AQ241" s="74">
        <v>0.0</v>
      </c>
      <c r="AR241" s="74">
        <v>0.0</v>
      </c>
      <c r="AS241" s="74">
        <v>0.0</v>
      </c>
      <c r="AT241" s="74">
        <v>0.0</v>
      </c>
      <c r="AU241" s="74">
        <v>0.0</v>
      </c>
      <c r="AV241" s="74">
        <v>1.0</v>
      </c>
      <c r="AW241" s="74">
        <v>0.0</v>
      </c>
      <c r="AX241" s="74">
        <v>1.0</v>
      </c>
      <c r="AY241" s="74">
        <v>0.0</v>
      </c>
      <c r="AZ241" s="13">
        <f t="shared" si="48"/>
        <v>5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1.0</v>
      </c>
      <c r="Q242" s="74">
        <v>0.0</v>
      </c>
      <c r="R242" s="74">
        <v>1.0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0.0</v>
      </c>
      <c r="AD242" s="74">
        <v>1.0</v>
      </c>
      <c r="AE242" s="74">
        <v>0.0</v>
      </c>
      <c r="AF242" s="74">
        <v>0.0</v>
      </c>
      <c r="AG242" s="74">
        <v>0.0</v>
      </c>
      <c r="AH242" s="74">
        <v>0.0</v>
      </c>
      <c r="AI242" s="74">
        <v>1.0</v>
      </c>
      <c r="AJ242" s="74">
        <v>0.0</v>
      </c>
      <c r="AK242" s="74">
        <v>0.0</v>
      </c>
      <c r="AL242" s="74">
        <v>0.0</v>
      </c>
      <c r="AM242" s="74">
        <v>0.0</v>
      </c>
      <c r="AN242" s="74">
        <v>0.0</v>
      </c>
      <c r="AO242" s="74">
        <v>0.0</v>
      </c>
      <c r="AP242" s="74">
        <v>0.0</v>
      </c>
      <c r="AQ242" s="74">
        <v>0.0</v>
      </c>
      <c r="AR242" s="74">
        <v>0.0</v>
      </c>
      <c r="AS242" s="74">
        <v>0.0</v>
      </c>
      <c r="AT242" s="74">
        <v>0.0</v>
      </c>
      <c r="AU242" s="74">
        <v>0.0</v>
      </c>
      <c r="AV242" s="74">
        <v>0.0</v>
      </c>
      <c r="AW242" s="74">
        <v>0.0</v>
      </c>
      <c r="AX242" s="74">
        <v>1.0</v>
      </c>
      <c r="AY242" s="74">
        <v>0.0</v>
      </c>
      <c r="AZ242" s="13">
        <f t="shared" si="48"/>
        <v>5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1.0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74">
        <v>0.0</v>
      </c>
      <c r="AL243" s="74">
        <v>1.0</v>
      </c>
      <c r="AM243" s="74">
        <v>0.0</v>
      </c>
      <c r="AN243" s="74">
        <v>0.0</v>
      </c>
      <c r="AO243" s="74">
        <v>0.0</v>
      </c>
      <c r="AP243" s="74">
        <v>0.0</v>
      </c>
      <c r="AQ243" s="74">
        <v>0.0</v>
      </c>
      <c r="AR243" s="74">
        <v>0.0</v>
      </c>
      <c r="AS243" s="74">
        <v>0.0</v>
      </c>
      <c r="AT243" s="74">
        <v>0.0</v>
      </c>
      <c r="AU243" s="74">
        <v>0.0</v>
      </c>
      <c r="AV243" s="74">
        <v>0.0</v>
      </c>
      <c r="AW243" s="74">
        <v>0.0</v>
      </c>
      <c r="AX243" s="74">
        <v>0.0</v>
      </c>
      <c r="AY243" s="74">
        <v>0.0</v>
      </c>
      <c r="AZ243" s="13">
        <f t="shared" si="48"/>
        <v>2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1.0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74">
        <v>0.0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0.0</v>
      </c>
      <c r="AK244" s="74">
        <v>0.0</v>
      </c>
      <c r="AL244" s="74">
        <v>1.0</v>
      </c>
      <c r="AM244" s="74">
        <v>0.0</v>
      </c>
      <c r="AN244" s="74">
        <v>0.0</v>
      </c>
      <c r="AO244" s="74">
        <v>0.0</v>
      </c>
      <c r="AP244" s="74">
        <v>0.0</v>
      </c>
      <c r="AQ244" s="74">
        <v>0.0</v>
      </c>
      <c r="AR244" s="74">
        <v>0.0</v>
      </c>
      <c r="AS244" s="74">
        <v>0.0</v>
      </c>
      <c r="AT244" s="74">
        <v>0.0</v>
      </c>
      <c r="AU244" s="74">
        <v>0.0</v>
      </c>
      <c r="AV244" s="74">
        <v>0.0</v>
      </c>
      <c r="AW244" s="74">
        <v>0.0</v>
      </c>
      <c r="AX244" s="74">
        <v>0.0</v>
      </c>
      <c r="AY244" s="74">
        <v>1.0</v>
      </c>
      <c r="AZ244" s="13">
        <f t="shared" si="48"/>
        <v>3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0.0</v>
      </c>
      <c r="AG245" s="74">
        <v>0.0</v>
      </c>
      <c r="AH245" s="74">
        <v>0.0</v>
      </c>
      <c r="AI245" s="74">
        <v>0.0</v>
      </c>
      <c r="AJ245" s="74">
        <v>0.0</v>
      </c>
      <c r="AK245" s="74">
        <v>0.0</v>
      </c>
      <c r="AL245" s="74">
        <v>0.0</v>
      </c>
      <c r="AM245" s="74">
        <v>0.0</v>
      </c>
      <c r="AN245" s="74">
        <v>0.0</v>
      </c>
      <c r="AO245" s="74">
        <v>0.0</v>
      </c>
      <c r="AP245" s="74">
        <v>0.0</v>
      </c>
      <c r="AQ245" s="74">
        <v>0.0</v>
      </c>
      <c r="AR245" s="74">
        <v>0.0</v>
      </c>
      <c r="AS245" s="74">
        <v>0.0</v>
      </c>
      <c r="AT245" s="74">
        <v>0.0</v>
      </c>
      <c r="AU245" s="74">
        <v>0.0</v>
      </c>
      <c r="AV245" s="74">
        <v>0.0</v>
      </c>
      <c r="AW245" s="74">
        <v>0.0</v>
      </c>
      <c r="AX245" s="74">
        <v>1.0</v>
      </c>
      <c r="AY245" s="74">
        <v>0.0</v>
      </c>
      <c r="AZ245" s="13">
        <f t="shared" si="48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1.0</v>
      </c>
      <c r="AE246" s="74">
        <v>0.0</v>
      </c>
      <c r="AF246" s="74">
        <v>0.0</v>
      </c>
      <c r="AG246" s="74">
        <v>0.0</v>
      </c>
      <c r="AH246" s="74">
        <v>0.0</v>
      </c>
      <c r="AI246" s="74">
        <v>0.0</v>
      </c>
      <c r="AJ246" s="74">
        <v>0.0</v>
      </c>
      <c r="AK246" s="74">
        <v>0.0</v>
      </c>
      <c r="AL246" s="74">
        <v>0.0</v>
      </c>
      <c r="AM246" s="74">
        <v>0.0</v>
      </c>
      <c r="AN246" s="74">
        <v>0.0</v>
      </c>
      <c r="AO246" s="74">
        <v>0.0</v>
      </c>
      <c r="AP246" s="74">
        <v>0.0</v>
      </c>
      <c r="AQ246" s="74">
        <v>0.0</v>
      </c>
      <c r="AR246" s="74">
        <v>0.0</v>
      </c>
      <c r="AS246" s="74">
        <v>0.0</v>
      </c>
      <c r="AT246" s="74">
        <v>0.0</v>
      </c>
      <c r="AU246" s="74">
        <v>0.0</v>
      </c>
      <c r="AV246" s="74">
        <v>0.0</v>
      </c>
      <c r="AW246" s="74">
        <v>0.0</v>
      </c>
      <c r="AX246" s="74">
        <v>0.0</v>
      </c>
      <c r="AY246" s="74">
        <v>0.0</v>
      </c>
      <c r="AZ246" s="13">
        <f t="shared" si="48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H247" si="49">SUM(E225:E246)</f>
        <v>2</v>
      </c>
      <c r="F247" s="13">
        <f t="shared" si="49"/>
        <v>4</v>
      </c>
      <c r="G247" s="13">
        <f t="shared" si="49"/>
        <v>1</v>
      </c>
      <c r="H247" s="13">
        <f t="shared" si="49"/>
        <v>11</v>
      </c>
      <c r="I247" s="13">
        <f t="shared" si="49"/>
        <v>3</v>
      </c>
      <c r="J247" s="13">
        <f t="shared" si="49"/>
        <v>20</v>
      </c>
      <c r="K247" s="13">
        <f t="shared" si="49"/>
        <v>0</v>
      </c>
      <c r="L247" s="13">
        <f t="shared" si="49"/>
        <v>2</v>
      </c>
      <c r="M247" s="13">
        <f t="shared" si="49"/>
        <v>2</v>
      </c>
      <c r="N247" s="13">
        <f t="shared" si="49"/>
        <v>10</v>
      </c>
      <c r="O247" s="13">
        <f t="shared" si="49"/>
        <v>2</v>
      </c>
      <c r="P247" s="13">
        <f t="shared" si="49"/>
        <v>1</v>
      </c>
      <c r="Q247" s="13">
        <f t="shared" si="49"/>
        <v>6</v>
      </c>
      <c r="R247" s="13">
        <f t="shared" si="49"/>
        <v>11</v>
      </c>
      <c r="S247" s="13">
        <f t="shared" si="49"/>
        <v>6</v>
      </c>
      <c r="T247" s="13">
        <f t="shared" si="49"/>
        <v>18</v>
      </c>
      <c r="U247" s="13">
        <f t="shared" si="49"/>
        <v>3</v>
      </c>
      <c r="V247" s="13">
        <f t="shared" si="49"/>
        <v>0</v>
      </c>
      <c r="W247" s="13">
        <f t="shared" si="49"/>
        <v>2</v>
      </c>
      <c r="X247" s="13">
        <f t="shared" si="49"/>
        <v>6</v>
      </c>
      <c r="Y247" s="13">
        <f t="shared" si="49"/>
        <v>0</v>
      </c>
      <c r="Z247" s="13">
        <f t="shared" si="49"/>
        <v>1</v>
      </c>
      <c r="AA247" s="13">
        <f t="shared" si="49"/>
        <v>1</v>
      </c>
      <c r="AB247" s="13">
        <f t="shared" si="49"/>
        <v>7</v>
      </c>
      <c r="AC247" s="13">
        <f t="shared" si="49"/>
        <v>10</v>
      </c>
      <c r="AD247" s="13">
        <f t="shared" si="49"/>
        <v>10</v>
      </c>
      <c r="AE247" s="13">
        <f t="shared" si="49"/>
        <v>2</v>
      </c>
      <c r="AF247" s="13">
        <f t="shared" si="49"/>
        <v>0</v>
      </c>
      <c r="AG247" s="13">
        <f t="shared" si="49"/>
        <v>1</v>
      </c>
      <c r="AH247" s="13">
        <f t="shared" si="49"/>
        <v>1</v>
      </c>
      <c r="AI247" s="13">
        <f t="shared" ref="AI247:AZ247" si="50">SUM(AI237:AI246)</f>
        <v>2</v>
      </c>
      <c r="AJ247" s="13">
        <f t="shared" si="50"/>
        <v>1</v>
      </c>
      <c r="AK247" s="13">
        <f t="shared" si="50"/>
        <v>2</v>
      </c>
      <c r="AL247" s="13">
        <f t="shared" si="50"/>
        <v>5</v>
      </c>
      <c r="AM247" s="13">
        <f t="shared" si="50"/>
        <v>0</v>
      </c>
      <c r="AN247" s="13">
        <f t="shared" si="50"/>
        <v>1</v>
      </c>
      <c r="AO247" s="13">
        <f t="shared" si="50"/>
        <v>0</v>
      </c>
      <c r="AP247" s="13">
        <f t="shared" si="50"/>
        <v>0</v>
      </c>
      <c r="AQ247" s="13">
        <f t="shared" si="50"/>
        <v>3</v>
      </c>
      <c r="AR247" s="13">
        <f t="shared" si="50"/>
        <v>4</v>
      </c>
      <c r="AS247" s="13">
        <f t="shared" si="50"/>
        <v>2</v>
      </c>
      <c r="AT247" s="13">
        <f t="shared" si="50"/>
        <v>3</v>
      </c>
      <c r="AU247" s="13">
        <f t="shared" si="50"/>
        <v>2</v>
      </c>
      <c r="AV247" s="13">
        <f t="shared" si="50"/>
        <v>2</v>
      </c>
      <c r="AW247" s="13">
        <f t="shared" si="50"/>
        <v>0</v>
      </c>
      <c r="AX247" s="13">
        <f t="shared" si="50"/>
        <v>5</v>
      </c>
      <c r="AY247" s="13">
        <f t="shared" si="50"/>
        <v>2</v>
      </c>
      <c r="AZ247" s="13">
        <f t="shared" si="50"/>
        <v>85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1.0</v>
      </c>
      <c r="F249" s="74">
        <v>0.0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0.0</v>
      </c>
      <c r="AG249" s="74">
        <v>0.0</v>
      </c>
      <c r="AH249" s="74">
        <v>0.0</v>
      </c>
      <c r="AI249" s="74">
        <v>0.0</v>
      </c>
      <c r="AJ249" s="74">
        <v>0.0</v>
      </c>
      <c r="AK249" s="74">
        <v>0.0</v>
      </c>
      <c r="AL249" s="74">
        <v>0.0</v>
      </c>
      <c r="AM249" s="74">
        <v>0.0</v>
      </c>
      <c r="AN249" s="74">
        <v>1.0</v>
      </c>
      <c r="AO249" s="74">
        <v>1.0</v>
      </c>
      <c r="AP249" s="74">
        <v>0.0</v>
      </c>
      <c r="AQ249" s="74">
        <v>0.0</v>
      </c>
      <c r="AR249" s="74">
        <v>0.0</v>
      </c>
      <c r="AS249" s="74">
        <v>0.0</v>
      </c>
      <c r="AT249" s="74">
        <v>0.0</v>
      </c>
      <c r="AU249" s="74">
        <v>0.0</v>
      </c>
      <c r="AV249" s="74">
        <v>0.0</v>
      </c>
      <c r="AW249" s="74">
        <v>0.0</v>
      </c>
      <c r="AX249" s="74">
        <v>0.0</v>
      </c>
      <c r="AY249" s="74">
        <v>1.0</v>
      </c>
      <c r="AZ249" s="13">
        <f t="shared" ref="AZ249:AZ252" si="51">SUM(E249:AY249)</f>
        <v>5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1.0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1.0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1.0</v>
      </c>
      <c r="AE250" s="74">
        <v>2.0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1.0</v>
      </c>
      <c r="AK250" s="74">
        <v>0.0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1.0</v>
      </c>
      <c r="AQ250" s="74">
        <v>0.0</v>
      </c>
      <c r="AR250" s="74">
        <v>0.0</v>
      </c>
      <c r="AS250" s="74">
        <v>0.0</v>
      </c>
      <c r="AT250" s="74">
        <v>2.0</v>
      </c>
      <c r="AU250" s="74">
        <v>0.0</v>
      </c>
      <c r="AV250" s="74">
        <v>0.0</v>
      </c>
      <c r="AW250" s="74">
        <v>0.0</v>
      </c>
      <c r="AX250" s="74">
        <v>0.0</v>
      </c>
      <c r="AY250" s="74">
        <v>0.0</v>
      </c>
      <c r="AZ250" s="13">
        <f t="shared" si="51"/>
        <v>9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74">
        <v>0.0</v>
      </c>
      <c r="AV251" s="74">
        <v>0.0</v>
      </c>
      <c r="AW251" s="74">
        <v>0.0</v>
      </c>
      <c r="AX251" s="74">
        <v>0.0</v>
      </c>
      <c r="AY251" s="74">
        <v>0.0</v>
      </c>
      <c r="AZ251" s="13">
        <f t="shared" si="51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74">
        <v>0.0</v>
      </c>
      <c r="AL252" s="74">
        <v>0.0</v>
      </c>
      <c r="AM252" s="74">
        <v>0.0</v>
      </c>
      <c r="AN252" s="74">
        <v>0.0</v>
      </c>
      <c r="AO252" s="74">
        <v>0.0</v>
      </c>
      <c r="AP252" s="74">
        <v>0.0</v>
      </c>
      <c r="AQ252" s="74">
        <v>0.0</v>
      </c>
      <c r="AR252" s="74">
        <v>0.0</v>
      </c>
      <c r="AS252" s="74">
        <v>0.0</v>
      </c>
      <c r="AT252" s="74">
        <v>0.0</v>
      </c>
      <c r="AU252" s="74">
        <v>0.0</v>
      </c>
      <c r="AV252" s="74">
        <v>0.0</v>
      </c>
      <c r="AW252" s="74">
        <v>0.0</v>
      </c>
      <c r="AX252" s="74">
        <v>0.0</v>
      </c>
      <c r="AY252" s="74">
        <v>0.0</v>
      </c>
      <c r="AZ252" s="13">
        <f t="shared" si="51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Z259" si="52">SUM(E249:E258)</f>
        <v>1</v>
      </c>
      <c r="F259" s="13">
        <f t="shared" si="52"/>
        <v>0</v>
      </c>
      <c r="G259" s="13">
        <f t="shared" si="52"/>
        <v>2</v>
      </c>
      <c r="H259" s="13">
        <f t="shared" si="52"/>
        <v>0</v>
      </c>
      <c r="I259" s="13">
        <f t="shared" si="52"/>
        <v>0</v>
      </c>
      <c r="J259" s="13">
        <f t="shared" si="52"/>
        <v>0</v>
      </c>
      <c r="K259" s="13">
        <f t="shared" si="52"/>
        <v>0</v>
      </c>
      <c r="L259" s="13">
        <f t="shared" si="52"/>
        <v>0</v>
      </c>
      <c r="M259" s="13">
        <f t="shared" si="52"/>
        <v>0</v>
      </c>
      <c r="N259" s="13">
        <f t="shared" si="52"/>
        <v>0</v>
      </c>
      <c r="O259" s="13">
        <f t="shared" si="52"/>
        <v>0</v>
      </c>
      <c r="P259" s="13">
        <f t="shared" si="52"/>
        <v>0</v>
      </c>
      <c r="Q259" s="13">
        <f t="shared" si="52"/>
        <v>0</v>
      </c>
      <c r="R259" s="13">
        <f t="shared" si="52"/>
        <v>0</v>
      </c>
      <c r="S259" s="13">
        <f t="shared" si="52"/>
        <v>0</v>
      </c>
      <c r="T259" s="13">
        <f t="shared" si="52"/>
        <v>0</v>
      </c>
      <c r="U259" s="13">
        <f t="shared" si="52"/>
        <v>1</v>
      </c>
      <c r="V259" s="13">
        <f t="shared" si="52"/>
        <v>0</v>
      </c>
      <c r="W259" s="13">
        <f t="shared" si="52"/>
        <v>0</v>
      </c>
      <c r="X259" s="13">
        <f t="shared" si="52"/>
        <v>0</v>
      </c>
      <c r="Y259" s="13">
        <f t="shared" si="52"/>
        <v>0</v>
      </c>
      <c r="Z259" s="13">
        <f t="shared" si="52"/>
        <v>0</v>
      </c>
      <c r="AA259" s="13">
        <f t="shared" si="52"/>
        <v>0</v>
      </c>
      <c r="AB259" s="13">
        <f t="shared" si="52"/>
        <v>0</v>
      </c>
      <c r="AC259" s="13">
        <f t="shared" si="52"/>
        <v>0</v>
      </c>
      <c r="AD259" s="13">
        <f t="shared" si="52"/>
        <v>1</v>
      </c>
      <c r="AE259" s="13">
        <f t="shared" si="52"/>
        <v>2</v>
      </c>
      <c r="AF259" s="13">
        <f t="shared" si="52"/>
        <v>0</v>
      </c>
      <c r="AG259" s="13">
        <f t="shared" si="52"/>
        <v>0</v>
      </c>
      <c r="AH259" s="13">
        <f t="shared" si="52"/>
        <v>0</v>
      </c>
      <c r="AI259" s="13">
        <f t="shared" si="52"/>
        <v>0</v>
      </c>
      <c r="AJ259" s="13">
        <f t="shared" si="52"/>
        <v>1</v>
      </c>
      <c r="AK259" s="13">
        <f t="shared" si="52"/>
        <v>0</v>
      </c>
      <c r="AL259" s="13">
        <f t="shared" si="52"/>
        <v>0</v>
      </c>
      <c r="AM259" s="13">
        <f t="shared" si="52"/>
        <v>0</v>
      </c>
      <c r="AN259" s="13">
        <f t="shared" si="52"/>
        <v>1</v>
      </c>
      <c r="AO259" s="13">
        <f t="shared" si="52"/>
        <v>1</v>
      </c>
      <c r="AP259" s="13">
        <f t="shared" si="52"/>
        <v>1</v>
      </c>
      <c r="AQ259" s="13">
        <f t="shared" si="52"/>
        <v>0</v>
      </c>
      <c r="AR259" s="13">
        <f t="shared" si="52"/>
        <v>0</v>
      </c>
      <c r="AS259" s="13">
        <f t="shared" si="52"/>
        <v>0</v>
      </c>
      <c r="AT259" s="13">
        <f t="shared" si="52"/>
        <v>2</v>
      </c>
      <c r="AU259" s="13">
        <f t="shared" si="52"/>
        <v>0</v>
      </c>
      <c r="AV259" s="13">
        <f t="shared" si="52"/>
        <v>0</v>
      </c>
      <c r="AW259" s="13">
        <f t="shared" si="52"/>
        <v>0</v>
      </c>
      <c r="AX259" s="13">
        <f t="shared" si="52"/>
        <v>0</v>
      </c>
      <c r="AY259" s="13">
        <f t="shared" si="52"/>
        <v>1</v>
      </c>
      <c r="AZ259" s="13">
        <f t="shared" si="52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  <c r="AH261" s="77"/>
      <c r="AI261" s="13"/>
      <c r="AJ261" s="13"/>
      <c r="AK261" s="13"/>
      <c r="AL261" s="13"/>
      <c r="AM261" s="77"/>
      <c r="AN261" s="13"/>
      <c r="AO261" s="13"/>
      <c r="AP261" s="13"/>
      <c r="AQ261" s="13"/>
      <c r="AR261" s="77"/>
      <c r="AS261" s="13"/>
      <c r="AT261" s="13"/>
      <c r="AU261" s="13"/>
      <c r="AV261" s="13"/>
      <c r="AW261" s="77"/>
      <c r="AX261" s="13"/>
      <c r="AY261" s="13"/>
      <c r="AZ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S262" si="53">E55+E67+E79+E91+E103+E115+E127+E139+E151+E163+E175+E187+E199+E211+E223+E235+E247+E259</f>
        <v>194</v>
      </c>
      <c r="F262" s="19">
        <f t="shared" si="53"/>
        <v>205</v>
      </c>
      <c r="G262" s="19">
        <f t="shared" si="53"/>
        <v>184</v>
      </c>
      <c r="H262" s="19">
        <f t="shared" si="53"/>
        <v>184</v>
      </c>
      <c r="I262" s="19">
        <f t="shared" si="53"/>
        <v>204</v>
      </c>
      <c r="J262" s="19">
        <f t="shared" si="53"/>
        <v>219</v>
      </c>
      <c r="K262" s="19">
        <f t="shared" si="53"/>
        <v>112</v>
      </c>
      <c r="L262" s="19">
        <f t="shared" si="53"/>
        <v>205</v>
      </c>
      <c r="M262" s="19">
        <f t="shared" si="53"/>
        <v>164</v>
      </c>
      <c r="N262" s="19">
        <f t="shared" si="53"/>
        <v>214</v>
      </c>
      <c r="O262" s="19">
        <f t="shared" si="53"/>
        <v>202</v>
      </c>
      <c r="P262" s="19">
        <f t="shared" si="53"/>
        <v>182</v>
      </c>
      <c r="Q262" s="19">
        <f t="shared" si="53"/>
        <v>161</v>
      </c>
      <c r="R262" s="19">
        <f t="shared" si="53"/>
        <v>178</v>
      </c>
      <c r="S262" s="19">
        <f t="shared" si="53"/>
        <v>173</v>
      </c>
      <c r="T262" s="19">
        <f t="shared" ref="T262:AH262" si="54">T55+T67+T79+T91+T103+T115+T127+T139+T151+T163+T175+T187+T199+T210+T223+T235+T247+T259</f>
        <v>202</v>
      </c>
      <c r="U262" s="19">
        <f t="shared" si="54"/>
        <v>179</v>
      </c>
      <c r="V262" s="19">
        <f t="shared" si="54"/>
        <v>167</v>
      </c>
      <c r="W262" s="19">
        <f t="shared" si="54"/>
        <v>179</v>
      </c>
      <c r="X262" s="19">
        <f t="shared" si="54"/>
        <v>217</v>
      </c>
      <c r="Y262" s="19">
        <f t="shared" si="54"/>
        <v>121</v>
      </c>
      <c r="Z262" s="19">
        <f t="shared" si="54"/>
        <v>159</v>
      </c>
      <c r="AA262" s="19">
        <f t="shared" si="54"/>
        <v>124</v>
      </c>
      <c r="AB262" s="19">
        <f t="shared" si="54"/>
        <v>141</v>
      </c>
      <c r="AC262" s="19">
        <f t="shared" si="54"/>
        <v>175</v>
      </c>
      <c r="AD262" s="19">
        <f t="shared" si="54"/>
        <v>165</v>
      </c>
      <c r="AE262" s="19">
        <f t="shared" si="54"/>
        <v>156</v>
      </c>
      <c r="AF262" s="19">
        <f t="shared" si="54"/>
        <v>183</v>
      </c>
      <c r="AG262" s="19">
        <f t="shared" si="54"/>
        <v>154</v>
      </c>
      <c r="AH262" s="19">
        <f t="shared" si="54"/>
        <v>207</v>
      </c>
      <c r="AI262" s="19">
        <f t="shared" ref="AI262:AY262" si="55">AI55+AI67+AI79+AI91+AI103+AI115+AI127+AI139+AI151+AI163+AI175+AI187+AI199+AI211+AI223+AI235+AI247+AI259</f>
        <v>163</v>
      </c>
      <c r="AJ262" s="19">
        <f t="shared" si="55"/>
        <v>191</v>
      </c>
      <c r="AK262" s="19">
        <f t="shared" si="55"/>
        <v>189</v>
      </c>
      <c r="AL262" s="19">
        <f t="shared" si="55"/>
        <v>189</v>
      </c>
      <c r="AM262" s="19">
        <f t="shared" si="55"/>
        <v>199</v>
      </c>
      <c r="AN262" s="19">
        <f t="shared" si="55"/>
        <v>170</v>
      </c>
      <c r="AO262" s="19">
        <f t="shared" si="55"/>
        <v>179</v>
      </c>
      <c r="AP262" s="19">
        <f t="shared" si="55"/>
        <v>206</v>
      </c>
      <c r="AQ262" s="19">
        <f t="shared" si="55"/>
        <v>198</v>
      </c>
      <c r="AR262" s="19">
        <f t="shared" si="55"/>
        <v>207</v>
      </c>
      <c r="AS262" s="19">
        <f t="shared" si="55"/>
        <v>173</v>
      </c>
      <c r="AT262" s="19">
        <f t="shared" si="55"/>
        <v>206</v>
      </c>
      <c r="AU262" s="19">
        <f t="shared" si="55"/>
        <v>213</v>
      </c>
      <c r="AV262" s="19">
        <f t="shared" si="55"/>
        <v>180</v>
      </c>
      <c r="AW262" s="19">
        <f t="shared" si="55"/>
        <v>171</v>
      </c>
      <c r="AX262" s="19">
        <f t="shared" si="55"/>
        <v>170</v>
      </c>
      <c r="AY262" s="19">
        <f t="shared" si="55"/>
        <v>189</v>
      </c>
      <c r="AZ262" s="13">
        <f t="shared" ref="AZ262:AZ264" si="56">SUM(E262:AY262)</f>
        <v>8503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26.0</v>
      </c>
      <c r="F263" s="74">
        <v>29.0</v>
      </c>
      <c r="G263" s="74">
        <v>20.0</v>
      </c>
      <c r="H263" s="74">
        <v>25.0</v>
      </c>
      <c r="I263" s="74">
        <v>18.0</v>
      </c>
      <c r="J263" s="74">
        <v>20.0</v>
      </c>
      <c r="K263" s="74">
        <v>10.0</v>
      </c>
      <c r="L263" s="74">
        <v>20.0</v>
      </c>
      <c r="M263" s="74">
        <v>34.0</v>
      </c>
      <c r="N263" s="74">
        <v>21.0</v>
      </c>
      <c r="O263" s="74">
        <v>41.0</v>
      </c>
      <c r="P263" s="74">
        <v>18.0</v>
      </c>
      <c r="Q263" s="74">
        <v>75.0</v>
      </c>
      <c r="R263" s="74">
        <v>29.0</v>
      </c>
      <c r="S263" s="74">
        <v>46.0</v>
      </c>
      <c r="T263" s="74">
        <v>20.0</v>
      </c>
      <c r="U263" s="74">
        <v>18.0</v>
      </c>
      <c r="V263" s="74">
        <v>28.0</v>
      </c>
      <c r="W263" s="74">
        <v>38.0</v>
      </c>
      <c r="X263" s="74">
        <v>16.0</v>
      </c>
      <c r="Y263" s="74">
        <v>37.0</v>
      </c>
      <c r="Z263" s="74">
        <v>31.0</v>
      </c>
      <c r="AA263" s="74">
        <v>32.0</v>
      </c>
      <c r="AB263" s="74">
        <v>52.0</v>
      </c>
      <c r="AC263" s="74">
        <v>36.0</v>
      </c>
      <c r="AD263" s="74">
        <v>29.0</v>
      </c>
      <c r="AE263" s="74">
        <v>35.0</v>
      </c>
      <c r="AF263" s="74">
        <v>11.0</v>
      </c>
      <c r="AG263" s="74">
        <v>20.0</v>
      </c>
      <c r="AH263" s="74">
        <v>16.0</v>
      </c>
      <c r="AI263" s="74">
        <v>17.0</v>
      </c>
      <c r="AJ263" s="74">
        <v>26.0</v>
      </c>
      <c r="AK263" s="74">
        <v>28.0</v>
      </c>
      <c r="AL263" s="74">
        <v>28.0</v>
      </c>
      <c r="AM263" s="74">
        <v>19.0</v>
      </c>
      <c r="AN263" s="74">
        <v>25.0</v>
      </c>
      <c r="AO263" s="74">
        <v>9.0</v>
      </c>
      <c r="AP263" s="74">
        <v>26.0</v>
      </c>
      <c r="AQ263" s="74">
        <v>30.0</v>
      </c>
      <c r="AR263" s="74">
        <v>18.0</v>
      </c>
      <c r="AS263" s="74">
        <v>29.0</v>
      </c>
      <c r="AT263" s="74">
        <v>20.0</v>
      </c>
      <c r="AU263" s="74">
        <v>9.0</v>
      </c>
      <c r="AV263" s="74">
        <v>29.0</v>
      </c>
      <c r="AW263" s="74">
        <v>29.0</v>
      </c>
      <c r="AX263" s="74">
        <v>23.0</v>
      </c>
      <c r="AY263" s="74">
        <v>23.0</v>
      </c>
      <c r="AZ263" s="13">
        <f t="shared" si="56"/>
        <v>1239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Y264" si="57">SUM(E262:E263)</f>
        <v>220</v>
      </c>
      <c r="F264" s="13">
        <f t="shared" si="57"/>
        <v>234</v>
      </c>
      <c r="G264" s="13">
        <f t="shared" si="57"/>
        <v>204</v>
      </c>
      <c r="H264" s="13">
        <f t="shared" si="57"/>
        <v>209</v>
      </c>
      <c r="I264" s="13">
        <f t="shared" si="57"/>
        <v>222</v>
      </c>
      <c r="J264" s="13">
        <f t="shared" si="57"/>
        <v>239</v>
      </c>
      <c r="K264" s="13">
        <f t="shared" si="57"/>
        <v>122</v>
      </c>
      <c r="L264" s="13">
        <f t="shared" si="57"/>
        <v>225</v>
      </c>
      <c r="M264" s="13">
        <f t="shared" si="57"/>
        <v>198</v>
      </c>
      <c r="N264" s="13">
        <f t="shared" si="57"/>
        <v>235</v>
      </c>
      <c r="O264" s="13">
        <f t="shared" si="57"/>
        <v>243</v>
      </c>
      <c r="P264" s="13">
        <f t="shared" si="57"/>
        <v>200</v>
      </c>
      <c r="Q264" s="13">
        <f t="shared" si="57"/>
        <v>236</v>
      </c>
      <c r="R264" s="13">
        <f t="shared" si="57"/>
        <v>207</v>
      </c>
      <c r="S264" s="13">
        <f t="shared" si="57"/>
        <v>219</v>
      </c>
      <c r="T264" s="13">
        <f t="shared" si="57"/>
        <v>222</v>
      </c>
      <c r="U264" s="13">
        <f t="shared" si="57"/>
        <v>197</v>
      </c>
      <c r="V264" s="13">
        <f t="shared" si="57"/>
        <v>195</v>
      </c>
      <c r="W264" s="13">
        <f t="shared" si="57"/>
        <v>217</v>
      </c>
      <c r="X264" s="13">
        <f t="shared" si="57"/>
        <v>233</v>
      </c>
      <c r="Y264" s="13">
        <f t="shared" si="57"/>
        <v>158</v>
      </c>
      <c r="Z264" s="13">
        <f t="shared" si="57"/>
        <v>190</v>
      </c>
      <c r="AA264" s="13">
        <f t="shared" si="57"/>
        <v>156</v>
      </c>
      <c r="AB264" s="13">
        <f t="shared" si="57"/>
        <v>193</v>
      </c>
      <c r="AC264" s="13">
        <f t="shared" si="57"/>
        <v>211</v>
      </c>
      <c r="AD264" s="13">
        <f t="shared" si="57"/>
        <v>194</v>
      </c>
      <c r="AE264" s="13">
        <f t="shared" si="57"/>
        <v>191</v>
      </c>
      <c r="AF264" s="13">
        <f t="shared" si="57"/>
        <v>194</v>
      </c>
      <c r="AG264" s="13">
        <f t="shared" si="57"/>
        <v>174</v>
      </c>
      <c r="AH264" s="13">
        <f t="shared" si="57"/>
        <v>223</v>
      </c>
      <c r="AI264" s="13">
        <f t="shared" si="57"/>
        <v>180</v>
      </c>
      <c r="AJ264" s="13">
        <f t="shared" si="57"/>
        <v>217</v>
      </c>
      <c r="AK264" s="13">
        <f t="shared" si="57"/>
        <v>217</v>
      </c>
      <c r="AL264" s="13">
        <f t="shared" si="57"/>
        <v>217</v>
      </c>
      <c r="AM264" s="13">
        <f t="shared" si="57"/>
        <v>218</v>
      </c>
      <c r="AN264" s="13">
        <f t="shared" si="57"/>
        <v>195</v>
      </c>
      <c r="AO264" s="13">
        <f t="shared" si="57"/>
        <v>188</v>
      </c>
      <c r="AP264" s="13">
        <f t="shared" si="57"/>
        <v>232</v>
      </c>
      <c r="AQ264" s="13">
        <f t="shared" si="57"/>
        <v>228</v>
      </c>
      <c r="AR264" s="13">
        <f t="shared" si="57"/>
        <v>225</v>
      </c>
      <c r="AS264" s="13">
        <f t="shared" si="57"/>
        <v>202</v>
      </c>
      <c r="AT264" s="13">
        <f t="shared" si="57"/>
        <v>226</v>
      </c>
      <c r="AU264" s="13">
        <f t="shared" si="57"/>
        <v>222</v>
      </c>
      <c r="AV264" s="13">
        <f t="shared" si="57"/>
        <v>209</v>
      </c>
      <c r="AW264" s="13">
        <f t="shared" si="57"/>
        <v>200</v>
      </c>
      <c r="AX264" s="13">
        <f t="shared" si="57"/>
        <v>193</v>
      </c>
      <c r="AY264" s="13">
        <f t="shared" si="57"/>
        <v>212</v>
      </c>
      <c r="AZ264" s="13">
        <f t="shared" si="56"/>
        <v>9742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Y12"/>
    <mergeCell ref="AZ12:A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Y34">
    <cfRule type="expression" dxfId="0" priority="1">
      <formula>E34&lt;&gt;E64</formula>
    </cfRule>
  </conditionalFormatting>
  <conditionalFormatting sqref="E14:AY15">
    <cfRule type="containsBlanks" dxfId="1" priority="2">
      <formula>LEN(TRIM(E14))=0</formula>
    </cfRule>
  </conditionalFormatting>
  <conditionalFormatting sqref="E19:AY20">
    <cfRule type="containsBlanks" dxfId="1" priority="3">
      <formula>LEN(TRIM(E19))=0</formula>
    </cfRule>
  </conditionalFormatting>
  <conditionalFormatting sqref="E22:AY23 E25:AY26 E33:AY33 E35:AY35 E39:AY40">
    <cfRule type="containsBlanks" dxfId="1" priority="4">
      <formula>LEN(TRIM(E22))=0</formula>
    </cfRule>
  </conditionalFormatting>
  <conditionalFormatting sqref="E30:AY30">
    <cfRule type="expression" dxfId="0" priority="5">
      <formula>E30&lt;&gt;E47</formula>
    </cfRule>
  </conditionalFormatting>
  <conditionalFormatting sqref="E30:AY30">
    <cfRule type="expression" dxfId="0" priority="6">
      <formula>E30&lt;&gt;E34</formula>
    </cfRule>
  </conditionalFormatting>
  <conditionalFormatting sqref="E34:AY34">
    <cfRule type="expression" dxfId="2" priority="7">
      <formula>E30&lt;&gt;E34</formula>
    </cfRule>
  </conditionalFormatting>
  <conditionalFormatting sqref="E34:AY34">
    <cfRule type="expression" dxfId="3" priority="8">
      <formula>E30=E34</formula>
    </cfRule>
  </conditionalFormatting>
  <conditionalFormatting sqref="E34:AY34">
    <cfRule type="expression" dxfId="0" priority="9">
      <formula>E34&lt;&gt;E30</formula>
    </cfRule>
  </conditionalFormatting>
  <conditionalFormatting sqref="E45:AY54">
    <cfRule type="containsBlanks" dxfId="1" priority="10">
      <formula>LEN(TRIM(E45))=0</formula>
    </cfRule>
  </conditionalFormatting>
  <conditionalFormatting sqref="E57:AY66">
    <cfRule type="containsBlanks" dxfId="1" priority="11">
      <formula>LEN(TRIM(E57))=0</formula>
    </cfRule>
  </conditionalFormatting>
  <conditionalFormatting sqref="E69:AY78">
    <cfRule type="containsBlanks" dxfId="1" priority="12">
      <formula>LEN(TRIM(E69))=0</formula>
    </cfRule>
  </conditionalFormatting>
  <conditionalFormatting sqref="E81:AY90">
    <cfRule type="containsBlanks" dxfId="1" priority="13">
      <formula>LEN(TRIM(E81))=0</formula>
    </cfRule>
  </conditionalFormatting>
  <conditionalFormatting sqref="E93:AY102">
    <cfRule type="containsBlanks" dxfId="1" priority="14">
      <formula>LEN(TRIM(E93))=0</formula>
    </cfRule>
  </conditionalFormatting>
  <conditionalFormatting sqref="E105:AY114">
    <cfRule type="containsBlanks" dxfId="1" priority="15">
      <formula>LEN(TRIM(E105))=0</formula>
    </cfRule>
  </conditionalFormatting>
  <conditionalFormatting sqref="E117:AY126">
    <cfRule type="containsBlanks" dxfId="1" priority="16">
      <formula>LEN(TRIM(E117))=0</formula>
    </cfRule>
  </conditionalFormatting>
  <conditionalFormatting sqref="E129:AY138">
    <cfRule type="containsBlanks" dxfId="1" priority="17">
      <formula>LEN(TRIM(E129))=0</formula>
    </cfRule>
  </conditionalFormatting>
  <conditionalFormatting sqref="E141:AY150">
    <cfRule type="containsBlanks" dxfId="1" priority="18">
      <formula>LEN(TRIM(E141))=0</formula>
    </cfRule>
  </conditionalFormatting>
  <conditionalFormatting sqref="E153:AY162">
    <cfRule type="containsBlanks" dxfId="1" priority="19">
      <formula>LEN(TRIM(E153))=0</formula>
    </cfRule>
  </conditionalFormatting>
  <conditionalFormatting sqref="E165:AY174">
    <cfRule type="containsBlanks" dxfId="1" priority="20">
      <formula>LEN(TRIM(E165))=0</formula>
    </cfRule>
  </conditionalFormatting>
  <conditionalFormatting sqref="E177:AY186">
    <cfRule type="containsBlanks" dxfId="1" priority="21">
      <formula>LEN(TRIM(E177))=0</formula>
    </cfRule>
  </conditionalFormatting>
  <conditionalFormatting sqref="E189:AY198">
    <cfRule type="containsBlanks" dxfId="1" priority="22">
      <formula>LEN(TRIM(E189))=0</formula>
    </cfRule>
  </conditionalFormatting>
  <conditionalFormatting sqref="E201:AY210">
    <cfRule type="containsBlanks" dxfId="1" priority="23">
      <formula>LEN(TRIM(E201))=0</formula>
    </cfRule>
  </conditionalFormatting>
  <conditionalFormatting sqref="AI213:AY222 E217:AH222">
    <cfRule type="containsBlanks" dxfId="1" priority="24">
      <formula>LEN(TRIM(AI213))=0</formula>
    </cfRule>
  </conditionalFormatting>
  <conditionalFormatting sqref="E213:AH216 AI225:AY234 E230:AH234">
    <cfRule type="containsBlanks" dxfId="1" priority="25">
      <formula>LEN(TRIM(E213))=0</formula>
    </cfRule>
  </conditionalFormatting>
  <conditionalFormatting sqref="E225:AH229 AI237:AY246 E242:AH246">
    <cfRule type="containsBlanks" dxfId="1" priority="26">
      <formula>LEN(TRIM(E225))=0</formula>
    </cfRule>
  </conditionalFormatting>
  <conditionalFormatting sqref="E249:AY259 AZ259">
    <cfRule type="containsBlanks" dxfId="1" priority="27">
      <formula>LEN(TRIM(E249))=0</formula>
    </cfRule>
  </conditionalFormatting>
  <conditionalFormatting sqref="E262:A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74">
        <v>105.0</v>
      </c>
      <c r="F14" s="74">
        <v>100.0</v>
      </c>
      <c r="G14" s="74">
        <v>119.0</v>
      </c>
      <c r="H14" s="74">
        <v>147.0</v>
      </c>
      <c r="I14" s="74">
        <v>139.0</v>
      </c>
      <c r="J14" s="74">
        <v>145.0</v>
      </c>
      <c r="K14" s="74">
        <v>140.0</v>
      </c>
      <c r="L14" s="74">
        <v>144.0</v>
      </c>
      <c r="M14" s="74">
        <v>152.0</v>
      </c>
      <c r="N14" s="74">
        <v>145.0</v>
      </c>
      <c r="O14" s="74">
        <v>140.0</v>
      </c>
      <c r="P14" s="74">
        <v>139.0</v>
      </c>
      <c r="Q14" s="74">
        <v>144.0</v>
      </c>
      <c r="R14" s="74">
        <v>119.0</v>
      </c>
      <c r="S14" s="74">
        <v>121.0</v>
      </c>
      <c r="T14" s="74">
        <v>142.0</v>
      </c>
      <c r="U14" s="74">
        <v>98.0</v>
      </c>
      <c r="V14" s="74">
        <v>103.0</v>
      </c>
      <c r="W14" s="74">
        <v>107.0</v>
      </c>
      <c r="X14" s="13">
        <f t="shared" ref="X14:X16" si="1">SUM(E14:W14)</f>
        <v>2449</v>
      </c>
    </row>
    <row r="15" ht="12.75" customHeight="1">
      <c r="A15" s="18"/>
      <c r="B15" s="26"/>
      <c r="C15" s="27"/>
      <c r="D15" s="19" t="s">
        <v>13</v>
      </c>
      <c r="E15" s="74">
        <v>98.0</v>
      </c>
      <c r="F15" s="74">
        <v>99.0</v>
      </c>
      <c r="G15" s="74">
        <v>114.0</v>
      </c>
      <c r="H15" s="74">
        <v>147.0</v>
      </c>
      <c r="I15" s="74">
        <v>133.0</v>
      </c>
      <c r="J15" s="74">
        <v>147.0</v>
      </c>
      <c r="K15" s="74">
        <v>147.0</v>
      </c>
      <c r="L15" s="74">
        <v>148.0</v>
      </c>
      <c r="M15" s="74">
        <v>141.0</v>
      </c>
      <c r="N15" s="74">
        <v>144.0</v>
      </c>
      <c r="O15" s="74">
        <v>146.0</v>
      </c>
      <c r="P15" s="74">
        <v>140.0</v>
      </c>
      <c r="Q15" s="74">
        <v>150.0</v>
      </c>
      <c r="R15" s="74">
        <v>132.0</v>
      </c>
      <c r="S15" s="74">
        <v>127.0</v>
      </c>
      <c r="T15" s="74">
        <v>140.0</v>
      </c>
      <c r="U15" s="74">
        <v>89.0</v>
      </c>
      <c r="V15" s="74">
        <v>107.0</v>
      </c>
      <c r="W15" s="74">
        <v>107.0</v>
      </c>
      <c r="X15" s="13">
        <f t="shared" si="1"/>
        <v>2456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203</v>
      </c>
      <c r="F16" s="13">
        <f t="shared" si="2"/>
        <v>199</v>
      </c>
      <c r="G16" s="13">
        <f t="shared" si="2"/>
        <v>233</v>
      </c>
      <c r="H16" s="13">
        <f t="shared" si="2"/>
        <v>294</v>
      </c>
      <c r="I16" s="13">
        <f t="shared" si="2"/>
        <v>272</v>
      </c>
      <c r="J16" s="13">
        <f t="shared" si="2"/>
        <v>292</v>
      </c>
      <c r="K16" s="13">
        <f t="shared" si="2"/>
        <v>287</v>
      </c>
      <c r="L16" s="13">
        <f t="shared" si="2"/>
        <v>292</v>
      </c>
      <c r="M16" s="13">
        <f t="shared" si="2"/>
        <v>293</v>
      </c>
      <c r="N16" s="13">
        <f t="shared" si="2"/>
        <v>289</v>
      </c>
      <c r="O16" s="13">
        <f t="shared" si="2"/>
        <v>286</v>
      </c>
      <c r="P16" s="13">
        <f t="shared" si="2"/>
        <v>279</v>
      </c>
      <c r="Q16" s="13">
        <f t="shared" si="2"/>
        <v>294</v>
      </c>
      <c r="R16" s="13">
        <f t="shared" si="2"/>
        <v>251</v>
      </c>
      <c r="S16" s="13">
        <f t="shared" si="2"/>
        <v>248</v>
      </c>
      <c r="T16" s="13">
        <f t="shared" si="2"/>
        <v>282</v>
      </c>
      <c r="U16" s="13">
        <f t="shared" si="2"/>
        <v>187</v>
      </c>
      <c r="V16" s="13">
        <f t="shared" si="2"/>
        <v>210</v>
      </c>
      <c r="W16" s="13">
        <f t="shared" si="2"/>
        <v>214</v>
      </c>
      <c r="X16" s="13">
        <f t="shared" si="1"/>
        <v>4905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89.0</v>
      </c>
      <c r="F19" s="74">
        <v>74.0</v>
      </c>
      <c r="G19" s="74">
        <v>100.0</v>
      </c>
      <c r="H19" s="74">
        <v>110.0</v>
      </c>
      <c r="I19" s="74">
        <v>112.0</v>
      </c>
      <c r="J19" s="74">
        <v>105.0</v>
      </c>
      <c r="K19" s="74">
        <v>119.0</v>
      </c>
      <c r="L19" s="74">
        <v>102.0</v>
      </c>
      <c r="M19" s="74">
        <v>115.0</v>
      </c>
      <c r="N19" s="74">
        <v>108.0</v>
      </c>
      <c r="O19" s="74">
        <v>105.0</v>
      </c>
      <c r="P19" s="74">
        <v>95.0</v>
      </c>
      <c r="Q19" s="74">
        <v>117.0</v>
      </c>
      <c r="R19" s="74">
        <v>92.0</v>
      </c>
      <c r="S19" s="74">
        <v>90.0</v>
      </c>
      <c r="T19" s="74">
        <v>88.0</v>
      </c>
      <c r="U19" s="74">
        <v>72.0</v>
      </c>
      <c r="V19" s="74">
        <v>81.0</v>
      </c>
      <c r="W19" s="74">
        <v>80.0</v>
      </c>
      <c r="X19" s="13">
        <f t="shared" ref="X19:X30" si="3">SUM(E19:W19)</f>
        <v>1854</v>
      </c>
    </row>
    <row r="20" ht="12.75" customHeight="1">
      <c r="A20" s="33"/>
      <c r="B20" s="27"/>
      <c r="C20" s="34"/>
      <c r="D20" s="19" t="s">
        <v>13</v>
      </c>
      <c r="E20" s="74">
        <v>75.0</v>
      </c>
      <c r="F20" s="74">
        <v>76.0</v>
      </c>
      <c r="G20" s="74">
        <v>101.0</v>
      </c>
      <c r="H20" s="74">
        <v>117.0</v>
      </c>
      <c r="I20" s="74">
        <v>102.0</v>
      </c>
      <c r="J20" s="74">
        <v>105.0</v>
      </c>
      <c r="K20" s="74">
        <v>115.0</v>
      </c>
      <c r="L20" s="74">
        <v>115.0</v>
      </c>
      <c r="M20" s="74">
        <v>104.0</v>
      </c>
      <c r="N20" s="74">
        <v>112.0</v>
      </c>
      <c r="O20" s="74">
        <v>121.0</v>
      </c>
      <c r="P20" s="74">
        <v>106.0</v>
      </c>
      <c r="Q20" s="74">
        <v>122.0</v>
      </c>
      <c r="R20" s="74">
        <v>99.0</v>
      </c>
      <c r="S20" s="74">
        <v>99.0</v>
      </c>
      <c r="T20" s="74">
        <v>104.0</v>
      </c>
      <c r="U20" s="74">
        <v>73.0</v>
      </c>
      <c r="V20" s="74">
        <v>87.0</v>
      </c>
      <c r="W20" s="74">
        <v>72.0</v>
      </c>
      <c r="X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164</v>
      </c>
      <c r="F21" s="13">
        <f t="shared" si="4"/>
        <v>150</v>
      </c>
      <c r="G21" s="13">
        <f t="shared" si="4"/>
        <v>201</v>
      </c>
      <c r="H21" s="13">
        <f t="shared" si="4"/>
        <v>227</v>
      </c>
      <c r="I21" s="13">
        <f t="shared" si="4"/>
        <v>214</v>
      </c>
      <c r="J21" s="13">
        <f t="shared" si="4"/>
        <v>210</v>
      </c>
      <c r="K21" s="13">
        <f t="shared" si="4"/>
        <v>234</v>
      </c>
      <c r="L21" s="13">
        <f t="shared" si="4"/>
        <v>217</v>
      </c>
      <c r="M21" s="13">
        <f t="shared" si="4"/>
        <v>219</v>
      </c>
      <c r="N21" s="13">
        <f t="shared" si="4"/>
        <v>220</v>
      </c>
      <c r="O21" s="13">
        <f t="shared" si="4"/>
        <v>226</v>
      </c>
      <c r="P21" s="13">
        <f t="shared" si="4"/>
        <v>201</v>
      </c>
      <c r="Q21" s="13">
        <f t="shared" si="4"/>
        <v>239</v>
      </c>
      <c r="R21" s="13">
        <f t="shared" si="4"/>
        <v>191</v>
      </c>
      <c r="S21" s="13">
        <f t="shared" si="4"/>
        <v>189</v>
      </c>
      <c r="T21" s="13">
        <f t="shared" si="4"/>
        <v>192</v>
      </c>
      <c r="U21" s="13">
        <f t="shared" si="4"/>
        <v>145</v>
      </c>
      <c r="V21" s="13">
        <f t="shared" si="4"/>
        <v>168</v>
      </c>
      <c r="W21" s="13">
        <f t="shared" si="4"/>
        <v>152</v>
      </c>
      <c r="X21" s="13">
        <f t="shared" si="3"/>
        <v>3759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3.0</v>
      </c>
      <c r="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2.0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4.0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7</v>
      </c>
      <c r="X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1.0</v>
      </c>
      <c r="G25" s="74">
        <v>0.0</v>
      </c>
      <c r="H25" s="74">
        <v>12.0</v>
      </c>
      <c r="I25" s="74">
        <v>0.0</v>
      </c>
      <c r="J25" s="74">
        <v>1.0</v>
      </c>
      <c r="K25" s="74">
        <v>1.0</v>
      </c>
      <c r="L25" s="74">
        <v>4.0</v>
      </c>
      <c r="M25" s="74">
        <v>3.0</v>
      </c>
      <c r="N25" s="74">
        <v>0.0</v>
      </c>
      <c r="O25" s="74">
        <v>2.0</v>
      </c>
      <c r="P25" s="74">
        <v>1.0</v>
      </c>
      <c r="Q25" s="74">
        <v>1.0</v>
      </c>
      <c r="R25" s="74">
        <v>5.0</v>
      </c>
      <c r="S25" s="74">
        <v>0.0</v>
      </c>
      <c r="T25" s="74">
        <v>0.0</v>
      </c>
      <c r="U25" s="74">
        <v>2.0</v>
      </c>
      <c r="V25" s="74">
        <v>3.0</v>
      </c>
      <c r="W25" s="74">
        <v>0.0</v>
      </c>
      <c r="X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1.0</v>
      </c>
      <c r="G26" s="74">
        <v>0.0</v>
      </c>
      <c r="H26" s="74">
        <v>4.0</v>
      </c>
      <c r="I26" s="74">
        <v>5.0</v>
      </c>
      <c r="J26" s="74">
        <v>0.0</v>
      </c>
      <c r="K26" s="74">
        <v>3.0</v>
      </c>
      <c r="L26" s="74">
        <v>2.0</v>
      </c>
      <c r="M26" s="74">
        <v>2.0</v>
      </c>
      <c r="N26" s="74">
        <v>2.0</v>
      </c>
      <c r="O26" s="74">
        <v>0.0</v>
      </c>
      <c r="P26" s="74">
        <v>4.0</v>
      </c>
      <c r="Q26" s="74">
        <v>2.0</v>
      </c>
      <c r="R26" s="74">
        <v>4.0</v>
      </c>
      <c r="S26" s="74">
        <v>1.0</v>
      </c>
      <c r="T26" s="74">
        <v>0.0</v>
      </c>
      <c r="U26" s="74">
        <v>3.0</v>
      </c>
      <c r="V26" s="74">
        <v>5.0</v>
      </c>
      <c r="W26" s="74">
        <v>0.0</v>
      </c>
      <c r="X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16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6</v>
      </c>
      <c r="M27" s="13">
        <f t="shared" si="6"/>
        <v>5</v>
      </c>
      <c r="N27" s="13">
        <f t="shared" si="6"/>
        <v>2</v>
      </c>
      <c r="O27" s="13">
        <f t="shared" si="6"/>
        <v>2</v>
      </c>
      <c r="P27" s="13">
        <f t="shared" si="6"/>
        <v>5</v>
      </c>
      <c r="Q27" s="13">
        <f t="shared" si="6"/>
        <v>3</v>
      </c>
      <c r="R27" s="13">
        <f t="shared" si="6"/>
        <v>9</v>
      </c>
      <c r="S27" s="13">
        <f t="shared" si="6"/>
        <v>1</v>
      </c>
      <c r="T27" s="13">
        <f t="shared" si="6"/>
        <v>0</v>
      </c>
      <c r="U27" s="13">
        <f t="shared" si="6"/>
        <v>5</v>
      </c>
      <c r="V27" s="13">
        <f t="shared" si="6"/>
        <v>8</v>
      </c>
      <c r="W27" s="13">
        <f t="shared" si="6"/>
        <v>0</v>
      </c>
      <c r="X27" s="13">
        <f t="shared" si="3"/>
        <v>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90</v>
      </c>
      <c r="F28" s="13">
        <f t="shared" si="7"/>
        <v>75</v>
      </c>
      <c r="G28" s="13">
        <f t="shared" si="7"/>
        <v>100</v>
      </c>
      <c r="H28" s="13">
        <f t="shared" si="7"/>
        <v>122</v>
      </c>
      <c r="I28" s="13">
        <f t="shared" si="7"/>
        <v>112</v>
      </c>
      <c r="J28" s="13">
        <f t="shared" si="7"/>
        <v>106</v>
      </c>
      <c r="K28" s="13">
        <f t="shared" si="7"/>
        <v>120</v>
      </c>
      <c r="L28" s="13">
        <f t="shared" si="7"/>
        <v>106</v>
      </c>
      <c r="M28" s="13">
        <f t="shared" si="7"/>
        <v>118</v>
      </c>
      <c r="N28" s="78">
        <v>108.0</v>
      </c>
      <c r="O28" s="13">
        <f t="shared" ref="O28:W28" si="8">SUM(O19,O22,O25)</f>
        <v>107</v>
      </c>
      <c r="P28" s="13">
        <f t="shared" si="8"/>
        <v>96</v>
      </c>
      <c r="Q28" s="13">
        <f t="shared" si="8"/>
        <v>118</v>
      </c>
      <c r="R28" s="13">
        <f t="shared" si="8"/>
        <v>97</v>
      </c>
      <c r="S28" s="13">
        <f t="shared" si="8"/>
        <v>90</v>
      </c>
      <c r="T28" s="13">
        <f t="shared" si="8"/>
        <v>88</v>
      </c>
      <c r="U28" s="13">
        <f t="shared" si="8"/>
        <v>74</v>
      </c>
      <c r="V28" s="13">
        <f t="shared" si="8"/>
        <v>84</v>
      </c>
      <c r="W28" s="13">
        <f t="shared" si="8"/>
        <v>83</v>
      </c>
      <c r="X28" s="13">
        <f t="shared" si="3"/>
        <v>1894</v>
      </c>
    </row>
    <row r="29" ht="12.75" customHeight="1">
      <c r="A29" s="35"/>
      <c r="B29" s="27"/>
      <c r="C29" s="34"/>
      <c r="D29" s="13" t="s">
        <v>13</v>
      </c>
      <c r="E29" s="13">
        <f t="shared" ref="E29:W29" si="9">SUM(E20,E23,E26)</f>
        <v>76</v>
      </c>
      <c r="F29" s="13">
        <f t="shared" si="9"/>
        <v>77</v>
      </c>
      <c r="G29" s="13">
        <f t="shared" si="9"/>
        <v>101</v>
      </c>
      <c r="H29" s="13">
        <f t="shared" si="9"/>
        <v>121</v>
      </c>
      <c r="I29" s="13">
        <f t="shared" si="9"/>
        <v>107</v>
      </c>
      <c r="J29" s="13">
        <f t="shared" si="9"/>
        <v>105</v>
      </c>
      <c r="K29" s="13">
        <f t="shared" si="9"/>
        <v>118</v>
      </c>
      <c r="L29" s="13">
        <f t="shared" si="9"/>
        <v>117</v>
      </c>
      <c r="M29" s="13">
        <f t="shared" si="9"/>
        <v>106</v>
      </c>
      <c r="N29" s="13">
        <f t="shared" si="9"/>
        <v>114</v>
      </c>
      <c r="O29" s="13">
        <f t="shared" si="9"/>
        <v>121</v>
      </c>
      <c r="P29" s="13">
        <f t="shared" si="9"/>
        <v>112</v>
      </c>
      <c r="Q29" s="13">
        <f t="shared" si="9"/>
        <v>124</v>
      </c>
      <c r="R29" s="13">
        <f t="shared" si="9"/>
        <v>103</v>
      </c>
      <c r="S29" s="13">
        <f t="shared" si="9"/>
        <v>100</v>
      </c>
      <c r="T29" s="13">
        <f t="shared" si="9"/>
        <v>104</v>
      </c>
      <c r="U29" s="13">
        <f t="shared" si="9"/>
        <v>76</v>
      </c>
      <c r="V29" s="13">
        <f t="shared" si="9"/>
        <v>92</v>
      </c>
      <c r="W29" s="13">
        <f t="shared" si="9"/>
        <v>76</v>
      </c>
      <c r="X29" s="13">
        <f t="shared" si="3"/>
        <v>1950</v>
      </c>
    </row>
    <row r="30" ht="12.75" customHeight="1">
      <c r="A30" s="35"/>
      <c r="B30" s="28"/>
      <c r="C30" s="36"/>
      <c r="D30" s="13" t="s">
        <v>14</v>
      </c>
      <c r="E30" s="13">
        <f t="shared" ref="E30:W30" si="10">SUM(E28:E29)</f>
        <v>166</v>
      </c>
      <c r="F30" s="13">
        <f t="shared" si="10"/>
        <v>152</v>
      </c>
      <c r="G30" s="13">
        <f t="shared" si="10"/>
        <v>201</v>
      </c>
      <c r="H30" s="13">
        <f t="shared" si="10"/>
        <v>243</v>
      </c>
      <c r="I30" s="13">
        <f t="shared" si="10"/>
        <v>219</v>
      </c>
      <c r="J30" s="13">
        <f t="shared" si="10"/>
        <v>211</v>
      </c>
      <c r="K30" s="13">
        <f t="shared" si="10"/>
        <v>238</v>
      </c>
      <c r="L30" s="13">
        <f t="shared" si="10"/>
        <v>223</v>
      </c>
      <c r="M30" s="13">
        <f t="shared" si="10"/>
        <v>224</v>
      </c>
      <c r="N30" s="13">
        <f t="shared" si="10"/>
        <v>222</v>
      </c>
      <c r="O30" s="13">
        <f t="shared" si="10"/>
        <v>228</v>
      </c>
      <c r="P30" s="13">
        <f t="shared" si="10"/>
        <v>208</v>
      </c>
      <c r="Q30" s="13">
        <f t="shared" si="10"/>
        <v>242</v>
      </c>
      <c r="R30" s="13">
        <f t="shared" si="10"/>
        <v>200</v>
      </c>
      <c r="S30" s="13">
        <f t="shared" si="10"/>
        <v>190</v>
      </c>
      <c r="T30" s="13">
        <f t="shared" si="10"/>
        <v>192</v>
      </c>
      <c r="U30" s="13">
        <f t="shared" si="10"/>
        <v>150</v>
      </c>
      <c r="V30" s="13">
        <f t="shared" si="10"/>
        <v>176</v>
      </c>
      <c r="W30" s="13">
        <f t="shared" si="10"/>
        <v>159</v>
      </c>
      <c r="X30" s="13">
        <f t="shared" si="3"/>
        <v>3844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6"/>
    </row>
    <row r="33" ht="12.75" customHeight="1">
      <c r="A33" s="19">
        <v>1.0</v>
      </c>
      <c r="B33" s="20" t="s">
        <v>27</v>
      </c>
      <c r="C33" s="15"/>
      <c r="D33" s="16"/>
      <c r="E33" s="74">
        <v>208.0</v>
      </c>
      <c r="F33" s="74">
        <v>203.0</v>
      </c>
      <c r="G33" s="74">
        <v>240.0</v>
      </c>
      <c r="H33" s="74">
        <v>301.0</v>
      </c>
      <c r="I33" s="74">
        <v>278.0</v>
      </c>
      <c r="J33" s="74">
        <v>296.0</v>
      </c>
      <c r="K33" s="74">
        <v>293.0</v>
      </c>
      <c r="L33" s="74">
        <v>299.0</v>
      </c>
      <c r="M33" s="74">
        <v>299.0</v>
      </c>
      <c r="N33" s="74">
        <v>295.0</v>
      </c>
      <c r="O33" s="74">
        <v>292.0</v>
      </c>
      <c r="P33" s="74">
        <v>285.0</v>
      </c>
      <c r="Q33" s="74">
        <v>300.0</v>
      </c>
      <c r="R33" s="74">
        <v>257.0</v>
      </c>
      <c r="S33" s="74">
        <v>253.0</v>
      </c>
      <c r="T33" s="74">
        <v>288.0</v>
      </c>
      <c r="U33" s="74">
        <v>191.0</v>
      </c>
      <c r="V33" s="74">
        <v>215.0</v>
      </c>
      <c r="W33" s="74">
        <v>219.0</v>
      </c>
      <c r="X33" s="13">
        <f t="shared" ref="X33:X36" si="11">SUM(E33:W33)</f>
        <v>5012</v>
      </c>
    </row>
    <row r="34" ht="12.75" customHeight="1">
      <c r="A34" s="19">
        <v>2.0</v>
      </c>
      <c r="B34" s="20" t="s">
        <v>28</v>
      </c>
      <c r="C34" s="15"/>
      <c r="D34" s="16"/>
      <c r="E34" s="78">
        <v>166.0</v>
      </c>
      <c r="F34" s="78">
        <v>152.0</v>
      </c>
      <c r="G34" s="78">
        <v>201.0</v>
      </c>
      <c r="H34" s="78">
        <v>243.0</v>
      </c>
      <c r="I34" s="78">
        <v>219.0</v>
      </c>
      <c r="J34" s="78">
        <v>211.0</v>
      </c>
      <c r="K34" s="78">
        <v>238.0</v>
      </c>
      <c r="L34" s="78">
        <v>223.0</v>
      </c>
      <c r="M34" s="78">
        <v>224.0</v>
      </c>
      <c r="N34" s="78">
        <v>222.0</v>
      </c>
      <c r="O34" s="78">
        <v>228.0</v>
      </c>
      <c r="P34" s="78">
        <v>208.0</v>
      </c>
      <c r="Q34" s="78">
        <v>242.0</v>
      </c>
      <c r="R34" s="78">
        <v>200.0</v>
      </c>
      <c r="S34" s="78">
        <v>190.0</v>
      </c>
      <c r="T34" s="78">
        <v>192.0</v>
      </c>
      <c r="U34" s="78">
        <v>150.0</v>
      </c>
      <c r="V34" s="78">
        <v>176.0</v>
      </c>
      <c r="W34" s="78">
        <v>159.0</v>
      </c>
      <c r="X34" s="13">
        <f t="shared" si="11"/>
        <v>3844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2.0</v>
      </c>
      <c r="I35" s="74">
        <v>0.0</v>
      </c>
      <c r="J35" s="74">
        <v>0.0</v>
      </c>
      <c r="K35" s="74">
        <v>1.0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13">
        <f t="shared" si="1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2">E33-(E34+E35)</f>
        <v>42</v>
      </c>
      <c r="F36" s="13">
        <f t="shared" si="12"/>
        <v>51</v>
      </c>
      <c r="G36" s="13">
        <f t="shared" si="12"/>
        <v>39</v>
      </c>
      <c r="H36" s="13">
        <f t="shared" si="12"/>
        <v>56</v>
      </c>
      <c r="I36" s="13">
        <f t="shared" si="12"/>
        <v>59</v>
      </c>
      <c r="J36" s="13">
        <f t="shared" si="12"/>
        <v>85</v>
      </c>
      <c r="K36" s="13">
        <f t="shared" si="12"/>
        <v>54</v>
      </c>
      <c r="L36" s="13">
        <f t="shared" si="12"/>
        <v>76</v>
      </c>
      <c r="M36" s="13">
        <f t="shared" si="12"/>
        <v>75</v>
      </c>
      <c r="N36" s="13">
        <f t="shared" si="12"/>
        <v>73</v>
      </c>
      <c r="O36" s="13">
        <f t="shared" si="12"/>
        <v>64</v>
      </c>
      <c r="P36" s="13">
        <f t="shared" si="12"/>
        <v>77</v>
      </c>
      <c r="Q36" s="13">
        <f t="shared" si="12"/>
        <v>58</v>
      </c>
      <c r="R36" s="13">
        <f t="shared" si="12"/>
        <v>57</v>
      </c>
      <c r="S36" s="13">
        <f t="shared" si="12"/>
        <v>63</v>
      </c>
      <c r="T36" s="13">
        <f t="shared" si="12"/>
        <v>96</v>
      </c>
      <c r="U36" s="13">
        <f t="shared" si="12"/>
        <v>41</v>
      </c>
      <c r="V36" s="13">
        <f t="shared" si="12"/>
        <v>39</v>
      </c>
      <c r="W36" s="13">
        <f t="shared" si="12"/>
        <v>60</v>
      </c>
      <c r="X36" s="13">
        <f t="shared" si="11"/>
        <v>1165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2.0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13">
        <f t="shared" ref="X39:X41" si="13">SUM(E39:W39)</f>
        <v>2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1.0</v>
      </c>
      <c r="J40" s="74">
        <v>0.0</v>
      </c>
      <c r="K40" s="74">
        <v>0.0</v>
      </c>
      <c r="L40" s="74">
        <v>0.0</v>
      </c>
      <c r="M40" s="74">
        <v>0.0</v>
      </c>
      <c r="N40" s="74">
        <v>1.0</v>
      </c>
      <c r="O40" s="74">
        <v>0.0</v>
      </c>
      <c r="P40" s="74">
        <v>0.0</v>
      </c>
      <c r="Q40" s="74">
        <v>0.0</v>
      </c>
      <c r="R40" s="74">
        <v>1.0</v>
      </c>
      <c r="S40" s="74">
        <v>1.0</v>
      </c>
      <c r="T40" s="74">
        <v>0.0</v>
      </c>
      <c r="U40" s="74">
        <v>0.0</v>
      </c>
      <c r="V40" s="74">
        <v>0.0</v>
      </c>
      <c r="W40" s="74">
        <v>0.0</v>
      </c>
      <c r="X40" s="13">
        <f t="shared" si="13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2</v>
      </c>
      <c r="I41" s="13">
        <f t="shared" si="14"/>
        <v>1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1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1</v>
      </c>
      <c r="S41" s="13">
        <f t="shared" si="14"/>
        <v>1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3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11.0</v>
      </c>
      <c r="F45" s="74">
        <v>6.0</v>
      </c>
      <c r="G45" s="74">
        <v>10.0</v>
      </c>
      <c r="H45" s="74">
        <v>10.0</v>
      </c>
      <c r="I45" s="74">
        <v>5.0</v>
      </c>
      <c r="J45" s="74">
        <v>4.0</v>
      </c>
      <c r="K45" s="74">
        <v>5.0</v>
      </c>
      <c r="L45" s="74">
        <v>6.0</v>
      </c>
      <c r="M45" s="74">
        <v>11.0</v>
      </c>
      <c r="N45" s="74">
        <v>6.0</v>
      </c>
      <c r="O45" s="74">
        <v>4.0</v>
      </c>
      <c r="P45" s="74">
        <v>4.0</v>
      </c>
      <c r="Q45" s="74">
        <v>13.0</v>
      </c>
      <c r="R45" s="74">
        <v>6.0</v>
      </c>
      <c r="S45" s="74">
        <v>4.0</v>
      </c>
      <c r="T45" s="74">
        <v>4.0</v>
      </c>
      <c r="U45" s="74">
        <v>9.0</v>
      </c>
      <c r="V45" s="74">
        <v>3.0</v>
      </c>
      <c r="W45" s="74">
        <v>4.0</v>
      </c>
      <c r="X45" s="13">
        <f t="shared" ref="X45:X54" si="15">SUM(E45:W45)</f>
        <v>125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17.0</v>
      </c>
      <c r="F46" s="74">
        <v>9.0</v>
      </c>
      <c r="G46" s="74">
        <v>15.0</v>
      </c>
      <c r="H46" s="74">
        <v>34.0</v>
      </c>
      <c r="I46" s="74">
        <v>21.0</v>
      </c>
      <c r="J46" s="74">
        <v>26.0</v>
      </c>
      <c r="K46" s="74">
        <v>54.0</v>
      </c>
      <c r="L46" s="74">
        <v>43.0</v>
      </c>
      <c r="M46" s="74">
        <v>39.0</v>
      </c>
      <c r="N46" s="74">
        <v>27.0</v>
      </c>
      <c r="O46" s="74">
        <v>56.0</v>
      </c>
      <c r="P46" s="74">
        <v>36.0</v>
      </c>
      <c r="Q46" s="74">
        <v>13.0</v>
      </c>
      <c r="R46" s="74">
        <v>19.0</v>
      </c>
      <c r="S46" s="74">
        <v>26.0</v>
      </c>
      <c r="T46" s="74">
        <v>15.0</v>
      </c>
      <c r="U46" s="74">
        <v>9.0</v>
      </c>
      <c r="V46" s="74">
        <v>13.0</v>
      </c>
      <c r="W46" s="74">
        <v>14.0</v>
      </c>
      <c r="X46" s="13">
        <f t="shared" si="15"/>
        <v>486</v>
      </c>
    </row>
    <row r="47" ht="12.75" customHeight="1">
      <c r="A47" s="18"/>
      <c r="B47" s="55"/>
      <c r="C47" s="50" t="s">
        <v>41</v>
      </c>
      <c r="D47" s="50"/>
      <c r="E47" s="74">
        <v>9.0</v>
      </c>
      <c r="F47" s="74">
        <v>3.0</v>
      </c>
      <c r="G47" s="74">
        <v>7.0</v>
      </c>
      <c r="H47" s="74">
        <v>0.0</v>
      </c>
      <c r="I47" s="74">
        <v>0.0</v>
      </c>
      <c r="J47" s="74">
        <v>2.0</v>
      </c>
      <c r="K47" s="74">
        <v>3.0</v>
      </c>
      <c r="L47" s="74">
        <v>1.0</v>
      </c>
      <c r="M47" s="74">
        <v>1.0</v>
      </c>
      <c r="N47" s="74">
        <v>4.0</v>
      </c>
      <c r="O47" s="74">
        <v>1.0</v>
      </c>
      <c r="P47" s="74">
        <v>4.0</v>
      </c>
      <c r="Q47" s="74">
        <v>0.0</v>
      </c>
      <c r="R47" s="74">
        <v>2.0</v>
      </c>
      <c r="S47" s="74">
        <v>2.0</v>
      </c>
      <c r="T47" s="74">
        <v>3.0</v>
      </c>
      <c r="U47" s="74">
        <v>2.0</v>
      </c>
      <c r="V47" s="74">
        <v>2.0</v>
      </c>
      <c r="W47" s="74">
        <v>3.0</v>
      </c>
      <c r="X47" s="13">
        <f t="shared" si="15"/>
        <v>49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2.0</v>
      </c>
      <c r="G48" s="74">
        <v>0.0</v>
      </c>
      <c r="H48" s="74">
        <v>1.0</v>
      </c>
      <c r="I48" s="74">
        <v>0.0</v>
      </c>
      <c r="J48" s="74">
        <v>1.0</v>
      </c>
      <c r="K48" s="74">
        <v>1.0</v>
      </c>
      <c r="L48" s="74">
        <v>0.0</v>
      </c>
      <c r="M48" s="74">
        <v>0.0</v>
      </c>
      <c r="N48" s="74">
        <v>1.0</v>
      </c>
      <c r="O48" s="74">
        <v>1.0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3.0</v>
      </c>
      <c r="W48" s="74">
        <v>0.0</v>
      </c>
      <c r="X48" s="13">
        <f t="shared" si="15"/>
        <v>10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4.0</v>
      </c>
      <c r="G49" s="74">
        <v>1.0</v>
      </c>
      <c r="H49" s="74">
        <v>3.0</v>
      </c>
      <c r="I49" s="74">
        <v>0.0</v>
      </c>
      <c r="J49" s="74">
        <v>0.0</v>
      </c>
      <c r="K49" s="74">
        <v>1.0</v>
      </c>
      <c r="L49" s="74">
        <v>1.0</v>
      </c>
      <c r="M49" s="74">
        <v>2.0</v>
      </c>
      <c r="N49" s="74">
        <v>5.0</v>
      </c>
      <c r="O49" s="74">
        <v>2.0</v>
      </c>
      <c r="P49" s="74">
        <v>3.0</v>
      </c>
      <c r="Q49" s="74">
        <v>2.0</v>
      </c>
      <c r="R49" s="74">
        <v>0.0</v>
      </c>
      <c r="S49" s="74">
        <v>0.0</v>
      </c>
      <c r="T49" s="74">
        <v>2.0</v>
      </c>
      <c r="U49" s="74">
        <v>2.0</v>
      </c>
      <c r="V49" s="74">
        <v>2.0</v>
      </c>
      <c r="W49" s="74">
        <v>0.0</v>
      </c>
      <c r="X49" s="13">
        <f t="shared" si="15"/>
        <v>31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1.0</v>
      </c>
      <c r="H50" s="74">
        <v>1.0</v>
      </c>
      <c r="I50" s="74">
        <v>0.0</v>
      </c>
      <c r="J50" s="74">
        <v>1.0</v>
      </c>
      <c r="K50" s="74">
        <v>2.0</v>
      </c>
      <c r="L50" s="74">
        <v>0.0</v>
      </c>
      <c r="M50" s="74">
        <v>2.0</v>
      </c>
      <c r="N50" s="74">
        <v>1.0</v>
      </c>
      <c r="O50" s="74">
        <v>2.0</v>
      </c>
      <c r="P50" s="74">
        <v>0.0</v>
      </c>
      <c r="Q50" s="74">
        <v>1.0</v>
      </c>
      <c r="R50" s="74">
        <v>2.0</v>
      </c>
      <c r="S50" s="74">
        <v>0.0</v>
      </c>
      <c r="T50" s="74">
        <v>2.0</v>
      </c>
      <c r="U50" s="74">
        <v>0.0</v>
      </c>
      <c r="V50" s="74">
        <v>1.0</v>
      </c>
      <c r="W50" s="74">
        <v>0.0</v>
      </c>
      <c r="X50" s="13">
        <f t="shared" si="15"/>
        <v>16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1.0</v>
      </c>
      <c r="H51" s="74">
        <v>1.0</v>
      </c>
      <c r="I51" s="74">
        <v>1.0</v>
      </c>
      <c r="J51" s="74">
        <v>0.0</v>
      </c>
      <c r="K51" s="74">
        <v>0.0</v>
      </c>
      <c r="L51" s="74">
        <v>1.0</v>
      </c>
      <c r="M51" s="74">
        <v>1.0</v>
      </c>
      <c r="N51" s="74">
        <v>0.0</v>
      </c>
      <c r="O51" s="74">
        <v>0.0</v>
      </c>
      <c r="P51" s="74">
        <v>1.0</v>
      </c>
      <c r="Q51" s="74">
        <v>0.0</v>
      </c>
      <c r="R51" s="74">
        <v>0.0</v>
      </c>
      <c r="S51" s="74">
        <v>0.0</v>
      </c>
      <c r="T51" s="74">
        <v>0.0</v>
      </c>
      <c r="U51" s="74">
        <v>0.0</v>
      </c>
      <c r="V51" s="74">
        <v>0.0</v>
      </c>
      <c r="W51" s="74">
        <v>0.0</v>
      </c>
      <c r="X51" s="13">
        <f t="shared" si="15"/>
        <v>6</v>
      </c>
    </row>
    <row r="52" ht="12.75" customHeight="1">
      <c r="A52" s="18"/>
      <c r="B52" s="55"/>
      <c r="C52" s="50" t="s">
        <v>46</v>
      </c>
      <c r="D52" s="50"/>
      <c r="E52" s="74">
        <v>2.0</v>
      </c>
      <c r="F52" s="74">
        <v>1.0</v>
      </c>
      <c r="G52" s="74">
        <v>0.0</v>
      </c>
      <c r="H52" s="74">
        <v>2.0</v>
      </c>
      <c r="I52" s="74">
        <v>1.0</v>
      </c>
      <c r="J52" s="74">
        <v>1.0</v>
      </c>
      <c r="K52" s="74">
        <v>2.0</v>
      </c>
      <c r="L52" s="74">
        <v>0.0</v>
      </c>
      <c r="M52" s="74">
        <v>3.0</v>
      </c>
      <c r="N52" s="74">
        <v>0.0</v>
      </c>
      <c r="O52" s="74">
        <v>2.0</v>
      </c>
      <c r="P52" s="74">
        <v>0.0</v>
      </c>
      <c r="Q52" s="74">
        <v>3.0</v>
      </c>
      <c r="R52" s="74">
        <v>1.0</v>
      </c>
      <c r="S52" s="74">
        <v>0.0</v>
      </c>
      <c r="T52" s="74">
        <v>0.0</v>
      </c>
      <c r="U52" s="74">
        <v>0.0</v>
      </c>
      <c r="V52" s="74">
        <v>4.0</v>
      </c>
      <c r="W52" s="74">
        <v>2.0</v>
      </c>
      <c r="X52" s="13">
        <f t="shared" si="15"/>
        <v>24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2.0</v>
      </c>
      <c r="G53" s="74">
        <v>0.0</v>
      </c>
      <c r="H53" s="74">
        <v>0.0</v>
      </c>
      <c r="I53" s="74">
        <v>0.0</v>
      </c>
      <c r="J53" s="74">
        <v>0.0</v>
      </c>
      <c r="K53" s="74">
        <v>1.0</v>
      </c>
      <c r="L53" s="74">
        <v>0.0</v>
      </c>
      <c r="M53" s="74">
        <v>1.0</v>
      </c>
      <c r="N53" s="74">
        <v>1.0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1.0</v>
      </c>
      <c r="U53" s="74">
        <v>0.0</v>
      </c>
      <c r="V53" s="74">
        <v>1.0</v>
      </c>
      <c r="W53" s="74">
        <v>0.0</v>
      </c>
      <c r="X53" s="13">
        <f t="shared" si="15"/>
        <v>7</v>
      </c>
    </row>
    <row r="54" ht="12.75" customHeight="1">
      <c r="A54" s="18"/>
      <c r="B54" s="55"/>
      <c r="C54" s="50" t="s">
        <v>48</v>
      </c>
      <c r="D54" s="50"/>
      <c r="E54" s="74">
        <v>2.0</v>
      </c>
      <c r="F54" s="74">
        <v>0.0</v>
      </c>
      <c r="G54" s="74">
        <v>0.0</v>
      </c>
      <c r="H54" s="74">
        <v>3.0</v>
      </c>
      <c r="I54" s="74">
        <v>1.0</v>
      </c>
      <c r="J54" s="74">
        <v>0.0</v>
      </c>
      <c r="K54" s="74">
        <v>1.0</v>
      </c>
      <c r="L54" s="74">
        <v>1.0</v>
      </c>
      <c r="M54" s="74">
        <v>2.0</v>
      </c>
      <c r="N54" s="74">
        <v>2.0</v>
      </c>
      <c r="O54" s="74">
        <v>4.0</v>
      </c>
      <c r="P54" s="74">
        <v>3.0</v>
      </c>
      <c r="Q54" s="74">
        <v>1.0</v>
      </c>
      <c r="R54" s="74">
        <v>1.0</v>
      </c>
      <c r="S54" s="74">
        <v>0.0</v>
      </c>
      <c r="T54" s="74">
        <v>1.0</v>
      </c>
      <c r="U54" s="74">
        <v>1.0</v>
      </c>
      <c r="V54" s="74">
        <v>1.0</v>
      </c>
      <c r="W54" s="74">
        <v>1.0</v>
      </c>
      <c r="X54" s="13">
        <f t="shared" si="15"/>
        <v>25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X55" si="16">SUM(E45:E54)</f>
        <v>42</v>
      </c>
      <c r="F55" s="13">
        <f t="shared" si="16"/>
        <v>27</v>
      </c>
      <c r="G55" s="13">
        <f t="shared" si="16"/>
        <v>35</v>
      </c>
      <c r="H55" s="13">
        <f t="shared" si="16"/>
        <v>55</v>
      </c>
      <c r="I55" s="13">
        <f t="shared" si="16"/>
        <v>29</v>
      </c>
      <c r="J55" s="13">
        <f t="shared" si="16"/>
        <v>35</v>
      </c>
      <c r="K55" s="13">
        <f t="shared" si="16"/>
        <v>70</v>
      </c>
      <c r="L55" s="13">
        <f t="shared" si="16"/>
        <v>53</v>
      </c>
      <c r="M55" s="13">
        <f t="shared" si="16"/>
        <v>62</v>
      </c>
      <c r="N55" s="13">
        <f t="shared" si="16"/>
        <v>47</v>
      </c>
      <c r="O55" s="13">
        <f t="shared" si="16"/>
        <v>72</v>
      </c>
      <c r="P55" s="13">
        <f t="shared" si="16"/>
        <v>51</v>
      </c>
      <c r="Q55" s="13">
        <f t="shared" si="16"/>
        <v>33</v>
      </c>
      <c r="R55" s="13">
        <f t="shared" si="16"/>
        <v>31</v>
      </c>
      <c r="S55" s="13">
        <f t="shared" si="16"/>
        <v>32</v>
      </c>
      <c r="T55" s="13">
        <f t="shared" si="16"/>
        <v>28</v>
      </c>
      <c r="U55" s="13">
        <f t="shared" si="16"/>
        <v>23</v>
      </c>
      <c r="V55" s="13">
        <f t="shared" si="16"/>
        <v>30</v>
      </c>
      <c r="W55" s="13">
        <f t="shared" si="16"/>
        <v>24</v>
      </c>
      <c r="X55" s="13">
        <f t="shared" si="16"/>
        <v>779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12.0</v>
      </c>
      <c r="F57" s="74">
        <v>13.0</v>
      </c>
      <c r="G57" s="74">
        <v>17.0</v>
      </c>
      <c r="H57" s="74">
        <v>6.0</v>
      </c>
      <c r="I57" s="74">
        <v>6.0</v>
      </c>
      <c r="J57" s="74">
        <v>5.0</v>
      </c>
      <c r="K57" s="74">
        <v>6.0</v>
      </c>
      <c r="L57" s="74">
        <v>11.0</v>
      </c>
      <c r="M57" s="74">
        <v>4.0</v>
      </c>
      <c r="N57" s="74">
        <v>5.0</v>
      </c>
      <c r="O57" s="74">
        <v>7.0</v>
      </c>
      <c r="P57" s="74">
        <v>10.0</v>
      </c>
      <c r="Q57" s="74">
        <v>8.0</v>
      </c>
      <c r="R57" s="74">
        <v>12.0</v>
      </c>
      <c r="S57" s="74">
        <v>9.0</v>
      </c>
      <c r="T57" s="74">
        <v>11.0</v>
      </c>
      <c r="U57" s="74">
        <v>18.0</v>
      </c>
      <c r="V57" s="74">
        <v>12.0</v>
      </c>
      <c r="W57" s="74">
        <v>7.0</v>
      </c>
      <c r="X57" s="13">
        <f t="shared" ref="X57:X66" si="17">SUM(E57:W57)</f>
        <v>179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6.0</v>
      </c>
      <c r="F58" s="74">
        <v>4.0</v>
      </c>
      <c r="G58" s="74">
        <v>12.0</v>
      </c>
      <c r="H58" s="74">
        <v>8.0</v>
      </c>
      <c r="I58" s="74">
        <v>16.0</v>
      </c>
      <c r="J58" s="74">
        <v>11.0</v>
      </c>
      <c r="K58" s="74">
        <v>32.0</v>
      </c>
      <c r="L58" s="74">
        <v>5.0</v>
      </c>
      <c r="M58" s="74">
        <v>11.0</v>
      </c>
      <c r="N58" s="74">
        <v>11.0</v>
      </c>
      <c r="O58" s="74">
        <v>7.0</v>
      </c>
      <c r="P58" s="74">
        <v>12.0</v>
      </c>
      <c r="Q58" s="74">
        <v>12.0</v>
      </c>
      <c r="R58" s="74">
        <v>5.0</v>
      </c>
      <c r="S58" s="74">
        <v>14.0</v>
      </c>
      <c r="T58" s="74">
        <v>39.0</v>
      </c>
      <c r="U58" s="74">
        <v>18.0</v>
      </c>
      <c r="V58" s="74">
        <v>13.0</v>
      </c>
      <c r="W58" s="74">
        <v>9.0</v>
      </c>
      <c r="X58" s="13">
        <f t="shared" si="17"/>
        <v>245</v>
      </c>
    </row>
    <row r="59" ht="12.75" customHeight="1">
      <c r="A59" s="18"/>
      <c r="B59" s="55"/>
      <c r="C59" s="50" t="s">
        <v>52</v>
      </c>
      <c r="D59" s="56"/>
      <c r="E59" s="74">
        <v>2.0</v>
      </c>
      <c r="F59" s="74">
        <v>9.0</v>
      </c>
      <c r="G59" s="74">
        <v>2.0</v>
      </c>
      <c r="H59" s="74">
        <v>1.0</v>
      </c>
      <c r="I59" s="74">
        <v>1.0</v>
      </c>
      <c r="J59" s="74">
        <v>3.0</v>
      </c>
      <c r="K59" s="74">
        <v>4.0</v>
      </c>
      <c r="L59" s="74">
        <v>5.0</v>
      </c>
      <c r="M59" s="74">
        <v>2.0</v>
      </c>
      <c r="N59" s="74">
        <v>2.0</v>
      </c>
      <c r="O59" s="74">
        <v>3.0</v>
      </c>
      <c r="P59" s="74">
        <v>0.0</v>
      </c>
      <c r="Q59" s="74">
        <v>5.0</v>
      </c>
      <c r="R59" s="74">
        <v>3.0</v>
      </c>
      <c r="S59" s="74">
        <v>4.0</v>
      </c>
      <c r="T59" s="74">
        <v>6.0</v>
      </c>
      <c r="U59" s="74">
        <v>1.0</v>
      </c>
      <c r="V59" s="74">
        <v>3.0</v>
      </c>
      <c r="W59" s="74">
        <v>3.0</v>
      </c>
      <c r="X59" s="13">
        <f t="shared" si="17"/>
        <v>59</v>
      </c>
    </row>
    <row r="60" ht="12.75" customHeight="1">
      <c r="A60" s="18"/>
      <c r="B60" s="55"/>
      <c r="C60" s="50" t="s">
        <v>53</v>
      </c>
      <c r="D60" s="56"/>
      <c r="E60" s="74">
        <v>4.0</v>
      </c>
      <c r="F60" s="74">
        <v>3.0</v>
      </c>
      <c r="G60" s="74">
        <v>2.0</v>
      </c>
      <c r="H60" s="74">
        <v>1.0</v>
      </c>
      <c r="I60" s="74">
        <v>1.0</v>
      </c>
      <c r="J60" s="74">
        <v>4.0</v>
      </c>
      <c r="K60" s="74">
        <v>4.0</v>
      </c>
      <c r="L60" s="74">
        <v>2.0</v>
      </c>
      <c r="M60" s="74">
        <v>2.0</v>
      </c>
      <c r="N60" s="74">
        <v>1.0</v>
      </c>
      <c r="O60" s="74">
        <v>2.0</v>
      </c>
      <c r="P60" s="74">
        <v>0.0</v>
      </c>
      <c r="Q60" s="74">
        <v>3.0</v>
      </c>
      <c r="R60" s="74">
        <v>1.0</v>
      </c>
      <c r="S60" s="74">
        <v>1.0</v>
      </c>
      <c r="T60" s="74">
        <v>2.0</v>
      </c>
      <c r="U60" s="74">
        <v>2.0</v>
      </c>
      <c r="V60" s="74">
        <v>4.0</v>
      </c>
      <c r="W60" s="74">
        <v>3.0</v>
      </c>
      <c r="X60" s="13">
        <f t="shared" si="17"/>
        <v>42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2.0</v>
      </c>
      <c r="G61" s="74">
        <v>2.0</v>
      </c>
      <c r="H61" s="74">
        <v>3.0</v>
      </c>
      <c r="I61" s="74">
        <v>1.0</v>
      </c>
      <c r="J61" s="74">
        <v>11.0</v>
      </c>
      <c r="K61" s="74">
        <v>11.0</v>
      </c>
      <c r="L61" s="74">
        <v>20.0</v>
      </c>
      <c r="M61" s="74">
        <v>13.0</v>
      </c>
      <c r="N61" s="74">
        <v>14.0</v>
      </c>
      <c r="O61" s="74">
        <v>21.0</v>
      </c>
      <c r="P61" s="74">
        <v>11.0</v>
      </c>
      <c r="Q61" s="74">
        <v>4.0</v>
      </c>
      <c r="R61" s="74">
        <v>4.0</v>
      </c>
      <c r="S61" s="74">
        <v>9.0</v>
      </c>
      <c r="T61" s="74">
        <v>2.0</v>
      </c>
      <c r="U61" s="74">
        <v>0.0</v>
      </c>
      <c r="V61" s="74">
        <v>2.0</v>
      </c>
      <c r="W61" s="74">
        <v>1.0</v>
      </c>
      <c r="X61" s="13">
        <f t="shared" si="17"/>
        <v>132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2.0</v>
      </c>
      <c r="G62" s="74">
        <v>1.0</v>
      </c>
      <c r="H62" s="74">
        <v>0.0</v>
      </c>
      <c r="I62" s="74">
        <v>2.0</v>
      </c>
      <c r="J62" s="74">
        <v>1.0</v>
      </c>
      <c r="K62" s="74">
        <v>1.0</v>
      </c>
      <c r="L62" s="74">
        <v>0.0</v>
      </c>
      <c r="M62" s="74">
        <v>0.0</v>
      </c>
      <c r="N62" s="74">
        <v>0.0</v>
      </c>
      <c r="O62" s="74">
        <v>0.0</v>
      </c>
      <c r="P62" s="74">
        <v>1.0</v>
      </c>
      <c r="Q62" s="74">
        <v>1.0</v>
      </c>
      <c r="R62" s="74">
        <v>1.0</v>
      </c>
      <c r="S62" s="74">
        <v>2.0</v>
      </c>
      <c r="T62" s="74">
        <v>1.0</v>
      </c>
      <c r="U62" s="74">
        <v>0.0</v>
      </c>
      <c r="V62" s="74">
        <v>1.0</v>
      </c>
      <c r="W62" s="74">
        <v>2.0</v>
      </c>
      <c r="X62" s="13">
        <f t="shared" si="17"/>
        <v>17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1.0</v>
      </c>
      <c r="I63" s="74">
        <v>1.0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1.0</v>
      </c>
      <c r="T63" s="74">
        <v>0.0</v>
      </c>
      <c r="U63" s="74">
        <v>0.0</v>
      </c>
      <c r="V63" s="74">
        <v>0.0</v>
      </c>
      <c r="W63" s="74">
        <v>1.0</v>
      </c>
      <c r="X63" s="13">
        <f t="shared" si="17"/>
        <v>4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1.0</v>
      </c>
      <c r="P64" s="74">
        <v>0.0</v>
      </c>
      <c r="Q64" s="74">
        <v>0.0</v>
      </c>
      <c r="R64" s="74">
        <v>0.0</v>
      </c>
      <c r="S64" s="74">
        <v>0.0</v>
      </c>
      <c r="T64" s="74">
        <v>0.0</v>
      </c>
      <c r="U64" s="74">
        <v>1.0</v>
      </c>
      <c r="V64" s="74">
        <v>0.0</v>
      </c>
      <c r="W64" s="74">
        <v>1.0</v>
      </c>
      <c r="X64" s="13">
        <f t="shared" si="17"/>
        <v>3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1.0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13">
        <f t="shared" si="17"/>
        <v>2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1.0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1.0</v>
      </c>
      <c r="X66" s="13">
        <f t="shared" si="17"/>
        <v>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X67" si="18">SUM(E57:E66)</f>
        <v>27</v>
      </c>
      <c r="F67" s="13">
        <f t="shared" si="18"/>
        <v>34</v>
      </c>
      <c r="G67" s="13">
        <f t="shared" si="18"/>
        <v>38</v>
      </c>
      <c r="H67" s="13">
        <f t="shared" si="18"/>
        <v>20</v>
      </c>
      <c r="I67" s="13">
        <f t="shared" si="18"/>
        <v>28</v>
      </c>
      <c r="J67" s="13">
        <f t="shared" si="18"/>
        <v>35</v>
      </c>
      <c r="K67" s="13">
        <f t="shared" si="18"/>
        <v>58</v>
      </c>
      <c r="L67" s="13">
        <f t="shared" si="18"/>
        <v>43</v>
      </c>
      <c r="M67" s="13">
        <f t="shared" si="18"/>
        <v>32</v>
      </c>
      <c r="N67" s="13">
        <f t="shared" si="18"/>
        <v>33</v>
      </c>
      <c r="O67" s="13">
        <f t="shared" si="18"/>
        <v>41</v>
      </c>
      <c r="P67" s="13">
        <f t="shared" si="18"/>
        <v>34</v>
      </c>
      <c r="Q67" s="13">
        <f t="shared" si="18"/>
        <v>33</v>
      </c>
      <c r="R67" s="13">
        <f t="shared" si="18"/>
        <v>26</v>
      </c>
      <c r="S67" s="13">
        <f t="shared" si="18"/>
        <v>40</v>
      </c>
      <c r="T67" s="13">
        <f t="shared" si="18"/>
        <v>61</v>
      </c>
      <c r="U67" s="13">
        <f t="shared" si="18"/>
        <v>40</v>
      </c>
      <c r="V67" s="13">
        <f t="shared" si="18"/>
        <v>35</v>
      </c>
      <c r="W67" s="13">
        <f t="shared" si="18"/>
        <v>28</v>
      </c>
      <c r="X67" s="13">
        <f t="shared" si="18"/>
        <v>686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10.0</v>
      </c>
      <c r="F69" s="74">
        <v>5.0</v>
      </c>
      <c r="G69" s="74">
        <v>5.0</v>
      </c>
      <c r="H69" s="74">
        <v>25.0</v>
      </c>
      <c r="I69" s="74">
        <v>17.0</v>
      </c>
      <c r="J69" s="74">
        <v>6.0</v>
      </c>
      <c r="K69" s="74">
        <v>6.0</v>
      </c>
      <c r="L69" s="74">
        <v>9.0</v>
      </c>
      <c r="M69" s="74">
        <v>4.0</v>
      </c>
      <c r="N69" s="74">
        <v>12.0</v>
      </c>
      <c r="O69" s="74">
        <v>4.0</v>
      </c>
      <c r="P69" s="74">
        <v>6.0</v>
      </c>
      <c r="Q69" s="74">
        <v>9.0</v>
      </c>
      <c r="R69" s="74">
        <v>5.0</v>
      </c>
      <c r="S69" s="74">
        <v>6.0</v>
      </c>
      <c r="T69" s="74">
        <v>12.0</v>
      </c>
      <c r="U69" s="74">
        <v>4.0</v>
      </c>
      <c r="V69" s="74">
        <v>14.0</v>
      </c>
      <c r="W69" s="74">
        <v>7.0</v>
      </c>
      <c r="X69" s="13">
        <f t="shared" ref="X69:X78" si="19">SUM(E69:W69)</f>
        <v>166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5.0</v>
      </c>
      <c r="F70" s="74">
        <v>4.0</v>
      </c>
      <c r="G70" s="74">
        <v>4.0</v>
      </c>
      <c r="H70" s="74">
        <v>8.0</v>
      </c>
      <c r="I70" s="74">
        <v>27.0</v>
      </c>
      <c r="J70" s="74">
        <v>7.0</v>
      </c>
      <c r="K70" s="74">
        <v>6.0</v>
      </c>
      <c r="L70" s="74">
        <v>9.0</v>
      </c>
      <c r="M70" s="74">
        <v>5.0</v>
      </c>
      <c r="N70" s="74">
        <v>9.0</v>
      </c>
      <c r="O70" s="74">
        <v>7.0</v>
      </c>
      <c r="P70" s="74">
        <v>12.0</v>
      </c>
      <c r="Q70" s="74">
        <v>8.0</v>
      </c>
      <c r="R70" s="74">
        <v>5.0</v>
      </c>
      <c r="S70" s="74">
        <v>5.0</v>
      </c>
      <c r="T70" s="74">
        <v>10.0</v>
      </c>
      <c r="U70" s="74">
        <v>6.0</v>
      </c>
      <c r="V70" s="74">
        <v>2.0</v>
      </c>
      <c r="W70" s="74">
        <v>3.0</v>
      </c>
      <c r="X70" s="13">
        <f t="shared" si="19"/>
        <v>142</v>
      </c>
    </row>
    <row r="71" ht="12.75" customHeight="1">
      <c r="A71" s="18"/>
      <c r="B71" s="55"/>
      <c r="C71" s="50" t="s">
        <v>62</v>
      </c>
      <c r="D71" s="57"/>
      <c r="E71" s="74">
        <v>3.0</v>
      </c>
      <c r="F71" s="74">
        <v>2.0</v>
      </c>
      <c r="G71" s="74">
        <v>6.0</v>
      </c>
      <c r="H71" s="74">
        <v>3.0</v>
      </c>
      <c r="I71" s="74">
        <v>2.0</v>
      </c>
      <c r="J71" s="74">
        <v>4.0</v>
      </c>
      <c r="K71" s="74">
        <v>3.0</v>
      </c>
      <c r="L71" s="74">
        <v>4.0</v>
      </c>
      <c r="M71" s="74">
        <v>2.0</v>
      </c>
      <c r="N71" s="74">
        <v>3.0</v>
      </c>
      <c r="O71" s="74">
        <v>5.0</v>
      </c>
      <c r="P71" s="74">
        <v>2.0</v>
      </c>
      <c r="Q71" s="74">
        <v>3.0</v>
      </c>
      <c r="R71" s="74">
        <v>3.0</v>
      </c>
      <c r="S71" s="74">
        <v>4.0</v>
      </c>
      <c r="T71" s="74">
        <v>1.0</v>
      </c>
      <c r="U71" s="74">
        <v>2.0</v>
      </c>
      <c r="V71" s="74">
        <v>1.0</v>
      </c>
      <c r="W71" s="74">
        <v>1.0</v>
      </c>
      <c r="X71" s="13">
        <f t="shared" si="19"/>
        <v>54</v>
      </c>
    </row>
    <row r="72" ht="12.75" customHeight="1">
      <c r="A72" s="18"/>
      <c r="B72" s="55"/>
      <c r="C72" s="50" t="s">
        <v>63</v>
      </c>
      <c r="D72" s="57"/>
      <c r="E72" s="74">
        <v>0.0</v>
      </c>
      <c r="F72" s="74">
        <v>3.0</v>
      </c>
      <c r="G72" s="74">
        <v>1.0</v>
      </c>
      <c r="H72" s="74">
        <v>2.0</v>
      </c>
      <c r="I72" s="74">
        <v>5.0</v>
      </c>
      <c r="J72" s="74">
        <v>3.0</v>
      </c>
      <c r="K72" s="74">
        <v>5.0</v>
      </c>
      <c r="L72" s="74">
        <v>2.0</v>
      </c>
      <c r="M72" s="74">
        <v>0.0</v>
      </c>
      <c r="N72" s="74">
        <v>5.0</v>
      </c>
      <c r="O72" s="74">
        <v>1.0</v>
      </c>
      <c r="P72" s="74">
        <v>2.0</v>
      </c>
      <c r="Q72" s="74">
        <v>3.0</v>
      </c>
      <c r="R72" s="74">
        <v>2.0</v>
      </c>
      <c r="S72" s="74">
        <v>2.0</v>
      </c>
      <c r="T72" s="74">
        <v>5.0</v>
      </c>
      <c r="U72" s="74">
        <v>2.0</v>
      </c>
      <c r="V72" s="74">
        <v>3.0</v>
      </c>
      <c r="W72" s="74">
        <v>21.0</v>
      </c>
      <c r="X72" s="13">
        <f t="shared" si="19"/>
        <v>67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2.0</v>
      </c>
      <c r="G73" s="74">
        <v>0.0</v>
      </c>
      <c r="H73" s="74">
        <v>1.0</v>
      </c>
      <c r="I73" s="74">
        <v>0.0</v>
      </c>
      <c r="J73" s="74">
        <v>0.0</v>
      </c>
      <c r="K73" s="74">
        <v>3.0</v>
      </c>
      <c r="L73" s="74">
        <v>2.0</v>
      </c>
      <c r="M73" s="74">
        <v>1.0</v>
      </c>
      <c r="N73" s="74">
        <v>0.0</v>
      </c>
      <c r="O73" s="74">
        <v>3.0</v>
      </c>
      <c r="P73" s="74">
        <v>1.0</v>
      </c>
      <c r="Q73" s="74">
        <v>1.0</v>
      </c>
      <c r="R73" s="74">
        <v>0.0</v>
      </c>
      <c r="S73" s="74">
        <v>0.0</v>
      </c>
      <c r="T73" s="74">
        <v>2.0</v>
      </c>
      <c r="U73" s="74">
        <v>1.0</v>
      </c>
      <c r="V73" s="74">
        <v>1.0</v>
      </c>
      <c r="W73" s="74">
        <v>2.0</v>
      </c>
      <c r="X73" s="13">
        <f t="shared" si="19"/>
        <v>23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1.0</v>
      </c>
      <c r="G74" s="74">
        <v>1.0</v>
      </c>
      <c r="H74" s="74">
        <v>1.0</v>
      </c>
      <c r="I74" s="74">
        <v>2.0</v>
      </c>
      <c r="J74" s="74">
        <v>1.0</v>
      </c>
      <c r="K74" s="74">
        <v>0.0</v>
      </c>
      <c r="L74" s="74">
        <v>0.0</v>
      </c>
      <c r="M74" s="74">
        <v>0.0</v>
      </c>
      <c r="N74" s="74">
        <v>2.0</v>
      </c>
      <c r="O74" s="74">
        <v>2.0</v>
      </c>
      <c r="P74" s="74">
        <v>1.0</v>
      </c>
      <c r="Q74" s="74">
        <v>1.0</v>
      </c>
      <c r="R74" s="74">
        <v>3.0</v>
      </c>
      <c r="S74" s="74">
        <v>1.0</v>
      </c>
      <c r="T74" s="74">
        <v>2.0</v>
      </c>
      <c r="U74" s="74">
        <v>1.0</v>
      </c>
      <c r="V74" s="74">
        <v>2.0</v>
      </c>
      <c r="W74" s="74">
        <v>2.0</v>
      </c>
      <c r="X74" s="13">
        <f t="shared" si="19"/>
        <v>24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1.0</v>
      </c>
      <c r="G75" s="74">
        <v>1.0</v>
      </c>
      <c r="H75" s="74">
        <v>1.0</v>
      </c>
      <c r="I75" s="74">
        <v>3.0</v>
      </c>
      <c r="J75" s="74">
        <v>0.0</v>
      </c>
      <c r="K75" s="74">
        <v>2.0</v>
      </c>
      <c r="L75" s="74">
        <v>0.0</v>
      </c>
      <c r="M75" s="74">
        <v>0.0</v>
      </c>
      <c r="N75" s="74">
        <v>1.0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13">
        <f t="shared" si="19"/>
        <v>9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2.0</v>
      </c>
      <c r="H76" s="74">
        <v>1.0</v>
      </c>
      <c r="I76" s="74">
        <v>0.0</v>
      </c>
      <c r="J76" s="74">
        <v>0.0</v>
      </c>
      <c r="K76" s="74">
        <v>0.0</v>
      </c>
      <c r="L76" s="74">
        <v>1.0</v>
      </c>
      <c r="M76" s="74">
        <v>0.0</v>
      </c>
      <c r="N76" s="74">
        <v>1.0</v>
      </c>
      <c r="O76" s="74">
        <v>1.0</v>
      </c>
      <c r="P76" s="74">
        <v>0.0</v>
      </c>
      <c r="Q76" s="74">
        <v>1.0</v>
      </c>
      <c r="R76" s="74">
        <v>0.0</v>
      </c>
      <c r="S76" s="74">
        <v>0.0</v>
      </c>
      <c r="T76" s="74">
        <v>0.0</v>
      </c>
      <c r="U76" s="74">
        <v>0.0</v>
      </c>
      <c r="V76" s="74">
        <v>0.0</v>
      </c>
      <c r="W76" s="74">
        <v>0.0</v>
      </c>
      <c r="X76" s="13">
        <f t="shared" si="19"/>
        <v>7</v>
      </c>
    </row>
    <row r="77" ht="12.75" customHeight="1">
      <c r="A77" s="18"/>
      <c r="B77" s="55"/>
      <c r="C77" s="50" t="s">
        <v>68</v>
      </c>
      <c r="D77" s="57"/>
      <c r="E77" s="74">
        <v>2.0</v>
      </c>
      <c r="F77" s="74">
        <v>0.0</v>
      </c>
      <c r="G77" s="74">
        <v>0.0</v>
      </c>
      <c r="H77" s="74">
        <v>1.0</v>
      </c>
      <c r="I77" s="74">
        <v>4.0</v>
      </c>
      <c r="J77" s="74">
        <v>1.0</v>
      </c>
      <c r="K77" s="74">
        <v>0.0</v>
      </c>
      <c r="L77" s="74">
        <v>1.0</v>
      </c>
      <c r="M77" s="74">
        <v>0.0</v>
      </c>
      <c r="N77" s="74">
        <v>1.0</v>
      </c>
      <c r="O77" s="74">
        <v>2.0</v>
      </c>
      <c r="P77" s="74">
        <v>1.0</v>
      </c>
      <c r="Q77" s="74">
        <v>1.0</v>
      </c>
      <c r="R77" s="74">
        <v>0.0</v>
      </c>
      <c r="S77" s="74">
        <v>0.0</v>
      </c>
      <c r="T77" s="74">
        <v>3.0</v>
      </c>
      <c r="U77" s="74">
        <v>0.0</v>
      </c>
      <c r="V77" s="74">
        <v>1.0</v>
      </c>
      <c r="W77" s="74">
        <v>0.0</v>
      </c>
      <c r="X77" s="13">
        <f t="shared" si="19"/>
        <v>18</v>
      </c>
    </row>
    <row r="78" ht="12.75" customHeight="1">
      <c r="A78" s="18"/>
      <c r="B78" s="55"/>
      <c r="C78" s="50" t="s">
        <v>69</v>
      </c>
      <c r="D78" s="57"/>
      <c r="E78" s="74">
        <v>1.0</v>
      </c>
      <c r="F78" s="74">
        <v>0.0</v>
      </c>
      <c r="G78" s="74">
        <v>0.0</v>
      </c>
      <c r="H78" s="74">
        <v>1.0</v>
      </c>
      <c r="I78" s="74">
        <v>7.0</v>
      </c>
      <c r="J78" s="74">
        <v>0.0</v>
      </c>
      <c r="K78" s="74">
        <v>0.0</v>
      </c>
      <c r="L78" s="74">
        <v>1.0</v>
      </c>
      <c r="M78" s="74">
        <v>0.0</v>
      </c>
      <c r="N78" s="74">
        <v>1.0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1.0</v>
      </c>
      <c r="U78" s="74">
        <v>0.0</v>
      </c>
      <c r="V78" s="74">
        <v>1.0</v>
      </c>
      <c r="W78" s="74">
        <v>0.0</v>
      </c>
      <c r="X78" s="13">
        <f t="shared" si="19"/>
        <v>13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X79" si="20">SUM(E69:E78)</f>
        <v>25</v>
      </c>
      <c r="F79" s="13">
        <f t="shared" si="20"/>
        <v>18</v>
      </c>
      <c r="G79" s="13">
        <f t="shared" si="20"/>
        <v>20</v>
      </c>
      <c r="H79" s="13">
        <f t="shared" si="20"/>
        <v>44</v>
      </c>
      <c r="I79" s="13">
        <f t="shared" si="20"/>
        <v>67</v>
      </c>
      <c r="J79" s="13">
        <f t="shared" si="20"/>
        <v>22</v>
      </c>
      <c r="K79" s="13">
        <f t="shared" si="20"/>
        <v>25</v>
      </c>
      <c r="L79" s="13">
        <f t="shared" si="20"/>
        <v>29</v>
      </c>
      <c r="M79" s="13">
        <f t="shared" si="20"/>
        <v>12</v>
      </c>
      <c r="N79" s="13">
        <f t="shared" si="20"/>
        <v>35</v>
      </c>
      <c r="O79" s="13">
        <f t="shared" si="20"/>
        <v>25</v>
      </c>
      <c r="P79" s="13">
        <f t="shared" si="20"/>
        <v>25</v>
      </c>
      <c r="Q79" s="13">
        <f t="shared" si="20"/>
        <v>27</v>
      </c>
      <c r="R79" s="13">
        <f t="shared" si="20"/>
        <v>18</v>
      </c>
      <c r="S79" s="13">
        <f t="shared" si="20"/>
        <v>18</v>
      </c>
      <c r="T79" s="13">
        <f t="shared" si="20"/>
        <v>36</v>
      </c>
      <c r="U79" s="13">
        <f t="shared" si="20"/>
        <v>16</v>
      </c>
      <c r="V79" s="13">
        <f t="shared" si="20"/>
        <v>25</v>
      </c>
      <c r="W79" s="13">
        <f t="shared" si="20"/>
        <v>36</v>
      </c>
      <c r="X79" s="13">
        <f t="shared" si="20"/>
        <v>523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2.0</v>
      </c>
      <c r="F81" s="74">
        <v>3.0</v>
      </c>
      <c r="G81" s="74">
        <v>2.0</v>
      </c>
      <c r="H81" s="74">
        <v>4.0</v>
      </c>
      <c r="I81" s="74">
        <v>1.0</v>
      </c>
      <c r="J81" s="74">
        <v>8.0</v>
      </c>
      <c r="K81" s="74">
        <v>2.0</v>
      </c>
      <c r="L81" s="74">
        <v>4.0</v>
      </c>
      <c r="M81" s="74">
        <v>8.0</v>
      </c>
      <c r="N81" s="74">
        <v>1.0</v>
      </c>
      <c r="O81" s="74">
        <v>0.0</v>
      </c>
      <c r="P81" s="74">
        <v>2.0</v>
      </c>
      <c r="Q81" s="74">
        <v>9.0</v>
      </c>
      <c r="R81" s="74">
        <v>4.0</v>
      </c>
      <c r="S81" s="74">
        <v>3.0</v>
      </c>
      <c r="T81" s="74">
        <v>0.0</v>
      </c>
      <c r="U81" s="74">
        <v>3.0</v>
      </c>
      <c r="V81" s="74">
        <v>10.0</v>
      </c>
      <c r="W81" s="74">
        <v>3.0</v>
      </c>
      <c r="X81" s="13">
        <f t="shared" ref="X81:X90" si="21">SUM(E81:W81)</f>
        <v>69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1.0</v>
      </c>
      <c r="F82" s="74">
        <v>2.0</v>
      </c>
      <c r="G82" s="74">
        <v>2.0</v>
      </c>
      <c r="H82" s="74">
        <v>4.0</v>
      </c>
      <c r="I82" s="74">
        <v>1.0</v>
      </c>
      <c r="J82" s="74">
        <v>12.0</v>
      </c>
      <c r="K82" s="74">
        <v>9.0</v>
      </c>
      <c r="L82" s="74">
        <v>2.0</v>
      </c>
      <c r="M82" s="74">
        <v>10.0</v>
      </c>
      <c r="N82" s="74">
        <v>2.0</v>
      </c>
      <c r="O82" s="74">
        <v>5.0</v>
      </c>
      <c r="P82" s="74">
        <v>7.0</v>
      </c>
      <c r="Q82" s="74">
        <v>9.0</v>
      </c>
      <c r="R82" s="74">
        <v>1.0</v>
      </c>
      <c r="S82" s="74">
        <v>2.0</v>
      </c>
      <c r="T82" s="74">
        <v>0.0</v>
      </c>
      <c r="U82" s="74">
        <v>0.0</v>
      </c>
      <c r="V82" s="74">
        <v>1.0</v>
      </c>
      <c r="W82" s="74">
        <v>0.0</v>
      </c>
      <c r="X82" s="13">
        <f t="shared" si="21"/>
        <v>70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5.0</v>
      </c>
      <c r="G83" s="74">
        <v>0.0</v>
      </c>
      <c r="H83" s="74">
        <v>3.0</v>
      </c>
      <c r="I83" s="74">
        <v>0.0</v>
      </c>
      <c r="J83" s="74">
        <v>2.0</v>
      </c>
      <c r="K83" s="74">
        <v>2.0</v>
      </c>
      <c r="L83" s="74">
        <v>2.0</v>
      </c>
      <c r="M83" s="74">
        <v>4.0</v>
      </c>
      <c r="N83" s="74">
        <v>0.0</v>
      </c>
      <c r="O83" s="74">
        <v>2.0</v>
      </c>
      <c r="P83" s="74">
        <v>2.0</v>
      </c>
      <c r="Q83" s="74">
        <v>0.0</v>
      </c>
      <c r="R83" s="74">
        <v>0.0</v>
      </c>
      <c r="S83" s="74">
        <v>0.0</v>
      </c>
      <c r="T83" s="74">
        <v>0.0</v>
      </c>
      <c r="U83" s="74">
        <v>0.0</v>
      </c>
      <c r="V83" s="74">
        <v>1.0</v>
      </c>
      <c r="W83" s="74">
        <v>2.0</v>
      </c>
      <c r="X83" s="13">
        <f t="shared" si="21"/>
        <v>26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0.0</v>
      </c>
      <c r="G84" s="74">
        <v>1.0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1.0</v>
      </c>
      <c r="Q84" s="74">
        <v>2.0</v>
      </c>
      <c r="R84" s="74">
        <v>0.0</v>
      </c>
      <c r="S84" s="74">
        <v>0.0</v>
      </c>
      <c r="T84" s="74">
        <v>1.0</v>
      </c>
      <c r="U84" s="74">
        <v>2.0</v>
      </c>
      <c r="V84" s="74">
        <v>1.0</v>
      </c>
      <c r="W84" s="74">
        <v>1.0</v>
      </c>
      <c r="X84" s="13">
        <f t="shared" si="21"/>
        <v>10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1.0</v>
      </c>
      <c r="G85" s="74">
        <v>0.0</v>
      </c>
      <c r="H85" s="74">
        <v>0.0</v>
      </c>
      <c r="I85" s="74">
        <v>0.0</v>
      </c>
      <c r="J85" s="74">
        <v>2.0</v>
      </c>
      <c r="K85" s="74">
        <v>0.0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2.0</v>
      </c>
      <c r="U85" s="74">
        <v>0.0</v>
      </c>
      <c r="V85" s="74">
        <v>1.0</v>
      </c>
      <c r="W85" s="74">
        <v>0.0</v>
      </c>
      <c r="X85" s="13">
        <f t="shared" si="21"/>
        <v>7</v>
      </c>
    </row>
    <row r="86" ht="12.75" customHeight="1">
      <c r="A86" s="18"/>
      <c r="B86" s="55"/>
      <c r="C86" s="50" t="s">
        <v>75</v>
      </c>
      <c r="D86" s="57"/>
      <c r="E86" s="74">
        <v>3.0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0.0</v>
      </c>
      <c r="L86" s="74">
        <v>1.0</v>
      </c>
      <c r="M86" s="74">
        <v>1.0</v>
      </c>
      <c r="N86" s="74">
        <v>0.0</v>
      </c>
      <c r="O86" s="74">
        <v>1.0</v>
      </c>
      <c r="P86" s="74">
        <v>0.0</v>
      </c>
      <c r="Q86" s="74">
        <v>0.0</v>
      </c>
      <c r="R86" s="74">
        <v>1.0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13">
        <f t="shared" si="21"/>
        <v>8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1.0</v>
      </c>
      <c r="J87" s="74">
        <v>1.0</v>
      </c>
      <c r="K87" s="74">
        <v>0.0</v>
      </c>
      <c r="L87" s="74">
        <v>0.0</v>
      </c>
      <c r="M87" s="74">
        <v>1.0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1.0</v>
      </c>
      <c r="W87" s="74">
        <v>0.0</v>
      </c>
      <c r="X87" s="13">
        <f t="shared" si="21"/>
        <v>4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1.0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1.0</v>
      </c>
      <c r="W88" s="74">
        <v>0.0</v>
      </c>
      <c r="X88" s="13">
        <f t="shared" si="21"/>
        <v>2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1.0</v>
      </c>
      <c r="J89" s="74">
        <v>0.0</v>
      </c>
      <c r="K89" s="74">
        <v>1.0</v>
      </c>
      <c r="L89" s="74">
        <v>1.0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13">
        <f t="shared" si="21"/>
        <v>3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1.0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1.0</v>
      </c>
      <c r="O90" s="74">
        <v>0.0</v>
      </c>
      <c r="P90" s="74">
        <v>0.0</v>
      </c>
      <c r="Q90" s="74">
        <v>1.0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13">
        <f t="shared" si="21"/>
        <v>3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X91" si="22">SUM(E81:E90)</f>
        <v>9</v>
      </c>
      <c r="F91" s="13">
        <f t="shared" si="22"/>
        <v>11</v>
      </c>
      <c r="G91" s="13">
        <f t="shared" si="22"/>
        <v>6</v>
      </c>
      <c r="H91" s="13">
        <f t="shared" si="22"/>
        <v>12</v>
      </c>
      <c r="I91" s="13">
        <f t="shared" si="22"/>
        <v>4</v>
      </c>
      <c r="J91" s="13">
        <f t="shared" si="22"/>
        <v>25</v>
      </c>
      <c r="K91" s="13">
        <f t="shared" si="22"/>
        <v>14</v>
      </c>
      <c r="L91" s="13">
        <f t="shared" si="22"/>
        <v>11</v>
      </c>
      <c r="M91" s="13">
        <f t="shared" si="22"/>
        <v>24</v>
      </c>
      <c r="N91" s="13">
        <f t="shared" si="22"/>
        <v>4</v>
      </c>
      <c r="O91" s="13">
        <f t="shared" si="22"/>
        <v>8</v>
      </c>
      <c r="P91" s="13">
        <f t="shared" si="22"/>
        <v>12</v>
      </c>
      <c r="Q91" s="13">
        <f t="shared" si="22"/>
        <v>21</v>
      </c>
      <c r="R91" s="13">
        <f t="shared" si="22"/>
        <v>6</v>
      </c>
      <c r="S91" s="13">
        <f t="shared" si="22"/>
        <v>5</v>
      </c>
      <c r="T91" s="13">
        <f t="shared" si="22"/>
        <v>3</v>
      </c>
      <c r="U91" s="13">
        <f t="shared" si="22"/>
        <v>5</v>
      </c>
      <c r="V91" s="13">
        <f t="shared" si="22"/>
        <v>16</v>
      </c>
      <c r="W91" s="13">
        <f t="shared" si="22"/>
        <v>6</v>
      </c>
      <c r="X91" s="13">
        <f t="shared" si="22"/>
        <v>202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3.0</v>
      </c>
      <c r="G93" s="74">
        <v>0.0</v>
      </c>
      <c r="H93" s="74">
        <v>0.0</v>
      </c>
      <c r="I93" s="74">
        <v>2.0</v>
      </c>
      <c r="J93" s="74">
        <v>0.0</v>
      </c>
      <c r="K93" s="74">
        <v>1.0</v>
      </c>
      <c r="L93" s="74">
        <v>1.0</v>
      </c>
      <c r="M93" s="74">
        <v>2.0</v>
      </c>
      <c r="N93" s="74">
        <v>2.0</v>
      </c>
      <c r="O93" s="74">
        <v>1.0</v>
      </c>
      <c r="P93" s="74">
        <v>1.0</v>
      </c>
      <c r="Q93" s="74">
        <v>1.0</v>
      </c>
      <c r="R93" s="74">
        <v>0.0</v>
      </c>
      <c r="S93" s="74">
        <v>0.0</v>
      </c>
      <c r="T93" s="74">
        <v>0.0</v>
      </c>
      <c r="U93" s="74">
        <v>2.0</v>
      </c>
      <c r="V93" s="74">
        <v>1.0</v>
      </c>
      <c r="W93" s="74">
        <v>0.0</v>
      </c>
      <c r="X93" s="13">
        <f t="shared" ref="X93:X102" si="23">SUM(E93:W93)</f>
        <v>17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0.0</v>
      </c>
      <c r="G94" s="74">
        <v>0.0</v>
      </c>
      <c r="H94" s="74">
        <v>1.0</v>
      </c>
      <c r="I94" s="74">
        <v>1.0</v>
      </c>
      <c r="J94" s="74">
        <v>0.0</v>
      </c>
      <c r="K94" s="74">
        <v>1.0</v>
      </c>
      <c r="L94" s="74">
        <v>2.0</v>
      </c>
      <c r="M94" s="74">
        <v>0.0</v>
      </c>
      <c r="N94" s="74">
        <v>0.0</v>
      </c>
      <c r="O94" s="74">
        <v>0.0</v>
      </c>
      <c r="P94" s="74">
        <v>1.0</v>
      </c>
      <c r="Q94" s="74">
        <v>3.0</v>
      </c>
      <c r="R94" s="74">
        <v>0.0</v>
      </c>
      <c r="S94" s="74">
        <v>1.0</v>
      </c>
      <c r="T94" s="74">
        <v>2.0</v>
      </c>
      <c r="U94" s="74">
        <v>3.0</v>
      </c>
      <c r="V94" s="74">
        <v>2.0</v>
      </c>
      <c r="W94" s="74">
        <v>7.0</v>
      </c>
      <c r="X94" s="13">
        <f t="shared" si="23"/>
        <v>25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1.0</v>
      </c>
      <c r="R95" s="74">
        <v>0.0</v>
      </c>
      <c r="S95" s="74">
        <v>0.0</v>
      </c>
      <c r="T95" s="74">
        <v>0.0</v>
      </c>
      <c r="U95" s="74">
        <v>1.0</v>
      </c>
      <c r="V95" s="74">
        <v>0.0</v>
      </c>
      <c r="W95" s="74">
        <v>1.0</v>
      </c>
      <c r="X95" s="13">
        <f t="shared" si="23"/>
        <v>3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1.0</v>
      </c>
      <c r="S96" s="74">
        <v>0.0</v>
      </c>
      <c r="T96" s="74">
        <v>0.0</v>
      </c>
      <c r="U96" s="74">
        <v>0.0</v>
      </c>
      <c r="V96" s="74">
        <v>0.0</v>
      </c>
      <c r="W96" s="74">
        <v>2.0</v>
      </c>
      <c r="X96" s="13">
        <f t="shared" si="23"/>
        <v>3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1.0</v>
      </c>
      <c r="N97" s="74">
        <v>1.0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1.0</v>
      </c>
      <c r="X97" s="13">
        <f t="shared" si="23"/>
        <v>3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1.0</v>
      </c>
      <c r="T98" s="74">
        <v>0.0</v>
      </c>
      <c r="U98" s="74">
        <v>0.0</v>
      </c>
      <c r="V98" s="74">
        <v>1.0</v>
      </c>
      <c r="W98" s="74">
        <v>0.0</v>
      </c>
      <c r="X98" s="13">
        <f t="shared" si="23"/>
        <v>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13">
        <f t="shared" si="23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1.0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13">
        <f t="shared" si="23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2.0</v>
      </c>
      <c r="G101" s="74">
        <v>0.0</v>
      </c>
      <c r="H101" s="74">
        <v>1.0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2.0</v>
      </c>
      <c r="Q101" s="74">
        <v>1.0</v>
      </c>
      <c r="R101" s="74">
        <v>1.0</v>
      </c>
      <c r="S101" s="74">
        <v>0.0</v>
      </c>
      <c r="T101" s="74">
        <v>0.0</v>
      </c>
      <c r="U101" s="74">
        <v>0.0</v>
      </c>
      <c r="V101" s="74">
        <v>0.0</v>
      </c>
      <c r="W101" s="74">
        <v>1.0</v>
      </c>
      <c r="X101" s="13">
        <f t="shared" si="23"/>
        <v>8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13">
        <f t="shared" si="23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X103" si="24">SUM(E93:E102)</f>
        <v>1</v>
      </c>
      <c r="F103" s="13">
        <f t="shared" si="24"/>
        <v>5</v>
      </c>
      <c r="G103" s="13">
        <f t="shared" si="24"/>
        <v>0</v>
      </c>
      <c r="H103" s="13">
        <f t="shared" si="24"/>
        <v>2</v>
      </c>
      <c r="I103" s="13">
        <f t="shared" si="24"/>
        <v>3</v>
      </c>
      <c r="J103" s="13">
        <f t="shared" si="24"/>
        <v>0</v>
      </c>
      <c r="K103" s="13">
        <f t="shared" si="24"/>
        <v>2</v>
      </c>
      <c r="L103" s="13">
        <f t="shared" si="24"/>
        <v>3</v>
      </c>
      <c r="M103" s="13">
        <f t="shared" si="24"/>
        <v>3</v>
      </c>
      <c r="N103" s="13">
        <f t="shared" si="24"/>
        <v>3</v>
      </c>
      <c r="O103" s="13">
        <f t="shared" si="24"/>
        <v>1</v>
      </c>
      <c r="P103" s="13">
        <f t="shared" si="24"/>
        <v>5</v>
      </c>
      <c r="Q103" s="13">
        <f t="shared" si="24"/>
        <v>6</v>
      </c>
      <c r="R103" s="13">
        <f t="shared" si="24"/>
        <v>2</v>
      </c>
      <c r="S103" s="13">
        <f t="shared" si="24"/>
        <v>2</v>
      </c>
      <c r="T103" s="13">
        <f t="shared" si="24"/>
        <v>2</v>
      </c>
      <c r="U103" s="13">
        <f t="shared" si="24"/>
        <v>6</v>
      </c>
      <c r="V103" s="13">
        <f t="shared" si="24"/>
        <v>4</v>
      </c>
      <c r="W103" s="13">
        <f t="shared" si="24"/>
        <v>12</v>
      </c>
      <c r="X103" s="13">
        <f t="shared" si="24"/>
        <v>62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1.0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1.0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13">
        <f t="shared" ref="X105:X107" si="25">SUM(E105:W105)</f>
        <v>2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1.0</v>
      </c>
      <c r="M106" s="74">
        <v>0.0</v>
      </c>
      <c r="N106" s="74">
        <v>0.0</v>
      </c>
      <c r="O106" s="74">
        <v>0.0</v>
      </c>
      <c r="P106" s="74">
        <v>1.0</v>
      </c>
      <c r="Q106" s="74">
        <v>1.0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13">
        <f t="shared" si="25"/>
        <v>3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1.0</v>
      </c>
      <c r="G107" s="74">
        <v>0.0</v>
      </c>
      <c r="H107" s="74">
        <v>1.0</v>
      </c>
      <c r="I107" s="74">
        <v>0.0</v>
      </c>
      <c r="J107" s="74">
        <v>0.0</v>
      </c>
      <c r="K107" s="74">
        <v>1.0</v>
      </c>
      <c r="L107" s="74">
        <v>0.0</v>
      </c>
      <c r="M107" s="74">
        <v>0.0</v>
      </c>
      <c r="N107" s="74">
        <v>2.0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13">
        <f t="shared" si="25"/>
        <v>5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W115" si="26">SUM(E105:E112)</f>
        <v>0</v>
      </c>
      <c r="F115" s="13">
        <f t="shared" si="26"/>
        <v>1</v>
      </c>
      <c r="G115" s="13">
        <f t="shared" si="26"/>
        <v>0</v>
      </c>
      <c r="H115" s="13">
        <f t="shared" si="26"/>
        <v>1</v>
      </c>
      <c r="I115" s="13">
        <f t="shared" si="26"/>
        <v>1</v>
      </c>
      <c r="J115" s="13">
        <f t="shared" si="26"/>
        <v>0</v>
      </c>
      <c r="K115" s="13">
        <f t="shared" si="26"/>
        <v>1</v>
      </c>
      <c r="L115" s="13">
        <f t="shared" si="26"/>
        <v>1</v>
      </c>
      <c r="M115" s="13">
        <f t="shared" si="26"/>
        <v>0</v>
      </c>
      <c r="N115" s="13">
        <f t="shared" si="26"/>
        <v>2</v>
      </c>
      <c r="O115" s="13">
        <f t="shared" si="26"/>
        <v>0</v>
      </c>
      <c r="P115" s="13">
        <f t="shared" si="26"/>
        <v>2</v>
      </c>
      <c r="Q115" s="13">
        <f t="shared" si="26"/>
        <v>1</v>
      </c>
      <c r="R115" s="13">
        <f t="shared" si="26"/>
        <v>0</v>
      </c>
      <c r="S115" s="13">
        <f t="shared" si="26"/>
        <v>0</v>
      </c>
      <c r="T115" s="13">
        <f t="shared" si="26"/>
        <v>0</v>
      </c>
      <c r="U115" s="13">
        <f t="shared" si="26"/>
        <v>0</v>
      </c>
      <c r="V115" s="13">
        <f t="shared" si="26"/>
        <v>0</v>
      </c>
      <c r="W115" s="13">
        <f t="shared" si="26"/>
        <v>0</v>
      </c>
      <c r="X115" s="13">
        <f>SUM(E115:W115)</f>
        <v>10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1.0</v>
      </c>
      <c r="G117" s="74">
        <v>1.0</v>
      </c>
      <c r="H117" s="74">
        <v>1.0</v>
      </c>
      <c r="I117" s="74">
        <v>1.0</v>
      </c>
      <c r="J117" s="74">
        <v>0.0</v>
      </c>
      <c r="K117" s="74">
        <v>0.0</v>
      </c>
      <c r="L117" s="74">
        <v>2.0</v>
      </c>
      <c r="M117" s="74">
        <v>2.0</v>
      </c>
      <c r="N117" s="74">
        <v>2.0</v>
      </c>
      <c r="O117" s="74">
        <v>3.0</v>
      </c>
      <c r="P117" s="74">
        <v>1.0</v>
      </c>
      <c r="Q117" s="74">
        <v>2.0</v>
      </c>
      <c r="R117" s="74">
        <v>2.0</v>
      </c>
      <c r="S117" s="74">
        <v>0.0</v>
      </c>
      <c r="T117" s="74">
        <v>0.0</v>
      </c>
      <c r="U117" s="74">
        <v>1.0</v>
      </c>
      <c r="V117" s="74">
        <v>0.0</v>
      </c>
      <c r="W117" s="74">
        <v>3.0</v>
      </c>
      <c r="X117" s="13">
        <f t="shared" ref="X117:X122" si="27">SUM(E117:W117)</f>
        <v>22</v>
      </c>
      <c r="Y117" s="5"/>
      <c r="Z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1.0</v>
      </c>
      <c r="F118" s="74">
        <v>0.0</v>
      </c>
      <c r="G118" s="74">
        <v>1.0</v>
      </c>
      <c r="H118" s="74">
        <v>1.0</v>
      </c>
      <c r="I118" s="74">
        <v>1.0</v>
      </c>
      <c r="J118" s="74">
        <v>4.0</v>
      </c>
      <c r="K118" s="74">
        <v>0.0</v>
      </c>
      <c r="L118" s="74">
        <v>0.0</v>
      </c>
      <c r="M118" s="74">
        <v>0.0</v>
      </c>
      <c r="N118" s="74">
        <v>1.0</v>
      </c>
      <c r="O118" s="74">
        <v>1.0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1.0</v>
      </c>
      <c r="X118" s="13">
        <f t="shared" si="27"/>
        <v>11</v>
      </c>
      <c r="Y118" s="5"/>
      <c r="Z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13">
        <f t="shared" si="27"/>
        <v>0</v>
      </c>
      <c r="Y119" s="5"/>
      <c r="Z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1.0</v>
      </c>
      <c r="J120" s="74">
        <v>0.0</v>
      </c>
      <c r="K120" s="74">
        <v>0.0</v>
      </c>
      <c r="L120" s="74">
        <v>1.0</v>
      </c>
      <c r="M120" s="74">
        <v>1.0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13">
        <f t="shared" si="27"/>
        <v>3</v>
      </c>
      <c r="Y120" s="5"/>
      <c r="Z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1.0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13">
        <f t="shared" si="27"/>
        <v>1</v>
      </c>
      <c r="Y121" s="5"/>
      <c r="Z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1.0</v>
      </c>
      <c r="J122" s="74">
        <v>0.0</v>
      </c>
      <c r="K122" s="74">
        <v>0.0</v>
      </c>
      <c r="L122" s="74">
        <v>0.0</v>
      </c>
      <c r="M122" s="74">
        <v>0.0</v>
      </c>
      <c r="N122" s="74">
        <v>1.0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13">
        <f t="shared" si="27"/>
        <v>2</v>
      </c>
      <c r="Y122" s="5"/>
      <c r="Z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81"/>
      <c r="Y123" s="5"/>
      <c r="Z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81"/>
      <c r="Y124" s="5"/>
      <c r="Z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81"/>
      <c r="Y125" s="5"/>
      <c r="Z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81"/>
      <c r="Y126" s="5"/>
      <c r="Z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X127" si="28">SUM(E117:E122)</f>
        <v>1</v>
      </c>
      <c r="F127" s="63">
        <f t="shared" si="28"/>
        <v>2</v>
      </c>
      <c r="G127" s="63">
        <f t="shared" si="28"/>
        <v>2</v>
      </c>
      <c r="H127" s="63">
        <f t="shared" si="28"/>
        <v>2</v>
      </c>
      <c r="I127" s="63">
        <f t="shared" si="28"/>
        <v>4</v>
      </c>
      <c r="J127" s="63">
        <f t="shared" si="28"/>
        <v>4</v>
      </c>
      <c r="K127" s="63">
        <f t="shared" si="28"/>
        <v>0</v>
      </c>
      <c r="L127" s="63">
        <f t="shared" si="28"/>
        <v>3</v>
      </c>
      <c r="M127" s="63">
        <f t="shared" si="28"/>
        <v>3</v>
      </c>
      <c r="N127" s="63">
        <f t="shared" si="28"/>
        <v>4</v>
      </c>
      <c r="O127" s="63">
        <f t="shared" si="28"/>
        <v>4</v>
      </c>
      <c r="P127" s="63">
        <f t="shared" si="28"/>
        <v>1</v>
      </c>
      <c r="Q127" s="63">
        <f t="shared" si="28"/>
        <v>2</v>
      </c>
      <c r="R127" s="63">
        <f t="shared" si="28"/>
        <v>2</v>
      </c>
      <c r="S127" s="63">
        <f t="shared" si="28"/>
        <v>0</v>
      </c>
      <c r="T127" s="63">
        <f t="shared" si="28"/>
        <v>0</v>
      </c>
      <c r="U127" s="63">
        <f t="shared" si="28"/>
        <v>1</v>
      </c>
      <c r="V127" s="63">
        <f t="shared" si="28"/>
        <v>0</v>
      </c>
      <c r="W127" s="63">
        <f t="shared" si="28"/>
        <v>4</v>
      </c>
      <c r="X127" s="63">
        <f t="shared" si="28"/>
        <v>39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5"/>
      <c r="Z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1.0</v>
      </c>
      <c r="O129" s="74">
        <v>0.0</v>
      </c>
      <c r="P129" s="74">
        <v>1.0</v>
      </c>
      <c r="Q129" s="74">
        <v>0.0</v>
      </c>
      <c r="R129" s="74">
        <v>1.0</v>
      </c>
      <c r="S129" s="74">
        <v>0.0</v>
      </c>
      <c r="T129" s="74">
        <v>0.0</v>
      </c>
      <c r="U129" s="74">
        <v>1.0</v>
      </c>
      <c r="V129" s="74">
        <v>0.0</v>
      </c>
      <c r="W129" s="74">
        <v>0.0</v>
      </c>
      <c r="X129" s="13">
        <f t="shared" ref="X129:X138" si="29">SUM(E129:W129)</f>
        <v>4</v>
      </c>
      <c r="Y129" s="5"/>
      <c r="Z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1.0</v>
      </c>
      <c r="H130" s="74">
        <v>2.0</v>
      </c>
      <c r="I130" s="74">
        <v>0.0</v>
      </c>
      <c r="J130" s="74">
        <v>0.0</v>
      </c>
      <c r="K130" s="74">
        <v>0.0</v>
      </c>
      <c r="L130" s="74">
        <v>0.0</v>
      </c>
      <c r="M130" s="74">
        <v>1.0</v>
      </c>
      <c r="N130" s="74">
        <v>0.0</v>
      </c>
      <c r="O130" s="74">
        <v>0.0</v>
      </c>
      <c r="P130" s="74">
        <v>2.0</v>
      </c>
      <c r="Q130" s="74">
        <v>2.0</v>
      </c>
      <c r="R130" s="74">
        <v>1.0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13">
        <f t="shared" si="29"/>
        <v>9</v>
      </c>
      <c r="Y130" s="1"/>
      <c r="Z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2.0</v>
      </c>
      <c r="K131" s="74">
        <v>0.0</v>
      </c>
      <c r="L131" s="74">
        <v>0.0</v>
      </c>
      <c r="M131" s="74">
        <v>0.0</v>
      </c>
      <c r="N131" s="74">
        <v>1.0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13">
        <f t="shared" si="29"/>
        <v>3</v>
      </c>
      <c r="Y131" s="52"/>
      <c r="Z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1.0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1.0</v>
      </c>
      <c r="T132" s="74">
        <v>1.0</v>
      </c>
      <c r="U132" s="74">
        <v>0.0</v>
      </c>
      <c r="V132" s="74">
        <v>0.0</v>
      </c>
      <c r="W132" s="74">
        <v>0.0</v>
      </c>
      <c r="X132" s="13">
        <f t="shared" si="29"/>
        <v>3</v>
      </c>
      <c r="Y132" s="5"/>
      <c r="Z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13">
        <f t="shared" si="29"/>
        <v>0</v>
      </c>
      <c r="Y133" s="5"/>
      <c r="Z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13">
        <f t="shared" si="29"/>
        <v>0</v>
      </c>
      <c r="Y134" s="5"/>
      <c r="Z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1.0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1.0</v>
      </c>
      <c r="P135" s="74">
        <v>1.0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13">
        <f t="shared" si="29"/>
        <v>3</v>
      </c>
      <c r="Y135" s="5"/>
      <c r="Z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13">
        <f t="shared" si="29"/>
        <v>0</v>
      </c>
      <c r="Y136" s="5"/>
      <c r="Z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1.0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13">
        <f t="shared" si="29"/>
        <v>1</v>
      </c>
      <c r="Y137" s="5"/>
      <c r="Z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13">
        <f t="shared" si="29"/>
        <v>0</v>
      </c>
      <c r="Y138" s="5"/>
      <c r="Z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X139" si="30">SUM(E129:E138)</f>
        <v>0</v>
      </c>
      <c r="F139" s="13">
        <f t="shared" si="30"/>
        <v>0</v>
      </c>
      <c r="G139" s="13">
        <f t="shared" si="30"/>
        <v>1</v>
      </c>
      <c r="H139" s="13">
        <f t="shared" si="30"/>
        <v>3</v>
      </c>
      <c r="I139" s="13">
        <f t="shared" si="30"/>
        <v>0</v>
      </c>
      <c r="J139" s="13">
        <f t="shared" si="30"/>
        <v>2</v>
      </c>
      <c r="K139" s="13">
        <f t="shared" si="30"/>
        <v>1</v>
      </c>
      <c r="L139" s="13">
        <f t="shared" si="30"/>
        <v>0</v>
      </c>
      <c r="M139" s="13">
        <f t="shared" si="30"/>
        <v>2</v>
      </c>
      <c r="N139" s="13">
        <f t="shared" si="30"/>
        <v>2</v>
      </c>
      <c r="O139" s="13">
        <f t="shared" si="30"/>
        <v>1</v>
      </c>
      <c r="P139" s="13">
        <f t="shared" si="30"/>
        <v>4</v>
      </c>
      <c r="Q139" s="13">
        <f t="shared" si="30"/>
        <v>2</v>
      </c>
      <c r="R139" s="13">
        <f t="shared" si="30"/>
        <v>2</v>
      </c>
      <c r="S139" s="13">
        <f t="shared" si="30"/>
        <v>1</v>
      </c>
      <c r="T139" s="13">
        <f t="shared" si="30"/>
        <v>1</v>
      </c>
      <c r="U139" s="13">
        <f t="shared" si="30"/>
        <v>1</v>
      </c>
      <c r="V139" s="13">
        <f t="shared" si="30"/>
        <v>0</v>
      </c>
      <c r="W139" s="13">
        <f t="shared" si="30"/>
        <v>0</v>
      </c>
      <c r="X139" s="13">
        <f t="shared" si="30"/>
        <v>23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5"/>
      <c r="Z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1.0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1.0</v>
      </c>
      <c r="Q141" s="74">
        <v>1.0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13">
        <f t="shared" ref="X141:X144" si="31">SUM(E141:W141)</f>
        <v>3</v>
      </c>
      <c r="Y141" s="1"/>
      <c r="Z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1.0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13">
        <f t="shared" si="31"/>
        <v>1</v>
      </c>
      <c r="Y142" s="52"/>
      <c r="Z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13">
        <f t="shared" si="31"/>
        <v>0</v>
      </c>
      <c r="Y143" s="5"/>
      <c r="Z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13">
        <f t="shared" si="31"/>
        <v>0</v>
      </c>
      <c r="Y144" s="5"/>
      <c r="Z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81"/>
      <c r="Y145" s="5"/>
      <c r="Z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81"/>
      <c r="Y146" s="5"/>
      <c r="Z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81"/>
      <c r="Y147" s="5"/>
      <c r="Z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81"/>
      <c r="Y148" s="5"/>
      <c r="Z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81"/>
      <c r="Y149" s="5"/>
      <c r="Z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81"/>
      <c r="Y150" s="5"/>
      <c r="Z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W151" si="32">SUM(E141:E148)</f>
        <v>0</v>
      </c>
      <c r="F151" s="13">
        <f t="shared" si="32"/>
        <v>0</v>
      </c>
      <c r="G151" s="13">
        <f t="shared" si="32"/>
        <v>0</v>
      </c>
      <c r="H151" s="13">
        <f t="shared" si="32"/>
        <v>1</v>
      </c>
      <c r="I151" s="13">
        <f t="shared" si="32"/>
        <v>0</v>
      </c>
      <c r="J151" s="13">
        <f t="shared" si="32"/>
        <v>0</v>
      </c>
      <c r="K151" s="13">
        <f t="shared" si="32"/>
        <v>0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1</v>
      </c>
      <c r="P151" s="13">
        <f t="shared" si="32"/>
        <v>1</v>
      </c>
      <c r="Q151" s="13">
        <f t="shared" si="32"/>
        <v>1</v>
      </c>
      <c r="R151" s="13">
        <f t="shared" si="32"/>
        <v>0</v>
      </c>
      <c r="S151" s="13">
        <f t="shared" si="32"/>
        <v>0</v>
      </c>
      <c r="T151" s="13">
        <f t="shared" si="32"/>
        <v>0</v>
      </c>
      <c r="U151" s="13">
        <f t="shared" si="32"/>
        <v>0</v>
      </c>
      <c r="V151" s="13">
        <f t="shared" si="32"/>
        <v>0</v>
      </c>
      <c r="W151" s="13">
        <f t="shared" si="32"/>
        <v>0</v>
      </c>
      <c r="X151" s="13">
        <f>SUM(E151:W151)</f>
        <v>4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13"/>
      <c r="Y152" s="52"/>
      <c r="Z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1.0</v>
      </c>
      <c r="K153" s="74">
        <v>1.0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1.0</v>
      </c>
      <c r="R153" s="74">
        <v>0.0</v>
      </c>
      <c r="S153" s="74">
        <v>1.0</v>
      </c>
      <c r="T153" s="74">
        <v>0.0</v>
      </c>
      <c r="U153" s="74">
        <v>0.0</v>
      </c>
      <c r="V153" s="74">
        <v>0.0</v>
      </c>
      <c r="W153" s="74">
        <v>0.0</v>
      </c>
      <c r="X153" s="13">
        <f t="shared" ref="X153:X159" si="33">SUM(E153:W153)</f>
        <v>4</v>
      </c>
      <c r="Y153" s="5"/>
      <c r="Z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1.0</v>
      </c>
      <c r="F154" s="74">
        <v>0.0</v>
      </c>
      <c r="G154" s="74">
        <v>0.0</v>
      </c>
      <c r="H154" s="74">
        <v>2.0</v>
      </c>
      <c r="I154" s="74">
        <v>0.0</v>
      </c>
      <c r="J154" s="74">
        <v>1.0</v>
      </c>
      <c r="K154" s="74">
        <v>0.0</v>
      </c>
      <c r="L154" s="74">
        <v>0.0</v>
      </c>
      <c r="M154" s="74">
        <v>0.0</v>
      </c>
      <c r="N154" s="74">
        <v>0.0</v>
      </c>
      <c r="O154" s="74">
        <v>2.0</v>
      </c>
      <c r="P154" s="74">
        <v>0.0</v>
      </c>
      <c r="Q154" s="74">
        <v>0.0</v>
      </c>
      <c r="R154" s="74">
        <v>1.0</v>
      </c>
      <c r="S154" s="74">
        <v>0.0</v>
      </c>
      <c r="T154" s="74">
        <v>0.0</v>
      </c>
      <c r="U154" s="74">
        <v>0.0</v>
      </c>
      <c r="V154" s="74">
        <v>0.0</v>
      </c>
      <c r="W154" s="74">
        <v>2.0</v>
      </c>
      <c r="X154" s="13">
        <f t="shared" si="33"/>
        <v>9</v>
      </c>
      <c r="Y154" s="5"/>
      <c r="Z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13">
        <f t="shared" si="33"/>
        <v>0</v>
      </c>
      <c r="Y155" s="5"/>
      <c r="Z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13">
        <f t="shared" si="33"/>
        <v>0</v>
      </c>
      <c r="Y156" s="5"/>
      <c r="Z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1.0</v>
      </c>
      <c r="L157" s="74">
        <v>0.0</v>
      </c>
      <c r="M157" s="74">
        <v>0.0</v>
      </c>
      <c r="N157" s="74">
        <v>1.0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13">
        <f t="shared" si="33"/>
        <v>2</v>
      </c>
      <c r="Y157" s="5"/>
      <c r="Z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13">
        <f t="shared" si="33"/>
        <v>0</v>
      </c>
      <c r="Y158" s="5"/>
      <c r="Z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1.0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13">
        <f t="shared" si="33"/>
        <v>1</v>
      </c>
      <c r="Y159" s="5"/>
      <c r="Z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82">
        <v>0.0</v>
      </c>
      <c r="G160" s="82">
        <v>0.0</v>
      </c>
      <c r="H160" s="82">
        <v>0.0</v>
      </c>
      <c r="I160" s="82">
        <v>0.0</v>
      </c>
      <c r="J160" s="82">
        <v>0.0</v>
      </c>
      <c r="K160" s="82">
        <v>0.0</v>
      </c>
      <c r="L160" s="82">
        <v>0.0</v>
      </c>
      <c r="M160" s="82">
        <v>0.0</v>
      </c>
      <c r="N160" s="82">
        <v>0.0</v>
      </c>
      <c r="O160" s="82">
        <v>0.0</v>
      </c>
      <c r="P160" s="74">
        <v>1.0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8">
        <v>1.0</v>
      </c>
      <c r="Y160" s="5"/>
      <c r="Z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81"/>
      <c r="Y161" s="5"/>
      <c r="Z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81"/>
      <c r="Y162" s="5"/>
      <c r="Z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W163" si="34">SUM(E153:E162)</f>
        <v>1</v>
      </c>
      <c r="F163" s="13">
        <f t="shared" si="34"/>
        <v>0</v>
      </c>
      <c r="G163" s="13">
        <f t="shared" si="34"/>
        <v>0</v>
      </c>
      <c r="H163" s="13">
        <f t="shared" si="34"/>
        <v>2</v>
      </c>
      <c r="I163" s="13">
        <f t="shared" si="34"/>
        <v>0</v>
      </c>
      <c r="J163" s="13">
        <f t="shared" si="34"/>
        <v>2</v>
      </c>
      <c r="K163" s="13">
        <f t="shared" si="34"/>
        <v>2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2</v>
      </c>
      <c r="P163" s="13">
        <f t="shared" si="34"/>
        <v>1</v>
      </c>
      <c r="Q163" s="13">
        <f t="shared" si="34"/>
        <v>1</v>
      </c>
      <c r="R163" s="13">
        <f t="shared" si="34"/>
        <v>2</v>
      </c>
      <c r="S163" s="13">
        <f t="shared" si="34"/>
        <v>1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2</v>
      </c>
      <c r="X163" s="13">
        <f>SUM(X153:X160)</f>
        <v>17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5"/>
      <c r="Z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1.0</v>
      </c>
      <c r="H165" s="74">
        <v>1.0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2.0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1.0</v>
      </c>
      <c r="U165" s="74">
        <v>0.0</v>
      </c>
      <c r="V165" s="74">
        <v>2.0</v>
      </c>
      <c r="W165" s="74">
        <v>0.0</v>
      </c>
      <c r="X165" s="13">
        <f t="shared" ref="X165:X166" si="35">SUM(E165:W165)</f>
        <v>8</v>
      </c>
      <c r="Y165" s="1"/>
      <c r="Z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1.0</v>
      </c>
      <c r="G166" s="74">
        <v>1.0</v>
      </c>
      <c r="H166" s="74">
        <v>1.0</v>
      </c>
      <c r="I166" s="74">
        <v>2.0</v>
      </c>
      <c r="J166" s="74">
        <v>1.0</v>
      </c>
      <c r="K166" s="74">
        <v>1.0</v>
      </c>
      <c r="L166" s="74">
        <v>1.0</v>
      </c>
      <c r="M166" s="74">
        <v>1.0</v>
      </c>
      <c r="N166" s="74">
        <v>2.0</v>
      </c>
      <c r="O166" s="74">
        <v>0.0</v>
      </c>
      <c r="P166" s="74">
        <v>0.0</v>
      </c>
      <c r="Q166" s="74">
        <v>0.0</v>
      </c>
      <c r="R166" s="74">
        <v>2.0</v>
      </c>
      <c r="S166" s="74">
        <v>0.0</v>
      </c>
      <c r="T166" s="74">
        <v>1.0</v>
      </c>
      <c r="U166" s="74">
        <v>0.0</v>
      </c>
      <c r="V166" s="74">
        <v>0.0</v>
      </c>
      <c r="W166" s="74">
        <v>1.0</v>
      </c>
      <c r="X166" s="13">
        <f t="shared" si="35"/>
        <v>15</v>
      </c>
      <c r="Y166" s="52"/>
      <c r="Z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81"/>
      <c r="Y167" s="5"/>
      <c r="Z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81"/>
      <c r="Y168" s="5"/>
      <c r="Z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81"/>
      <c r="Y169" s="5"/>
      <c r="Z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81"/>
      <c r="Y170" s="5"/>
      <c r="Z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81"/>
      <c r="Y171" s="5"/>
      <c r="Z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81"/>
      <c r="Y172" s="5"/>
      <c r="Z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81"/>
      <c r="Y173" s="5"/>
      <c r="Z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81"/>
      <c r="Y174" s="5"/>
      <c r="Z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W175" si="36">SUM(E165:E172)</f>
        <v>0</v>
      </c>
      <c r="F175" s="13">
        <f t="shared" si="36"/>
        <v>2</v>
      </c>
      <c r="G175" s="13">
        <f t="shared" si="36"/>
        <v>2</v>
      </c>
      <c r="H175" s="13">
        <f t="shared" si="36"/>
        <v>2</v>
      </c>
      <c r="I175" s="13">
        <f t="shared" si="36"/>
        <v>2</v>
      </c>
      <c r="J175" s="13">
        <f t="shared" si="36"/>
        <v>1</v>
      </c>
      <c r="K175" s="13">
        <f t="shared" si="36"/>
        <v>1</v>
      </c>
      <c r="L175" s="13">
        <f t="shared" si="36"/>
        <v>1</v>
      </c>
      <c r="M175" s="13">
        <f t="shared" si="36"/>
        <v>1</v>
      </c>
      <c r="N175" s="13">
        <f t="shared" si="36"/>
        <v>4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2</v>
      </c>
      <c r="S175" s="13">
        <f t="shared" si="36"/>
        <v>0</v>
      </c>
      <c r="T175" s="13">
        <f t="shared" si="36"/>
        <v>2</v>
      </c>
      <c r="U175" s="13">
        <f t="shared" si="36"/>
        <v>0</v>
      </c>
      <c r="V175" s="13">
        <f t="shared" si="36"/>
        <v>2</v>
      </c>
      <c r="W175" s="13">
        <f t="shared" si="36"/>
        <v>1</v>
      </c>
      <c r="X175" s="13">
        <f>SUM(E175:W175)</f>
        <v>23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1"/>
      <c r="Z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1.0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0.0</v>
      </c>
      <c r="P177" s="74">
        <v>2.0</v>
      </c>
      <c r="Q177" s="74">
        <v>0.0</v>
      </c>
      <c r="R177" s="74">
        <v>1.0</v>
      </c>
      <c r="S177" s="74">
        <v>0.0</v>
      </c>
      <c r="T177" s="74">
        <v>1.0</v>
      </c>
      <c r="U177" s="74">
        <v>1.0</v>
      </c>
      <c r="V177" s="74">
        <v>1.0</v>
      </c>
      <c r="W177" s="74">
        <v>0.0</v>
      </c>
      <c r="X177" s="13">
        <f t="shared" ref="X177:X186" si="37">SUM(E177:W177)</f>
        <v>8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1.0</v>
      </c>
      <c r="K178" s="74">
        <v>1.0</v>
      </c>
      <c r="L178" s="74">
        <v>0.0</v>
      </c>
      <c r="M178" s="74">
        <v>0.0</v>
      </c>
      <c r="N178" s="74">
        <v>0.0</v>
      </c>
      <c r="O178" s="74">
        <v>2.0</v>
      </c>
      <c r="P178" s="74">
        <v>0.0</v>
      </c>
      <c r="Q178" s="74">
        <v>0.0</v>
      </c>
      <c r="R178" s="74">
        <v>0.0</v>
      </c>
      <c r="S178" s="74">
        <v>1.0</v>
      </c>
      <c r="T178" s="74">
        <v>1.0</v>
      </c>
      <c r="U178" s="74">
        <v>0.0</v>
      </c>
      <c r="V178" s="74">
        <v>1.0</v>
      </c>
      <c r="W178" s="74">
        <v>1.0</v>
      </c>
      <c r="X178" s="13">
        <f t="shared" si="37"/>
        <v>8</v>
      </c>
      <c r="Y178" s="5"/>
      <c r="Z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1.0</v>
      </c>
      <c r="K179" s="74">
        <v>0.0</v>
      </c>
      <c r="L179" s="74">
        <v>0.0</v>
      </c>
      <c r="M179" s="74">
        <v>0.0</v>
      </c>
      <c r="N179" s="74">
        <v>0.0</v>
      </c>
      <c r="O179" s="74">
        <v>1.0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13">
        <f t="shared" si="37"/>
        <v>2</v>
      </c>
      <c r="Y179" s="5"/>
      <c r="Z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1.0</v>
      </c>
      <c r="R180" s="74">
        <v>0.0</v>
      </c>
      <c r="S180" s="74">
        <v>1.0</v>
      </c>
      <c r="T180" s="74">
        <v>0.0</v>
      </c>
      <c r="U180" s="74">
        <v>0.0</v>
      </c>
      <c r="V180" s="74">
        <v>0.0</v>
      </c>
      <c r="W180" s="74">
        <v>0.0</v>
      </c>
      <c r="X180" s="13">
        <f t="shared" si="37"/>
        <v>3</v>
      </c>
      <c r="Y180" s="5"/>
      <c r="Z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1.0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13">
        <f t="shared" si="37"/>
        <v>1</v>
      </c>
      <c r="Y181" s="5"/>
      <c r="Z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1.0</v>
      </c>
      <c r="Q182" s="74">
        <v>0.0</v>
      </c>
      <c r="R182" s="74">
        <v>0.0</v>
      </c>
      <c r="S182" s="74">
        <v>0.0</v>
      </c>
      <c r="T182" s="74">
        <v>1.0</v>
      </c>
      <c r="U182" s="74">
        <v>0.0</v>
      </c>
      <c r="V182" s="74">
        <v>0.0</v>
      </c>
      <c r="W182" s="74">
        <v>0.0</v>
      </c>
      <c r="X182" s="13">
        <f t="shared" si="37"/>
        <v>2</v>
      </c>
      <c r="Y182" s="5"/>
      <c r="Z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13">
        <f t="shared" si="37"/>
        <v>0</v>
      </c>
      <c r="Y183" s="5"/>
      <c r="Z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1.0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13">
        <f t="shared" si="37"/>
        <v>1</v>
      </c>
      <c r="Y184" s="5"/>
      <c r="Z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1.0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13">
        <f t="shared" si="37"/>
        <v>1</v>
      </c>
      <c r="Y185" s="5"/>
      <c r="Z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13">
        <f t="shared" si="37"/>
        <v>0</v>
      </c>
      <c r="Y186" s="5"/>
      <c r="Z186" s="5"/>
    </row>
    <row r="187" ht="12.75" customHeight="1">
      <c r="A187" s="19" t="s">
        <v>15</v>
      </c>
      <c r="B187" s="47" t="s">
        <v>49</v>
      </c>
      <c r="C187" s="15"/>
      <c r="D187" s="16"/>
      <c r="E187" s="78">
        <f t="shared" ref="E187:X187" si="38">SUM(E177:E186)</f>
        <v>1</v>
      </c>
      <c r="F187" s="78">
        <f t="shared" si="38"/>
        <v>1</v>
      </c>
      <c r="G187" s="78">
        <f t="shared" si="38"/>
        <v>0</v>
      </c>
      <c r="H187" s="78">
        <f t="shared" si="38"/>
        <v>1</v>
      </c>
      <c r="I187" s="78">
        <f t="shared" si="38"/>
        <v>2</v>
      </c>
      <c r="J187" s="78">
        <f t="shared" si="38"/>
        <v>2</v>
      </c>
      <c r="K187" s="78">
        <f t="shared" si="38"/>
        <v>1</v>
      </c>
      <c r="L187" s="78">
        <f t="shared" si="38"/>
        <v>0</v>
      </c>
      <c r="M187" s="78">
        <f t="shared" si="38"/>
        <v>0</v>
      </c>
      <c r="N187" s="78">
        <f t="shared" si="38"/>
        <v>0</v>
      </c>
      <c r="O187" s="78">
        <f t="shared" si="38"/>
        <v>3</v>
      </c>
      <c r="P187" s="78">
        <f t="shared" si="38"/>
        <v>3</v>
      </c>
      <c r="Q187" s="78">
        <f t="shared" si="38"/>
        <v>1</v>
      </c>
      <c r="R187" s="78">
        <f t="shared" si="38"/>
        <v>2</v>
      </c>
      <c r="S187" s="78">
        <f t="shared" si="38"/>
        <v>2</v>
      </c>
      <c r="T187" s="78">
        <f t="shared" si="38"/>
        <v>3</v>
      </c>
      <c r="U187" s="78">
        <f t="shared" si="38"/>
        <v>1</v>
      </c>
      <c r="V187" s="78">
        <f t="shared" si="38"/>
        <v>2</v>
      </c>
      <c r="W187" s="78">
        <f t="shared" si="38"/>
        <v>1</v>
      </c>
      <c r="X187" s="78">
        <f t="shared" si="38"/>
        <v>26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2.0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13">
        <f t="shared" ref="X189:X198" si="39">SUM(E189:W189)</f>
        <v>3</v>
      </c>
      <c r="Y189" s="5"/>
      <c r="Z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1.0</v>
      </c>
      <c r="H190" s="74">
        <v>1.0</v>
      </c>
      <c r="I190" s="74">
        <v>0.0</v>
      </c>
      <c r="J190" s="74">
        <v>0.0</v>
      </c>
      <c r="K190" s="74">
        <v>0.0</v>
      </c>
      <c r="L190" s="74">
        <v>2.0</v>
      </c>
      <c r="M190" s="74">
        <v>2.0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2.0</v>
      </c>
      <c r="T190" s="74">
        <v>0.0</v>
      </c>
      <c r="U190" s="74">
        <v>0.0</v>
      </c>
      <c r="V190" s="74">
        <v>1.0</v>
      </c>
      <c r="W190" s="74">
        <v>0.0</v>
      </c>
      <c r="X190" s="13">
        <f t="shared" si="39"/>
        <v>9</v>
      </c>
      <c r="Y190" s="5"/>
      <c r="Z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1.0</v>
      </c>
      <c r="J191" s="74">
        <v>1.0</v>
      </c>
      <c r="K191" s="74">
        <v>1.0</v>
      </c>
      <c r="L191" s="74">
        <v>0.0</v>
      </c>
      <c r="M191" s="74">
        <v>1.0</v>
      </c>
      <c r="N191" s="74">
        <v>0.0</v>
      </c>
      <c r="O191" s="74">
        <v>1.0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1.0</v>
      </c>
      <c r="W191" s="74">
        <v>0.0</v>
      </c>
      <c r="X191" s="13">
        <f t="shared" si="39"/>
        <v>6</v>
      </c>
      <c r="Y191" s="5"/>
      <c r="Z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1.0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1.0</v>
      </c>
      <c r="X192" s="13">
        <f t="shared" si="39"/>
        <v>2</v>
      </c>
      <c r="Y192" s="5"/>
      <c r="Z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1.0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1.0</v>
      </c>
      <c r="V193" s="74">
        <v>0.0</v>
      </c>
      <c r="W193" s="74">
        <v>0.0</v>
      </c>
      <c r="X193" s="13">
        <f t="shared" si="39"/>
        <v>2</v>
      </c>
      <c r="Y193" s="5"/>
      <c r="Z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13">
        <f t="shared" si="39"/>
        <v>0</v>
      </c>
      <c r="Y194" s="5"/>
      <c r="Z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1.0</v>
      </c>
      <c r="H195" s="74">
        <v>1.0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13">
        <f t="shared" si="39"/>
        <v>2</v>
      </c>
      <c r="Y195" s="5"/>
      <c r="Z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13">
        <f t="shared" si="39"/>
        <v>0</v>
      </c>
      <c r="Y196" s="1"/>
      <c r="Z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13">
        <f t="shared" si="39"/>
        <v>0</v>
      </c>
      <c r="Y197" s="1"/>
      <c r="Z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1.0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1.0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13">
        <f t="shared" si="39"/>
        <v>2</v>
      </c>
      <c r="Y198" s="1"/>
      <c r="Z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X199" si="40">SUM(E189:E198)</f>
        <v>2</v>
      </c>
      <c r="F199" s="13">
        <f t="shared" si="40"/>
        <v>1</v>
      </c>
      <c r="G199" s="13">
        <f t="shared" si="40"/>
        <v>2</v>
      </c>
      <c r="H199" s="13">
        <f t="shared" si="40"/>
        <v>3</v>
      </c>
      <c r="I199" s="13">
        <f t="shared" si="40"/>
        <v>1</v>
      </c>
      <c r="J199" s="13">
        <f t="shared" si="40"/>
        <v>1</v>
      </c>
      <c r="K199" s="13">
        <f t="shared" si="40"/>
        <v>1</v>
      </c>
      <c r="L199" s="13">
        <f t="shared" si="40"/>
        <v>2</v>
      </c>
      <c r="M199" s="13">
        <f t="shared" si="40"/>
        <v>3</v>
      </c>
      <c r="N199" s="13">
        <f t="shared" si="40"/>
        <v>2</v>
      </c>
      <c r="O199" s="13">
        <f t="shared" si="40"/>
        <v>2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2</v>
      </c>
      <c r="T199" s="13">
        <f t="shared" si="40"/>
        <v>0</v>
      </c>
      <c r="U199" s="13">
        <f t="shared" si="40"/>
        <v>1</v>
      </c>
      <c r="V199" s="13">
        <f t="shared" si="40"/>
        <v>2</v>
      </c>
      <c r="W199" s="13">
        <f t="shared" si="40"/>
        <v>1</v>
      </c>
      <c r="X199" s="13">
        <f t="shared" si="40"/>
        <v>26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5"/>
      <c r="Z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0.0</v>
      </c>
      <c r="G201" s="74">
        <v>1.0</v>
      </c>
      <c r="H201" s="74">
        <v>1.0</v>
      </c>
      <c r="I201" s="74">
        <v>3.0</v>
      </c>
      <c r="J201" s="74">
        <v>7.0</v>
      </c>
      <c r="K201" s="74">
        <v>1.0</v>
      </c>
      <c r="L201" s="74">
        <v>1.0</v>
      </c>
      <c r="M201" s="74">
        <v>1.0</v>
      </c>
      <c r="N201" s="74">
        <v>4.0</v>
      </c>
      <c r="O201" s="74">
        <v>3.0</v>
      </c>
      <c r="P201" s="74">
        <v>2.0</v>
      </c>
      <c r="Q201" s="74">
        <v>2.0</v>
      </c>
      <c r="R201" s="74">
        <v>1.0</v>
      </c>
      <c r="S201" s="74">
        <v>0.0</v>
      </c>
      <c r="T201" s="74">
        <v>3.0</v>
      </c>
      <c r="U201" s="74">
        <v>9.0</v>
      </c>
      <c r="V201" s="74">
        <v>4.0</v>
      </c>
      <c r="W201" s="74">
        <v>2.0</v>
      </c>
      <c r="X201" s="13">
        <f t="shared" ref="X201:X210" si="41">SUM(E201:W201)</f>
        <v>48</v>
      </c>
      <c r="Y201" s="5"/>
      <c r="Z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6.0</v>
      </c>
      <c r="F202" s="74">
        <v>6.0</v>
      </c>
      <c r="G202" s="74">
        <v>8.0</v>
      </c>
      <c r="H202" s="74">
        <v>13.0</v>
      </c>
      <c r="I202" s="74">
        <v>6.0</v>
      </c>
      <c r="J202" s="74">
        <v>9.0</v>
      </c>
      <c r="K202" s="74">
        <v>11.0</v>
      </c>
      <c r="L202" s="74">
        <v>10.0</v>
      </c>
      <c r="M202" s="74">
        <v>6.0</v>
      </c>
      <c r="N202" s="74">
        <v>5.0</v>
      </c>
      <c r="O202" s="74">
        <v>12.0</v>
      </c>
      <c r="P202" s="74">
        <v>8.0</v>
      </c>
      <c r="Q202" s="74">
        <v>10.0</v>
      </c>
      <c r="R202" s="74">
        <v>9.0</v>
      </c>
      <c r="S202" s="74">
        <v>7.0</v>
      </c>
      <c r="T202" s="74">
        <v>7.0</v>
      </c>
      <c r="U202" s="74">
        <v>4.0</v>
      </c>
      <c r="V202" s="74">
        <v>10.0</v>
      </c>
      <c r="W202" s="74">
        <v>6.0</v>
      </c>
      <c r="X202" s="13">
        <f t="shared" si="41"/>
        <v>153</v>
      </c>
      <c r="Y202" s="5"/>
      <c r="Z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0.0</v>
      </c>
      <c r="G203" s="74">
        <v>1.0</v>
      </c>
      <c r="H203" s="74">
        <v>0.0</v>
      </c>
      <c r="I203" s="74">
        <v>1.0</v>
      </c>
      <c r="J203" s="74">
        <v>0.0</v>
      </c>
      <c r="K203" s="74">
        <v>3.0</v>
      </c>
      <c r="L203" s="74">
        <v>4.0</v>
      </c>
      <c r="M203" s="74">
        <v>0.0</v>
      </c>
      <c r="N203" s="74">
        <v>2.0</v>
      </c>
      <c r="O203" s="74">
        <v>2.0</v>
      </c>
      <c r="P203" s="74">
        <v>2.0</v>
      </c>
      <c r="Q203" s="74">
        <v>0.0</v>
      </c>
      <c r="R203" s="74">
        <v>0.0</v>
      </c>
      <c r="S203" s="74">
        <v>1.0</v>
      </c>
      <c r="T203" s="74">
        <v>2.0</v>
      </c>
      <c r="U203" s="74">
        <v>0.0</v>
      </c>
      <c r="V203" s="74">
        <v>0.0</v>
      </c>
      <c r="W203" s="74">
        <v>1.0</v>
      </c>
      <c r="X203" s="13">
        <f t="shared" si="41"/>
        <v>19</v>
      </c>
      <c r="Y203" s="5"/>
      <c r="Z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1.0</v>
      </c>
      <c r="G204" s="74">
        <v>1.0</v>
      </c>
      <c r="H204" s="74">
        <v>2.0</v>
      </c>
      <c r="I204" s="74">
        <v>1.0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1.0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0.0</v>
      </c>
      <c r="X204" s="13">
        <f t="shared" si="41"/>
        <v>7</v>
      </c>
      <c r="Y204" s="5"/>
      <c r="Z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1.0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13">
        <f t="shared" si="41"/>
        <v>1</v>
      </c>
      <c r="Y205" s="5"/>
      <c r="Z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1.0</v>
      </c>
      <c r="O206" s="74">
        <v>0.0</v>
      </c>
      <c r="P206" s="74">
        <v>1.0</v>
      </c>
      <c r="Q206" s="74">
        <v>1.0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13">
        <f t="shared" si="41"/>
        <v>3</v>
      </c>
      <c r="Y206" s="5"/>
      <c r="Z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1.0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13">
        <f t="shared" si="41"/>
        <v>1</v>
      </c>
      <c r="Y207" s="1"/>
      <c r="Z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1.0</v>
      </c>
      <c r="I208" s="74">
        <v>0.0</v>
      </c>
      <c r="J208" s="74">
        <v>0.0</v>
      </c>
      <c r="K208" s="74">
        <v>1.0</v>
      </c>
      <c r="L208" s="74">
        <v>0.0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1.0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13">
        <f t="shared" si="41"/>
        <v>3</v>
      </c>
      <c r="Y208" s="52"/>
      <c r="Z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13">
        <f t="shared" si="41"/>
        <v>0</v>
      </c>
      <c r="Y209" s="52"/>
      <c r="Z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1.0</v>
      </c>
      <c r="H210" s="74">
        <v>0.0</v>
      </c>
      <c r="I210" s="74">
        <v>0.0</v>
      </c>
      <c r="J210" s="74">
        <v>1.0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1.0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13">
        <f t="shared" si="41"/>
        <v>3</v>
      </c>
      <c r="Y210" s="52"/>
      <c r="Z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X211" si="42">SUM(E201:E210)</f>
        <v>10</v>
      </c>
      <c r="F211" s="13">
        <f t="shared" si="42"/>
        <v>7</v>
      </c>
      <c r="G211" s="13">
        <f t="shared" si="42"/>
        <v>12</v>
      </c>
      <c r="H211" s="13">
        <f t="shared" si="42"/>
        <v>17</v>
      </c>
      <c r="I211" s="13">
        <f t="shared" si="42"/>
        <v>12</v>
      </c>
      <c r="J211" s="13">
        <f t="shared" si="42"/>
        <v>17</v>
      </c>
      <c r="K211" s="13">
        <f t="shared" si="42"/>
        <v>16</v>
      </c>
      <c r="L211" s="13">
        <f t="shared" si="42"/>
        <v>15</v>
      </c>
      <c r="M211" s="13">
        <f t="shared" si="42"/>
        <v>7</v>
      </c>
      <c r="N211" s="13">
        <f t="shared" si="42"/>
        <v>13</v>
      </c>
      <c r="O211" s="13">
        <f t="shared" si="42"/>
        <v>18</v>
      </c>
      <c r="P211" s="13">
        <f t="shared" si="42"/>
        <v>14</v>
      </c>
      <c r="Q211" s="13">
        <f t="shared" si="42"/>
        <v>13</v>
      </c>
      <c r="R211" s="13">
        <f t="shared" si="42"/>
        <v>11</v>
      </c>
      <c r="S211" s="13">
        <f t="shared" si="42"/>
        <v>8</v>
      </c>
      <c r="T211" s="13">
        <f t="shared" si="42"/>
        <v>12</v>
      </c>
      <c r="U211" s="13">
        <f t="shared" si="42"/>
        <v>13</v>
      </c>
      <c r="V211" s="13">
        <f t="shared" si="42"/>
        <v>14</v>
      </c>
      <c r="W211" s="13">
        <f t="shared" si="42"/>
        <v>9</v>
      </c>
      <c r="X211" s="13">
        <f t="shared" si="42"/>
        <v>238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5"/>
      <c r="Z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2.0</v>
      </c>
      <c r="F213" s="74">
        <v>1.0</v>
      </c>
      <c r="G213" s="74">
        <v>3.0</v>
      </c>
      <c r="H213" s="74">
        <v>4.0</v>
      </c>
      <c r="I213" s="74">
        <v>2.0</v>
      </c>
      <c r="J213" s="74">
        <v>4.0</v>
      </c>
      <c r="K213" s="74">
        <v>1.0</v>
      </c>
      <c r="L213" s="74">
        <v>2.0</v>
      </c>
      <c r="M213" s="74">
        <v>3.0</v>
      </c>
      <c r="N213" s="74">
        <v>1.0</v>
      </c>
      <c r="O213" s="74">
        <v>5.0</v>
      </c>
      <c r="P213" s="74">
        <v>1.0</v>
      </c>
      <c r="Q213" s="74">
        <v>2.0</v>
      </c>
      <c r="R213" s="74">
        <v>0.0</v>
      </c>
      <c r="S213" s="74">
        <v>0.0</v>
      </c>
      <c r="T213" s="74">
        <v>1.0</v>
      </c>
      <c r="U213" s="74">
        <v>1.0</v>
      </c>
      <c r="V213" s="74">
        <v>0.0</v>
      </c>
      <c r="W213" s="74">
        <v>1.0</v>
      </c>
      <c r="X213" s="13">
        <f t="shared" ref="X213:X216" si="43">SUM(E213:W213)</f>
        <v>34</v>
      </c>
      <c r="Y213" s="5"/>
      <c r="Z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3.0</v>
      </c>
      <c r="F214" s="74">
        <v>1.0</v>
      </c>
      <c r="G214" s="74">
        <v>4.0</v>
      </c>
      <c r="H214" s="74">
        <v>1.0</v>
      </c>
      <c r="I214" s="74">
        <v>2.0</v>
      </c>
      <c r="J214" s="74">
        <v>0.0</v>
      </c>
      <c r="K214" s="74">
        <v>2.0</v>
      </c>
      <c r="L214" s="74">
        <v>0.0</v>
      </c>
      <c r="M214" s="74">
        <v>0.0</v>
      </c>
      <c r="N214" s="74">
        <v>1.0</v>
      </c>
      <c r="O214" s="74">
        <v>3.0</v>
      </c>
      <c r="P214" s="74">
        <v>1.0</v>
      </c>
      <c r="Q214" s="74">
        <v>2.0</v>
      </c>
      <c r="R214" s="74">
        <v>2.0</v>
      </c>
      <c r="S214" s="74">
        <v>0.0</v>
      </c>
      <c r="T214" s="74">
        <v>1.0</v>
      </c>
      <c r="U214" s="74">
        <v>1.0</v>
      </c>
      <c r="V214" s="74">
        <v>2.0</v>
      </c>
      <c r="W214" s="74">
        <v>0.0</v>
      </c>
      <c r="X214" s="13">
        <f t="shared" si="43"/>
        <v>26</v>
      </c>
      <c r="Y214" s="5"/>
      <c r="Z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1.0</v>
      </c>
      <c r="G215" s="74">
        <v>0.0</v>
      </c>
      <c r="H215" s="74">
        <v>0.0</v>
      </c>
      <c r="I215" s="74">
        <v>1.0</v>
      </c>
      <c r="J215" s="74">
        <v>0.0</v>
      </c>
      <c r="K215" s="74">
        <v>0.0</v>
      </c>
      <c r="L215" s="74">
        <v>0.0</v>
      </c>
      <c r="M215" s="74">
        <v>1.0</v>
      </c>
      <c r="N215" s="74">
        <v>0.0</v>
      </c>
      <c r="O215" s="74">
        <v>3.0</v>
      </c>
      <c r="P215" s="74">
        <v>1.0</v>
      </c>
      <c r="Q215" s="74">
        <v>0.0</v>
      </c>
      <c r="R215" s="74">
        <v>0.0</v>
      </c>
      <c r="S215" s="74">
        <v>1.0</v>
      </c>
      <c r="T215" s="74">
        <v>2.0</v>
      </c>
      <c r="U215" s="74">
        <v>2.0</v>
      </c>
      <c r="V215" s="74">
        <v>1.0</v>
      </c>
      <c r="W215" s="74">
        <v>0.0</v>
      </c>
      <c r="X215" s="13">
        <f t="shared" si="43"/>
        <v>14</v>
      </c>
      <c r="Y215" s="5"/>
      <c r="Z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2.0</v>
      </c>
      <c r="J216" s="74">
        <v>1.0</v>
      </c>
      <c r="K216" s="74">
        <v>0.0</v>
      </c>
      <c r="L216" s="74">
        <v>0.0</v>
      </c>
      <c r="M216" s="74">
        <v>0.0</v>
      </c>
      <c r="N216" s="74">
        <v>1.0</v>
      </c>
      <c r="O216" s="74">
        <v>0.0</v>
      </c>
      <c r="P216" s="74">
        <v>0.0</v>
      </c>
      <c r="Q216" s="74">
        <v>1.0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13">
        <f t="shared" si="43"/>
        <v>5</v>
      </c>
      <c r="Y216" s="5"/>
      <c r="Z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81"/>
      <c r="Y217" s="5"/>
      <c r="Z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81"/>
      <c r="Y218" s="1"/>
      <c r="Z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81"/>
      <c r="Y219" s="52"/>
      <c r="Z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81"/>
      <c r="Y220" s="5"/>
      <c r="Z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81"/>
      <c r="Y221" s="5"/>
      <c r="Z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81"/>
      <c r="Y222" s="5"/>
      <c r="Z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W223" si="44">SUM(E213:E220)</f>
        <v>6</v>
      </c>
      <c r="F223" s="13">
        <f t="shared" si="44"/>
        <v>3</v>
      </c>
      <c r="G223" s="13">
        <f t="shared" si="44"/>
        <v>7</v>
      </c>
      <c r="H223" s="13">
        <f t="shared" si="44"/>
        <v>5</v>
      </c>
      <c r="I223" s="13">
        <f t="shared" si="44"/>
        <v>7</v>
      </c>
      <c r="J223" s="13">
        <f t="shared" si="44"/>
        <v>5</v>
      </c>
      <c r="K223" s="13">
        <f t="shared" si="44"/>
        <v>3</v>
      </c>
      <c r="L223" s="13">
        <f t="shared" si="44"/>
        <v>2</v>
      </c>
      <c r="M223" s="13">
        <f t="shared" si="44"/>
        <v>4</v>
      </c>
      <c r="N223" s="13">
        <f t="shared" si="44"/>
        <v>3</v>
      </c>
      <c r="O223" s="13">
        <f t="shared" si="44"/>
        <v>11</v>
      </c>
      <c r="P223" s="13">
        <f t="shared" si="44"/>
        <v>3</v>
      </c>
      <c r="Q223" s="13">
        <f t="shared" si="44"/>
        <v>5</v>
      </c>
      <c r="R223" s="13">
        <f t="shared" si="44"/>
        <v>2</v>
      </c>
      <c r="S223" s="13">
        <f t="shared" si="44"/>
        <v>1</v>
      </c>
      <c r="T223" s="13">
        <f t="shared" si="44"/>
        <v>4</v>
      </c>
      <c r="U223" s="13">
        <f t="shared" si="44"/>
        <v>4</v>
      </c>
      <c r="V223" s="13">
        <f t="shared" si="44"/>
        <v>3</v>
      </c>
      <c r="W223" s="13">
        <f t="shared" si="44"/>
        <v>1</v>
      </c>
      <c r="X223" s="13">
        <f>SUM(E223:W223)</f>
        <v>79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5"/>
      <c r="Z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1.0</v>
      </c>
      <c r="F225" s="74">
        <v>0.0</v>
      </c>
      <c r="G225" s="74">
        <v>0.0</v>
      </c>
      <c r="H225" s="74">
        <v>1.0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1.0</v>
      </c>
      <c r="S225" s="74">
        <v>0.0</v>
      </c>
      <c r="T225" s="74">
        <v>1.0</v>
      </c>
      <c r="U225" s="74">
        <v>1.0</v>
      </c>
      <c r="V225" s="74">
        <v>0.0</v>
      </c>
      <c r="W225" s="74">
        <v>0.0</v>
      </c>
      <c r="X225" s="13">
        <f t="shared" ref="X225:X229" si="45">SUM(E225:W225)</f>
        <v>5</v>
      </c>
      <c r="Y225" s="5"/>
      <c r="Z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0.0</v>
      </c>
      <c r="K226" s="74">
        <v>0.0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2.0</v>
      </c>
      <c r="X226" s="13">
        <f t="shared" si="45"/>
        <v>4</v>
      </c>
      <c r="Y226" s="5"/>
      <c r="Z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13">
        <f t="shared" si="45"/>
        <v>0</v>
      </c>
      <c r="Y227" s="5"/>
      <c r="Z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13">
        <f t="shared" si="45"/>
        <v>0</v>
      </c>
      <c r="Y228" s="5"/>
      <c r="Z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1.0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13">
        <f t="shared" si="45"/>
        <v>1</v>
      </c>
      <c r="Y229" s="1"/>
      <c r="Z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81"/>
      <c r="Y230" s="52"/>
      <c r="Z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81"/>
      <c r="Y231" s="5"/>
      <c r="Z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81"/>
      <c r="Y232" s="5"/>
      <c r="Z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81"/>
      <c r="Y233" s="5"/>
      <c r="Z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81"/>
      <c r="Y234" s="5"/>
      <c r="Z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W235" si="46">SUM(E225:E232)</f>
        <v>1</v>
      </c>
      <c r="F235" s="13">
        <f t="shared" si="46"/>
        <v>0</v>
      </c>
      <c r="G235" s="13">
        <f t="shared" si="46"/>
        <v>0</v>
      </c>
      <c r="H235" s="13">
        <f t="shared" si="46"/>
        <v>1</v>
      </c>
      <c r="I235" s="13">
        <f t="shared" si="46"/>
        <v>2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1</v>
      </c>
      <c r="S235" s="13">
        <f t="shared" si="46"/>
        <v>0</v>
      </c>
      <c r="T235" s="13">
        <f t="shared" si="46"/>
        <v>1</v>
      </c>
      <c r="U235" s="13">
        <f t="shared" si="46"/>
        <v>1</v>
      </c>
      <c r="V235" s="13">
        <f t="shared" si="46"/>
        <v>0</v>
      </c>
      <c r="W235" s="13">
        <f t="shared" si="46"/>
        <v>2</v>
      </c>
      <c r="X235" s="13">
        <f>SUM(E235:W235)</f>
        <v>10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5"/>
      <c r="Z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5.0</v>
      </c>
      <c r="F237" s="74">
        <v>3.0</v>
      </c>
      <c r="G237" s="74">
        <v>7.0</v>
      </c>
      <c r="H237" s="74">
        <v>9.0</v>
      </c>
      <c r="I237" s="74">
        <v>4.0</v>
      </c>
      <c r="J237" s="74">
        <v>7.0</v>
      </c>
      <c r="K237" s="74">
        <v>5.0</v>
      </c>
      <c r="L237" s="74">
        <v>4.0</v>
      </c>
      <c r="M237" s="74">
        <v>3.0</v>
      </c>
      <c r="N237" s="74">
        <v>9.0</v>
      </c>
      <c r="O237" s="74">
        <v>2.0</v>
      </c>
      <c r="P237" s="74">
        <v>2.0</v>
      </c>
      <c r="Q237" s="74">
        <v>14.0</v>
      </c>
      <c r="R237" s="74">
        <v>5.0</v>
      </c>
      <c r="S237" s="74">
        <v>9.0</v>
      </c>
      <c r="T237" s="74">
        <v>3.0</v>
      </c>
      <c r="U237" s="74">
        <v>4.0</v>
      </c>
      <c r="V237" s="74">
        <v>7.0</v>
      </c>
      <c r="W237" s="74">
        <v>5.0</v>
      </c>
      <c r="X237" s="13">
        <f t="shared" ref="X237:X246" si="47">SUM(E237:W237)</f>
        <v>107</v>
      </c>
      <c r="Y237" s="5"/>
      <c r="Z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8.0</v>
      </c>
      <c r="F238" s="74">
        <v>6.0</v>
      </c>
      <c r="G238" s="74">
        <v>12.0</v>
      </c>
      <c r="H238" s="74">
        <v>10.0</v>
      </c>
      <c r="I238" s="74">
        <v>18.0</v>
      </c>
      <c r="J238" s="74">
        <v>16.0</v>
      </c>
      <c r="K238" s="74">
        <v>5.0</v>
      </c>
      <c r="L238" s="74">
        <v>9.0</v>
      </c>
      <c r="M238" s="74">
        <v>15.0</v>
      </c>
      <c r="N238" s="74">
        <v>9.0</v>
      </c>
      <c r="O238" s="74">
        <v>8.0</v>
      </c>
      <c r="P238" s="74">
        <v>4.0</v>
      </c>
      <c r="Q238" s="74">
        <v>18.0</v>
      </c>
      <c r="R238" s="74">
        <v>9.0</v>
      </c>
      <c r="S238" s="74">
        <v>19.0</v>
      </c>
      <c r="T238" s="74">
        <v>1.0</v>
      </c>
      <c r="U238" s="74">
        <v>7.0</v>
      </c>
      <c r="V238" s="74">
        <v>8.0</v>
      </c>
      <c r="W238" s="74">
        <v>9.0</v>
      </c>
      <c r="X238" s="13">
        <f t="shared" si="47"/>
        <v>191</v>
      </c>
      <c r="Y238" s="5"/>
      <c r="Z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1.0</v>
      </c>
      <c r="G239" s="74">
        <v>9.0</v>
      </c>
      <c r="H239" s="74">
        <v>1.0</v>
      </c>
      <c r="I239" s="74">
        <v>1.0</v>
      </c>
      <c r="J239" s="74">
        <v>4.0</v>
      </c>
      <c r="K239" s="74">
        <v>1.0</v>
      </c>
      <c r="L239" s="74">
        <v>2.0</v>
      </c>
      <c r="M239" s="74">
        <v>2.0</v>
      </c>
      <c r="N239" s="74">
        <v>2.0</v>
      </c>
      <c r="O239" s="74">
        <v>4.0</v>
      </c>
      <c r="P239" s="74">
        <v>4.0</v>
      </c>
      <c r="Q239" s="74">
        <v>1.0</v>
      </c>
      <c r="R239" s="74">
        <v>1.0</v>
      </c>
      <c r="S239" s="74">
        <v>5.0</v>
      </c>
      <c r="T239" s="74">
        <v>0.0</v>
      </c>
      <c r="U239" s="74">
        <v>0.0</v>
      </c>
      <c r="V239" s="74">
        <v>1.0</v>
      </c>
      <c r="W239" s="74">
        <v>0.0</v>
      </c>
      <c r="X239" s="13">
        <f t="shared" si="47"/>
        <v>40</v>
      </c>
      <c r="Y239" s="5"/>
      <c r="Z239" s="5"/>
    </row>
    <row r="240" ht="12.75" customHeight="1">
      <c r="A240" s="18"/>
      <c r="B240" s="55"/>
      <c r="C240" s="50" t="s">
        <v>178</v>
      </c>
      <c r="D240" s="57"/>
      <c r="E240" s="74">
        <v>1.0</v>
      </c>
      <c r="F240" s="74">
        <v>1.0</v>
      </c>
      <c r="G240" s="74">
        <v>2.0</v>
      </c>
      <c r="H240" s="74">
        <v>1.0</v>
      </c>
      <c r="I240" s="74">
        <v>0.0</v>
      </c>
      <c r="J240" s="74">
        <v>0.0</v>
      </c>
      <c r="K240" s="74">
        <v>1.0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1.0</v>
      </c>
      <c r="U240" s="74">
        <v>1.0</v>
      </c>
      <c r="V240" s="74">
        <v>0.0</v>
      </c>
      <c r="W240" s="74">
        <v>1.0</v>
      </c>
      <c r="X240" s="13">
        <f t="shared" si="47"/>
        <v>9</v>
      </c>
      <c r="Y240" s="1"/>
      <c r="Z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1.0</v>
      </c>
      <c r="G241" s="74">
        <v>1.0</v>
      </c>
      <c r="H241" s="74">
        <v>1.0</v>
      </c>
      <c r="I241" s="74">
        <v>2.0</v>
      </c>
      <c r="J241" s="74">
        <v>0.0</v>
      </c>
      <c r="K241" s="74">
        <v>1.0</v>
      </c>
      <c r="L241" s="74">
        <v>0.0</v>
      </c>
      <c r="M241" s="74">
        <v>1.0</v>
      </c>
      <c r="N241" s="74">
        <v>3.0</v>
      </c>
      <c r="O241" s="74">
        <v>0.0</v>
      </c>
      <c r="P241" s="74">
        <v>0.0</v>
      </c>
      <c r="Q241" s="74">
        <v>0.0</v>
      </c>
      <c r="R241" s="74">
        <v>1.0</v>
      </c>
      <c r="S241" s="74">
        <v>1.0</v>
      </c>
      <c r="T241" s="74">
        <v>0.0</v>
      </c>
      <c r="U241" s="74">
        <v>0.0</v>
      </c>
      <c r="V241" s="74">
        <v>2.0</v>
      </c>
      <c r="W241" s="74">
        <v>0.0</v>
      </c>
      <c r="X241" s="13">
        <f t="shared" si="47"/>
        <v>15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3.0</v>
      </c>
      <c r="H242" s="74">
        <v>3.0</v>
      </c>
      <c r="I242" s="74">
        <v>1.0</v>
      </c>
      <c r="J242" s="74">
        <v>2.0</v>
      </c>
      <c r="K242" s="74">
        <v>1.0</v>
      </c>
      <c r="L242" s="74">
        <v>1.0</v>
      </c>
      <c r="M242" s="74">
        <v>3.0</v>
      </c>
      <c r="N242" s="74">
        <v>3.0</v>
      </c>
      <c r="O242" s="74">
        <v>1.0</v>
      </c>
      <c r="P242" s="74">
        <v>1.0</v>
      </c>
      <c r="Q242" s="74">
        <v>0.0</v>
      </c>
      <c r="R242" s="74">
        <v>0.0</v>
      </c>
      <c r="S242" s="74">
        <v>0.0</v>
      </c>
      <c r="T242" s="74">
        <v>2.0</v>
      </c>
      <c r="U242" s="74">
        <v>3.0</v>
      </c>
      <c r="V242" s="74">
        <v>5.0</v>
      </c>
      <c r="W242" s="74">
        <v>1.0</v>
      </c>
      <c r="X242" s="13">
        <f t="shared" si="47"/>
        <v>30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1.0</v>
      </c>
      <c r="J243" s="74">
        <v>0.0</v>
      </c>
      <c r="K243" s="74">
        <v>0.0</v>
      </c>
      <c r="L243" s="74">
        <v>0.0</v>
      </c>
      <c r="M243" s="74">
        <v>0.0</v>
      </c>
      <c r="N243" s="74">
        <v>2.0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13">
        <f t="shared" si="47"/>
        <v>3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3.0</v>
      </c>
      <c r="I244" s="74">
        <v>1.0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13">
        <f t="shared" si="47"/>
        <v>4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1.0</v>
      </c>
      <c r="J245" s="74">
        <v>1.0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1.0</v>
      </c>
      <c r="U245" s="74">
        <v>1.0</v>
      </c>
      <c r="V245" s="74">
        <v>0.0</v>
      </c>
      <c r="W245" s="74">
        <v>0.0</v>
      </c>
      <c r="X245" s="13">
        <f t="shared" si="47"/>
        <v>4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1.0</v>
      </c>
      <c r="K246" s="74">
        <v>0.0</v>
      </c>
      <c r="L246" s="74">
        <v>1.0</v>
      </c>
      <c r="M246" s="74">
        <v>1.0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13">
        <f t="shared" si="47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X247" si="48">SUM(E237:E246)</f>
        <v>16</v>
      </c>
      <c r="F247" s="13">
        <f t="shared" si="48"/>
        <v>12</v>
      </c>
      <c r="G247" s="13">
        <f t="shared" si="48"/>
        <v>34</v>
      </c>
      <c r="H247" s="13">
        <f t="shared" si="48"/>
        <v>28</v>
      </c>
      <c r="I247" s="13">
        <f t="shared" si="48"/>
        <v>29</v>
      </c>
      <c r="J247" s="13">
        <f t="shared" si="48"/>
        <v>31</v>
      </c>
      <c r="K247" s="13">
        <f t="shared" si="48"/>
        <v>14</v>
      </c>
      <c r="L247" s="13">
        <f t="shared" si="48"/>
        <v>17</v>
      </c>
      <c r="M247" s="13">
        <f t="shared" si="48"/>
        <v>25</v>
      </c>
      <c r="N247" s="13">
        <f t="shared" si="48"/>
        <v>28</v>
      </c>
      <c r="O247" s="13">
        <f t="shared" si="48"/>
        <v>15</v>
      </c>
      <c r="P247" s="13">
        <f t="shared" si="48"/>
        <v>11</v>
      </c>
      <c r="Q247" s="13">
        <f t="shared" si="48"/>
        <v>33</v>
      </c>
      <c r="R247" s="13">
        <f t="shared" si="48"/>
        <v>16</v>
      </c>
      <c r="S247" s="13">
        <f t="shared" si="48"/>
        <v>34</v>
      </c>
      <c r="T247" s="13">
        <f t="shared" si="48"/>
        <v>8</v>
      </c>
      <c r="U247" s="13">
        <f t="shared" si="48"/>
        <v>16</v>
      </c>
      <c r="V247" s="13">
        <f t="shared" si="48"/>
        <v>23</v>
      </c>
      <c r="W247" s="13">
        <f t="shared" si="48"/>
        <v>16</v>
      </c>
      <c r="X247" s="13">
        <f t="shared" si="48"/>
        <v>406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1.0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13">
        <f t="shared" ref="X249:X252" si="49">SUM(E249:W249)</f>
        <v>1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1.0</v>
      </c>
      <c r="G250" s="74">
        <v>0.0</v>
      </c>
      <c r="H250" s="74">
        <v>2.0</v>
      </c>
      <c r="I250" s="74">
        <v>0.0</v>
      </c>
      <c r="J250" s="74">
        <v>0.0</v>
      </c>
      <c r="K250" s="74">
        <v>1.0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1.0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13">
        <f t="shared" si="49"/>
        <v>5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13">
        <f t="shared" si="49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1.0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13">
        <f t="shared" si="49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W259" si="50">SUM(E249:E255)</f>
        <v>0</v>
      </c>
      <c r="F259" s="13">
        <f t="shared" si="50"/>
        <v>1</v>
      </c>
      <c r="G259" s="13">
        <f t="shared" si="50"/>
        <v>0</v>
      </c>
      <c r="H259" s="13">
        <f t="shared" si="50"/>
        <v>3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1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>SUM(E259:W259)</f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78"/>
      <c r="K261" s="13"/>
      <c r="L261" s="78"/>
      <c r="M261" s="78"/>
      <c r="N261" s="77"/>
      <c r="O261" s="13"/>
      <c r="P261" s="78"/>
      <c r="Q261" s="13"/>
      <c r="R261" s="13"/>
      <c r="S261" s="87"/>
      <c r="T261" s="13"/>
      <c r="U261" s="13"/>
      <c r="V261" s="13"/>
      <c r="W261" s="13"/>
      <c r="X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W262" si="51">E55+E67+E79+E91+E103+E115+E127+E139+E151+E163+E175+E187+E199+E211+E223+E235+E247+E259</f>
        <v>142</v>
      </c>
      <c r="F262" s="19">
        <f t="shared" si="51"/>
        <v>125</v>
      </c>
      <c r="G262" s="19">
        <f t="shared" si="51"/>
        <v>159</v>
      </c>
      <c r="H262" s="19">
        <f t="shared" si="51"/>
        <v>202</v>
      </c>
      <c r="I262" s="19">
        <f t="shared" si="51"/>
        <v>191</v>
      </c>
      <c r="J262" s="88">
        <f t="shared" si="51"/>
        <v>182</v>
      </c>
      <c r="K262" s="19">
        <f t="shared" si="51"/>
        <v>210</v>
      </c>
      <c r="L262" s="89">
        <f t="shared" si="51"/>
        <v>180</v>
      </c>
      <c r="M262" s="88">
        <f t="shared" si="51"/>
        <v>179</v>
      </c>
      <c r="N262" s="19">
        <f t="shared" si="51"/>
        <v>182</v>
      </c>
      <c r="O262" s="19">
        <f t="shared" si="51"/>
        <v>204</v>
      </c>
      <c r="P262" s="88">
        <f t="shared" si="51"/>
        <v>167</v>
      </c>
      <c r="Q262" s="19">
        <f t="shared" si="51"/>
        <v>180</v>
      </c>
      <c r="R262" s="19">
        <f t="shared" si="51"/>
        <v>123</v>
      </c>
      <c r="S262" s="88">
        <f t="shared" si="51"/>
        <v>146</v>
      </c>
      <c r="T262" s="19">
        <f t="shared" si="51"/>
        <v>161</v>
      </c>
      <c r="U262" s="19">
        <f t="shared" si="51"/>
        <v>128</v>
      </c>
      <c r="V262" s="19">
        <f t="shared" si="51"/>
        <v>156</v>
      </c>
      <c r="W262" s="19">
        <f t="shared" si="51"/>
        <v>143</v>
      </c>
      <c r="X262" s="13">
        <f t="shared" ref="X262:X264" si="52">SUM(E262:W262)</f>
        <v>3160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24.0</v>
      </c>
      <c r="F263" s="74">
        <v>27.0</v>
      </c>
      <c r="G263" s="74">
        <v>42.0</v>
      </c>
      <c r="H263" s="74">
        <v>41.0</v>
      </c>
      <c r="I263" s="74">
        <v>28.0</v>
      </c>
      <c r="J263" s="74">
        <v>29.0</v>
      </c>
      <c r="K263" s="74">
        <v>28.0</v>
      </c>
      <c r="L263" s="74">
        <v>43.0</v>
      </c>
      <c r="M263" s="74">
        <v>45.0</v>
      </c>
      <c r="N263" s="74">
        <v>40.0</v>
      </c>
      <c r="O263" s="74">
        <v>24.0</v>
      </c>
      <c r="P263" s="74">
        <v>41.0</v>
      </c>
      <c r="Q263" s="74">
        <v>62.0</v>
      </c>
      <c r="R263" s="74">
        <v>77.0</v>
      </c>
      <c r="S263" s="74">
        <v>44.0</v>
      </c>
      <c r="T263" s="74">
        <v>31.0</v>
      </c>
      <c r="U263" s="74">
        <v>22.0</v>
      </c>
      <c r="V263" s="74">
        <v>20.0</v>
      </c>
      <c r="W263" s="74">
        <v>16.0</v>
      </c>
      <c r="X263" s="13">
        <f t="shared" si="52"/>
        <v>684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W264" si="53">SUM(E262:E263)</f>
        <v>166</v>
      </c>
      <c r="F264" s="13">
        <f t="shared" si="53"/>
        <v>152</v>
      </c>
      <c r="G264" s="13">
        <f t="shared" si="53"/>
        <v>201</v>
      </c>
      <c r="H264" s="13">
        <f t="shared" si="53"/>
        <v>243</v>
      </c>
      <c r="I264" s="13">
        <f t="shared" si="53"/>
        <v>219</v>
      </c>
      <c r="J264" s="13">
        <f t="shared" si="53"/>
        <v>211</v>
      </c>
      <c r="K264" s="13">
        <f t="shared" si="53"/>
        <v>238</v>
      </c>
      <c r="L264" s="13">
        <f t="shared" si="53"/>
        <v>223</v>
      </c>
      <c r="M264" s="13">
        <f t="shared" si="53"/>
        <v>224</v>
      </c>
      <c r="N264" s="13">
        <f t="shared" si="53"/>
        <v>222</v>
      </c>
      <c r="O264" s="13">
        <f t="shared" si="53"/>
        <v>228</v>
      </c>
      <c r="P264" s="13">
        <f t="shared" si="53"/>
        <v>208</v>
      </c>
      <c r="Q264" s="13">
        <f t="shared" si="53"/>
        <v>242</v>
      </c>
      <c r="R264" s="13">
        <f t="shared" si="53"/>
        <v>200</v>
      </c>
      <c r="S264" s="13">
        <f t="shared" si="53"/>
        <v>190</v>
      </c>
      <c r="T264" s="13">
        <f t="shared" si="53"/>
        <v>192</v>
      </c>
      <c r="U264" s="13">
        <f t="shared" si="53"/>
        <v>150</v>
      </c>
      <c r="V264" s="13">
        <f t="shared" si="53"/>
        <v>176</v>
      </c>
      <c r="W264" s="13">
        <f t="shared" si="53"/>
        <v>159</v>
      </c>
      <c r="X264" s="13">
        <f t="shared" si="52"/>
        <v>3844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  <col customWidth="1" min="51" max="5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227</v>
      </c>
      <c r="AH13" s="13" t="s">
        <v>228</v>
      </c>
      <c r="AI13" s="13" t="s">
        <v>229</v>
      </c>
      <c r="AJ13" s="13" t="s">
        <v>230</v>
      </c>
      <c r="AK13" s="13" t="s">
        <v>231</v>
      </c>
      <c r="AL13" s="13" t="s">
        <v>232</v>
      </c>
      <c r="AM13" s="13" t="s">
        <v>233</v>
      </c>
      <c r="AN13" s="13" t="s">
        <v>234</v>
      </c>
      <c r="AO13" s="13" t="s">
        <v>235</v>
      </c>
      <c r="AP13" s="13" t="s">
        <v>236</v>
      </c>
      <c r="AQ13" s="13" t="s">
        <v>237</v>
      </c>
      <c r="AR13" s="13" t="s">
        <v>238</v>
      </c>
      <c r="AS13" s="13" t="s">
        <v>239</v>
      </c>
      <c r="AT13" s="13" t="s">
        <v>240</v>
      </c>
      <c r="AU13" s="13" t="s">
        <v>241</v>
      </c>
      <c r="AV13" s="13" t="s">
        <v>242</v>
      </c>
      <c r="AW13" s="13" t="s">
        <v>243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90">
        <v>137.0</v>
      </c>
      <c r="F14" s="90">
        <v>149.0</v>
      </c>
      <c r="G14" s="90">
        <v>147.0</v>
      </c>
      <c r="H14" s="90">
        <v>151.0</v>
      </c>
      <c r="I14" s="91">
        <v>145.0</v>
      </c>
      <c r="J14" s="91">
        <v>148.0</v>
      </c>
      <c r="K14" s="91">
        <v>145.0</v>
      </c>
      <c r="L14" s="91">
        <v>133.0</v>
      </c>
      <c r="M14" s="91">
        <v>129.0</v>
      </c>
      <c r="N14" s="91">
        <v>139.0</v>
      </c>
      <c r="O14" s="91">
        <v>143.0</v>
      </c>
      <c r="P14" s="91">
        <v>143.0</v>
      </c>
      <c r="Q14" s="91">
        <v>142.0</v>
      </c>
      <c r="R14" s="91">
        <v>131.0</v>
      </c>
      <c r="S14" s="91">
        <v>109.0</v>
      </c>
      <c r="T14" s="92">
        <v>97.0</v>
      </c>
      <c r="U14" s="92">
        <v>120.0</v>
      </c>
      <c r="V14" s="92">
        <v>123.0</v>
      </c>
      <c r="W14" s="92">
        <v>133.0</v>
      </c>
      <c r="X14" s="92">
        <v>134.0</v>
      </c>
      <c r="Y14" s="92">
        <v>129.0</v>
      </c>
      <c r="Z14" s="92">
        <v>149.0</v>
      </c>
      <c r="AA14" s="92">
        <v>134.0</v>
      </c>
      <c r="AB14" s="92">
        <v>141.0</v>
      </c>
      <c r="AC14" s="92">
        <v>132.0</v>
      </c>
      <c r="AD14" s="92">
        <v>150.0</v>
      </c>
      <c r="AE14" s="92">
        <v>129.0</v>
      </c>
      <c r="AF14" s="92">
        <v>96.0</v>
      </c>
      <c r="AG14" s="92">
        <v>138.0</v>
      </c>
      <c r="AH14" s="92">
        <v>125.0</v>
      </c>
      <c r="AI14" s="74">
        <v>142.0</v>
      </c>
      <c r="AJ14" s="74">
        <v>149.0</v>
      </c>
      <c r="AK14" s="74">
        <v>153.0</v>
      </c>
      <c r="AL14" s="74">
        <v>140.0</v>
      </c>
      <c r="AM14" s="74">
        <v>153.0</v>
      </c>
      <c r="AN14" s="74">
        <v>140.0</v>
      </c>
      <c r="AO14" s="74">
        <v>135.0</v>
      </c>
      <c r="AP14" s="74">
        <v>128.0</v>
      </c>
      <c r="AQ14" s="74">
        <v>149.0</v>
      </c>
      <c r="AR14" s="74">
        <v>114.0</v>
      </c>
      <c r="AS14" s="74">
        <v>114.0</v>
      </c>
      <c r="AT14" s="74">
        <v>120.0</v>
      </c>
      <c r="AU14" s="74">
        <v>127.0</v>
      </c>
      <c r="AV14" s="74">
        <v>140.0</v>
      </c>
      <c r="AW14" s="74">
        <v>144.0</v>
      </c>
      <c r="AX14" s="13">
        <f t="shared" ref="AX14:AX15" si="1">SUM(E14:AW14)</f>
        <v>6069</v>
      </c>
    </row>
    <row r="15" ht="12.75" customHeight="1">
      <c r="A15" s="18"/>
      <c r="B15" s="26"/>
      <c r="C15" s="27"/>
      <c r="D15" s="19" t="s">
        <v>13</v>
      </c>
      <c r="E15" s="90">
        <v>153.0</v>
      </c>
      <c r="F15" s="90">
        <v>143.0</v>
      </c>
      <c r="G15" s="90">
        <v>149.0</v>
      </c>
      <c r="H15" s="90">
        <v>144.0</v>
      </c>
      <c r="I15" s="91">
        <v>150.0</v>
      </c>
      <c r="J15" s="91">
        <v>147.0</v>
      </c>
      <c r="K15" s="91">
        <v>142.0</v>
      </c>
      <c r="L15" s="91">
        <v>146.0</v>
      </c>
      <c r="M15" s="91">
        <v>125.0</v>
      </c>
      <c r="N15" s="91">
        <v>157.0</v>
      </c>
      <c r="O15" s="91">
        <v>144.0</v>
      </c>
      <c r="P15" s="91">
        <v>145.0</v>
      </c>
      <c r="Q15" s="91">
        <v>146.0</v>
      </c>
      <c r="R15" s="91">
        <v>137.0</v>
      </c>
      <c r="S15" s="91">
        <v>108.0</v>
      </c>
      <c r="T15" s="92">
        <v>90.0</v>
      </c>
      <c r="U15" s="92">
        <v>102.0</v>
      </c>
      <c r="V15" s="92">
        <v>117.0</v>
      </c>
      <c r="W15" s="92">
        <v>126.0</v>
      </c>
      <c r="X15" s="92">
        <v>118.0</v>
      </c>
      <c r="Y15" s="92">
        <v>131.0</v>
      </c>
      <c r="Z15" s="92">
        <v>137.0</v>
      </c>
      <c r="AA15" s="92">
        <v>127.0</v>
      </c>
      <c r="AB15" s="92">
        <v>121.0</v>
      </c>
      <c r="AC15" s="92">
        <v>149.0</v>
      </c>
      <c r="AD15" s="92">
        <v>138.0</v>
      </c>
      <c r="AE15" s="92">
        <v>125.0</v>
      </c>
      <c r="AF15" s="92">
        <v>91.0</v>
      </c>
      <c r="AG15" s="92">
        <v>142.0</v>
      </c>
      <c r="AH15" s="92">
        <v>123.0</v>
      </c>
      <c r="AI15" s="74">
        <v>145.0</v>
      </c>
      <c r="AJ15" s="74">
        <v>144.0</v>
      </c>
      <c r="AK15" s="74">
        <v>144.0</v>
      </c>
      <c r="AL15" s="74">
        <v>145.0</v>
      </c>
      <c r="AM15" s="74">
        <v>134.0</v>
      </c>
      <c r="AN15" s="74">
        <v>143.0</v>
      </c>
      <c r="AO15" s="74">
        <v>149.0</v>
      </c>
      <c r="AP15" s="74">
        <v>111.0</v>
      </c>
      <c r="AQ15" s="74">
        <v>141.0</v>
      </c>
      <c r="AR15" s="74">
        <v>117.0</v>
      </c>
      <c r="AS15" s="74">
        <v>110.0</v>
      </c>
      <c r="AT15" s="74">
        <v>102.0</v>
      </c>
      <c r="AU15" s="74">
        <v>127.0</v>
      </c>
      <c r="AV15" s="74">
        <v>139.0</v>
      </c>
      <c r="AW15" s="74">
        <v>133.0</v>
      </c>
      <c r="AX15" s="13">
        <f t="shared" si="1"/>
        <v>5957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290</v>
      </c>
      <c r="F16" s="13">
        <f t="shared" si="2"/>
        <v>292</v>
      </c>
      <c r="G16" s="13">
        <f t="shared" si="2"/>
        <v>296</v>
      </c>
      <c r="H16" s="13">
        <f t="shared" si="2"/>
        <v>295</v>
      </c>
      <c r="I16" s="13">
        <f t="shared" si="2"/>
        <v>295</v>
      </c>
      <c r="J16" s="13">
        <f t="shared" si="2"/>
        <v>295</v>
      </c>
      <c r="K16" s="13">
        <f t="shared" si="2"/>
        <v>287</v>
      </c>
      <c r="L16" s="13">
        <f t="shared" si="2"/>
        <v>279</v>
      </c>
      <c r="M16" s="13">
        <f t="shared" si="2"/>
        <v>254</v>
      </c>
      <c r="N16" s="13">
        <f t="shared" si="2"/>
        <v>296</v>
      </c>
      <c r="O16" s="13">
        <f t="shared" si="2"/>
        <v>287</v>
      </c>
      <c r="P16" s="13">
        <f t="shared" si="2"/>
        <v>288</v>
      </c>
      <c r="Q16" s="13">
        <f t="shared" si="2"/>
        <v>288</v>
      </c>
      <c r="R16" s="13">
        <f t="shared" si="2"/>
        <v>268</v>
      </c>
      <c r="S16" s="13">
        <f t="shared" si="2"/>
        <v>217</v>
      </c>
      <c r="T16" s="13">
        <f t="shared" si="2"/>
        <v>187</v>
      </c>
      <c r="U16" s="13">
        <f t="shared" si="2"/>
        <v>222</v>
      </c>
      <c r="V16" s="13">
        <f t="shared" si="2"/>
        <v>240</v>
      </c>
      <c r="W16" s="13">
        <f t="shared" si="2"/>
        <v>259</v>
      </c>
      <c r="X16" s="13">
        <f t="shared" si="2"/>
        <v>252</v>
      </c>
      <c r="Y16" s="13">
        <f t="shared" si="2"/>
        <v>260</v>
      </c>
      <c r="Z16" s="13">
        <f t="shared" si="2"/>
        <v>286</v>
      </c>
      <c r="AA16" s="13">
        <f t="shared" si="2"/>
        <v>261</v>
      </c>
      <c r="AB16" s="13">
        <f t="shared" si="2"/>
        <v>262</v>
      </c>
      <c r="AC16" s="13">
        <f t="shared" si="2"/>
        <v>281</v>
      </c>
      <c r="AD16" s="13">
        <f t="shared" si="2"/>
        <v>288</v>
      </c>
      <c r="AE16" s="13">
        <f t="shared" si="2"/>
        <v>254</v>
      </c>
      <c r="AF16" s="13">
        <f t="shared" si="2"/>
        <v>187</v>
      </c>
      <c r="AG16" s="13">
        <f t="shared" si="2"/>
        <v>280</v>
      </c>
      <c r="AH16" s="13">
        <f t="shared" si="2"/>
        <v>248</v>
      </c>
      <c r="AI16" s="13">
        <f t="shared" si="2"/>
        <v>287</v>
      </c>
      <c r="AJ16" s="13">
        <f t="shared" si="2"/>
        <v>293</v>
      </c>
      <c r="AK16" s="13">
        <f t="shared" si="2"/>
        <v>297</v>
      </c>
      <c r="AL16" s="13">
        <f t="shared" si="2"/>
        <v>285</v>
      </c>
      <c r="AM16" s="13">
        <f t="shared" si="2"/>
        <v>287</v>
      </c>
      <c r="AN16" s="13">
        <f t="shared" si="2"/>
        <v>283</v>
      </c>
      <c r="AO16" s="13">
        <f t="shared" si="2"/>
        <v>284</v>
      </c>
      <c r="AP16" s="13">
        <f t="shared" si="2"/>
        <v>239</v>
      </c>
      <c r="AQ16" s="13">
        <f t="shared" si="2"/>
        <v>290</v>
      </c>
      <c r="AR16" s="13">
        <f t="shared" si="2"/>
        <v>231</v>
      </c>
      <c r="AS16" s="13">
        <f t="shared" si="2"/>
        <v>224</v>
      </c>
      <c r="AT16" s="13">
        <f t="shared" si="2"/>
        <v>222</v>
      </c>
      <c r="AU16" s="13">
        <f t="shared" si="2"/>
        <v>254</v>
      </c>
      <c r="AV16" s="13">
        <f t="shared" si="2"/>
        <v>279</v>
      </c>
      <c r="AW16" s="13">
        <f t="shared" si="2"/>
        <v>277</v>
      </c>
      <c r="AX16" s="13">
        <f t="shared" si="2"/>
        <v>12026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19"/>
      <c r="AH17" s="75"/>
      <c r="AI17" s="19"/>
      <c r="AJ17" s="19"/>
      <c r="AK17" s="19"/>
      <c r="AL17" s="19"/>
      <c r="AM17" s="75"/>
      <c r="AN17" s="19"/>
      <c r="AO17" s="19"/>
      <c r="AP17" s="19"/>
      <c r="AQ17" s="19"/>
      <c r="AR17" s="75"/>
      <c r="AS17" s="19"/>
      <c r="AT17" s="19"/>
      <c r="AU17" s="19"/>
      <c r="AV17" s="19"/>
      <c r="AW17" s="75"/>
      <c r="AX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19"/>
      <c r="AH18" s="75"/>
      <c r="AI18" s="19"/>
      <c r="AJ18" s="19"/>
      <c r="AK18" s="19"/>
      <c r="AL18" s="19"/>
      <c r="AM18" s="75"/>
      <c r="AN18" s="19"/>
      <c r="AO18" s="19"/>
      <c r="AP18" s="19"/>
      <c r="AQ18" s="19"/>
      <c r="AR18" s="75"/>
      <c r="AS18" s="19"/>
      <c r="AT18" s="19"/>
      <c r="AU18" s="19"/>
      <c r="AV18" s="19"/>
      <c r="AW18" s="75"/>
      <c r="AX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91">
        <v>111.0</v>
      </c>
      <c r="F19" s="91">
        <v>114.0</v>
      </c>
      <c r="G19" s="91">
        <v>117.0</v>
      </c>
      <c r="H19" s="91">
        <v>120.0</v>
      </c>
      <c r="I19" s="91">
        <v>107.0</v>
      </c>
      <c r="J19" s="91">
        <v>112.0</v>
      </c>
      <c r="K19" s="91">
        <v>111.0</v>
      </c>
      <c r="L19" s="91">
        <v>93.0</v>
      </c>
      <c r="M19" s="91">
        <v>91.0</v>
      </c>
      <c r="N19" s="91">
        <v>106.0</v>
      </c>
      <c r="O19" s="91">
        <v>108.0</v>
      </c>
      <c r="P19" s="91">
        <v>97.0</v>
      </c>
      <c r="Q19" s="91">
        <v>109.0</v>
      </c>
      <c r="R19" s="91">
        <v>108.0</v>
      </c>
      <c r="S19" s="91">
        <v>82.0</v>
      </c>
      <c r="T19" s="92">
        <v>73.0</v>
      </c>
      <c r="U19" s="92">
        <v>96.0</v>
      </c>
      <c r="V19" s="92">
        <v>89.0</v>
      </c>
      <c r="W19" s="92">
        <v>102.0</v>
      </c>
      <c r="X19" s="92">
        <v>112.0</v>
      </c>
      <c r="Y19" s="92">
        <v>104.0</v>
      </c>
      <c r="Z19" s="92">
        <v>112.0</v>
      </c>
      <c r="AA19" s="92">
        <v>106.0</v>
      </c>
      <c r="AB19" s="92">
        <v>114.0</v>
      </c>
      <c r="AC19" s="92">
        <v>104.0</v>
      </c>
      <c r="AD19" s="92">
        <v>120.0</v>
      </c>
      <c r="AE19" s="92">
        <v>92.0</v>
      </c>
      <c r="AF19" s="92">
        <v>87.0</v>
      </c>
      <c r="AG19" s="92">
        <v>109.0</v>
      </c>
      <c r="AH19" s="92">
        <v>98.0</v>
      </c>
      <c r="AI19" s="74">
        <v>108.0</v>
      </c>
      <c r="AJ19" s="74">
        <v>108.0</v>
      </c>
      <c r="AK19" s="74">
        <v>119.0</v>
      </c>
      <c r="AL19" s="74">
        <v>101.0</v>
      </c>
      <c r="AM19" s="74">
        <v>99.0</v>
      </c>
      <c r="AN19" s="74">
        <v>109.0</v>
      </c>
      <c r="AO19" s="74">
        <v>114.0</v>
      </c>
      <c r="AP19" s="74">
        <v>91.0</v>
      </c>
      <c r="AQ19" s="74">
        <v>105.0</v>
      </c>
      <c r="AR19" s="74">
        <v>77.0</v>
      </c>
      <c r="AS19" s="74">
        <v>75.0</v>
      </c>
      <c r="AT19" s="74">
        <v>87.0</v>
      </c>
      <c r="AU19" s="74">
        <v>84.0</v>
      </c>
      <c r="AV19" s="74">
        <v>110.0</v>
      </c>
      <c r="AW19" s="74">
        <v>106.0</v>
      </c>
      <c r="AX19" s="13">
        <f t="shared" ref="AX19:AX30" si="3">SUM(E19:AW19)</f>
        <v>4597</v>
      </c>
    </row>
    <row r="20" ht="12.75" customHeight="1">
      <c r="A20" s="33"/>
      <c r="B20" s="27"/>
      <c r="C20" s="34"/>
      <c r="D20" s="19" t="s">
        <v>13</v>
      </c>
      <c r="E20" s="91">
        <v>112.0</v>
      </c>
      <c r="F20" s="91">
        <v>118.0</v>
      </c>
      <c r="G20" s="91">
        <v>116.0</v>
      </c>
      <c r="H20" s="91">
        <v>118.0</v>
      </c>
      <c r="I20" s="91">
        <v>115.0</v>
      </c>
      <c r="J20" s="91">
        <v>114.0</v>
      </c>
      <c r="K20" s="91">
        <v>108.0</v>
      </c>
      <c r="L20" s="91">
        <v>109.0</v>
      </c>
      <c r="M20" s="91">
        <v>92.0</v>
      </c>
      <c r="N20" s="91">
        <v>142.0</v>
      </c>
      <c r="O20" s="91">
        <v>114.0</v>
      </c>
      <c r="P20" s="91">
        <v>107.0</v>
      </c>
      <c r="Q20" s="91">
        <v>108.0</v>
      </c>
      <c r="R20" s="91">
        <v>114.0</v>
      </c>
      <c r="S20" s="91">
        <v>81.0</v>
      </c>
      <c r="T20" s="92">
        <v>73.0</v>
      </c>
      <c r="U20" s="92">
        <v>89.0</v>
      </c>
      <c r="V20" s="92">
        <v>72.0</v>
      </c>
      <c r="W20" s="92">
        <v>101.0</v>
      </c>
      <c r="X20" s="92">
        <v>96.0</v>
      </c>
      <c r="Y20" s="92">
        <v>106.0</v>
      </c>
      <c r="Z20" s="92">
        <v>109.0</v>
      </c>
      <c r="AA20" s="92">
        <v>88.0</v>
      </c>
      <c r="AB20" s="92">
        <v>96.0</v>
      </c>
      <c r="AC20" s="92">
        <v>120.0</v>
      </c>
      <c r="AD20" s="92">
        <v>108.0</v>
      </c>
      <c r="AE20" s="92">
        <v>102.0</v>
      </c>
      <c r="AF20" s="92">
        <v>76.0</v>
      </c>
      <c r="AG20" s="92">
        <v>108.0</v>
      </c>
      <c r="AH20" s="92">
        <v>100.0</v>
      </c>
      <c r="AI20" s="74">
        <v>111.0</v>
      </c>
      <c r="AJ20" s="74">
        <v>113.0</v>
      </c>
      <c r="AK20" s="74">
        <v>115.0</v>
      </c>
      <c r="AL20" s="74">
        <v>114.0</v>
      </c>
      <c r="AM20" s="74">
        <v>95.0</v>
      </c>
      <c r="AN20" s="74">
        <v>114.0</v>
      </c>
      <c r="AO20" s="74">
        <v>117.0</v>
      </c>
      <c r="AP20" s="74">
        <v>84.0</v>
      </c>
      <c r="AQ20" s="74">
        <v>117.0</v>
      </c>
      <c r="AR20" s="74">
        <v>88.0</v>
      </c>
      <c r="AS20" s="74">
        <v>81.0</v>
      </c>
      <c r="AT20" s="74">
        <v>80.0</v>
      </c>
      <c r="AU20" s="74">
        <v>92.0</v>
      </c>
      <c r="AV20" s="74">
        <v>110.0</v>
      </c>
      <c r="AW20" s="74">
        <v>91.0</v>
      </c>
      <c r="AX20" s="13">
        <f t="shared" si="3"/>
        <v>4634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223</v>
      </c>
      <c r="F21" s="13">
        <f t="shared" si="4"/>
        <v>232</v>
      </c>
      <c r="G21" s="13">
        <f t="shared" si="4"/>
        <v>233</v>
      </c>
      <c r="H21" s="13">
        <f t="shared" si="4"/>
        <v>238</v>
      </c>
      <c r="I21" s="13">
        <f t="shared" si="4"/>
        <v>222</v>
      </c>
      <c r="J21" s="13">
        <f t="shared" si="4"/>
        <v>226</v>
      </c>
      <c r="K21" s="13">
        <f t="shared" si="4"/>
        <v>219</v>
      </c>
      <c r="L21" s="13">
        <f t="shared" si="4"/>
        <v>202</v>
      </c>
      <c r="M21" s="13">
        <f t="shared" si="4"/>
        <v>183</v>
      </c>
      <c r="N21" s="13">
        <f t="shared" si="4"/>
        <v>248</v>
      </c>
      <c r="O21" s="13">
        <f t="shared" si="4"/>
        <v>222</v>
      </c>
      <c r="P21" s="13">
        <f t="shared" si="4"/>
        <v>204</v>
      </c>
      <c r="Q21" s="13">
        <f t="shared" si="4"/>
        <v>217</v>
      </c>
      <c r="R21" s="13">
        <f t="shared" si="4"/>
        <v>222</v>
      </c>
      <c r="S21" s="13">
        <f t="shared" si="4"/>
        <v>163</v>
      </c>
      <c r="T21" s="13">
        <f t="shared" si="4"/>
        <v>146</v>
      </c>
      <c r="U21" s="13">
        <f t="shared" si="4"/>
        <v>185</v>
      </c>
      <c r="V21" s="13">
        <f t="shared" si="4"/>
        <v>161</v>
      </c>
      <c r="W21" s="13">
        <f t="shared" si="4"/>
        <v>203</v>
      </c>
      <c r="X21" s="13">
        <f t="shared" si="4"/>
        <v>208</v>
      </c>
      <c r="Y21" s="13">
        <f t="shared" si="4"/>
        <v>210</v>
      </c>
      <c r="Z21" s="13">
        <f t="shared" si="4"/>
        <v>221</v>
      </c>
      <c r="AA21" s="13">
        <f t="shared" si="4"/>
        <v>194</v>
      </c>
      <c r="AB21" s="13">
        <f t="shared" si="4"/>
        <v>210</v>
      </c>
      <c r="AC21" s="13">
        <f t="shared" si="4"/>
        <v>224</v>
      </c>
      <c r="AD21" s="13">
        <f t="shared" si="4"/>
        <v>228</v>
      </c>
      <c r="AE21" s="13">
        <f t="shared" si="4"/>
        <v>194</v>
      </c>
      <c r="AF21" s="13">
        <f t="shared" si="4"/>
        <v>163</v>
      </c>
      <c r="AG21" s="13">
        <f t="shared" si="4"/>
        <v>217</v>
      </c>
      <c r="AH21" s="13">
        <f t="shared" si="4"/>
        <v>198</v>
      </c>
      <c r="AI21" s="13">
        <f t="shared" si="4"/>
        <v>219</v>
      </c>
      <c r="AJ21" s="13">
        <f t="shared" si="4"/>
        <v>221</v>
      </c>
      <c r="AK21" s="13">
        <f t="shared" si="4"/>
        <v>234</v>
      </c>
      <c r="AL21" s="13">
        <f t="shared" si="4"/>
        <v>215</v>
      </c>
      <c r="AM21" s="13">
        <f t="shared" si="4"/>
        <v>194</v>
      </c>
      <c r="AN21" s="13">
        <f t="shared" si="4"/>
        <v>223</v>
      </c>
      <c r="AO21" s="13">
        <f t="shared" si="4"/>
        <v>231</v>
      </c>
      <c r="AP21" s="13">
        <f t="shared" si="4"/>
        <v>175</v>
      </c>
      <c r="AQ21" s="13">
        <f t="shared" si="4"/>
        <v>222</v>
      </c>
      <c r="AR21" s="13">
        <f t="shared" si="4"/>
        <v>165</v>
      </c>
      <c r="AS21" s="13">
        <f t="shared" si="4"/>
        <v>156</v>
      </c>
      <c r="AT21" s="13">
        <f t="shared" si="4"/>
        <v>167</v>
      </c>
      <c r="AU21" s="13">
        <f t="shared" si="4"/>
        <v>176</v>
      </c>
      <c r="AV21" s="13">
        <f t="shared" si="4"/>
        <v>220</v>
      </c>
      <c r="AW21" s="13">
        <f t="shared" si="4"/>
        <v>197</v>
      </c>
      <c r="AX21" s="13">
        <f t="shared" si="3"/>
        <v>9231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91">
        <v>0.0</v>
      </c>
      <c r="F22" s="91">
        <v>0.0</v>
      </c>
      <c r="G22" s="91">
        <v>0.0</v>
      </c>
      <c r="H22" s="91">
        <v>0.0</v>
      </c>
      <c r="I22" s="91">
        <v>0.0</v>
      </c>
      <c r="J22" s="91">
        <v>0.0</v>
      </c>
      <c r="K22" s="91">
        <v>0.0</v>
      </c>
      <c r="L22" s="91">
        <v>0.0</v>
      </c>
      <c r="M22" s="91">
        <v>0.0</v>
      </c>
      <c r="N22" s="91">
        <v>0.0</v>
      </c>
      <c r="O22" s="91">
        <v>0.0</v>
      </c>
      <c r="P22" s="91">
        <v>0.0</v>
      </c>
      <c r="Q22" s="91">
        <v>0.0</v>
      </c>
      <c r="R22" s="91">
        <v>0.0</v>
      </c>
      <c r="S22" s="91">
        <v>0.0</v>
      </c>
      <c r="T22" s="92">
        <v>0.0</v>
      </c>
      <c r="U22" s="92">
        <v>0.0</v>
      </c>
      <c r="V22" s="92">
        <v>0.0</v>
      </c>
      <c r="W22" s="92">
        <v>0.0</v>
      </c>
      <c r="X22" s="92">
        <v>0.0</v>
      </c>
      <c r="Y22" s="92">
        <v>2.0</v>
      </c>
      <c r="Z22" s="92">
        <v>0.0</v>
      </c>
      <c r="AA22" s="92">
        <v>0.0</v>
      </c>
      <c r="AB22" s="92">
        <v>0.0</v>
      </c>
      <c r="AC22" s="92">
        <v>0.0</v>
      </c>
      <c r="AD22" s="92">
        <v>0.0</v>
      </c>
      <c r="AE22" s="92">
        <v>0.0</v>
      </c>
      <c r="AF22" s="92">
        <v>0.0</v>
      </c>
      <c r="AG22" s="92">
        <v>0.0</v>
      </c>
      <c r="AH22" s="92">
        <v>0.0</v>
      </c>
      <c r="AI22" s="74">
        <v>0.0</v>
      </c>
      <c r="AJ22" s="74">
        <v>10.0</v>
      </c>
      <c r="AK22" s="74">
        <v>0.0</v>
      </c>
      <c r="AL22" s="74">
        <v>0.0</v>
      </c>
      <c r="AM22" s="74">
        <v>0.0</v>
      </c>
      <c r="AN22" s="74">
        <v>0.0</v>
      </c>
      <c r="AO22" s="74">
        <v>0.0</v>
      </c>
      <c r="AP22" s="74">
        <v>0.0</v>
      </c>
      <c r="AQ22" s="74">
        <v>0.0</v>
      </c>
      <c r="AR22" s="74">
        <v>0.0</v>
      </c>
      <c r="AS22" s="74">
        <v>0.0</v>
      </c>
      <c r="AT22" s="74">
        <v>0.0</v>
      </c>
      <c r="AU22" s="74">
        <v>0.0</v>
      </c>
      <c r="AV22" s="74">
        <v>0.0</v>
      </c>
      <c r="AW22" s="74">
        <v>0.0</v>
      </c>
      <c r="AX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91">
        <v>0.0</v>
      </c>
      <c r="F23" s="91">
        <v>0.0</v>
      </c>
      <c r="G23" s="91">
        <v>0.0</v>
      </c>
      <c r="H23" s="91">
        <v>0.0</v>
      </c>
      <c r="I23" s="91">
        <v>0.0</v>
      </c>
      <c r="J23" s="91">
        <v>0.0</v>
      </c>
      <c r="K23" s="91">
        <v>0.0</v>
      </c>
      <c r="L23" s="91">
        <v>0.0</v>
      </c>
      <c r="M23" s="91">
        <v>0.0</v>
      </c>
      <c r="N23" s="91">
        <v>0.0</v>
      </c>
      <c r="O23" s="91">
        <v>0.0</v>
      </c>
      <c r="P23" s="91">
        <v>0.0</v>
      </c>
      <c r="Q23" s="91">
        <v>0.0</v>
      </c>
      <c r="R23" s="91">
        <v>0.0</v>
      </c>
      <c r="S23" s="91">
        <v>0.0</v>
      </c>
      <c r="T23" s="92">
        <v>0.0</v>
      </c>
      <c r="U23" s="92">
        <v>0.0</v>
      </c>
      <c r="V23" s="92">
        <v>0.0</v>
      </c>
      <c r="W23" s="92">
        <v>0.0</v>
      </c>
      <c r="X23" s="92">
        <v>0.0</v>
      </c>
      <c r="Y23" s="92">
        <v>2.0</v>
      </c>
      <c r="Z23" s="92">
        <v>0.0</v>
      </c>
      <c r="AA23" s="92">
        <v>0.0</v>
      </c>
      <c r="AB23" s="92">
        <v>0.0</v>
      </c>
      <c r="AC23" s="92">
        <v>0.0</v>
      </c>
      <c r="AD23" s="92">
        <v>0.0</v>
      </c>
      <c r="AE23" s="92">
        <v>0.0</v>
      </c>
      <c r="AF23" s="92">
        <v>0.0</v>
      </c>
      <c r="AG23" s="92">
        <v>0.0</v>
      </c>
      <c r="AH23" s="92">
        <v>0.0</v>
      </c>
      <c r="AI23" s="74">
        <v>0.0</v>
      </c>
      <c r="AJ23" s="74">
        <v>0.0</v>
      </c>
      <c r="AK23" s="74">
        <v>0.0</v>
      </c>
      <c r="AL23" s="74">
        <v>0.0</v>
      </c>
      <c r="AM23" s="74">
        <v>0.0</v>
      </c>
      <c r="AN23" s="74">
        <v>0.0</v>
      </c>
      <c r="AO23" s="74">
        <v>0.0</v>
      </c>
      <c r="AP23" s="74">
        <v>0.0</v>
      </c>
      <c r="AQ23" s="74">
        <v>0.0</v>
      </c>
      <c r="AR23" s="74">
        <v>0.0</v>
      </c>
      <c r="AS23" s="74">
        <v>0.0</v>
      </c>
      <c r="AT23" s="74">
        <v>0.0</v>
      </c>
      <c r="AU23" s="74">
        <v>0.0</v>
      </c>
      <c r="AV23" s="74">
        <v>0.0</v>
      </c>
      <c r="AW23" s="74">
        <v>0.0</v>
      </c>
      <c r="AX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4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10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91">
        <v>1.0</v>
      </c>
      <c r="F25" s="91">
        <v>3.0</v>
      </c>
      <c r="G25" s="91">
        <v>3.0</v>
      </c>
      <c r="H25" s="91">
        <v>2.0</v>
      </c>
      <c r="I25" s="91">
        <v>5.0</v>
      </c>
      <c r="J25" s="91">
        <v>1.0</v>
      </c>
      <c r="K25" s="91">
        <v>0.0</v>
      </c>
      <c r="L25" s="91">
        <v>1.0</v>
      </c>
      <c r="M25" s="91">
        <v>0.0</v>
      </c>
      <c r="N25" s="91">
        <v>3.0</v>
      </c>
      <c r="O25" s="91">
        <v>0.0</v>
      </c>
      <c r="P25" s="91">
        <v>1.0</v>
      </c>
      <c r="Q25" s="91">
        <v>4.0</v>
      </c>
      <c r="R25" s="91">
        <v>0.0</v>
      </c>
      <c r="S25" s="91">
        <v>0.0</v>
      </c>
      <c r="T25" s="92">
        <v>2.0</v>
      </c>
      <c r="U25" s="92">
        <v>1.0</v>
      </c>
      <c r="V25" s="92">
        <v>0.0</v>
      </c>
      <c r="W25" s="92">
        <v>4.0</v>
      </c>
      <c r="X25" s="92">
        <v>1.0</v>
      </c>
      <c r="Y25" s="92">
        <v>1.0</v>
      </c>
      <c r="Z25" s="92">
        <v>1.0</v>
      </c>
      <c r="AA25" s="92">
        <v>0.0</v>
      </c>
      <c r="AB25" s="92">
        <v>3.0</v>
      </c>
      <c r="AC25" s="92">
        <v>0.0</v>
      </c>
      <c r="AD25" s="92">
        <v>0.0</v>
      </c>
      <c r="AE25" s="92">
        <v>1.0</v>
      </c>
      <c r="AF25" s="92">
        <v>0.0</v>
      </c>
      <c r="AG25" s="92">
        <v>6.0</v>
      </c>
      <c r="AH25" s="92">
        <v>0.0</v>
      </c>
      <c r="AI25" s="74">
        <v>3.0</v>
      </c>
      <c r="AJ25" s="74">
        <v>3.0</v>
      </c>
      <c r="AK25" s="74">
        <v>1.0</v>
      </c>
      <c r="AL25" s="74">
        <v>3.0</v>
      </c>
      <c r="AM25" s="74">
        <v>4.0</v>
      </c>
      <c r="AN25" s="74">
        <v>5.0</v>
      </c>
      <c r="AO25" s="74">
        <v>3.0</v>
      </c>
      <c r="AP25" s="74">
        <v>3.0</v>
      </c>
      <c r="AQ25" s="74">
        <v>1.0</v>
      </c>
      <c r="AR25" s="74">
        <v>11.0</v>
      </c>
      <c r="AS25" s="74">
        <v>0.0</v>
      </c>
      <c r="AT25" s="74">
        <v>9.0</v>
      </c>
      <c r="AU25" s="74">
        <v>0.0</v>
      </c>
      <c r="AV25" s="74">
        <v>0.0</v>
      </c>
      <c r="AW25" s="74">
        <v>2.0</v>
      </c>
      <c r="AX25" s="13">
        <f t="shared" si="3"/>
        <v>92</v>
      </c>
    </row>
    <row r="26" ht="12.75" customHeight="1">
      <c r="A26" s="33"/>
      <c r="B26" s="27"/>
      <c r="C26" s="34"/>
      <c r="D26" s="19" t="s">
        <v>13</v>
      </c>
      <c r="E26" s="91">
        <v>2.0</v>
      </c>
      <c r="F26" s="91">
        <v>0.0</v>
      </c>
      <c r="G26" s="91">
        <v>0.0</v>
      </c>
      <c r="H26" s="91">
        <v>4.0</v>
      </c>
      <c r="I26" s="91">
        <v>3.0</v>
      </c>
      <c r="J26" s="91">
        <v>1.0</v>
      </c>
      <c r="K26" s="91">
        <v>0.0</v>
      </c>
      <c r="L26" s="91">
        <v>1.0</v>
      </c>
      <c r="M26" s="91">
        <v>0.0</v>
      </c>
      <c r="N26" s="91">
        <v>0.0</v>
      </c>
      <c r="O26" s="91">
        <v>2.0</v>
      </c>
      <c r="P26" s="91">
        <v>3.0</v>
      </c>
      <c r="Q26" s="91">
        <v>4.0</v>
      </c>
      <c r="R26" s="91">
        <v>3.0</v>
      </c>
      <c r="S26" s="91">
        <v>1.0</v>
      </c>
      <c r="T26" s="92">
        <v>2.0</v>
      </c>
      <c r="U26" s="92">
        <v>1.0</v>
      </c>
      <c r="V26" s="92">
        <v>0.0</v>
      </c>
      <c r="W26" s="92">
        <v>5.0</v>
      </c>
      <c r="X26" s="92">
        <v>3.0</v>
      </c>
      <c r="Y26" s="92">
        <v>1.0</v>
      </c>
      <c r="Z26" s="92">
        <v>4.0</v>
      </c>
      <c r="AA26" s="92">
        <v>0.0</v>
      </c>
      <c r="AB26" s="92">
        <v>3.0</v>
      </c>
      <c r="AC26" s="92">
        <v>1.0</v>
      </c>
      <c r="AD26" s="92">
        <v>0.0</v>
      </c>
      <c r="AE26" s="92">
        <v>0.0</v>
      </c>
      <c r="AF26" s="92">
        <v>0.0</v>
      </c>
      <c r="AG26" s="92">
        <v>2.0</v>
      </c>
      <c r="AH26" s="92">
        <v>0.0</v>
      </c>
      <c r="AI26" s="74">
        <v>0.0</v>
      </c>
      <c r="AJ26" s="74">
        <v>1.0</v>
      </c>
      <c r="AK26" s="74">
        <v>0.0</v>
      </c>
      <c r="AL26" s="74">
        <v>0.0</v>
      </c>
      <c r="AM26" s="74">
        <v>6.0</v>
      </c>
      <c r="AN26" s="74">
        <v>1.0</v>
      </c>
      <c r="AO26" s="74">
        <v>2.0</v>
      </c>
      <c r="AP26" s="74">
        <v>4.0</v>
      </c>
      <c r="AQ26" s="74">
        <v>0.0</v>
      </c>
      <c r="AR26" s="74">
        <v>8.0</v>
      </c>
      <c r="AS26" s="74">
        <v>1.0</v>
      </c>
      <c r="AT26" s="74">
        <v>9.0</v>
      </c>
      <c r="AU26" s="74">
        <v>0.0</v>
      </c>
      <c r="AV26" s="74">
        <v>1.0</v>
      </c>
      <c r="AW26" s="74">
        <v>2.0</v>
      </c>
      <c r="AX26" s="13">
        <f t="shared" si="3"/>
        <v>81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3</v>
      </c>
      <c r="F27" s="13">
        <f t="shared" si="6"/>
        <v>3</v>
      </c>
      <c r="G27" s="13">
        <f t="shared" si="6"/>
        <v>3</v>
      </c>
      <c r="H27" s="13">
        <f t="shared" si="6"/>
        <v>6</v>
      </c>
      <c r="I27" s="13">
        <f t="shared" si="6"/>
        <v>8</v>
      </c>
      <c r="J27" s="13">
        <f t="shared" si="6"/>
        <v>2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8</v>
      </c>
      <c r="R27" s="13">
        <f t="shared" si="6"/>
        <v>3</v>
      </c>
      <c r="S27" s="13">
        <f t="shared" si="6"/>
        <v>1</v>
      </c>
      <c r="T27" s="13">
        <f t="shared" si="6"/>
        <v>4</v>
      </c>
      <c r="U27" s="13">
        <f t="shared" si="6"/>
        <v>2</v>
      </c>
      <c r="V27" s="13">
        <f t="shared" si="6"/>
        <v>0</v>
      </c>
      <c r="W27" s="13">
        <f t="shared" si="6"/>
        <v>9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0</v>
      </c>
      <c r="AB27" s="13">
        <f t="shared" si="6"/>
        <v>6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8</v>
      </c>
      <c r="AH27" s="13">
        <f t="shared" si="6"/>
        <v>0</v>
      </c>
      <c r="AI27" s="13">
        <f t="shared" si="6"/>
        <v>3</v>
      </c>
      <c r="AJ27" s="13">
        <f t="shared" si="6"/>
        <v>4</v>
      </c>
      <c r="AK27" s="13">
        <f t="shared" si="6"/>
        <v>1</v>
      </c>
      <c r="AL27" s="13">
        <f t="shared" si="6"/>
        <v>3</v>
      </c>
      <c r="AM27" s="13">
        <f t="shared" si="6"/>
        <v>10</v>
      </c>
      <c r="AN27" s="13">
        <f t="shared" si="6"/>
        <v>6</v>
      </c>
      <c r="AO27" s="13">
        <f t="shared" si="6"/>
        <v>5</v>
      </c>
      <c r="AP27" s="13">
        <f t="shared" si="6"/>
        <v>7</v>
      </c>
      <c r="AQ27" s="13">
        <f t="shared" si="6"/>
        <v>1</v>
      </c>
      <c r="AR27" s="13">
        <f t="shared" si="6"/>
        <v>19</v>
      </c>
      <c r="AS27" s="13">
        <f t="shared" si="6"/>
        <v>1</v>
      </c>
      <c r="AT27" s="13">
        <f t="shared" si="6"/>
        <v>18</v>
      </c>
      <c r="AU27" s="13">
        <f t="shared" si="6"/>
        <v>0</v>
      </c>
      <c r="AV27" s="13">
        <f t="shared" si="6"/>
        <v>1</v>
      </c>
      <c r="AW27" s="13">
        <f t="shared" si="6"/>
        <v>4</v>
      </c>
      <c r="AX27" s="13">
        <f t="shared" si="3"/>
        <v>173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112</v>
      </c>
      <c r="F28" s="13">
        <f t="shared" si="7"/>
        <v>117</v>
      </c>
      <c r="G28" s="13">
        <f t="shared" si="7"/>
        <v>120</v>
      </c>
      <c r="H28" s="13">
        <f t="shared" si="7"/>
        <v>122</v>
      </c>
      <c r="I28" s="13">
        <f t="shared" si="7"/>
        <v>112</v>
      </c>
      <c r="J28" s="13">
        <f t="shared" si="7"/>
        <v>113</v>
      </c>
      <c r="K28" s="13">
        <f t="shared" si="7"/>
        <v>111</v>
      </c>
      <c r="L28" s="13">
        <f t="shared" si="7"/>
        <v>94</v>
      </c>
      <c r="M28" s="13">
        <f t="shared" si="7"/>
        <v>91</v>
      </c>
      <c r="N28" s="13">
        <f t="shared" si="7"/>
        <v>109</v>
      </c>
      <c r="O28" s="13">
        <f t="shared" si="7"/>
        <v>108</v>
      </c>
      <c r="P28" s="13">
        <f t="shared" si="7"/>
        <v>98</v>
      </c>
      <c r="Q28" s="13">
        <f t="shared" si="7"/>
        <v>113</v>
      </c>
      <c r="R28" s="13">
        <f t="shared" si="7"/>
        <v>108</v>
      </c>
      <c r="S28" s="13">
        <f t="shared" si="7"/>
        <v>82</v>
      </c>
      <c r="T28" s="13">
        <f t="shared" si="7"/>
        <v>75</v>
      </c>
      <c r="U28" s="13">
        <f t="shared" si="7"/>
        <v>97</v>
      </c>
      <c r="V28" s="13">
        <f t="shared" si="7"/>
        <v>89</v>
      </c>
      <c r="W28" s="13">
        <f t="shared" si="7"/>
        <v>106</v>
      </c>
      <c r="X28" s="13">
        <f t="shared" si="7"/>
        <v>113</v>
      </c>
      <c r="Y28" s="13">
        <f t="shared" si="7"/>
        <v>107</v>
      </c>
      <c r="Z28" s="13">
        <f t="shared" si="7"/>
        <v>113</v>
      </c>
      <c r="AA28" s="13">
        <f t="shared" si="7"/>
        <v>106</v>
      </c>
      <c r="AB28" s="13">
        <f t="shared" si="7"/>
        <v>117</v>
      </c>
      <c r="AC28" s="13">
        <f t="shared" si="7"/>
        <v>104</v>
      </c>
      <c r="AD28" s="13">
        <f t="shared" si="7"/>
        <v>120</v>
      </c>
      <c r="AE28" s="13">
        <f t="shared" si="7"/>
        <v>93</v>
      </c>
      <c r="AF28" s="13">
        <f t="shared" si="7"/>
        <v>87</v>
      </c>
      <c r="AG28" s="13">
        <f t="shared" si="7"/>
        <v>115</v>
      </c>
      <c r="AH28" s="13">
        <f t="shared" si="7"/>
        <v>98</v>
      </c>
      <c r="AI28" s="13">
        <f t="shared" si="7"/>
        <v>111</v>
      </c>
      <c r="AJ28" s="13">
        <f t="shared" si="7"/>
        <v>121</v>
      </c>
      <c r="AK28" s="13">
        <f t="shared" si="7"/>
        <v>120</v>
      </c>
      <c r="AL28" s="13">
        <f t="shared" si="7"/>
        <v>104</v>
      </c>
      <c r="AM28" s="13">
        <f t="shared" si="7"/>
        <v>103</v>
      </c>
      <c r="AN28" s="13">
        <f t="shared" si="7"/>
        <v>114</v>
      </c>
      <c r="AO28" s="13">
        <f t="shared" si="7"/>
        <v>117</v>
      </c>
      <c r="AP28" s="13">
        <f t="shared" si="7"/>
        <v>94</v>
      </c>
      <c r="AQ28" s="13">
        <f t="shared" si="7"/>
        <v>106</v>
      </c>
      <c r="AR28" s="13">
        <f t="shared" si="7"/>
        <v>88</v>
      </c>
      <c r="AS28" s="13">
        <f t="shared" si="7"/>
        <v>75</v>
      </c>
      <c r="AT28" s="13">
        <f t="shared" si="7"/>
        <v>96</v>
      </c>
      <c r="AU28" s="13">
        <f t="shared" si="7"/>
        <v>84</v>
      </c>
      <c r="AV28" s="13">
        <f t="shared" si="7"/>
        <v>110</v>
      </c>
      <c r="AW28" s="13">
        <f t="shared" si="7"/>
        <v>108</v>
      </c>
      <c r="AX28" s="13">
        <f t="shared" si="3"/>
        <v>4701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114</v>
      </c>
      <c r="F29" s="13">
        <f t="shared" si="8"/>
        <v>118</v>
      </c>
      <c r="G29" s="13">
        <f t="shared" si="8"/>
        <v>116</v>
      </c>
      <c r="H29" s="13">
        <f t="shared" si="8"/>
        <v>122</v>
      </c>
      <c r="I29" s="13">
        <f t="shared" si="8"/>
        <v>118</v>
      </c>
      <c r="J29" s="13">
        <f t="shared" si="8"/>
        <v>115</v>
      </c>
      <c r="K29" s="13">
        <f t="shared" si="8"/>
        <v>108</v>
      </c>
      <c r="L29" s="13">
        <f t="shared" si="8"/>
        <v>110</v>
      </c>
      <c r="M29" s="13">
        <f t="shared" si="8"/>
        <v>92</v>
      </c>
      <c r="N29" s="13">
        <f t="shared" si="8"/>
        <v>142</v>
      </c>
      <c r="O29" s="13">
        <f t="shared" si="8"/>
        <v>116</v>
      </c>
      <c r="P29" s="13">
        <f t="shared" si="8"/>
        <v>110</v>
      </c>
      <c r="Q29" s="13">
        <f t="shared" si="8"/>
        <v>112</v>
      </c>
      <c r="R29" s="13">
        <f t="shared" si="8"/>
        <v>117</v>
      </c>
      <c r="S29" s="13">
        <f t="shared" si="8"/>
        <v>82</v>
      </c>
      <c r="T29" s="13">
        <f t="shared" si="8"/>
        <v>75</v>
      </c>
      <c r="U29" s="13">
        <f t="shared" si="8"/>
        <v>90</v>
      </c>
      <c r="V29" s="13">
        <f t="shared" si="8"/>
        <v>72</v>
      </c>
      <c r="W29" s="13">
        <f t="shared" si="8"/>
        <v>106</v>
      </c>
      <c r="X29" s="13">
        <f t="shared" si="8"/>
        <v>99</v>
      </c>
      <c r="Y29" s="13">
        <f t="shared" si="8"/>
        <v>109</v>
      </c>
      <c r="Z29" s="13">
        <f t="shared" si="8"/>
        <v>113</v>
      </c>
      <c r="AA29" s="13">
        <f t="shared" si="8"/>
        <v>88</v>
      </c>
      <c r="AB29" s="13">
        <f t="shared" si="8"/>
        <v>99</v>
      </c>
      <c r="AC29" s="13">
        <f t="shared" si="8"/>
        <v>121</v>
      </c>
      <c r="AD29" s="13">
        <f t="shared" si="8"/>
        <v>108</v>
      </c>
      <c r="AE29" s="13">
        <f t="shared" si="8"/>
        <v>102</v>
      </c>
      <c r="AF29" s="13">
        <f t="shared" si="8"/>
        <v>76</v>
      </c>
      <c r="AG29" s="13">
        <f t="shared" si="8"/>
        <v>110</v>
      </c>
      <c r="AH29" s="13">
        <f t="shared" si="8"/>
        <v>100</v>
      </c>
      <c r="AI29" s="13">
        <f t="shared" si="8"/>
        <v>111</v>
      </c>
      <c r="AJ29" s="13">
        <f t="shared" si="8"/>
        <v>114</v>
      </c>
      <c r="AK29" s="13">
        <f t="shared" si="8"/>
        <v>115</v>
      </c>
      <c r="AL29" s="13">
        <f t="shared" si="8"/>
        <v>114</v>
      </c>
      <c r="AM29" s="13">
        <f t="shared" si="8"/>
        <v>101</v>
      </c>
      <c r="AN29" s="13">
        <f t="shared" si="8"/>
        <v>115</v>
      </c>
      <c r="AO29" s="13">
        <f t="shared" si="8"/>
        <v>119</v>
      </c>
      <c r="AP29" s="13">
        <f t="shared" si="8"/>
        <v>88</v>
      </c>
      <c r="AQ29" s="13">
        <f t="shared" si="8"/>
        <v>117</v>
      </c>
      <c r="AR29" s="13">
        <f t="shared" si="8"/>
        <v>96</v>
      </c>
      <c r="AS29" s="13">
        <f t="shared" si="8"/>
        <v>82</v>
      </c>
      <c r="AT29" s="13">
        <f t="shared" si="8"/>
        <v>89</v>
      </c>
      <c r="AU29" s="13">
        <f t="shared" si="8"/>
        <v>92</v>
      </c>
      <c r="AV29" s="13">
        <f t="shared" si="8"/>
        <v>111</v>
      </c>
      <c r="AW29" s="13">
        <f t="shared" si="8"/>
        <v>93</v>
      </c>
      <c r="AX29" s="13">
        <f t="shared" si="3"/>
        <v>4717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226</v>
      </c>
      <c r="F30" s="13">
        <f t="shared" si="9"/>
        <v>235</v>
      </c>
      <c r="G30" s="13">
        <f t="shared" si="9"/>
        <v>236</v>
      </c>
      <c r="H30" s="13">
        <f t="shared" si="9"/>
        <v>244</v>
      </c>
      <c r="I30" s="13">
        <f t="shared" si="9"/>
        <v>230</v>
      </c>
      <c r="J30" s="13">
        <f t="shared" si="9"/>
        <v>228</v>
      </c>
      <c r="K30" s="13">
        <f t="shared" si="9"/>
        <v>219</v>
      </c>
      <c r="L30" s="13">
        <f t="shared" si="9"/>
        <v>204</v>
      </c>
      <c r="M30" s="13">
        <f t="shared" si="9"/>
        <v>183</v>
      </c>
      <c r="N30" s="13">
        <f t="shared" si="9"/>
        <v>251</v>
      </c>
      <c r="O30" s="13">
        <f t="shared" si="9"/>
        <v>224</v>
      </c>
      <c r="P30" s="13">
        <f t="shared" si="9"/>
        <v>208</v>
      </c>
      <c r="Q30" s="13">
        <f t="shared" si="9"/>
        <v>225</v>
      </c>
      <c r="R30" s="13">
        <f t="shared" si="9"/>
        <v>225</v>
      </c>
      <c r="S30" s="13">
        <f t="shared" si="9"/>
        <v>164</v>
      </c>
      <c r="T30" s="13">
        <f t="shared" si="9"/>
        <v>150</v>
      </c>
      <c r="U30" s="13">
        <f t="shared" si="9"/>
        <v>187</v>
      </c>
      <c r="V30" s="13">
        <f t="shared" si="9"/>
        <v>161</v>
      </c>
      <c r="W30" s="13">
        <f t="shared" si="9"/>
        <v>212</v>
      </c>
      <c r="X30" s="13">
        <f t="shared" si="9"/>
        <v>212</v>
      </c>
      <c r="Y30" s="13">
        <f t="shared" si="9"/>
        <v>216</v>
      </c>
      <c r="Z30" s="13">
        <f t="shared" si="9"/>
        <v>226</v>
      </c>
      <c r="AA30" s="13">
        <f t="shared" si="9"/>
        <v>194</v>
      </c>
      <c r="AB30" s="13">
        <f t="shared" si="9"/>
        <v>216</v>
      </c>
      <c r="AC30" s="13">
        <f t="shared" si="9"/>
        <v>225</v>
      </c>
      <c r="AD30" s="13">
        <f t="shared" si="9"/>
        <v>228</v>
      </c>
      <c r="AE30" s="13">
        <f t="shared" si="9"/>
        <v>195</v>
      </c>
      <c r="AF30" s="13">
        <f t="shared" si="9"/>
        <v>163</v>
      </c>
      <c r="AG30" s="13">
        <f t="shared" si="9"/>
        <v>225</v>
      </c>
      <c r="AH30" s="13">
        <f t="shared" si="9"/>
        <v>198</v>
      </c>
      <c r="AI30" s="13">
        <f t="shared" si="9"/>
        <v>222</v>
      </c>
      <c r="AJ30" s="13">
        <f t="shared" si="9"/>
        <v>235</v>
      </c>
      <c r="AK30" s="13">
        <f t="shared" si="9"/>
        <v>235</v>
      </c>
      <c r="AL30" s="13">
        <f t="shared" si="9"/>
        <v>218</v>
      </c>
      <c r="AM30" s="13">
        <f t="shared" si="9"/>
        <v>204</v>
      </c>
      <c r="AN30" s="13">
        <f t="shared" si="9"/>
        <v>229</v>
      </c>
      <c r="AO30" s="13">
        <f t="shared" si="9"/>
        <v>236</v>
      </c>
      <c r="AP30" s="13">
        <f t="shared" si="9"/>
        <v>182</v>
      </c>
      <c r="AQ30" s="13">
        <f t="shared" si="9"/>
        <v>223</v>
      </c>
      <c r="AR30" s="13">
        <f t="shared" si="9"/>
        <v>184</v>
      </c>
      <c r="AS30" s="13">
        <f t="shared" si="9"/>
        <v>157</v>
      </c>
      <c r="AT30" s="13">
        <f t="shared" si="9"/>
        <v>185</v>
      </c>
      <c r="AU30" s="13">
        <f t="shared" si="9"/>
        <v>176</v>
      </c>
      <c r="AV30" s="13">
        <f t="shared" si="9"/>
        <v>221</v>
      </c>
      <c r="AW30" s="13">
        <f t="shared" si="9"/>
        <v>201</v>
      </c>
      <c r="AX30" s="13">
        <f t="shared" si="3"/>
        <v>9418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19"/>
      <c r="AH31" s="75"/>
      <c r="AI31" s="19"/>
      <c r="AJ31" s="19"/>
      <c r="AK31" s="19"/>
      <c r="AL31" s="19"/>
      <c r="AM31" s="75"/>
      <c r="AN31" s="19"/>
      <c r="AO31" s="19"/>
      <c r="AP31" s="19"/>
      <c r="AQ31" s="19"/>
      <c r="AR31" s="75"/>
      <c r="AS31" s="19"/>
      <c r="AT31" s="19"/>
      <c r="AU31" s="19"/>
      <c r="AV31" s="19"/>
      <c r="AW31" s="75"/>
      <c r="AX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13"/>
      <c r="AH32" s="77"/>
      <c r="AI32" s="13"/>
      <c r="AJ32" s="13"/>
      <c r="AK32" s="13"/>
      <c r="AL32" s="13"/>
      <c r="AM32" s="77"/>
      <c r="AN32" s="13"/>
      <c r="AO32" s="13"/>
      <c r="AP32" s="13"/>
      <c r="AQ32" s="13"/>
      <c r="AR32" s="77"/>
      <c r="AS32" s="13"/>
      <c r="AT32" s="13"/>
      <c r="AU32" s="13"/>
      <c r="AV32" s="13"/>
      <c r="AW32" s="77"/>
      <c r="AX32" s="76"/>
    </row>
    <row r="33" ht="12.75" customHeight="1">
      <c r="A33" s="19">
        <v>1.0</v>
      </c>
      <c r="B33" s="20" t="s">
        <v>27</v>
      </c>
      <c r="C33" s="15"/>
      <c r="D33" s="16"/>
      <c r="E33" s="91">
        <v>296.0</v>
      </c>
      <c r="F33" s="91">
        <v>298.0</v>
      </c>
      <c r="G33" s="91">
        <v>302.0</v>
      </c>
      <c r="H33" s="91">
        <v>304.0</v>
      </c>
      <c r="I33" s="91">
        <v>304.0</v>
      </c>
      <c r="J33" s="91">
        <v>301.0</v>
      </c>
      <c r="K33" s="91">
        <v>293.0</v>
      </c>
      <c r="L33" s="91">
        <v>283.0</v>
      </c>
      <c r="M33" s="91">
        <v>256.0</v>
      </c>
      <c r="N33" s="91">
        <v>302.0</v>
      </c>
      <c r="O33" s="91">
        <v>293.0</v>
      </c>
      <c r="P33" s="91">
        <v>294.0</v>
      </c>
      <c r="Q33" s="91">
        <v>294.0</v>
      </c>
      <c r="R33" s="91">
        <v>274.0</v>
      </c>
      <c r="S33" s="91">
        <v>222.0</v>
      </c>
      <c r="T33" s="74">
        <v>191.0</v>
      </c>
      <c r="U33" s="74">
        <v>226.0</v>
      </c>
      <c r="V33" s="74">
        <v>245.0</v>
      </c>
      <c r="W33" s="74">
        <v>265.0</v>
      </c>
      <c r="X33" s="74">
        <v>258.0</v>
      </c>
      <c r="Y33" s="74">
        <v>266.0</v>
      </c>
      <c r="Z33" s="74">
        <v>292.0</v>
      </c>
      <c r="AA33" s="74">
        <v>267.0</v>
      </c>
      <c r="AB33" s="74">
        <v>268.0</v>
      </c>
      <c r="AC33" s="74">
        <v>287.0</v>
      </c>
      <c r="AD33" s="74">
        <v>294.0</v>
      </c>
      <c r="AE33" s="74">
        <v>258.0</v>
      </c>
      <c r="AF33" s="74">
        <v>191.0</v>
      </c>
      <c r="AG33" s="74">
        <v>286.0</v>
      </c>
      <c r="AH33" s="74">
        <v>253.0</v>
      </c>
      <c r="AI33" s="74">
        <v>294.0</v>
      </c>
      <c r="AJ33" s="74">
        <v>299.0</v>
      </c>
      <c r="AK33" s="74">
        <v>303.0</v>
      </c>
      <c r="AL33" s="74">
        <v>291.0</v>
      </c>
      <c r="AM33" s="74">
        <v>293.0</v>
      </c>
      <c r="AN33" s="74">
        <v>290.0</v>
      </c>
      <c r="AO33" s="74">
        <v>289.0</v>
      </c>
      <c r="AP33" s="74">
        <v>244.0</v>
      </c>
      <c r="AQ33" s="74">
        <v>297.0</v>
      </c>
      <c r="AR33" s="74">
        <v>237.0</v>
      </c>
      <c r="AS33" s="74">
        <v>239.0</v>
      </c>
      <c r="AT33" s="74">
        <v>227.0</v>
      </c>
      <c r="AU33" s="74">
        <v>260.0</v>
      </c>
      <c r="AV33" s="74">
        <v>285.0</v>
      </c>
      <c r="AW33" s="74">
        <v>283.0</v>
      </c>
      <c r="AX33" s="13">
        <f t="shared" ref="AX33:AX36" si="10">SUM(E33:AW33)</f>
        <v>12294</v>
      </c>
    </row>
    <row r="34" ht="12.75" customHeight="1">
      <c r="A34" s="19">
        <v>2.0</v>
      </c>
      <c r="B34" s="20" t="s">
        <v>28</v>
      </c>
      <c r="C34" s="15"/>
      <c r="D34" s="16"/>
      <c r="E34" s="91">
        <v>226.0</v>
      </c>
      <c r="F34" s="91">
        <v>235.0</v>
      </c>
      <c r="G34" s="91">
        <v>236.0</v>
      </c>
      <c r="H34" s="91">
        <v>244.0</v>
      </c>
      <c r="I34" s="91">
        <v>230.0</v>
      </c>
      <c r="J34" s="91">
        <v>228.0</v>
      </c>
      <c r="K34" s="91">
        <v>219.0</v>
      </c>
      <c r="L34" s="91">
        <v>204.0</v>
      </c>
      <c r="M34" s="91">
        <v>183.0</v>
      </c>
      <c r="N34" s="91">
        <v>251.0</v>
      </c>
      <c r="O34" s="91">
        <v>225.0</v>
      </c>
      <c r="P34" s="91">
        <v>204.0</v>
      </c>
      <c r="Q34" s="91">
        <v>223.0</v>
      </c>
      <c r="R34" s="91">
        <v>225.0</v>
      </c>
      <c r="S34" s="91">
        <v>164.0</v>
      </c>
      <c r="T34" s="78">
        <v>150.0</v>
      </c>
      <c r="U34" s="78">
        <v>187.0</v>
      </c>
      <c r="V34" s="78">
        <v>161.0</v>
      </c>
      <c r="W34" s="78">
        <v>212.0</v>
      </c>
      <c r="X34" s="78">
        <v>212.0</v>
      </c>
      <c r="Y34" s="78">
        <v>214.0</v>
      </c>
      <c r="Z34" s="78">
        <v>226.0</v>
      </c>
      <c r="AA34" s="78">
        <v>194.0</v>
      </c>
      <c r="AB34" s="78">
        <v>216.0</v>
      </c>
      <c r="AC34" s="78">
        <v>225.0</v>
      </c>
      <c r="AD34" s="78">
        <v>228.0</v>
      </c>
      <c r="AE34" s="78">
        <v>195.0</v>
      </c>
      <c r="AF34" s="78">
        <v>163.0</v>
      </c>
      <c r="AG34" s="78">
        <v>225.0</v>
      </c>
      <c r="AH34" s="78">
        <v>198.0</v>
      </c>
      <c r="AI34" s="78">
        <v>222.0</v>
      </c>
      <c r="AJ34" s="78">
        <v>235.0</v>
      </c>
      <c r="AK34" s="78">
        <v>235.0</v>
      </c>
      <c r="AL34" s="78">
        <v>218.0</v>
      </c>
      <c r="AM34" s="78">
        <v>204.0</v>
      </c>
      <c r="AN34" s="78">
        <v>229.0</v>
      </c>
      <c r="AO34" s="78">
        <v>236.0</v>
      </c>
      <c r="AP34" s="78">
        <v>182.0</v>
      </c>
      <c r="AQ34" s="78">
        <v>223.0</v>
      </c>
      <c r="AR34" s="78">
        <v>184.0</v>
      </c>
      <c r="AS34" s="78">
        <v>157.0</v>
      </c>
      <c r="AT34" s="78">
        <v>185.0</v>
      </c>
      <c r="AU34" s="78">
        <v>176.0</v>
      </c>
      <c r="AV34" s="78">
        <v>221.0</v>
      </c>
      <c r="AW34" s="78">
        <v>201.0</v>
      </c>
      <c r="AX34" s="13">
        <f t="shared" si="10"/>
        <v>9411</v>
      </c>
    </row>
    <row r="35" ht="12.75" customHeight="1">
      <c r="A35" s="19">
        <v>3.0</v>
      </c>
      <c r="B35" s="20" t="s">
        <v>29</v>
      </c>
      <c r="C35" s="15"/>
      <c r="D35" s="16"/>
      <c r="E35" s="91">
        <v>0.0</v>
      </c>
      <c r="F35" s="91">
        <v>2.0</v>
      </c>
      <c r="G35" s="91">
        <v>2.0</v>
      </c>
      <c r="H35" s="91">
        <v>4.0</v>
      </c>
      <c r="I35" s="91">
        <v>0.0</v>
      </c>
      <c r="J35" s="91">
        <v>0.0</v>
      </c>
      <c r="K35" s="91">
        <v>0.0</v>
      </c>
      <c r="L35" s="91">
        <v>0.0</v>
      </c>
      <c r="M35" s="91">
        <v>0.0</v>
      </c>
      <c r="N35" s="91">
        <v>1.0</v>
      </c>
      <c r="O35" s="91">
        <v>0.0</v>
      </c>
      <c r="P35" s="91">
        <v>0.0</v>
      </c>
      <c r="Q35" s="91">
        <v>0.0</v>
      </c>
      <c r="R35" s="91">
        <v>1.0</v>
      </c>
      <c r="S35" s="91">
        <v>2.0</v>
      </c>
      <c r="T35" s="74">
        <v>0.0</v>
      </c>
      <c r="U35" s="74">
        <v>1.0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2.0</v>
      </c>
      <c r="AC35" s="74">
        <v>0.0</v>
      </c>
      <c r="AD35" s="74">
        <v>7.0</v>
      </c>
      <c r="AE35" s="74">
        <v>0.0</v>
      </c>
      <c r="AF35" s="74">
        <v>0.0</v>
      </c>
      <c r="AG35" s="74">
        <v>0.0</v>
      </c>
      <c r="AH35" s="74">
        <v>0.0</v>
      </c>
      <c r="AI35" s="74">
        <v>0.0</v>
      </c>
      <c r="AJ35" s="74">
        <v>0.0</v>
      </c>
      <c r="AK35" s="74">
        <v>0.0</v>
      </c>
      <c r="AL35" s="74">
        <v>0.0</v>
      </c>
      <c r="AM35" s="74">
        <v>0.0</v>
      </c>
      <c r="AN35" s="74">
        <v>0.0</v>
      </c>
      <c r="AO35" s="74">
        <v>0.0</v>
      </c>
      <c r="AP35" s="74">
        <v>0.0</v>
      </c>
      <c r="AQ35" s="74">
        <v>0.0</v>
      </c>
      <c r="AR35" s="74">
        <v>0.0</v>
      </c>
      <c r="AS35" s="74">
        <v>0.0</v>
      </c>
      <c r="AT35" s="74">
        <v>1.0</v>
      </c>
      <c r="AU35" s="74">
        <v>0.0</v>
      </c>
      <c r="AV35" s="74">
        <v>0.0</v>
      </c>
      <c r="AW35" s="74">
        <v>0.0</v>
      </c>
      <c r="AX35" s="13">
        <f t="shared" si="10"/>
        <v>23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61</v>
      </c>
      <c r="G36" s="13">
        <f t="shared" si="11"/>
        <v>64</v>
      </c>
      <c r="H36" s="13">
        <f t="shared" si="11"/>
        <v>56</v>
      </c>
      <c r="I36" s="13">
        <f t="shared" si="11"/>
        <v>74</v>
      </c>
      <c r="J36" s="13">
        <f t="shared" si="11"/>
        <v>73</v>
      </c>
      <c r="K36" s="13">
        <f t="shared" si="11"/>
        <v>74</v>
      </c>
      <c r="L36" s="13">
        <f t="shared" si="11"/>
        <v>79</v>
      </c>
      <c r="M36" s="13">
        <f t="shared" si="11"/>
        <v>73</v>
      </c>
      <c r="N36" s="13">
        <f t="shared" si="11"/>
        <v>50</v>
      </c>
      <c r="O36" s="13">
        <f t="shared" si="11"/>
        <v>68</v>
      </c>
      <c r="P36" s="13">
        <f t="shared" si="11"/>
        <v>90</v>
      </c>
      <c r="Q36" s="13">
        <f t="shared" si="11"/>
        <v>71</v>
      </c>
      <c r="R36" s="13">
        <f t="shared" si="11"/>
        <v>48</v>
      </c>
      <c r="S36" s="13">
        <f t="shared" si="11"/>
        <v>56</v>
      </c>
      <c r="T36" s="13">
        <f t="shared" si="11"/>
        <v>41</v>
      </c>
      <c r="U36" s="13">
        <f t="shared" si="11"/>
        <v>38</v>
      </c>
      <c r="V36" s="13">
        <f t="shared" si="11"/>
        <v>84</v>
      </c>
      <c r="W36" s="13">
        <f t="shared" si="11"/>
        <v>53</v>
      </c>
      <c r="X36" s="13">
        <f t="shared" si="11"/>
        <v>46</v>
      </c>
      <c r="Y36" s="13">
        <f t="shared" si="11"/>
        <v>52</v>
      </c>
      <c r="Z36" s="13">
        <f t="shared" si="11"/>
        <v>66</v>
      </c>
      <c r="AA36" s="13">
        <f t="shared" si="11"/>
        <v>73</v>
      </c>
      <c r="AB36" s="13">
        <f t="shared" si="11"/>
        <v>50</v>
      </c>
      <c r="AC36" s="13">
        <f t="shared" si="11"/>
        <v>62</v>
      </c>
      <c r="AD36" s="13">
        <f t="shared" si="11"/>
        <v>59</v>
      </c>
      <c r="AE36" s="13">
        <f t="shared" si="11"/>
        <v>63</v>
      </c>
      <c r="AF36" s="13">
        <f t="shared" si="11"/>
        <v>28</v>
      </c>
      <c r="AG36" s="13">
        <f t="shared" si="11"/>
        <v>61</v>
      </c>
      <c r="AH36" s="13">
        <f t="shared" si="11"/>
        <v>55</v>
      </c>
      <c r="AI36" s="13">
        <f t="shared" si="11"/>
        <v>72</v>
      </c>
      <c r="AJ36" s="13">
        <f t="shared" si="11"/>
        <v>64</v>
      </c>
      <c r="AK36" s="13">
        <f t="shared" si="11"/>
        <v>68</v>
      </c>
      <c r="AL36" s="13">
        <f t="shared" si="11"/>
        <v>73</v>
      </c>
      <c r="AM36" s="13">
        <f t="shared" si="11"/>
        <v>89</v>
      </c>
      <c r="AN36" s="13">
        <f t="shared" si="11"/>
        <v>61</v>
      </c>
      <c r="AO36" s="13">
        <f t="shared" si="11"/>
        <v>53</v>
      </c>
      <c r="AP36" s="13">
        <f t="shared" si="11"/>
        <v>62</v>
      </c>
      <c r="AQ36" s="13">
        <f t="shared" si="11"/>
        <v>74</v>
      </c>
      <c r="AR36" s="13">
        <f t="shared" si="11"/>
        <v>53</v>
      </c>
      <c r="AS36" s="13">
        <f t="shared" si="11"/>
        <v>82</v>
      </c>
      <c r="AT36" s="13">
        <f t="shared" si="11"/>
        <v>41</v>
      </c>
      <c r="AU36" s="13">
        <f t="shared" si="11"/>
        <v>84</v>
      </c>
      <c r="AV36" s="13">
        <f t="shared" si="11"/>
        <v>64</v>
      </c>
      <c r="AW36" s="13">
        <f t="shared" si="11"/>
        <v>82</v>
      </c>
      <c r="AX36" s="13">
        <f t="shared" si="10"/>
        <v>2860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19"/>
      <c r="AH37" s="75"/>
      <c r="AI37" s="19"/>
      <c r="AJ37" s="19"/>
      <c r="AK37" s="19"/>
      <c r="AL37" s="19"/>
      <c r="AM37" s="75"/>
      <c r="AN37" s="19"/>
      <c r="AO37" s="19"/>
      <c r="AP37" s="19"/>
      <c r="AQ37" s="19"/>
      <c r="AR37" s="75"/>
      <c r="AS37" s="19"/>
      <c r="AT37" s="19"/>
      <c r="AU37" s="19"/>
      <c r="AV37" s="19"/>
      <c r="AW37" s="75"/>
      <c r="AX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13"/>
      <c r="AH38" s="77"/>
      <c r="AI38" s="13"/>
      <c r="AJ38" s="13"/>
      <c r="AK38" s="13"/>
      <c r="AL38" s="13"/>
      <c r="AM38" s="77"/>
      <c r="AN38" s="13"/>
      <c r="AO38" s="13"/>
      <c r="AP38" s="13"/>
      <c r="AQ38" s="13"/>
      <c r="AR38" s="77"/>
      <c r="AS38" s="13"/>
      <c r="AT38" s="13"/>
      <c r="AU38" s="13"/>
      <c r="AV38" s="13"/>
      <c r="AW38" s="77"/>
      <c r="AX38" s="76"/>
    </row>
    <row r="39" ht="12.75" customHeight="1">
      <c r="A39" s="30"/>
      <c r="B39" s="43" t="s">
        <v>33</v>
      </c>
      <c r="C39" s="23"/>
      <c r="D39" s="19" t="s">
        <v>12</v>
      </c>
      <c r="E39" s="91">
        <v>0.0</v>
      </c>
      <c r="F39" s="91">
        <v>0.0</v>
      </c>
      <c r="G39" s="91">
        <v>0.0</v>
      </c>
      <c r="H39" s="91">
        <v>0.0</v>
      </c>
      <c r="I39" s="91">
        <v>0.0</v>
      </c>
      <c r="J39" s="91">
        <v>0.0</v>
      </c>
      <c r="K39" s="91">
        <v>0.0</v>
      </c>
      <c r="L39" s="91">
        <v>0.0</v>
      </c>
      <c r="M39" s="91">
        <v>0.0</v>
      </c>
      <c r="N39" s="91">
        <v>0.0</v>
      </c>
      <c r="O39" s="91">
        <v>1.0</v>
      </c>
      <c r="P39" s="91">
        <v>0.0</v>
      </c>
      <c r="Q39" s="91">
        <v>0.0</v>
      </c>
      <c r="R39" s="91">
        <v>0.0</v>
      </c>
      <c r="S39" s="91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2.0</v>
      </c>
      <c r="AG39" s="74">
        <v>0.0</v>
      </c>
      <c r="AH39" s="74">
        <v>1.0</v>
      </c>
      <c r="AI39" s="74">
        <v>1.0</v>
      </c>
      <c r="AJ39" s="74">
        <v>0.0</v>
      </c>
      <c r="AK39" s="74">
        <v>0.0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0.0</v>
      </c>
      <c r="AR39" s="74">
        <v>1.0</v>
      </c>
      <c r="AS39" s="74">
        <v>0.0</v>
      </c>
      <c r="AT39" s="74">
        <v>0.0</v>
      </c>
      <c r="AU39" s="74">
        <v>0.0</v>
      </c>
      <c r="AV39" s="74">
        <v>0.0</v>
      </c>
      <c r="AW39" s="74">
        <v>0.0</v>
      </c>
      <c r="AX39" s="13">
        <f t="shared" ref="AX39:AX41" si="12">SUM(E39:AW39)</f>
        <v>6</v>
      </c>
    </row>
    <row r="40" ht="12.75" customHeight="1">
      <c r="A40" s="33"/>
      <c r="C40" s="27"/>
      <c r="D40" s="19" t="s">
        <v>13</v>
      </c>
      <c r="E40" s="91">
        <v>0.0</v>
      </c>
      <c r="F40" s="91">
        <v>0.0</v>
      </c>
      <c r="G40" s="91">
        <v>0.0</v>
      </c>
      <c r="H40" s="91">
        <v>0.0</v>
      </c>
      <c r="I40" s="91">
        <v>0.0</v>
      </c>
      <c r="J40" s="91">
        <v>2.0</v>
      </c>
      <c r="K40" s="91">
        <v>0.0</v>
      </c>
      <c r="L40" s="91">
        <v>0.0</v>
      </c>
      <c r="M40" s="91">
        <v>0.0</v>
      </c>
      <c r="N40" s="91">
        <v>0.0</v>
      </c>
      <c r="O40" s="91">
        <v>0.0</v>
      </c>
      <c r="P40" s="91">
        <v>1.0</v>
      </c>
      <c r="Q40" s="91">
        <v>0.0</v>
      </c>
      <c r="R40" s="91">
        <v>0.0</v>
      </c>
      <c r="S40" s="91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74">
        <v>0.0</v>
      </c>
      <c r="AL40" s="74">
        <v>0.0</v>
      </c>
      <c r="AM40" s="74">
        <v>0.0</v>
      </c>
      <c r="AN40" s="74">
        <v>0.0</v>
      </c>
      <c r="AO40" s="74">
        <v>0.0</v>
      </c>
      <c r="AP40" s="74">
        <v>0.0</v>
      </c>
      <c r="AQ40" s="74">
        <v>0.0</v>
      </c>
      <c r="AR40" s="74">
        <v>1.0</v>
      </c>
      <c r="AS40" s="74">
        <v>0.0</v>
      </c>
      <c r="AT40" s="74">
        <v>0.0</v>
      </c>
      <c r="AU40" s="74">
        <v>0.0</v>
      </c>
      <c r="AV40" s="74">
        <v>0.0</v>
      </c>
      <c r="AW40" s="74">
        <v>0.0</v>
      </c>
      <c r="A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9"/>
      <c r="AH42" s="75"/>
      <c r="AI42" s="19"/>
      <c r="AJ42" s="19"/>
      <c r="AK42" s="19"/>
      <c r="AL42" s="19"/>
      <c r="AM42" s="75"/>
      <c r="AN42" s="19"/>
      <c r="AO42" s="19"/>
      <c r="AP42" s="19"/>
      <c r="AQ42" s="19"/>
      <c r="AR42" s="75"/>
      <c r="AS42" s="19"/>
      <c r="AT42" s="19"/>
      <c r="AU42" s="19"/>
      <c r="AV42" s="19"/>
      <c r="AW42" s="75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  <c r="AH43" s="77"/>
      <c r="AI43" s="13"/>
      <c r="AJ43" s="13"/>
      <c r="AK43" s="13"/>
      <c r="AL43" s="13"/>
      <c r="AM43" s="77"/>
      <c r="AN43" s="13"/>
      <c r="AO43" s="13"/>
      <c r="AP43" s="13"/>
      <c r="AQ43" s="13"/>
      <c r="AR43" s="77"/>
      <c r="AS43" s="13"/>
      <c r="AT43" s="13"/>
      <c r="AU43" s="13"/>
      <c r="AV43" s="13"/>
      <c r="AW43" s="77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9"/>
      <c r="AH44" s="75"/>
      <c r="AI44" s="19"/>
      <c r="AJ44" s="19"/>
      <c r="AK44" s="19"/>
      <c r="AL44" s="19"/>
      <c r="AM44" s="75"/>
      <c r="AN44" s="19"/>
      <c r="AO44" s="19"/>
      <c r="AP44" s="19"/>
      <c r="AQ44" s="19"/>
      <c r="AR44" s="75"/>
      <c r="AS44" s="19"/>
      <c r="AT44" s="19"/>
      <c r="AU44" s="19"/>
      <c r="AV44" s="19"/>
      <c r="AW44" s="75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7.0</v>
      </c>
      <c r="F45" s="74">
        <v>9.0</v>
      </c>
      <c r="G45" s="74">
        <v>12.0</v>
      </c>
      <c r="H45" s="74">
        <v>9.0</v>
      </c>
      <c r="I45" s="74">
        <v>7.0</v>
      </c>
      <c r="J45" s="74">
        <v>8.0</v>
      </c>
      <c r="K45" s="74">
        <v>13.0</v>
      </c>
      <c r="L45" s="74">
        <v>11.0</v>
      </c>
      <c r="M45" s="74">
        <v>10.0</v>
      </c>
      <c r="N45" s="74">
        <v>14.0</v>
      </c>
      <c r="O45" s="74">
        <v>6.0</v>
      </c>
      <c r="P45" s="74">
        <v>5.0</v>
      </c>
      <c r="Q45" s="74">
        <v>6.0</v>
      </c>
      <c r="R45" s="74">
        <v>4.0</v>
      </c>
      <c r="S45" s="74">
        <v>4.0</v>
      </c>
      <c r="T45" s="74">
        <v>7.0</v>
      </c>
      <c r="U45" s="74">
        <v>10.0</v>
      </c>
      <c r="V45" s="74">
        <v>4.0</v>
      </c>
      <c r="W45" s="74">
        <v>2.0</v>
      </c>
      <c r="X45" s="74">
        <v>3.0</v>
      </c>
      <c r="Y45" s="74">
        <v>2.0</v>
      </c>
      <c r="Z45" s="74">
        <v>8.0</v>
      </c>
      <c r="AA45" s="74">
        <v>2.0</v>
      </c>
      <c r="AB45" s="74">
        <v>8.0</v>
      </c>
      <c r="AC45" s="74">
        <v>13.0</v>
      </c>
      <c r="AD45" s="74">
        <v>2.0</v>
      </c>
      <c r="AE45" s="74">
        <v>12.0</v>
      </c>
      <c r="AF45" s="74">
        <v>6.0</v>
      </c>
      <c r="AG45" s="74">
        <v>12.0</v>
      </c>
      <c r="AH45" s="74">
        <v>7.0</v>
      </c>
      <c r="AI45" s="74">
        <v>8.0</v>
      </c>
      <c r="AJ45" s="74">
        <v>11.0</v>
      </c>
      <c r="AK45" s="74">
        <v>11.0</v>
      </c>
      <c r="AL45" s="74">
        <v>5.0</v>
      </c>
      <c r="AM45" s="74">
        <v>6.0</v>
      </c>
      <c r="AN45" s="74">
        <v>3.0</v>
      </c>
      <c r="AO45" s="74">
        <v>6.0</v>
      </c>
      <c r="AP45" s="74">
        <v>3.0</v>
      </c>
      <c r="AQ45" s="74">
        <v>4.0</v>
      </c>
      <c r="AR45" s="74">
        <v>5.0</v>
      </c>
      <c r="AS45" s="74">
        <v>5.0</v>
      </c>
      <c r="AT45" s="74">
        <v>4.0</v>
      </c>
      <c r="AU45" s="74">
        <v>10.0</v>
      </c>
      <c r="AV45" s="74">
        <v>10.0</v>
      </c>
      <c r="AW45" s="74">
        <v>8.0</v>
      </c>
      <c r="AX45" s="13">
        <f t="shared" ref="AX45:AX54" si="14">SUM(E45:AW45)</f>
        <v>322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10.0</v>
      </c>
      <c r="F46" s="74">
        <v>21.0</v>
      </c>
      <c r="G46" s="74">
        <v>29.0</v>
      </c>
      <c r="H46" s="74">
        <v>9.0</v>
      </c>
      <c r="I46" s="74">
        <v>8.0</v>
      </c>
      <c r="J46" s="74">
        <v>10.0</v>
      </c>
      <c r="K46" s="74">
        <v>20.0</v>
      </c>
      <c r="L46" s="74">
        <v>27.0</v>
      </c>
      <c r="M46" s="74">
        <v>23.0</v>
      </c>
      <c r="N46" s="74">
        <v>34.0</v>
      </c>
      <c r="O46" s="74">
        <v>13.0</v>
      </c>
      <c r="P46" s="74">
        <v>14.0</v>
      </c>
      <c r="Q46" s="74">
        <v>23.0</v>
      </c>
      <c r="R46" s="74">
        <v>30.0</v>
      </c>
      <c r="S46" s="74">
        <v>7.0</v>
      </c>
      <c r="T46" s="74">
        <v>20.0</v>
      </c>
      <c r="U46" s="74">
        <v>10.0</v>
      </c>
      <c r="V46" s="74">
        <v>12.0</v>
      </c>
      <c r="W46" s="74">
        <v>6.0</v>
      </c>
      <c r="X46" s="74">
        <v>14.0</v>
      </c>
      <c r="Y46" s="74">
        <v>2.0</v>
      </c>
      <c r="Z46" s="74">
        <v>15.0</v>
      </c>
      <c r="AA46" s="74">
        <v>15.0</v>
      </c>
      <c r="AB46" s="74">
        <v>17.0</v>
      </c>
      <c r="AC46" s="74">
        <v>31.0</v>
      </c>
      <c r="AD46" s="74">
        <v>7.0</v>
      </c>
      <c r="AE46" s="74">
        <v>8.0</v>
      </c>
      <c r="AF46" s="74">
        <v>11.0</v>
      </c>
      <c r="AG46" s="74">
        <v>15.0</v>
      </c>
      <c r="AH46" s="74">
        <v>17.0</v>
      </c>
      <c r="AI46" s="74">
        <v>14.0</v>
      </c>
      <c r="AJ46" s="74">
        <v>12.0</v>
      </c>
      <c r="AK46" s="74">
        <v>1.0</v>
      </c>
      <c r="AL46" s="74">
        <v>5.0</v>
      </c>
      <c r="AM46" s="74">
        <v>3.0</v>
      </c>
      <c r="AN46" s="74">
        <v>3.0</v>
      </c>
      <c r="AO46" s="74">
        <v>3.0</v>
      </c>
      <c r="AP46" s="74">
        <v>4.0</v>
      </c>
      <c r="AQ46" s="74">
        <v>18.0</v>
      </c>
      <c r="AR46" s="74">
        <v>6.0</v>
      </c>
      <c r="AS46" s="74">
        <v>6.0</v>
      </c>
      <c r="AT46" s="74">
        <v>5.0</v>
      </c>
      <c r="AU46" s="74">
        <v>49.0</v>
      </c>
      <c r="AV46" s="74">
        <v>40.0</v>
      </c>
      <c r="AW46" s="74">
        <v>30.0</v>
      </c>
      <c r="AX46" s="13">
        <f t="shared" si="14"/>
        <v>677</v>
      </c>
    </row>
    <row r="47" ht="12.75" customHeight="1">
      <c r="A47" s="18"/>
      <c r="B47" s="55"/>
      <c r="C47" s="50" t="s">
        <v>41</v>
      </c>
      <c r="D47" s="50"/>
      <c r="E47" s="74">
        <v>3.0</v>
      </c>
      <c r="F47" s="74">
        <v>2.0</v>
      </c>
      <c r="G47" s="74">
        <v>1.0</v>
      </c>
      <c r="H47" s="74">
        <v>4.0</v>
      </c>
      <c r="I47" s="74">
        <v>2.0</v>
      </c>
      <c r="J47" s="74">
        <v>3.0</v>
      </c>
      <c r="K47" s="74">
        <v>2.0</v>
      </c>
      <c r="L47" s="74">
        <v>3.0</v>
      </c>
      <c r="M47" s="74">
        <v>7.0</v>
      </c>
      <c r="N47" s="74">
        <v>7.0</v>
      </c>
      <c r="O47" s="74">
        <v>3.0</v>
      </c>
      <c r="P47" s="74">
        <v>2.0</v>
      </c>
      <c r="Q47" s="74">
        <v>3.0</v>
      </c>
      <c r="R47" s="74">
        <v>5.0</v>
      </c>
      <c r="S47" s="74">
        <v>0.0</v>
      </c>
      <c r="T47" s="74">
        <v>3.0</v>
      </c>
      <c r="U47" s="74">
        <v>1.0</v>
      </c>
      <c r="V47" s="74">
        <v>0.0</v>
      </c>
      <c r="W47" s="74">
        <v>3.0</v>
      </c>
      <c r="X47" s="74">
        <v>1.0</v>
      </c>
      <c r="Y47" s="74">
        <v>2.0</v>
      </c>
      <c r="Z47" s="74">
        <v>3.0</v>
      </c>
      <c r="AA47" s="74">
        <v>0.0</v>
      </c>
      <c r="AB47" s="74">
        <v>1.0</v>
      </c>
      <c r="AC47" s="74">
        <v>4.0</v>
      </c>
      <c r="AD47" s="74">
        <v>2.0</v>
      </c>
      <c r="AE47" s="74">
        <v>0.0</v>
      </c>
      <c r="AF47" s="74">
        <v>0.0</v>
      </c>
      <c r="AG47" s="74">
        <v>3.0</v>
      </c>
      <c r="AH47" s="74">
        <v>1.0</v>
      </c>
      <c r="AI47" s="74">
        <v>1.0</v>
      </c>
      <c r="AJ47" s="74">
        <v>1.0</v>
      </c>
      <c r="AK47" s="74">
        <v>3.0</v>
      </c>
      <c r="AL47" s="74">
        <v>0.0</v>
      </c>
      <c r="AM47" s="74">
        <v>3.0</v>
      </c>
      <c r="AN47" s="74">
        <v>2.0</v>
      </c>
      <c r="AO47" s="74">
        <v>1.0</v>
      </c>
      <c r="AP47" s="74">
        <v>1.0</v>
      </c>
      <c r="AQ47" s="74">
        <v>1.0</v>
      </c>
      <c r="AR47" s="74">
        <v>3.0</v>
      </c>
      <c r="AS47" s="74">
        <v>3.0</v>
      </c>
      <c r="AT47" s="74">
        <v>0.0</v>
      </c>
      <c r="AU47" s="74">
        <v>1.0</v>
      </c>
      <c r="AV47" s="74">
        <v>0.0</v>
      </c>
      <c r="AW47" s="74">
        <v>0.0</v>
      </c>
      <c r="AX47" s="13">
        <f t="shared" si="14"/>
        <v>91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3.0</v>
      </c>
      <c r="G48" s="74">
        <v>0.0</v>
      </c>
      <c r="H48" s="74">
        <v>1.0</v>
      </c>
      <c r="I48" s="74">
        <v>0.0</v>
      </c>
      <c r="J48" s="74">
        <v>1.0</v>
      </c>
      <c r="K48" s="74">
        <v>1.0</v>
      </c>
      <c r="L48" s="74">
        <v>0.0</v>
      </c>
      <c r="M48" s="74">
        <v>1.0</v>
      </c>
      <c r="N48" s="74">
        <v>3.0</v>
      </c>
      <c r="O48" s="74">
        <v>2.0</v>
      </c>
      <c r="P48" s="74">
        <v>0.0</v>
      </c>
      <c r="Q48" s="74">
        <v>0.0</v>
      </c>
      <c r="R48" s="74">
        <v>2.0</v>
      </c>
      <c r="S48" s="74">
        <v>3.0</v>
      </c>
      <c r="T48" s="74">
        <v>0.0</v>
      </c>
      <c r="U48" s="74">
        <v>3.0</v>
      </c>
      <c r="V48" s="74">
        <v>1.0</v>
      </c>
      <c r="W48" s="74">
        <v>1.0</v>
      </c>
      <c r="X48" s="74">
        <v>0.0</v>
      </c>
      <c r="Y48" s="74">
        <v>0.0</v>
      </c>
      <c r="Z48" s="74">
        <v>3.0</v>
      </c>
      <c r="AA48" s="74">
        <v>2.0</v>
      </c>
      <c r="AB48" s="74">
        <v>0.0</v>
      </c>
      <c r="AC48" s="74">
        <v>0.0</v>
      </c>
      <c r="AD48" s="74">
        <v>0.0</v>
      </c>
      <c r="AE48" s="74">
        <v>1.0</v>
      </c>
      <c r="AF48" s="74">
        <v>1.0</v>
      </c>
      <c r="AG48" s="74">
        <v>1.0</v>
      </c>
      <c r="AH48" s="74">
        <v>2.0</v>
      </c>
      <c r="AI48" s="74">
        <v>1.0</v>
      </c>
      <c r="AJ48" s="74">
        <v>0.0</v>
      </c>
      <c r="AK48" s="74">
        <v>0.0</v>
      </c>
      <c r="AL48" s="74">
        <v>1.0</v>
      </c>
      <c r="AM48" s="74">
        <v>1.0</v>
      </c>
      <c r="AN48" s="74">
        <v>0.0</v>
      </c>
      <c r="AO48" s="74">
        <v>0.0</v>
      </c>
      <c r="AP48" s="74">
        <v>0.0</v>
      </c>
      <c r="AQ48" s="74">
        <v>1.0</v>
      </c>
      <c r="AR48" s="74">
        <v>1.0</v>
      </c>
      <c r="AS48" s="74">
        <v>3.0</v>
      </c>
      <c r="AT48" s="74">
        <v>0.0</v>
      </c>
      <c r="AU48" s="74">
        <v>0.0</v>
      </c>
      <c r="AV48" s="74">
        <v>0.0</v>
      </c>
      <c r="AW48" s="74">
        <v>0.0</v>
      </c>
      <c r="AX48" s="13">
        <f t="shared" si="14"/>
        <v>40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4.0</v>
      </c>
      <c r="G49" s="74">
        <v>1.0</v>
      </c>
      <c r="H49" s="74">
        <v>1.0</v>
      </c>
      <c r="I49" s="74">
        <v>0.0</v>
      </c>
      <c r="J49" s="74">
        <v>1.0</v>
      </c>
      <c r="K49" s="74">
        <v>2.0</v>
      </c>
      <c r="L49" s="74">
        <v>2.0</v>
      </c>
      <c r="M49" s="74">
        <v>1.0</v>
      </c>
      <c r="N49" s="74">
        <v>3.0</v>
      </c>
      <c r="O49" s="74">
        <v>1.0</v>
      </c>
      <c r="P49" s="74">
        <v>2.0</v>
      </c>
      <c r="Q49" s="74">
        <v>3.0</v>
      </c>
      <c r="R49" s="74">
        <v>4.0</v>
      </c>
      <c r="S49" s="74">
        <v>1.0</v>
      </c>
      <c r="T49" s="74">
        <v>1.0</v>
      </c>
      <c r="U49" s="74">
        <v>2.0</v>
      </c>
      <c r="V49" s="74">
        <v>0.0</v>
      </c>
      <c r="W49" s="74">
        <v>1.0</v>
      </c>
      <c r="X49" s="74">
        <v>1.0</v>
      </c>
      <c r="Y49" s="74">
        <v>0.0</v>
      </c>
      <c r="Z49" s="74">
        <v>2.0</v>
      </c>
      <c r="AA49" s="74">
        <v>4.0</v>
      </c>
      <c r="AB49" s="74">
        <v>0.0</v>
      </c>
      <c r="AC49" s="74">
        <v>4.0</v>
      </c>
      <c r="AD49" s="74">
        <v>1.0</v>
      </c>
      <c r="AE49" s="74">
        <v>1.0</v>
      </c>
      <c r="AF49" s="74">
        <v>0.0</v>
      </c>
      <c r="AG49" s="74">
        <v>3.0</v>
      </c>
      <c r="AH49" s="74">
        <v>1.0</v>
      </c>
      <c r="AI49" s="74">
        <v>0.0</v>
      </c>
      <c r="AJ49" s="74">
        <v>1.0</v>
      </c>
      <c r="AK49" s="74">
        <v>2.0</v>
      </c>
      <c r="AL49" s="74">
        <v>0.0</v>
      </c>
      <c r="AM49" s="74">
        <v>0.0</v>
      </c>
      <c r="AN49" s="74">
        <v>0.0</v>
      </c>
      <c r="AO49" s="74">
        <v>2.0</v>
      </c>
      <c r="AP49" s="74">
        <v>0.0</v>
      </c>
      <c r="AQ49" s="74">
        <v>1.0</v>
      </c>
      <c r="AR49" s="74">
        <v>2.0</v>
      </c>
      <c r="AS49" s="74">
        <v>3.0</v>
      </c>
      <c r="AT49" s="74">
        <v>0.0</v>
      </c>
      <c r="AU49" s="74">
        <v>2.0</v>
      </c>
      <c r="AV49" s="74">
        <v>1.0</v>
      </c>
      <c r="AW49" s="74">
        <v>1.0</v>
      </c>
      <c r="AX49" s="13">
        <f t="shared" si="14"/>
        <v>64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1.0</v>
      </c>
      <c r="G50" s="74">
        <v>4.0</v>
      </c>
      <c r="H50" s="74">
        <v>0.0</v>
      </c>
      <c r="I50" s="74">
        <v>2.0</v>
      </c>
      <c r="J50" s="74">
        <v>1.0</v>
      </c>
      <c r="K50" s="74">
        <v>2.0</v>
      </c>
      <c r="L50" s="74">
        <v>1.0</v>
      </c>
      <c r="M50" s="74">
        <v>1.0</v>
      </c>
      <c r="N50" s="74">
        <v>3.0</v>
      </c>
      <c r="O50" s="74">
        <v>1.0</v>
      </c>
      <c r="P50" s="74">
        <v>0.0</v>
      </c>
      <c r="Q50" s="74">
        <v>2.0</v>
      </c>
      <c r="R50" s="74">
        <v>0.0</v>
      </c>
      <c r="S50" s="74">
        <v>2.0</v>
      </c>
      <c r="T50" s="74">
        <v>0.0</v>
      </c>
      <c r="U50" s="74">
        <v>0.0</v>
      </c>
      <c r="V50" s="74">
        <v>0.0</v>
      </c>
      <c r="W50" s="74">
        <v>3.0</v>
      </c>
      <c r="X50" s="74">
        <v>0.0</v>
      </c>
      <c r="Y50" s="74">
        <v>0.0</v>
      </c>
      <c r="Z50" s="74">
        <v>0.0</v>
      </c>
      <c r="AA50" s="74">
        <v>1.0</v>
      </c>
      <c r="AB50" s="74">
        <v>0.0</v>
      </c>
      <c r="AC50" s="74">
        <v>2.0</v>
      </c>
      <c r="AD50" s="74">
        <v>1.0</v>
      </c>
      <c r="AE50" s="74">
        <v>0.0</v>
      </c>
      <c r="AF50" s="74">
        <v>0.0</v>
      </c>
      <c r="AG50" s="74">
        <v>0.0</v>
      </c>
      <c r="AH50" s="74">
        <v>2.0</v>
      </c>
      <c r="AI50" s="74">
        <v>0.0</v>
      </c>
      <c r="AJ50" s="74">
        <v>0.0</v>
      </c>
      <c r="AK50" s="74">
        <v>0.0</v>
      </c>
      <c r="AL50" s="74">
        <v>1.0</v>
      </c>
      <c r="AM50" s="74">
        <v>2.0</v>
      </c>
      <c r="AN50" s="74">
        <v>0.0</v>
      </c>
      <c r="AO50" s="74">
        <v>0.0</v>
      </c>
      <c r="AP50" s="74">
        <v>0.0</v>
      </c>
      <c r="AQ50" s="74">
        <v>0.0</v>
      </c>
      <c r="AR50" s="74">
        <v>0.0</v>
      </c>
      <c r="AS50" s="74">
        <v>2.0</v>
      </c>
      <c r="AT50" s="74">
        <v>0.0</v>
      </c>
      <c r="AU50" s="74">
        <v>2.0</v>
      </c>
      <c r="AV50" s="74">
        <v>0.0</v>
      </c>
      <c r="AW50" s="74">
        <v>1.0</v>
      </c>
      <c r="AX50" s="13">
        <f t="shared" si="14"/>
        <v>38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1.0</v>
      </c>
      <c r="G51" s="74">
        <v>1.0</v>
      </c>
      <c r="H51" s="74">
        <v>1.0</v>
      </c>
      <c r="I51" s="74">
        <v>0.0</v>
      </c>
      <c r="J51" s="74">
        <v>1.0</v>
      </c>
      <c r="K51" s="74">
        <v>0.0</v>
      </c>
      <c r="L51" s="74">
        <v>1.0</v>
      </c>
      <c r="M51" s="74">
        <v>2.0</v>
      </c>
      <c r="N51" s="74">
        <v>1.0</v>
      </c>
      <c r="O51" s="74">
        <v>0.0</v>
      </c>
      <c r="P51" s="74">
        <v>1.0</v>
      </c>
      <c r="Q51" s="74">
        <v>0.0</v>
      </c>
      <c r="R51" s="74">
        <v>2.0</v>
      </c>
      <c r="S51" s="74">
        <v>0.0</v>
      </c>
      <c r="T51" s="74">
        <v>0.0</v>
      </c>
      <c r="U51" s="74">
        <v>0.0</v>
      </c>
      <c r="V51" s="74">
        <v>1.0</v>
      </c>
      <c r="W51" s="74">
        <v>1.0</v>
      </c>
      <c r="X51" s="74">
        <v>0.0</v>
      </c>
      <c r="Y51" s="74">
        <v>0.0</v>
      </c>
      <c r="Z51" s="74">
        <v>0.0</v>
      </c>
      <c r="AA51" s="74">
        <v>1.0</v>
      </c>
      <c r="AB51" s="74">
        <v>1.0</v>
      </c>
      <c r="AC51" s="74">
        <v>0.0</v>
      </c>
      <c r="AD51" s="74">
        <v>0.0</v>
      </c>
      <c r="AE51" s="74">
        <v>0.0</v>
      </c>
      <c r="AF51" s="74">
        <v>1.0</v>
      </c>
      <c r="AG51" s="74">
        <v>1.0</v>
      </c>
      <c r="AH51" s="74">
        <v>0.0</v>
      </c>
      <c r="AI51" s="74">
        <v>0.0</v>
      </c>
      <c r="AJ51" s="74">
        <v>0.0</v>
      </c>
      <c r="AK51" s="74">
        <v>0.0</v>
      </c>
      <c r="AL51" s="74">
        <v>0.0</v>
      </c>
      <c r="AM51" s="74">
        <v>0.0</v>
      </c>
      <c r="AN51" s="74">
        <v>0.0</v>
      </c>
      <c r="AO51" s="74">
        <v>1.0</v>
      </c>
      <c r="AP51" s="74">
        <v>0.0</v>
      </c>
      <c r="AQ51" s="74">
        <v>0.0</v>
      </c>
      <c r="AR51" s="74">
        <v>1.0</v>
      </c>
      <c r="AS51" s="74">
        <v>0.0</v>
      </c>
      <c r="AT51" s="74">
        <v>0.0</v>
      </c>
      <c r="AU51" s="74">
        <v>1.0</v>
      </c>
      <c r="AV51" s="74">
        <v>0.0</v>
      </c>
      <c r="AW51" s="74">
        <v>0.0</v>
      </c>
      <c r="AX51" s="13">
        <f t="shared" si="14"/>
        <v>21</v>
      </c>
    </row>
    <row r="52" ht="12.75" customHeight="1">
      <c r="A52" s="18"/>
      <c r="B52" s="55"/>
      <c r="C52" s="50" t="s">
        <v>46</v>
      </c>
      <c r="D52" s="50"/>
      <c r="E52" s="74">
        <v>3.0</v>
      </c>
      <c r="F52" s="74">
        <v>4.0</v>
      </c>
      <c r="G52" s="74">
        <v>1.0</v>
      </c>
      <c r="H52" s="74">
        <v>1.0</v>
      </c>
      <c r="I52" s="74">
        <v>5.0</v>
      </c>
      <c r="J52" s="74">
        <v>10.0</v>
      </c>
      <c r="K52" s="74">
        <v>4.0</v>
      </c>
      <c r="L52" s="74">
        <v>1.0</v>
      </c>
      <c r="M52" s="74">
        <v>2.0</v>
      </c>
      <c r="N52" s="74">
        <v>3.0</v>
      </c>
      <c r="O52" s="74">
        <v>3.0</v>
      </c>
      <c r="P52" s="74">
        <v>5.0</v>
      </c>
      <c r="Q52" s="74">
        <v>5.0</v>
      </c>
      <c r="R52" s="74">
        <v>2.0</v>
      </c>
      <c r="S52" s="74">
        <v>4.0</v>
      </c>
      <c r="T52" s="74">
        <v>2.0</v>
      </c>
      <c r="U52" s="74">
        <v>4.0</v>
      </c>
      <c r="V52" s="74">
        <v>1.0</v>
      </c>
      <c r="W52" s="74">
        <v>2.0</v>
      </c>
      <c r="X52" s="74">
        <v>0.0</v>
      </c>
      <c r="Y52" s="74">
        <v>1.0</v>
      </c>
      <c r="Z52" s="74">
        <v>0.0</v>
      </c>
      <c r="AA52" s="74">
        <v>1.0</v>
      </c>
      <c r="AB52" s="74">
        <v>1.0</v>
      </c>
      <c r="AC52" s="74">
        <v>4.0</v>
      </c>
      <c r="AD52" s="74">
        <v>4.0</v>
      </c>
      <c r="AE52" s="74">
        <v>0.0</v>
      </c>
      <c r="AF52" s="74">
        <v>2.0</v>
      </c>
      <c r="AG52" s="74">
        <v>3.0</v>
      </c>
      <c r="AH52" s="74">
        <v>3.0</v>
      </c>
      <c r="AI52" s="74">
        <v>0.0</v>
      </c>
      <c r="AJ52" s="74">
        <v>0.0</v>
      </c>
      <c r="AK52" s="74">
        <v>0.0</v>
      </c>
      <c r="AL52" s="74">
        <v>2.0</v>
      </c>
      <c r="AM52" s="74">
        <v>4.0</v>
      </c>
      <c r="AN52" s="74">
        <v>4.0</v>
      </c>
      <c r="AO52" s="74">
        <v>0.0</v>
      </c>
      <c r="AP52" s="74">
        <v>2.0</v>
      </c>
      <c r="AQ52" s="74">
        <v>1.0</v>
      </c>
      <c r="AR52" s="74">
        <v>4.0</v>
      </c>
      <c r="AS52" s="74">
        <v>1.0</v>
      </c>
      <c r="AT52" s="74">
        <v>1.0</v>
      </c>
      <c r="AU52" s="74">
        <v>4.0</v>
      </c>
      <c r="AV52" s="74">
        <v>1.0</v>
      </c>
      <c r="AW52" s="74">
        <v>1.0</v>
      </c>
      <c r="AX52" s="13">
        <f t="shared" si="14"/>
        <v>106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2.0</v>
      </c>
      <c r="I53" s="74">
        <v>0.0</v>
      </c>
      <c r="J53" s="74">
        <v>1.0</v>
      </c>
      <c r="K53" s="74">
        <v>1.0</v>
      </c>
      <c r="L53" s="74">
        <v>1.0</v>
      </c>
      <c r="M53" s="74">
        <v>0.0</v>
      </c>
      <c r="N53" s="74">
        <v>0.0</v>
      </c>
      <c r="O53" s="74">
        <v>0.0</v>
      </c>
      <c r="P53" s="74">
        <v>0.0</v>
      </c>
      <c r="Q53" s="74">
        <v>1.0</v>
      </c>
      <c r="R53" s="74">
        <v>2.0</v>
      </c>
      <c r="S53" s="74">
        <v>0.0</v>
      </c>
      <c r="T53" s="74">
        <v>0.0</v>
      </c>
      <c r="U53" s="74">
        <v>0.0</v>
      </c>
      <c r="V53" s="74">
        <v>0.0</v>
      </c>
      <c r="W53" s="74">
        <v>1.0</v>
      </c>
      <c r="X53" s="74">
        <v>1.0</v>
      </c>
      <c r="Y53" s="74">
        <v>0.0</v>
      </c>
      <c r="Z53" s="74">
        <v>0.0</v>
      </c>
      <c r="AA53" s="74">
        <v>0.0</v>
      </c>
      <c r="AB53" s="74">
        <v>0.0</v>
      </c>
      <c r="AC53" s="74">
        <v>1.0</v>
      </c>
      <c r="AD53" s="74">
        <v>0.0</v>
      </c>
      <c r="AE53" s="74">
        <v>0.0</v>
      </c>
      <c r="AF53" s="74">
        <v>0.0</v>
      </c>
      <c r="AG53" s="74">
        <v>0.0</v>
      </c>
      <c r="AH53" s="74">
        <v>0.0</v>
      </c>
      <c r="AI53" s="74">
        <v>0.0</v>
      </c>
      <c r="AJ53" s="74">
        <v>0.0</v>
      </c>
      <c r="AK53" s="74">
        <v>1.0</v>
      </c>
      <c r="AL53" s="74">
        <v>0.0</v>
      </c>
      <c r="AM53" s="74">
        <v>0.0</v>
      </c>
      <c r="AN53" s="74">
        <v>0.0</v>
      </c>
      <c r="AO53" s="74">
        <v>0.0</v>
      </c>
      <c r="AP53" s="74">
        <v>1.0</v>
      </c>
      <c r="AQ53" s="74">
        <v>0.0</v>
      </c>
      <c r="AR53" s="74">
        <v>1.0</v>
      </c>
      <c r="AS53" s="74">
        <v>0.0</v>
      </c>
      <c r="AT53" s="74">
        <v>0.0</v>
      </c>
      <c r="AU53" s="74">
        <v>0.0</v>
      </c>
      <c r="AV53" s="74">
        <v>1.0</v>
      </c>
      <c r="AW53" s="74">
        <v>0.0</v>
      </c>
      <c r="AX53" s="13">
        <f t="shared" si="14"/>
        <v>15</v>
      </c>
    </row>
    <row r="54" ht="12.75" customHeight="1">
      <c r="A54" s="18"/>
      <c r="B54" s="55"/>
      <c r="C54" s="50" t="s">
        <v>48</v>
      </c>
      <c r="D54" s="50"/>
      <c r="E54" s="74">
        <v>2.0</v>
      </c>
      <c r="F54" s="74">
        <v>0.0</v>
      </c>
      <c r="G54" s="74">
        <v>2.0</v>
      </c>
      <c r="H54" s="74">
        <v>0.0</v>
      </c>
      <c r="I54" s="74">
        <v>3.0</v>
      </c>
      <c r="J54" s="74">
        <v>1.0</v>
      </c>
      <c r="K54" s="74">
        <v>0.0</v>
      </c>
      <c r="L54" s="74">
        <v>4.0</v>
      </c>
      <c r="M54" s="74">
        <v>2.0</v>
      </c>
      <c r="N54" s="74">
        <v>2.0</v>
      </c>
      <c r="O54" s="74">
        <v>1.0</v>
      </c>
      <c r="P54" s="74">
        <v>0.0</v>
      </c>
      <c r="Q54" s="74">
        <v>0.0</v>
      </c>
      <c r="R54" s="74">
        <v>6.0</v>
      </c>
      <c r="S54" s="74">
        <v>1.0</v>
      </c>
      <c r="T54" s="74">
        <v>1.0</v>
      </c>
      <c r="U54" s="74">
        <v>2.0</v>
      </c>
      <c r="V54" s="74">
        <v>2.0</v>
      </c>
      <c r="W54" s="74">
        <v>0.0</v>
      </c>
      <c r="X54" s="74">
        <v>0.0</v>
      </c>
      <c r="Y54" s="74">
        <v>0.0</v>
      </c>
      <c r="Z54" s="74">
        <v>0.0</v>
      </c>
      <c r="AA54" s="74">
        <v>1.0</v>
      </c>
      <c r="AB54" s="74">
        <v>4.0</v>
      </c>
      <c r="AC54" s="74">
        <v>1.0</v>
      </c>
      <c r="AD54" s="74">
        <v>3.0</v>
      </c>
      <c r="AE54" s="74">
        <v>3.0</v>
      </c>
      <c r="AF54" s="74">
        <v>2.0</v>
      </c>
      <c r="AG54" s="74">
        <v>3.0</v>
      </c>
      <c r="AH54" s="74">
        <v>0.0</v>
      </c>
      <c r="AI54" s="74">
        <v>0.0</v>
      </c>
      <c r="AJ54" s="74">
        <v>1.0</v>
      </c>
      <c r="AK54" s="74">
        <v>0.0</v>
      </c>
      <c r="AL54" s="74">
        <v>0.0</v>
      </c>
      <c r="AM54" s="74">
        <v>0.0</v>
      </c>
      <c r="AN54" s="74">
        <v>2.0</v>
      </c>
      <c r="AO54" s="74">
        <v>0.0</v>
      </c>
      <c r="AP54" s="74">
        <v>1.0</v>
      </c>
      <c r="AQ54" s="74">
        <v>2.0</v>
      </c>
      <c r="AR54" s="74">
        <v>0.0</v>
      </c>
      <c r="AS54" s="74">
        <v>1.0</v>
      </c>
      <c r="AT54" s="74">
        <v>0.0</v>
      </c>
      <c r="AU54" s="74">
        <v>0.0</v>
      </c>
      <c r="AV54" s="74">
        <v>0.0</v>
      </c>
      <c r="AW54" s="74">
        <v>1.0</v>
      </c>
      <c r="AX54" s="13">
        <f t="shared" si="14"/>
        <v>54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X55" si="15">SUM(E45:E54)</f>
        <v>29</v>
      </c>
      <c r="F55" s="13">
        <f t="shared" si="15"/>
        <v>45</v>
      </c>
      <c r="G55" s="13">
        <f t="shared" si="15"/>
        <v>51</v>
      </c>
      <c r="H55" s="13">
        <f t="shared" si="15"/>
        <v>28</v>
      </c>
      <c r="I55" s="13">
        <f t="shared" si="15"/>
        <v>27</v>
      </c>
      <c r="J55" s="13">
        <f t="shared" si="15"/>
        <v>37</v>
      </c>
      <c r="K55" s="13">
        <f t="shared" si="15"/>
        <v>45</v>
      </c>
      <c r="L55" s="13">
        <f t="shared" si="15"/>
        <v>51</v>
      </c>
      <c r="M55" s="13">
        <f t="shared" si="15"/>
        <v>49</v>
      </c>
      <c r="N55" s="13">
        <f t="shared" si="15"/>
        <v>70</v>
      </c>
      <c r="O55" s="13">
        <f t="shared" si="15"/>
        <v>30</v>
      </c>
      <c r="P55" s="13">
        <f t="shared" si="15"/>
        <v>29</v>
      </c>
      <c r="Q55" s="13">
        <f t="shared" si="15"/>
        <v>43</v>
      </c>
      <c r="R55" s="13">
        <f t="shared" si="15"/>
        <v>57</v>
      </c>
      <c r="S55" s="13">
        <f t="shared" si="15"/>
        <v>22</v>
      </c>
      <c r="T55" s="13">
        <f t="shared" si="15"/>
        <v>34</v>
      </c>
      <c r="U55" s="13">
        <f t="shared" si="15"/>
        <v>32</v>
      </c>
      <c r="V55" s="13">
        <f t="shared" si="15"/>
        <v>21</v>
      </c>
      <c r="W55" s="13">
        <f t="shared" si="15"/>
        <v>20</v>
      </c>
      <c r="X55" s="13">
        <f t="shared" si="15"/>
        <v>20</v>
      </c>
      <c r="Y55" s="13">
        <f t="shared" si="15"/>
        <v>7</v>
      </c>
      <c r="Z55" s="13">
        <f t="shared" si="15"/>
        <v>31</v>
      </c>
      <c r="AA55" s="13">
        <f t="shared" si="15"/>
        <v>27</v>
      </c>
      <c r="AB55" s="13">
        <f t="shared" si="15"/>
        <v>32</v>
      </c>
      <c r="AC55" s="13">
        <f t="shared" si="15"/>
        <v>60</v>
      </c>
      <c r="AD55" s="13">
        <f t="shared" si="15"/>
        <v>20</v>
      </c>
      <c r="AE55" s="13">
        <f t="shared" si="15"/>
        <v>25</v>
      </c>
      <c r="AF55" s="13">
        <f t="shared" si="15"/>
        <v>23</v>
      </c>
      <c r="AG55" s="13">
        <f t="shared" si="15"/>
        <v>41</v>
      </c>
      <c r="AH55" s="13">
        <f t="shared" si="15"/>
        <v>33</v>
      </c>
      <c r="AI55" s="13">
        <f t="shared" si="15"/>
        <v>24</v>
      </c>
      <c r="AJ55" s="13">
        <f t="shared" si="15"/>
        <v>26</v>
      </c>
      <c r="AK55" s="13">
        <f t="shared" si="15"/>
        <v>18</v>
      </c>
      <c r="AL55" s="13">
        <f t="shared" si="15"/>
        <v>14</v>
      </c>
      <c r="AM55" s="13">
        <f t="shared" si="15"/>
        <v>19</v>
      </c>
      <c r="AN55" s="13">
        <f t="shared" si="15"/>
        <v>14</v>
      </c>
      <c r="AO55" s="13">
        <f t="shared" si="15"/>
        <v>13</v>
      </c>
      <c r="AP55" s="13">
        <f t="shared" si="15"/>
        <v>12</v>
      </c>
      <c r="AQ55" s="13">
        <f t="shared" si="15"/>
        <v>28</v>
      </c>
      <c r="AR55" s="13">
        <f t="shared" si="15"/>
        <v>23</v>
      </c>
      <c r="AS55" s="13">
        <f t="shared" si="15"/>
        <v>24</v>
      </c>
      <c r="AT55" s="13">
        <f t="shared" si="15"/>
        <v>10</v>
      </c>
      <c r="AU55" s="13">
        <f t="shared" si="15"/>
        <v>69</v>
      </c>
      <c r="AV55" s="13">
        <f t="shared" si="15"/>
        <v>53</v>
      </c>
      <c r="AW55" s="13">
        <f t="shared" si="15"/>
        <v>42</v>
      </c>
      <c r="AX55" s="13">
        <f t="shared" si="15"/>
        <v>1428</v>
      </c>
    </row>
    <row r="56" ht="12.75" customHeight="1">
      <c r="A56" s="45"/>
      <c r="B56" s="44"/>
      <c r="C56" s="44"/>
      <c r="D56" s="44"/>
      <c r="E56" s="44"/>
      <c r="AX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15.0</v>
      </c>
      <c r="F57" s="74">
        <v>24.0</v>
      </c>
      <c r="G57" s="74">
        <v>12.0</v>
      </c>
      <c r="H57" s="74">
        <v>16.0</v>
      </c>
      <c r="I57" s="74">
        <v>18.0</v>
      </c>
      <c r="J57" s="74">
        <v>18.0</v>
      </c>
      <c r="K57" s="74">
        <v>10.0</v>
      </c>
      <c r="L57" s="74">
        <v>7.0</v>
      </c>
      <c r="M57" s="74">
        <v>4.0</v>
      </c>
      <c r="N57" s="74">
        <v>16.0</v>
      </c>
      <c r="O57" s="74">
        <v>19.0</v>
      </c>
      <c r="P57" s="74">
        <v>15.0</v>
      </c>
      <c r="Q57" s="74">
        <v>10.0</v>
      </c>
      <c r="R57" s="74">
        <v>19.0</v>
      </c>
      <c r="S57" s="74">
        <v>8.0</v>
      </c>
      <c r="T57" s="74">
        <v>8.0</v>
      </c>
      <c r="U57" s="74">
        <v>16.0</v>
      </c>
      <c r="V57" s="74">
        <v>10.0</v>
      </c>
      <c r="W57" s="74">
        <v>20.0</v>
      </c>
      <c r="X57" s="74">
        <v>21.0</v>
      </c>
      <c r="Y57" s="74">
        <v>25.0</v>
      </c>
      <c r="Z57" s="74">
        <v>18.0</v>
      </c>
      <c r="AA57" s="74">
        <v>18.0</v>
      </c>
      <c r="AB57" s="74">
        <v>7.0</v>
      </c>
      <c r="AC57" s="74">
        <v>9.0</v>
      </c>
      <c r="AD57" s="74">
        <v>15.0</v>
      </c>
      <c r="AE57" s="74">
        <v>10.0</v>
      </c>
      <c r="AF57" s="74">
        <v>4.0</v>
      </c>
      <c r="AG57" s="74">
        <v>14.0</v>
      </c>
      <c r="AH57" s="74">
        <v>10.0</v>
      </c>
      <c r="AI57" s="74">
        <v>20.0</v>
      </c>
      <c r="AJ57" s="74">
        <v>20.0</v>
      </c>
      <c r="AK57" s="74">
        <v>25.0</v>
      </c>
      <c r="AL57" s="74">
        <v>14.0</v>
      </c>
      <c r="AM57" s="74">
        <v>23.0</v>
      </c>
      <c r="AN57" s="74">
        <v>26.0</v>
      </c>
      <c r="AO57" s="74">
        <v>31.0</v>
      </c>
      <c r="AP57" s="74">
        <v>21.0</v>
      </c>
      <c r="AQ57" s="74">
        <v>8.0</v>
      </c>
      <c r="AR57" s="74">
        <v>14.0</v>
      </c>
      <c r="AS57" s="74">
        <v>14.0</v>
      </c>
      <c r="AT57" s="74">
        <v>12.0</v>
      </c>
      <c r="AU57" s="74">
        <v>3.0</v>
      </c>
      <c r="AV57" s="74">
        <v>13.0</v>
      </c>
      <c r="AW57" s="74">
        <v>12.0</v>
      </c>
      <c r="AX57" s="13">
        <f t="shared" ref="AX57:AX66" si="16">SUM(E57:AW57)</f>
        <v>672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5.0</v>
      </c>
      <c r="F58" s="74">
        <v>4.0</v>
      </c>
      <c r="G58" s="74">
        <v>9.0</v>
      </c>
      <c r="H58" s="74">
        <v>11.0</v>
      </c>
      <c r="I58" s="74">
        <v>7.0</v>
      </c>
      <c r="J58" s="74">
        <v>13.0</v>
      </c>
      <c r="K58" s="74">
        <v>3.0</v>
      </c>
      <c r="L58" s="74">
        <v>5.0</v>
      </c>
      <c r="M58" s="74">
        <v>6.0</v>
      </c>
      <c r="N58" s="74">
        <v>20.0</v>
      </c>
      <c r="O58" s="74">
        <v>14.0</v>
      </c>
      <c r="P58" s="74">
        <v>2.0</v>
      </c>
      <c r="Q58" s="74">
        <v>14.0</v>
      </c>
      <c r="R58" s="74">
        <v>10.0</v>
      </c>
      <c r="S58" s="74">
        <v>5.0</v>
      </c>
      <c r="T58" s="74">
        <v>8.0</v>
      </c>
      <c r="U58" s="74">
        <v>8.0</v>
      </c>
      <c r="V58" s="74">
        <v>12.0</v>
      </c>
      <c r="W58" s="74">
        <v>4.0</v>
      </c>
      <c r="X58" s="74">
        <v>5.0</v>
      </c>
      <c r="Y58" s="74">
        <v>13.0</v>
      </c>
      <c r="Z58" s="74">
        <v>8.0</v>
      </c>
      <c r="AA58" s="74">
        <v>1.0</v>
      </c>
      <c r="AB58" s="74">
        <v>13.0</v>
      </c>
      <c r="AC58" s="74">
        <v>9.0</v>
      </c>
      <c r="AD58" s="74">
        <v>5.0</v>
      </c>
      <c r="AE58" s="74">
        <v>9.0</v>
      </c>
      <c r="AF58" s="74">
        <v>4.0</v>
      </c>
      <c r="AG58" s="74">
        <v>6.0</v>
      </c>
      <c r="AH58" s="74">
        <v>8.0</v>
      </c>
      <c r="AI58" s="74">
        <v>6.0</v>
      </c>
      <c r="AJ58" s="74">
        <v>13.0</v>
      </c>
      <c r="AK58" s="74">
        <v>8.0</v>
      </c>
      <c r="AL58" s="74">
        <v>9.0</v>
      </c>
      <c r="AM58" s="74">
        <v>8.0</v>
      </c>
      <c r="AN58" s="74">
        <v>9.0</v>
      </c>
      <c r="AO58" s="74">
        <v>18.0</v>
      </c>
      <c r="AP58" s="74">
        <v>10.0</v>
      </c>
      <c r="AQ58" s="74">
        <v>22.0</v>
      </c>
      <c r="AR58" s="74">
        <v>8.0</v>
      </c>
      <c r="AS58" s="74">
        <v>7.0</v>
      </c>
      <c r="AT58" s="74">
        <v>11.0</v>
      </c>
      <c r="AU58" s="74">
        <v>22.0</v>
      </c>
      <c r="AV58" s="74">
        <v>28.0</v>
      </c>
      <c r="AW58" s="74">
        <v>24.0</v>
      </c>
      <c r="AX58" s="13">
        <f t="shared" si="16"/>
        <v>444</v>
      </c>
    </row>
    <row r="59" ht="12.75" customHeight="1">
      <c r="A59" s="18"/>
      <c r="B59" s="55"/>
      <c r="C59" s="50" t="s">
        <v>52</v>
      </c>
      <c r="D59" s="56"/>
      <c r="E59" s="74">
        <v>2.0</v>
      </c>
      <c r="F59" s="74">
        <v>8.0</v>
      </c>
      <c r="G59" s="74">
        <v>4.0</v>
      </c>
      <c r="H59" s="74">
        <v>3.0</v>
      </c>
      <c r="I59" s="74">
        <v>4.0</v>
      </c>
      <c r="J59" s="74">
        <v>7.0</v>
      </c>
      <c r="K59" s="74">
        <v>3.0</v>
      </c>
      <c r="L59" s="74">
        <v>3.0</v>
      </c>
      <c r="M59" s="74">
        <v>0.0</v>
      </c>
      <c r="N59" s="74">
        <v>1.0</v>
      </c>
      <c r="O59" s="74">
        <v>5.0</v>
      </c>
      <c r="P59" s="74">
        <v>6.0</v>
      </c>
      <c r="Q59" s="74">
        <v>6.0</v>
      </c>
      <c r="R59" s="74">
        <v>8.0</v>
      </c>
      <c r="S59" s="74">
        <v>3.0</v>
      </c>
      <c r="T59" s="74">
        <v>4.0</v>
      </c>
      <c r="U59" s="74">
        <v>3.0</v>
      </c>
      <c r="V59" s="74">
        <v>1.0</v>
      </c>
      <c r="W59" s="74">
        <v>5.0</v>
      </c>
      <c r="X59" s="74">
        <v>8.0</v>
      </c>
      <c r="Y59" s="74">
        <v>6.0</v>
      </c>
      <c r="Z59" s="74">
        <v>7.0</v>
      </c>
      <c r="AA59" s="74">
        <v>6.0</v>
      </c>
      <c r="AB59" s="74">
        <v>5.0</v>
      </c>
      <c r="AC59" s="74">
        <v>5.0</v>
      </c>
      <c r="AD59" s="74">
        <v>5.0</v>
      </c>
      <c r="AE59" s="74">
        <v>3.0</v>
      </c>
      <c r="AF59" s="74">
        <v>5.0</v>
      </c>
      <c r="AG59" s="74">
        <v>5.0</v>
      </c>
      <c r="AH59" s="74">
        <v>2.0</v>
      </c>
      <c r="AI59" s="74">
        <v>2.0</v>
      </c>
      <c r="AJ59" s="74">
        <v>3.0</v>
      </c>
      <c r="AK59" s="74">
        <v>3.0</v>
      </c>
      <c r="AL59" s="74">
        <v>18.0</v>
      </c>
      <c r="AM59" s="74">
        <v>20.0</v>
      </c>
      <c r="AN59" s="74">
        <v>27.0</v>
      </c>
      <c r="AO59" s="74">
        <v>38.0</v>
      </c>
      <c r="AP59" s="74">
        <v>19.0</v>
      </c>
      <c r="AQ59" s="74">
        <v>13.0</v>
      </c>
      <c r="AR59" s="74">
        <v>9.0</v>
      </c>
      <c r="AS59" s="74">
        <v>18.0</v>
      </c>
      <c r="AT59" s="74">
        <v>10.0</v>
      </c>
      <c r="AU59" s="74">
        <v>2.0</v>
      </c>
      <c r="AV59" s="74">
        <v>5.0</v>
      </c>
      <c r="AW59" s="74">
        <v>1.0</v>
      </c>
      <c r="AX59" s="13">
        <f t="shared" si="16"/>
        <v>321</v>
      </c>
    </row>
    <row r="60" ht="12.75" customHeight="1">
      <c r="A60" s="18"/>
      <c r="B60" s="55"/>
      <c r="C60" s="50" t="s">
        <v>53</v>
      </c>
      <c r="D60" s="56"/>
      <c r="E60" s="74">
        <v>4.0</v>
      </c>
      <c r="F60" s="74">
        <v>5.0</v>
      </c>
      <c r="G60" s="74">
        <v>4.0</v>
      </c>
      <c r="H60" s="74">
        <v>3.0</v>
      </c>
      <c r="I60" s="74">
        <v>8.0</v>
      </c>
      <c r="J60" s="74">
        <v>2.0</v>
      </c>
      <c r="K60" s="74">
        <v>3.0</v>
      </c>
      <c r="L60" s="74">
        <v>1.0</v>
      </c>
      <c r="M60" s="74">
        <v>0.0</v>
      </c>
      <c r="N60" s="74">
        <v>3.0</v>
      </c>
      <c r="O60" s="74">
        <v>3.0</v>
      </c>
      <c r="P60" s="74">
        <v>3.0</v>
      </c>
      <c r="Q60" s="74">
        <v>3.0</v>
      </c>
      <c r="R60" s="74">
        <v>7.0</v>
      </c>
      <c r="S60" s="74">
        <v>1.0</v>
      </c>
      <c r="T60" s="74">
        <v>2.0</v>
      </c>
      <c r="U60" s="74">
        <v>4.0</v>
      </c>
      <c r="V60" s="74">
        <v>4.0</v>
      </c>
      <c r="W60" s="74">
        <v>4.0</v>
      </c>
      <c r="X60" s="74">
        <v>4.0</v>
      </c>
      <c r="Y60" s="74">
        <v>2.0</v>
      </c>
      <c r="Z60" s="74">
        <v>4.0</v>
      </c>
      <c r="AA60" s="74">
        <v>4.0</v>
      </c>
      <c r="AB60" s="74">
        <v>1.0</v>
      </c>
      <c r="AC60" s="74">
        <v>2.0</v>
      </c>
      <c r="AD60" s="74">
        <v>3.0</v>
      </c>
      <c r="AE60" s="74">
        <v>5.0</v>
      </c>
      <c r="AF60" s="74">
        <v>4.0</v>
      </c>
      <c r="AG60" s="74">
        <v>5.0</v>
      </c>
      <c r="AH60" s="74">
        <v>5.0</v>
      </c>
      <c r="AI60" s="74">
        <v>11.0</v>
      </c>
      <c r="AJ60" s="74">
        <v>4.0</v>
      </c>
      <c r="AK60" s="74">
        <v>4.0</v>
      </c>
      <c r="AL60" s="74">
        <v>4.0</v>
      </c>
      <c r="AM60" s="74">
        <v>5.0</v>
      </c>
      <c r="AN60" s="74">
        <v>3.0</v>
      </c>
      <c r="AO60" s="74">
        <v>5.0</v>
      </c>
      <c r="AP60" s="74">
        <v>7.0</v>
      </c>
      <c r="AQ60" s="74">
        <v>5.0</v>
      </c>
      <c r="AR60" s="74">
        <v>3.0</v>
      </c>
      <c r="AS60" s="74">
        <v>3.0</v>
      </c>
      <c r="AT60" s="74">
        <v>4.0</v>
      </c>
      <c r="AU60" s="74">
        <v>0.0</v>
      </c>
      <c r="AV60" s="74">
        <v>3.0</v>
      </c>
      <c r="AW60" s="74">
        <v>3.0</v>
      </c>
      <c r="AX60" s="13">
        <f t="shared" si="16"/>
        <v>167</v>
      </c>
    </row>
    <row r="61" ht="12.75" customHeight="1">
      <c r="A61" s="18"/>
      <c r="B61" s="55"/>
      <c r="C61" s="50" t="s">
        <v>54</v>
      </c>
      <c r="D61" s="56"/>
      <c r="E61" s="74">
        <v>10.0</v>
      </c>
      <c r="F61" s="74">
        <v>3.0</v>
      </c>
      <c r="G61" s="74">
        <v>8.0</v>
      </c>
      <c r="H61" s="74">
        <v>12.0</v>
      </c>
      <c r="I61" s="74">
        <v>7.0</v>
      </c>
      <c r="J61" s="74">
        <v>5.0</v>
      </c>
      <c r="K61" s="74">
        <v>1.0</v>
      </c>
      <c r="L61" s="74">
        <v>3.0</v>
      </c>
      <c r="M61" s="74">
        <v>2.0</v>
      </c>
      <c r="N61" s="74">
        <v>21.0</v>
      </c>
      <c r="O61" s="74">
        <v>3.0</v>
      </c>
      <c r="P61" s="74">
        <v>4.0</v>
      </c>
      <c r="Q61" s="74">
        <v>2.0</v>
      </c>
      <c r="R61" s="74">
        <v>4.0</v>
      </c>
      <c r="S61" s="74">
        <v>4.0</v>
      </c>
      <c r="T61" s="74">
        <v>3.0</v>
      </c>
      <c r="U61" s="74">
        <v>2.0</v>
      </c>
      <c r="V61" s="74">
        <v>2.0</v>
      </c>
      <c r="W61" s="74">
        <v>3.0</v>
      </c>
      <c r="X61" s="74">
        <v>6.0</v>
      </c>
      <c r="Y61" s="74">
        <v>1.0</v>
      </c>
      <c r="Z61" s="74">
        <v>5.0</v>
      </c>
      <c r="AA61" s="74">
        <v>3.0</v>
      </c>
      <c r="AB61" s="74">
        <v>4.0</v>
      </c>
      <c r="AC61" s="74">
        <v>5.0</v>
      </c>
      <c r="AD61" s="74">
        <v>5.0</v>
      </c>
      <c r="AE61" s="74">
        <v>2.0</v>
      </c>
      <c r="AF61" s="74">
        <v>0.0</v>
      </c>
      <c r="AG61" s="74">
        <v>6.0</v>
      </c>
      <c r="AH61" s="74">
        <v>1.0</v>
      </c>
      <c r="AI61" s="74">
        <v>5.0</v>
      </c>
      <c r="AJ61" s="74">
        <v>5.0</v>
      </c>
      <c r="AK61" s="74">
        <v>2.0</v>
      </c>
      <c r="AL61" s="74">
        <v>5.0</v>
      </c>
      <c r="AM61" s="74">
        <v>5.0</v>
      </c>
      <c r="AN61" s="74">
        <v>2.0</v>
      </c>
      <c r="AO61" s="74">
        <v>1.0</v>
      </c>
      <c r="AP61" s="74">
        <v>4.0</v>
      </c>
      <c r="AQ61" s="74">
        <v>7.0</v>
      </c>
      <c r="AR61" s="74">
        <v>2.0</v>
      </c>
      <c r="AS61" s="74">
        <v>1.0</v>
      </c>
      <c r="AT61" s="74">
        <v>2.0</v>
      </c>
      <c r="AU61" s="74">
        <v>1.0</v>
      </c>
      <c r="AV61" s="74">
        <v>2.0</v>
      </c>
      <c r="AW61" s="74">
        <v>4.0</v>
      </c>
      <c r="AX61" s="13">
        <f t="shared" si="16"/>
        <v>185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3.0</v>
      </c>
      <c r="G62" s="74">
        <v>3.0</v>
      </c>
      <c r="H62" s="74">
        <v>2.0</v>
      </c>
      <c r="I62" s="74">
        <v>4.0</v>
      </c>
      <c r="J62" s="74">
        <v>2.0</v>
      </c>
      <c r="K62" s="74">
        <v>0.0</v>
      </c>
      <c r="L62" s="74">
        <v>3.0</v>
      </c>
      <c r="M62" s="74">
        <v>2.0</v>
      </c>
      <c r="N62" s="74">
        <v>0.0</v>
      </c>
      <c r="O62" s="74">
        <v>1.0</v>
      </c>
      <c r="P62" s="74">
        <v>1.0</v>
      </c>
      <c r="Q62" s="74">
        <v>2.0</v>
      </c>
      <c r="R62" s="74">
        <v>1.0</v>
      </c>
      <c r="S62" s="74">
        <v>4.0</v>
      </c>
      <c r="T62" s="74">
        <v>1.0</v>
      </c>
      <c r="U62" s="74">
        <v>2.0</v>
      </c>
      <c r="V62" s="74">
        <v>2.0</v>
      </c>
      <c r="W62" s="74">
        <v>1.0</v>
      </c>
      <c r="X62" s="74">
        <v>0.0</v>
      </c>
      <c r="Y62" s="74">
        <v>1.0</v>
      </c>
      <c r="Z62" s="74">
        <v>1.0</v>
      </c>
      <c r="AA62" s="74">
        <v>0.0</v>
      </c>
      <c r="AB62" s="74">
        <v>1.0</v>
      </c>
      <c r="AC62" s="74">
        <v>1.0</v>
      </c>
      <c r="AD62" s="74">
        <v>4.0</v>
      </c>
      <c r="AE62" s="74">
        <v>1.0</v>
      </c>
      <c r="AF62" s="74">
        <v>3.0</v>
      </c>
      <c r="AG62" s="74">
        <v>2.0</v>
      </c>
      <c r="AH62" s="74">
        <v>1.0</v>
      </c>
      <c r="AI62" s="74">
        <v>1.0</v>
      </c>
      <c r="AJ62" s="74">
        <v>4.0</v>
      </c>
      <c r="AK62" s="74">
        <v>3.0</v>
      </c>
      <c r="AL62" s="74">
        <v>1.0</v>
      </c>
      <c r="AM62" s="74">
        <v>3.0</v>
      </c>
      <c r="AN62" s="74">
        <v>5.0</v>
      </c>
      <c r="AO62" s="74">
        <v>1.0</v>
      </c>
      <c r="AP62" s="74">
        <v>2.0</v>
      </c>
      <c r="AQ62" s="74">
        <v>2.0</v>
      </c>
      <c r="AR62" s="74">
        <v>1.0</v>
      </c>
      <c r="AS62" s="74">
        <v>0.0</v>
      </c>
      <c r="AT62" s="74">
        <v>2.0</v>
      </c>
      <c r="AU62" s="74">
        <v>2.0</v>
      </c>
      <c r="AV62" s="74">
        <v>0.0</v>
      </c>
      <c r="AW62" s="74">
        <v>0.0</v>
      </c>
      <c r="AX62" s="13">
        <f t="shared" si="16"/>
        <v>76</v>
      </c>
    </row>
    <row r="63" ht="12.75" customHeight="1">
      <c r="A63" s="18"/>
      <c r="B63" s="55"/>
      <c r="C63" s="50" t="s">
        <v>56</v>
      </c>
      <c r="D63" s="57"/>
      <c r="E63" s="74">
        <v>2.0</v>
      </c>
      <c r="F63" s="74">
        <v>0.0</v>
      </c>
      <c r="G63" s="74">
        <v>2.0</v>
      </c>
      <c r="H63" s="74">
        <v>0.0</v>
      </c>
      <c r="I63" s="74">
        <v>1.0</v>
      </c>
      <c r="J63" s="74">
        <v>1.0</v>
      </c>
      <c r="K63" s="74">
        <v>0.0</v>
      </c>
      <c r="L63" s="74">
        <v>0.0</v>
      </c>
      <c r="M63" s="74">
        <v>2.0</v>
      </c>
      <c r="N63" s="74">
        <v>1.0</v>
      </c>
      <c r="O63" s="74">
        <v>1.0</v>
      </c>
      <c r="P63" s="74">
        <v>0.0</v>
      </c>
      <c r="Q63" s="74">
        <v>1.0</v>
      </c>
      <c r="R63" s="74">
        <v>1.0</v>
      </c>
      <c r="S63" s="74">
        <v>0.0</v>
      </c>
      <c r="T63" s="74">
        <v>0.0</v>
      </c>
      <c r="U63" s="74">
        <v>0.0</v>
      </c>
      <c r="V63" s="74">
        <v>2.0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74">
        <v>1.0</v>
      </c>
      <c r="AF63" s="74">
        <v>0.0</v>
      </c>
      <c r="AG63" s="74">
        <v>1.0</v>
      </c>
      <c r="AH63" s="74">
        <v>0.0</v>
      </c>
      <c r="AI63" s="74">
        <v>0.0</v>
      </c>
      <c r="AJ63" s="74">
        <v>0.0</v>
      </c>
      <c r="AK63" s="74">
        <v>2.0</v>
      </c>
      <c r="AL63" s="74">
        <v>0.0</v>
      </c>
      <c r="AM63" s="74">
        <v>0.0</v>
      </c>
      <c r="AN63" s="74">
        <v>0.0</v>
      </c>
      <c r="AO63" s="74">
        <v>0.0</v>
      </c>
      <c r="AP63" s="74">
        <v>2.0</v>
      </c>
      <c r="AQ63" s="74">
        <v>1.0</v>
      </c>
      <c r="AR63" s="74">
        <v>0.0</v>
      </c>
      <c r="AS63" s="74">
        <v>1.0</v>
      </c>
      <c r="AT63" s="74">
        <v>0.0</v>
      </c>
      <c r="AU63" s="74">
        <v>0.0</v>
      </c>
      <c r="AV63" s="74">
        <v>0.0</v>
      </c>
      <c r="AW63" s="74">
        <v>1.0</v>
      </c>
      <c r="AX63" s="13">
        <f t="shared" si="16"/>
        <v>23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1.0</v>
      </c>
      <c r="G64" s="74">
        <v>2.0</v>
      </c>
      <c r="H64" s="74">
        <v>0.0</v>
      </c>
      <c r="I64" s="74">
        <v>1.0</v>
      </c>
      <c r="J64" s="74">
        <v>0.0</v>
      </c>
      <c r="K64" s="74">
        <v>0.0</v>
      </c>
      <c r="L64" s="74">
        <v>0.0</v>
      </c>
      <c r="M64" s="74">
        <v>0.0</v>
      </c>
      <c r="N64" s="74">
        <v>1.0</v>
      </c>
      <c r="O64" s="74">
        <v>0.0</v>
      </c>
      <c r="P64" s="74">
        <v>0.0</v>
      </c>
      <c r="Q64" s="74">
        <v>0.0</v>
      </c>
      <c r="R64" s="74">
        <v>1.0</v>
      </c>
      <c r="S64" s="74">
        <v>1.0</v>
      </c>
      <c r="T64" s="74">
        <v>1.0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0.0</v>
      </c>
      <c r="AB64" s="74">
        <v>0.0</v>
      </c>
      <c r="AC64" s="74">
        <v>2.0</v>
      </c>
      <c r="AD64" s="74">
        <v>0.0</v>
      </c>
      <c r="AE64" s="74">
        <v>0.0</v>
      </c>
      <c r="AF64" s="74">
        <v>0.0</v>
      </c>
      <c r="AG64" s="74">
        <v>0.0</v>
      </c>
      <c r="AH64" s="74">
        <v>0.0</v>
      </c>
      <c r="AI64" s="74">
        <v>2.0</v>
      </c>
      <c r="AJ64" s="74">
        <v>1.0</v>
      </c>
      <c r="AK64" s="74">
        <v>0.0</v>
      </c>
      <c r="AL64" s="74">
        <v>0.0</v>
      </c>
      <c r="AM64" s="74">
        <v>0.0</v>
      </c>
      <c r="AN64" s="74">
        <v>0.0</v>
      </c>
      <c r="AO64" s="74">
        <v>0.0</v>
      </c>
      <c r="AP64" s="74">
        <v>0.0</v>
      </c>
      <c r="AQ64" s="74">
        <v>0.0</v>
      </c>
      <c r="AR64" s="74">
        <v>0.0</v>
      </c>
      <c r="AS64" s="74">
        <v>2.0</v>
      </c>
      <c r="AT64" s="74">
        <v>0.0</v>
      </c>
      <c r="AU64" s="74">
        <v>1.0</v>
      </c>
      <c r="AV64" s="74">
        <v>0.0</v>
      </c>
      <c r="AW64" s="74">
        <v>0.0</v>
      </c>
      <c r="AX64" s="13">
        <f t="shared" si="16"/>
        <v>17</v>
      </c>
    </row>
    <row r="65" ht="12.75" customHeight="1">
      <c r="A65" s="18"/>
      <c r="B65" s="55"/>
      <c r="C65" s="50" t="s">
        <v>58</v>
      </c>
      <c r="D65" s="56"/>
      <c r="E65" s="74">
        <v>1.0</v>
      </c>
      <c r="F65" s="74">
        <v>2.0</v>
      </c>
      <c r="G65" s="74">
        <v>1.0</v>
      </c>
      <c r="H65" s="74">
        <v>0.0</v>
      </c>
      <c r="I65" s="74">
        <v>1.0</v>
      </c>
      <c r="J65" s="74">
        <v>1.0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1.0</v>
      </c>
      <c r="Q65" s="74">
        <v>0.0</v>
      </c>
      <c r="R65" s="74">
        <v>0.0</v>
      </c>
      <c r="S65" s="74">
        <v>2.0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1.0</v>
      </c>
      <c r="Z65" s="74">
        <v>0.0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74">
        <v>1.0</v>
      </c>
      <c r="AG65" s="74">
        <v>0.0</v>
      </c>
      <c r="AH65" s="74">
        <v>0.0</v>
      </c>
      <c r="AI65" s="74">
        <v>1.0</v>
      </c>
      <c r="AJ65" s="74">
        <v>1.0</v>
      </c>
      <c r="AK65" s="74">
        <v>1.0</v>
      </c>
      <c r="AL65" s="74">
        <v>1.0</v>
      </c>
      <c r="AM65" s="74">
        <v>1.0</v>
      </c>
      <c r="AN65" s="74">
        <v>1.0</v>
      </c>
      <c r="AO65" s="74">
        <v>0.0</v>
      </c>
      <c r="AP65" s="74">
        <v>0.0</v>
      </c>
      <c r="AQ65" s="74">
        <v>0.0</v>
      </c>
      <c r="AR65" s="74">
        <v>0.0</v>
      </c>
      <c r="AS65" s="74">
        <v>1.0</v>
      </c>
      <c r="AT65" s="74">
        <v>0.0</v>
      </c>
      <c r="AU65" s="74">
        <v>1.0</v>
      </c>
      <c r="AV65" s="74">
        <v>1.0</v>
      </c>
      <c r="AW65" s="74">
        <v>0.0</v>
      </c>
      <c r="AX65" s="13">
        <f t="shared" si="16"/>
        <v>20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1.0</v>
      </c>
      <c r="H66" s="74">
        <v>0.0</v>
      </c>
      <c r="I66" s="74">
        <v>1.0</v>
      </c>
      <c r="J66" s="74">
        <v>2.0</v>
      </c>
      <c r="K66" s="74">
        <v>2.0</v>
      </c>
      <c r="L66" s="74">
        <v>1.0</v>
      </c>
      <c r="M66" s="74">
        <v>1.0</v>
      </c>
      <c r="N66" s="74">
        <v>3.0</v>
      </c>
      <c r="O66" s="74">
        <v>2.0</v>
      </c>
      <c r="P66" s="74">
        <v>1.0</v>
      </c>
      <c r="Q66" s="74">
        <v>0.0</v>
      </c>
      <c r="R66" s="74">
        <v>0.0</v>
      </c>
      <c r="S66" s="74">
        <v>2.0</v>
      </c>
      <c r="T66" s="74">
        <v>1.0</v>
      </c>
      <c r="U66" s="74">
        <v>2.0</v>
      </c>
      <c r="V66" s="74">
        <v>1.0</v>
      </c>
      <c r="W66" s="74">
        <v>3.0</v>
      </c>
      <c r="X66" s="74">
        <v>1.0</v>
      </c>
      <c r="Y66" s="74">
        <v>2.0</v>
      </c>
      <c r="Z66" s="74">
        <v>0.0</v>
      </c>
      <c r="AA66" s="74">
        <v>2.0</v>
      </c>
      <c r="AB66" s="74">
        <v>0.0</v>
      </c>
      <c r="AC66" s="74">
        <v>0.0</v>
      </c>
      <c r="AD66" s="74">
        <v>0.0</v>
      </c>
      <c r="AE66" s="74">
        <v>0.0</v>
      </c>
      <c r="AF66" s="74">
        <v>1.0</v>
      </c>
      <c r="AG66" s="74">
        <v>0.0</v>
      </c>
      <c r="AH66" s="74">
        <v>1.0</v>
      </c>
      <c r="AI66" s="74">
        <v>1.0</v>
      </c>
      <c r="AJ66" s="74">
        <v>1.0</v>
      </c>
      <c r="AK66" s="74">
        <v>0.0</v>
      </c>
      <c r="AL66" s="74">
        <v>1.0</v>
      </c>
      <c r="AM66" s="74">
        <v>1.0</v>
      </c>
      <c r="AN66" s="74">
        <v>0.0</v>
      </c>
      <c r="AO66" s="74">
        <v>2.0</v>
      </c>
      <c r="AP66" s="74">
        <v>1.0</v>
      </c>
      <c r="AQ66" s="74">
        <v>1.0</v>
      </c>
      <c r="AR66" s="74">
        <v>0.0</v>
      </c>
      <c r="AS66" s="74">
        <v>0.0</v>
      </c>
      <c r="AT66" s="74">
        <v>2.0</v>
      </c>
      <c r="AU66" s="74">
        <v>0.0</v>
      </c>
      <c r="AV66" s="74">
        <v>0.0</v>
      </c>
      <c r="AW66" s="74">
        <v>1.0</v>
      </c>
      <c r="AX66" s="13">
        <f t="shared" si="16"/>
        <v>41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X67" si="17">SUM(E57:E66)</f>
        <v>40</v>
      </c>
      <c r="F67" s="13">
        <f t="shared" si="17"/>
        <v>50</v>
      </c>
      <c r="G67" s="13">
        <f t="shared" si="17"/>
        <v>46</v>
      </c>
      <c r="H67" s="13">
        <f t="shared" si="17"/>
        <v>47</v>
      </c>
      <c r="I67" s="13">
        <f t="shared" si="17"/>
        <v>52</v>
      </c>
      <c r="J67" s="13">
        <f t="shared" si="17"/>
        <v>51</v>
      </c>
      <c r="K67" s="13">
        <f t="shared" si="17"/>
        <v>22</v>
      </c>
      <c r="L67" s="13">
        <f t="shared" si="17"/>
        <v>23</v>
      </c>
      <c r="M67" s="13">
        <f t="shared" si="17"/>
        <v>17</v>
      </c>
      <c r="N67" s="13">
        <f t="shared" si="17"/>
        <v>66</v>
      </c>
      <c r="O67" s="13">
        <f t="shared" si="17"/>
        <v>48</v>
      </c>
      <c r="P67" s="13">
        <f t="shared" si="17"/>
        <v>33</v>
      </c>
      <c r="Q67" s="13">
        <f t="shared" si="17"/>
        <v>38</v>
      </c>
      <c r="R67" s="13">
        <f t="shared" si="17"/>
        <v>51</v>
      </c>
      <c r="S67" s="13">
        <f t="shared" si="17"/>
        <v>30</v>
      </c>
      <c r="T67" s="13">
        <f t="shared" si="17"/>
        <v>28</v>
      </c>
      <c r="U67" s="13">
        <f t="shared" si="17"/>
        <v>37</v>
      </c>
      <c r="V67" s="13">
        <f t="shared" si="17"/>
        <v>34</v>
      </c>
      <c r="W67" s="13">
        <f t="shared" si="17"/>
        <v>40</v>
      </c>
      <c r="X67" s="13">
        <f t="shared" si="17"/>
        <v>45</v>
      </c>
      <c r="Y67" s="13">
        <f t="shared" si="17"/>
        <v>51</v>
      </c>
      <c r="Z67" s="13">
        <f t="shared" si="17"/>
        <v>43</v>
      </c>
      <c r="AA67" s="13">
        <f t="shared" si="17"/>
        <v>34</v>
      </c>
      <c r="AB67" s="13">
        <f t="shared" si="17"/>
        <v>31</v>
      </c>
      <c r="AC67" s="13">
        <f t="shared" si="17"/>
        <v>33</v>
      </c>
      <c r="AD67" s="13">
        <f t="shared" si="17"/>
        <v>37</v>
      </c>
      <c r="AE67" s="13">
        <f t="shared" si="17"/>
        <v>31</v>
      </c>
      <c r="AF67" s="13">
        <f t="shared" si="17"/>
        <v>22</v>
      </c>
      <c r="AG67" s="13">
        <f t="shared" si="17"/>
        <v>39</v>
      </c>
      <c r="AH67" s="13">
        <f t="shared" si="17"/>
        <v>28</v>
      </c>
      <c r="AI67" s="13">
        <f t="shared" si="17"/>
        <v>49</v>
      </c>
      <c r="AJ67" s="13">
        <f t="shared" si="17"/>
        <v>52</v>
      </c>
      <c r="AK67" s="13">
        <f t="shared" si="17"/>
        <v>48</v>
      </c>
      <c r="AL67" s="13">
        <f t="shared" si="17"/>
        <v>53</v>
      </c>
      <c r="AM67" s="13">
        <f t="shared" si="17"/>
        <v>66</v>
      </c>
      <c r="AN67" s="13">
        <f t="shared" si="17"/>
        <v>73</v>
      </c>
      <c r="AO67" s="13">
        <f t="shared" si="17"/>
        <v>96</v>
      </c>
      <c r="AP67" s="13">
        <f t="shared" si="17"/>
        <v>66</v>
      </c>
      <c r="AQ67" s="13">
        <f t="shared" si="17"/>
        <v>59</v>
      </c>
      <c r="AR67" s="13">
        <f t="shared" si="17"/>
        <v>37</v>
      </c>
      <c r="AS67" s="13">
        <f t="shared" si="17"/>
        <v>47</v>
      </c>
      <c r="AT67" s="13">
        <f t="shared" si="17"/>
        <v>43</v>
      </c>
      <c r="AU67" s="13">
        <f t="shared" si="17"/>
        <v>32</v>
      </c>
      <c r="AV67" s="13">
        <f t="shared" si="17"/>
        <v>52</v>
      </c>
      <c r="AW67" s="13">
        <f t="shared" si="17"/>
        <v>46</v>
      </c>
      <c r="AX67" s="13">
        <f t="shared" si="17"/>
        <v>1966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12.0</v>
      </c>
      <c r="F69" s="74">
        <v>11.0</v>
      </c>
      <c r="G69" s="74">
        <v>12.0</v>
      </c>
      <c r="H69" s="74">
        <v>25.0</v>
      </c>
      <c r="I69" s="74">
        <v>6.0</v>
      </c>
      <c r="J69" s="74">
        <v>13.0</v>
      </c>
      <c r="K69" s="74">
        <v>10.0</v>
      </c>
      <c r="L69" s="74">
        <v>18.0</v>
      </c>
      <c r="M69" s="74">
        <v>10.0</v>
      </c>
      <c r="N69" s="74">
        <v>10.0</v>
      </c>
      <c r="O69" s="74">
        <v>15.0</v>
      </c>
      <c r="P69" s="74">
        <v>18.0</v>
      </c>
      <c r="Q69" s="74">
        <v>11.0</v>
      </c>
      <c r="R69" s="74">
        <v>10.0</v>
      </c>
      <c r="S69" s="74">
        <v>14.0</v>
      </c>
      <c r="T69" s="74">
        <v>12.0</v>
      </c>
      <c r="U69" s="74">
        <v>13.0</v>
      </c>
      <c r="V69" s="74">
        <v>11.0</v>
      </c>
      <c r="W69" s="74">
        <v>29.0</v>
      </c>
      <c r="X69" s="74">
        <v>21.0</v>
      </c>
      <c r="Y69" s="74">
        <v>14.0</v>
      </c>
      <c r="Z69" s="74">
        <v>17.0</v>
      </c>
      <c r="AA69" s="74">
        <v>18.0</v>
      </c>
      <c r="AB69" s="74">
        <v>8.0</v>
      </c>
      <c r="AC69" s="74">
        <v>17.0</v>
      </c>
      <c r="AD69" s="74">
        <v>15.0</v>
      </c>
      <c r="AE69" s="74">
        <v>11.0</v>
      </c>
      <c r="AF69" s="74">
        <v>9.0</v>
      </c>
      <c r="AG69" s="74">
        <v>17.0</v>
      </c>
      <c r="AH69" s="74">
        <v>13.0</v>
      </c>
      <c r="AI69" s="91">
        <v>21.0</v>
      </c>
      <c r="AJ69" s="91">
        <v>10.0</v>
      </c>
      <c r="AK69" s="91">
        <v>35.0</v>
      </c>
      <c r="AL69" s="91">
        <v>18.0</v>
      </c>
      <c r="AM69" s="91">
        <v>9.0</v>
      </c>
      <c r="AN69" s="91">
        <v>5.0</v>
      </c>
      <c r="AO69" s="91">
        <v>13.0</v>
      </c>
      <c r="AP69" s="91">
        <v>0.0</v>
      </c>
      <c r="AQ69" s="91">
        <v>7.0</v>
      </c>
      <c r="AR69" s="91">
        <v>3.0</v>
      </c>
      <c r="AS69" s="91">
        <v>7.0</v>
      </c>
      <c r="AT69" s="91">
        <v>21.0</v>
      </c>
      <c r="AU69" s="91">
        <v>10.0</v>
      </c>
      <c r="AV69" s="91">
        <v>5.0</v>
      </c>
      <c r="AW69" s="91">
        <v>5.0</v>
      </c>
      <c r="AX69" s="13">
        <f t="shared" ref="AX69:AX78" si="18">SUM(E69:AW69)</f>
        <v>589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6.0</v>
      </c>
      <c r="F70" s="74">
        <v>2.0</v>
      </c>
      <c r="G70" s="74">
        <v>5.0</v>
      </c>
      <c r="H70" s="74">
        <v>4.0</v>
      </c>
      <c r="I70" s="74">
        <v>8.0</v>
      </c>
      <c r="J70" s="74">
        <v>6.0</v>
      </c>
      <c r="K70" s="74">
        <v>5.0</v>
      </c>
      <c r="L70" s="74">
        <v>6.0</v>
      </c>
      <c r="M70" s="74">
        <v>2.0</v>
      </c>
      <c r="N70" s="74">
        <v>2.0</v>
      </c>
      <c r="O70" s="74">
        <v>7.0</v>
      </c>
      <c r="P70" s="74">
        <v>2.0</v>
      </c>
      <c r="Q70" s="74">
        <v>18.0</v>
      </c>
      <c r="R70" s="74">
        <v>5.0</v>
      </c>
      <c r="S70" s="74">
        <v>5.0</v>
      </c>
      <c r="T70" s="74">
        <v>1.0</v>
      </c>
      <c r="U70" s="74">
        <v>10.0</v>
      </c>
      <c r="V70" s="74">
        <v>13.0</v>
      </c>
      <c r="W70" s="74">
        <v>5.0</v>
      </c>
      <c r="X70" s="74">
        <v>5.0</v>
      </c>
      <c r="Y70" s="74">
        <v>7.0</v>
      </c>
      <c r="Z70" s="74">
        <v>7.0</v>
      </c>
      <c r="AA70" s="74">
        <v>4.0</v>
      </c>
      <c r="AB70" s="74">
        <v>8.0</v>
      </c>
      <c r="AC70" s="74">
        <v>7.0</v>
      </c>
      <c r="AD70" s="74">
        <v>5.0</v>
      </c>
      <c r="AE70" s="74">
        <v>2.0</v>
      </c>
      <c r="AF70" s="74">
        <v>9.0</v>
      </c>
      <c r="AG70" s="74">
        <v>7.0</v>
      </c>
      <c r="AH70" s="74">
        <v>3.0</v>
      </c>
      <c r="AI70" s="91">
        <v>8.0</v>
      </c>
      <c r="AJ70" s="91">
        <v>15.0</v>
      </c>
      <c r="AK70" s="91">
        <v>8.0</v>
      </c>
      <c r="AL70" s="91">
        <v>1.0</v>
      </c>
      <c r="AM70" s="91">
        <v>8.0</v>
      </c>
      <c r="AN70" s="91">
        <v>1.0</v>
      </c>
      <c r="AO70" s="91">
        <v>7.0</v>
      </c>
      <c r="AP70" s="91">
        <v>3.0</v>
      </c>
      <c r="AQ70" s="91">
        <v>6.0</v>
      </c>
      <c r="AR70" s="91">
        <v>3.0</v>
      </c>
      <c r="AS70" s="91">
        <v>1.0</v>
      </c>
      <c r="AT70" s="91">
        <v>4.0</v>
      </c>
      <c r="AU70" s="91">
        <v>1.0</v>
      </c>
      <c r="AV70" s="91">
        <v>3.0</v>
      </c>
      <c r="AW70" s="91">
        <v>8.0</v>
      </c>
      <c r="AX70" s="13">
        <f t="shared" si="18"/>
        <v>253</v>
      </c>
    </row>
    <row r="71" ht="12.75" customHeight="1">
      <c r="A71" s="18"/>
      <c r="B71" s="55"/>
      <c r="C71" s="50" t="s">
        <v>62</v>
      </c>
      <c r="D71" s="57"/>
      <c r="E71" s="74">
        <v>3.0</v>
      </c>
      <c r="F71" s="74">
        <v>0.0</v>
      </c>
      <c r="G71" s="74">
        <v>6.0</v>
      </c>
      <c r="H71" s="74">
        <v>2.0</v>
      </c>
      <c r="I71" s="74">
        <v>12.0</v>
      </c>
      <c r="J71" s="74">
        <v>6.0</v>
      </c>
      <c r="K71" s="74">
        <v>5.0</v>
      </c>
      <c r="L71" s="74">
        <v>2.0</v>
      </c>
      <c r="M71" s="74">
        <v>1.0</v>
      </c>
      <c r="N71" s="74">
        <v>3.0</v>
      </c>
      <c r="O71" s="74">
        <v>5.0</v>
      </c>
      <c r="P71" s="74">
        <v>9.0</v>
      </c>
      <c r="Q71" s="74">
        <v>2.0</v>
      </c>
      <c r="R71" s="74">
        <v>2.0</v>
      </c>
      <c r="S71" s="74">
        <v>4.0</v>
      </c>
      <c r="T71" s="74">
        <v>5.0</v>
      </c>
      <c r="U71" s="74">
        <v>7.0</v>
      </c>
      <c r="V71" s="74">
        <v>3.0</v>
      </c>
      <c r="W71" s="74">
        <v>8.0</v>
      </c>
      <c r="X71" s="74">
        <v>2.0</v>
      </c>
      <c r="Y71" s="74">
        <v>10.0</v>
      </c>
      <c r="Z71" s="74">
        <v>7.0</v>
      </c>
      <c r="AA71" s="74">
        <v>3.0</v>
      </c>
      <c r="AB71" s="74">
        <v>2.0</v>
      </c>
      <c r="AC71" s="74">
        <v>4.0</v>
      </c>
      <c r="AD71" s="74">
        <v>12.0</v>
      </c>
      <c r="AE71" s="74">
        <v>3.0</v>
      </c>
      <c r="AF71" s="74">
        <v>13.0</v>
      </c>
      <c r="AG71" s="74">
        <v>3.0</v>
      </c>
      <c r="AH71" s="74">
        <v>2.0</v>
      </c>
      <c r="AI71" s="91">
        <v>3.0</v>
      </c>
      <c r="AJ71" s="91">
        <v>5.0</v>
      </c>
      <c r="AK71" s="91">
        <v>7.0</v>
      </c>
      <c r="AL71" s="91">
        <v>3.0</v>
      </c>
      <c r="AM71" s="91">
        <v>5.0</v>
      </c>
      <c r="AN71" s="91">
        <v>3.0</v>
      </c>
      <c r="AO71" s="91">
        <v>3.0</v>
      </c>
      <c r="AP71" s="91">
        <v>3.0</v>
      </c>
      <c r="AQ71" s="91">
        <v>5.0</v>
      </c>
      <c r="AR71" s="91">
        <v>3.0</v>
      </c>
      <c r="AS71" s="91">
        <v>3.0</v>
      </c>
      <c r="AT71" s="91">
        <v>14.0</v>
      </c>
      <c r="AU71" s="91">
        <v>0.0</v>
      </c>
      <c r="AV71" s="91">
        <v>4.0</v>
      </c>
      <c r="AW71" s="91">
        <v>4.0</v>
      </c>
      <c r="AX71" s="13">
        <f t="shared" si="18"/>
        <v>211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2.0</v>
      </c>
      <c r="G72" s="74">
        <v>2.0</v>
      </c>
      <c r="H72" s="74">
        <v>6.0</v>
      </c>
      <c r="I72" s="74">
        <v>4.0</v>
      </c>
      <c r="J72" s="74">
        <v>2.0</v>
      </c>
      <c r="K72" s="74">
        <v>5.0</v>
      </c>
      <c r="L72" s="74">
        <v>3.0</v>
      </c>
      <c r="M72" s="74">
        <v>5.0</v>
      </c>
      <c r="N72" s="74">
        <v>2.0</v>
      </c>
      <c r="O72" s="74">
        <v>4.0</v>
      </c>
      <c r="P72" s="74">
        <v>5.0</v>
      </c>
      <c r="Q72" s="74">
        <v>2.0</v>
      </c>
      <c r="R72" s="74">
        <v>6.0</v>
      </c>
      <c r="S72" s="74">
        <v>10.0</v>
      </c>
      <c r="T72" s="74">
        <v>0.0</v>
      </c>
      <c r="U72" s="74">
        <v>7.0</v>
      </c>
      <c r="V72" s="74">
        <v>6.0</v>
      </c>
      <c r="W72" s="74">
        <v>3.0</v>
      </c>
      <c r="X72" s="74">
        <v>6.0</v>
      </c>
      <c r="Y72" s="74">
        <v>10.0</v>
      </c>
      <c r="Z72" s="74">
        <v>1.0</v>
      </c>
      <c r="AA72" s="74">
        <v>9.0</v>
      </c>
      <c r="AB72" s="74">
        <v>0.0</v>
      </c>
      <c r="AC72" s="74">
        <v>3.0</v>
      </c>
      <c r="AD72" s="74">
        <v>8.0</v>
      </c>
      <c r="AE72" s="74">
        <v>2.0</v>
      </c>
      <c r="AF72" s="74">
        <v>1.0</v>
      </c>
      <c r="AG72" s="74">
        <v>0.0</v>
      </c>
      <c r="AH72" s="74">
        <v>2.0</v>
      </c>
      <c r="AI72" s="91">
        <v>3.0</v>
      </c>
      <c r="AJ72" s="91">
        <v>5.0</v>
      </c>
      <c r="AK72" s="91">
        <v>7.0</v>
      </c>
      <c r="AL72" s="91">
        <v>3.0</v>
      </c>
      <c r="AM72" s="91">
        <v>5.0</v>
      </c>
      <c r="AN72" s="91">
        <v>3.0</v>
      </c>
      <c r="AO72" s="91">
        <v>3.0</v>
      </c>
      <c r="AP72" s="91">
        <v>3.0</v>
      </c>
      <c r="AQ72" s="91">
        <v>4.0</v>
      </c>
      <c r="AR72" s="91">
        <v>2.0</v>
      </c>
      <c r="AS72" s="91">
        <v>3.0</v>
      </c>
      <c r="AT72" s="91">
        <v>5.0</v>
      </c>
      <c r="AU72" s="91">
        <v>1.0</v>
      </c>
      <c r="AV72" s="91">
        <v>1.0</v>
      </c>
      <c r="AW72" s="91">
        <v>4.0</v>
      </c>
      <c r="AX72" s="13">
        <f t="shared" si="18"/>
        <v>169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3.0</v>
      </c>
      <c r="G73" s="74">
        <v>0.0</v>
      </c>
      <c r="H73" s="74">
        <v>5.0</v>
      </c>
      <c r="I73" s="74">
        <v>3.0</v>
      </c>
      <c r="J73" s="74">
        <v>4.0</v>
      </c>
      <c r="K73" s="74">
        <v>1.0</v>
      </c>
      <c r="L73" s="74">
        <v>0.0</v>
      </c>
      <c r="M73" s="74">
        <v>1.0</v>
      </c>
      <c r="N73" s="74">
        <v>0.0</v>
      </c>
      <c r="O73" s="74">
        <v>1.0</v>
      </c>
      <c r="P73" s="74">
        <v>4.0</v>
      </c>
      <c r="Q73" s="74">
        <v>7.0</v>
      </c>
      <c r="R73" s="74">
        <v>1.0</v>
      </c>
      <c r="S73" s="74">
        <v>0.0</v>
      </c>
      <c r="T73" s="74">
        <v>3.0</v>
      </c>
      <c r="U73" s="74">
        <v>1.0</v>
      </c>
      <c r="V73" s="74">
        <v>4.0</v>
      </c>
      <c r="W73" s="74">
        <v>0.0</v>
      </c>
      <c r="X73" s="74">
        <v>1.0</v>
      </c>
      <c r="Y73" s="74">
        <v>1.0</v>
      </c>
      <c r="Z73" s="74">
        <v>2.0</v>
      </c>
      <c r="AA73" s="74">
        <v>0.0</v>
      </c>
      <c r="AB73" s="74">
        <v>0.0</v>
      </c>
      <c r="AC73" s="74">
        <v>2.0</v>
      </c>
      <c r="AD73" s="74">
        <v>0.0</v>
      </c>
      <c r="AE73" s="74">
        <v>4.0</v>
      </c>
      <c r="AF73" s="74">
        <v>1.0</v>
      </c>
      <c r="AG73" s="74">
        <v>1.0</v>
      </c>
      <c r="AH73" s="74">
        <v>2.0</v>
      </c>
      <c r="AI73" s="91">
        <v>4.0</v>
      </c>
      <c r="AJ73" s="91">
        <v>3.0</v>
      </c>
      <c r="AK73" s="91">
        <v>3.0</v>
      </c>
      <c r="AL73" s="91">
        <v>3.0</v>
      </c>
      <c r="AM73" s="91">
        <v>3.0</v>
      </c>
      <c r="AN73" s="91">
        <v>0.0</v>
      </c>
      <c r="AO73" s="91">
        <v>1.0</v>
      </c>
      <c r="AP73" s="91">
        <v>1.0</v>
      </c>
      <c r="AQ73" s="91">
        <v>2.0</v>
      </c>
      <c r="AR73" s="91">
        <v>1.0</v>
      </c>
      <c r="AS73" s="91">
        <v>2.0</v>
      </c>
      <c r="AT73" s="91">
        <v>2.0</v>
      </c>
      <c r="AU73" s="91">
        <v>0.0</v>
      </c>
      <c r="AV73" s="91">
        <v>1.0</v>
      </c>
      <c r="AW73" s="91">
        <v>3.0</v>
      </c>
      <c r="AX73" s="13">
        <f t="shared" si="18"/>
        <v>82</v>
      </c>
    </row>
    <row r="74" ht="12.75" customHeight="1">
      <c r="A74" s="18"/>
      <c r="B74" s="55"/>
      <c r="C74" s="50" t="s">
        <v>65</v>
      </c>
      <c r="D74" s="57"/>
      <c r="E74" s="74">
        <v>3.0</v>
      </c>
      <c r="F74" s="74">
        <v>3.0</v>
      </c>
      <c r="G74" s="74">
        <v>4.0</v>
      </c>
      <c r="H74" s="74">
        <v>2.0</v>
      </c>
      <c r="I74" s="74">
        <v>1.0</v>
      </c>
      <c r="J74" s="74">
        <v>2.0</v>
      </c>
      <c r="K74" s="74">
        <v>0.0</v>
      </c>
      <c r="L74" s="74">
        <v>0.0</v>
      </c>
      <c r="M74" s="74">
        <v>1.0</v>
      </c>
      <c r="N74" s="74">
        <v>2.0</v>
      </c>
      <c r="O74" s="74">
        <v>1.0</v>
      </c>
      <c r="P74" s="74">
        <v>0.0</v>
      </c>
      <c r="Q74" s="74">
        <v>1.0</v>
      </c>
      <c r="R74" s="74">
        <v>0.0</v>
      </c>
      <c r="S74" s="74">
        <v>5.0</v>
      </c>
      <c r="T74" s="74">
        <v>3.0</v>
      </c>
      <c r="U74" s="74">
        <v>1.0</v>
      </c>
      <c r="V74" s="74">
        <v>1.0</v>
      </c>
      <c r="W74" s="74">
        <v>4.0</v>
      </c>
      <c r="X74" s="74">
        <v>0.0</v>
      </c>
      <c r="Y74" s="74">
        <v>0.0</v>
      </c>
      <c r="Z74" s="74">
        <v>2.0</v>
      </c>
      <c r="AA74" s="74">
        <v>5.0</v>
      </c>
      <c r="AB74" s="74">
        <v>0.0</v>
      </c>
      <c r="AC74" s="74">
        <v>3.0</v>
      </c>
      <c r="AD74" s="74">
        <v>3.0</v>
      </c>
      <c r="AE74" s="74">
        <v>3.0</v>
      </c>
      <c r="AF74" s="74">
        <v>0.0</v>
      </c>
      <c r="AG74" s="74">
        <v>1.0</v>
      </c>
      <c r="AH74" s="74">
        <v>1.0</v>
      </c>
      <c r="AI74" s="91">
        <v>1.0</v>
      </c>
      <c r="AJ74" s="91">
        <v>1.0</v>
      </c>
      <c r="AK74" s="91">
        <v>1.0</v>
      </c>
      <c r="AL74" s="91">
        <v>1.0</v>
      </c>
      <c r="AM74" s="91">
        <v>1.0</v>
      </c>
      <c r="AN74" s="91">
        <v>1.0</v>
      </c>
      <c r="AO74" s="91">
        <v>1.0</v>
      </c>
      <c r="AP74" s="91">
        <v>1.0</v>
      </c>
      <c r="AQ74" s="91">
        <v>1.0</v>
      </c>
      <c r="AR74" s="91">
        <v>1.0</v>
      </c>
      <c r="AS74" s="91">
        <v>1.0</v>
      </c>
      <c r="AT74" s="91">
        <v>1.0</v>
      </c>
      <c r="AU74" s="91">
        <v>0.0</v>
      </c>
      <c r="AV74" s="91">
        <v>0.0</v>
      </c>
      <c r="AW74" s="91">
        <v>1.0</v>
      </c>
      <c r="AX74" s="13">
        <f t="shared" si="18"/>
        <v>65</v>
      </c>
    </row>
    <row r="75" ht="12.75" customHeight="1">
      <c r="A75" s="18"/>
      <c r="B75" s="55"/>
      <c r="C75" s="50" t="s">
        <v>66</v>
      </c>
      <c r="D75" s="57"/>
      <c r="E75" s="74">
        <v>2.0</v>
      </c>
      <c r="F75" s="74">
        <v>1.0</v>
      </c>
      <c r="G75" s="74">
        <v>2.0</v>
      </c>
      <c r="H75" s="74">
        <v>3.0</v>
      </c>
      <c r="I75" s="74">
        <v>1.0</v>
      </c>
      <c r="J75" s="74">
        <v>3.0</v>
      </c>
      <c r="K75" s="74">
        <v>3.0</v>
      </c>
      <c r="L75" s="74">
        <v>1.0</v>
      </c>
      <c r="M75" s="74">
        <v>1.0</v>
      </c>
      <c r="N75" s="74">
        <v>3.0</v>
      </c>
      <c r="O75" s="74">
        <v>0.0</v>
      </c>
      <c r="P75" s="74">
        <v>1.0</v>
      </c>
      <c r="Q75" s="74">
        <v>1.0</v>
      </c>
      <c r="R75" s="74">
        <v>2.0</v>
      </c>
      <c r="S75" s="74">
        <v>3.0</v>
      </c>
      <c r="T75" s="74">
        <v>0.0</v>
      </c>
      <c r="U75" s="74">
        <v>3.0</v>
      </c>
      <c r="V75" s="74">
        <v>1.0</v>
      </c>
      <c r="W75" s="74">
        <v>0.0</v>
      </c>
      <c r="X75" s="74">
        <v>2.0</v>
      </c>
      <c r="Y75" s="74">
        <v>0.0</v>
      </c>
      <c r="Z75" s="74">
        <v>2.0</v>
      </c>
      <c r="AA75" s="74">
        <v>1.0</v>
      </c>
      <c r="AB75" s="74">
        <v>0.0</v>
      </c>
      <c r="AC75" s="74">
        <v>2.0</v>
      </c>
      <c r="AD75" s="74">
        <v>3.0</v>
      </c>
      <c r="AE75" s="74">
        <v>0.0</v>
      </c>
      <c r="AF75" s="74">
        <v>0.0</v>
      </c>
      <c r="AG75" s="74">
        <v>2.0</v>
      </c>
      <c r="AH75" s="74">
        <v>1.0</v>
      </c>
      <c r="AI75" s="91">
        <v>0.0</v>
      </c>
      <c r="AJ75" s="91">
        <v>0.0</v>
      </c>
      <c r="AK75" s="91">
        <v>1.0</v>
      </c>
      <c r="AL75" s="91">
        <v>1.0</v>
      </c>
      <c r="AM75" s="91">
        <v>1.0</v>
      </c>
      <c r="AN75" s="91">
        <v>0.0</v>
      </c>
      <c r="AO75" s="91">
        <v>0.0</v>
      </c>
      <c r="AP75" s="91">
        <v>0.0</v>
      </c>
      <c r="AQ75" s="91">
        <v>0.0</v>
      </c>
      <c r="AR75" s="91">
        <v>0.0</v>
      </c>
      <c r="AS75" s="91">
        <v>0.0</v>
      </c>
      <c r="AT75" s="91">
        <v>5.0</v>
      </c>
      <c r="AU75" s="91">
        <v>1.0</v>
      </c>
      <c r="AV75" s="91">
        <v>0.0</v>
      </c>
      <c r="AW75" s="91">
        <v>0.0</v>
      </c>
      <c r="AX75" s="13">
        <f t="shared" si="18"/>
        <v>53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2.0</v>
      </c>
      <c r="H76" s="74">
        <v>1.0</v>
      </c>
      <c r="I76" s="74">
        <v>0.0</v>
      </c>
      <c r="J76" s="74">
        <v>0.0</v>
      </c>
      <c r="K76" s="74">
        <v>2.0</v>
      </c>
      <c r="L76" s="74">
        <v>1.0</v>
      </c>
      <c r="M76" s="74">
        <v>2.0</v>
      </c>
      <c r="N76" s="74">
        <v>0.0</v>
      </c>
      <c r="O76" s="74">
        <v>0.0</v>
      </c>
      <c r="P76" s="74">
        <v>1.0</v>
      </c>
      <c r="Q76" s="74">
        <v>0.0</v>
      </c>
      <c r="R76" s="74">
        <v>0.0</v>
      </c>
      <c r="S76" s="74">
        <v>4.0</v>
      </c>
      <c r="T76" s="74">
        <v>1.0</v>
      </c>
      <c r="U76" s="74">
        <v>0.0</v>
      </c>
      <c r="V76" s="74">
        <v>1.0</v>
      </c>
      <c r="W76" s="74">
        <v>0.0</v>
      </c>
      <c r="X76" s="74">
        <v>0.0</v>
      </c>
      <c r="Y76" s="74">
        <v>0.0</v>
      </c>
      <c r="Z76" s="74">
        <v>1.0</v>
      </c>
      <c r="AA76" s="74">
        <v>1.0</v>
      </c>
      <c r="AB76" s="74">
        <v>0.0</v>
      </c>
      <c r="AC76" s="74">
        <v>2.0</v>
      </c>
      <c r="AD76" s="74">
        <v>0.0</v>
      </c>
      <c r="AE76" s="74">
        <v>3.0</v>
      </c>
      <c r="AF76" s="74">
        <v>2.0</v>
      </c>
      <c r="AG76" s="74">
        <v>1.0</v>
      </c>
      <c r="AH76" s="74">
        <v>0.0</v>
      </c>
      <c r="AI76" s="91">
        <v>1.0</v>
      </c>
      <c r="AJ76" s="91">
        <v>0.0</v>
      </c>
      <c r="AK76" s="91">
        <v>1.0</v>
      </c>
      <c r="AL76" s="91">
        <v>1.0</v>
      </c>
      <c r="AM76" s="91">
        <v>0.0</v>
      </c>
      <c r="AN76" s="91">
        <v>1.0</v>
      </c>
      <c r="AO76" s="91">
        <v>0.0</v>
      </c>
      <c r="AP76" s="91">
        <v>0.0</v>
      </c>
      <c r="AQ76" s="91">
        <v>0.0</v>
      </c>
      <c r="AR76" s="91">
        <v>0.0</v>
      </c>
      <c r="AS76" s="91">
        <v>0.0</v>
      </c>
      <c r="AT76" s="91">
        <v>0.0</v>
      </c>
      <c r="AU76" s="91">
        <v>0.0</v>
      </c>
      <c r="AV76" s="91">
        <v>0.0</v>
      </c>
      <c r="AW76" s="91">
        <v>0.0</v>
      </c>
      <c r="AX76" s="13">
        <f t="shared" si="18"/>
        <v>30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0.0</v>
      </c>
      <c r="G77" s="74">
        <v>0.0</v>
      </c>
      <c r="H77" s="74">
        <v>2.0</v>
      </c>
      <c r="I77" s="74">
        <v>2.0</v>
      </c>
      <c r="J77" s="74">
        <v>2.0</v>
      </c>
      <c r="K77" s="74">
        <v>1.0</v>
      </c>
      <c r="L77" s="74">
        <v>1.0</v>
      </c>
      <c r="M77" s="74">
        <v>0.0</v>
      </c>
      <c r="N77" s="74">
        <v>0.0</v>
      </c>
      <c r="O77" s="74">
        <v>1.0</v>
      </c>
      <c r="P77" s="74">
        <v>2.0</v>
      </c>
      <c r="Q77" s="74">
        <v>0.0</v>
      </c>
      <c r="R77" s="74">
        <v>0.0</v>
      </c>
      <c r="S77" s="74">
        <v>2.0</v>
      </c>
      <c r="T77" s="74">
        <v>0.0</v>
      </c>
      <c r="U77" s="74">
        <v>2.0</v>
      </c>
      <c r="V77" s="74">
        <v>1.0</v>
      </c>
      <c r="W77" s="74">
        <v>0.0</v>
      </c>
      <c r="X77" s="74">
        <v>1.0</v>
      </c>
      <c r="Y77" s="74">
        <v>0.0</v>
      </c>
      <c r="Z77" s="74">
        <v>0.0</v>
      </c>
      <c r="AA77" s="74">
        <v>1.0</v>
      </c>
      <c r="AB77" s="74">
        <v>0.0</v>
      </c>
      <c r="AC77" s="74">
        <v>1.0</v>
      </c>
      <c r="AD77" s="74">
        <v>1.0</v>
      </c>
      <c r="AE77" s="74">
        <v>0.0</v>
      </c>
      <c r="AF77" s="74">
        <v>0.0</v>
      </c>
      <c r="AG77" s="74">
        <v>1.0</v>
      </c>
      <c r="AH77" s="74">
        <v>2.0</v>
      </c>
      <c r="AI77" s="91">
        <v>2.0</v>
      </c>
      <c r="AJ77" s="91">
        <v>2.0</v>
      </c>
      <c r="AK77" s="91">
        <v>1.0</v>
      </c>
      <c r="AL77" s="91">
        <v>0.0</v>
      </c>
      <c r="AM77" s="91">
        <v>0.0</v>
      </c>
      <c r="AN77" s="91">
        <v>0.0</v>
      </c>
      <c r="AO77" s="91">
        <v>1.0</v>
      </c>
      <c r="AP77" s="91">
        <v>0.0</v>
      </c>
      <c r="AQ77" s="91">
        <v>1.0</v>
      </c>
      <c r="AR77" s="91">
        <v>0.0</v>
      </c>
      <c r="AS77" s="91">
        <v>0.0</v>
      </c>
      <c r="AT77" s="91">
        <v>0.0</v>
      </c>
      <c r="AU77" s="91">
        <v>0.0</v>
      </c>
      <c r="AV77" s="91">
        <v>1.0</v>
      </c>
      <c r="AW77" s="91">
        <v>0.0</v>
      </c>
      <c r="AX77" s="13">
        <f t="shared" si="18"/>
        <v>32</v>
      </c>
    </row>
    <row r="78" ht="12.75" customHeight="1">
      <c r="A78" s="18"/>
      <c r="B78" s="55"/>
      <c r="C78" s="50" t="s">
        <v>69</v>
      </c>
      <c r="D78" s="57"/>
      <c r="E78" s="74">
        <v>2.0</v>
      </c>
      <c r="F78" s="74">
        <v>0.0</v>
      </c>
      <c r="G78" s="74">
        <v>1.0</v>
      </c>
      <c r="H78" s="74">
        <v>2.0</v>
      </c>
      <c r="I78" s="74">
        <v>6.0</v>
      </c>
      <c r="J78" s="74">
        <v>1.0</v>
      </c>
      <c r="K78" s="74">
        <v>1.0</v>
      </c>
      <c r="L78" s="74">
        <v>1.0</v>
      </c>
      <c r="M78" s="74">
        <v>1.0</v>
      </c>
      <c r="N78" s="74">
        <v>0.0</v>
      </c>
      <c r="O78" s="74">
        <v>1.0</v>
      </c>
      <c r="P78" s="74">
        <v>4.0</v>
      </c>
      <c r="Q78" s="74">
        <v>3.0</v>
      </c>
      <c r="R78" s="74">
        <v>1.0</v>
      </c>
      <c r="S78" s="74">
        <v>1.0</v>
      </c>
      <c r="T78" s="74">
        <v>1.0</v>
      </c>
      <c r="U78" s="74">
        <v>2.0</v>
      </c>
      <c r="V78" s="74">
        <v>5.0</v>
      </c>
      <c r="W78" s="74">
        <v>1.0</v>
      </c>
      <c r="X78" s="74">
        <v>0.0</v>
      </c>
      <c r="Y78" s="74">
        <v>0.0</v>
      </c>
      <c r="Z78" s="74">
        <v>2.0</v>
      </c>
      <c r="AA78" s="74">
        <v>2.0</v>
      </c>
      <c r="AB78" s="74">
        <v>1.0</v>
      </c>
      <c r="AC78" s="74">
        <v>0.0</v>
      </c>
      <c r="AD78" s="74">
        <v>1.0</v>
      </c>
      <c r="AE78" s="74">
        <v>2.0</v>
      </c>
      <c r="AF78" s="74">
        <v>2.0</v>
      </c>
      <c r="AG78" s="74">
        <v>0.0</v>
      </c>
      <c r="AH78" s="74">
        <v>3.0</v>
      </c>
      <c r="AI78" s="91">
        <v>0.0</v>
      </c>
      <c r="AJ78" s="91">
        <v>0.0</v>
      </c>
      <c r="AK78" s="91">
        <v>0.0</v>
      </c>
      <c r="AL78" s="91">
        <v>2.0</v>
      </c>
      <c r="AM78" s="91">
        <v>1.0</v>
      </c>
      <c r="AN78" s="91">
        <v>2.0</v>
      </c>
      <c r="AO78" s="91">
        <v>1.0</v>
      </c>
      <c r="AP78" s="91">
        <v>0.0</v>
      </c>
      <c r="AQ78" s="91">
        <v>0.0</v>
      </c>
      <c r="AR78" s="91">
        <v>1.0</v>
      </c>
      <c r="AS78" s="91">
        <v>0.0</v>
      </c>
      <c r="AT78" s="91">
        <v>2.0</v>
      </c>
      <c r="AU78" s="91">
        <v>0.0</v>
      </c>
      <c r="AV78" s="91">
        <v>0.0</v>
      </c>
      <c r="AW78" s="91">
        <v>1.0</v>
      </c>
      <c r="AX78" s="13">
        <f t="shared" si="18"/>
        <v>57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X79" si="19">SUM(E69:E78)</f>
        <v>32</v>
      </c>
      <c r="F79" s="13">
        <f t="shared" si="19"/>
        <v>22</v>
      </c>
      <c r="G79" s="13">
        <f t="shared" si="19"/>
        <v>34</v>
      </c>
      <c r="H79" s="13">
        <f t="shared" si="19"/>
        <v>52</v>
      </c>
      <c r="I79" s="13">
        <f t="shared" si="19"/>
        <v>43</v>
      </c>
      <c r="J79" s="13">
        <f t="shared" si="19"/>
        <v>39</v>
      </c>
      <c r="K79" s="13">
        <f t="shared" si="19"/>
        <v>33</v>
      </c>
      <c r="L79" s="13">
        <f t="shared" si="19"/>
        <v>33</v>
      </c>
      <c r="M79" s="13">
        <f t="shared" si="19"/>
        <v>24</v>
      </c>
      <c r="N79" s="13">
        <f t="shared" si="19"/>
        <v>22</v>
      </c>
      <c r="O79" s="13">
        <f t="shared" si="19"/>
        <v>35</v>
      </c>
      <c r="P79" s="13">
        <f t="shared" si="19"/>
        <v>46</v>
      </c>
      <c r="Q79" s="13">
        <f t="shared" si="19"/>
        <v>45</v>
      </c>
      <c r="R79" s="13">
        <f t="shared" si="19"/>
        <v>27</v>
      </c>
      <c r="S79" s="13">
        <f t="shared" si="19"/>
        <v>48</v>
      </c>
      <c r="T79" s="13">
        <f t="shared" si="19"/>
        <v>26</v>
      </c>
      <c r="U79" s="13">
        <f t="shared" si="19"/>
        <v>46</v>
      </c>
      <c r="V79" s="13">
        <f t="shared" si="19"/>
        <v>46</v>
      </c>
      <c r="W79" s="13">
        <f t="shared" si="19"/>
        <v>50</v>
      </c>
      <c r="X79" s="13">
        <f t="shared" si="19"/>
        <v>38</v>
      </c>
      <c r="Y79" s="13">
        <f t="shared" si="19"/>
        <v>42</v>
      </c>
      <c r="Z79" s="13">
        <f t="shared" si="19"/>
        <v>41</v>
      </c>
      <c r="AA79" s="13">
        <f t="shared" si="19"/>
        <v>44</v>
      </c>
      <c r="AB79" s="13">
        <f t="shared" si="19"/>
        <v>19</v>
      </c>
      <c r="AC79" s="13">
        <f t="shared" si="19"/>
        <v>41</v>
      </c>
      <c r="AD79" s="13">
        <f t="shared" si="19"/>
        <v>48</v>
      </c>
      <c r="AE79" s="13">
        <f t="shared" si="19"/>
        <v>30</v>
      </c>
      <c r="AF79" s="13">
        <f t="shared" si="19"/>
        <v>37</v>
      </c>
      <c r="AG79" s="13">
        <f t="shared" si="19"/>
        <v>33</v>
      </c>
      <c r="AH79" s="13">
        <f t="shared" si="19"/>
        <v>29</v>
      </c>
      <c r="AI79" s="13">
        <f t="shared" si="19"/>
        <v>43</v>
      </c>
      <c r="AJ79" s="13">
        <f t="shared" si="19"/>
        <v>41</v>
      </c>
      <c r="AK79" s="13">
        <f t="shared" si="19"/>
        <v>64</v>
      </c>
      <c r="AL79" s="13">
        <f t="shared" si="19"/>
        <v>33</v>
      </c>
      <c r="AM79" s="13">
        <f t="shared" si="19"/>
        <v>33</v>
      </c>
      <c r="AN79" s="13">
        <f t="shared" si="19"/>
        <v>16</v>
      </c>
      <c r="AO79" s="13">
        <f t="shared" si="19"/>
        <v>30</v>
      </c>
      <c r="AP79" s="13">
        <f t="shared" si="19"/>
        <v>11</v>
      </c>
      <c r="AQ79" s="13">
        <f t="shared" si="19"/>
        <v>26</v>
      </c>
      <c r="AR79" s="13">
        <f t="shared" si="19"/>
        <v>14</v>
      </c>
      <c r="AS79" s="13">
        <f t="shared" si="19"/>
        <v>17</v>
      </c>
      <c r="AT79" s="13">
        <f t="shared" si="19"/>
        <v>54</v>
      </c>
      <c r="AU79" s="13">
        <f t="shared" si="19"/>
        <v>13</v>
      </c>
      <c r="AV79" s="13">
        <f t="shared" si="19"/>
        <v>15</v>
      </c>
      <c r="AW79" s="13">
        <f t="shared" si="19"/>
        <v>26</v>
      </c>
      <c r="AX79" s="13">
        <f t="shared" si="19"/>
        <v>1541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2.0</v>
      </c>
      <c r="F81" s="74">
        <v>5.0</v>
      </c>
      <c r="G81" s="74">
        <v>4.0</v>
      </c>
      <c r="H81" s="74">
        <v>9.0</v>
      </c>
      <c r="I81" s="74">
        <v>8.0</v>
      </c>
      <c r="J81" s="74">
        <v>8.0</v>
      </c>
      <c r="K81" s="74">
        <v>6.0</v>
      </c>
      <c r="L81" s="74">
        <v>3.0</v>
      </c>
      <c r="M81" s="74">
        <v>4.0</v>
      </c>
      <c r="N81" s="74">
        <v>6.0</v>
      </c>
      <c r="O81" s="74">
        <v>0.0</v>
      </c>
      <c r="P81" s="74">
        <v>3.0</v>
      </c>
      <c r="Q81" s="74">
        <v>2.0</v>
      </c>
      <c r="R81" s="74">
        <v>2.0</v>
      </c>
      <c r="S81" s="74">
        <v>5.0</v>
      </c>
      <c r="T81" s="74">
        <v>2.0</v>
      </c>
      <c r="U81" s="74">
        <v>6.0</v>
      </c>
      <c r="V81" s="74">
        <v>5.0</v>
      </c>
      <c r="W81" s="74">
        <v>4.0</v>
      </c>
      <c r="X81" s="74">
        <v>11.0</v>
      </c>
      <c r="Y81" s="74">
        <v>1.0</v>
      </c>
      <c r="Z81" s="74">
        <v>3.0</v>
      </c>
      <c r="AA81" s="74">
        <v>4.0</v>
      </c>
      <c r="AB81" s="74">
        <v>6.0</v>
      </c>
      <c r="AC81" s="74">
        <v>6.0</v>
      </c>
      <c r="AD81" s="74">
        <v>4.0</v>
      </c>
      <c r="AE81" s="74">
        <v>10.0</v>
      </c>
      <c r="AF81" s="74">
        <v>4.0</v>
      </c>
      <c r="AG81" s="74">
        <v>7.0</v>
      </c>
      <c r="AH81" s="74">
        <v>3.0</v>
      </c>
      <c r="AI81" s="91">
        <v>4.0</v>
      </c>
      <c r="AJ81" s="91">
        <v>5.0</v>
      </c>
      <c r="AK81" s="91">
        <v>11.0</v>
      </c>
      <c r="AL81" s="91">
        <v>3.0</v>
      </c>
      <c r="AM81" s="91">
        <v>3.0</v>
      </c>
      <c r="AN81" s="91">
        <v>6.0</v>
      </c>
      <c r="AO81" s="91">
        <v>5.0</v>
      </c>
      <c r="AP81" s="91">
        <v>1.0</v>
      </c>
      <c r="AQ81" s="91">
        <v>5.0</v>
      </c>
      <c r="AR81" s="91">
        <v>6.0</v>
      </c>
      <c r="AS81" s="91">
        <v>3.0</v>
      </c>
      <c r="AT81" s="91">
        <v>5.0</v>
      </c>
      <c r="AU81" s="91">
        <v>2.0</v>
      </c>
      <c r="AV81" s="91">
        <v>1.0</v>
      </c>
      <c r="AW81" s="91">
        <v>2.0</v>
      </c>
      <c r="AX81" s="13">
        <f t="shared" ref="AX81:AX90" si="20">SUM(E81:AW81)</f>
        <v>205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7.0</v>
      </c>
      <c r="F82" s="74">
        <v>4.0</v>
      </c>
      <c r="G82" s="74">
        <v>7.0</v>
      </c>
      <c r="H82" s="74">
        <v>9.0</v>
      </c>
      <c r="I82" s="74">
        <v>9.0</v>
      </c>
      <c r="J82" s="74">
        <v>9.0</v>
      </c>
      <c r="K82" s="74">
        <v>25.0</v>
      </c>
      <c r="L82" s="74">
        <v>9.0</v>
      </c>
      <c r="M82" s="74">
        <v>33.0</v>
      </c>
      <c r="N82" s="74">
        <v>1.0</v>
      </c>
      <c r="O82" s="74">
        <v>1.0</v>
      </c>
      <c r="P82" s="74">
        <v>1.0</v>
      </c>
      <c r="Q82" s="74">
        <v>2.0</v>
      </c>
      <c r="R82" s="74">
        <v>3.0</v>
      </c>
      <c r="S82" s="74">
        <v>2.0</v>
      </c>
      <c r="T82" s="74">
        <v>5.0</v>
      </c>
      <c r="U82" s="74">
        <v>2.0</v>
      </c>
      <c r="V82" s="74">
        <v>2.0</v>
      </c>
      <c r="W82" s="74">
        <v>1.0</v>
      </c>
      <c r="X82" s="74">
        <v>24.0</v>
      </c>
      <c r="Y82" s="74">
        <v>29.0</v>
      </c>
      <c r="Z82" s="74">
        <v>16.0</v>
      </c>
      <c r="AA82" s="74">
        <v>3.0</v>
      </c>
      <c r="AB82" s="74">
        <v>9.0</v>
      </c>
      <c r="AC82" s="74">
        <v>6.0</v>
      </c>
      <c r="AD82" s="74">
        <v>12.0</v>
      </c>
      <c r="AE82" s="74">
        <v>6.0</v>
      </c>
      <c r="AF82" s="74">
        <v>5.0</v>
      </c>
      <c r="AG82" s="74">
        <v>7.0</v>
      </c>
      <c r="AH82" s="74">
        <v>4.0</v>
      </c>
      <c r="AI82" s="91">
        <v>5.0</v>
      </c>
      <c r="AJ82" s="91">
        <v>5.0</v>
      </c>
      <c r="AK82" s="91">
        <v>1.0</v>
      </c>
      <c r="AL82" s="91">
        <v>3.0</v>
      </c>
      <c r="AM82" s="91">
        <v>2.0</v>
      </c>
      <c r="AN82" s="91">
        <v>8.0</v>
      </c>
      <c r="AO82" s="91">
        <v>2.0</v>
      </c>
      <c r="AP82" s="91">
        <v>4.0</v>
      </c>
      <c r="AQ82" s="91">
        <v>8.0</v>
      </c>
      <c r="AR82" s="91">
        <v>1.0</v>
      </c>
      <c r="AS82" s="91">
        <v>7.0</v>
      </c>
      <c r="AT82" s="91">
        <v>2.0</v>
      </c>
      <c r="AU82" s="91">
        <v>2.0</v>
      </c>
      <c r="AV82" s="91">
        <v>1.0</v>
      </c>
      <c r="AW82" s="91">
        <v>2.0</v>
      </c>
      <c r="AX82" s="13">
        <f t="shared" si="20"/>
        <v>306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4.0</v>
      </c>
      <c r="G83" s="74">
        <v>1.0</v>
      </c>
      <c r="H83" s="74">
        <v>0.0</v>
      </c>
      <c r="I83" s="74">
        <v>1.0</v>
      </c>
      <c r="J83" s="74">
        <v>1.0</v>
      </c>
      <c r="K83" s="74">
        <v>1.0</v>
      </c>
      <c r="L83" s="74">
        <v>4.0</v>
      </c>
      <c r="M83" s="74">
        <v>0.0</v>
      </c>
      <c r="N83" s="74">
        <v>0.0</v>
      </c>
      <c r="O83" s="74">
        <v>0.0</v>
      </c>
      <c r="P83" s="74">
        <v>0.0</v>
      </c>
      <c r="Q83" s="74">
        <v>0.0</v>
      </c>
      <c r="R83" s="74">
        <v>2.0</v>
      </c>
      <c r="S83" s="74">
        <v>1.0</v>
      </c>
      <c r="T83" s="74">
        <v>1.0</v>
      </c>
      <c r="U83" s="74">
        <v>0.0</v>
      </c>
      <c r="V83" s="74">
        <v>0.0</v>
      </c>
      <c r="W83" s="74">
        <v>1.0</v>
      </c>
      <c r="X83" s="74">
        <v>1.0</v>
      </c>
      <c r="Y83" s="74">
        <v>1.0</v>
      </c>
      <c r="Z83" s="74">
        <v>1.0</v>
      </c>
      <c r="AA83" s="74">
        <v>1.0</v>
      </c>
      <c r="AB83" s="74">
        <v>0.0</v>
      </c>
      <c r="AC83" s="74">
        <v>2.0</v>
      </c>
      <c r="AD83" s="74">
        <v>0.0</v>
      </c>
      <c r="AE83" s="74">
        <v>4.0</v>
      </c>
      <c r="AF83" s="74">
        <v>2.0</v>
      </c>
      <c r="AG83" s="74">
        <v>4.0</v>
      </c>
      <c r="AH83" s="74">
        <v>2.0</v>
      </c>
      <c r="AI83" s="91">
        <v>2.0</v>
      </c>
      <c r="AJ83" s="91">
        <v>1.0</v>
      </c>
      <c r="AK83" s="91">
        <v>0.0</v>
      </c>
      <c r="AL83" s="91">
        <v>1.0</v>
      </c>
      <c r="AM83" s="91">
        <v>0.0</v>
      </c>
      <c r="AN83" s="91">
        <v>1.0</v>
      </c>
      <c r="AO83" s="91">
        <v>1.0</v>
      </c>
      <c r="AP83" s="91">
        <v>1.0</v>
      </c>
      <c r="AQ83" s="91">
        <v>4.0</v>
      </c>
      <c r="AR83" s="91">
        <v>1.0</v>
      </c>
      <c r="AS83" s="91">
        <v>3.0</v>
      </c>
      <c r="AT83" s="91">
        <v>0.0</v>
      </c>
      <c r="AU83" s="91">
        <v>0.0</v>
      </c>
      <c r="AV83" s="91">
        <v>1.0</v>
      </c>
      <c r="AW83" s="91">
        <v>1.0</v>
      </c>
      <c r="AX83" s="13">
        <f t="shared" si="20"/>
        <v>52</v>
      </c>
    </row>
    <row r="84" ht="12.75" customHeight="1">
      <c r="A84" s="18"/>
      <c r="B84" s="55"/>
      <c r="C84" s="50" t="s">
        <v>73</v>
      </c>
      <c r="D84" s="57"/>
      <c r="E84" s="74">
        <v>3.0</v>
      </c>
      <c r="F84" s="74">
        <v>2.0</v>
      </c>
      <c r="G84" s="74">
        <v>0.0</v>
      </c>
      <c r="H84" s="74">
        <v>1.0</v>
      </c>
      <c r="I84" s="74">
        <v>1.0</v>
      </c>
      <c r="J84" s="74">
        <v>0.0</v>
      </c>
      <c r="K84" s="74">
        <v>1.0</v>
      </c>
      <c r="L84" s="74">
        <v>1.0</v>
      </c>
      <c r="M84" s="74">
        <v>1.0</v>
      </c>
      <c r="N84" s="74">
        <v>0.0</v>
      </c>
      <c r="O84" s="74">
        <v>1.0</v>
      </c>
      <c r="P84" s="74">
        <v>0.0</v>
      </c>
      <c r="Q84" s="74">
        <v>0.0</v>
      </c>
      <c r="R84" s="74">
        <v>2.0</v>
      </c>
      <c r="S84" s="74">
        <v>0.0</v>
      </c>
      <c r="T84" s="74">
        <v>0.0</v>
      </c>
      <c r="U84" s="74">
        <v>0.0</v>
      </c>
      <c r="V84" s="74">
        <v>0.0</v>
      </c>
      <c r="W84" s="74">
        <v>0.0</v>
      </c>
      <c r="X84" s="74">
        <v>1.0</v>
      </c>
      <c r="Y84" s="74">
        <v>1.0</v>
      </c>
      <c r="Z84" s="74">
        <v>0.0</v>
      </c>
      <c r="AA84" s="74">
        <v>1.0</v>
      </c>
      <c r="AB84" s="74">
        <v>0.0</v>
      </c>
      <c r="AC84" s="74">
        <v>0.0</v>
      </c>
      <c r="AD84" s="74">
        <v>0.0</v>
      </c>
      <c r="AE84" s="74">
        <v>0.0</v>
      </c>
      <c r="AF84" s="74">
        <v>1.0</v>
      </c>
      <c r="AG84" s="74">
        <v>1.0</v>
      </c>
      <c r="AH84" s="74">
        <v>0.0</v>
      </c>
      <c r="AI84" s="91">
        <v>0.0</v>
      </c>
      <c r="AJ84" s="91">
        <v>1.0</v>
      </c>
      <c r="AK84" s="91">
        <v>0.0</v>
      </c>
      <c r="AL84" s="91">
        <v>2.0</v>
      </c>
      <c r="AM84" s="91">
        <v>0.0</v>
      </c>
      <c r="AN84" s="91">
        <v>0.0</v>
      </c>
      <c r="AO84" s="91">
        <v>0.0</v>
      </c>
      <c r="AP84" s="91">
        <v>1.0</v>
      </c>
      <c r="AQ84" s="91">
        <v>0.0</v>
      </c>
      <c r="AR84" s="91">
        <v>1.0</v>
      </c>
      <c r="AS84" s="91">
        <v>0.0</v>
      </c>
      <c r="AT84" s="91">
        <v>0.0</v>
      </c>
      <c r="AU84" s="91">
        <v>1.0</v>
      </c>
      <c r="AV84" s="91">
        <v>1.0</v>
      </c>
      <c r="AW84" s="91">
        <v>0.0</v>
      </c>
      <c r="AX84" s="13">
        <f t="shared" si="20"/>
        <v>25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1.0</v>
      </c>
      <c r="G85" s="74">
        <v>0.0</v>
      </c>
      <c r="H85" s="74">
        <v>1.0</v>
      </c>
      <c r="I85" s="74">
        <v>1.0</v>
      </c>
      <c r="J85" s="74">
        <v>0.0</v>
      </c>
      <c r="K85" s="74">
        <v>3.0</v>
      </c>
      <c r="L85" s="74">
        <v>0.0</v>
      </c>
      <c r="M85" s="74">
        <v>1.0</v>
      </c>
      <c r="N85" s="74">
        <v>2.0</v>
      </c>
      <c r="O85" s="74">
        <v>1.0</v>
      </c>
      <c r="P85" s="74">
        <v>1.0</v>
      </c>
      <c r="Q85" s="74">
        <v>1.0</v>
      </c>
      <c r="R85" s="74">
        <v>0.0</v>
      </c>
      <c r="S85" s="74">
        <v>0.0</v>
      </c>
      <c r="T85" s="74">
        <v>1.0</v>
      </c>
      <c r="U85" s="74">
        <v>5.0</v>
      </c>
      <c r="V85" s="74">
        <v>0.0</v>
      </c>
      <c r="W85" s="74">
        <v>1.0</v>
      </c>
      <c r="X85" s="74">
        <v>1.0</v>
      </c>
      <c r="Y85" s="74">
        <v>0.0</v>
      </c>
      <c r="Z85" s="74">
        <v>2.0</v>
      </c>
      <c r="AA85" s="74">
        <v>0.0</v>
      </c>
      <c r="AB85" s="74">
        <v>0.0</v>
      </c>
      <c r="AC85" s="74">
        <v>2.0</v>
      </c>
      <c r="AD85" s="74">
        <v>0.0</v>
      </c>
      <c r="AE85" s="74">
        <v>4.0</v>
      </c>
      <c r="AF85" s="74">
        <v>3.0</v>
      </c>
      <c r="AG85" s="74">
        <v>4.0</v>
      </c>
      <c r="AH85" s="74">
        <v>1.0</v>
      </c>
      <c r="AI85" s="91">
        <v>3.0</v>
      </c>
      <c r="AJ85" s="91">
        <v>2.0</v>
      </c>
      <c r="AK85" s="91">
        <v>1.0</v>
      </c>
      <c r="AL85" s="91">
        <v>0.0</v>
      </c>
      <c r="AM85" s="91">
        <v>0.0</v>
      </c>
      <c r="AN85" s="91">
        <v>4.0</v>
      </c>
      <c r="AO85" s="91">
        <v>0.0</v>
      </c>
      <c r="AP85" s="91">
        <v>1.0</v>
      </c>
      <c r="AQ85" s="91">
        <v>0.0</v>
      </c>
      <c r="AR85" s="91">
        <v>1.0</v>
      </c>
      <c r="AS85" s="91">
        <v>0.0</v>
      </c>
      <c r="AT85" s="91">
        <v>1.0</v>
      </c>
      <c r="AU85" s="91">
        <v>0.0</v>
      </c>
      <c r="AV85" s="91">
        <v>0.0</v>
      </c>
      <c r="AW85" s="91">
        <v>1.0</v>
      </c>
      <c r="AX85" s="13">
        <f t="shared" si="20"/>
        <v>52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1.0</v>
      </c>
      <c r="G86" s="74">
        <v>1.0</v>
      </c>
      <c r="H86" s="74">
        <v>0.0</v>
      </c>
      <c r="I86" s="74">
        <v>1.0</v>
      </c>
      <c r="J86" s="74">
        <v>1.0</v>
      </c>
      <c r="K86" s="74">
        <v>1.0</v>
      </c>
      <c r="L86" s="74">
        <v>0.0</v>
      </c>
      <c r="M86" s="74">
        <v>0.0</v>
      </c>
      <c r="N86" s="74">
        <v>0.0</v>
      </c>
      <c r="O86" s="74">
        <v>0.0</v>
      </c>
      <c r="P86" s="74">
        <v>1.0</v>
      </c>
      <c r="Q86" s="74">
        <v>0.0</v>
      </c>
      <c r="R86" s="74">
        <v>0.0</v>
      </c>
      <c r="S86" s="74">
        <v>1.0</v>
      </c>
      <c r="T86" s="74">
        <v>1.0</v>
      </c>
      <c r="U86" s="74">
        <v>0.0</v>
      </c>
      <c r="V86" s="74">
        <v>1.0</v>
      </c>
      <c r="W86" s="74">
        <v>1.0</v>
      </c>
      <c r="X86" s="74">
        <v>0.0</v>
      </c>
      <c r="Y86" s="74">
        <v>1.0</v>
      </c>
      <c r="Z86" s="74">
        <v>0.0</v>
      </c>
      <c r="AA86" s="74">
        <v>0.0</v>
      </c>
      <c r="AB86" s="74">
        <v>2.0</v>
      </c>
      <c r="AC86" s="74">
        <v>1.0</v>
      </c>
      <c r="AD86" s="74">
        <v>0.0</v>
      </c>
      <c r="AE86" s="74">
        <v>2.0</v>
      </c>
      <c r="AF86" s="74">
        <v>3.0</v>
      </c>
      <c r="AG86" s="74">
        <v>0.0</v>
      </c>
      <c r="AH86" s="74">
        <v>0.0</v>
      </c>
      <c r="AI86" s="91">
        <v>0.0</v>
      </c>
      <c r="AJ86" s="91">
        <v>0.0</v>
      </c>
      <c r="AK86" s="91">
        <v>0.0</v>
      </c>
      <c r="AL86" s="91">
        <v>1.0</v>
      </c>
      <c r="AM86" s="91">
        <v>0.0</v>
      </c>
      <c r="AN86" s="91">
        <v>0.0</v>
      </c>
      <c r="AO86" s="91">
        <v>0.0</v>
      </c>
      <c r="AP86" s="91">
        <v>0.0</v>
      </c>
      <c r="AQ86" s="91">
        <v>0.0</v>
      </c>
      <c r="AR86" s="91">
        <v>1.0</v>
      </c>
      <c r="AS86" s="91">
        <v>0.0</v>
      </c>
      <c r="AT86" s="91">
        <v>0.0</v>
      </c>
      <c r="AU86" s="91">
        <v>0.0</v>
      </c>
      <c r="AV86" s="91">
        <v>0.0</v>
      </c>
      <c r="AW86" s="91">
        <v>0.0</v>
      </c>
      <c r="AX86" s="13">
        <f t="shared" si="20"/>
        <v>21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2.0</v>
      </c>
      <c r="J87" s="74">
        <v>0.0</v>
      </c>
      <c r="K87" s="74">
        <v>2.0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1.0</v>
      </c>
      <c r="T87" s="74">
        <v>1.0</v>
      </c>
      <c r="U87" s="74">
        <v>0.0</v>
      </c>
      <c r="V87" s="74">
        <v>0.0</v>
      </c>
      <c r="W87" s="74">
        <v>0.0</v>
      </c>
      <c r="X87" s="74">
        <v>1.0</v>
      </c>
      <c r="Y87" s="74">
        <v>1.0</v>
      </c>
      <c r="Z87" s="74">
        <v>0.0</v>
      </c>
      <c r="AA87" s="74">
        <v>0.0</v>
      </c>
      <c r="AB87" s="74">
        <v>1.0</v>
      </c>
      <c r="AC87" s="74">
        <v>1.0</v>
      </c>
      <c r="AD87" s="74">
        <v>1.0</v>
      </c>
      <c r="AE87" s="74">
        <v>2.0</v>
      </c>
      <c r="AF87" s="74">
        <v>0.0</v>
      </c>
      <c r="AG87" s="74">
        <v>0.0</v>
      </c>
      <c r="AH87" s="74">
        <v>0.0</v>
      </c>
      <c r="AI87" s="91">
        <v>0.0</v>
      </c>
      <c r="AJ87" s="91">
        <v>0.0</v>
      </c>
      <c r="AK87" s="91">
        <v>1.0</v>
      </c>
      <c r="AL87" s="91">
        <v>0.0</v>
      </c>
      <c r="AM87" s="91">
        <v>1.0</v>
      </c>
      <c r="AN87" s="91">
        <v>0.0</v>
      </c>
      <c r="AO87" s="91">
        <v>0.0</v>
      </c>
      <c r="AP87" s="91">
        <v>0.0</v>
      </c>
      <c r="AQ87" s="91">
        <v>0.0</v>
      </c>
      <c r="AR87" s="91">
        <v>1.0</v>
      </c>
      <c r="AS87" s="91">
        <v>0.0</v>
      </c>
      <c r="AT87" s="91">
        <v>0.0</v>
      </c>
      <c r="AU87" s="91">
        <v>0.0</v>
      </c>
      <c r="AV87" s="91">
        <v>0.0</v>
      </c>
      <c r="AW87" s="91">
        <v>0.0</v>
      </c>
      <c r="AX87" s="13">
        <f t="shared" si="20"/>
        <v>16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1.0</v>
      </c>
      <c r="K88" s="74">
        <v>0.0</v>
      </c>
      <c r="L88" s="74">
        <v>1.0</v>
      </c>
      <c r="M88" s="74">
        <v>0.0</v>
      </c>
      <c r="N88" s="74">
        <v>0.0</v>
      </c>
      <c r="O88" s="74">
        <v>1.0</v>
      </c>
      <c r="P88" s="74">
        <v>1.0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74">
        <v>0.0</v>
      </c>
      <c r="AC88" s="74">
        <v>1.0</v>
      </c>
      <c r="AD88" s="74">
        <v>0.0</v>
      </c>
      <c r="AE88" s="74">
        <v>0.0</v>
      </c>
      <c r="AF88" s="74">
        <v>1.0</v>
      </c>
      <c r="AG88" s="74">
        <v>0.0</v>
      </c>
      <c r="AH88" s="74">
        <v>1.0</v>
      </c>
      <c r="AI88" s="91">
        <v>0.0</v>
      </c>
      <c r="AJ88" s="91">
        <v>0.0</v>
      </c>
      <c r="AK88" s="91">
        <v>0.0</v>
      </c>
      <c r="AL88" s="91">
        <v>0.0</v>
      </c>
      <c r="AM88" s="91">
        <v>0.0</v>
      </c>
      <c r="AN88" s="91">
        <v>0.0</v>
      </c>
      <c r="AO88" s="91">
        <v>0.0</v>
      </c>
      <c r="AP88" s="91">
        <v>0.0</v>
      </c>
      <c r="AQ88" s="91">
        <v>1.0</v>
      </c>
      <c r="AR88" s="91">
        <v>0.0</v>
      </c>
      <c r="AS88" s="91">
        <v>0.0</v>
      </c>
      <c r="AT88" s="91">
        <v>0.0</v>
      </c>
      <c r="AU88" s="91">
        <v>0.0</v>
      </c>
      <c r="AV88" s="91">
        <v>0.0</v>
      </c>
      <c r="AW88" s="91">
        <v>1.0</v>
      </c>
      <c r="AX88" s="13">
        <f t="shared" si="20"/>
        <v>9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1.0</v>
      </c>
      <c r="AG89" s="74">
        <v>0.0</v>
      </c>
      <c r="AH89" s="74">
        <v>0.0</v>
      </c>
      <c r="AI89" s="91">
        <v>0.0</v>
      </c>
      <c r="AJ89" s="91">
        <v>0.0</v>
      </c>
      <c r="AK89" s="91">
        <v>0.0</v>
      </c>
      <c r="AL89" s="91">
        <v>0.0</v>
      </c>
      <c r="AM89" s="91">
        <v>0.0</v>
      </c>
      <c r="AN89" s="91">
        <v>0.0</v>
      </c>
      <c r="AO89" s="91">
        <v>0.0</v>
      </c>
      <c r="AP89" s="91">
        <v>0.0</v>
      </c>
      <c r="AQ89" s="91">
        <v>0.0</v>
      </c>
      <c r="AR89" s="91">
        <v>1.0</v>
      </c>
      <c r="AS89" s="91">
        <v>0.0</v>
      </c>
      <c r="AT89" s="91">
        <v>0.0</v>
      </c>
      <c r="AU89" s="91">
        <v>0.0</v>
      </c>
      <c r="AV89" s="91">
        <v>0.0</v>
      </c>
      <c r="AW89" s="91">
        <v>0.0</v>
      </c>
      <c r="AX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2.0</v>
      </c>
      <c r="L90" s="74">
        <v>0.0</v>
      </c>
      <c r="M90" s="74">
        <v>1.0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0.0</v>
      </c>
      <c r="Y90" s="74">
        <v>1.0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1.0</v>
      </c>
      <c r="AF90" s="74">
        <v>1.0</v>
      </c>
      <c r="AG90" s="74">
        <v>0.0</v>
      </c>
      <c r="AH90" s="74">
        <v>1.0</v>
      </c>
      <c r="AI90" s="91">
        <v>0.0</v>
      </c>
      <c r="AJ90" s="91">
        <v>0.0</v>
      </c>
      <c r="AK90" s="91">
        <v>0.0</v>
      </c>
      <c r="AL90" s="91">
        <v>0.0</v>
      </c>
      <c r="AM90" s="91">
        <v>0.0</v>
      </c>
      <c r="AN90" s="91">
        <v>0.0</v>
      </c>
      <c r="AO90" s="91">
        <v>0.0</v>
      </c>
      <c r="AP90" s="91">
        <v>0.0</v>
      </c>
      <c r="AQ90" s="91">
        <v>0.0</v>
      </c>
      <c r="AR90" s="91">
        <v>1.0</v>
      </c>
      <c r="AS90" s="91">
        <v>0.0</v>
      </c>
      <c r="AT90" s="91">
        <v>0.0</v>
      </c>
      <c r="AU90" s="91">
        <v>0.0</v>
      </c>
      <c r="AV90" s="91">
        <v>1.0</v>
      </c>
      <c r="AW90" s="91">
        <v>0.0</v>
      </c>
      <c r="AX90" s="13">
        <f t="shared" si="20"/>
        <v>9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X91" si="21">SUM(E81:E90)</f>
        <v>14</v>
      </c>
      <c r="F91" s="13">
        <f t="shared" si="21"/>
        <v>17</v>
      </c>
      <c r="G91" s="13">
        <f t="shared" si="21"/>
        <v>13</v>
      </c>
      <c r="H91" s="13">
        <f t="shared" si="21"/>
        <v>20</v>
      </c>
      <c r="I91" s="13">
        <f t="shared" si="21"/>
        <v>23</v>
      </c>
      <c r="J91" s="13">
        <f t="shared" si="21"/>
        <v>20</v>
      </c>
      <c r="K91" s="13">
        <f t="shared" si="21"/>
        <v>41</v>
      </c>
      <c r="L91" s="13">
        <f t="shared" si="21"/>
        <v>18</v>
      </c>
      <c r="M91" s="13">
        <f t="shared" si="21"/>
        <v>40</v>
      </c>
      <c r="N91" s="13">
        <f t="shared" si="21"/>
        <v>9</v>
      </c>
      <c r="O91" s="13">
        <f t="shared" si="21"/>
        <v>4</v>
      </c>
      <c r="P91" s="13">
        <f t="shared" si="21"/>
        <v>7</v>
      </c>
      <c r="Q91" s="13">
        <f t="shared" si="21"/>
        <v>5</v>
      </c>
      <c r="R91" s="13">
        <f t="shared" si="21"/>
        <v>9</v>
      </c>
      <c r="S91" s="13">
        <f t="shared" si="21"/>
        <v>10</v>
      </c>
      <c r="T91" s="13">
        <f t="shared" si="21"/>
        <v>11</v>
      </c>
      <c r="U91" s="13">
        <f t="shared" si="21"/>
        <v>13</v>
      </c>
      <c r="V91" s="13">
        <f t="shared" si="21"/>
        <v>8</v>
      </c>
      <c r="W91" s="13">
        <f t="shared" si="21"/>
        <v>8</v>
      </c>
      <c r="X91" s="13">
        <f t="shared" si="21"/>
        <v>39</v>
      </c>
      <c r="Y91" s="13">
        <f t="shared" si="21"/>
        <v>35</v>
      </c>
      <c r="Z91" s="13">
        <f t="shared" si="21"/>
        <v>22</v>
      </c>
      <c r="AA91" s="13">
        <f t="shared" si="21"/>
        <v>9</v>
      </c>
      <c r="AB91" s="13">
        <f t="shared" si="21"/>
        <v>18</v>
      </c>
      <c r="AC91" s="13">
        <f t="shared" si="21"/>
        <v>19</v>
      </c>
      <c r="AD91" s="13">
        <f t="shared" si="21"/>
        <v>17</v>
      </c>
      <c r="AE91" s="13">
        <f t="shared" si="21"/>
        <v>29</v>
      </c>
      <c r="AF91" s="13">
        <f t="shared" si="21"/>
        <v>21</v>
      </c>
      <c r="AG91" s="13">
        <f t="shared" si="21"/>
        <v>23</v>
      </c>
      <c r="AH91" s="13">
        <f t="shared" si="21"/>
        <v>12</v>
      </c>
      <c r="AI91" s="13">
        <f t="shared" si="21"/>
        <v>14</v>
      </c>
      <c r="AJ91" s="13">
        <f t="shared" si="21"/>
        <v>14</v>
      </c>
      <c r="AK91" s="13">
        <f t="shared" si="21"/>
        <v>14</v>
      </c>
      <c r="AL91" s="13">
        <f t="shared" si="21"/>
        <v>10</v>
      </c>
      <c r="AM91" s="13">
        <f t="shared" si="21"/>
        <v>6</v>
      </c>
      <c r="AN91" s="13">
        <f t="shared" si="21"/>
        <v>19</v>
      </c>
      <c r="AO91" s="13">
        <f t="shared" si="21"/>
        <v>8</v>
      </c>
      <c r="AP91" s="13">
        <f t="shared" si="21"/>
        <v>8</v>
      </c>
      <c r="AQ91" s="13">
        <f t="shared" si="21"/>
        <v>18</v>
      </c>
      <c r="AR91" s="13">
        <f t="shared" si="21"/>
        <v>14</v>
      </c>
      <c r="AS91" s="13">
        <f t="shared" si="21"/>
        <v>13</v>
      </c>
      <c r="AT91" s="13">
        <f t="shared" si="21"/>
        <v>8</v>
      </c>
      <c r="AU91" s="13">
        <f t="shared" si="21"/>
        <v>5</v>
      </c>
      <c r="AV91" s="13">
        <f t="shared" si="21"/>
        <v>5</v>
      </c>
      <c r="AW91" s="13">
        <f t="shared" si="21"/>
        <v>7</v>
      </c>
      <c r="AX91" s="13">
        <f t="shared" si="21"/>
        <v>697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4.0</v>
      </c>
      <c r="G93" s="74">
        <v>6.0</v>
      </c>
      <c r="H93" s="74">
        <v>4.0</v>
      </c>
      <c r="I93" s="74">
        <v>8.0</v>
      </c>
      <c r="J93" s="74">
        <v>3.0</v>
      </c>
      <c r="K93" s="74">
        <v>4.0</v>
      </c>
      <c r="L93" s="74">
        <v>3.0</v>
      </c>
      <c r="M93" s="74">
        <v>1.0</v>
      </c>
      <c r="N93" s="74">
        <v>1.0</v>
      </c>
      <c r="O93" s="74">
        <v>4.0</v>
      </c>
      <c r="P93" s="74">
        <v>5.0</v>
      </c>
      <c r="Q93" s="74">
        <v>1.0</v>
      </c>
      <c r="R93" s="74">
        <v>1.0</v>
      </c>
      <c r="S93" s="74">
        <v>1.0</v>
      </c>
      <c r="T93" s="74">
        <v>0.0</v>
      </c>
      <c r="U93" s="74">
        <v>0.0</v>
      </c>
      <c r="V93" s="74">
        <v>0.0</v>
      </c>
      <c r="W93" s="74">
        <v>5.0</v>
      </c>
      <c r="X93" s="74">
        <v>7.0</v>
      </c>
      <c r="Y93" s="74">
        <v>3.0</v>
      </c>
      <c r="Z93" s="74">
        <v>7.0</v>
      </c>
      <c r="AA93" s="74">
        <v>3.0</v>
      </c>
      <c r="AB93" s="74">
        <v>3.0</v>
      </c>
      <c r="AC93" s="74">
        <v>2.0</v>
      </c>
      <c r="AD93" s="74">
        <v>3.0</v>
      </c>
      <c r="AE93" s="74">
        <v>6.0</v>
      </c>
      <c r="AF93" s="74">
        <v>0.0</v>
      </c>
      <c r="AG93" s="74">
        <v>2.0</v>
      </c>
      <c r="AH93" s="74">
        <v>3.0</v>
      </c>
      <c r="AI93" s="74">
        <v>3.0</v>
      </c>
      <c r="AJ93" s="74">
        <v>5.0</v>
      </c>
      <c r="AK93" s="74">
        <v>2.0</v>
      </c>
      <c r="AL93" s="74">
        <v>1.0</v>
      </c>
      <c r="AM93" s="74">
        <v>0.0</v>
      </c>
      <c r="AN93" s="74">
        <v>2.0</v>
      </c>
      <c r="AO93" s="74">
        <v>0.0</v>
      </c>
      <c r="AP93" s="74">
        <v>0.0</v>
      </c>
      <c r="AQ93" s="74">
        <v>2.0</v>
      </c>
      <c r="AR93" s="74">
        <v>1.0</v>
      </c>
      <c r="AS93" s="74">
        <v>2.0</v>
      </c>
      <c r="AT93" s="74">
        <v>2.0</v>
      </c>
      <c r="AU93" s="74">
        <v>2.0</v>
      </c>
      <c r="AV93" s="74">
        <v>1.0</v>
      </c>
      <c r="AW93" s="74">
        <v>2.0</v>
      </c>
      <c r="AX93" s="13">
        <f t="shared" ref="AX93:AX102" si="22">SUM(E93:AW93)</f>
        <v>115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33.0</v>
      </c>
      <c r="G94" s="74">
        <v>1.0</v>
      </c>
      <c r="H94" s="74">
        <v>10.0</v>
      </c>
      <c r="I94" s="74">
        <v>3.0</v>
      </c>
      <c r="J94" s="74">
        <v>3.0</v>
      </c>
      <c r="K94" s="74">
        <v>5.0</v>
      </c>
      <c r="L94" s="74">
        <v>4.0</v>
      </c>
      <c r="M94" s="74">
        <v>2.0</v>
      </c>
      <c r="N94" s="74">
        <v>1.0</v>
      </c>
      <c r="O94" s="74">
        <v>0.0</v>
      </c>
      <c r="P94" s="74">
        <v>0.0</v>
      </c>
      <c r="Q94" s="74">
        <v>0.0</v>
      </c>
      <c r="R94" s="74">
        <v>1.0</v>
      </c>
      <c r="S94" s="74">
        <v>1.0</v>
      </c>
      <c r="T94" s="74">
        <v>2.0</v>
      </c>
      <c r="U94" s="74">
        <v>0.0</v>
      </c>
      <c r="V94" s="74">
        <v>1.0</v>
      </c>
      <c r="W94" s="74">
        <v>2.0</v>
      </c>
      <c r="X94" s="74">
        <v>0.0</v>
      </c>
      <c r="Y94" s="74">
        <v>4.0</v>
      </c>
      <c r="Z94" s="74">
        <v>3.0</v>
      </c>
      <c r="AA94" s="74">
        <v>0.0</v>
      </c>
      <c r="AB94" s="74">
        <v>3.0</v>
      </c>
      <c r="AC94" s="74">
        <v>4.0</v>
      </c>
      <c r="AD94" s="74">
        <v>0.0</v>
      </c>
      <c r="AE94" s="74">
        <v>1.0</v>
      </c>
      <c r="AF94" s="74">
        <v>0.0</v>
      </c>
      <c r="AG94" s="74">
        <v>2.0</v>
      </c>
      <c r="AH94" s="74">
        <v>1.0</v>
      </c>
      <c r="AI94" s="74">
        <v>6.0</v>
      </c>
      <c r="AJ94" s="74">
        <v>2.0</v>
      </c>
      <c r="AK94" s="74">
        <v>3.0</v>
      </c>
      <c r="AL94" s="74">
        <v>1.0</v>
      </c>
      <c r="AM94" s="74">
        <v>3.0</v>
      </c>
      <c r="AN94" s="74">
        <v>1.0</v>
      </c>
      <c r="AO94" s="74">
        <v>1.0</v>
      </c>
      <c r="AP94" s="74">
        <v>3.0</v>
      </c>
      <c r="AQ94" s="74">
        <v>2.0</v>
      </c>
      <c r="AR94" s="74">
        <v>5.0</v>
      </c>
      <c r="AS94" s="74">
        <v>1.0</v>
      </c>
      <c r="AT94" s="74">
        <v>4.0</v>
      </c>
      <c r="AU94" s="74">
        <v>4.0</v>
      </c>
      <c r="AV94" s="74">
        <v>1.0</v>
      </c>
      <c r="AW94" s="74">
        <v>1.0</v>
      </c>
      <c r="AX94" s="13">
        <f t="shared" si="22"/>
        <v>126</v>
      </c>
    </row>
    <row r="95" ht="12.75" customHeight="1">
      <c r="A95" s="18"/>
      <c r="B95" s="55"/>
      <c r="C95" s="50" t="s">
        <v>83</v>
      </c>
      <c r="D95" s="57"/>
      <c r="E95" s="74">
        <v>1.0</v>
      </c>
      <c r="F95" s="74">
        <v>3.0</v>
      </c>
      <c r="G95" s="74">
        <v>0.0</v>
      </c>
      <c r="H95" s="74">
        <v>0.0</v>
      </c>
      <c r="I95" s="74">
        <v>1.0</v>
      </c>
      <c r="J95" s="74">
        <v>0.0</v>
      </c>
      <c r="K95" s="74">
        <v>1.0</v>
      </c>
      <c r="L95" s="74">
        <v>0.0</v>
      </c>
      <c r="M95" s="74">
        <v>0.0</v>
      </c>
      <c r="N95" s="74">
        <v>0.0</v>
      </c>
      <c r="O95" s="74">
        <v>2.0</v>
      </c>
      <c r="P95" s="74">
        <v>0.0</v>
      </c>
      <c r="Q95" s="74">
        <v>0.0</v>
      </c>
      <c r="R95" s="74">
        <v>0.0</v>
      </c>
      <c r="S95" s="74">
        <v>0.0</v>
      </c>
      <c r="T95" s="74">
        <v>0.0</v>
      </c>
      <c r="U95" s="74">
        <v>0.0</v>
      </c>
      <c r="V95" s="74">
        <v>2.0</v>
      </c>
      <c r="W95" s="74">
        <v>5.0</v>
      </c>
      <c r="X95" s="74">
        <v>0.0</v>
      </c>
      <c r="Y95" s="74">
        <v>8.0</v>
      </c>
      <c r="Z95" s="74">
        <v>2.0</v>
      </c>
      <c r="AA95" s="74">
        <v>3.0</v>
      </c>
      <c r="AB95" s="74">
        <v>0.0</v>
      </c>
      <c r="AC95" s="74">
        <v>0.0</v>
      </c>
      <c r="AD95" s="74">
        <v>0.0</v>
      </c>
      <c r="AE95" s="74">
        <v>0.0</v>
      </c>
      <c r="AF95" s="74">
        <v>0.0</v>
      </c>
      <c r="AG95" s="74">
        <v>1.0</v>
      </c>
      <c r="AH95" s="74">
        <v>0.0</v>
      </c>
      <c r="AI95" s="74">
        <v>0.0</v>
      </c>
      <c r="AJ95" s="74">
        <v>0.0</v>
      </c>
      <c r="AK95" s="74">
        <v>1.0</v>
      </c>
      <c r="AL95" s="74">
        <v>1.0</v>
      </c>
      <c r="AM95" s="74">
        <v>0.0</v>
      </c>
      <c r="AN95" s="74">
        <v>0.0</v>
      </c>
      <c r="AO95" s="74">
        <v>0.0</v>
      </c>
      <c r="AP95" s="74">
        <v>0.0</v>
      </c>
      <c r="AQ95" s="74">
        <v>1.0</v>
      </c>
      <c r="AR95" s="74">
        <v>0.0</v>
      </c>
      <c r="AS95" s="74">
        <v>0.0</v>
      </c>
      <c r="AT95" s="74">
        <v>0.0</v>
      </c>
      <c r="AU95" s="74">
        <v>0.0</v>
      </c>
      <c r="AV95" s="74">
        <v>1.0</v>
      </c>
      <c r="AW95" s="74">
        <v>0.0</v>
      </c>
      <c r="AX95" s="13">
        <f t="shared" si="22"/>
        <v>33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2.0</v>
      </c>
      <c r="G96" s="74">
        <v>1.0</v>
      </c>
      <c r="H96" s="74">
        <v>1.0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1.0</v>
      </c>
      <c r="O96" s="74">
        <v>0.0</v>
      </c>
      <c r="P96" s="74">
        <v>1.0</v>
      </c>
      <c r="Q96" s="74">
        <v>0.0</v>
      </c>
      <c r="R96" s="74">
        <v>0.0</v>
      </c>
      <c r="S96" s="74">
        <v>1.0</v>
      </c>
      <c r="T96" s="74">
        <v>0.0</v>
      </c>
      <c r="U96" s="74">
        <v>0.0</v>
      </c>
      <c r="V96" s="74">
        <v>0.0</v>
      </c>
      <c r="W96" s="74">
        <v>0.0</v>
      </c>
      <c r="X96" s="74">
        <v>2.0</v>
      </c>
      <c r="Y96" s="74">
        <v>1.0</v>
      </c>
      <c r="Z96" s="74">
        <v>3.0</v>
      </c>
      <c r="AA96" s="74">
        <v>1.0</v>
      </c>
      <c r="AB96" s="74">
        <v>1.0</v>
      </c>
      <c r="AC96" s="74">
        <v>0.0</v>
      </c>
      <c r="AD96" s="74">
        <v>0.0</v>
      </c>
      <c r="AE96" s="74">
        <v>0.0</v>
      </c>
      <c r="AF96" s="74">
        <v>1.0</v>
      </c>
      <c r="AG96" s="74">
        <v>0.0</v>
      </c>
      <c r="AH96" s="74">
        <v>1.0</v>
      </c>
      <c r="AI96" s="74">
        <v>0.0</v>
      </c>
      <c r="AJ96" s="74">
        <v>2.0</v>
      </c>
      <c r="AK96" s="74">
        <v>2.0</v>
      </c>
      <c r="AL96" s="74">
        <v>0.0</v>
      </c>
      <c r="AM96" s="74">
        <v>1.0</v>
      </c>
      <c r="AN96" s="74">
        <v>0.0</v>
      </c>
      <c r="AO96" s="74">
        <v>0.0</v>
      </c>
      <c r="AP96" s="74">
        <v>0.0</v>
      </c>
      <c r="AQ96" s="74">
        <v>0.0</v>
      </c>
      <c r="AR96" s="74">
        <v>0.0</v>
      </c>
      <c r="AS96" s="74">
        <v>1.0</v>
      </c>
      <c r="AT96" s="74">
        <v>0.0</v>
      </c>
      <c r="AU96" s="74">
        <v>0.0</v>
      </c>
      <c r="AV96" s="74">
        <v>0.0</v>
      </c>
      <c r="AW96" s="74">
        <v>0.0</v>
      </c>
      <c r="AX96" s="13">
        <f t="shared" si="22"/>
        <v>23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2.0</v>
      </c>
      <c r="G97" s="74">
        <v>4.0</v>
      </c>
      <c r="H97" s="74">
        <v>1.0</v>
      </c>
      <c r="I97" s="74">
        <v>1.0</v>
      </c>
      <c r="J97" s="74">
        <v>0.0</v>
      </c>
      <c r="K97" s="74">
        <v>2.0</v>
      </c>
      <c r="L97" s="74">
        <v>1.0</v>
      </c>
      <c r="M97" s="74">
        <v>0.0</v>
      </c>
      <c r="N97" s="74">
        <v>1.0</v>
      </c>
      <c r="O97" s="74">
        <v>0.0</v>
      </c>
      <c r="P97" s="74">
        <v>0.0</v>
      </c>
      <c r="Q97" s="74">
        <v>0.0</v>
      </c>
      <c r="R97" s="74">
        <v>0.0</v>
      </c>
      <c r="S97" s="74">
        <v>1.0</v>
      </c>
      <c r="T97" s="74">
        <v>0.0</v>
      </c>
      <c r="U97" s="74">
        <v>1.0</v>
      </c>
      <c r="V97" s="74">
        <v>2.0</v>
      </c>
      <c r="W97" s="74">
        <v>0.0</v>
      </c>
      <c r="X97" s="74">
        <v>0.0</v>
      </c>
      <c r="Y97" s="74">
        <v>0.0</v>
      </c>
      <c r="Z97" s="74">
        <v>1.0</v>
      </c>
      <c r="AA97" s="74">
        <v>1.0</v>
      </c>
      <c r="AB97" s="74">
        <v>0.0</v>
      </c>
      <c r="AC97" s="74">
        <v>0.0</v>
      </c>
      <c r="AD97" s="74">
        <v>2.0</v>
      </c>
      <c r="AE97" s="74">
        <v>0.0</v>
      </c>
      <c r="AF97" s="74">
        <v>1.0</v>
      </c>
      <c r="AG97" s="74">
        <v>1.0</v>
      </c>
      <c r="AH97" s="74">
        <v>0.0</v>
      </c>
      <c r="AI97" s="74">
        <v>2.0</v>
      </c>
      <c r="AJ97" s="74">
        <v>2.0</v>
      </c>
      <c r="AK97" s="74">
        <v>0.0</v>
      </c>
      <c r="AL97" s="74">
        <v>0.0</v>
      </c>
      <c r="AM97" s="74">
        <v>0.0</v>
      </c>
      <c r="AN97" s="74">
        <v>0.0</v>
      </c>
      <c r="AO97" s="74">
        <v>0.0</v>
      </c>
      <c r="AP97" s="74">
        <v>0.0</v>
      </c>
      <c r="AQ97" s="74">
        <v>0.0</v>
      </c>
      <c r="AR97" s="74">
        <v>2.0</v>
      </c>
      <c r="AS97" s="74">
        <v>1.0</v>
      </c>
      <c r="AT97" s="74">
        <v>0.0</v>
      </c>
      <c r="AU97" s="74">
        <v>0.0</v>
      </c>
      <c r="AV97" s="74">
        <v>1.0</v>
      </c>
      <c r="AW97" s="74">
        <v>3.0</v>
      </c>
      <c r="AX97" s="13">
        <f t="shared" si="22"/>
        <v>34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3.0</v>
      </c>
      <c r="H98" s="74">
        <v>0.0</v>
      </c>
      <c r="I98" s="74">
        <v>1.0</v>
      </c>
      <c r="J98" s="74">
        <v>0.0</v>
      </c>
      <c r="K98" s="74">
        <v>1.0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1.0</v>
      </c>
      <c r="Z98" s="74">
        <v>0.0</v>
      </c>
      <c r="AA98" s="74">
        <v>0.0</v>
      </c>
      <c r="AB98" s="74">
        <v>0.0</v>
      </c>
      <c r="AC98" s="74">
        <v>0.0</v>
      </c>
      <c r="AD98" s="74">
        <v>0.0</v>
      </c>
      <c r="AE98" s="74">
        <v>0.0</v>
      </c>
      <c r="AF98" s="74">
        <v>0.0</v>
      </c>
      <c r="AG98" s="74">
        <v>0.0</v>
      </c>
      <c r="AH98" s="74">
        <v>1.0</v>
      </c>
      <c r="AI98" s="74">
        <v>0.0</v>
      </c>
      <c r="AJ98" s="74">
        <v>2.0</v>
      </c>
      <c r="AK98" s="74">
        <v>0.0</v>
      </c>
      <c r="AL98" s="74">
        <v>1.0</v>
      </c>
      <c r="AM98" s="74">
        <v>0.0</v>
      </c>
      <c r="AN98" s="74">
        <v>0.0</v>
      </c>
      <c r="AO98" s="74">
        <v>0.0</v>
      </c>
      <c r="AP98" s="74">
        <v>0.0</v>
      </c>
      <c r="AQ98" s="74">
        <v>0.0</v>
      </c>
      <c r="AR98" s="74">
        <v>0.0</v>
      </c>
      <c r="AS98" s="74">
        <v>0.0</v>
      </c>
      <c r="AT98" s="74">
        <v>0.0</v>
      </c>
      <c r="AU98" s="74">
        <v>0.0</v>
      </c>
      <c r="AV98" s="74">
        <v>0.0</v>
      </c>
      <c r="AW98" s="74">
        <v>0.0</v>
      </c>
      <c r="AX98" s="13">
        <f t="shared" si="22"/>
        <v>11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1.0</v>
      </c>
      <c r="H99" s="74">
        <v>0.0</v>
      </c>
      <c r="I99" s="74">
        <v>2.0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1.0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1.0</v>
      </c>
      <c r="Z99" s="74">
        <v>1.0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0.0</v>
      </c>
      <c r="AN99" s="74">
        <v>0.0</v>
      </c>
      <c r="AO99" s="74">
        <v>0.0</v>
      </c>
      <c r="AP99" s="74">
        <v>0.0</v>
      </c>
      <c r="AQ99" s="74">
        <v>0.0</v>
      </c>
      <c r="AR99" s="74">
        <v>0.0</v>
      </c>
      <c r="AS99" s="74">
        <v>0.0</v>
      </c>
      <c r="AT99" s="74">
        <v>0.0</v>
      </c>
      <c r="AU99" s="74">
        <v>0.0</v>
      </c>
      <c r="AV99" s="74">
        <v>0.0</v>
      </c>
      <c r="AW99" s="74">
        <v>0.0</v>
      </c>
      <c r="AX99" s="13">
        <f t="shared" si="22"/>
        <v>6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1.0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1.0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0.0</v>
      </c>
      <c r="AK100" s="74">
        <v>0.0</v>
      </c>
      <c r="AL100" s="74">
        <v>1.0</v>
      </c>
      <c r="AM100" s="74">
        <v>1.0</v>
      </c>
      <c r="AN100" s="74">
        <v>0.0</v>
      </c>
      <c r="AO100" s="74">
        <v>0.0</v>
      </c>
      <c r="AP100" s="74">
        <v>0.0</v>
      </c>
      <c r="AQ100" s="74">
        <v>0.0</v>
      </c>
      <c r="AR100" s="74">
        <v>1.0</v>
      </c>
      <c r="AS100" s="74">
        <v>0.0</v>
      </c>
      <c r="AT100" s="74">
        <v>0.0</v>
      </c>
      <c r="AU100" s="74">
        <v>0.0</v>
      </c>
      <c r="AV100" s="74">
        <v>0.0</v>
      </c>
      <c r="AW100" s="74">
        <v>0.0</v>
      </c>
      <c r="AX100" s="13">
        <f t="shared" si="22"/>
        <v>5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74">
        <v>0.0</v>
      </c>
      <c r="AL101" s="74">
        <v>0.0</v>
      </c>
      <c r="AM101" s="74">
        <v>0.0</v>
      </c>
      <c r="AN101" s="74">
        <v>0.0</v>
      </c>
      <c r="AO101" s="74">
        <v>0.0</v>
      </c>
      <c r="AP101" s="74">
        <v>0.0</v>
      </c>
      <c r="AQ101" s="74">
        <v>0.0</v>
      </c>
      <c r="AR101" s="74">
        <v>0.0</v>
      </c>
      <c r="AS101" s="74">
        <v>0.0</v>
      </c>
      <c r="AT101" s="74">
        <v>0.0</v>
      </c>
      <c r="AU101" s="74">
        <v>0.0</v>
      </c>
      <c r="AV101" s="74">
        <v>0.0</v>
      </c>
      <c r="AW101" s="74">
        <v>0.0</v>
      </c>
      <c r="AX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1.0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1.0</v>
      </c>
      <c r="AK102" s="74">
        <v>0.0</v>
      </c>
      <c r="AL102" s="74">
        <v>0.0</v>
      </c>
      <c r="AM102" s="74">
        <v>0.0</v>
      </c>
      <c r="AN102" s="74">
        <v>0.0</v>
      </c>
      <c r="AO102" s="74">
        <v>0.0</v>
      </c>
      <c r="AP102" s="74">
        <v>0.0</v>
      </c>
      <c r="AQ102" s="74">
        <v>0.0</v>
      </c>
      <c r="AR102" s="74">
        <v>0.0</v>
      </c>
      <c r="AS102" s="74">
        <v>0.0</v>
      </c>
      <c r="AT102" s="74">
        <v>0.0</v>
      </c>
      <c r="AU102" s="74">
        <v>0.0</v>
      </c>
      <c r="AV102" s="74">
        <v>0.0</v>
      </c>
      <c r="AW102" s="74">
        <v>1.0</v>
      </c>
      <c r="AX102" s="13">
        <f t="shared" si="22"/>
        <v>3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X103" si="23">SUM(E93:E102)</f>
        <v>3</v>
      </c>
      <c r="F103" s="13">
        <f t="shared" si="23"/>
        <v>45</v>
      </c>
      <c r="G103" s="13">
        <f t="shared" si="23"/>
        <v>16</v>
      </c>
      <c r="H103" s="13">
        <f t="shared" si="23"/>
        <v>16</v>
      </c>
      <c r="I103" s="13">
        <f t="shared" si="23"/>
        <v>16</v>
      </c>
      <c r="J103" s="13">
        <f t="shared" si="23"/>
        <v>6</v>
      </c>
      <c r="K103" s="13">
        <f t="shared" si="23"/>
        <v>13</v>
      </c>
      <c r="L103" s="13">
        <f t="shared" si="23"/>
        <v>8</v>
      </c>
      <c r="M103" s="13">
        <f t="shared" si="23"/>
        <v>3</v>
      </c>
      <c r="N103" s="13">
        <f t="shared" si="23"/>
        <v>4</v>
      </c>
      <c r="O103" s="13">
        <f t="shared" si="23"/>
        <v>6</v>
      </c>
      <c r="P103" s="13">
        <f t="shared" si="23"/>
        <v>6</v>
      </c>
      <c r="Q103" s="13">
        <f t="shared" si="23"/>
        <v>1</v>
      </c>
      <c r="R103" s="13">
        <f t="shared" si="23"/>
        <v>3</v>
      </c>
      <c r="S103" s="13">
        <f t="shared" si="23"/>
        <v>4</v>
      </c>
      <c r="T103" s="13">
        <f t="shared" si="23"/>
        <v>2</v>
      </c>
      <c r="U103" s="13">
        <f t="shared" si="23"/>
        <v>1</v>
      </c>
      <c r="V103" s="13">
        <f t="shared" si="23"/>
        <v>6</v>
      </c>
      <c r="W103" s="13">
        <f t="shared" si="23"/>
        <v>13</v>
      </c>
      <c r="X103" s="13">
        <f t="shared" si="23"/>
        <v>9</v>
      </c>
      <c r="Y103" s="13">
        <f t="shared" si="23"/>
        <v>18</v>
      </c>
      <c r="Z103" s="13">
        <f t="shared" si="23"/>
        <v>17</v>
      </c>
      <c r="AA103" s="13">
        <f t="shared" si="23"/>
        <v>8</v>
      </c>
      <c r="AB103" s="13">
        <f t="shared" si="23"/>
        <v>7</v>
      </c>
      <c r="AC103" s="13">
        <f t="shared" si="23"/>
        <v>6</v>
      </c>
      <c r="AD103" s="13">
        <f t="shared" si="23"/>
        <v>5</v>
      </c>
      <c r="AE103" s="13">
        <f t="shared" si="23"/>
        <v>8</v>
      </c>
      <c r="AF103" s="13">
        <f t="shared" si="23"/>
        <v>2</v>
      </c>
      <c r="AG103" s="13">
        <f t="shared" si="23"/>
        <v>6</v>
      </c>
      <c r="AH103" s="13">
        <f t="shared" si="23"/>
        <v>6</v>
      </c>
      <c r="AI103" s="13">
        <f t="shared" si="23"/>
        <v>11</v>
      </c>
      <c r="AJ103" s="13">
        <f t="shared" si="23"/>
        <v>14</v>
      </c>
      <c r="AK103" s="13">
        <f t="shared" si="23"/>
        <v>8</v>
      </c>
      <c r="AL103" s="13">
        <f t="shared" si="23"/>
        <v>5</v>
      </c>
      <c r="AM103" s="13">
        <f t="shared" si="23"/>
        <v>5</v>
      </c>
      <c r="AN103" s="13">
        <f t="shared" si="23"/>
        <v>3</v>
      </c>
      <c r="AO103" s="13">
        <f t="shared" si="23"/>
        <v>1</v>
      </c>
      <c r="AP103" s="13">
        <f t="shared" si="23"/>
        <v>3</v>
      </c>
      <c r="AQ103" s="13">
        <f t="shared" si="23"/>
        <v>5</v>
      </c>
      <c r="AR103" s="13">
        <f t="shared" si="23"/>
        <v>9</v>
      </c>
      <c r="AS103" s="13">
        <f t="shared" si="23"/>
        <v>5</v>
      </c>
      <c r="AT103" s="13">
        <f t="shared" si="23"/>
        <v>6</v>
      </c>
      <c r="AU103" s="13">
        <f t="shared" si="23"/>
        <v>6</v>
      </c>
      <c r="AV103" s="13">
        <f t="shared" si="23"/>
        <v>4</v>
      </c>
      <c r="AW103" s="13">
        <f t="shared" si="23"/>
        <v>7</v>
      </c>
      <c r="AX103" s="13">
        <f t="shared" si="23"/>
        <v>356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1.0</v>
      </c>
      <c r="F105" s="74">
        <v>0.0</v>
      </c>
      <c r="G105" s="74">
        <v>1.0</v>
      </c>
      <c r="H105" s="74">
        <v>0.0</v>
      </c>
      <c r="I105" s="74">
        <v>2.0</v>
      </c>
      <c r="J105" s="74">
        <v>0.0</v>
      </c>
      <c r="K105" s="74">
        <v>0.0</v>
      </c>
      <c r="L105" s="74">
        <v>1.0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1.0</v>
      </c>
      <c r="T105" s="74">
        <v>1.0</v>
      </c>
      <c r="U105" s="74">
        <v>0.0</v>
      </c>
      <c r="V105" s="74">
        <v>1.0</v>
      </c>
      <c r="W105" s="74">
        <v>0.0</v>
      </c>
      <c r="X105" s="74">
        <v>3.0</v>
      </c>
      <c r="Y105" s="74">
        <v>1.0</v>
      </c>
      <c r="Z105" s="74">
        <v>0.0</v>
      </c>
      <c r="AA105" s="74">
        <v>0.0</v>
      </c>
      <c r="AB105" s="74">
        <v>1.0</v>
      </c>
      <c r="AC105" s="74">
        <v>0.0</v>
      </c>
      <c r="AD105" s="74">
        <v>0.0</v>
      </c>
      <c r="AE105" s="74">
        <v>1.0</v>
      </c>
      <c r="AF105" s="74">
        <v>0.0</v>
      </c>
      <c r="AG105" s="74">
        <v>0.0</v>
      </c>
      <c r="AH105" s="74">
        <v>2.0</v>
      </c>
      <c r="AI105" s="74">
        <v>0.0</v>
      </c>
      <c r="AJ105" s="74">
        <v>0.0</v>
      </c>
      <c r="AK105" s="74">
        <v>0.0</v>
      </c>
      <c r="AL105" s="74">
        <v>0.0</v>
      </c>
      <c r="AM105" s="74">
        <v>0.0</v>
      </c>
      <c r="AN105" s="74">
        <v>0.0</v>
      </c>
      <c r="AO105" s="74">
        <v>0.0</v>
      </c>
      <c r="AP105" s="74">
        <v>1.0</v>
      </c>
      <c r="AQ105" s="74">
        <v>0.0</v>
      </c>
      <c r="AR105" s="74">
        <v>0.0</v>
      </c>
      <c r="AS105" s="74">
        <v>0.0</v>
      </c>
      <c r="AT105" s="74">
        <v>0.0</v>
      </c>
      <c r="AU105" s="74">
        <v>0.0</v>
      </c>
      <c r="AV105" s="74">
        <v>0.0</v>
      </c>
      <c r="AW105" s="74">
        <v>0.0</v>
      </c>
      <c r="AX105" s="13">
        <f t="shared" ref="AX105:AX107" si="24">SUM(E105:AW105)</f>
        <v>17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2.0</v>
      </c>
      <c r="F106" s="74">
        <v>1.0</v>
      </c>
      <c r="G106" s="74">
        <v>1.0</v>
      </c>
      <c r="H106" s="74">
        <v>1.0</v>
      </c>
      <c r="I106" s="74">
        <v>0.0</v>
      </c>
      <c r="J106" s="74">
        <v>0.0</v>
      </c>
      <c r="K106" s="74">
        <v>0.0</v>
      </c>
      <c r="L106" s="74">
        <v>0.0</v>
      </c>
      <c r="M106" s="74">
        <v>1.0</v>
      </c>
      <c r="N106" s="74">
        <v>0.0</v>
      </c>
      <c r="O106" s="74">
        <v>0.0</v>
      </c>
      <c r="P106" s="74">
        <v>1.0</v>
      </c>
      <c r="Q106" s="74">
        <v>1.0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1.0</v>
      </c>
      <c r="AF106" s="74">
        <v>0.0</v>
      </c>
      <c r="AG106" s="74">
        <v>1.0</v>
      </c>
      <c r="AH106" s="74">
        <v>1.0</v>
      </c>
      <c r="AI106" s="74">
        <v>1.0</v>
      </c>
      <c r="AJ106" s="74">
        <v>0.0</v>
      </c>
      <c r="AK106" s="74">
        <v>0.0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0.0</v>
      </c>
      <c r="AQ106" s="74">
        <v>0.0</v>
      </c>
      <c r="AR106" s="74">
        <v>0.0</v>
      </c>
      <c r="AS106" s="74">
        <v>1.0</v>
      </c>
      <c r="AT106" s="74">
        <v>1.0</v>
      </c>
      <c r="AU106" s="74">
        <v>1.0</v>
      </c>
      <c r="AV106" s="74">
        <v>0.0</v>
      </c>
      <c r="AW106" s="74">
        <v>0.0</v>
      </c>
      <c r="AX106" s="13">
        <f t="shared" si="24"/>
        <v>15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1.0</v>
      </c>
      <c r="J107" s="74">
        <v>0.0</v>
      </c>
      <c r="K107" s="74">
        <v>2.0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1.0</v>
      </c>
      <c r="U107" s="74">
        <v>0.0</v>
      </c>
      <c r="V107" s="74">
        <v>0.0</v>
      </c>
      <c r="W107" s="74">
        <v>0.0</v>
      </c>
      <c r="X107" s="74">
        <v>1.0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1.0</v>
      </c>
      <c r="AD107" s="74">
        <v>0.0</v>
      </c>
      <c r="AE107" s="74">
        <v>0.0</v>
      </c>
      <c r="AF107" s="74">
        <v>0.0</v>
      </c>
      <c r="AG107" s="74">
        <v>0.0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0.0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0.0</v>
      </c>
      <c r="AU107" s="74">
        <v>0.0</v>
      </c>
      <c r="AV107" s="74">
        <v>0.0</v>
      </c>
      <c r="AW107" s="74">
        <v>0.0</v>
      </c>
      <c r="AX107" s="13">
        <f t="shared" si="24"/>
        <v>6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X115" si="25">SUM(E105:E114)</f>
        <v>3</v>
      </c>
      <c r="F115" s="13">
        <f t="shared" si="25"/>
        <v>1</v>
      </c>
      <c r="G115" s="13">
        <f t="shared" si="25"/>
        <v>2</v>
      </c>
      <c r="H115" s="13">
        <f t="shared" si="25"/>
        <v>1</v>
      </c>
      <c r="I115" s="13">
        <f t="shared" si="25"/>
        <v>3</v>
      </c>
      <c r="J115" s="13">
        <f t="shared" si="25"/>
        <v>0</v>
      </c>
      <c r="K115" s="13">
        <f t="shared" si="25"/>
        <v>2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4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1</v>
      </c>
      <c r="AD115" s="13">
        <f t="shared" si="25"/>
        <v>0</v>
      </c>
      <c r="AE115" s="13">
        <f t="shared" si="25"/>
        <v>2</v>
      </c>
      <c r="AF115" s="13">
        <f t="shared" si="25"/>
        <v>0</v>
      </c>
      <c r="AG115" s="13">
        <f t="shared" si="25"/>
        <v>1</v>
      </c>
      <c r="AH115" s="13">
        <f t="shared" si="25"/>
        <v>3</v>
      </c>
      <c r="AI115" s="13">
        <f t="shared" si="25"/>
        <v>1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1</v>
      </c>
      <c r="AQ115" s="13">
        <f t="shared" si="25"/>
        <v>0</v>
      </c>
      <c r="AR115" s="13">
        <f t="shared" si="25"/>
        <v>0</v>
      </c>
      <c r="AS115" s="13">
        <f t="shared" si="25"/>
        <v>1</v>
      </c>
      <c r="AT115" s="13">
        <f t="shared" si="25"/>
        <v>1</v>
      </c>
      <c r="AU115" s="13">
        <f t="shared" si="25"/>
        <v>1</v>
      </c>
      <c r="AV115" s="13">
        <f t="shared" si="25"/>
        <v>0</v>
      </c>
      <c r="AW115" s="13">
        <f t="shared" si="25"/>
        <v>0</v>
      </c>
      <c r="AX115" s="13">
        <f t="shared" si="25"/>
        <v>38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3.0</v>
      </c>
      <c r="F117" s="74">
        <v>3.0</v>
      </c>
      <c r="G117" s="74">
        <v>5.0</v>
      </c>
      <c r="H117" s="74">
        <v>5.0</v>
      </c>
      <c r="I117" s="74">
        <v>0.0</v>
      </c>
      <c r="J117" s="74">
        <v>7.0</v>
      </c>
      <c r="K117" s="74">
        <v>4.0</v>
      </c>
      <c r="L117" s="74">
        <v>1.0</v>
      </c>
      <c r="M117" s="74">
        <v>0.0</v>
      </c>
      <c r="N117" s="74">
        <v>0.0</v>
      </c>
      <c r="O117" s="74">
        <v>1.0</v>
      </c>
      <c r="P117" s="74">
        <v>4.0</v>
      </c>
      <c r="Q117" s="74">
        <v>1.0</v>
      </c>
      <c r="R117" s="74">
        <v>3.0</v>
      </c>
      <c r="S117" s="74">
        <v>1.0</v>
      </c>
      <c r="T117" s="74">
        <v>0.0</v>
      </c>
      <c r="U117" s="74">
        <v>2.0</v>
      </c>
      <c r="V117" s="74">
        <v>3.0</v>
      </c>
      <c r="W117" s="74">
        <v>1.0</v>
      </c>
      <c r="X117" s="74">
        <v>2.0</v>
      </c>
      <c r="Y117" s="74">
        <v>0.0</v>
      </c>
      <c r="Z117" s="74">
        <v>2.0</v>
      </c>
      <c r="AA117" s="74">
        <v>4.0</v>
      </c>
      <c r="AB117" s="74">
        <v>0.0</v>
      </c>
      <c r="AC117" s="74">
        <v>2.0</v>
      </c>
      <c r="AD117" s="74">
        <v>1.0</v>
      </c>
      <c r="AE117" s="74">
        <v>5.0</v>
      </c>
      <c r="AF117" s="74">
        <v>0.0</v>
      </c>
      <c r="AG117" s="74">
        <v>1.0</v>
      </c>
      <c r="AH117" s="74">
        <v>1.0</v>
      </c>
      <c r="AI117" s="74">
        <v>3.0</v>
      </c>
      <c r="AJ117" s="74">
        <v>0.0</v>
      </c>
      <c r="AK117" s="74">
        <v>1.0</v>
      </c>
      <c r="AL117" s="74">
        <v>2.0</v>
      </c>
      <c r="AM117" s="74">
        <v>2.0</v>
      </c>
      <c r="AN117" s="74">
        <v>0.0</v>
      </c>
      <c r="AO117" s="74">
        <v>2.0</v>
      </c>
      <c r="AP117" s="74">
        <v>1.0</v>
      </c>
      <c r="AQ117" s="74">
        <v>2.0</v>
      </c>
      <c r="AR117" s="74">
        <v>1.0</v>
      </c>
      <c r="AS117" s="74">
        <v>0.0</v>
      </c>
      <c r="AT117" s="74">
        <v>3.0</v>
      </c>
      <c r="AU117" s="74">
        <v>2.0</v>
      </c>
      <c r="AV117" s="74">
        <v>2.0</v>
      </c>
      <c r="AW117" s="74">
        <v>0.0</v>
      </c>
      <c r="AX117" s="13">
        <f t="shared" ref="AX117:AX122" si="26">SUM(E117:AW117)</f>
        <v>83</v>
      </c>
      <c r="AY117" s="5"/>
      <c r="AZ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2.0</v>
      </c>
      <c r="F118" s="74">
        <v>0.0</v>
      </c>
      <c r="G118" s="74">
        <v>0.0</v>
      </c>
      <c r="H118" s="74">
        <v>0.0</v>
      </c>
      <c r="I118" s="74">
        <v>0.0</v>
      </c>
      <c r="J118" s="74">
        <v>1.0</v>
      </c>
      <c r="K118" s="74">
        <v>0.0</v>
      </c>
      <c r="L118" s="74">
        <v>0.0</v>
      </c>
      <c r="M118" s="74">
        <v>0.0</v>
      </c>
      <c r="N118" s="74">
        <v>2.0</v>
      </c>
      <c r="O118" s="74">
        <v>1.0</v>
      </c>
      <c r="P118" s="74">
        <v>1.0</v>
      </c>
      <c r="Q118" s="74">
        <v>0.0</v>
      </c>
      <c r="R118" s="74">
        <v>1.0</v>
      </c>
      <c r="S118" s="74">
        <v>1.0</v>
      </c>
      <c r="T118" s="74">
        <v>1.0</v>
      </c>
      <c r="U118" s="74">
        <v>3.0</v>
      </c>
      <c r="V118" s="74">
        <v>0.0</v>
      </c>
      <c r="W118" s="74">
        <v>1.0</v>
      </c>
      <c r="X118" s="74">
        <v>0.0</v>
      </c>
      <c r="Y118" s="74">
        <v>0.0</v>
      </c>
      <c r="Z118" s="74">
        <v>1.0</v>
      </c>
      <c r="AA118" s="74">
        <v>1.0</v>
      </c>
      <c r="AB118" s="74">
        <v>2.0</v>
      </c>
      <c r="AC118" s="74">
        <v>1.0</v>
      </c>
      <c r="AD118" s="74">
        <v>1.0</v>
      </c>
      <c r="AE118" s="74">
        <v>1.0</v>
      </c>
      <c r="AF118" s="74">
        <v>1.0</v>
      </c>
      <c r="AG118" s="74">
        <v>0.0</v>
      </c>
      <c r="AH118" s="74">
        <v>0.0</v>
      </c>
      <c r="AI118" s="74">
        <v>0.0</v>
      </c>
      <c r="AJ118" s="74">
        <v>0.0</v>
      </c>
      <c r="AK118" s="74">
        <v>0.0</v>
      </c>
      <c r="AL118" s="74">
        <v>0.0</v>
      </c>
      <c r="AM118" s="74">
        <v>0.0</v>
      </c>
      <c r="AN118" s="74">
        <v>0.0</v>
      </c>
      <c r="AO118" s="74">
        <v>0.0</v>
      </c>
      <c r="AP118" s="74">
        <v>0.0</v>
      </c>
      <c r="AQ118" s="74">
        <v>0.0</v>
      </c>
      <c r="AR118" s="74">
        <v>1.0</v>
      </c>
      <c r="AS118" s="74">
        <v>0.0</v>
      </c>
      <c r="AT118" s="74">
        <v>1.0</v>
      </c>
      <c r="AU118" s="74">
        <v>0.0</v>
      </c>
      <c r="AV118" s="74">
        <v>2.0</v>
      </c>
      <c r="AW118" s="74">
        <v>1.0</v>
      </c>
      <c r="AX118" s="13">
        <f t="shared" si="26"/>
        <v>27</v>
      </c>
      <c r="AY118" s="5"/>
      <c r="AZ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1.0</v>
      </c>
      <c r="K119" s="74">
        <v>1.0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74">
        <v>0.0</v>
      </c>
      <c r="AL119" s="74">
        <v>0.0</v>
      </c>
      <c r="AM119" s="74">
        <v>0.0</v>
      </c>
      <c r="AN119" s="74">
        <v>0.0</v>
      </c>
      <c r="AO119" s="74">
        <v>0.0</v>
      </c>
      <c r="AP119" s="74">
        <v>0.0</v>
      </c>
      <c r="AQ119" s="74">
        <v>0.0</v>
      </c>
      <c r="AR119" s="74">
        <v>0.0</v>
      </c>
      <c r="AS119" s="74">
        <v>0.0</v>
      </c>
      <c r="AT119" s="74">
        <v>1.0</v>
      </c>
      <c r="AU119" s="74">
        <v>1.0</v>
      </c>
      <c r="AV119" s="74">
        <v>1.0</v>
      </c>
      <c r="AW119" s="74">
        <v>0.0</v>
      </c>
      <c r="AX119" s="13">
        <f t="shared" si="26"/>
        <v>5</v>
      </c>
      <c r="AY119" s="5"/>
      <c r="AZ119" s="5"/>
    </row>
    <row r="120" ht="12.75" customHeight="1">
      <c r="A120" s="18"/>
      <c r="B120" s="55"/>
      <c r="C120" s="50" t="s">
        <v>99</v>
      </c>
      <c r="D120" s="57"/>
      <c r="E120" s="74">
        <v>1.0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1.0</v>
      </c>
      <c r="P120" s="74">
        <v>0.0</v>
      </c>
      <c r="Q120" s="74">
        <v>1.0</v>
      </c>
      <c r="R120" s="74">
        <v>0.0</v>
      </c>
      <c r="S120" s="74">
        <v>0.0</v>
      </c>
      <c r="T120" s="74">
        <v>0.0</v>
      </c>
      <c r="U120" s="74">
        <v>1.0</v>
      </c>
      <c r="V120" s="74">
        <v>0.0</v>
      </c>
      <c r="W120" s="74">
        <v>0.0</v>
      </c>
      <c r="X120" s="74">
        <v>1.0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74">
        <v>0.0</v>
      </c>
      <c r="AG120" s="74">
        <v>1.0</v>
      </c>
      <c r="AH120" s="74">
        <v>0.0</v>
      </c>
      <c r="AI120" s="74">
        <v>0.0</v>
      </c>
      <c r="AJ120" s="74">
        <v>0.0</v>
      </c>
      <c r="AK120" s="74">
        <v>0.0</v>
      </c>
      <c r="AL120" s="74">
        <v>0.0</v>
      </c>
      <c r="AM120" s="74">
        <v>0.0</v>
      </c>
      <c r="AN120" s="74">
        <v>0.0</v>
      </c>
      <c r="AO120" s="74">
        <v>0.0</v>
      </c>
      <c r="AP120" s="74">
        <v>0.0</v>
      </c>
      <c r="AQ120" s="74">
        <v>0.0</v>
      </c>
      <c r="AR120" s="74">
        <v>0.0</v>
      </c>
      <c r="AS120" s="74">
        <v>0.0</v>
      </c>
      <c r="AT120" s="74">
        <v>0.0</v>
      </c>
      <c r="AU120" s="74">
        <v>0.0</v>
      </c>
      <c r="AV120" s="74">
        <v>1.0</v>
      </c>
      <c r="AW120" s="74">
        <v>0.0</v>
      </c>
      <c r="AX120" s="13">
        <f t="shared" si="26"/>
        <v>7</v>
      </c>
      <c r="AY120" s="5"/>
      <c r="AZ120" s="5"/>
    </row>
    <row r="121" ht="12.75" customHeight="1">
      <c r="A121" s="18"/>
      <c r="B121" s="55"/>
      <c r="C121" s="50" t="s">
        <v>100</v>
      </c>
      <c r="D121" s="57"/>
      <c r="E121" s="74">
        <v>1.0</v>
      </c>
      <c r="F121" s="74">
        <v>0.0</v>
      </c>
      <c r="G121" s="74">
        <v>0.0</v>
      </c>
      <c r="H121" s="74">
        <v>0.0</v>
      </c>
      <c r="I121" s="74">
        <v>0.0</v>
      </c>
      <c r="J121" s="74">
        <v>1.0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1.0</v>
      </c>
      <c r="AK121" s="74">
        <v>0.0</v>
      </c>
      <c r="AL121" s="74">
        <v>0.0</v>
      </c>
      <c r="AM121" s="74">
        <v>0.0</v>
      </c>
      <c r="AN121" s="74">
        <v>0.0</v>
      </c>
      <c r="AO121" s="74">
        <v>0.0</v>
      </c>
      <c r="AP121" s="74">
        <v>0.0</v>
      </c>
      <c r="AQ121" s="74">
        <v>0.0</v>
      </c>
      <c r="AR121" s="74">
        <v>0.0</v>
      </c>
      <c r="AS121" s="74">
        <v>0.0</v>
      </c>
      <c r="AT121" s="74">
        <v>0.0</v>
      </c>
      <c r="AU121" s="74">
        <v>0.0</v>
      </c>
      <c r="AV121" s="74">
        <v>1.0</v>
      </c>
      <c r="AW121" s="74">
        <v>0.0</v>
      </c>
      <c r="AX121" s="13">
        <f t="shared" si="26"/>
        <v>4</v>
      </c>
      <c r="AY121" s="5"/>
      <c r="AZ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1.0</v>
      </c>
      <c r="I122" s="74">
        <v>0.0</v>
      </c>
      <c r="J122" s="74">
        <v>1.0</v>
      </c>
      <c r="K122" s="74">
        <v>0.0</v>
      </c>
      <c r="L122" s="74">
        <v>0.0</v>
      </c>
      <c r="M122" s="74">
        <v>0.0</v>
      </c>
      <c r="N122" s="74">
        <v>0.0</v>
      </c>
      <c r="O122" s="74">
        <v>1.0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1.0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1.0</v>
      </c>
      <c r="AG122" s="74">
        <v>1.0</v>
      </c>
      <c r="AH122" s="74">
        <v>0.0</v>
      </c>
      <c r="AI122" s="74">
        <v>0.0</v>
      </c>
      <c r="AJ122" s="74">
        <v>0.0</v>
      </c>
      <c r="AK122" s="74">
        <v>0.0</v>
      </c>
      <c r="AL122" s="74">
        <v>0.0</v>
      </c>
      <c r="AM122" s="74">
        <v>0.0</v>
      </c>
      <c r="AN122" s="74">
        <v>0.0</v>
      </c>
      <c r="AO122" s="74">
        <v>0.0</v>
      </c>
      <c r="AP122" s="74">
        <v>0.0</v>
      </c>
      <c r="AQ122" s="74">
        <v>0.0</v>
      </c>
      <c r="AR122" s="74">
        <v>1.0</v>
      </c>
      <c r="AS122" s="74">
        <v>0.0</v>
      </c>
      <c r="AT122" s="74">
        <v>0.0</v>
      </c>
      <c r="AU122" s="74">
        <v>0.0</v>
      </c>
      <c r="AV122" s="74">
        <v>0.0</v>
      </c>
      <c r="AW122" s="74">
        <v>0.0</v>
      </c>
      <c r="AX122" s="13">
        <f t="shared" si="26"/>
        <v>7</v>
      </c>
      <c r="AY122" s="5"/>
      <c r="AZ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81"/>
      <c r="AY123" s="5"/>
      <c r="AZ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81"/>
      <c r="AY124" s="5"/>
      <c r="AZ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81"/>
      <c r="AY125" s="5"/>
      <c r="AZ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81"/>
      <c r="AY126" s="5"/>
      <c r="AZ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X127" si="27">SUM(E117:E122)</f>
        <v>7</v>
      </c>
      <c r="F127" s="63">
        <f t="shared" si="27"/>
        <v>3</v>
      </c>
      <c r="G127" s="63">
        <f t="shared" si="27"/>
        <v>5</v>
      </c>
      <c r="H127" s="63">
        <f t="shared" si="27"/>
        <v>6</v>
      </c>
      <c r="I127" s="63">
        <f t="shared" si="27"/>
        <v>0</v>
      </c>
      <c r="J127" s="63">
        <f t="shared" si="27"/>
        <v>11</v>
      </c>
      <c r="K127" s="63">
        <f t="shared" si="27"/>
        <v>5</v>
      </c>
      <c r="L127" s="63">
        <f t="shared" si="27"/>
        <v>1</v>
      </c>
      <c r="M127" s="63">
        <f t="shared" si="27"/>
        <v>0</v>
      </c>
      <c r="N127" s="63">
        <f t="shared" si="27"/>
        <v>2</v>
      </c>
      <c r="O127" s="63">
        <f t="shared" si="27"/>
        <v>4</v>
      </c>
      <c r="P127" s="63">
        <f t="shared" si="27"/>
        <v>5</v>
      </c>
      <c r="Q127" s="63">
        <f t="shared" si="27"/>
        <v>2</v>
      </c>
      <c r="R127" s="63">
        <f t="shared" si="27"/>
        <v>4</v>
      </c>
      <c r="S127" s="63">
        <f t="shared" si="27"/>
        <v>2</v>
      </c>
      <c r="T127" s="63">
        <f t="shared" si="27"/>
        <v>1</v>
      </c>
      <c r="U127" s="63">
        <f t="shared" si="27"/>
        <v>6</v>
      </c>
      <c r="V127" s="63">
        <f t="shared" si="27"/>
        <v>3</v>
      </c>
      <c r="W127" s="63">
        <f t="shared" si="27"/>
        <v>3</v>
      </c>
      <c r="X127" s="63">
        <f t="shared" si="27"/>
        <v>3</v>
      </c>
      <c r="Y127" s="63">
        <f t="shared" si="27"/>
        <v>0</v>
      </c>
      <c r="Z127" s="63">
        <f t="shared" si="27"/>
        <v>3</v>
      </c>
      <c r="AA127" s="63">
        <f t="shared" si="27"/>
        <v>5</v>
      </c>
      <c r="AB127" s="63">
        <f t="shared" si="27"/>
        <v>2</v>
      </c>
      <c r="AC127" s="63">
        <f t="shared" si="27"/>
        <v>3</v>
      </c>
      <c r="AD127" s="63">
        <f t="shared" si="27"/>
        <v>2</v>
      </c>
      <c r="AE127" s="63">
        <f t="shared" si="27"/>
        <v>6</v>
      </c>
      <c r="AF127" s="63">
        <f t="shared" si="27"/>
        <v>2</v>
      </c>
      <c r="AG127" s="63">
        <f t="shared" si="27"/>
        <v>3</v>
      </c>
      <c r="AH127" s="63">
        <f t="shared" si="27"/>
        <v>1</v>
      </c>
      <c r="AI127" s="63">
        <f t="shared" si="27"/>
        <v>3</v>
      </c>
      <c r="AJ127" s="63">
        <f t="shared" si="27"/>
        <v>1</v>
      </c>
      <c r="AK127" s="63">
        <f t="shared" si="27"/>
        <v>1</v>
      </c>
      <c r="AL127" s="63">
        <f t="shared" si="27"/>
        <v>2</v>
      </c>
      <c r="AM127" s="63">
        <f t="shared" si="27"/>
        <v>2</v>
      </c>
      <c r="AN127" s="63">
        <f t="shared" si="27"/>
        <v>0</v>
      </c>
      <c r="AO127" s="63">
        <f t="shared" si="27"/>
        <v>2</v>
      </c>
      <c r="AP127" s="63">
        <f t="shared" si="27"/>
        <v>1</v>
      </c>
      <c r="AQ127" s="63">
        <f t="shared" si="27"/>
        <v>2</v>
      </c>
      <c r="AR127" s="63">
        <f t="shared" si="27"/>
        <v>3</v>
      </c>
      <c r="AS127" s="63">
        <f t="shared" si="27"/>
        <v>0</v>
      </c>
      <c r="AT127" s="63">
        <f t="shared" si="27"/>
        <v>5</v>
      </c>
      <c r="AU127" s="63">
        <f t="shared" si="27"/>
        <v>3</v>
      </c>
      <c r="AV127" s="63">
        <f t="shared" si="27"/>
        <v>7</v>
      </c>
      <c r="AW127" s="63">
        <f t="shared" si="27"/>
        <v>1</v>
      </c>
      <c r="AX127" s="63">
        <f t="shared" si="27"/>
        <v>133</v>
      </c>
      <c r="AY127" s="5"/>
      <c r="AZ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5"/>
      <c r="AZ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1.0</v>
      </c>
      <c r="G129" s="74">
        <v>0.0</v>
      </c>
      <c r="H129" s="74">
        <v>2.0</v>
      </c>
      <c r="I129" s="74">
        <v>1.0</v>
      </c>
      <c r="J129" s="74">
        <v>0.0</v>
      </c>
      <c r="K129" s="74">
        <v>1.0</v>
      </c>
      <c r="L129" s="74">
        <v>0.0</v>
      </c>
      <c r="M129" s="74">
        <v>0.0</v>
      </c>
      <c r="N129" s="74">
        <v>1.0</v>
      </c>
      <c r="O129" s="74">
        <v>0.0</v>
      </c>
      <c r="P129" s="74">
        <v>2.0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74">
        <v>0.0</v>
      </c>
      <c r="AC129" s="74">
        <v>0.0</v>
      </c>
      <c r="AD129" s="74">
        <v>0.0</v>
      </c>
      <c r="AE129" s="74">
        <v>0.0</v>
      </c>
      <c r="AF129" s="74">
        <v>1.0</v>
      </c>
      <c r="AG129" s="74">
        <v>0.0</v>
      </c>
      <c r="AH129" s="74">
        <v>1.0</v>
      </c>
      <c r="AI129" s="74">
        <v>0.0</v>
      </c>
      <c r="AJ129" s="74">
        <v>0.0</v>
      </c>
      <c r="AK129" s="74">
        <v>0.0</v>
      </c>
      <c r="AL129" s="74">
        <v>0.0</v>
      </c>
      <c r="AM129" s="74">
        <v>0.0</v>
      </c>
      <c r="AN129" s="74">
        <v>0.0</v>
      </c>
      <c r="AO129" s="74">
        <v>0.0</v>
      </c>
      <c r="AP129" s="74">
        <v>1.0</v>
      </c>
      <c r="AQ129" s="74">
        <v>0.0</v>
      </c>
      <c r="AR129" s="74">
        <v>1.0</v>
      </c>
      <c r="AS129" s="74">
        <v>0.0</v>
      </c>
      <c r="AT129" s="74">
        <v>0.0</v>
      </c>
      <c r="AU129" s="74">
        <v>0.0</v>
      </c>
      <c r="AV129" s="74">
        <v>0.0</v>
      </c>
      <c r="AW129" s="74">
        <v>1.0</v>
      </c>
      <c r="AX129" s="13">
        <f t="shared" ref="AX129:AX138" si="28">SUM(E129:AW129)</f>
        <v>14</v>
      </c>
      <c r="AY129" s="5"/>
      <c r="AZ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3.0</v>
      </c>
      <c r="F130" s="74">
        <v>1.0</v>
      </c>
      <c r="G130" s="74">
        <v>0.0</v>
      </c>
      <c r="H130" s="74">
        <v>1.0</v>
      </c>
      <c r="I130" s="74">
        <v>1.0</v>
      </c>
      <c r="J130" s="74">
        <v>2.0</v>
      </c>
      <c r="K130" s="74">
        <v>0.0</v>
      </c>
      <c r="L130" s="74">
        <v>1.0</v>
      </c>
      <c r="M130" s="74">
        <v>0.0</v>
      </c>
      <c r="N130" s="74">
        <v>1.0</v>
      </c>
      <c r="O130" s="74">
        <v>3.0</v>
      </c>
      <c r="P130" s="74">
        <v>0.0</v>
      </c>
      <c r="Q130" s="74">
        <v>0.0</v>
      </c>
      <c r="R130" s="74">
        <v>0.0</v>
      </c>
      <c r="S130" s="74">
        <v>0.0</v>
      </c>
      <c r="T130" s="74">
        <v>0.0</v>
      </c>
      <c r="U130" s="74">
        <v>0.0</v>
      </c>
      <c r="V130" s="74">
        <v>1.0</v>
      </c>
      <c r="W130" s="74">
        <v>1.0</v>
      </c>
      <c r="X130" s="74">
        <v>1.0</v>
      </c>
      <c r="Y130" s="74">
        <v>0.0</v>
      </c>
      <c r="Z130" s="74">
        <v>1.0</v>
      </c>
      <c r="AA130" s="74">
        <v>0.0</v>
      </c>
      <c r="AB130" s="74">
        <v>3.0</v>
      </c>
      <c r="AC130" s="74">
        <v>0.0</v>
      </c>
      <c r="AD130" s="74">
        <v>0.0</v>
      </c>
      <c r="AE130" s="74">
        <v>0.0</v>
      </c>
      <c r="AF130" s="74">
        <v>1.0</v>
      </c>
      <c r="AG130" s="74">
        <v>0.0</v>
      </c>
      <c r="AH130" s="74">
        <v>1.0</v>
      </c>
      <c r="AI130" s="74">
        <v>0.0</v>
      </c>
      <c r="AJ130" s="74">
        <v>1.0</v>
      </c>
      <c r="AK130" s="74">
        <v>0.0</v>
      </c>
      <c r="AL130" s="74">
        <v>0.0</v>
      </c>
      <c r="AM130" s="74">
        <v>0.0</v>
      </c>
      <c r="AN130" s="74">
        <v>0.0</v>
      </c>
      <c r="AO130" s="74">
        <v>0.0</v>
      </c>
      <c r="AP130" s="74">
        <v>0.0</v>
      </c>
      <c r="AQ130" s="74">
        <v>0.0</v>
      </c>
      <c r="AR130" s="74">
        <v>0.0</v>
      </c>
      <c r="AS130" s="74">
        <v>0.0</v>
      </c>
      <c r="AT130" s="74">
        <v>1.0</v>
      </c>
      <c r="AU130" s="74">
        <v>0.0</v>
      </c>
      <c r="AV130" s="74">
        <v>1.0</v>
      </c>
      <c r="AW130" s="74">
        <v>0.0</v>
      </c>
      <c r="AX130" s="13">
        <f t="shared" si="28"/>
        <v>25</v>
      </c>
      <c r="AY130" s="1"/>
      <c r="AZ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1.0</v>
      </c>
      <c r="J131" s="74">
        <v>1.0</v>
      </c>
      <c r="K131" s="74">
        <v>0.0</v>
      </c>
      <c r="L131" s="74">
        <v>1.0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1.0</v>
      </c>
      <c r="S131" s="74">
        <v>0.0</v>
      </c>
      <c r="T131" s="74">
        <v>0.0</v>
      </c>
      <c r="U131" s="74">
        <v>0.0</v>
      </c>
      <c r="V131" s="74">
        <v>0.0</v>
      </c>
      <c r="W131" s="74">
        <v>1.0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1.0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1.0</v>
      </c>
      <c r="AJ131" s="74">
        <v>1.0</v>
      </c>
      <c r="AK131" s="74">
        <v>0.0</v>
      </c>
      <c r="AL131" s="74">
        <v>0.0</v>
      </c>
      <c r="AM131" s="74">
        <v>0.0</v>
      </c>
      <c r="AN131" s="74">
        <v>0.0</v>
      </c>
      <c r="AO131" s="74">
        <v>0.0</v>
      </c>
      <c r="AP131" s="74">
        <v>0.0</v>
      </c>
      <c r="AQ131" s="74">
        <v>0.0</v>
      </c>
      <c r="AR131" s="74">
        <v>0.0</v>
      </c>
      <c r="AS131" s="74">
        <v>0.0</v>
      </c>
      <c r="AT131" s="74">
        <v>0.0</v>
      </c>
      <c r="AU131" s="74">
        <v>0.0</v>
      </c>
      <c r="AV131" s="74">
        <v>0.0</v>
      </c>
      <c r="AW131" s="74">
        <v>0.0</v>
      </c>
      <c r="AX131" s="13">
        <f t="shared" si="28"/>
        <v>8</v>
      </c>
      <c r="AY131" s="52"/>
      <c r="AZ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1.0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0.0</v>
      </c>
      <c r="AN132" s="74">
        <v>0.0</v>
      </c>
      <c r="AO132" s="74">
        <v>0.0</v>
      </c>
      <c r="AP132" s="74">
        <v>0.0</v>
      </c>
      <c r="AQ132" s="74">
        <v>0.0</v>
      </c>
      <c r="AR132" s="74">
        <v>0.0</v>
      </c>
      <c r="AS132" s="74">
        <v>0.0</v>
      </c>
      <c r="AT132" s="74">
        <v>0.0</v>
      </c>
      <c r="AU132" s="74">
        <v>0.0</v>
      </c>
      <c r="AV132" s="74">
        <v>0.0</v>
      </c>
      <c r="AW132" s="74">
        <v>0.0</v>
      </c>
      <c r="AX132" s="13">
        <f t="shared" si="28"/>
        <v>1</v>
      </c>
      <c r="AY132" s="5"/>
      <c r="AZ132" s="5"/>
    </row>
    <row r="133" ht="12.75" customHeight="1">
      <c r="A133" s="18"/>
      <c r="B133" s="55"/>
      <c r="C133" s="50" t="s">
        <v>107</v>
      </c>
      <c r="D133" s="56"/>
      <c r="E133" s="74">
        <v>1.0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1.0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74">
        <v>0.0</v>
      </c>
      <c r="AL133" s="74">
        <v>0.0</v>
      </c>
      <c r="AM133" s="74">
        <v>0.0</v>
      </c>
      <c r="AN133" s="74">
        <v>0.0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0.0</v>
      </c>
      <c r="AT133" s="74">
        <v>0.0</v>
      </c>
      <c r="AU133" s="74">
        <v>0.0</v>
      </c>
      <c r="AV133" s="74">
        <v>0.0</v>
      </c>
      <c r="AW133" s="74">
        <v>0.0</v>
      </c>
      <c r="AX133" s="13">
        <f t="shared" si="28"/>
        <v>2</v>
      </c>
      <c r="AY133" s="5"/>
      <c r="AZ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1.0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1.0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0.0</v>
      </c>
      <c r="AU134" s="74">
        <v>0.0</v>
      </c>
      <c r="AV134" s="74">
        <v>0.0</v>
      </c>
      <c r="AW134" s="74">
        <v>0.0</v>
      </c>
      <c r="AX134" s="13">
        <f t="shared" si="28"/>
        <v>2</v>
      </c>
      <c r="AY134" s="5"/>
      <c r="AZ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1.0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0.0</v>
      </c>
      <c r="AS135" s="74">
        <v>0.0</v>
      </c>
      <c r="AT135" s="74">
        <v>0.0</v>
      </c>
      <c r="AU135" s="74">
        <v>0.0</v>
      </c>
      <c r="AV135" s="74">
        <v>0.0</v>
      </c>
      <c r="AW135" s="74">
        <v>0.0</v>
      </c>
      <c r="AX135" s="13">
        <f t="shared" si="28"/>
        <v>1</v>
      </c>
      <c r="AY135" s="5"/>
      <c r="AZ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1.0</v>
      </c>
      <c r="H136" s="74">
        <v>0.0</v>
      </c>
      <c r="I136" s="74">
        <v>0.0</v>
      </c>
      <c r="J136" s="74">
        <v>1.0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1.0</v>
      </c>
      <c r="AF136" s="74">
        <v>1.0</v>
      </c>
      <c r="AG136" s="74">
        <v>0.0</v>
      </c>
      <c r="AH136" s="74">
        <v>0.0</v>
      </c>
      <c r="AI136" s="74">
        <v>0.0</v>
      </c>
      <c r="AJ136" s="74">
        <v>0.0</v>
      </c>
      <c r="AK136" s="74">
        <v>0.0</v>
      </c>
      <c r="AL136" s="74">
        <v>0.0</v>
      </c>
      <c r="AM136" s="74">
        <v>0.0</v>
      </c>
      <c r="AN136" s="74">
        <v>0.0</v>
      </c>
      <c r="AO136" s="74">
        <v>0.0</v>
      </c>
      <c r="AP136" s="74">
        <v>0.0</v>
      </c>
      <c r="AQ136" s="74">
        <v>0.0</v>
      </c>
      <c r="AR136" s="74">
        <v>0.0</v>
      </c>
      <c r="AS136" s="74">
        <v>0.0</v>
      </c>
      <c r="AT136" s="74">
        <v>0.0</v>
      </c>
      <c r="AU136" s="74">
        <v>0.0</v>
      </c>
      <c r="AV136" s="74">
        <v>0.0</v>
      </c>
      <c r="AW136" s="74">
        <v>0.0</v>
      </c>
      <c r="AX136" s="13">
        <f t="shared" si="28"/>
        <v>4</v>
      </c>
      <c r="AY136" s="5"/>
      <c r="AZ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0.0</v>
      </c>
      <c r="AJ137" s="74">
        <v>0.0</v>
      </c>
      <c r="AK137" s="74">
        <v>0.0</v>
      </c>
      <c r="AL137" s="74">
        <v>0.0</v>
      </c>
      <c r="AM137" s="74">
        <v>0.0</v>
      </c>
      <c r="AN137" s="74">
        <v>0.0</v>
      </c>
      <c r="AO137" s="74">
        <v>0.0</v>
      </c>
      <c r="AP137" s="74">
        <v>0.0</v>
      </c>
      <c r="AQ137" s="74">
        <v>0.0</v>
      </c>
      <c r="AR137" s="74">
        <v>0.0</v>
      </c>
      <c r="AS137" s="74">
        <v>0.0</v>
      </c>
      <c r="AT137" s="74">
        <v>0.0</v>
      </c>
      <c r="AU137" s="74">
        <v>0.0</v>
      </c>
      <c r="AV137" s="74">
        <v>0.0</v>
      </c>
      <c r="AW137" s="74">
        <v>0.0</v>
      </c>
      <c r="AX137" s="13">
        <f t="shared" si="28"/>
        <v>0</v>
      </c>
      <c r="AY137" s="5"/>
      <c r="AZ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1.0</v>
      </c>
      <c r="AJ138" s="74">
        <v>0.0</v>
      </c>
      <c r="AK138" s="74">
        <v>0.0</v>
      </c>
      <c r="AL138" s="74">
        <v>0.0</v>
      </c>
      <c r="AM138" s="74">
        <v>0.0</v>
      </c>
      <c r="AN138" s="74">
        <v>0.0</v>
      </c>
      <c r="AO138" s="74">
        <v>0.0</v>
      </c>
      <c r="AP138" s="74">
        <v>0.0</v>
      </c>
      <c r="AQ138" s="74">
        <v>0.0</v>
      </c>
      <c r="AR138" s="74">
        <v>0.0</v>
      </c>
      <c r="AS138" s="74">
        <v>0.0</v>
      </c>
      <c r="AT138" s="74">
        <v>0.0</v>
      </c>
      <c r="AU138" s="74">
        <v>0.0</v>
      </c>
      <c r="AV138" s="74">
        <v>0.0</v>
      </c>
      <c r="AW138" s="74">
        <v>0.0</v>
      </c>
      <c r="AX138" s="13">
        <f t="shared" si="28"/>
        <v>1</v>
      </c>
      <c r="AY138" s="5"/>
      <c r="AZ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X139" si="29">SUM(E129:E138)</f>
        <v>5</v>
      </c>
      <c r="F139" s="13">
        <f t="shared" si="29"/>
        <v>2</v>
      </c>
      <c r="G139" s="13">
        <f t="shared" si="29"/>
        <v>1</v>
      </c>
      <c r="H139" s="13">
        <f t="shared" si="29"/>
        <v>3</v>
      </c>
      <c r="I139" s="13">
        <f t="shared" si="29"/>
        <v>4</v>
      </c>
      <c r="J139" s="13">
        <f t="shared" si="29"/>
        <v>4</v>
      </c>
      <c r="K139" s="13">
        <f t="shared" si="29"/>
        <v>1</v>
      </c>
      <c r="L139" s="13">
        <f t="shared" si="29"/>
        <v>2</v>
      </c>
      <c r="M139" s="13">
        <f t="shared" si="29"/>
        <v>0</v>
      </c>
      <c r="N139" s="13">
        <f t="shared" si="29"/>
        <v>3</v>
      </c>
      <c r="O139" s="13">
        <f t="shared" si="29"/>
        <v>3</v>
      </c>
      <c r="P139" s="13">
        <f t="shared" si="29"/>
        <v>2</v>
      </c>
      <c r="Q139" s="13">
        <f t="shared" si="29"/>
        <v>1</v>
      </c>
      <c r="R139" s="13">
        <f t="shared" si="29"/>
        <v>1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1</v>
      </c>
      <c r="W139" s="13">
        <f t="shared" si="29"/>
        <v>2</v>
      </c>
      <c r="X139" s="13">
        <f t="shared" si="29"/>
        <v>2</v>
      </c>
      <c r="Y139" s="13">
        <f t="shared" si="29"/>
        <v>0</v>
      </c>
      <c r="Z139" s="13">
        <f t="shared" si="29"/>
        <v>1</v>
      </c>
      <c r="AA139" s="13">
        <f t="shared" si="29"/>
        <v>0</v>
      </c>
      <c r="AB139" s="13">
        <f t="shared" si="29"/>
        <v>3</v>
      </c>
      <c r="AC139" s="13">
        <f t="shared" si="29"/>
        <v>1</v>
      </c>
      <c r="AD139" s="13">
        <f t="shared" si="29"/>
        <v>0</v>
      </c>
      <c r="AE139" s="13">
        <f t="shared" si="29"/>
        <v>1</v>
      </c>
      <c r="AF139" s="13">
        <f t="shared" si="29"/>
        <v>3</v>
      </c>
      <c r="AG139" s="13">
        <f t="shared" si="29"/>
        <v>0</v>
      </c>
      <c r="AH139" s="13">
        <f t="shared" si="29"/>
        <v>2</v>
      </c>
      <c r="AI139" s="13">
        <f t="shared" si="29"/>
        <v>3</v>
      </c>
      <c r="AJ139" s="13">
        <f t="shared" si="29"/>
        <v>2</v>
      </c>
      <c r="AK139" s="13">
        <f t="shared" si="29"/>
        <v>0</v>
      </c>
      <c r="AL139" s="13">
        <f t="shared" si="29"/>
        <v>0</v>
      </c>
      <c r="AM139" s="13">
        <f t="shared" si="29"/>
        <v>0</v>
      </c>
      <c r="AN139" s="13">
        <f t="shared" si="29"/>
        <v>0</v>
      </c>
      <c r="AO139" s="13">
        <f t="shared" si="29"/>
        <v>0</v>
      </c>
      <c r="AP139" s="13">
        <f t="shared" si="29"/>
        <v>1</v>
      </c>
      <c r="AQ139" s="13">
        <f t="shared" si="29"/>
        <v>0</v>
      </c>
      <c r="AR139" s="13">
        <f t="shared" si="29"/>
        <v>1</v>
      </c>
      <c r="AS139" s="13">
        <f t="shared" si="29"/>
        <v>0</v>
      </c>
      <c r="AT139" s="13">
        <f t="shared" si="29"/>
        <v>1</v>
      </c>
      <c r="AU139" s="13">
        <f t="shared" si="29"/>
        <v>0</v>
      </c>
      <c r="AV139" s="13">
        <f t="shared" si="29"/>
        <v>1</v>
      </c>
      <c r="AW139" s="13">
        <f t="shared" si="29"/>
        <v>1</v>
      </c>
      <c r="AX139" s="13">
        <f t="shared" si="29"/>
        <v>58</v>
      </c>
      <c r="AY139" s="5"/>
      <c r="AZ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5"/>
      <c r="AZ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1.0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1.0</v>
      </c>
      <c r="AH141" s="74">
        <v>0.0</v>
      </c>
      <c r="AI141" s="74">
        <v>0.0</v>
      </c>
      <c r="AJ141" s="74">
        <v>0.0</v>
      </c>
      <c r="AK141" s="74">
        <v>0.0</v>
      </c>
      <c r="AL141" s="74">
        <v>1.0</v>
      </c>
      <c r="AM141" s="74">
        <v>0.0</v>
      </c>
      <c r="AN141" s="74">
        <v>0.0</v>
      </c>
      <c r="AO141" s="74">
        <v>0.0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74">
        <v>0.0</v>
      </c>
      <c r="AV141" s="74">
        <v>0.0</v>
      </c>
      <c r="AW141" s="74">
        <v>0.0</v>
      </c>
      <c r="AX141" s="13">
        <f t="shared" ref="AX141:AX144" si="30">SUM(E141:AW141)</f>
        <v>3</v>
      </c>
      <c r="AY141" s="1"/>
      <c r="AZ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1.0</v>
      </c>
      <c r="G142" s="74">
        <v>0.0</v>
      </c>
      <c r="H142" s="74">
        <v>0.0</v>
      </c>
      <c r="I142" s="74">
        <v>0.0</v>
      </c>
      <c r="J142" s="74">
        <v>0.0</v>
      </c>
      <c r="K142" s="74">
        <v>1.0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1.0</v>
      </c>
      <c r="AO142" s="74">
        <v>0.0</v>
      </c>
      <c r="AP142" s="74">
        <v>0.0</v>
      </c>
      <c r="AQ142" s="74">
        <v>0.0</v>
      </c>
      <c r="AR142" s="74">
        <v>0.0</v>
      </c>
      <c r="AS142" s="74">
        <v>0.0</v>
      </c>
      <c r="AT142" s="74">
        <v>0.0</v>
      </c>
      <c r="AU142" s="74">
        <v>0.0</v>
      </c>
      <c r="AV142" s="74">
        <v>0.0</v>
      </c>
      <c r="AW142" s="74">
        <v>0.0</v>
      </c>
      <c r="AX142" s="13">
        <f t="shared" si="30"/>
        <v>3</v>
      </c>
      <c r="AY142" s="52"/>
      <c r="AZ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1.0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1.0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74">
        <v>0.0</v>
      </c>
      <c r="AV143" s="74">
        <v>0.0</v>
      </c>
      <c r="AW143" s="74">
        <v>0.0</v>
      </c>
      <c r="AX143" s="13">
        <f t="shared" si="30"/>
        <v>2</v>
      </c>
      <c r="AY143" s="5"/>
      <c r="AZ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1.0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74">
        <v>0.0</v>
      </c>
      <c r="AL144" s="74">
        <v>0.0</v>
      </c>
      <c r="AM144" s="74">
        <v>0.0</v>
      </c>
      <c r="AN144" s="74">
        <v>0.0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74">
        <v>0.0</v>
      </c>
      <c r="AV144" s="74">
        <v>0.0</v>
      </c>
      <c r="AW144" s="74">
        <v>0.0</v>
      </c>
      <c r="AX144" s="13">
        <f t="shared" si="30"/>
        <v>1</v>
      </c>
      <c r="AY144" s="5"/>
      <c r="AZ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81"/>
      <c r="AY145" s="5"/>
      <c r="AZ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81"/>
      <c r="AY146" s="5"/>
      <c r="AZ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81"/>
      <c r="AY147" s="5"/>
      <c r="AZ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81"/>
      <c r="AY148" s="5"/>
      <c r="AZ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81"/>
      <c r="AY149" s="5"/>
      <c r="AZ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81"/>
      <c r="AY150" s="5"/>
      <c r="AZ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X151" si="31">SUM(E141:E150)</f>
        <v>0</v>
      </c>
      <c r="F151" s="13">
        <f t="shared" si="31"/>
        <v>2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1</v>
      </c>
      <c r="AM151" s="13">
        <f t="shared" si="31"/>
        <v>0</v>
      </c>
      <c r="AN151" s="13">
        <f t="shared" si="31"/>
        <v>1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9</v>
      </c>
      <c r="AY151" s="1"/>
      <c r="AZ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13"/>
      <c r="AY152" s="52"/>
      <c r="AZ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1.0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1.0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1.0</v>
      </c>
      <c r="AN153" s="74">
        <v>1.0</v>
      </c>
      <c r="AO153" s="74">
        <v>0.0</v>
      </c>
      <c r="AP153" s="74">
        <v>0.0</v>
      </c>
      <c r="AQ153" s="74">
        <v>1.0</v>
      </c>
      <c r="AR153" s="74">
        <v>0.0</v>
      </c>
      <c r="AS153" s="74">
        <v>0.0</v>
      </c>
      <c r="AT153" s="74">
        <v>0.0</v>
      </c>
      <c r="AU153" s="74">
        <v>0.0</v>
      </c>
      <c r="AV153" s="74">
        <v>1.0</v>
      </c>
      <c r="AW153" s="74">
        <v>1.0</v>
      </c>
      <c r="AX153" s="13">
        <f t="shared" ref="AX153:AX163" si="32">SUM(E153:AW153)</f>
        <v>8</v>
      </c>
      <c r="AY153" s="5"/>
      <c r="AZ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1.0</v>
      </c>
      <c r="I154" s="74">
        <v>1.0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1.0</v>
      </c>
      <c r="AD154" s="74">
        <v>0.0</v>
      </c>
      <c r="AE154" s="74">
        <v>0.0</v>
      </c>
      <c r="AF154" s="74">
        <v>2.0</v>
      </c>
      <c r="AG154" s="74">
        <v>1.0</v>
      </c>
      <c r="AH154" s="74">
        <v>0.0</v>
      </c>
      <c r="AI154" s="74">
        <v>1.0</v>
      </c>
      <c r="AJ154" s="74">
        <v>0.0</v>
      </c>
      <c r="AK154" s="74">
        <v>0.0</v>
      </c>
      <c r="AL154" s="74">
        <v>0.0</v>
      </c>
      <c r="AM154" s="74">
        <v>0.0</v>
      </c>
      <c r="AN154" s="74">
        <v>1.0</v>
      </c>
      <c r="AO154" s="74">
        <v>1.0</v>
      </c>
      <c r="AP154" s="74">
        <v>0.0</v>
      </c>
      <c r="AQ154" s="74">
        <v>0.0</v>
      </c>
      <c r="AR154" s="74">
        <v>0.0</v>
      </c>
      <c r="AS154" s="74">
        <v>0.0</v>
      </c>
      <c r="AT154" s="74">
        <v>0.0</v>
      </c>
      <c r="AU154" s="74">
        <v>0.0</v>
      </c>
      <c r="AV154" s="74">
        <v>0.0</v>
      </c>
      <c r="AW154" s="74">
        <v>0.0</v>
      </c>
      <c r="AX154" s="13">
        <f t="shared" si="32"/>
        <v>9</v>
      </c>
      <c r="AY154" s="5"/>
      <c r="AZ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1.0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0.0</v>
      </c>
      <c r="AN155" s="74">
        <v>0.0</v>
      </c>
      <c r="AO155" s="74">
        <v>0.0</v>
      </c>
      <c r="AP155" s="74">
        <v>0.0</v>
      </c>
      <c r="AQ155" s="74">
        <v>0.0</v>
      </c>
      <c r="AR155" s="74">
        <v>1.0</v>
      </c>
      <c r="AS155" s="74">
        <v>0.0</v>
      </c>
      <c r="AT155" s="74">
        <v>0.0</v>
      </c>
      <c r="AU155" s="74">
        <v>0.0</v>
      </c>
      <c r="AV155" s="74">
        <v>0.0</v>
      </c>
      <c r="AW155" s="74">
        <v>0.0</v>
      </c>
      <c r="AX155" s="13">
        <f t="shared" si="32"/>
        <v>2</v>
      </c>
      <c r="AY155" s="5"/>
      <c r="AZ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1.0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1.0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74">
        <v>0.0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0.0</v>
      </c>
      <c r="AS156" s="74">
        <v>0.0</v>
      </c>
      <c r="AT156" s="74">
        <v>0.0</v>
      </c>
      <c r="AU156" s="74">
        <v>0.0</v>
      </c>
      <c r="AV156" s="74">
        <v>0.0</v>
      </c>
      <c r="AW156" s="74">
        <v>0.0</v>
      </c>
      <c r="AX156" s="13">
        <f t="shared" si="32"/>
        <v>2</v>
      </c>
      <c r="AY156" s="5"/>
      <c r="AZ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1.0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0.0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0.0</v>
      </c>
      <c r="AT157" s="74">
        <v>0.0</v>
      </c>
      <c r="AU157" s="74">
        <v>0.0</v>
      </c>
      <c r="AV157" s="74">
        <v>0.0</v>
      </c>
      <c r="AW157" s="74">
        <v>0.0</v>
      </c>
      <c r="AX157" s="13">
        <f t="shared" si="32"/>
        <v>1</v>
      </c>
      <c r="AY157" s="5"/>
      <c r="AZ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74">
        <v>0.0</v>
      </c>
      <c r="AV158" s="74">
        <v>0.0</v>
      </c>
      <c r="AW158" s="74">
        <v>0.0</v>
      </c>
      <c r="AX158" s="13">
        <f t="shared" si="32"/>
        <v>0</v>
      </c>
      <c r="AY158" s="5"/>
      <c r="AZ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1.0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74">
        <v>0.0</v>
      </c>
      <c r="AV159" s="74">
        <v>0.0</v>
      </c>
      <c r="AW159" s="74">
        <v>0.0</v>
      </c>
      <c r="AX159" s="13">
        <f t="shared" si="32"/>
        <v>1</v>
      </c>
      <c r="AY159" s="5"/>
      <c r="AZ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1.0</v>
      </c>
      <c r="G160" s="74">
        <v>0.0</v>
      </c>
      <c r="H160" s="74">
        <v>1.0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1.0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74">
        <v>0.0</v>
      </c>
      <c r="AL160" s="74">
        <v>0.0</v>
      </c>
      <c r="AM160" s="74">
        <v>0.0</v>
      </c>
      <c r="AN160" s="74">
        <v>0.0</v>
      </c>
      <c r="AO160" s="74">
        <v>0.0</v>
      </c>
      <c r="AP160" s="74">
        <v>0.0</v>
      </c>
      <c r="AQ160" s="74">
        <v>0.0</v>
      </c>
      <c r="AR160" s="74">
        <v>0.0</v>
      </c>
      <c r="AS160" s="74">
        <v>0.0</v>
      </c>
      <c r="AT160" s="74">
        <v>0.0</v>
      </c>
      <c r="AU160" s="74">
        <v>0.0</v>
      </c>
      <c r="AV160" s="74">
        <v>0.0</v>
      </c>
      <c r="AW160" s="74">
        <v>0.0</v>
      </c>
      <c r="AX160" s="13">
        <f t="shared" si="32"/>
        <v>3</v>
      </c>
      <c r="AY160" s="5"/>
      <c r="AZ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3">
        <f t="shared" si="32"/>
        <v>0</v>
      </c>
      <c r="AY161" s="5"/>
      <c r="AZ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3">
        <f t="shared" si="32"/>
        <v>0</v>
      </c>
      <c r="AY162" s="5"/>
      <c r="AZ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W163" si="33">SUM(E153:E162)</f>
        <v>0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0</v>
      </c>
      <c r="K163" s="13">
        <f t="shared" si="33"/>
        <v>2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2</v>
      </c>
      <c r="AD163" s="13">
        <f t="shared" si="33"/>
        <v>1</v>
      </c>
      <c r="AE163" s="13">
        <f t="shared" si="33"/>
        <v>0</v>
      </c>
      <c r="AF163" s="13">
        <f t="shared" si="33"/>
        <v>3</v>
      </c>
      <c r="AG163" s="13">
        <f t="shared" si="33"/>
        <v>1</v>
      </c>
      <c r="AH163" s="13">
        <f t="shared" si="33"/>
        <v>1</v>
      </c>
      <c r="AI163" s="13">
        <f t="shared" si="33"/>
        <v>1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1</v>
      </c>
      <c r="AN163" s="13">
        <f t="shared" si="33"/>
        <v>2</v>
      </c>
      <c r="AO163" s="13">
        <f t="shared" si="33"/>
        <v>1</v>
      </c>
      <c r="AP163" s="13">
        <f t="shared" si="33"/>
        <v>0</v>
      </c>
      <c r="AQ163" s="13">
        <f t="shared" si="33"/>
        <v>1</v>
      </c>
      <c r="AR163" s="13">
        <f t="shared" si="33"/>
        <v>1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1</v>
      </c>
      <c r="AW163" s="13">
        <f t="shared" si="33"/>
        <v>1</v>
      </c>
      <c r="AX163" s="13">
        <f t="shared" si="32"/>
        <v>26</v>
      </c>
      <c r="AY163" s="5"/>
      <c r="AZ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13"/>
      <c r="AY164" s="5"/>
      <c r="AZ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91">
        <v>1.0</v>
      </c>
      <c r="F165" s="91">
        <v>0.0</v>
      </c>
      <c r="G165" s="91">
        <v>0.0</v>
      </c>
      <c r="H165" s="91">
        <v>0.0</v>
      </c>
      <c r="I165" s="91">
        <v>0.0</v>
      </c>
      <c r="J165" s="91">
        <v>0.0</v>
      </c>
      <c r="K165" s="91">
        <v>0.0</v>
      </c>
      <c r="L165" s="91">
        <v>0.0</v>
      </c>
      <c r="M165" s="92">
        <v>2.0</v>
      </c>
      <c r="N165" s="91">
        <v>0.0</v>
      </c>
      <c r="O165" s="91">
        <v>0.0</v>
      </c>
      <c r="P165" s="91">
        <v>0.0</v>
      </c>
      <c r="Q165" s="91">
        <v>1.0</v>
      </c>
      <c r="R165" s="91">
        <v>0.0</v>
      </c>
      <c r="S165" s="91">
        <v>1.0</v>
      </c>
      <c r="T165" s="74">
        <v>0.0</v>
      </c>
      <c r="U165" s="74">
        <v>1.0</v>
      </c>
      <c r="V165" s="74">
        <v>0.0</v>
      </c>
      <c r="W165" s="74">
        <v>0.0</v>
      </c>
      <c r="X165" s="74">
        <v>0.0</v>
      </c>
      <c r="Y165" s="74">
        <v>0.0</v>
      </c>
      <c r="Z165" s="74">
        <v>1.0</v>
      </c>
      <c r="AA165" s="74">
        <v>1.0</v>
      </c>
      <c r="AB165" s="74">
        <v>0.0</v>
      </c>
      <c r="AC165" s="74">
        <v>0.0</v>
      </c>
      <c r="AD165" s="74">
        <v>1.0</v>
      </c>
      <c r="AE165" s="74">
        <v>1.0</v>
      </c>
      <c r="AF165" s="74">
        <v>0.0</v>
      </c>
      <c r="AG165" s="74">
        <v>0.0</v>
      </c>
      <c r="AH165" s="74">
        <v>0.0</v>
      </c>
      <c r="AI165" s="74">
        <v>0.0</v>
      </c>
      <c r="AJ165" s="74">
        <v>0.0</v>
      </c>
      <c r="AK165" s="74">
        <v>1.0</v>
      </c>
      <c r="AL165" s="74">
        <v>0.0</v>
      </c>
      <c r="AM165" s="74">
        <v>0.0</v>
      </c>
      <c r="AN165" s="74">
        <v>0.0</v>
      </c>
      <c r="AO165" s="74">
        <v>2.0</v>
      </c>
      <c r="AP165" s="74">
        <v>0.0</v>
      </c>
      <c r="AQ165" s="74">
        <v>0.0</v>
      </c>
      <c r="AR165" s="74">
        <v>0.0</v>
      </c>
      <c r="AS165" s="74">
        <v>0.0</v>
      </c>
      <c r="AT165" s="74">
        <v>0.0</v>
      </c>
      <c r="AU165" s="74">
        <v>0.0</v>
      </c>
      <c r="AV165" s="74">
        <v>0.0</v>
      </c>
      <c r="AW165" s="74">
        <v>0.0</v>
      </c>
      <c r="AX165" s="13">
        <f t="shared" ref="AX165:AX166" si="34">SUM(E165:AW165)</f>
        <v>13</v>
      </c>
      <c r="AY165" s="1"/>
      <c r="AZ165" s="1"/>
    </row>
    <row r="166" ht="12.75" customHeight="1">
      <c r="A166" s="30" t="s">
        <v>39</v>
      </c>
      <c r="B166" s="55"/>
      <c r="C166" s="50" t="s">
        <v>129</v>
      </c>
      <c r="D166" s="57"/>
      <c r="E166" s="91">
        <v>2.0</v>
      </c>
      <c r="F166" s="91">
        <v>0.0</v>
      </c>
      <c r="G166" s="91">
        <v>1.0</v>
      </c>
      <c r="H166" s="91">
        <v>0.0</v>
      </c>
      <c r="I166" s="91">
        <v>1.0</v>
      </c>
      <c r="J166" s="91">
        <v>1.0</v>
      </c>
      <c r="K166" s="91">
        <v>1.0</v>
      </c>
      <c r="L166" s="91">
        <v>1.0</v>
      </c>
      <c r="M166" s="91">
        <v>1.0</v>
      </c>
      <c r="N166" s="91">
        <v>0.0</v>
      </c>
      <c r="O166" s="91">
        <v>0.0</v>
      </c>
      <c r="P166" s="92">
        <v>2.0</v>
      </c>
      <c r="Q166" s="91">
        <v>1.0</v>
      </c>
      <c r="R166" s="91">
        <v>0.0</v>
      </c>
      <c r="S166" s="91">
        <v>1.0</v>
      </c>
      <c r="T166" s="74">
        <v>0.0</v>
      </c>
      <c r="U166" s="74">
        <v>0.0</v>
      </c>
      <c r="V166" s="74">
        <v>1.0</v>
      </c>
      <c r="W166" s="74">
        <v>1.0</v>
      </c>
      <c r="X166" s="74">
        <v>0.0</v>
      </c>
      <c r="Y166" s="74">
        <v>1.0</v>
      </c>
      <c r="Z166" s="74">
        <v>0.0</v>
      </c>
      <c r="AA166" s="74">
        <v>0.0</v>
      </c>
      <c r="AB166" s="74">
        <v>2.0</v>
      </c>
      <c r="AC166" s="74">
        <v>1.0</v>
      </c>
      <c r="AD166" s="74">
        <v>2.0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1.0</v>
      </c>
      <c r="AJ166" s="74">
        <v>0.0</v>
      </c>
      <c r="AK166" s="74">
        <v>0.0</v>
      </c>
      <c r="AL166" s="74">
        <v>1.0</v>
      </c>
      <c r="AM166" s="74">
        <v>0.0</v>
      </c>
      <c r="AN166" s="74">
        <v>0.0</v>
      </c>
      <c r="AO166" s="74">
        <v>0.0</v>
      </c>
      <c r="AP166" s="74">
        <v>0.0</v>
      </c>
      <c r="AQ166" s="74">
        <v>1.0</v>
      </c>
      <c r="AR166" s="74">
        <v>2.0</v>
      </c>
      <c r="AS166" s="74">
        <v>0.0</v>
      </c>
      <c r="AT166" s="74">
        <v>0.0</v>
      </c>
      <c r="AU166" s="74">
        <v>0.0</v>
      </c>
      <c r="AV166" s="74">
        <v>0.0</v>
      </c>
      <c r="AW166" s="74">
        <v>0.0</v>
      </c>
      <c r="AX166" s="13">
        <f t="shared" si="34"/>
        <v>25</v>
      </c>
      <c r="AY166" s="52"/>
      <c r="AZ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81"/>
      <c r="AY167" s="5"/>
      <c r="AZ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81"/>
      <c r="AY168" s="5"/>
      <c r="AZ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81"/>
      <c r="AY169" s="5"/>
      <c r="AZ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81"/>
      <c r="AY170" s="5"/>
      <c r="AZ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81"/>
      <c r="AY171" s="5"/>
      <c r="AZ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81"/>
      <c r="AY172" s="5"/>
      <c r="AZ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81"/>
      <c r="AY173" s="5"/>
      <c r="AZ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81"/>
      <c r="AY174" s="5"/>
      <c r="AZ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W175" si="35">SUM(E165:E172)</f>
        <v>3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1</v>
      </c>
      <c r="M175" s="13">
        <f t="shared" si="35"/>
        <v>3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2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1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1</v>
      </c>
      <c r="AB175" s="13">
        <f t="shared" si="35"/>
        <v>2</v>
      </c>
      <c r="AC175" s="13">
        <f t="shared" si="35"/>
        <v>1</v>
      </c>
      <c r="AD175" s="13">
        <f t="shared" si="35"/>
        <v>3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0</v>
      </c>
      <c r="AK175" s="13">
        <f t="shared" si="35"/>
        <v>1</v>
      </c>
      <c r="AL175" s="13">
        <f t="shared" si="35"/>
        <v>1</v>
      </c>
      <c r="AM175" s="13">
        <f t="shared" si="35"/>
        <v>0</v>
      </c>
      <c r="AN175" s="13">
        <f t="shared" si="35"/>
        <v>0</v>
      </c>
      <c r="AO175" s="13">
        <f t="shared" si="35"/>
        <v>2</v>
      </c>
      <c r="AP175" s="13">
        <f t="shared" si="35"/>
        <v>0</v>
      </c>
      <c r="AQ175" s="13">
        <f t="shared" si="35"/>
        <v>1</v>
      </c>
      <c r="AR175" s="13">
        <f t="shared" si="35"/>
        <v>2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0</v>
      </c>
      <c r="AW175" s="13">
        <f t="shared" si="35"/>
        <v>0</v>
      </c>
      <c r="AX175" s="13">
        <f>SUM(E175:AW175)</f>
        <v>38</v>
      </c>
      <c r="AY175" s="5"/>
      <c r="AZ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1"/>
      <c r="AZ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91">
        <v>0.0</v>
      </c>
      <c r="F177" s="91">
        <v>1.0</v>
      </c>
      <c r="G177" s="91">
        <v>0.0</v>
      </c>
      <c r="H177" s="91">
        <v>2.0</v>
      </c>
      <c r="I177" s="91">
        <v>1.0</v>
      </c>
      <c r="J177" s="91">
        <v>0.0</v>
      </c>
      <c r="K177" s="91">
        <v>2.0</v>
      </c>
      <c r="L177" s="91">
        <v>1.0</v>
      </c>
      <c r="M177" s="91">
        <v>0.0</v>
      </c>
      <c r="N177" s="91">
        <v>0.0</v>
      </c>
      <c r="O177" s="91">
        <v>1.0</v>
      </c>
      <c r="P177" s="91">
        <v>1.0</v>
      </c>
      <c r="Q177" s="91">
        <v>1.0</v>
      </c>
      <c r="R177" s="92">
        <v>2.0</v>
      </c>
      <c r="S177" s="91">
        <v>1.0</v>
      </c>
      <c r="T177" s="74">
        <v>2.0</v>
      </c>
      <c r="U177" s="74">
        <v>0.0</v>
      </c>
      <c r="V177" s="74">
        <v>1.0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1.0</v>
      </c>
      <c r="AB177" s="74">
        <v>1.0</v>
      </c>
      <c r="AC177" s="74">
        <v>0.0</v>
      </c>
      <c r="AD177" s="74">
        <v>0.0</v>
      </c>
      <c r="AE177" s="74">
        <v>4.0</v>
      </c>
      <c r="AF177" s="74">
        <v>2.0</v>
      </c>
      <c r="AG177" s="74">
        <v>2.0</v>
      </c>
      <c r="AH177" s="74">
        <v>2.0</v>
      </c>
      <c r="AI177" s="74">
        <v>1.0</v>
      </c>
      <c r="AJ177" s="74">
        <v>0.0</v>
      </c>
      <c r="AK177" s="74">
        <v>0.0</v>
      </c>
      <c r="AL177" s="74">
        <v>0.0</v>
      </c>
      <c r="AM177" s="74">
        <v>1.0</v>
      </c>
      <c r="AN177" s="74">
        <v>1.0</v>
      </c>
      <c r="AO177" s="74">
        <v>1.0</v>
      </c>
      <c r="AP177" s="74">
        <v>0.0</v>
      </c>
      <c r="AQ177" s="74">
        <v>0.0</v>
      </c>
      <c r="AR177" s="74">
        <v>0.0</v>
      </c>
      <c r="AS177" s="74">
        <v>0.0</v>
      </c>
      <c r="AT177" s="74">
        <v>0.0</v>
      </c>
      <c r="AU177" s="74">
        <v>1.0</v>
      </c>
      <c r="AV177" s="74">
        <v>0.0</v>
      </c>
      <c r="AW177" s="74">
        <v>3.0</v>
      </c>
      <c r="AX177" s="13">
        <f t="shared" ref="AX177:AX186" si="36">SUM(E177:AW177)</f>
        <v>36</v>
      </c>
    </row>
    <row r="178" ht="12.75" customHeight="1">
      <c r="A178" s="30" t="s">
        <v>39</v>
      </c>
      <c r="B178" s="55"/>
      <c r="C178" s="50" t="s">
        <v>132</v>
      </c>
      <c r="D178" s="57"/>
      <c r="E178" s="91">
        <v>1.0</v>
      </c>
      <c r="F178" s="91">
        <v>0.0</v>
      </c>
      <c r="G178" s="91">
        <v>0.0</v>
      </c>
      <c r="H178" s="91">
        <v>0.0</v>
      </c>
      <c r="I178" s="92">
        <v>0.0</v>
      </c>
      <c r="J178" s="91">
        <v>2.0</v>
      </c>
      <c r="K178" s="91">
        <v>1.0</v>
      </c>
      <c r="L178" s="91">
        <v>0.0</v>
      </c>
      <c r="M178" s="92">
        <v>0.0</v>
      </c>
      <c r="N178" s="91">
        <v>1.0</v>
      </c>
      <c r="O178" s="91">
        <v>1.0</v>
      </c>
      <c r="P178" s="91">
        <v>0.0</v>
      </c>
      <c r="Q178" s="91">
        <v>1.0</v>
      </c>
      <c r="R178" s="91">
        <v>0.0</v>
      </c>
      <c r="S178" s="91">
        <v>0.0</v>
      </c>
      <c r="T178" s="74">
        <v>1.0</v>
      </c>
      <c r="U178" s="74">
        <v>1.0</v>
      </c>
      <c r="V178" s="74">
        <v>1.0</v>
      </c>
      <c r="W178" s="74">
        <v>5.0</v>
      </c>
      <c r="X178" s="74">
        <v>0.0</v>
      </c>
      <c r="Y178" s="74">
        <v>0.0</v>
      </c>
      <c r="Z178" s="74">
        <v>0.0</v>
      </c>
      <c r="AA178" s="74">
        <v>1.0</v>
      </c>
      <c r="AB178" s="74">
        <v>0.0</v>
      </c>
      <c r="AC178" s="74">
        <v>1.0</v>
      </c>
      <c r="AD178" s="74">
        <v>0.0</v>
      </c>
      <c r="AE178" s="74">
        <v>1.0</v>
      </c>
      <c r="AF178" s="74">
        <v>1.0</v>
      </c>
      <c r="AG178" s="74">
        <v>0.0</v>
      </c>
      <c r="AH178" s="74">
        <v>1.0</v>
      </c>
      <c r="AI178" s="74">
        <v>2.0</v>
      </c>
      <c r="AJ178" s="74">
        <v>0.0</v>
      </c>
      <c r="AK178" s="74">
        <v>0.0</v>
      </c>
      <c r="AL178" s="74">
        <v>1.0</v>
      </c>
      <c r="AM178" s="74">
        <v>1.0</v>
      </c>
      <c r="AN178" s="74">
        <v>0.0</v>
      </c>
      <c r="AO178" s="74">
        <v>0.0</v>
      </c>
      <c r="AP178" s="74">
        <v>2.0</v>
      </c>
      <c r="AQ178" s="74">
        <v>0.0</v>
      </c>
      <c r="AR178" s="74">
        <v>0.0</v>
      </c>
      <c r="AS178" s="74">
        <v>0.0</v>
      </c>
      <c r="AT178" s="74">
        <v>0.0</v>
      </c>
      <c r="AU178" s="74">
        <v>0.0</v>
      </c>
      <c r="AV178" s="74">
        <v>1.0</v>
      </c>
      <c r="AW178" s="74">
        <v>2.0</v>
      </c>
      <c r="AX178" s="13">
        <f t="shared" si="36"/>
        <v>29</v>
      </c>
      <c r="AY178" s="5"/>
      <c r="AZ178" s="5"/>
    </row>
    <row r="179" ht="12.75" customHeight="1">
      <c r="A179" s="18"/>
      <c r="B179" s="55"/>
      <c r="C179" s="50" t="s">
        <v>133</v>
      </c>
      <c r="D179" s="57"/>
      <c r="E179" s="91">
        <v>1.0</v>
      </c>
      <c r="F179" s="91">
        <v>0.0</v>
      </c>
      <c r="G179" s="91">
        <v>0.0</v>
      </c>
      <c r="H179" s="91">
        <v>0.0</v>
      </c>
      <c r="I179" s="91">
        <v>1.0</v>
      </c>
      <c r="J179" s="91">
        <v>1.0</v>
      </c>
      <c r="K179" s="91">
        <v>0.0</v>
      </c>
      <c r="L179" s="91">
        <v>0.0</v>
      </c>
      <c r="M179" s="91">
        <v>0.0</v>
      </c>
      <c r="N179" s="91">
        <v>2.0</v>
      </c>
      <c r="O179" s="91">
        <v>0.0</v>
      </c>
      <c r="P179" s="91">
        <v>0.0</v>
      </c>
      <c r="Q179" s="91">
        <v>1.0</v>
      </c>
      <c r="R179" s="91">
        <v>0.0</v>
      </c>
      <c r="S179" s="91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1.0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1.0</v>
      </c>
      <c r="AI179" s="74">
        <v>0.0</v>
      </c>
      <c r="AJ179" s="74">
        <v>0.0</v>
      </c>
      <c r="AK179" s="74">
        <v>0.0</v>
      </c>
      <c r="AL179" s="74">
        <v>1.0</v>
      </c>
      <c r="AM179" s="74">
        <v>0.0</v>
      </c>
      <c r="AN179" s="74">
        <v>0.0</v>
      </c>
      <c r="AO179" s="74">
        <v>0.0</v>
      </c>
      <c r="AP179" s="74">
        <v>0.0</v>
      </c>
      <c r="AQ179" s="74">
        <v>0.0</v>
      </c>
      <c r="AR179" s="74">
        <v>0.0</v>
      </c>
      <c r="AS179" s="74">
        <v>0.0</v>
      </c>
      <c r="AT179" s="74">
        <v>0.0</v>
      </c>
      <c r="AU179" s="74">
        <v>1.0</v>
      </c>
      <c r="AV179" s="74">
        <v>0.0</v>
      </c>
      <c r="AW179" s="74">
        <v>0.0</v>
      </c>
      <c r="AX179" s="13">
        <f t="shared" si="36"/>
        <v>10</v>
      </c>
      <c r="AY179" s="5"/>
      <c r="AZ179" s="5"/>
    </row>
    <row r="180" ht="12.75" customHeight="1">
      <c r="A180" s="18"/>
      <c r="B180" s="55"/>
      <c r="C180" s="50" t="s">
        <v>134</v>
      </c>
      <c r="D180" s="57"/>
      <c r="E180" s="91">
        <v>0.0</v>
      </c>
      <c r="F180" s="91">
        <v>1.0</v>
      </c>
      <c r="G180" s="91">
        <v>1.0</v>
      </c>
      <c r="H180" s="91">
        <v>0.0</v>
      </c>
      <c r="I180" s="92">
        <v>1.0</v>
      </c>
      <c r="J180" s="92">
        <v>0.0</v>
      </c>
      <c r="K180" s="91">
        <v>1.0</v>
      </c>
      <c r="L180" s="91">
        <v>1.0</v>
      </c>
      <c r="M180" s="91">
        <v>0.0</v>
      </c>
      <c r="N180" s="91">
        <v>0.0</v>
      </c>
      <c r="O180" s="91">
        <v>1.0</v>
      </c>
      <c r="P180" s="92">
        <v>0.0</v>
      </c>
      <c r="Q180" s="91">
        <v>0.0</v>
      </c>
      <c r="R180" s="91">
        <v>1.0</v>
      </c>
      <c r="S180" s="91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0.0</v>
      </c>
      <c r="AE180" s="74">
        <v>0.0</v>
      </c>
      <c r="AF180" s="74">
        <v>1.0</v>
      </c>
      <c r="AG180" s="74">
        <v>0.0</v>
      </c>
      <c r="AH180" s="74">
        <v>1.0</v>
      </c>
      <c r="AI180" s="74">
        <v>0.0</v>
      </c>
      <c r="AJ180" s="74">
        <v>0.0</v>
      </c>
      <c r="AK180" s="74">
        <v>0.0</v>
      </c>
      <c r="AL180" s="74">
        <v>0.0</v>
      </c>
      <c r="AM180" s="74">
        <v>0.0</v>
      </c>
      <c r="AN180" s="74">
        <v>0.0</v>
      </c>
      <c r="AO180" s="74">
        <v>0.0</v>
      </c>
      <c r="AP180" s="74">
        <v>0.0</v>
      </c>
      <c r="AQ180" s="74">
        <v>0.0</v>
      </c>
      <c r="AR180" s="74">
        <v>0.0</v>
      </c>
      <c r="AS180" s="74">
        <v>0.0</v>
      </c>
      <c r="AT180" s="74">
        <v>0.0</v>
      </c>
      <c r="AU180" s="74">
        <v>0.0</v>
      </c>
      <c r="AV180" s="74">
        <v>0.0</v>
      </c>
      <c r="AW180" s="74">
        <v>1.0</v>
      </c>
      <c r="AX180" s="13">
        <f t="shared" si="36"/>
        <v>10</v>
      </c>
      <c r="AY180" s="5"/>
      <c r="AZ180" s="5"/>
    </row>
    <row r="181" ht="12.75" customHeight="1">
      <c r="A181" s="18"/>
      <c r="B181" s="55"/>
      <c r="C181" s="50" t="s">
        <v>135</v>
      </c>
      <c r="D181" s="57"/>
      <c r="E181" s="92">
        <v>4.0</v>
      </c>
      <c r="F181" s="91">
        <v>0.0</v>
      </c>
      <c r="G181" s="91">
        <v>0.0</v>
      </c>
      <c r="H181" s="91">
        <v>1.0</v>
      </c>
      <c r="I181" s="91">
        <v>1.0</v>
      </c>
      <c r="J181" s="91">
        <v>0.0</v>
      </c>
      <c r="K181" s="91">
        <v>1.0</v>
      </c>
      <c r="L181" s="91">
        <v>1.0</v>
      </c>
      <c r="M181" s="91">
        <v>0.0</v>
      </c>
      <c r="N181" s="91">
        <v>0.0</v>
      </c>
      <c r="O181" s="91">
        <v>0.0</v>
      </c>
      <c r="P181" s="91">
        <v>0.0</v>
      </c>
      <c r="Q181" s="91">
        <v>0.0</v>
      </c>
      <c r="R181" s="91">
        <v>0.0</v>
      </c>
      <c r="S181" s="91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74">
        <v>0.0</v>
      </c>
      <c r="AL181" s="74">
        <v>0.0</v>
      </c>
      <c r="AM181" s="74">
        <v>0.0</v>
      </c>
      <c r="AN181" s="74">
        <v>0.0</v>
      </c>
      <c r="AO181" s="74">
        <v>0.0</v>
      </c>
      <c r="AP181" s="74">
        <v>0.0</v>
      </c>
      <c r="AQ181" s="74">
        <v>2.0</v>
      </c>
      <c r="AR181" s="74">
        <v>0.0</v>
      </c>
      <c r="AS181" s="74">
        <v>1.0</v>
      </c>
      <c r="AT181" s="74">
        <v>0.0</v>
      </c>
      <c r="AU181" s="74">
        <v>1.0</v>
      </c>
      <c r="AV181" s="74">
        <v>1.0</v>
      </c>
      <c r="AW181" s="74">
        <v>0.0</v>
      </c>
      <c r="AX181" s="13">
        <f t="shared" si="36"/>
        <v>13</v>
      </c>
      <c r="AY181" s="5"/>
      <c r="AZ181" s="5"/>
    </row>
    <row r="182" ht="12.75" customHeight="1">
      <c r="A182" s="18"/>
      <c r="B182" s="55"/>
      <c r="C182" s="50" t="s">
        <v>136</v>
      </c>
      <c r="D182" s="57"/>
      <c r="E182" s="91">
        <v>1.0</v>
      </c>
      <c r="F182" s="91">
        <v>0.0</v>
      </c>
      <c r="G182" s="91">
        <v>0.0</v>
      </c>
      <c r="H182" s="91">
        <v>0.0</v>
      </c>
      <c r="I182" s="91">
        <v>0.0</v>
      </c>
      <c r="J182" s="91">
        <v>0.0</v>
      </c>
      <c r="K182" s="91">
        <v>0.0</v>
      </c>
      <c r="L182" s="91">
        <v>0.0</v>
      </c>
      <c r="M182" s="91">
        <v>0.0</v>
      </c>
      <c r="N182" s="91">
        <v>0.0</v>
      </c>
      <c r="O182" s="91">
        <v>0.0</v>
      </c>
      <c r="P182" s="91">
        <v>0.0</v>
      </c>
      <c r="Q182" s="91">
        <v>0.0</v>
      </c>
      <c r="R182" s="91">
        <v>0.0</v>
      </c>
      <c r="S182" s="91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1.0</v>
      </c>
      <c r="AJ182" s="74">
        <v>2.0</v>
      </c>
      <c r="AK182" s="74">
        <v>0.0</v>
      </c>
      <c r="AL182" s="74">
        <v>0.0</v>
      </c>
      <c r="AM182" s="74">
        <v>0.0</v>
      </c>
      <c r="AN182" s="74">
        <v>0.0</v>
      </c>
      <c r="AO182" s="74">
        <v>0.0</v>
      </c>
      <c r="AP182" s="74">
        <v>0.0</v>
      </c>
      <c r="AQ182" s="74">
        <v>0.0</v>
      </c>
      <c r="AR182" s="74">
        <v>0.0</v>
      </c>
      <c r="AS182" s="74">
        <v>0.0</v>
      </c>
      <c r="AT182" s="74">
        <v>0.0</v>
      </c>
      <c r="AU182" s="74">
        <v>0.0</v>
      </c>
      <c r="AV182" s="74">
        <v>0.0</v>
      </c>
      <c r="AW182" s="74">
        <v>0.0</v>
      </c>
      <c r="AX182" s="13">
        <f t="shared" si="36"/>
        <v>4</v>
      </c>
      <c r="AY182" s="5"/>
      <c r="AZ182" s="5"/>
    </row>
    <row r="183" ht="12.75" customHeight="1">
      <c r="A183" s="18"/>
      <c r="B183" s="55"/>
      <c r="C183" s="50" t="s">
        <v>137</v>
      </c>
      <c r="D183" s="57"/>
      <c r="E183" s="91">
        <v>0.0</v>
      </c>
      <c r="F183" s="91">
        <v>0.0</v>
      </c>
      <c r="G183" s="91">
        <v>0.0</v>
      </c>
      <c r="H183" s="91">
        <v>0.0</v>
      </c>
      <c r="I183" s="91">
        <v>0.0</v>
      </c>
      <c r="J183" s="91">
        <v>0.0</v>
      </c>
      <c r="K183" s="91">
        <v>0.0</v>
      </c>
      <c r="L183" s="91">
        <v>0.0</v>
      </c>
      <c r="M183" s="91">
        <v>0.0</v>
      </c>
      <c r="N183" s="91">
        <v>0.0</v>
      </c>
      <c r="O183" s="91">
        <v>0.0</v>
      </c>
      <c r="P183" s="91">
        <v>0.0</v>
      </c>
      <c r="Q183" s="91">
        <v>0.0</v>
      </c>
      <c r="R183" s="91">
        <v>0.0</v>
      </c>
      <c r="S183" s="91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1.0</v>
      </c>
      <c r="AH183" s="74">
        <v>0.0</v>
      </c>
      <c r="AI183" s="74">
        <v>1.0</v>
      </c>
      <c r="AJ183" s="74">
        <v>0.0</v>
      </c>
      <c r="AK183" s="74">
        <v>0.0</v>
      </c>
      <c r="AL183" s="74">
        <v>0.0</v>
      </c>
      <c r="AM183" s="74">
        <v>0.0</v>
      </c>
      <c r="AN183" s="74">
        <v>0.0</v>
      </c>
      <c r="AO183" s="74">
        <v>0.0</v>
      </c>
      <c r="AP183" s="74">
        <v>0.0</v>
      </c>
      <c r="AQ183" s="74">
        <v>0.0</v>
      </c>
      <c r="AR183" s="74">
        <v>0.0</v>
      </c>
      <c r="AS183" s="74">
        <v>0.0</v>
      </c>
      <c r="AT183" s="74">
        <v>0.0</v>
      </c>
      <c r="AU183" s="74">
        <v>0.0</v>
      </c>
      <c r="AV183" s="74">
        <v>0.0</v>
      </c>
      <c r="AW183" s="74">
        <v>0.0</v>
      </c>
      <c r="AX183" s="13">
        <f t="shared" si="36"/>
        <v>2</v>
      </c>
      <c r="AY183" s="5"/>
      <c r="AZ183" s="5"/>
    </row>
    <row r="184" ht="12.75" customHeight="1">
      <c r="A184" s="18"/>
      <c r="B184" s="55"/>
      <c r="C184" s="50" t="s">
        <v>138</v>
      </c>
      <c r="D184" s="57"/>
      <c r="E184" s="91">
        <v>0.0</v>
      </c>
      <c r="F184" s="91">
        <v>0.0</v>
      </c>
      <c r="G184" s="91">
        <v>0.0</v>
      </c>
      <c r="H184" s="91">
        <v>0.0</v>
      </c>
      <c r="I184" s="91">
        <v>0.0</v>
      </c>
      <c r="J184" s="91">
        <v>1.0</v>
      </c>
      <c r="K184" s="91">
        <v>0.0</v>
      </c>
      <c r="L184" s="91">
        <v>0.0</v>
      </c>
      <c r="M184" s="91">
        <v>0.0</v>
      </c>
      <c r="N184" s="91">
        <v>0.0</v>
      </c>
      <c r="O184" s="91">
        <v>0.0</v>
      </c>
      <c r="P184" s="91">
        <v>0.0</v>
      </c>
      <c r="Q184" s="91">
        <v>0.0</v>
      </c>
      <c r="R184" s="91">
        <v>0.0</v>
      </c>
      <c r="S184" s="91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1.0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1.0</v>
      </c>
      <c r="AK184" s="74">
        <v>0.0</v>
      </c>
      <c r="AL184" s="74">
        <v>0.0</v>
      </c>
      <c r="AM184" s="74">
        <v>0.0</v>
      </c>
      <c r="AN184" s="74">
        <v>0.0</v>
      </c>
      <c r="AO184" s="74">
        <v>0.0</v>
      </c>
      <c r="AP184" s="74">
        <v>0.0</v>
      </c>
      <c r="AQ184" s="74">
        <v>0.0</v>
      </c>
      <c r="AR184" s="74">
        <v>0.0</v>
      </c>
      <c r="AS184" s="74">
        <v>0.0</v>
      </c>
      <c r="AT184" s="74">
        <v>0.0</v>
      </c>
      <c r="AU184" s="74">
        <v>0.0</v>
      </c>
      <c r="AV184" s="74">
        <v>0.0</v>
      </c>
      <c r="AW184" s="74">
        <v>0.0</v>
      </c>
      <c r="AX184" s="13">
        <f t="shared" si="36"/>
        <v>3</v>
      </c>
      <c r="AY184" s="5"/>
      <c r="AZ184" s="5"/>
    </row>
    <row r="185" ht="12.75" customHeight="1">
      <c r="A185" s="18"/>
      <c r="B185" s="55"/>
      <c r="C185" s="50" t="s">
        <v>139</v>
      </c>
      <c r="D185" s="57"/>
      <c r="E185" s="91">
        <v>0.0</v>
      </c>
      <c r="F185" s="91">
        <v>0.0</v>
      </c>
      <c r="G185" s="91">
        <v>0.0</v>
      </c>
      <c r="H185" s="91">
        <v>0.0</v>
      </c>
      <c r="I185" s="91">
        <v>1.0</v>
      </c>
      <c r="J185" s="91">
        <v>0.0</v>
      </c>
      <c r="K185" s="91">
        <v>0.0</v>
      </c>
      <c r="L185" s="91">
        <v>0.0</v>
      </c>
      <c r="M185" s="91">
        <v>0.0</v>
      </c>
      <c r="N185" s="91">
        <v>0.0</v>
      </c>
      <c r="O185" s="91">
        <v>0.0</v>
      </c>
      <c r="P185" s="91">
        <v>0.0</v>
      </c>
      <c r="Q185" s="91">
        <v>0.0</v>
      </c>
      <c r="R185" s="91">
        <v>0.0</v>
      </c>
      <c r="S185" s="91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74">
        <v>0.0</v>
      </c>
      <c r="AL185" s="74">
        <v>0.0</v>
      </c>
      <c r="AM185" s="74">
        <v>0.0</v>
      </c>
      <c r="AN185" s="74">
        <v>0.0</v>
      </c>
      <c r="AO185" s="74">
        <v>0.0</v>
      </c>
      <c r="AP185" s="74">
        <v>0.0</v>
      </c>
      <c r="AQ185" s="74">
        <v>0.0</v>
      </c>
      <c r="AR185" s="74">
        <v>0.0</v>
      </c>
      <c r="AS185" s="74">
        <v>0.0</v>
      </c>
      <c r="AT185" s="74">
        <v>0.0</v>
      </c>
      <c r="AU185" s="74">
        <v>1.0</v>
      </c>
      <c r="AV185" s="74">
        <v>0.0</v>
      </c>
      <c r="AW185" s="74">
        <v>0.0</v>
      </c>
      <c r="AX185" s="13">
        <f t="shared" si="36"/>
        <v>2</v>
      </c>
      <c r="AY185" s="5"/>
      <c r="AZ185" s="5"/>
    </row>
    <row r="186" ht="12.75" customHeight="1">
      <c r="A186" s="18"/>
      <c r="B186" s="55"/>
      <c r="C186" s="50" t="s">
        <v>140</v>
      </c>
      <c r="D186" s="57"/>
      <c r="E186" s="92">
        <v>0.0</v>
      </c>
      <c r="F186" s="91">
        <v>0.0</v>
      </c>
      <c r="G186" s="91">
        <v>0.0</v>
      </c>
      <c r="H186" s="91">
        <v>0.0</v>
      </c>
      <c r="I186" s="91">
        <v>1.0</v>
      </c>
      <c r="J186" s="91">
        <v>0.0</v>
      </c>
      <c r="K186" s="91">
        <v>0.0</v>
      </c>
      <c r="L186" s="91">
        <v>0.0</v>
      </c>
      <c r="M186" s="91">
        <v>0.0</v>
      </c>
      <c r="N186" s="91">
        <v>0.0</v>
      </c>
      <c r="O186" s="91">
        <v>0.0</v>
      </c>
      <c r="P186" s="91">
        <v>0.0</v>
      </c>
      <c r="Q186" s="91">
        <v>0.0</v>
      </c>
      <c r="R186" s="92">
        <v>0.0</v>
      </c>
      <c r="S186" s="91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74">
        <v>0.0</v>
      </c>
      <c r="AL186" s="74">
        <v>0.0</v>
      </c>
      <c r="AM186" s="74">
        <v>0.0</v>
      </c>
      <c r="AN186" s="74">
        <v>0.0</v>
      </c>
      <c r="AO186" s="74">
        <v>0.0</v>
      </c>
      <c r="AP186" s="74">
        <v>0.0</v>
      </c>
      <c r="AQ186" s="74">
        <v>0.0</v>
      </c>
      <c r="AR186" s="74">
        <v>0.0</v>
      </c>
      <c r="AS186" s="74">
        <v>0.0</v>
      </c>
      <c r="AT186" s="74">
        <v>0.0</v>
      </c>
      <c r="AU186" s="74">
        <v>0.0</v>
      </c>
      <c r="AV186" s="74">
        <v>0.0</v>
      </c>
      <c r="AW186" s="74">
        <v>0.0</v>
      </c>
      <c r="AX186" s="13">
        <f t="shared" si="36"/>
        <v>1</v>
      </c>
      <c r="AY186" s="5"/>
      <c r="AZ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X187" si="37">SUM(E177:E186)</f>
        <v>7</v>
      </c>
      <c r="F187" s="13">
        <f t="shared" si="37"/>
        <v>2</v>
      </c>
      <c r="G187" s="13">
        <f t="shared" si="37"/>
        <v>1</v>
      </c>
      <c r="H187" s="13">
        <f t="shared" si="37"/>
        <v>3</v>
      </c>
      <c r="I187" s="13">
        <f t="shared" si="37"/>
        <v>6</v>
      </c>
      <c r="J187" s="13">
        <f t="shared" si="37"/>
        <v>4</v>
      </c>
      <c r="K187" s="13">
        <f t="shared" si="37"/>
        <v>5</v>
      </c>
      <c r="L187" s="13">
        <f t="shared" si="37"/>
        <v>3</v>
      </c>
      <c r="M187" s="13">
        <f t="shared" si="37"/>
        <v>0</v>
      </c>
      <c r="N187" s="13">
        <f t="shared" si="37"/>
        <v>3</v>
      </c>
      <c r="O187" s="13">
        <f t="shared" si="37"/>
        <v>3</v>
      </c>
      <c r="P187" s="13">
        <f t="shared" si="37"/>
        <v>1</v>
      </c>
      <c r="Q187" s="13">
        <f t="shared" si="37"/>
        <v>3</v>
      </c>
      <c r="R187" s="13">
        <f t="shared" si="37"/>
        <v>3</v>
      </c>
      <c r="S187" s="13">
        <f t="shared" si="37"/>
        <v>1</v>
      </c>
      <c r="T187" s="13">
        <f t="shared" si="37"/>
        <v>3</v>
      </c>
      <c r="U187" s="13">
        <f t="shared" si="37"/>
        <v>1</v>
      </c>
      <c r="V187" s="13">
        <f t="shared" si="37"/>
        <v>2</v>
      </c>
      <c r="W187" s="13">
        <f t="shared" si="37"/>
        <v>5</v>
      </c>
      <c r="X187" s="13">
        <f t="shared" si="37"/>
        <v>0</v>
      </c>
      <c r="Y187" s="13">
        <f t="shared" si="37"/>
        <v>0</v>
      </c>
      <c r="Z187" s="13">
        <f t="shared" si="37"/>
        <v>1</v>
      </c>
      <c r="AA187" s="13">
        <f t="shared" si="37"/>
        <v>3</v>
      </c>
      <c r="AB187" s="13">
        <f t="shared" si="37"/>
        <v>1</v>
      </c>
      <c r="AC187" s="13">
        <f t="shared" si="37"/>
        <v>1</v>
      </c>
      <c r="AD187" s="13">
        <f t="shared" si="37"/>
        <v>0</v>
      </c>
      <c r="AE187" s="13">
        <f t="shared" si="37"/>
        <v>5</v>
      </c>
      <c r="AF187" s="13">
        <f t="shared" si="37"/>
        <v>4</v>
      </c>
      <c r="AG187" s="13">
        <f t="shared" si="37"/>
        <v>3</v>
      </c>
      <c r="AH187" s="13">
        <f t="shared" si="37"/>
        <v>5</v>
      </c>
      <c r="AI187" s="13">
        <f t="shared" si="37"/>
        <v>5</v>
      </c>
      <c r="AJ187" s="13">
        <f t="shared" si="37"/>
        <v>3</v>
      </c>
      <c r="AK187" s="13">
        <f t="shared" si="37"/>
        <v>0</v>
      </c>
      <c r="AL187" s="13">
        <f t="shared" si="37"/>
        <v>2</v>
      </c>
      <c r="AM187" s="13">
        <f t="shared" si="37"/>
        <v>2</v>
      </c>
      <c r="AN187" s="13">
        <f t="shared" si="37"/>
        <v>1</v>
      </c>
      <c r="AO187" s="13">
        <f t="shared" si="37"/>
        <v>1</v>
      </c>
      <c r="AP187" s="13">
        <f t="shared" si="37"/>
        <v>2</v>
      </c>
      <c r="AQ187" s="13">
        <f t="shared" si="37"/>
        <v>2</v>
      </c>
      <c r="AR187" s="13">
        <f t="shared" si="37"/>
        <v>0</v>
      </c>
      <c r="AS187" s="13">
        <f t="shared" si="37"/>
        <v>1</v>
      </c>
      <c r="AT187" s="13">
        <f t="shared" si="37"/>
        <v>0</v>
      </c>
      <c r="AU187" s="13">
        <f t="shared" si="37"/>
        <v>4</v>
      </c>
      <c r="AV187" s="13">
        <f t="shared" si="37"/>
        <v>2</v>
      </c>
      <c r="AW187" s="13">
        <f t="shared" si="37"/>
        <v>6</v>
      </c>
      <c r="AX187" s="13">
        <f t="shared" si="37"/>
        <v>110</v>
      </c>
      <c r="AY187" s="1"/>
      <c r="AZ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1.0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0.0</v>
      </c>
      <c r="Q189" s="74">
        <v>0.0</v>
      </c>
      <c r="R189" s="74">
        <v>1.0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1.0</v>
      </c>
      <c r="AF189" s="74">
        <v>0.0</v>
      </c>
      <c r="AG189" s="74">
        <v>0.0</v>
      </c>
      <c r="AH189" s="74">
        <v>1.0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0.0</v>
      </c>
      <c r="AP189" s="74">
        <v>0.0</v>
      </c>
      <c r="AQ189" s="74">
        <v>0.0</v>
      </c>
      <c r="AR189" s="74">
        <v>0.0</v>
      </c>
      <c r="AS189" s="74">
        <v>0.0</v>
      </c>
      <c r="AT189" s="74">
        <v>0.0</v>
      </c>
      <c r="AU189" s="74">
        <v>0.0</v>
      </c>
      <c r="AV189" s="74">
        <v>0.0</v>
      </c>
      <c r="AW189" s="74">
        <v>0.0</v>
      </c>
      <c r="AX189" s="13">
        <f t="shared" ref="AX189:AX198" si="38">SUM(E189:AW189)</f>
        <v>5</v>
      </c>
      <c r="AY189" s="5"/>
      <c r="AZ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1.0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1.0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0.0</v>
      </c>
      <c r="AM190" s="74">
        <v>1.0</v>
      </c>
      <c r="AN190" s="74">
        <v>0.0</v>
      </c>
      <c r="AO190" s="74">
        <v>0.0</v>
      </c>
      <c r="AP190" s="74">
        <v>0.0</v>
      </c>
      <c r="AQ190" s="74">
        <v>0.0</v>
      </c>
      <c r="AR190" s="74">
        <v>0.0</v>
      </c>
      <c r="AS190" s="74">
        <v>0.0</v>
      </c>
      <c r="AT190" s="74">
        <v>1.0</v>
      </c>
      <c r="AU190" s="74">
        <v>0.0</v>
      </c>
      <c r="AV190" s="74">
        <v>0.0</v>
      </c>
      <c r="AW190" s="74">
        <v>1.0</v>
      </c>
      <c r="AX190" s="13">
        <f t="shared" si="38"/>
        <v>5</v>
      </c>
      <c r="AY190" s="5"/>
      <c r="AZ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0.0</v>
      </c>
      <c r="AR191" s="74">
        <v>0.0</v>
      </c>
      <c r="AS191" s="74">
        <v>0.0</v>
      </c>
      <c r="AT191" s="74">
        <v>0.0</v>
      </c>
      <c r="AU191" s="74">
        <v>0.0</v>
      </c>
      <c r="AV191" s="74">
        <v>0.0</v>
      </c>
      <c r="AW191" s="74">
        <v>1.0</v>
      </c>
      <c r="AX191" s="13">
        <f t="shared" si="38"/>
        <v>1</v>
      </c>
      <c r="AY191" s="5"/>
      <c r="AZ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1.0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0.0</v>
      </c>
      <c r="AM192" s="74">
        <v>0.0</v>
      </c>
      <c r="AN192" s="74">
        <v>0.0</v>
      </c>
      <c r="AO192" s="74">
        <v>0.0</v>
      </c>
      <c r="AP192" s="74">
        <v>0.0</v>
      </c>
      <c r="AQ192" s="74">
        <v>0.0</v>
      </c>
      <c r="AR192" s="74">
        <v>0.0</v>
      </c>
      <c r="AS192" s="74">
        <v>0.0</v>
      </c>
      <c r="AT192" s="74">
        <v>1.0</v>
      </c>
      <c r="AU192" s="74">
        <v>0.0</v>
      </c>
      <c r="AV192" s="74">
        <v>0.0</v>
      </c>
      <c r="AW192" s="74">
        <v>0.0</v>
      </c>
      <c r="AX192" s="13">
        <f t="shared" si="38"/>
        <v>2</v>
      </c>
      <c r="AY192" s="5"/>
      <c r="AZ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1.0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1.0</v>
      </c>
      <c r="AC193" s="74">
        <v>1.0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74">
        <v>0.0</v>
      </c>
      <c r="AV193" s="74">
        <v>0.0</v>
      </c>
      <c r="AW193" s="74">
        <v>0.0</v>
      </c>
      <c r="AX193" s="13">
        <f t="shared" si="38"/>
        <v>3</v>
      </c>
      <c r="AY193" s="5"/>
      <c r="AZ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1.0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74">
        <v>0.0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0.0</v>
      </c>
      <c r="AR194" s="74">
        <v>0.0</v>
      </c>
      <c r="AS194" s="74">
        <v>0.0</v>
      </c>
      <c r="AT194" s="74">
        <v>0.0</v>
      </c>
      <c r="AU194" s="74">
        <v>0.0</v>
      </c>
      <c r="AV194" s="74">
        <v>0.0</v>
      </c>
      <c r="AW194" s="74">
        <v>0.0</v>
      </c>
      <c r="AX194" s="13">
        <f t="shared" si="38"/>
        <v>1</v>
      </c>
      <c r="AY194" s="5"/>
      <c r="AZ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74">
        <v>0.0</v>
      </c>
      <c r="AV195" s="74">
        <v>0.0</v>
      </c>
      <c r="AW195" s="74">
        <v>0.0</v>
      </c>
      <c r="AX195" s="13">
        <f t="shared" si="38"/>
        <v>0</v>
      </c>
      <c r="AY195" s="5"/>
      <c r="AZ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74">
        <v>0.0</v>
      </c>
      <c r="AL196" s="74">
        <v>0.0</v>
      </c>
      <c r="AM196" s="74">
        <v>0.0</v>
      </c>
      <c r="AN196" s="74">
        <v>0.0</v>
      </c>
      <c r="AO196" s="74">
        <v>0.0</v>
      </c>
      <c r="AP196" s="74">
        <v>0.0</v>
      </c>
      <c r="AQ196" s="74">
        <v>1.0</v>
      </c>
      <c r="AR196" s="74">
        <v>0.0</v>
      </c>
      <c r="AS196" s="74">
        <v>0.0</v>
      </c>
      <c r="AT196" s="74">
        <v>0.0</v>
      </c>
      <c r="AU196" s="74">
        <v>0.0</v>
      </c>
      <c r="AV196" s="74">
        <v>0.0</v>
      </c>
      <c r="AW196" s="74">
        <v>0.0</v>
      </c>
      <c r="AX196" s="13">
        <f t="shared" si="38"/>
        <v>1</v>
      </c>
      <c r="AY196" s="1"/>
      <c r="AZ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74">
        <v>0.0</v>
      </c>
      <c r="AL197" s="74">
        <v>0.0</v>
      </c>
      <c r="AM197" s="74">
        <v>0.0</v>
      </c>
      <c r="AN197" s="74">
        <v>0.0</v>
      </c>
      <c r="AO197" s="74">
        <v>0.0</v>
      </c>
      <c r="AP197" s="74">
        <v>0.0</v>
      </c>
      <c r="AQ197" s="74">
        <v>0.0</v>
      </c>
      <c r="AR197" s="74">
        <v>0.0</v>
      </c>
      <c r="AS197" s="74">
        <v>0.0</v>
      </c>
      <c r="AT197" s="74">
        <v>0.0</v>
      </c>
      <c r="AU197" s="74">
        <v>0.0</v>
      </c>
      <c r="AV197" s="74">
        <v>0.0</v>
      </c>
      <c r="AW197" s="74">
        <v>0.0</v>
      </c>
      <c r="AX197" s="13">
        <f t="shared" si="38"/>
        <v>0</v>
      </c>
      <c r="AY197" s="1"/>
      <c r="AZ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1.0</v>
      </c>
      <c r="AK198" s="74">
        <v>0.0</v>
      </c>
      <c r="AL198" s="74">
        <v>0.0</v>
      </c>
      <c r="AM198" s="74">
        <v>0.0</v>
      </c>
      <c r="AN198" s="74">
        <v>0.0</v>
      </c>
      <c r="AO198" s="74">
        <v>0.0</v>
      </c>
      <c r="AP198" s="74">
        <v>0.0</v>
      </c>
      <c r="AQ198" s="74">
        <v>0.0</v>
      </c>
      <c r="AR198" s="74">
        <v>0.0</v>
      </c>
      <c r="AS198" s="74">
        <v>0.0</v>
      </c>
      <c r="AT198" s="74">
        <v>0.0</v>
      </c>
      <c r="AU198" s="74">
        <v>0.0</v>
      </c>
      <c r="AV198" s="74">
        <v>0.0</v>
      </c>
      <c r="AW198" s="74">
        <v>0.0</v>
      </c>
      <c r="AX198" s="13">
        <f t="shared" si="38"/>
        <v>1</v>
      </c>
      <c r="AY198" s="1"/>
      <c r="AZ198" s="1"/>
    </row>
    <row r="199" ht="12.75" customHeight="1">
      <c r="A199" s="19" t="s">
        <v>15</v>
      </c>
      <c r="B199" s="47" t="s">
        <v>49</v>
      </c>
      <c r="C199" s="15"/>
      <c r="D199" s="16"/>
      <c r="E199" s="78">
        <f t="shared" ref="E199:AX199" si="39">SUM(E189:E198)</f>
        <v>0</v>
      </c>
      <c r="F199" s="78">
        <f t="shared" si="39"/>
        <v>0</v>
      </c>
      <c r="G199" s="78">
        <f t="shared" si="39"/>
        <v>0</v>
      </c>
      <c r="H199" s="78">
        <f t="shared" si="39"/>
        <v>0</v>
      </c>
      <c r="I199" s="78">
        <f t="shared" si="39"/>
        <v>2</v>
      </c>
      <c r="J199" s="78">
        <f t="shared" si="39"/>
        <v>0</v>
      </c>
      <c r="K199" s="78">
        <f t="shared" si="39"/>
        <v>0</v>
      </c>
      <c r="L199" s="78">
        <f t="shared" si="39"/>
        <v>1</v>
      </c>
      <c r="M199" s="78">
        <f t="shared" si="39"/>
        <v>0</v>
      </c>
      <c r="N199" s="78">
        <f t="shared" si="39"/>
        <v>0</v>
      </c>
      <c r="O199" s="78">
        <f t="shared" si="39"/>
        <v>1</v>
      </c>
      <c r="P199" s="78">
        <f t="shared" si="39"/>
        <v>1</v>
      </c>
      <c r="Q199" s="78">
        <f t="shared" si="39"/>
        <v>0</v>
      </c>
      <c r="R199" s="78">
        <f t="shared" si="39"/>
        <v>1</v>
      </c>
      <c r="S199" s="78">
        <f t="shared" si="39"/>
        <v>0</v>
      </c>
      <c r="T199" s="78">
        <f t="shared" si="39"/>
        <v>0</v>
      </c>
      <c r="U199" s="78">
        <f t="shared" si="39"/>
        <v>0</v>
      </c>
      <c r="V199" s="78">
        <f t="shared" si="39"/>
        <v>0</v>
      </c>
      <c r="W199" s="78">
        <f t="shared" si="39"/>
        <v>0</v>
      </c>
      <c r="X199" s="78">
        <f t="shared" si="39"/>
        <v>1</v>
      </c>
      <c r="Y199" s="78">
        <f t="shared" si="39"/>
        <v>0</v>
      </c>
      <c r="Z199" s="78">
        <f t="shared" si="39"/>
        <v>0</v>
      </c>
      <c r="AA199" s="78">
        <f t="shared" si="39"/>
        <v>1</v>
      </c>
      <c r="AB199" s="78">
        <f t="shared" si="39"/>
        <v>1</v>
      </c>
      <c r="AC199" s="78">
        <f t="shared" si="39"/>
        <v>1</v>
      </c>
      <c r="AD199" s="78">
        <f t="shared" si="39"/>
        <v>0</v>
      </c>
      <c r="AE199" s="78">
        <f t="shared" si="39"/>
        <v>1</v>
      </c>
      <c r="AF199" s="78">
        <f t="shared" si="39"/>
        <v>0</v>
      </c>
      <c r="AG199" s="78">
        <f t="shared" si="39"/>
        <v>0</v>
      </c>
      <c r="AH199" s="78">
        <f t="shared" si="39"/>
        <v>1</v>
      </c>
      <c r="AI199" s="78">
        <f t="shared" si="39"/>
        <v>0</v>
      </c>
      <c r="AJ199" s="78">
        <f t="shared" si="39"/>
        <v>1</v>
      </c>
      <c r="AK199" s="78">
        <f t="shared" si="39"/>
        <v>0</v>
      </c>
      <c r="AL199" s="78">
        <f t="shared" si="39"/>
        <v>0</v>
      </c>
      <c r="AM199" s="78">
        <f t="shared" si="39"/>
        <v>1</v>
      </c>
      <c r="AN199" s="78">
        <f t="shared" si="39"/>
        <v>0</v>
      </c>
      <c r="AO199" s="78">
        <f t="shared" si="39"/>
        <v>0</v>
      </c>
      <c r="AP199" s="78">
        <f t="shared" si="39"/>
        <v>0</v>
      </c>
      <c r="AQ199" s="78">
        <f t="shared" si="39"/>
        <v>1</v>
      </c>
      <c r="AR199" s="78">
        <f t="shared" si="39"/>
        <v>0</v>
      </c>
      <c r="AS199" s="78">
        <f t="shared" si="39"/>
        <v>0</v>
      </c>
      <c r="AT199" s="78">
        <f t="shared" si="39"/>
        <v>2</v>
      </c>
      <c r="AU199" s="78">
        <f t="shared" si="39"/>
        <v>0</v>
      </c>
      <c r="AV199" s="78">
        <f t="shared" si="39"/>
        <v>0</v>
      </c>
      <c r="AW199" s="78">
        <f t="shared" si="39"/>
        <v>2</v>
      </c>
      <c r="AX199" s="78">
        <f t="shared" si="39"/>
        <v>19</v>
      </c>
      <c r="AY199" s="52"/>
      <c r="AZ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5"/>
      <c r="AZ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2.0</v>
      </c>
      <c r="G201" s="74">
        <v>1.0</v>
      </c>
      <c r="H201" s="74">
        <v>3.0</v>
      </c>
      <c r="I201" s="74">
        <v>2.0</v>
      </c>
      <c r="J201" s="74">
        <v>3.0</v>
      </c>
      <c r="K201" s="74">
        <v>0.0</v>
      </c>
      <c r="L201" s="74">
        <v>5.0</v>
      </c>
      <c r="M201" s="74">
        <v>2.0</v>
      </c>
      <c r="N201" s="74">
        <v>9.0</v>
      </c>
      <c r="O201" s="74">
        <v>8.0</v>
      </c>
      <c r="P201" s="74">
        <v>9.0</v>
      </c>
      <c r="Q201" s="74">
        <v>1.0</v>
      </c>
      <c r="R201" s="74">
        <v>5.0</v>
      </c>
      <c r="S201" s="74">
        <v>6.0</v>
      </c>
      <c r="T201" s="74">
        <v>5.0</v>
      </c>
      <c r="U201" s="74">
        <v>11.0</v>
      </c>
      <c r="V201" s="74">
        <v>3.0</v>
      </c>
      <c r="W201" s="74">
        <v>3.0</v>
      </c>
      <c r="X201" s="74">
        <v>1.0</v>
      </c>
      <c r="Y201" s="74">
        <v>2.0</v>
      </c>
      <c r="Z201" s="74">
        <v>1.0</v>
      </c>
      <c r="AA201" s="74">
        <v>2.0</v>
      </c>
      <c r="AB201" s="74">
        <v>2.0</v>
      </c>
      <c r="AC201" s="74">
        <v>1.0</v>
      </c>
      <c r="AD201" s="74">
        <v>1.0</v>
      </c>
      <c r="AE201" s="74">
        <v>7.0</v>
      </c>
      <c r="AF201" s="74">
        <v>3.0</v>
      </c>
      <c r="AG201" s="74">
        <v>8.0</v>
      </c>
      <c r="AH201" s="74">
        <v>18.0</v>
      </c>
      <c r="AI201" s="74">
        <v>5.0</v>
      </c>
      <c r="AJ201" s="74">
        <v>5.0</v>
      </c>
      <c r="AK201" s="74">
        <v>8.0</v>
      </c>
      <c r="AL201" s="74">
        <v>9.0</v>
      </c>
      <c r="AM201" s="74">
        <v>15.0</v>
      </c>
      <c r="AN201" s="74">
        <v>8.0</v>
      </c>
      <c r="AO201" s="74">
        <v>5.0</v>
      </c>
      <c r="AP201" s="74">
        <v>7.0</v>
      </c>
      <c r="AQ201" s="74">
        <v>9.0</v>
      </c>
      <c r="AR201" s="74">
        <v>6.0</v>
      </c>
      <c r="AS201" s="74">
        <v>4.0</v>
      </c>
      <c r="AT201" s="74">
        <v>6.0</v>
      </c>
      <c r="AU201" s="74">
        <v>5.0</v>
      </c>
      <c r="AV201" s="74">
        <v>3.0</v>
      </c>
      <c r="AW201" s="74">
        <v>5.0</v>
      </c>
      <c r="AX201" s="13">
        <f t="shared" ref="AX201:AX210" si="40">SUM(E201:AW201)</f>
        <v>227</v>
      </c>
      <c r="AY201" s="5"/>
      <c r="AZ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13.0</v>
      </c>
      <c r="F202" s="74">
        <v>5.0</v>
      </c>
      <c r="G202" s="74">
        <v>5.0</v>
      </c>
      <c r="H202" s="74">
        <v>9.0</v>
      </c>
      <c r="I202" s="74">
        <v>2.0</v>
      </c>
      <c r="J202" s="74">
        <v>9.0</v>
      </c>
      <c r="K202" s="74">
        <v>7.0</v>
      </c>
      <c r="L202" s="74">
        <v>4.0</v>
      </c>
      <c r="M202" s="74">
        <v>5.0</v>
      </c>
      <c r="N202" s="74">
        <v>18.0</v>
      </c>
      <c r="O202" s="74">
        <v>14.0</v>
      </c>
      <c r="P202" s="74">
        <v>11.0</v>
      </c>
      <c r="Q202" s="74">
        <v>5.0</v>
      </c>
      <c r="R202" s="74">
        <v>15.0</v>
      </c>
      <c r="S202" s="74">
        <v>10.0</v>
      </c>
      <c r="T202" s="74">
        <v>12.0</v>
      </c>
      <c r="U202" s="74">
        <v>15.0</v>
      </c>
      <c r="V202" s="74">
        <v>9.0</v>
      </c>
      <c r="W202" s="74">
        <v>11.0</v>
      </c>
      <c r="X202" s="74">
        <v>2.0</v>
      </c>
      <c r="Y202" s="74">
        <v>10.0</v>
      </c>
      <c r="Z202" s="74">
        <v>9.0</v>
      </c>
      <c r="AA202" s="74">
        <v>7.0</v>
      </c>
      <c r="AB202" s="74">
        <v>6.0</v>
      </c>
      <c r="AC202" s="74">
        <v>13.0</v>
      </c>
      <c r="AD202" s="74">
        <v>10.0</v>
      </c>
      <c r="AE202" s="74">
        <v>4.0</v>
      </c>
      <c r="AF202" s="74">
        <v>13.0</v>
      </c>
      <c r="AG202" s="74">
        <v>17.0</v>
      </c>
      <c r="AH202" s="74">
        <v>10.0</v>
      </c>
      <c r="AI202" s="74">
        <v>22.0</v>
      </c>
      <c r="AJ202" s="74">
        <v>14.0</v>
      </c>
      <c r="AK202" s="74">
        <v>13.0</v>
      </c>
      <c r="AL202" s="74">
        <v>26.0</v>
      </c>
      <c r="AM202" s="74">
        <v>16.0</v>
      </c>
      <c r="AN202" s="74">
        <v>35.0</v>
      </c>
      <c r="AO202" s="74">
        <v>16.0</v>
      </c>
      <c r="AP202" s="74">
        <v>14.0</v>
      </c>
      <c r="AQ202" s="74">
        <v>17.0</v>
      </c>
      <c r="AR202" s="74">
        <v>17.0</v>
      </c>
      <c r="AS202" s="74">
        <v>10.0</v>
      </c>
      <c r="AT202" s="74">
        <v>5.0</v>
      </c>
      <c r="AU202" s="74">
        <v>14.0</v>
      </c>
      <c r="AV202" s="74">
        <v>16.0</v>
      </c>
      <c r="AW202" s="74">
        <v>10.0</v>
      </c>
      <c r="AX202" s="13">
        <f t="shared" si="40"/>
        <v>525</v>
      </c>
      <c r="AY202" s="5"/>
      <c r="AZ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1.0</v>
      </c>
      <c r="G203" s="74">
        <v>2.0</v>
      </c>
      <c r="H203" s="74">
        <v>0.0</v>
      </c>
      <c r="I203" s="74">
        <v>0.0</v>
      </c>
      <c r="J203" s="74">
        <v>2.0</v>
      </c>
      <c r="K203" s="74">
        <v>0.0</v>
      </c>
      <c r="L203" s="74">
        <v>0.0</v>
      </c>
      <c r="M203" s="74">
        <v>0.0</v>
      </c>
      <c r="N203" s="74">
        <v>4.0</v>
      </c>
      <c r="O203" s="74">
        <v>1.0</v>
      </c>
      <c r="P203" s="74">
        <v>4.0</v>
      </c>
      <c r="Q203" s="74">
        <v>2.0</v>
      </c>
      <c r="R203" s="74">
        <v>2.0</v>
      </c>
      <c r="S203" s="74">
        <v>1.0</v>
      </c>
      <c r="T203" s="74">
        <v>2.0</v>
      </c>
      <c r="U203" s="74">
        <v>3.0</v>
      </c>
      <c r="V203" s="74">
        <v>1.0</v>
      </c>
      <c r="W203" s="74">
        <v>2.0</v>
      </c>
      <c r="X203" s="74">
        <v>1.0</v>
      </c>
      <c r="Y203" s="74">
        <v>1.0</v>
      </c>
      <c r="Z203" s="74">
        <v>1.0</v>
      </c>
      <c r="AA203" s="74">
        <v>1.0</v>
      </c>
      <c r="AB203" s="74">
        <v>1.0</v>
      </c>
      <c r="AC203" s="74">
        <v>0.0</v>
      </c>
      <c r="AD203" s="74">
        <v>0.0</v>
      </c>
      <c r="AE203" s="74">
        <v>1.0</v>
      </c>
      <c r="AF203" s="74">
        <v>0.0</v>
      </c>
      <c r="AG203" s="74">
        <v>3.0</v>
      </c>
      <c r="AH203" s="74">
        <v>1.0</v>
      </c>
      <c r="AI203" s="74">
        <v>1.0</v>
      </c>
      <c r="AJ203" s="74">
        <v>0.0</v>
      </c>
      <c r="AK203" s="74">
        <v>2.0</v>
      </c>
      <c r="AL203" s="74">
        <v>6.0</v>
      </c>
      <c r="AM203" s="74">
        <v>3.0</v>
      </c>
      <c r="AN203" s="74">
        <v>2.0</v>
      </c>
      <c r="AO203" s="74">
        <v>0.0</v>
      </c>
      <c r="AP203" s="74">
        <v>1.0</v>
      </c>
      <c r="AQ203" s="74">
        <v>2.0</v>
      </c>
      <c r="AR203" s="74">
        <v>2.0</v>
      </c>
      <c r="AS203" s="74">
        <v>2.0</v>
      </c>
      <c r="AT203" s="74">
        <v>1.0</v>
      </c>
      <c r="AU203" s="74">
        <v>1.0</v>
      </c>
      <c r="AV203" s="74">
        <v>0.0</v>
      </c>
      <c r="AW203" s="74">
        <v>0.0</v>
      </c>
      <c r="AX203" s="13">
        <f t="shared" si="40"/>
        <v>60</v>
      </c>
      <c r="AY203" s="5"/>
      <c r="AZ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0.0</v>
      </c>
      <c r="L204" s="74">
        <v>0.0</v>
      </c>
      <c r="M204" s="74">
        <v>2.0</v>
      </c>
      <c r="N204" s="74">
        <v>1.0</v>
      </c>
      <c r="O204" s="74">
        <v>0.0</v>
      </c>
      <c r="P204" s="74">
        <v>2.0</v>
      </c>
      <c r="Q204" s="74">
        <v>0.0</v>
      </c>
      <c r="R204" s="74">
        <v>0.0</v>
      </c>
      <c r="S204" s="74">
        <v>0.0</v>
      </c>
      <c r="T204" s="74">
        <v>0.0</v>
      </c>
      <c r="U204" s="74">
        <v>2.0</v>
      </c>
      <c r="V204" s="74">
        <v>1.0</v>
      </c>
      <c r="W204" s="74">
        <v>0.0</v>
      </c>
      <c r="X204" s="74">
        <v>0.0</v>
      </c>
      <c r="Y204" s="74">
        <v>1.0</v>
      </c>
      <c r="Z204" s="74">
        <v>1.0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1.0</v>
      </c>
      <c r="AF204" s="74">
        <v>1.0</v>
      </c>
      <c r="AG204" s="74">
        <v>0.0</v>
      </c>
      <c r="AH204" s="74">
        <v>1.0</v>
      </c>
      <c r="AI204" s="74">
        <v>3.0</v>
      </c>
      <c r="AJ204" s="74">
        <v>0.0</v>
      </c>
      <c r="AK204" s="74">
        <v>2.0</v>
      </c>
      <c r="AL204" s="74">
        <v>1.0</v>
      </c>
      <c r="AM204" s="74">
        <v>0.0</v>
      </c>
      <c r="AN204" s="74">
        <v>0.0</v>
      </c>
      <c r="AO204" s="74">
        <v>0.0</v>
      </c>
      <c r="AP204" s="74">
        <v>0.0</v>
      </c>
      <c r="AQ204" s="74">
        <v>1.0</v>
      </c>
      <c r="AR204" s="74">
        <v>0.0</v>
      </c>
      <c r="AS204" s="74">
        <v>0.0</v>
      </c>
      <c r="AT204" s="74">
        <v>1.0</v>
      </c>
      <c r="AU204" s="74">
        <v>0.0</v>
      </c>
      <c r="AV204" s="74">
        <v>0.0</v>
      </c>
      <c r="AW204" s="74">
        <v>1.0</v>
      </c>
      <c r="AX204" s="13">
        <f t="shared" si="40"/>
        <v>24</v>
      </c>
      <c r="AY204" s="5"/>
      <c r="AZ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1.0</v>
      </c>
      <c r="O205" s="74">
        <v>0.0</v>
      </c>
      <c r="P205" s="74">
        <v>0.0</v>
      </c>
      <c r="Q205" s="74">
        <v>0.0</v>
      </c>
      <c r="R205" s="74">
        <v>1.0</v>
      </c>
      <c r="S205" s="74">
        <v>0.0</v>
      </c>
      <c r="T205" s="74">
        <v>0.0</v>
      </c>
      <c r="U205" s="74">
        <v>0.0</v>
      </c>
      <c r="V205" s="74">
        <v>1.0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1.0</v>
      </c>
      <c r="AF205" s="74">
        <v>1.0</v>
      </c>
      <c r="AG205" s="74">
        <v>0.0</v>
      </c>
      <c r="AH205" s="74">
        <v>0.0</v>
      </c>
      <c r="AI205" s="74">
        <v>0.0</v>
      </c>
      <c r="AJ205" s="74">
        <v>0.0</v>
      </c>
      <c r="AK205" s="74">
        <v>0.0</v>
      </c>
      <c r="AL205" s="74">
        <v>2.0</v>
      </c>
      <c r="AM205" s="74">
        <v>1.0</v>
      </c>
      <c r="AN205" s="74">
        <v>0.0</v>
      </c>
      <c r="AO205" s="74">
        <v>0.0</v>
      </c>
      <c r="AP205" s="74">
        <v>0.0</v>
      </c>
      <c r="AQ205" s="74">
        <v>1.0</v>
      </c>
      <c r="AR205" s="74">
        <v>0.0</v>
      </c>
      <c r="AS205" s="74">
        <v>0.0</v>
      </c>
      <c r="AT205" s="74">
        <v>0.0</v>
      </c>
      <c r="AU205" s="74">
        <v>0.0</v>
      </c>
      <c r="AV205" s="74">
        <v>0.0</v>
      </c>
      <c r="AW205" s="74">
        <v>0.0</v>
      </c>
      <c r="AX205" s="13">
        <f t="shared" si="40"/>
        <v>9</v>
      </c>
      <c r="AY205" s="5"/>
      <c r="AZ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1.0</v>
      </c>
      <c r="I206" s="74">
        <v>1.0</v>
      </c>
      <c r="J206" s="74">
        <v>1.0</v>
      </c>
      <c r="K206" s="74">
        <v>0.0</v>
      </c>
      <c r="L206" s="74">
        <v>0.0</v>
      </c>
      <c r="M206" s="74">
        <v>0.0</v>
      </c>
      <c r="N206" s="74">
        <v>0.0</v>
      </c>
      <c r="O206" s="74">
        <v>2.0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0.0</v>
      </c>
      <c r="AN206" s="74">
        <v>0.0</v>
      </c>
      <c r="AO206" s="74">
        <v>1.0</v>
      </c>
      <c r="AP206" s="74">
        <v>0.0</v>
      </c>
      <c r="AQ206" s="74">
        <v>1.0</v>
      </c>
      <c r="AR206" s="74">
        <v>0.0</v>
      </c>
      <c r="AS206" s="74">
        <v>1.0</v>
      </c>
      <c r="AT206" s="74">
        <v>0.0</v>
      </c>
      <c r="AU206" s="74">
        <v>0.0</v>
      </c>
      <c r="AV206" s="74">
        <v>1.0</v>
      </c>
      <c r="AW206" s="74">
        <v>0.0</v>
      </c>
      <c r="AX206" s="13">
        <f t="shared" si="40"/>
        <v>9</v>
      </c>
      <c r="AY206" s="5"/>
      <c r="AZ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1.0</v>
      </c>
      <c r="G207" s="74">
        <v>1.0</v>
      </c>
      <c r="H207" s="74">
        <v>1.0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1.0</v>
      </c>
      <c r="O207" s="74">
        <v>1.0</v>
      </c>
      <c r="P207" s="74">
        <v>0.0</v>
      </c>
      <c r="Q207" s="74">
        <v>2.0</v>
      </c>
      <c r="R207" s="74">
        <v>2.0</v>
      </c>
      <c r="S207" s="74">
        <v>0.0</v>
      </c>
      <c r="T207" s="74">
        <v>0.0</v>
      </c>
      <c r="U207" s="74">
        <v>1.0</v>
      </c>
      <c r="V207" s="74">
        <v>0.0</v>
      </c>
      <c r="W207" s="74">
        <v>1.0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1.0</v>
      </c>
      <c r="AC207" s="74">
        <v>1.0</v>
      </c>
      <c r="AD207" s="74">
        <v>0.0</v>
      </c>
      <c r="AE207" s="74">
        <v>0.0</v>
      </c>
      <c r="AF207" s="74">
        <v>1.0</v>
      </c>
      <c r="AG207" s="74">
        <v>2.0</v>
      </c>
      <c r="AH207" s="74">
        <v>1.0</v>
      </c>
      <c r="AI207" s="74">
        <v>0.0</v>
      </c>
      <c r="AJ207" s="74">
        <v>1.0</v>
      </c>
      <c r="AK207" s="74">
        <v>1.0</v>
      </c>
      <c r="AL207" s="74">
        <v>1.0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1.0</v>
      </c>
      <c r="AS207" s="74">
        <v>0.0</v>
      </c>
      <c r="AT207" s="74">
        <v>0.0</v>
      </c>
      <c r="AU207" s="74">
        <v>0.0</v>
      </c>
      <c r="AV207" s="74">
        <v>0.0</v>
      </c>
      <c r="AW207" s="74">
        <v>0.0</v>
      </c>
      <c r="AX207" s="13">
        <f t="shared" si="40"/>
        <v>21</v>
      </c>
      <c r="AY207" s="1"/>
      <c r="AZ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1.0</v>
      </c>
      <c r="K208" s="74">
        <v>0.0</v>
      </c>
      <c r="L208" s="74">
        <v>1.0</v>
      </c>
      <c r="M208" s="74">
        <v>0.0</v>
      </c>
      <c r="N208" s="74">
        <v>1.0</v>
      </c>
      <c r="O208" s="74">
        <v>0.0</v>
      </c>
      <c r="P208" s="74">
        <v>1.0</v>
      </c>
      <c r="Q208" s="74">
        <v>0.0</v>
      </c>
      <c r="R208" s="74">
        <v>2.0</v>
      </c>
      <c r="S208" s="74">
        <v>2.0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0.0</v>
      </c>
      <c r="Z208" s="74">
        <v>1.0</v>
      </c>
      <c r="AA208" s="74">
        <v>0.0</v>
      </c>
      <c r="AB208" s="74">
        <v>1.0</v>
      </c>
      <c r="AC208" s="74">
        <v>0.0</v>
      </c>
      <c r="AD208" s="74">
        <v>2.0</v>
      </c>
      <c r="AE208" s="74">
        <v>1.0</v>
      </c>
      <c r="AF208" s="74">
        <v>0.0</v>
      </c>
      <c r="AG208" s="74">
        <v>0.0</v>
      </c>
      <c r="AH208" s="74">
        <v>1.0</v>
      </c>
      <c r="AI208" s="74">
        <v>1.0</v>
      </c>
      <c r="AJ208" s="74">
        <v>0.0</v>
      </c>
      <c r="AK208" s="74">
        <v>0.0</v>
      </c>
      <c r="AL208" s="74">
        <v>1.0</v>
      </c>
      <c r="AM208" s="74">
        <v>1.0</v>
      </c>
      <c r="AN208" s="74">
        <v>0.0</v>
      </c>
      <c r="AO208" s="74">
        <v>0.0</v>
      </c>
      <c r="AP208" s="74">
        <v>0.0</v>
      </c>
      <c r="AQ208" s="74">
        <v>0.0</v>
      </c>
      <c r="AR208" s="74">
        <v>0.0</v>
      </c>
      <c r="AS208" s="74">
        <v>0.0</v>
      </c>
      <c r="AT208" s="74">
        <v>0.0</v>
      </c>
      <c r="AU208" s="74">
        <v>0.0</v>
      </c>
      <c r="AV208" s="74">
        <v>0.0</v>
      </c>
      <c r="AW208" s="74">
        <v>0.0</v>
      </c>
      <c r="AX208" s="13">
        <f t="shared" si="40"/>
        <v>17</v>
      </c>
      <c r="AY208" s="52"/>
      <c r="AZ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1.0</v>
      </c>
      <c r="AJ209" s="74">
        <v>0.0</v>
      </c>
      <c r="AK209" s="74">
        <v>0.0</v>
      </c>
      <c r="AL209" s="74">
        <v>0.0</v>
      </c>
      <c r="AM209" s="74">
        <v>0.0</v>
      </c>
      <c r="AN209" s="74">
        <v>0.0</v>
      </c>
      <c r="AO209" s="74">
        <v>0.0</v>
      </c>
      <c r="AP209" s="74">
        <v>0.0</v>
      </c>
      <c r="AQ209" s="74">
        <v>0.0</v>
      </c>
      <c r="AR209" s="74">
        <v>0.0</v>
      </c>
      <c r="AS209" s="74">
        <v>0.0</v>
      </c>
      <c r="AT209" s="74">
        <v>0.0</v>
      </c>
      <c r="AU209" s="74">
        <v>0.0</v>
      </c>
      <c r="AV209" s="74">
        <v>0.0</v>
      </c>
      <c r="AW209" s="74">
        <v>0.0</v>
      </c>
      <c r="AX209" s="13">
        <f t="shared" si="40"/>
        <v>1</v>
      </c>
      <c r="AY209" s="52"/>
      <c r="AZ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1.0</v>
      </c>
      <c r="I210" s="74">
        <v>0.0</v>
      </c>
      <c r="J210" s="74">
        <v>1.0</v>
      </c>
      <c r="K210" s="74">
        <v>0.0</v>
      </c>
      <c r="L210" s="74">
        <v>0.0</v>
      </c>
      <c r="M210" s="74">
        <v>0.0</v>
      </c>
      <c r="N210" s="74">
        <v>2.0</v>
      </c>
      <c r="O210" s="74">
        <v>0.0</v>
      </c>
      <c r="P210" s="74">
        <v>2.0</v>
      </c>
      <c r="Q210" s="74">
        <v>0.0</v>
      </c>
      <c r="R210" s="74">
        <v>2.0</v>
      </c>
      <c r="S210" s="74">
        <v>0.0</v>
      </c>
      <c r="T210" s="74">
        <v>0.0</v>
      </c>
      <c r="U210" s="74">
        <v>1.0</v>
      </c>
      <c r="V210" s="74">
        <v>0.0</v>
      </c>
      <c r="W210" s="74">
        <v>1.0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2.0</v>
      </c>
      <c r="AC210" s="74">
        <v>0.0</v>
      </c>
      <c r="AD210" s="74">
        <v>2.0</v>
      </c>
      <c r="AE210" s="74">
        <v>0.0</v>
      </c>
      <c r="AF210" s="74">
        <v>0.0</v>
      </c>
      <c r="AG210" s="74">
        <v>2.0</v>
      </c>
      <c r="AH210" s="74">
        <v>0.0</v>
      </c>
      <c r="AI210" s="74">
        <v>0.0</v>
      </c>
      <c r="AJ210" s="74">
        <v>0.0</v>
      </c>
      <c r="AK210" s="74">
        <v>0.0</v>
      </c>
      <c r="AL210" s="74">
        <v>0.0</v>
      </c>
      <c r="AM210" s="74">
        <v>0.0</v>
      </c>
      <c r="AN210" s="74">
        <v>0.0</v>
      </c>
      <c r="AO210" s="74">
        <v>0.0</v>
      </c>
      <c r="AP210" s="74">
        <v>1.0</v>
      </c>
      <c r="AQ210" s="74">
        <v>0.0</v>
      </c>
      <c r="AR210" s="74">
        <v>0.0</v>
      </c>
      <c r="AS210" s="74">
        <v>0.0</v>
      </c>
      <c r="AT210" s="74">
        <v>0.0</v>
      </c>
      <c r="AU210" s="74">
        <v>0.0</v>
      </c>
      <c r="AV210" s="74">
        <v>1.0</v>
      </c>
      <c r="AW210" s="74">
        <v>0.0</v>
      </c>
      <c r="AX210" s="13">
        <f t="shared" si="40"/>
        <v>18</v>
      </c>
      <c r="AY210" s="52"/>
      <c r="AZ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X211" si="41">SUM(E201:E210)</f>
        <v>17</v>
      </c>
      <c r="F211" s="13">
        <f t="shared" si="41"/>
        <v>9</v>
      </c>
      <c r="G211" s="13">
        <f t="shared" si="41"/>
        <v>9</v>
      </c>
      <c r="H211" s="13">
        <f t="shared" si="41"/>
        <v>15</v>
      </c>
      <c r="I211" s="13">
        <f t="shared" si="41"/>
        <v>6</v>
      </c>
      <c r="J211" s="13">
        <f t="shared" si="41"/>
        <v>17</v>
      </c>
      <c r="K211" s="13">
        <f t="shared" si="41"/>
        <v>7</v>
      </c>
      <c r="L211" s="13">
        <f t="shared" si="41"/>
        <v>10</v>
      </c>
      <c r="M211" s="13">
        <f t="shared" si="41"/>
        <v>9</v>
      </c>
      <c r="N211" s="13">
        <f t="shared" si="41"/>
        <v>37</v>
      </c>
      <c r="O211" s="13">
        <f t="shared" si="41"/>
        <v>26</v>
      </c>
      <c r="P211" s="13">
        <f t="shared" si="41"/>
        <v>29</v>
      </c>
      <c r="Q211" s="13">
        <f t="shared" si="41"/>
        <v>10</v>
      </c>
      <c r="R211" s="13">
        <f t="shared" si="41"/>
        <v>29</v>
      </c>
      <c r="S211" s="13">
        <f t="shared" si="41"/>
        <v>19</v>
      </c>
      <c r="T211" s="13">
        <f t="shared" si="41"/>
        <v>19</v>
      </c>
      <c r="U211" s="13">
        <f t="shared" si="41"/>
        <v>33</v>
      </c>
      <c r="V211" s="13">
        <f t="shared" si="41"/>
        <v>15</v>
      </c>
      <c r="W211" s="13">
        <f t="shared" si="41"/>
        <v>18</v>
      </c>
      <c r="X211" s="13">
        <f t="shared" si="41"/>
        <v>4</v>
      </c>
      <c r="Y211" s="13">
        <f t="shared" si="41"/>
        <v>14</v>
      </c>
      <c r="Z211" s="13">
        <f t="shared" si="41"/>
        <v>13</v>
      </c>
      <c r="AA211" s="13">
        <f t="shared" si="41"/>
        <v>10</v>
      </c>
      <c r="AB211" s="13">
        <f t="shared" si="41"/>
        <v>13</v>
      </c>
      <c r="AC211" s="13">
        <f t="shared" si="41"/>
        <v>15</v>
      </c>
      <c r="AD211" s="13">
        <f t="shared" si="41"/>
        <v>15</v>
      </c>
      <c r="AE211" s="13">
        <f t="shared" si="41"/>
        <v>15</v>
      </c>
      <c r="AF211" s="13">
        <f t="shared" si="41"/>
        <v>19</v>
      </c>
      <c r="AG211" s="13">
        <f t="shared" si="41"/>
        <v>32</v>
      </c>
      <c r="AH211" s="13">
        <f t="shared" si="41"/>
        <v>32</v>
      </c>
      <c r="AI211" s="13">
        <f t="shared" si="41"/>
        <v>33</v>
      </c>
      <c r="AJ211" s="13">
        <f t="shared" si="41"/>
        <v>20</v>
      </c>
      <c r="AK211" s="13">
        <f t="shared" si="41"/>
        <v>26</v>
      </c>
      <c r="AL211" s="13">
        <f t="shared" si="41"/>
        <v>46</v>
      </c>
      <c r="AM211" s="13">
        <f t="shared" si="41"/>
        <v>36</v>
      </c>
      <c r="AN211" s="13">
        <f t="shared" si="41"/>
        <v>45</v>
      </c>
      <c r="AO211" s="13">
        <f t="shared" si="41"/>
        <v>22</v>
      </c>
      <c r="AP211" s="13">
        <f t="shared" si="41"/>
        <v>23</v>
      </c>
      <c r="AQ211" s="13">
        <f t="shared" si="41"/>
        <v>31</v>
      </c>
      <c r="AR211" s="13">
        <f t="shared" si="41"/>
        <v>26</v>
      </c>
      <c r="AS211" s="13">
        <f t="shared" si="41"/>
        <v>17</v>
      </c>
      <c r="AT211" s="13">
        <f t="shared" si="41"/>
        <v>13</v>
      </c>
      <c r="AU211" s="13">
        <f t="shared" si="41"/>
        <v>20</v>
      </c>
      <c r="AV211" s="13">
        <f t="shared" si="41"/>
        <v>21</v>
      </c>
      <c r="AW211" s="13">
        <f t="shared" si="41"/>
        <v>16</v>
      </c>
      <c r="AX211" s="13">
        <f t="shared" si="41"/>
        <v>911</v>
      </c>
      <c r="AY211" s="5"/>
      <c r="AZ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5"/>
      <c r="AZ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91">
        <v>4.0</v>
      </c>
      <c r="F213" s="91">
        <v>6.0</v>
      </c>
      <c r="G213" s="91">
        <v>5.0</v>
      </c>
      <c r="H213" s="91">
        <v>5.0</v>
      </c>
      <c r="I213" s="91">
        <v>0.0</v>
      </c>
      <c r="J213" s="91">
        <v>1.0</v>
      </c>
      <c r="K213" s="91">
        <v>0.0</v>
      </c>
      <c r="L213" s="91">
        <v>3.0</v>
      </c>
      <c r="M213" s="91">
        <v>3.0</v>
      </c>
      <c r="N213" s="91">
        <v>0.0</v>
      </c>
      <c r="O213" s="91">
        <v>3.0</v>
      </c>
      <c r="P213" s="91">
        <v>1.0</v>
      </c>
      <c r="Q213" s="91">
        <v>1.0</v>
      </c>
      <c r="R213" s="91">
        <v>0.0</v>
      </c>
      <c r="S213" s="91">
        <v>1.0</v>
      </c>
      <c r="T213" s="91">
        <v>2.0</v>
      </c>
      <c r="U213" s="91">
        <v>1.0</v>
      </c>
      <c r="V213" s="91">
        <v>1.0</v>
      </c>
      <c r="W213" s="91">
        <v>0.0</v>
      </c>
      <c r="X213" s="91">
        <v>3.0</v>
      </c>
      <c r="Y213" s="91">
        <v>0.0</v>
      </c>
      <c r="Z213" s="91">
        <v>6.0</v>
      </c>
      <c r="AA213" s="91">
        <v>0.0</v>
      </c>
      <c r="AB213" s="91">
        <v>0.0</v>
      </c>
      <c r="AC213" s="91">
        <v>2.0</v>
      </c>
      <c r="AD213" s="91">
        <v>1.0</v>
      </c>
      <c r="AE213" s="91">
        <v>2.0</v>
      </c>
      <c r="AF213" s="91">
        <v>1.0</v>
      </c>
      <c r="AG213" s="91">
        <v>3.0</v>
      </c>
      <c r="AH213" s="91">
        <v>1.0</v>
      </c>
      <c r="AI213" s="91">
        <v>3.0</v>
      </c>
      <c r="AJ213" s="91">
        <v>0.0</v>
      </c>
      <c r="AK213" s="91">
        <v>1.0</v>
      </c>
      <c r="AL213" s="91">
        <v>0.0</v>
      </c>
      <c r="AM213" s="91">
        <v>2.0</v>
      </c>
      <c r="AN213" s="91">
        <v>4.0</v>
      </c>
      <c r="AO213" s="91">
        <v>1.0</v>
      </c>
      <c r="AP213" s="91">
        <v>0.0</v>
      </c>
      <c r="AQ213" s="91">
        <v>0.0</v>
      </c>
      <c r="AR213" s="91">
        <v>6.0</v>
      </c>
      <c r="AS213" s="91">
        <v>1.0</v>
      </c>
      <c r="AT213" s="91">
        <v>0.0</v>
      </c>
      <c r="AU213" s="91">
        <v>1.0</v>
      </c>
      <c r="AV213" s="91">
        <v>1.0</v>
      </c>
      <c r="AW213" s="91">
        <v>3.0</v>
      </c>
      <c r="AX213" s="13">
        <f t="shared" ref="AX213:AX216" si="42">SUM(E213:AW213)</f>
        <v>79</v>
      </c>
      <c r="AY213" s="5"/>
      <c r="AZ213" s="5"/>
    </row>
    <row r="214" ht="12.75" customHeight="1">
      <c r="A214" s="30" t="s">
        <v>39</v>
      </c>
      <c r="B214" s="55"/>
      <c r="C214" s="50" t="s">
        <v>165</v>
      </c>
      <c r="D214" s="56"/>
      <c r="E214" s="91">
        <v>1.0</v>
      </c>
      <c r="F214" s="91">
        <v>2.0</v>
      </c>
      <c r="G214" s="91">
        <v>2.0</v>
      </c>
      <c r="H214" s="91">
        <v>1.0</v>
      </c>
      <c r="I214" s="91">
        <v>0.0</v>
      </c>
      <c r="J214" s="91">
        <v>0.0</v>
      </c>
      <c r="K214" s="91">
        <v>3.0</v>
      </c>
      <c r="L214" s="91">
        <v>0.0</v>
      </c>
      <c r="M214" s="91">
        <v>1.0</v>
      </c>
      <c r="N214" s="91">
        <v>5.0</v>
      </c>
      <c r="O214" s="91">
        <v>2.0</v>
      </c>
      <c r="P214" s="91">
        <v>1.0</v>
      </c>
      <c r="Q214" s="91">
        <v>0.0</v>
      </c>
      <c r="R214" s="91">
        <v>2.0</v>
      </c>
      <c r="S214" s="91">
        <v>2.0</v>
      </c>
      <c r="T214" s="91">
        <v>1.0</v>
      </c>
      <c r="U214" s="91">
        <v>0.0</v>
      </c>
      <c r="V214" s="91">
        <v>1.0</v>
      </c>
      <c r="W214" s="91">
        <v>4.0</v>
      </c>
      <c r="X214" s="91">
        <v>0.0</v>
      </c>
      <c r="Y214" s="91">
        <v>2.0</v>
      </c>
      <c r="Z214" s="91">
        <v>1.0</v>
      </c>
      <c r="AA214" s="91">
        <v>2.0</v>
      </c>
      <c r="AB214" s="91">
        <v>3.0</v>
      </c>
      <c r="AC214" s="91">
        <v>0.0</v>
      </c>
      <c r="AD214" s="91">
        <v>1.0</v>
      </c>
      <c r="AE214" s="91">
        <v>2.0</v>
      </c>
      <c r="AF214" s="91">
        <v>3.0</v>
      </c>
      <c r="AG214" s="91">
        <v>5.0</v>
      </c>
      <c r="AH214" s="91">
        <v>2.0</v>
      </c>
      <c r="AI214" s="91">
        <v>1.0</v>
      </c>
      <c r="AJ214" s="91">
        <v>3.0</v>
      </c>
      <c r="AK214" s="91">
        <v>0.0</v>
      </c>
      <c r="AL214" s="91">
        <v>2.0</v>
      </c>
      <c r="AM214" s="91">
        <v>5.0</v>
      </c>
      <c r="AN214" s="91">
        <v>0.0</v>
      </c>
      <c r="AO214" s="91">
        <v>0.0</v>
      </c>
      <c r="AP214" s="91">
        <v>2.0</v>
      </c>
      <c r="AQ214" s="91">
        <v>1.0</v>
      </c>
      <c r="AR214" s="91">
        <v>0.0</v>
      </c>
      <c r="AS214" s="91">
        <v>1.0</v>
      </c>
      <c r="AT214" s="91">
        <v>1.0</v>
      </c>
      <c r="AU214" s="91">
        <v>4.0</v>
      </c>
      <c r="AV214" s="91">
        <v>1.0</v>
      </c>
      <c r="AW214" s="91">
        <v>2.0</v>
      </c>
      <c r="AX214" s="13">
        <f t="shared" si="42"/>
        <v>72</v>
      </c>
      <c r="AY214" s="5"/>
      <c r="AZ214" s="5"/>
    </row>
    <row r="215" ht="12.75" customHeight="1">
      <c r="A215" s="18"/>
      <c r="B215" s="55"/>
      <c r="C215" s="50" t="s">
        <v>166</v>
      </c>
      <c r="D215" s="56"/>
      <c r="E215" s="91">
        <v>1.0</v>
      </c>
      <c r="F215" s="91">
        <v>0.0</v>
      </c>
      <c r="G215" s="91">
        <v>4.0</v>
      </c>
      <c r="H215" s="91">
        <v>1.0</v>
      </c>
      <c r="I215" s="91">
        <v>1.0</v>
      </c>
      <c r="J215" s="91">
        <v>2.0</v>
      </c>
      <c r="K215" s="91">
        <v>1.0</v>
      </c>
      <c r="L215" s="91">
        <v>3.0</v>
      </c>
      <c r="M215" s="91">
        <v>0.0</v>
      </c>
      <c r="N215" s="91">
        <v>0.0</v>
      </c>
      <c r="O215" s="91">
        <v>4.0</v>
      </c>
      <c r="P215" s="91">
        <v>2.0</v>
      </c>
      <c r="Q215" s="91">
        <v>1.0</v>
      </c>
      <c r="R215" s="91">
        <v>0.0</v>
      </c>
      <c r="S215" s="91">
        <v>2.0</v>
      </c>
      <c r="T215" s="91">
        <v>2.0</v>
      </c>
      <c r="U215" s="91">
        <v>0.0</v>
      </c>
      <c r="V215" s="91">
        <v>1.0</v>
      </c>
      <c r="W215" s="91">
        <v>3.0</v>
      </c>
      <c r="X215" s="91">
        <v>2.0</v>
      </c>
      <c r="Y215" s="91">
        <v>2.0</v>
      </c>
      <c r="Z215" s="91">
        <v>1.0</v>
      </c>
      <c r="AA215" s="91">
        <v>1.0</v>
      </c>
      <c r="AB215" s="91">
        <v>2.0</v>
      </c>
      <c r="AC215" s="91">
        <v>0.0</v>
      </c>
      <c r="AD215" s="91">
        <v>1.0</v>
      </c>
      <c r="AE215" s="91">
        <v>3.0</v>
      </c>
      <c r="AF215" s="91">
        <v>0.0</v>
      </c>
      <c r="AG215" s="91">
        <v>1.0</v>
      </c>
      <c r="AH215" s="91">
        <v>2.0</v>
      </c>
      <c r="AI215" s="91">
        <v>2.0</v>
      </c>
      <c r="AJ215" s="91">
        <v>4.0</v>
      </c>
      <c r="AK215" s="91">
        <v>1.0</v>
      </c>
      <c r="AL215" s="91">
        <v>2.0</v>
      </c>
      <c r="AM215" s="91">
        <v>1.0</v>
      </c>
      <c r="AN215" s="91">
        <v>1.0</v>
      </c>
      <c r="AO215" s="91">
        <v>2.0</v>
      </c>
      <c r="AP215" s="91">
        <v>2.0</v>
      </c>
      <c r="AQ215" s="91">
        <v>1.0</v>
      </c>
      <c r="AR215" s="91">
        <v>3.0</v>
      </c>
      <c r="AS215" s="91">
        <v>0.0</v>
      </c>
      <c r="AT215" s="91">
        <v>0.0</v>
      </c>
      <c r="AU215" s="91">
        <v>0.0</v>
      </c>
      <c r="AV215" s="91">
        <v>0.0</v>
      </c>
      <c r="AW215" s="91">
        <v>0.0</v>
      </c>
      <c r="AX215" s="13">
        <f t="shared" si="42"/>
        <v>62</v>
      </c>
      <c r="AY215" s="5"/>
      <c r="AZ215" s="5"/>
    </row>
    <row r="216" ht="12.75" customHeight="1">
      <c r="A216" s="18"/>
      <c r="B216" s="55"/>
      <c r="C216" s="50" t="s">
        <v>167</v>
      </c>
      <c r="E216" s="91">
        <v>0.0</v>
      </c>
      <c r="F216" s="91">
        <v>0.0</v>
      </c>
      <c r="G216" s="91">
        <v>0.0</v>
      </c>
      <c r="H216" s="91">
        <v>0.0</v>
      </c>
      <c r="I216" s="91">
        <v>0.0</v>
      </c>
      <c r="J216" s="91">
        <v>0.0</v>
      </c>
      <c r="K216" s="91">
        <v>0.0</v>
      </c>
      <c r="L216" s="91">
        <v>0.0</v>
      </c>
      <c r="M216" s="91">
        <v>2.0</v>
      </c>
      <c r="N216" s="91">
        <v>1.0</v>
      </c>
      <c r="O216" s="91">
        <v>0.0</v>
      </c>
      <c r="P216" s="91">
        <v>1.0</v>
      </c>
      <c r="Q216" s="91">
        <v>0.0</v>
      </c>
      <c r="R216" s="91">
        <v>0.0</v>
      </c>
      <c r="S216" s="91">
        <v>0.0</v>
      </c>
      <c r="T216" s="91">
        <v>0.0</v>
      </c>
      <c r="U216" s="91">
        <v>0.0</v>
      </c>
      <c r="V216" s="91">
        <v>0.0</v>
      </c>
      <c r="W216" s="91">
        <v>0.0</v>
      </c>
      <c r="X216" s="91">
        <v>0.0</v>
      </c>
      <c r="Y216" s="91">
        <v>0.0</v>
      </c>
      <c r="Z216" s="91">
        <v>1.0</v>
      </c>
      <c r="AA216" s="91">
        <v>0.0</v>
      </c>
      <c r="AB216" s="91">
        <v>0.0</v>
      </c>
      <c r="AC216" s="91">
        <v>1.0</v>
      </c>
      <c r="AD216" s="91">
        <v>0.0</v>
      </c>
      <c r="AE216" s="91">
        <v>0.0</v>
      </c>
      <c r="AF216" s="91">
        <v>0.0</v>
      </c>
      <c r="AG216" s="91">
        <v>0.0</v>
      </c>
      <c r="AH216" s="91">
        <v>1.0</v>
      </c>
      <c r="AI216" s="91">
        <v>0.0</v>
      </c>
      <c r="AJ216" s="91">
        <v>0.0</v>
      </c>
      <c r="AK216" s="91">
        <v>0.0</v>
      </c>
      <c r="AL216" s="91">
        <v>0.0</v>
      </c>
      <c r="AM216" s="91">
        <v>0.0</v>
      </c>
      <c r="AN216" s="91">
        <v>1.0</v>
      </c>
      <c r="AO216" s="91">
        <v>1.0</v>
      </c>
      <c r="AP216" s="91">
        <v>3.0</v>
      </c>
      <c r="AQ216" s="91">
        <v>0.0</v>
      </c>
      <c r="AR216" s="91">
        <v>0.0</v>
      </c>
      <c r="AS216" s="91">
        <v>1.0</v>
      </c>
      <c r="AT216" s="91">
        <v>1.0</v>
      </c>
      <c r="AU216" s="91">
        <v>0.0</v>
      </c>
      <c r="AV216" s="91">
        <v>0.0</v>
      </c>
      <c r="AW216" s="91">
        <v>0.0</v>
      </c>
      <c r="AX216" s="13">
        <f t="shared" si="42"/>
        <v>14</v>
      </c>
      <c r="AY216" s="5"/>
      <c r="AZ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81"/>
      <c r="AY217" s="5"/>
      <c r="AZ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81"/>
      <c r="AY218" s="1"/>
      <c r="AZ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81"/>
      <c r="AY219" s="52"/>
      <c r="AZ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81"/>
      <c r="AY220" s="5"/>
      <c r="AZ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81"/>
      <c r="AY221" s="5"/>
      <c r="AZ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81"/>
      <c r="AY222" s="5"/>
      <c r="AZ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W223" si="43">SUM(E213:E220)</f>
        <v>6</v>
      </c>
      <c r="F223" s="13">
        <f t="shared" si="43"/>
        <v>8</v>
      </c>
      <c r="G223" s="13">
        <f t="shared" si="43"/>
        <v>11</v>
      </c>
      <c r="H223" s="13">
        <f t="shared" si="43"/>
        <v>7</v>
      </c>
      <c r="I223" s="13">
        <f t="shared" si="43"/>
        <v>1</v>
      </c>
      <c r="J223" s="13">
        <f t="shared" si="43"/>
        <v>3</v>
      </c>
      <c r="K223" s="13">
        <f t="shared" si="43"/>
        <v>4</v>
      </c>
      <c r="L223" s="13">
        <f t="shared" si="43"/>
        <v>6</v>
      </c>
      <c r="M223" s="13">
        <f t="shared" si="43"/>
        <v>6</v>
      </c>
      <c r="N223" s="13">
        <f t="shared" si="43"/>
        <v>6</v>
      </c>
      <c r="O223" s="13">
        <f t="shared" si="43"/>
        <v>9</v>
      </c>
      <c r="P223" s="13">
        <f t="shared" si="43"/>
        <v>5</v>
      </c>
      <c r="Q223" s="13">
        <f t="shared" si="43"/>
        <v>2</v>
      </c>
      <c r="R223" s="13">
        <f t="shared" si="43"/>
        <v>2</v>
      </c>
      <c r="S223" s="13">
        <f t="shared" si="43"/>
        <v>5</v>
      </c>
      <c r="T223" s="13">
        <f t="shared" si="43"/>
        <v>5</v>
      </c>
      <c r="U223" s="13">
        <f t="shared" si="43"/>
        <v>1</v>
      </c>
      <c r="V223" s="13">
        <f t="shared" si="43"/>
        <v>3</v>
      </c>
      <c r="W223" s="13">
        <f t="shared" si="43"/>
        <v>7</v>
      </c>
      <c r="X223" s="13">
        <f t="shared" si="43"/>
        <v>5</v>
      </c>
      <c r="Y223" s="13">
        <f t="shared" si="43"/>
        <v>4</v>
      </c>
      <c r="Z223" s="13">
        <f t="shared" si="43"/>
        <v>9</v>
      </c>
      <c r="AA223" s="13">
        <f t="shared" si="43"/>
        <v>3</v>
      </c>
      <c r="AB223" s="13">
        <f t="shared" si="43"/>
        <v>5</v>
      </c>
      <c r="AC223" s="13">
        <f t="shared" si="43"/>
        <v>3</v>
      </c>
      <c r="AD223" s="13">
        <f t="shared" si="43"/>
        <v>3</v>
      </c>
      <c r="AE223" s="13">
        <f t="shared" si="43"/>
        <v>7</v>
      </c>
      <c r="AF223" s="13">
        <f t="shared" si="43"/>
        <v>4</v>
      </c>
      <c r="AG223" s="13">
        <f t="shared" si="43"/>
        <v>9</v>
      </c>
      <c r="AH223" s="13">
        <f t="shared" si="43"/>
        <v>6</v>
      </c>
      <c r="AI223" s="13">
        <f t="shared" si="43"/>
        <v>6</v>
      </c>
      <c r="AJ223" s="13">
        <f t="shared" si="43"/>
        <v>7</v>
      </c>
      <c r="AK223" s="13">
        <f t="shared" si="43"/>
        <v>2</v>
      </c>
      <c r="AL223" s="13">
        <f t="shared" si="43"/>
        <v>4</v>
      </c>
      <c r="AM223" s="13">
        <f t="shared" si="43"/>
        <v>8</v>
      </c>
      <c r="AN223" s="13">
        <f t="shared" si="43"/>
        <v>6</v>
      </c>
      <c r="AO223" s="13">
        <f t="shared" si="43"/>
        <v>4</v>
      </c>
      <c r="AP223" s="13">
        <f t="shared" si="43"/>
        <v>7</v>
      </c>
      <c r="AQ223" s="13">
        <f t="shared" si="43"/>
        <v>2</v>
      </c>
      <c r="AR223" s="13">
        <f t="shared" si="43"/>
        <v>9</v>
      </c>
      <c r="AS223" s="13">
        <f t="shared" si="43"/>
        <v>3</v>
      </c>
      <c r="AT223" s="13">
        <f t="shared" si="43"/>
        <v>2</v>
      </c>
      <c r="AU223" s="13">
        <f t="shared" si="43"/>
        <v>5</v>
      </c>
      <c r="AV223" s="13">
        <f t="shared" si="43"/>
        <v>2</v>
      </c>
      <c r="AW223" s="13">
        <f t="shared" si="43"/>
        <v>5</v>
      </c>
      <c r="AX223" s="13">
        <f>SUM(E223:AW223)</f>
        <v>227</v>
      </c>
      <c r="AY223" s="5"/>
      <c r="AZ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5"/>
      <c r="AZ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91">
        <v>0.0</v>
      </c>
      <c r="F225" s="91">
        <v>0.0</v>
      </c>
      <c r="G225" s="91">
        <v>0.0</v>
      </c>
      <c r="H225" s="91">
        <v>0.0</v>
      </c>
      <c r="I225" s="91">
        <v>0.0</v>
      </c>
      <c r="J225" s="91">
        <v>0.0</v>
      </c>
      <c r="K225" s="91">
        <v>0.0</v>
      </c>
      <c r="L225" s="91">
        <v>0.0</v>
      </c>
      <c r="M225" s="91">
        <v>0.0</v>
      </c>
      <c r="N225" s="91">
        <v>0.0</v>
      </c>
      <c r="O225" s="91">
        <v>0.0</v>
      </c>
      <c r="P225" s="91">
        <v>0.0</v>
      </c>
      <c r="Q225" s="91">
        <v>0.0</v>
      </c>
      <c r="R225" s="91">
        <v>1.0</v>
      </c>
      <c r="S225" s="91">
        <v>0.0</v>
      </c>
      <c r="T225" s="91">
        <v>0.0</v>
      </c>
      <c r="U225" s="91">
        <v>0.0</v>
      </c>
      <c r="V225" s="91">
        <v>0.0</v>
      </c>
      <c r="W225" s="91">
        <v>0.0</v>
      </c>
      <c r="X225" s="91">
        <v>0.0</v>
      </c>
      <c r="Y225" s="91">
        <v>0.0</v>
      </c>
      <c r="Z225" s="91">
        <v>0.0</v>
      </c>
      <c r="AA225" s="91">
        <v>0.0</v>
      </c>
      <c r="AB225" s="91">
        <v>0.0</v>
      </c>
      <c r="AC225" s="91">
        <v>0.0</v>
      </c>
      <c r="AD225" s="91">
        <v>0.0</v>
      </c>
      <c r="AE225" s="91">
        <v>0.0</v>
      </c>
      <c r="AF225" s="91">
        <v>0.0</v>
      </c>
      <c r="AG225" s="91">
        <v>0.0</v>
      </c>
      <c r="AH225" s="91">
        <v>0.0</v>
      </c>
      <c r="AI225" s="91">
        <v>1.0</v>
      </c>
      <c r="AJ225" s="91">
        <v>0.0</v>
      </c>
      <c r="AK225" s="91">
        <v>0.0</v>
      </c>
      <c r="AL225" s="91">
        <v>0.0</v>
      </c>
      <c r="AM225" s="91">
        <v>2.0</v>
      </c>
      <c r="AN225" s="91">
        <v>0.0</v>
      </c>
      <c r="AO225" s="91">
        <v>0.0</v>
      </c>
      <c r="AP225" s="91">
        <v>0.0</v>
      </c>
      <c r="AQ225" s="91">
        <v>0.0</v>
      </c>
      <c r="AR225" s="91">
        <v>0.0</v>
      </c>
      <c r="AS225" s="91">
        <v>0.0</v>
      </c>
      <c r="AT225" s="91">
        <v>1.0</v>
      </c>
      <c r="AU225" s="91">
        <v>0.0</v>
      </c>
      <c r="AV225" s="91">
        <v>0.0</v>
      </c>
      <c r="AW225" s="91">
        <v>0.0</v>
      </c>
      <c r="AX225" s="13">
        <f t="shared" ref="AX225:AX229" si="44">SUM(E225:AW225)</f>
        <v>5</v>
      </c>
      <c r="AY225" s="5"/>
      <c r="AZ225" s="5"/>
    </row>
    <row r="226" ht="12.75" customHeight="1">
      <c r="A226" s="30" t="s">
        <v>39</v>
      </c>
      <c r="B226" s="55"/>
      <c r="C226" s="50" t="s">
        <v>170</v>
      </c>
      <c r="D226" s="57"/>
      <c r="E226" s="91">
        <v>0.0</v>
      </c>
      <c r="F226" s="91">
        <v>0.0</v>
      </c>
      <c r="G226" s="91">
        <v>0.0</v>
      </c>
      <c r="H226" s="91">
        <v>0.0</v>
      </c>
      <c r="I226" s="91">
        <v>0.0</v>
      </c>
      <c r="J226" s="91">
        <v>1.0</v>
      </c>
      <c r="K226" s="91">
        <v>0.0</v>
      </c>
      <c r="L226" s="91">
        <v>0.0</v>
      </c>
      <c r="M226" s="91">
        <v>0.0</v>
      </c>
      <c r="N226" s="91">
        <v>0.0</v>
      </c>
      <c r="O226" s="91">
        <v>0.0</v>
      </c>
      <c r="P226" s="91">
        <v>0.0</v>
      </c>
      <c r="Q226" s="91">
        <v>0.0</v>
      </c>
      <c r="R226" s="91">
        <v>2.0</v>
      </c>
      <c r="S226" s="91">
        <v>0.0</v>
      </c>
      <c r="T226" s="91">
        <v>1.0</v>
      </c>
      <c r="U226" s="91">
        <v>0.0</v>
      </c>
      <c r="V226" s="91">
        <v>2.0</v>
      </c>
      <c r="W226" s="91">
        <v>0.0</v>
      </c>
      <c r="X226" s="91">
        <v>0.0</v>
      </c>
      <c r="Y226" s="91">
        <v>0.0</v>
      </c>
      <c r="Z226" s="91">
        <v>0.0</v>
      </c>
      <c r="AA226" s="91">
        <v>1.0</v>
      </c>
      <c r="AB226" s="91">
        <v>0.0</v>
      </c>
      <c r="AC226" s="91">
        <v>4.0</v>
      </c>
      <c r="AD226" s="91">
        <v>0.0</v>
      </c>
      <c r="AE226" s="91">
        <v>0.0</v>
      </c>
      <c r="AF226" s="91">
        <v>0.0</v>
      </c>
      <c r="AG226" s="91">
        <v>0.0</v>
      </c>
      <c r="AH226" s="91">
        <v>0.0</v>
      </c>
      <c r="AI226" s="91">
        <v>0.0</v>
      </c>
      <c r="AJ226" s="91">
        <v>0.0</v>
      </c>
      <c r="AK226" s="91">
        <v>0.0</v>
      </c>
      <c r="AL226" s="91">
        <v>2.0</v>
      </c>
      <c r="AM226" s="91">
        <v>0.0</v>
      </c>
      <c r="AN226" s="91">
        <v>0.0</v>
      </c>
      <c r="AO226" s="91">
        <v>0.0</v>
      </c>
      <c r="AP226" s="91">
        <v>0.0</v>
      </c>
      <c r="AQ226" s="91">
        <v>0.0</v>
      </c>
      <c r="AR226" s="91">
        <v>0.0</v>
      </c>
      <c r="AS226" s="91">
        <v>0.0</v>
      </c>
      <c r="AT226" s="91">
        <v>0.0</v>
      </c>
      <c r="AU226" s="91">
        <v>0.0</v>
      </c>
      <c r="AV226" s="91">
        <v>0.0</v>
      </c>
      <c r="AW226" s="91">
        <v>0.0</v>
      </c>
      <c r="AX226" s="13">
        <f t="shared" si="44"/>
        <v>13</v>
      </c>
      <c r="AY226" s="5"/>
      <c r="AZ226" s="5"/>
    </row>
    <row r="227" ht="12.75" customHeight="1">
      <c r="A227" s="18"/>
      <c r="B227" s="55"/>
      <c r="C227" s="50" t="s">
        <v>171</v>
      </c>
      <c r="D227" s="57"/>
      <c r="E227" s="91">
        <v>0.0</v>
      </c>
      <c r="F227" s="91">
        <v>0.0</v>
      </c>
      <c r="G227" s="91">
        <v>0.0</v>
      </c>
      <c r="H227" s="91">
        <v>0.0</v>
      </c>
      <c r="I227" s="91">
        <v>0.0</v>
      </c>
      <c r="J227" s="91">
        <v>0.0</v>
      </c>
      <c r="K227" s="91">
        <v>0.0</v>
      </c>
      <c r="L227" s="91">
        <v>0.0</v>
      </c>
      <c r="M227" s="91">
        <v>0.0</v>
      </c>
      <c r="N227" s="91">
        <v>0.0</v>
      </c>
      <c r="O227" s="91">
        <v>0.0</v>
      </c>
      <c r="P227" s="91">
        <v>0.0</v>
      </c>
      <c r="Q227" s="91">
        <v>0.0</v>
      </c>
      <c r="R227" s="91">
        <v>0.0</v>
      </c>
      <c r="S227" s="91">
        <v>0.0</v>
      </c>
      <c r="T227" s="91">
        <v>0.0</v>
      </c>
      <c r="U227" s="91">
        <v>0.0</v>
      </c>
      <c r="V227" s="91">
        <v>0.0</v>
      </c>
      <c r="W227" s="91">
        <v>0.0</v>
      </c>
      <c r="X227" s="91">
        <v>0.0</v>
      </c>
      <c r="Y227" s="91">
        <v>0.0</v>
      </c>
      <c r="Z227" s="91">
        <v>0.0</v>
      </c>
      <c r="AA227" s="91">
        <v>2.0</v>
      </c>
      <c r="AB227" s="91">
        <v>0.0</v>
      </c>
      <c r="AC227" s="91">
        <v>1.0</v>
      </c>
      <c r="AD227" s="91">
        <v>0.0</v>
      </c>
      <c r="AE227" s="91">
        <v>0.0</v>
      </c>
      <c r="AF227" s="91">
        <v>0.0</v>
      </c>
      <c r="AG227" s="91">
        <v>0.0</v>
      </c>
      <c r="AH227" s="91">
        <v>0.0</v>
      </c>
      <c r="AI227" s="91">
        <v>1.0</v>
      </c>
      <c r="AJ227" s="91">
        <v>0.0</v>
      </c>
      <c r="AK227" s="91">
        <v>0.0</v>
      </c>
      <c r="AL227" s="91">
        <v>0.0</v>
      </c>
      <c r="AM227" s="91">
        <v>0.0</v>
      </c>
      <c r="AN227" s="91">
        <v>0.0</v>
      </c>
      <c r="AO227" s="91">
        <v>1.0</v>
      </c>
      <c r="AP227" s="91">
        <v>0.0</v>
      </c>
      <c r="AQ227" s="91">
        <v>0.0</v>
      </c>
      <c r="AR227" s="91">
        <v>0.0</v>
      </c>
      <c r="AS227" s="91">
        <v>0.0</v>
      </c>
      <c r="AT227" s="91">
        <v>0.0</v>
      </c>
      <c r="AU227" s="91">
        <v>0.0</v>
      </c>
      <c r="AV227" s="91">
        <v>0.0</v>
      </c>
      <c r="AW227" s="91">
        <v>0.0</v>
      </c>
      <c r="AX227" s="13">
        <f t="shared" si="44"/>
        <v>5</v>
      </c>
      <c r="AY227" s="5"/>
      <c r="AZ227" s="5"/>
    </row>
    <row r="228" ht="12.75" customHeight="1">
      <c r="A228" s="18"/>
      <c r="B228" s="55"/>
      <c r="C228" s="50" t="s">
        <v>172</v>
      </c>
      <c r="D228" s="57"/>
      <c r="E228" s="91">
        <v>1.0</v>
      </c>
      <c r="F228" s="91">
        <v>0.0</v>
      </c>
      <c r="G228" s="91">
        <v>0.0</v>
      </c>
      <c r="H228" s="91">
        <v>0.0</v>
      </c>
      <c r="I228" s="91">
        <v>1.0</v>
      </c>
      <c r="J228" s="91">
        <v>0.0</v>
      </c>
      <c r="K228" s="91">
        <v>0.0</v>
      </c>
      <c r="L228" s="91">
        <v>0.0</v>
      </c>
      <c r="M228" s="91">
        <v>1.0</v>
      </c>
      <c r="N228" s="91">
        <v>0.0</v>
      </c>
      <c r="O228" s="91">
        <v>0.0</v>
      </c>
      <c r="P228" s="91">
        <v>0.0</v>
      </c>
      <c r="Q228" s="91">
        <v>0.0</v>
      </c>
      <c r="R228" s="91">
        <v>0.0</v>
      </c>
      <c r="S228" s="91">
        <v>0.0</v>
      </c>
      <c r="T228" s="91">
        <v>0.0</v>
      </c>
      <c r="U228" s="91">
        <v>0.0</v>
      </c>
      <c r="V228" s="91">
        <v>0.0</v>
      </c>
      <c r="W228" s="91">
        <v>0.0</v>
      </c>
      <c r="X228" s="91">
        <v>0.0</v>
      </c>
      <c r="Y228" s="91">
        <v>0.0</v>
      </c>
      <c r="Z228" s="91">
        <v>0.0</v>
      </c>
      <c r="AA228" s="91">
        <v>0.0</v>
      </c>
      <c r="AB228" s="91">
        <v>0.0</v>
      </c>
      <c r="AC228" s="91">
        <v>0.0</v>
      </c>
      <c r="AD228" s="91">
        <v>0.0</v>
      </c>
      <c r="AE228" s="91">
        <v>0.0</v>
      </c>
      <c r="AF228" s="91">
        <v>0.0</v>
      </c>
      <c r="AG228" s="91">
        <v>0.0</v>
      </c>
      <c r="AH228" s="91">
        <v>0.0</v>
      </c>
      <c r="AI228" s="91">
        <v>0.0</v>
      </c>
      <c r="AJ228" s="91">
        <v>0.0</v>
      </c>
      <c r="AK228" s="91">
        <v>0.0</v>
      </c>
      <c r="AL228" s="91">
        <v>0.0</v>
      </c>
      <c r="AM228" s="91">
        <v>0.0</v>
      </c>
      <c r="AN228" s="91">
        <v>0.0</v>
      </c>
      <c r="AO228" s="91">
        <v>0.0</v>
      </c>
      <c r="AP228" s="91">
        <v>0.0</v>
      </c>
      <c r="AQ228" s="91">
        <v>0.0</v>
      </c>
      <c r="AR228" s="91">
        <v>0.0</v>
      </c>
      <c r="AS228" s="91">
        <v>0.0</v>
      </c>
      <c r="AT228" s="91">
        <v>0.0</v>
      </c>
      <c r="AU228" s="91">
        <v>0.0</v>
      </c>
      <c r="AV228" s="91">
        <v>0.0</v>
      </c>
      <c r="AW228" s="91">
        <v>0.0</v>
      </c>
      <c r="AX228" s="13">
        <f t="shared" si="44"/>
        <v>3</v>
      </c>
      <c r="AY228" s="5"/>
      <c r="AZ228" s="5"/>
    </row>
    <row r="229" ht="12.75" customHeight="1">
      <c r="A229" s="18"/>
      <c r="B229" s="55"/>
      <c r="C229" s="50" t="s">
        <v>173</v>
      </c>
      <c r="D229" s="57"/>
      <c r="E229" s="91">
        <v>0.0</v>
      </c>
      <c r="F229" s="91">
        <v>0.0</v>
      </c>
      <c r="G229" s="91">
        <v>0.0</v>
      </c>
      <c r="H229" s="91">
        <v>0.0</v>
      </c>
      <c r="I229" s="91">
        <v>1.0</v>
      </c>
      <c r="J229" s="91">
        <v>0.0</v>
      </c>
      <c r="K229" s="91">
        <v>0.0</v>
      </c>
      <c r="L229" s="91">
        <v>0.0</v>
      </c>
      <c r="M229" s="91">
        <v>0.0</v>
      </c>
      <c r="N229" s="91">
        <v>0.0</v>
      </c>
      <c r="O229" s="91">
        <v>0.0</v>
      </c>
      <c r="P229" s="91">
        <v>0.0</v>
      </c>
      <c r="Q229" s="91">
        <v>0.0</v>
      </c>
      <c r="R229" s="91">
        <v>0.0</v>
      </c>
      <c r="S229" s="91">
        <v>1.0</v>
      </c>
      <c r="T229" s="91">
        <v>0.0</v>
      </c>
      <c r="U229" s="91">
        <v>0.0</v>
      </c>
      <c r="V229" s="91">
        <v>0.0</v>
      </c>
      <c r="W229" s="91">
        <v>0.0</v>
      </c>
      <c r="X229" s="91">
        <v>1.0</v>
      </c>
      <c r="Y229" s="91">
        <v>0.0</v>
      </c>
      <c r="Z229" s="91">
        <v>0.0</v>
      </c>
      <c r="AA229" s="91">
        <v>1.0</v>
      </c>
      <c r="AB229" s="91">
        <v>0.0</v>
      </c>
      <c r="AC229" s="91">
        <v>0.0</v>
      </c>
      <c r="AD229" s="91">
        <v>0.0</v>
      </c>
      <c r="AE229" s="91">
        <v>0.0</v>
      </c>
      <c r="AF229" s="91">
        <v>0.0</v>
      </c>
      <c r="AG229" s="91">
        <v>1.0</v>
      </c>
      <c r="AH229" s="91">
        <v>1.0</v>
      </c>
      <c r="AI229" s="91">
        <v>0.0</v>
      </c>
      <c r="AJ229" s="91">
        <v>1.0</v>
      </c>
      <c r="AK229" s="91">
        <v>0.0</v>
      </c>
      <c r="AL229" s="91">
        <v>0.0</v>
      </c>
      <c r="AM229" s="91">
        <v>0.0</v>
      </c>
      <c r="AN229" s="91">
        <v>0.0</v>
      </c>
      <c r="AO229" s="91">
        <v>0.0</v>
      </c>
      <c r="AP229" s="91">
        <v>0.0</v>
      </c>
      <c r="AQ229" s="91">
        <v>0.0</v>
      </c>
      <c r="AR229" s="91">
        <v>1.0</v>
      </c>
      <c r="AS229" s="91">
        <v>0.0</v>
      </c>
      <c r="AT229" s="91">
        <v>0.0</v>
      </c>
      <c r="AU229" s="91">
        <v>0.0</v>
      </c>
      <c r="AV229" s="91">
        <v>0.0</v>
      </c>
      <c r="AW229" s="91">
        <v>0.0</v>
      </c>
      <c r="AX229" s="13">
        <f t="shared" si="44"/>
        <v>8</v>
      </c>
      <c r="AY229" s="1"/>
      <c r="AZ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81"/>
      <c r="AY230" s="52"/>
      <c r="AZ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81"/>
      <c r="AY231" s="5"/>
      <c r="AZ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81"/>
      <c r="AY232" s="5"/>
      <c r="AZ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81"/>
      <c r="AY233" s="5"/>
      <c r="AZ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81"/>
      <c r="AY234" s="5"/>
      <c r="AZ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W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2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3</v>
      </c>
      <c r="S235" s="13">
        <f t="shared" si="45"/>
        <v>1</v>
      </c>
      <c r="T235" s="13">
        <f t="shared" si="45"/>
        <v>1</v>
      </c>
      <c r="U235" s="13">
        <f t="shared" si="45"/>
        <v>0</v>
      </c>
      <c r="V235" s="13">
        <f t="shared" si="45"/>
        <v>2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4</v>
      </c>
      <c r="AB235" s="13">
        <f t="shared" si="45"/>
        <v>0</v>
      </c>
      <c r="AC235" s="13">
        <f t="shared" si="45"/>
        <v>5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1</v>
      </c>
      <c r="AH235" s="13">
        <f t="shared" si="45"/>
        <v>1</v>
      </c>
      <c r="AI235" s="13">
        <f t="shared" si="45"/>
        <v>2</v>
      </c>
      <c r="AJ235" s="13">
        <f t="shared" si="45"/>
        <v>1</v>
      </c>
      <c r="AK235" s="13">
        <f t="shared" si="45"/>
        <v>0</v>
      </c>
      <c r="AL235" s="13">
        <f t="shared" si="45"/>
        <v>2</v>
      </c>
      <c r="AM235" s="13">
        <f t="shared" si="45"/>
        <v>2</v>
      </c>
      <c r="AN235" s="13">
        <f t="shared" si="45"/>
        <v>0</v>
      </c>
      <c r="AO235" s="13">
        <f t="shared" si="45"/>
        <v>1</v>
      </c>
      <c r="AP235" s="13">
        <f t="shared" si="45"/>
        <v>0</v>
      </c>
      <c r="AQ235" s="13">
        <f t="shared" si="45"/>
        <v>0</v>
      </c>
      <c r="AR235" s="13">
        <f t="shared" si="45"/>
        <v>1</v>
      </c>
      <c r="AS235" s="13">
        <f t="shared" si="45"/>
        <v>0</v>
      </c>
      <c r="AT235" s="13">
        <f t="shared" si="45"/>
        <v>1</v>
      </c>
      <c r="AU235" s="13">
        <f t="shared" si="45"/>
        <v>0</v>
      </c>
      <c r="AV235" s="13">
        <f t="shared" si="45"/>
        <v>0</v>
      </c>
      <c r="AW235" s="13">
        <f t="shared" si="45"/>
        <v>0</v>
      </c>
      <c r="AX235" s="13">
        <f>SUM(E235:AW235)</f>
        <v>34</v>
      </c>
      <c r="AY235" s="5"/>
      <c r="AZ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5"/>
      <c r="AZ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91">
        <v>1.0</v>
      </c>
      <c r="F237" s="91">
        <v>1.0</v>
      </c>
      <c r="G237" s="91">
        <v>3.0</v>
      </c>
      <c r="H237" s="91">
        <v>0.0</v>
      </c>
      <c r="I237" s="91">
        <v>3.0</v>
      </c>
      <c r="J237" s="91">
        <v>0.0</v>
      </c>
      <c r="K237" s="91">
        <v>2.0</v>
      </c>
      <c r="L237" s="91">
        <v>3.0</v>
      </c>
      <c r="M237" s="91">
        <v>1.0</v>
      </c>
      <c r="N237" s="91">
        <v>1.0</v>
      </c>
      <c r="O237" s="91">
        <v>0.0</v>
      </c>
      <c r="P237" s="91">
        <v>0.0</v>
      </c>
      <c r="Q237" s="91">
        <v>5.0</v>
      </c>
      <c r="R237" s="91">
        <v>0.0</v>
      </c>
      <c r="S237" s="91">
        <v>1.0</v>
      </c>
      <c r="T237" s="91">
        <v>0.0</v>
      </c>
      <c r="U237" s="91">
        <v>0.0</v>
      </c>
      <c r="V237" s="91">
        <v>1.0</v>
      </c>
      <c r="W237" s="91">
        <v>1.0</v>
      </c>
      <c r="X237" s="91">
        <v>7.0</v>
      </c>
      <c r="Y237" s="91">
        <v>4.0</v>
      </c>
      <c r="Z237" s="91">
        <v>7.0</v>
      </c>
      <c r="AA237" s="91">
        <v>3.0</v>
      </c>
      <c r="AB237" s="91">
        <v>4.0</v>
      </c>
      <c r="AC237" s="91">
        <v>7.0</v>
      </c>
      <c r="AD237" s="91">
        <v>2.0</v>
      </c>
      <c r="AE237" s="91">
        <v>1.0</v>
      </c>
      <c r="AF237" s="91">
        <v>1.0</v>
      </c>
      <c r="AG237" s="91">
        <v>1.0</v>
      </c>
      <c r="AH237" s="91">
        <v>0.0</v>
      </c>
      <c r="AI237" s="91">
        <v>0.0</v>
      </c>
      <c r="AJ237" s="91">
        <v>0.0</v>
      </c>
      <c r="AK237" s="91">
        <v>0.0</v>
      </c>
      <c r="AL237" s="91">
        <v>1.0</v>
      </c>
      <c r="AM237" s="91">
        <v>0.0</v>
      </c>
      <c r="AN237" s="91">
        <v>1.0</v>
      </c>
      <c r="AO237" s="91">
        <v>0.0</v>
      </c>
      <c r="AP237" s="91">
        <v>1.0</v>
      </c>
      <c r="AQ237" s="91">
        <v>0.0</v>
      </c>
      <c r="AR237" s="91">
        <v>2.0</v>
      </c>
      <c r="AS237" s="91">
        <v>1.0</v>
      </c>
      <c r="AT237" s="91">
        <v>0.0</v>
      </c>
      <c r="AU237" s="91">
        <v>3.0</v>
      </c>
      <c r="AV237" s="91">
        <v>10.0</v>
      </c>
      <c r="AW237" s="91">
        <v>5.0</v>
      </c>
      <c r="AX237" s="13">
        <f t="shared" ref="AX237:AX246" si="46">SUM(E237:AW237)</f>
        <v>84</v>
      </c>
      <c r="AY237" s="5"/>
      <c r="AZ237" s="5"/>
    </row>
    <row r="238" ht="12.75" customHeight="1">
      <c r="A238" s="30" t="s">
        <v>39</v>
      </c>
      <c r="B238" s="55"/>
      <c r="C238" s="50" t="s">
        <v>176</v>
      </c>
      <c r="D238" s="57"/>
      <c r="E238" s="91">
        <v>0.0</v>
      </c>
      <c r="F238" s="91">
        <v>2.0</v>
      </c>
      <c r="G238" s="91">
        <v>2.0</v>
      </c>
      <c r="H238" s="91">
        <v>1.0</v>
      </c>
      <c r="I238" s="91">
        <v>0.0</v>
      </c>
      <c r="J238" s="91">
        <v>3.0</v>
      </c>
      <c r="K238" s="91">
        <v>0.0</v>
      </c>
      <c r="L238" s="91">
        <v>5.0</v>
      </c>
      <c r="M238" s="91">
        <v>1.0</v>
      </c>
      <c r="N238" s="91">
        <v>1.0</v>
      </c>
      <c r="O238" s="91">
        <v>0.0</v>
      </c>
      <c r="P238" s="91">
        <v>1.0</v>
      </c>
      <c r="Q238" s="91">
        <v>0.0</v>
      </c>
      <c r="R238" s="91">
        <v>2.0</v>
      </c>
      <c r="S238" s="91">
        <v>0.0</v>
      </c>
      <c r="T238" s="91">
        <v>0.0</v>
      </c>
      <c r="U238" s="91">
        <v>1.0</v>
      </c>
      <c r="V238" s="91">
        <v>0.0</v>
      </c>
      <c r="W238" s="91">
        <v>1.0</v>
      </c>
      <c r="X238" s="91">
        <v>1.0</v>
      </c>
      <c r="Y238" s="91">
        <v>1.0</v>
      </c>
      <c r="Z238" s="91">
        <v>0.0</v>
      </c>
      <c r="AA238" s="91">
        <v>2.0</v>
      </c>
      <c r="AB238" s="91">
        <v>0.0</v>
      </c>
      <c r="AC238" s="91">
        <v>0.0</v>
      </c>
      <c r="AD238" s="91">
        <v>2.0</v>
      </c>
      <c r="AE238" s="91">
        <v>0.0</v>
      </c>
      <c r="AF238" s="91">
        <v>1.0</v>
      </c>
      <c r="AG238" s="91">
        <v>0.0</v>
      </c>
      <c r="AH238" s="91">
        <v>0.0</v>
      </c>
      <c r="AI238" s="91">
        <v>0.0</v>
      </c>
      <c r="AJ238" s="91">
        <v>0.0</v>
      </c>
      <c r="AK238" s="91">
        <v>0.0</v>
      </c>
      <c r="AL238" s="91">
        <v>0.0</v>
      </c>
      <c r="AM238" s="91">
        <v>0.0</v>
      </c>
      <c r="AN238" s="91">
        <v>2.0</v>
      </c>
      <c r="AO238" s="91">
        <v>1.0</v>
      </c>
      <c r="AP238" s="91">
        <v>1.0</v>
      </c>
      <c r="AQ238" s="91">
        <v>4.0</v>
      </c>
      <c r="AR238" s="91">
        <v>2.0</v>
      </c>
      <c r="AS238" s="91">
        <v>0.0</v>
      </c>
      <c r="AT238" s="91">
        <v>0.0</v>
      </c>
      <c r="AU238" s="91">
        <v>4.0</v>
      </c>
      <c r="AV238" s="91">
        <v>8.0</v>
      </c>
      <c r="AW238" s="91">
        <v>9.0</v>
      </c>
      <c r="AX238" s="13">
        <f t="shared" si="46"/>
        <v>58</v>
      </c>
      <c r="AY238" s="5"/>
      <c r="AZ238" s="5"/>
    </row>
    <row r="239" ht="12.75" customHeight="1">
      <c r="A239" s="18"/>
      <c r="B239" s="55"/>
      <c r="C239" s="50" t="s">
        <v>177</v>
      </c>
      <c r="D239" s="57"/>
      <c r="E239" s="91">
        <v>3.0</v>
      </c>
      <c r="F239" s="91">
        <v>3.0</v>
      </c>
      <c r="G239" s="91">
        <v>4.0</v>
      </c>
      <c r="H239" s="91">
        <v>2.0</v>
      </c>
      <c r="I239" s="91">
        <v>10.0</v>
      </c>
      <c r="J239" s="91">
        <v>5.0</v>
      </c>
      <c r="K239" s="91">
        <v>0.0</v>
      </c>
      <c r="L239" s="91">
        <v>7.0</v>
      </c>
      <c r="M239" s="91">
        <v>2.0</v>
      </c>
      <c r="N239" s="91">
        <v>3.0</v>
      </c>
      <c r="O239" s="91">
        <v>2.0</v>
      </c>
      <c r="P239" s="91">
        <v>4.0</v>
      </c>
      <c r="Q239" s="91">
        <v>15.0</v>
      </c>
      <c r="R239" s="91">
        <v>0.0</v>
      </c>
      <c r="S239" s="91">
        <v>0.0</v>
      </c>
      <c r="T239" s="91">
        <v>1.0</v>
      </c>
      <c r="U239" s="91">
        <v>0.0</v>
      </c>
      <c r="V239" s="91">
        <v>0.0</v>
      </c>
      <c r="W239" s="91">
        <v>4.0</v>
      </c>
      <c r="X239" s="91">
        <v>8.0</v>
      </c>
      <c r="Y239" s="91">
        <v>7.0</v>
      </c>
      <c r="Z239" s="91">
        <v>15.0</v>
      </c>
      <c r="AA239" s="91">
        <v>4.0</v>
      </c>
      <c r="AB239" s="91">
        <v>2.0</v>
      </c>
      <c r="AC239" s="91">
        <v>4.0</v>
      </c>
      <c r="AD239" s="91">
        <v>8.0</v>
      </c>
      <c r="AE239" s="91">
        <v>3.0</v>
      </c>
      <c r="AF239" s="91">
        <v>6.0</v>
      </c>
      <c r="AG239" s="91">
        <v>0.0</v>
      </c>
      <c r="AH239" s="91">
        <v>1.0</v>
      </c>
      <c r="AI239" s="91">
        <v>1.0</v>
      </c>
      <c r="AJ239" s="91">
        <v>0.0</v>
      </c>
      <c r="AK239" s="91">
        <v>1.0</v>
      </c>
      <c r="AL239" s="91">
        <v>0.0</v>
      </c>
      <c r="AM239" s="91">
        <v>0.0</v>
      </c>
      <c r="AN239" s="91">
        <v>2.0</v>
      </c>
      <c r="AO239" s="91">
        <v>1.0</v>
      </c>
      <c r="AP239" s="91">
        <v>0.0</v>
      </c>
      <c r="AQ239" s="91">
        <v>0.0</v>
      </c>
      <c r="AR239" s="91">
        <v>0.0</v>
      </c>
      <c r="AS239" s="91">
        <v>2.0</v>
      </c>
      <c r="AT239" s="91">
        <v>0.0</v>
      </c>
      <c r="AU239" s="91">
        <v>1.0</v>
      </c>
      <c r="AV239" s="91">
        <v>4.0</v>
      </c>
      <c r="AW239" s="91">
        <v>1.0</v>
      </c>
      <c r="AX239" s="13">
        <f t="shared" si="46"/>
        <v>136</v>
      </c>
      <c r="AY239" s="5"/>
      <c r="AZ239" s="5"/>
    </row>
    <row r="240" ht="12.75" customHeight="1">
      <c r="A240" s="18"/>
      <c r="B240" s="55"/>
      <c r="C240" s="50" t="s">
        <v>178</v>
      </c>
      <c r="D240" s="57"/>
      <c r="E240" s="91">
        <v>0.0</v>
      </c>
      <c r="F240" s="91">
        <v>0.0</v>
      </c>
      <c r="G240" s="91">
        <v>2.0</v>
      </c>
      <c r="H240" s="91">
        <v>0.0</v>
      </c>
      <c r="I240" s="91">
        <v>1.0</v>
      </c>
      <c r="J240" s="91">
        <v>0.0</v>
      </c>
      <c r="K240" s="91">
        <v>0.0</v>
      </c>
      <c r="L240" s="91">
        <v>0.0</v>
      </c>
      <c r="M240" s="91">
        <v>1.0</v>
      </c>
      <c r="N240" s="91">
        <v>0.0</v>
      </c>
      <c r="O240" s="91">
        <v>0.0</v>
      </c>
      <c r="P240" s="91">
        <v>0.0</v>
      </c>
      <c r="Q240" s="91">
        <v>0.0</v>
      </c>
      <c r="R240" s="91">
        <v>0.0</v>
      </c>
      <c r="S240" s="91">
        <v>0.0</v>
      </c>
      <c r="T240" s="91">
        <v>0.0</v>
      </c>
      <c r="U240" s="91">
        <v>0.0</v>
      </c>
      <c r="V240" s="91">
        <v>0.0</v>
      </c>
      <c r="W240" s="91">
        <v>0.0</v>
      </c>
      <c r="X240" s="91">
        <v>2.0</v>
      </c>
      <c r="Y240" s="91">
        <v>1.0</v>
      </c>
      <c r="Z240" s="91">
        <v>0.0</v>
      </c>
      <c r="AA240" s="91">
        <v>0.0</v>
      </c>
      <c r="AB240" s="91">
        <v>1.0</v>
      </c>
      <c r="AC240" s="91">
        <v>0.0</v>
      </c>
      <c r="AD240" s="91">
        <v>0.0</v>
      </c>
      <c r="AE240" s="91">
        <v>1.0</v>
      </c>
      <c r="AF240" s="91">
        <v>0.0</v>
      </c>
      <c r="AG240" s="91">
        <v>1.0</v>
      </c>
      <c r="AH240" s="91">
        <v>0.0</v>
      </c>
      <c r="AI240" s="91">
        <v>0.0</v>
      </c>
      <c r="AJ240" s="91">
        <v>0.0</v>
      </c>
      <c r="AK240" s="91">
        <v>0.0</v>
      </c>
      <c r="AL240" s="91">
        <v>0.0</v>
      </c>
      <c r="AM240" s="91">
        <v>0.0</v>
      </c>
      <c r="AN240" s="91">
        <v>0.0</v>
      </c>
      <c r="AO240" s="91">
        <v>0.0</v>
      </c>
      <c r="AP240" s="91">
        <v>1.0</v>
      </c>
      <c r="AQ240" s="91">
        <v>0.0</v>
      </c>
      <c r="AR240" s="91">
        <v>0.0</v>
      </c>
      <c r="AS240" s="91">
        <v>0.0</v>
      </c>
      <c r="AT240" s="91">
        <v>0.0</v>
      </c>
      <c r="AU240" s="91">
        <v>0.0</v>
      </c>
      <c r="AV240" s="91">
        <v>0.0</v>
      </c>
      <c r="AW240" s="91">
        <v>1.0</v>
      </c>
      <c r="AX240" s="13">
        <f t="shared" si="46"/>
        <v>12</v>
      </c>
      <c r="AY240" s="1"/>
      <c r="AZ240" s="1"/>
    </row>
    <row r="241" ht="12.75" customHeight="1">
      <c r="A241" s="18"/>
      <c r="B241" s="55"/>
      <c r="C241" s="50" t="s">
        <v>179</v>
      </c>
      <c r="D241" s="57"/>
      <c r="E241" s="91">
        <v>0.0</v>
      </c>
      <c r="F241" s="91">
        <v>0.0</v>
      </c>
      <c r="G241" s="91">
        <v>0.0</v>
      </c>
      <c r="H241" s="91">
        <v>0.0</v>
      </c>
      <c r="I241" s="91">
        <v>0.0</v>
      </c>
      <c r="J241" s="91">
        <v>0.0</v>
      </c>
      <c r="K241" s="91">
        <v>0.0</v>
      </c>
      <c r="L241" s="91">
        <v>0.0</v>
      </c>
      <c r="M241" s="91">
        <v>0.0</v>
      </c>
      <c r="N241" s="91">
        <v>0.0</v>
      </c>
      <c r="O241" s="91">
        <v>0.0</v>
      </c>
      <c r="P241" s="91">
        <v>0.0</v>
      </c>
      <c r="Q241" s="91">
        <v>0.0</v>
      </c>
      <c r="R241" s="91">
        <v>2.0</v>
      </c>
      <c r="S241" s="91">
        <v>0.0</v>
      </c>
      <c r="T241" s="91">
        <v>0.0</v>
      </c>
      <c r="U241" s="91">
        <v>0.0</v>
      </c>
      <c r="V241" s="91">
        <v>0.0</v>
      </c>
      <c r="W241" s="91">
        <v>0.0</v>
      </c>
      <c r="X241" s="91">
        <v>0.0</v>
      </c>
      <c r="Y241" s="91">
        <v>0.0</v>
      </c>
      <c r="Z241" s="91">
        <v>0.0</v>
      </c>
      <c r="AA241" s="91">
        <v>1.0</v>
      </c>
      <c r="AB241" s="91">
        <v>0.0</v>
      </c>
      <c r="AC241" s="91">
        <v>1.0</v>
      </c>
      <c r="AD241" s="91">
        <v>1.0</v>
      </c>
      <c r="AE241" s="91">
        <v>0.0</v>
      </c>
      <c r="AF241" s="91">
        <v>1.0</v>
      </c>
      <c r="AG241" s="91">
        <v>0.0</v>
      </c>
      <c r="AH241" s="91">
        <v>0.0</v>
      </c>
      <c r="AI241" s="91">
        <v>0.0</v>
      </c>
      <c r="AJ241" s="91">
        <v>0.0</v>
      </c>
      <c r="AK241" s="91">
        <v>0.0</v>
      </c>
      <c r="AL241" s="91">
        <v>0.0</v>
      </c>
      <c r="AM241" s="91">
        <v>0.0</v>
      </c>
      <c r="AN241" s="91">
        <v>0.0</v>
      </c>
      <c r="AO241" s="91">
        <v>0.0</v>
      </c>
      <c r="AP241" s="91">
        <v>0.0</v>
      </c>
      <c r="AQ241" s="91">
        <v>0.0</v>
      </c>
      <c r="AR241" s="91">
        <v>0.0</v>
      </c>
      <c r="AS241" s="91">
        <v>0.0</v>
      </c>
      <c r="AT241" s="91">
        <v>0.0</v>
      </c>
      <c r="AU241" s="91">
        <v>0.0</v>
      </c>
      <c r="AV241" s="91">
        <v>1.0</v>
      </c>
      <c r="AW241" s="91">
        <v>1.0</v>
      </c>
      <c r="AX241" s="13">
        <f t="shared" si="46"/>
        <v>8</v>
      </c>
    </row>
    <row r="242" ht="12.75" customHeight="1">
      <c r="A242" s="18"/>
      <c r="B242" s="55"/>
      <c r="C242" s="50" t="s">
        <v>180</v>
      </c>
      <c r="D242" s="57"/>
      <c r="E242" s="91">
        <v>1.0</v>
      </c>
      <c r="F242" s="91">
        <v>1.0</v>
      </c>
      <c r="G242" s="91">
        <v>2.0</v>
      </c>
      <c r="H242" s="91">
        <v>0.0</v>
      </c>
      <c r="I242" s="91">
        <v>2.0</v>
      </c>
      <c r="J242" s="91">
        <v>1.0</v>
      </c>
      <c r="K242" s="91">
        <v>0.0</v>
      </c>
      <c r="L242" s="91">
        <v>0.0</v>
      </c>
      <c r="M242" s="91">
        <v>1.0</v>
      </c>
      <c r="N242" s="91">
        <v>1.0</v>
      </c>
      <c r="O242" s="91">
        <v>0.0</v>
      </c>
      <c r="P242" s="91">
        <v>0.0</v>
      </c>
      <c r="Q242" s="91">
        <v>1.0</v>
      </c>
      <c r="R242" s="91">
        <v>1.0</v>
      </c>
      <c r="S242" s="91">
        <v>0.0</v>
      </c>
      <c r="T242" s="91">
        <v>2.0</v>
      </c>
      <c r="U242" s="91">
        <v>0.0</v>
      </c>
      <c r="V242" s="91">
        <v>0.0</v>
      </c>
      <c r="W242" s="91">
        <v>3.0</v>
      </c>
      <c r="X242" s="91">
        <v>0.0</v>
      </c>
      <c r="Y242" s="91">
        <v>2.0</v>
      </c>
      <c r="Z242" s="91">
        <v>0.0</v>
      </c>
      <c r="AA242" s="91">
        <v>0.0</v>
      </c>
      <c r="AB242" s="91">
        <v>1.0</v>
      </c>
      <c r="AC242" s="91">
        <v>0.0</v>
      </c>
      <c r="AD242" s="91">
        <v>1.0</v>
      </c>
      <c r="AE242" s="91">
        <v>0.0</v>
      </c>
      <c r="AF242" s="91">
        <v>0.0</v>
      </c>
      <c r="AG242" s="91">
        <v>1.0</v>
      </c>
      <c r="AH242" s="91">
        <v>1.0</v>
      </c>
      <c r="AI242" s="91">
        <v>0.0</v>
      </c>
      <c r="AJ242" s="91">
        <v>1.0</v>
      </c>
      <c r="AK242" s="91">
        <v>1.0</v>
      </c>
      <c r="AL242" s="91">
        <v>0.0</v>
      </c>
      <c r="AM242" s="91">
        <v>0.0</v>
      </c>
      <c r="AN242" s="91">
        <v>0.0</v>
      </c>
      <c r="AO242" s="91">
        <v>0.0</v>
      </c>
      <c r="AP242" s="91">
        <v>0.0</v>
      </c>
      <c r="AQ242" s="91">
        <v>0.0</v>
      </c>
      <c r="AR242" s="91">
        <v>0.0</v>
      </c>
      <c r="AS242" s="91">
        <v>0.0</v>
      </c>
      <c r="AT242" s="91">
        <v>0.0</v>
      </c>
      <c r="AU242" s="91">
        <v>0.0</v>
      </c>
      <c r="AV242" s="91">
        <v>0.0</v>
      </c>
      <c r="AW242" s="91">
        <v>1.0</v>
      </c>
      <c r="AX242" s="13">
        <f t="shared" si="46"/>
        <v>25</v>
      </c>
    </row>
    <row r="243" ht="12.75" customHeight="1">
      <c r="A243" s="18"/>
      <c r="B243" s="55"/>
      <c r="C243" s="50" t="s">
        <v>181</v>
      </c>
      <c r="D243" s="57"/>
      <c r="E243" s="91">
        <v>0.0</v>
      </c>
      <c r="F243" s="91">
        <v>0.0</v>
      </c>
      <c r="G243" s="91">
        <v>0.0</v>
      </c>
      <c r="H243" s="91">
        <v>0.0</v>
      </c>
      <c r="I243" s="91">
        <v>0.0</v>
      </c>
      <c r="J243" s="91">
        <v>0.0</v>
      </c>
      <c r="K243" s="91">
        <v>0.0</v>
      </c>
      <c r="L243" s="91">
        <v>0.0</v>
      </c>
      <c r="M243" s="91">
        <v>0.0</v>
      </c>
      <c r="N243" s="91">
        <v>0.0</v>
      </c>
      <c r="O243" s="91">
        <v>0.0</v>
      </c>
      <c r="P243" s="91">
        <v>0.0</v>
      </c>
      <c r="Q243" s="91">
        <v>0.0</v>
      </c>
      <c r="R243" s="91">
        <v>1.0</v>
      </c>
      <c r="S243" s="91">
        <v>0.0</v>
      </c>
      <c r="T243" s="91">
        <v>0.0</v>
      </c>
      <c r="U243" s="91">
        <v>0.0</v>
      </c>
      <c r="V243" s="91">
        <v>0.0</v>
      </c>
      <c r="W243" s="91">
        <v>1.0</v>
      </c>
      <c r="X243" s="91">
        <v>0.0</v>
      </c>
      <c r="Y243" s="91">
        <v>0.0</v>
      </c>
      <c r="Z243" s="91">
        <v>0.0</v>
      </c>
      <c r="AA243" s="91">
        <v>1.0</v>
      </c>
      <c r="AB243" s="91">
        <v>0.0</v>
      </c>
      <c r="AC243" s="91">
        <v>0.0</v>
      </c>
      <c r="AD243" s="91">
        <v>0.0</v>
      </c>
      <c r="AE243" s="91">
        <v>0.0</v>
      </c>
      <c r="AF243" s="91">
        <v>0.0</v>
      </c>
      <c r="AG243" s="91">
        <v>0.0</v>
      </c>
      <c r="AH243" s="91">
        <v>0.0</v>
      </c>
      <c r="AI243" s="91">
        <v>0.0</v>
      </c>
      <c r="AJ243" s="91">
        <v>0.0</v>
      </c>
      <c r="AK243" s="91">
        <v>0.0</v>
      </c>
      <c r="AL243" s="91">
        <v>0.0</v>
      </c>
      <c r="AM243" s="91">
        <v>0.0</v>
      </c>
      <c r="AN243" s="91">
        <v>0.0</v>
      </c>
      <c r="AO243" s="91">
        <v>0.0</v>
      </c>
      <c r="AP243" s="91">
        <v>0.0</v>
      </c>
      <c r="AQ243" s="91">
        <v>0.0</v>
      </c>
      <c r="AR243" s="91">
        <v>0.0</v>
      </c>
      <c r="AS243" s="91">
        <v>0.0</v>
      </c>
      <c r="AT243" s="91">
        <v>0.0</v>
      </c>
      <c r="AU243" s="91">
        <v>0.0</v>
      </c>
      <c r="AV243" s="91">
        <v>0.0</v>
      </c>
      <c r="AW243" s="91">
        <v>0.0</v>
      </c>
      <c r="AX243" s="13">
        <f t="shared" si="46"/>
        <v>3</v>
      </c>
    </row>
    <row r="244" ht="12.75" customHeight="1">
      <c r="A244" s="18"/>
      <c r="B244" s="55"/>
      <c r="C244" s="50" t="s">
        <v>182</v>
      </c>
      <c r="D244" s="57"/>
      <c r="E244" s="91">
        <v>1.0</v>
      </c>
      <c r="F244" s="91">
        <v>0.0</v>
      </c>
      <c r="G244" s="91">
        <v>0.0</v>
      </c>
      <c r="H244" s="91">
        <v>0.0</v>
      </c>
      <c r="I244" s="91">
        <v>0.0</v>
      </c>
      <c r="J244" s="91">
        <v>0.0</v>
      </c>
      <c r="K244" s="91">
        <v>0.0</v>
      </c>
      <c r="L244" s="91">
        <v>2.0</v>
      </c>
      <c r="M244" s="91">
        <v>1.0</v>
      </c>
      <c r="N244" s="91">
        <v>0.0</v>
      </c>
      <c r="O244" s="91">
        <v>0.0</v>
      </c>
      <c r="P244" s="91">
        <v>0.0</v>
      </c>
      <c r="Q244" s="91">
        <v>0.0</v>
      </c>
      <c r="R244" s="91">
        <v>0.0</v>
      </c>
      <c r="S244" s="91">
        <v>0.0</v>
      </c>
      <c r="T244" s="91">
        <v>0.0</v>
      </c>
      <c r="U244" s="91">
        <v>0.0</v>
      </c>
      <c r="V244" s="91">
        <v>0.0</v>
      </c>
      <c r="W244" s="91">
        <v>0.0</v>
      </c>
      <c r="X244" s="91">
        <v>0.0</v>
      </c>
      <c r="Y244" s="91">
        <v>0.0</v>
      </c>
      <c r="Z244" s="91">
        <v>1.0</v>
      </c>
      <c r="AA244" s="91">
        <v>0.0</v>
      </c>
      <c r="AB244" s="91">
        <v>0.0</v>
      </c>
      <c r="AC244" s="91">
        <v>0.0</v>
      </c>
      <c r="AD244" s="91">
        <v>0.0</v>
      </c>
      <c r="AE244" s="91">
        <v>0.0</v>
      </c>
      <c r="AF244" s="91">
        <v>0.0</v>
      </c>
      <c r="AG244" s="91">
        <v>0.0</v>
      </c>
      <c r="AH244" s="91">
        <v>0.0</v>
      </c>
      <c r="AI244" s="91">
        <v>0.0</v>
      </c>
      <c r="AJ244" s="91">
        <v>0.0</v>
      </c>
      <c r="AK244" s="91">
        <v>0.0</v>
      </c>
      <c r="AL244" s="91">
        <v>0.0</v>
      </c>
      <c r="AM244" s="91">
        <v>0.0</v>
      </c>
      <c r="AN244" s="91">
        <v>0.0</v>
      </c>
      <c r="AO244" s="91">
        <v>1.0</v>
      </c>
      <c r="AP244" s="91">
        <v>1.0</v>
      </c>
      <c r="AQ244" s="91">
        <v>0.0</v>
      </c>
      <c r="AR244" s="91">
        <v>0.0</v>
      </c>
      <c r="AS244" s="91">
        <v>0.0</v>
      </c>
      <c r="AT244" s="91">
        <v>1.0</v>
      </c>
      <c r="AU244" s="91">
        <v>0.0</v>
      </c>
      <c r="AV244" s="91">
        <v>0.0</v>
      </c>
      <c r="AW244" s="91">
        <v>1.0</v>
      </c>
      <c r="AX244" s="13">
        <f t="shared" si="46"/>
        <v>9</v>
      </c>
    </row>
    <row r="245" ht="12.75" customHeight="1">
      <c r="A245" s="18"/>
      <c r="B245" s="55"/>
      <c r="C245" s="50" t="s">
        <v>183</v>
      </c>
      <c r="D245" s="57"/>
      <c r="E245" s="91">
        <v>0.0</v>
      </c>
      <c r="F245" s="91">
        <v>0.0</v>
      </c>
      <c r="G245" s="91">
        <v>0.0</v>
      </c>
      <c r="H245" s="91">
        <v>1.0</v>
      </c>
      <c r="I245" s="91">
        <v>0.0</v>
      </c>
      <c r="J245" s="91">
        <v>0.0</v>
      </c>
      <c r="K245" s="91">
        <v>0.0</v>
      </c>
      <c r="L245" s="91">
        <v>0.0</v>
      </c>
      <c r="M245" s="91">
        <v>0.0</v>
      </c>
      <c r="N245" s="91">
        <v>1.0</v>
      </c>
      <c r="O245" s="91">
        <v>0.0</v>
      </c>
      <c r="P245" s="91">
        <v>0.0</v>
      </c>
      <c r="Q245" s="91">
        <v>0.0</v>
      </c>
      <c r="R245" s="91">
        <v>0.0</v>
      </c>
      <c r="S245" s="91">
        <v>0.0</v>
      </c>
      <c r="T245" s="91">
        <v>0.0</v>
      </c>
      <c r="U245" s="91">
        <v>0.0</v>
      </c>
      <c r="V245" s="91">
        <v>0.0</v>
      </c>
      <c r="W245" s="91">
        <v>0.0</v>
      </c>
      <c r="X245" s="91">
        <v>1.0</v>
      </c>
      <c r="Y245" s="91">
        <v>0.0</v>
      </c>
      <c r="Z245" s="91">
        <v>0.0</v>
      </c>
      <c r="AA245" s="91">
        <v>2.0</v>
      </c>
      <c r="AB245" s="91">
        <v>0.0</v>
      </c>
      <c r="AC245" s="91">
        <v>0.0</v>
      </c>
      <c r="AD245" s="91">
        <v>0.0</v>
      </c>
      <c r="AE245" s="91">
        <v>0.0</v>
      </c>
      <c r="AF245" s="91">
        <v>0.0</v>
      </c>
      <c r="AG245" s="91">
        <v>0.0</v>
      </c>
      <c r="AH245" s="91">
        <v>0.0</v>
      </c>
      <c r="AI245" s="91">
        <v>0.0</v>
      </c>
      <c r="AJ245" s="91">
        <v>0.0</v>
      </c>
      <c r="AK245" s="91">
        <v>0.0</v>
      </c>
      <c r="AL245" s="91">
        <v>0.0</v>
      </c>
      <c r="AM245" s="91">
        <v>0.0</v>
      </c>
      <c r="AN245" s="91">
        <v>0.0</v>
      </c>
      <c r="AO245" s="91">
        <v>0.0</v>
      </c>
      <c r="AP245" s="91">
        <v>0.0</v>
      </c>
      <c r="AQ245" s="91">
        <v>0.0</v>
      </c>
      <c r="AR245" s="91">
        <v>1.0</v>
      </c>
      <c r="AS245" s="91">
        <v>0.0</v>
      </c>
      <c r="AT245" s="91">
        <v>0.0</v>
      </c>
      <c r="AU245" s="91">
        <v>0.0</v>
      </c>
      <c r="AV245" s="91">
        <v>0.0</v>
      </c>
      <c r="AW245" s="91">
        <v>0.0</v>
      </c>
      <c r="AX245" s="13">
        <f t="shared" si="46"/>
        <v>6</v>
      </c>
    </row>
    <row r="246" ht="12.75" customHeight="1">
      <c r="A246" s="18"/>
      <c r="B246" s="55"/>
      <c r="C246" s="50" t="s">
        <v>184</v>
      </c>
      <c r="D246" s="57"/>
      <c r="E246" s="91">
        <v>0.0</v>
      </c>
      <c r="F246" s="91">
        <v>0.0</v>
      </c>
      <c r="G246" s="91">
        <v>0.0</v>
      </c>
      <c r="H246" s="91">
        <v>0.0</v>
      </c>
      <c r="I246" s="91">
        <v>0.0</v>
      </c>
      <c r="J246" s="91">
        <v>0.0</v>
      </c>
      <c r="K246" s="91">
        <v>0.0</v>
      </c>
      <c r="L246" s="91">
        <v>0.0</v>
      </c>
      <c r="M246" s="91">
        <v>1.0</v>
      </c>
      <c r="N246" s="91">
        <v>0.0</v>
      </c>
      <c r="O246" s="91">
        <v>0.0</v>
      </c>
      <c r="P246" s="91">
        <v>0.0</v>
      </c>
      <c r="Q246" s="91">
        <v>0.0</v>
      </c>
      <c r="R246" s="91">
        <v>0.0</v>
      </c>
      <c r="S246" s="91">
        <v>0.0</v>
      </c>
      <c r="T246" s="91">
        <v>0.0</v>
      </c>
      <c r="U246" s="91">
        <v>0.0</v>
      </c>
      <c r="V246" s="91">
        <v>0.0</v>
      </c>
      <c r="W246" s="91">
        <v>0.0</v>
      </c>
      <c r="X246" s="91">
        <v>0.0</v>
      </c>
      <c r="Y246" s="91">
        <v>0.0</v>
      </c>
      <c r="Z246" s="91">
        <v>0.0</v>
      </c>
      <c r="AA246" s="91">
        <v>0.0</v>
      </c>
      <c r="AB246" s="91">
        <v>1.0</v>
      </c>
      <c r="AC246" s="91">
        <v>0.0</v>
      </c>
      <c r="AD246" s="91">
        <v>0.0</v>
      </c>
      <c r="AE246" s="91">
        <v>0.0</v>
      </c>
      <c r="AF246" s="91">
        <v>0.0</v>
      </c>
      <c r="AG246" s="91">
        <v>0.0</v>
      </c>
      <c r="AH246" s="91">
        <v>0.0</v>
      </c>
      <c r="AI246" s="91">
        <v>0.0</v>
      </c>
      <c r="AJ246" s="91">
        <v>0.0</v>
      </c>
      <c r="AK246" s="91">
        <v>0.0</v>
      </c>
      <c r="AL246" s="91">
        <v>0.0</v>
      </c>
      <c r="AM246" s="91">
        <v>0.0</v>
      </c>
      <c r="AN246" s="91">
        <v>0.0</v>
      </c>
      <c r="AO246" s="91">
        <v>0.0</v>
      </c>
      <c r="AP246" s="91">
        <v>0.0</v>
      </c>
      <c r="AQ246" s="91">
        <v>0.0</v>
      </c>
      <c r="AR246" s="91">
        <v>0.0</v>
      </c>
      <c r="AS246" s="91">
        <v>0.0</v>
      </c>
      <c r="AT246" s="91">
        <v>0.0</v>
      </c>
      <c r="AU246" s="91">
        <v>0.0</v>
      </c>
      <c r="AV246" s="91">
        <v>0.0</v>
      </c>
      <c r="AW246" s="91">
        <v>0.0</v>
      </c>
      <c r="AX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X247" si="47">SUM(E237:E246)</f>
        <v>6</v>
      </c>
      <c r="F247" s="13">
        <f t="shared" si="47"/>
        <v>7</v>
      </c>
      <c r="G247" s="13">
        <f t="shared" si="47"/>
        <v>13</v>
      </c>
      <c r="H247" s="13">
        <f t="shared" si="47"/>
        <v>4</v>
      </c>
      <c r="I247" s="13">
        <f t="shared" si="47"/>
        <v>16</v>
      </c>
      <c r="J247" s="13">
        <f t="shared" si="47"/>
        <v>9</v>
      </c>
      <c r="K247" s="13">
        <f t="shared" si="47"/>
        <v>2</v>
      </c>
      <c r="L247" s="13">
        <f t="shared" si="47"/>
        <v>17</v>
      </c>
      <c r="M247" s="13">
        <f t="shared" si="47"/>
        <v>8</v>
      </c>
      <c r="N247" s="13">
        <f t="shared" si="47"/>
        <v>7</v>
      </c>
      <c r="O247" s="13">
        <f t="shared" si="47"/>
        <v>2</v>
      </c>
      <c r="P247" s="13">
        <f t="shared" si="47"/>
        <v>5</v>
      </c>
      <c r="Q247" s="13">
        <f t="shared" si="47"/>
        <v>21</v>
      </c>
      <c r="R247" s="13">
        <f t="shared" si="47"/>
        <v>6</v>
      </c>
      <c r="S247" s="13">
        <f t="shared" si="47"/>
        <v>1</v>
      </c>
      <c r="T247" s="13">
        <f t="shared" si="47"/>
        <v>3</v>
      </c>
      <c r="U247" s="13">
        <f t="shared" si="47"/>
        <v>1</v>
      </c>
      <c r="V247" s="13">
        <f t="shared" si="47"/>
        <v>1</v>
      </c>
      <c r="W247" s="13">
        <f t="shared" si="47"/>
        <v>10</v>
      </c>
      <c r="X247" s="13">
        <f t="shared" si="47"/>
        <v>19</v>
      </c>
      <c r="Y247" s="13">
        <f t="shared" si="47"/>
        <v>15</v>
      </c>
      <c r="Z247" s="13">
        <f t="shared" si="47"/>
        <v>23</v>
      </c>
      <c r="AA247" s="13">
        <f t="shared" si="47"/>
        <v>13</v>
      </c>
      <c r="AB247" s="13">
        <f t="shared" si="47"/>
        <v>9</v>
      </c>
      <c r="AC247" s="13">
        <f t="shared" si="47"/>
        <v>12</v>
      </c>
      <c r="AD247" s="13">
        <f t="shared" si="47"/>
        <v>14</v>
      </c>
      <c r="AE247" s="13">
        <f t="shared" si="47"/>
        <v>5</v>
      </c>
      <c r="AF247" s="13">
        <f t="shared" si="47"/>
        <v>9</v>
      </c>
      <c r="AG247" s="13">
        <f t="shared" si="47"/>
        <v>3</v>
      </c>
      <c r="AH247" s="13">
        <f t="shared" si="47"/>
        <v>2</v>
      </c>
      <c r="AI247" s="13">
        <f t="shared" si="47"/>
        <v>1</v>
      </c>
      <c r="AJ247" s="13">
        <f t="shared" si="47"/>
        <v>1</v>
      </c>
      <c r="AK247" s="13">
        <f t="shared" si="47"/>
        <v>2</v>
      </c>
      <c r="AL247" s="13">
        <f t="shared" si="47"/>
        <v>1</v>
      </c>
      <c r="AM247" s="13">
        <f t="shared" si="47"/>
        <v>0</v>
      </c>
      <c r="AN247" s="13">
        <f t="shared" si="47"/>
        <v>5</v>
      </c>
      <c r="AO247" s="13">
        <f t="shared" si="47"/>
        <v>3</v>
      </c>
      <c r="AP247" s="13">
        <f t="shared" si="47"/>
        <v>4</v>
      </c>
      <c r="AQ247" s="13">
        <f t="shared" si="47"/>
        <v>4</v>
      </c>
      <c r="AR247" s="13">
        <f t="shared" si="47"/>
        <v>5</v>
      </c>
      <c r="AS247" s="13">
        <f t="shared" si="47"/>
        <v>3</v>
      </c>
      <c r="AT247" s="13">
        <f t="shared" si="47"/>
        <v>1</v>
      </c>
      <c r="AU247" s="13">
        <f t="shared" si="47"/>
        <v>8</v>
      </c>
      <c r="AV247" s="13">
        <f t="shared" si="47"/>
        <v>23</v>
      </c>
      <c r="AW247" s="13">
        <f t="shared" si="47"/>
        <v>19</v>
      </c>
      <c r="AX247" s="13">
        <f t="shared" si="47"/>
        <v>343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93">
        <v>0.0</v>
      </c>
      <c r="F249" s="91">
        <v>0.0</v>
      </c>
      <c r="G249" s="91">
        <v>0.0</v>
      </c>
      <c r="H249" s="91">
        <v>0.0</v>
      </c>
      <c r="I249" s="91">
        <v>0.0</v>
      </c>
      <c r="J249" s="91">
        <v>0.0</v>
      </c>
      <c r="K249" s="91">
        <v>0.0</v>
      </c>
      <c r="L249" s="91">
        <v>2.0</v>
      </c>
      <c r="M249" s="91">
        <v>0.0</v>
      </c>
      <c r="N249" s="91">
        <v>0.0</v>
      </c>
      <c r="O249" s="91">
        <v>0.0</v>
      </c>
      <c r="P249" s="91">
        <v>0.0</v>
      </c>
      <c r="Q249" s="91">
        <v>0.0</v>
      </c>
      <c r="R249" s="91">
        <v>0.0</v>
      </c>
      <c r="S249" s="91">
        <v>0.0</v>
      </c>
      <c r="T249" s="91">
        <v>0.0</v>
      </c>
      <c r="U249" s="91">
        <v>0.0</v>
      </c>
      <c r="V249" s="91">
        <v>0.0</v>
      </c>
      <c r="W249" s="91">
        <v>0.0</v>
      </c>
      <c r="X249" s="91">
        <v>0.0</v>
      </c>
      <c r="Y249" s="91">
        <v>0.0</v>
      </c>
      <c r="Z249" s="91">
        <v>1.0</v>
      </c>
      <c r="AA249" s="91">
        <v>1.0</v>
      </c>
      <c r="AB249" s="91">
        <v>0.0</v>
      </c>
      <c r="AC249" s="91">
        <v>1.0</v>
      </c>
      <c r="AD249" s="91">
        <v>0.0</v>
      </c>
      <c r="AE249" s="91">
        <v>1.0</v>
      </c>
      <c r="AF249" s="91">
        <v>0.0</v>
      </c>
      <c r="AG249" s="91">
        <v>1.0</v>
      </c>
      <c r="AH249" s="91">
        <v>0.0</v>
      </c>
      <c r="AI249" s="91">
        <v>0.0</v>
      </c>
      <c r="AJ249" s="91">
        <v>0.0</v>
      </c>
      <c r="AK249" s="91">
        <v>0.0</v>
      </c>
      <c r="AL249" s="91">
        <v>0.0</v>
      </c>
      <c r="AM249" s="91">
        <v>0.0</v>
      </c>
      <c r="AN249" s="91">
        <v>1.0</v>
      </c>
      <c r="AO249" s="91">
        <v>0.0</v>
      </c>
      <c r="AP249" s="91">
        <v>0.0</v>
      </c>
      <c r="AQ249" s="91">
        <v>0.0</v>
      </c>
      <c r="AR249" s="91">
        <v>0.0</v>
      </c>
      <c r="AS249" s="91">
        <v>0.0</v>
      </c>
      <c r="AT249" s="91">
        <v>0.0</v>
      </c>
      <c r="AU249" s="91">
        <v>0.0</v>
      </c>
      <c r="AV249" s="91">
        <v>0.0</v>
      </c>
      <c r="AW249" s="91">
        <v>0.0</v>
      </c>
      <c r="AX249" s="13">
        <f t="shared" ref="AX249:AX252" si="48">SUM(E249:AW249)</f>
        <v>8</v>
      </c>
    </row>
    <row r="250" ht="12.75" customHeight="1">
      <c r="A250" s="30" t="s">
        <v>39</v>
      </c>
      <c r="B250" s="55"/>
      <c r="C250" s="50" t="s">
        <v>187</v>
      </c>
      <c r="D250" s="57"/>
      <c r="E250" s="91">
        <v>1.0</v>
      </c>
      <c r="F250" s="91">
        <v>0.0</v>
      </c>
      <c r="G250" s="91">
        <v>0.0</v>
      </c>
      <c r="H250" s="91">
        <v>0.0</v>
      </c>
      <c r="I250" s="91">
        <v>0.0</v>
      </c>
      <c r="J250" s="91">
        <v>0.0</v>
      </c>
      <c r="K250" s="91">
        <v>0.0</v>
      </c>
      <c r="L250" s="91">
        <v>0.0</v>
      </c>
      <c r="M250" s="91">
        <v>0.0</v>
      </c>
      <c r="N250" s="91">
        <v>0.0</v>
      </c>
      <c r="O250" s="91">
        <v>0.0</v>
      </c>
      <c r="P250" s="91">
        <v>0.0</v>
      </c>
      <c r="Q250" s="91">
        <v>0.0</v>
      </c>
      <c r="R250" s="91">
        <v>0.0</v>
      </c>
      <c r="S250" s="91">
        <v>0.0</v>
      </c>
      <c r="T250" s="91">
        <v>0.0</v>
      </c>
      <c r="U250" s="91">
        <v>0.0</v>
      </c>
      <c r="V250" s="91">
        <v>0.0</v>
      </c>
      <c r="W250" s="91">
        <v>0.0</v>
      </c>
      <c r="X250" s="91">
        <v>0.0</v>
      </c>
      <c r="Y250" s="91">
        <v>0.0</v>
      </c>
      <c r="Z250" s="91">
        <v>0.0</v>
      </c>
      <c r="AA250" s="91">
        <v>0.0</v>
      </c>
      <c r="AB250" s="91">
        <v>0.0</v>
      </c>
      <c r="AC250" s="91">
        <v>0.0</v>
      </c>
      <c r="AD250" s="91">
        <v>0.0</v>
      </c>
      <c r="AE250" s="91">
        <v>0.0</v>
      </c>
      <c r="AF250" s="91">
        <v>0.0</v>
      </c>
      <c r="AG250" s="91">
        <v>0.0</v>
      </c>
      <c r="AH250" s="91">
        <v>0.0</v>
      </c>
      <c r="AI250" s="91">
        <v>1.0</v>
      </c>
      <c r="AJ250" s="91">
        <v>0.0</v>
      </c>
      <c r="AK250" s="91">
        <v>0.0</v>
      </c>
      <c r="AL250" s="91">
        <v>0.0</v>
      </c>
      <c r="AM250" s="91">
        <v>0.0</v>
      </c>
      <c r="AN250" s="91">
        <v>0.0</v>
      </c>
      <c r="AO250" s="91">
        <v>0.0</v>
      </c>
      <c r="AP250" s="91">
        <v>0.0</v>
      </c>
      <c r="AQ250" s="91">
        <v>0.0</v>
      </c>
      <c r="AR250" s="91">
        <v>0.0</v>
      </c>
      <c r="AS250" s="91">
        <v>1.0</v>
      </c>
      <c r="AT250" s="91">
        <v>0.0</v>
      </c>
      <c r="AU250" s="91">
        <v>0.0</v>
      </c>
      <c r="AV250" s="91">
        <v>0.0</v>
      </c>
      <c r="AW250" s="91">
        <v>0.0</v>
      </c>
      <c r="AX250" s="13">
        <f t="shared" si="48"/>
        <v>3</v>
      </c>
    </row>
    <row r="251" ht="12.75" customHeight="1">
      <c r="A251" s="18"/>
      <c r="B251" s="55"/>
      <c r="C251" s="50" t="s">
        <v>188</v>
      </c>
      <c r="D251" s="57"/>
      <c r="E251" s="91">
        <v>0.0</v>
      </c>
      <c r="F251" s="91">
        <v>0.0</v>
      </c>
      <c r="G251" s="91">
        <v>0.0</v>
      </c>
      <c r="H251" s="91">
        <v>0.0</v>
      </c>
      <c r="I251" s="91">
        <v>0.0</v>
      </c>
      <c r="J251" s="91">
        <v>0.0</v>
      </c>
      <c r="K251" s="91">
        <v>0.0</v>
      </c>
      <c r="L251" s="91">
        <v>0.0</v>
      </c>
      <c r="M251" s="91">
        <v>0.0</v>
      </c>
      <c r="N251" s="91">
        <v>0.0</v>
      </c>
      <c r="O251" s="91">
        <v>0.0</v>
      </c>
      <c r="P251" s="91">
        <v>0.0</v>
      </c>
      <c r="Q251" s="91">
        <v>0.0</v>
      </c>
      <c r="R251" s="91">
        <v>0.0</v>
      </c>
      <c r="S251" s="91">
        <v>0.0</v>
      </c>
      <c r="T251" s="91">
        <v>0.0</v>
      </c>
      <c r="U251" s="91">
        <v>0.0</v>
      </c>
      <c r="V251" s="91">
        <v>0.0</v>
      </c>
      <c r="W251" s="91">
        <v>0.0</v>
      </c>
      <c r="X251" s="91">
        <v>0.0</v>
      </c>
      <c r="Y251" s="91">
        <v>0.0</v>
      </c>
      <c r="Z251" s="91">
        <v>0.0</v>
      </c>
      <c r="AA251" s="91">
        <v>0.0</v>
      </c>
      <c r="AB251" s="91">
        <v>0.0</v>
      </c>
      <c r="AC251" s="91">
        <v>1.0</v>
      </c>
      <c r="AD251" s="91">
        <v>0.0</v>
      </c>
      <c r="AE251" s="91">
        <v>0.0</v>
      </c>
      <c r="AF251" s="91">
        <v>0.0</v>
      </c>
      <c r="AG251" s="91">
        <v>0.0</v>
      </c>
      <c r="AH251" s="91">
        <v>0.0</v>
      </c>
      <c r="AI251" s="91">
        <v>0.0</v>
      </c>
      <c r="AJ251" s="91">
        <v>0.0</v>
      </c>
      <c r="AK251" s="91">
        <v>0.0</v>
      </c>
      <c r="AL251" s="91">
        <v>0.0</v>
      </c>
      <c r="AM251" s="91">
        <v>0.0</v>
      </c>
      <c r="AN251" s="91">
        <v>0.0</v>
      </c>
      <c r="AO251" s="91">
        <v>0.0</v>
      </c>
      <c r="AP251" s="91">
        <v>0.0</v>
      </c>
      <c r="AQ251" s="91">
        <v>0.0</v>
      </c>
      <c r="AR251" s="91">
        <v>0.0</v>
      </c>
      <c r="AS251" s="91">
        <v>0.0</v>
      </c>
      <c r="AT251" s="91">
        <v>0.0</v>
      </c>
      <c r="AU251" s="91">
        <v>0.0</v>
      </c>
      <c r="AV251" s="91">
        <v>0.0</v>
      </c>
      <c r="AW251" s="91">
        <v>0.0</v>
      </c>
      <c r="AX251" s="13">
        <f t="shared" si="48"/>
        <v>1</v>
      </c>
    </row>
    <row r="252" ht="12.75" customHeight="1">
      <c r="A252" s="18"/>
      <c r="B252" s="55"/>
      <c r="C252" s="50" t="s">
        <v>189</v>
      </c>
      <c r="D252" s="57"/>
      <c r="E252" s="91">
        <v>0.0</v>
      </c>
      <c r="F252" s="91">
        <v>0.0</v>
      </c>
      <c r="G252" s="91">
        <v>0.0</v>
      </c>
      <c r="H252" s="91">
        <v>0.0</v>
      </c>
      <c r="I252" s="91">
        <v>0.0</v>
      </c>
      <c r="J252" s="91">
        <v>0.0</v>
      </c>
      <c r="K252" s="91">
        <v>0.0</v>
      </c>
      <c r="L252" s="91">
        <v>0.0</v>
      </c>
      <c r="M252" s="91">
        <v>0.0</v>
      </c>
      <c r="N252" s="91">
        <v>1.0</v>
      </c>
      <c r="O252" s="91">
        <v>0.0</v>
      </c>
      <c r="P252" s="91">
        <v>0.0</v>
      </c>
      <c r="Q252" s="91">
        <v>0.0</v>
      </c>
      <c r="R252" s="91">
        <v>0.0</v>
      </c>
      <c r="S252" s="91">
        <v>0.0</v>
      </c>
      <c r="T252" s="91">
        <v>0.0</v>
      </c>
      <c r="U252" s="91">
        <v>0.0</v>
      </c>
      <c r="V252" s="91">
        <v>0.0</v>
      </c>
      <c r="W252" s="91">
        <v>0.0</v>
      </c>
      <c r="X252" s="91">
        <v>0.0</v>
      </c>
      <c r="Y252" s="91">
        <v>0.0</v>
      </c>
      <c r="Z252" s="91">
        <v>0.0</v>
      </c>
      <c r="AA252" s="91">
        <v>0.0</v>
      </c>
      <c r="AB252" s="91">
        <v>1.0</v>
      </c>
      <c r="AC252" s="91">
        <v>0.0</v>
      </c>
      <c r="AD252" s="91">
        <v>0.0</v>
      </c>
      <c r="AE252" s="91">
        <v>0.0</v>
      </c>
      <c r="AF252" s="91">
        <v>0.0</v>
      </c>
      <c r="AG252" s="91">
        <v>0.0</v>
      </c>
      <c r="AH252" s="91">
        <v>0.0</v>
      </c>
      <c r="AI252" s="91">
        <v>0.0</v>
      </c>
      <c r="AJ252" s="91">
        <v>0.0</v>
      </c>
      <c r="AK252" s="91">
        <v>0.0</v>
      </c>
      <c r="AL252" s="91">
        <v>1.0</v>
      </c>
      <c r="AM252" s="91">
        <v>0.0</v>
      </c>
      <c r="AN252" s="91">
        <v>0.0</v>
      </c>
      <c r="AO252" s="91">
        <v>0.0</v>
      </c>
      <c r="AP252" s="91">
        <v>0.0</v>
      </c>
      <c r="AQ252" s="91">
        <v>0.0</v>
      </c>
      <c r="AR252" s="91">
        <v>0.0</v>
      </c>
      <c r="AS252" s="91">
        <v>0.0</v>
      </c>
      <c r="AT252" s="91">
        <v>0.0</v>
      </c>
      <c r="AU252" s="91">
        <v>0.0</v>
      </c>
      <c r="AV252" s="91">
        <v>0.0</v>
      </c>
      <c r="AW252" s="91">
        <v>0.0</v>
      </c>
      <c r="AX252" s="13">
        <f t="shared" si="48"/>
        <v>3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W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2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1</v>
      </c>
      <c r="AB259" s="13">
        <f t="shared" si="49"/>
        <v>1</v>
      </c>
      <c r="AC259" s="13">
        <f t="shared" si="49"/>
        <v>2</v>
      </c>
      <c r="AD259" s="13">
        <f t="shared" si="49"/>
        <v>0</v>
      </c>
      <c r="AE259" s="13">
        <f t="shared" si="49"/>
        <v>1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1</v>
      </c>
      <c r="AJ259" s="13">
        <f t="shared" si="49"/>
        <v>0</v>
      </c>
      <c r="AK259" s="13">
        <f t="shared" si="49"/>
        <v>0</v>
      </c>
      <c r="AL259" s="13">
        <f t="shared" si="49"/>
        <v>1</v>
      </c>
      <c r="AM259" s="13">
        <f t="shared" si="49"/>
        <v>0</v>
      </c>
      <c r="AN259" s="13">
        <f t="shared" si="49"/>
        <v>1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1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>SUM(E259:AW259)</f>
        <v>15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  <c r="AH261" s="77"/>
      <c r="AI261" s="13"/>
      <c r="AJ261" s="13"/>
      <c r="AK261" s="13"/>
      <c r="AL261" s="13"/>
      <c r="AM261" s="77"/>
      <c r="AN261" s="13"/>
      <c r="AO261" s="13"/>
      <c r="AP261" s="13"/>
      <c r="AQ261" s="13"/>
      <c r="AR261" s="77"/>
      <c r="AS261" s="13"/>
      <c r="AT261" s="13"/>
      <c r="AU261" s="13"/>
      <c r="AV261" s="13"/>
      <c r="AW261" s="77"/>
      <c r="AX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W262" si="50">E55+E67+E79+E91+E103+E115+E127+E139+E151+E163+E175+E187+E199+E211+E223+E235+E247+E259</f>
        <v>174</v>
      </c>
      <c r="F262" s="19">
        <f t="shared" si="50"/>
        <v>214</v>
      </c>
      <c r="G262" s="19">
        <f t="shared" si="50"/>
        <v>204</v>
      </c>
      <c r="H262" s="19">
        <f t="shared" si="50"/>
        <v>204</v>
      </c>
      <c r="I262" s="19">
        <f t="shared" si="50"/>
        <v>203</v>
      </c>
      <c r="J262" s="19">
        <f t="shared" si="50"/>
        <v>203</v>
      </c>
      <c r="K262" s="19">
        <f t="shared" si="50"/>
        <v>184</v>
      </c>
      <c r="L262" s="19">
        <f t="shared" si="50"/>
        <v>177</v>
      </c>
      <c r="M262" s="19">
        <f t="shared" si="50"/>
        <v>161</v>
      </c>
      <c r="N262" s="19">
        <f t="shared" si="50"/>
        <v>230</v>
      </c>
      <c r="O262" s="19">
        <f t="shared" si="50"/>
        <v>171</v>
      </c>
      <c r="P262" s="19">
        <f t="shared" si="50"/>
        <v>173</v>
      </c>
      <c r="Q262" s="19">
        <f t="shared" si="50"/>
        <v>174</v>
      </c>
      <c r="R262" s="19">
        <f t="shared" si="50"/>
        <v>196</v>
      </c>
      <c r="S262" s="19">
        <f t="shared" si="50"/>
        <v>148</v>
      </c>
      <c r="T262" s="19">
        <f t="shared" si="50"/>
        <v>135</v>
      </c>
      <c r="U262" s="19">
        <f t="shared" si="50"/>
        <v>172</v>
      </c>
      <c r="V262" s="19">
        <f t="shared" si="50"/>
        <v>144</v>
      </c>
      <c r="W262" s="19">
        <f t="shared" si="50"/>
        <v>177</v>
      </c>
      <c r="X262" s="19">
        <f t="shared" si="50"/>
        <v>191</v>
      </c>
      <c r="Y262" s="19">
        <f t="shared" si="50"/>
        <v>189</v>
      </c>
      <c r="Z262" s="19">
        <f t="shared" si="50"/>
        <v>206</v>
      </c>
      <c r="AA262" s="19">
        <f t="shared" si="50"/>
        <v>163</v>
      </c>
      <c r="AB262" s="19">
        <f t="shared" si="50"/>
        <v>145</v>
      </c>
      <c r="AC262" s="19">
        <f t="shared" si="50"/>
        <v>206</v>
      </c>
      <c r="AD262" s="19">
        <f t="shared" si="50"/>
        <v>165</v>
      </c>
      <c r="AE262" s="19">
        <f t="shared" si="50"/>
        <v>167</v>
      </c>
      <c r="AF262" s="19">
        <f t="shared" si="50"/>
        <v>149</v>
      </c>
      <c r="AG262" s="19">
        <f t="shared" si="50"/>
        <v>197</v>
      </c>
      <c r="AH262" s="19">
        <f t="shared" si="50"/>
        <v>162</v>
      </c>
      <c r="AI262" s="19">
        <f t="shared" si="50"/>
        <v>198</v>
      </c>
      <c r="AJ262" s="19">
        <f t="shared" si="50"/>
        <v>183</v>
      </c>
      <c r="AK262" s="19">
        <f t="shared" si="50"/>
        <v>184</v>
      </c>
      <c r="AL262" s="19">
        <f t="shared" si="50"/>
        <v>175</v>
      </c>
      <c r="AM262" s="19">
        <f t="shared" si="50"/>
        <v>181</v>
      </c>
      <c r="AN262" s="19">
        <f t="shared" si="50"/>
        <v>186</v>
      </c>
      <c r="AO262" s="19">
        <f t="shared" si="50"/>
        <v>184</v>
      </c>
      <c r="AP262" s="19">
        <f t="shared" si="50"/>
        <v>139</v>
      </c>
      <c r="AQ262" s="19">
        <f t="shared" si="50"/>
        <v>180</v>
      </c>
      <c r="AR262" s="19">
        <f t="shared" si="50"/>
        <v>145</v>
      </c>
      <c r="AS262" s="19">
        <f t="shared" si="50"/>
        <v>132</v>
      </c>
      <c r="AT262" s="19">
        <f t="shared" si="50"/>
        <v>147</v>
      </c>
      <c r="AU262" s="19">
        <f t="shared" si="50"/>
        <v>166</v>
      </c>
      <c r="AV262" s="19">
        <f t="shared" si="50"/>
        <v>186</v>
      </c>
      <c r="AW262" s="19">
        <f t="shared" si="50"/>
        <v>179</v>
      </c>
      <c r="AX262" s="13">
        <f t="shared" ref="AX262:AX264" si="51">SUM(E262:AW262)</f>
        <v>7949</v>
      </c>
    </row>
    <row r="263" ht="12.75" customHeight="1">
      <c r="A263" s="35"/>
      <c r="B263" s="69" t="s">
        <v>194</v>
      </c>
      <c r="C263" s="70" t="s">
        <v>195</v>
      </c>
      <c r="D263" s="16"/>
      <c r="E263" s="91">
        <v>52.0</v>
      </c>
      <c r="F263" s="91">
        <v>21.0</v>
      </c>
      <c r="G263" s="91">
        <v>32.0</v>
      </c>
      <c r="H263" s="91">
        <v>38.0</v>
      </c>
      <c r="I263" s="91">
        <v>27.0</v>
      </c>
      <c r="J263" s="91">
        <v>25.0</v>
      </c>
      <c r="K263" s="91">
        <v>35.0</v>
      </c>
      <c r="L263" s="91">
        <v>27.0</v>
      </c>
      <c r="M263" s="91">
        <v>22.0</v>
      </c>
      <c r="N263" s="91">
        <v>21.0</v>
      </c>
      <c r="O263" s="91">
        <v>54.0</v>
      </c>
      <c r="P263" s="91">
        <v>28.0</v>
      </c>
      <c r="Q263" s="91">
        <v>49.0</v>
      </c>
      <c r="R263" s="91">
        <v>29.0</v>
      </c>
      <c r="S263" s="91">
        <v>16.0</v>
      </c>
      <c r="T263" s="91">
        <v>15.0</v>
      </c>
      <c r="U263" s="91">
        <v>15.0</v>
      </c>
      <c r="V263" s="91">
        <v>17.0</v>
      </c>
      <c r="W263" s="91">
        <v>35.0</v>
      </c>
      <c r="X263" s="91">
        <v>21.0</v>
      </c>
      <c r="Y263" s="91">
        <v>25.0</v>
      </c>
      <c r="Z263" s="91">
        <v>20.0</v>
      </c>
      <c r="AA263" s="91">
        <v>31.0</v>
      </c>
      <c r="AB263" s="91">
        <v>71.0</v>
      </c>
      <c r="AC263" s="91">
        <v>19.0</v>
      </c>
      <c r="AD263" s="91">
        <v>63.0</v>
      </c>
      <c r="AE263" s="91">
        <v>28.0</v>
      </c>
      <c r="AF263" s="91">
        <v>14.0</v>
      </c>
      <c r="AG263" s="91">
        <v>22.0</v>
      </c>
      <c r="AH263" s="91">
        <v>32.0</v>
      </c>
      <c r="AI263" s="91">
        <v>24.0</v>
      </c>
      <c r="AJ263" s="91">
        <v>42.0</v>
      </c>
      <c r="AK263" s="91">
        <v>51.0</v>
      </c>
      <c r="AL263" s="91">
        <v>46.0</v>
      </c>
      <c r="AM263" s="91">
        <v>26.0</v>
      </c>
      <c r="AN263" s="91">
        <v>45.0</v>
      </c>
      <c r="AO263" s="91">
        <v>54.0</v>
      </c>
      <c r="AP263" s="91">
        <v>35.0</v>
      </c>
      <c r="AQ263" s="91">
        <v>48.0</v>
      </c>
      <c r="AR263" s="91">
        <v>39.0</v>
      </c>
      <c r="AS263" s="91">
        <v>25.0</v>
      </c>
      <c r="AT263" s="91">
        <v>38.0</v>
      </c>
      <c r="AU263" s="91">
        <v>10.0</v>
      </c>
      <c r="AV263" s="91">
        <v>34.0</v>
      </c>
      <c r="AW263" s="91">
        <v>28.0</v>
      </c>
      <c r="AX263" s="13">
        <f t="shared" si="51"/>
        <v>1449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W264" si="52">SUM(E262:E263)</f>
        <v>226</v>
      </c>
      <c r="F264" s="13">
        <f t="shared" si="52"/>
        <v>235</v>
      </c>
      <c r="G264" s="13">
        <f t="shared" si="52"/>
        <v>236</v>
      </c>
      <c r="H264" s="13">
        <f t="shared" si="52"/>
        <v>242</v>
      </c>
      <c r="I264" s="13">
        <f t="shared" si="52"/>
        <v>230</v>
      </c>
      <c r="J264" s="13">
        <f t="shared" si="52"/>
        <v>228</v>
      </c>
      <c r="K264" s="13">
        <f t="shared" si="52"/>
        <v>219</v>
      </c>
      <c r="L264" s="13">
        <f t="shared" si="52"/>
        <v>204</v>
      </c>
      <c r="M264" s="13">
        <f t="shared" si="52"/>
        <v>183</v>
      </c>
      <c r="N264" s="13">
        <f t="shared" si="52"/>
        <v>251</v>
      </c>
      <c r="O264" s="13">
        <f t="shared" si="52"/>
        <v>225</v>
      </c>
      <c r="P264" s="13">
        <f t="shared" si="52"/>
        <v>201</v>
      </c>
      <c r="Q264" s="13">
        <f t="shared" si="52"/>
        <v>223</v>
      </c>
      <c r="R264" s="13">
        <f t="shared" si="52"/>
        <v>225</v>
      </c>
      <c r="S264" s="13">
        <f t="shared" si="52"/>
        <v>164</v>
      </c>
      <c r="T264" s="13">
        <f t="shared" si="52"/>
        <v>150</v>
      </c>
      <c r="U264" s="13">
        <f t="shared" si="52"/>
        <v>187</v>
      </c>
      <c r="V264" s="13">
        <f t="shared" si="52"/>
        <v>161</v>
      </c>
      <c r="W264" s="13">
        <f t="shared" si="52"/>
        <v>212</v>
      </c>
      <c r="X264" s="13">
        <f t="shared" si="52"/>
        <v>212</v>
      </c>
      <c r="Y264" s="13">
        <f t="shared" si="52"/>
        <v>214</v>
      </c>
      <c r="Z264" s="13">
        <f t="shared" si="52"/>
        <v>226</v>
      </c>
      <c r="AA264" s="13">
        <f t="shared" si="52"/>
        <v>194</v>
      </c>
      <c r="AB264" s="13">
        <f t="shared" si="52"/>
        <v>216</v>
      </c>
      <c r="AC264" s="13">
        <f t="shared" si="52"/>
        <v>225</v>
      </c>
      <c r="AD264" s="13">
        <f t="shared" si="52"/>
        <v>228</v>
      </c>
      <c r="AE264" s="13">
        <f t="shared" si="52"/>
        <v>195</v>
      </c>
      <c r="AF264" s="13">
        <f t="shared" si="52"/>
        <v>163</v>
      </c>
      <c r="AG264" s="13">
        <f t="shared" si="52"/>
        <v>219</v>
      </c>
      <c r="AH264" s="13">
        <f t="shared" si="52"/>
        <v>194</v>
      </c>
      <c r="AI264" s="13">
        <f t="shared" si="52"/>
        <v>222</v>
      </c>
      <c r="AJ264" s="13">
        <f t="shared" si="52"/>
        <v>225</v>
      </c>
      <c r="AK264" s="13">
        <f t="shared" si="52"/>
        <v>235</v>
      </c>
      <c r="AL264" s="13">
        <f t="shared" si="52"/>
        <v>221</v>
      </c>
      <c r="AM264" s="13">
        <f t="shared" si="52"/>
        <v>207</v>
      </c>
      <c r="AN264" s="13">
        <f t="shared" si="52"/>
        <v>231</v>
      </c>
      <c r="AO264" s="13">
        <f t="shared" si="52"/>
        <v>238</v>
      </c>
      <c r="AP264" s="13">
        <f t="shared" si="52"/>
        <v>174</v>
      </c>
      <c r="AQ264" s="13">
        <f t="shared" si="52"/>
        <v>228</v>
      </c>
      <c r="AR264" s="13">
        <f t="shared" si="52"/>
        <v>184</v>
      </c>
      <c r="AS264" s="13">
        <f t="shared" si="52"/>
        <v>157</v>
      </c>
      <c r="AT264" s="13">
        <f t="shared" si="52"/>
        <v>185</v>
      </c>
      <c r="AU264" s="13">
        <f t="shared" si="52"/>
        <v>176</v>
      </c>
      <c r="AV264" s="13">
        <f t="shared" si="52"/>
        <v>220</v>
      </c>
      <c r="AW264" s="13">
        <f t="shared" si="52"/>
        <v>207</v>
      </c>
      <c r="AX264" s="13">
        <f t="shared" si="51"/>
        <v>9398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W34">
    <cfRule type="expression" dxfId="0" priority="1">
      <formula>E34&lt;&gt;E64</formula>
    </cfRule>
  </conditionalFormatting>
  <conditionalFormatting sqref="E14:AW15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0:AW30">
    <cfRule type="expression" dxfId="0" priority="5">
      <formula>E30&lt;&gt;E47</formula>
    </cfRule>
  </conditionalFormatting>
  <conditionalFormatting sqref="E30:AW30">
    <cfRule type="expression" dxfId="0" priority="6">
      <formula>E30&lt;&gt;E34</formula>
    </cfRule>
  </conditionalFormatting>
  <conditionalFormatting sqref="E34:AW34">
    <cfRule type="expression" dxfId="2" priority="7">
      <formula>E30&lt;&gt;E34</formula>
    </cfRule>
  </conditionalFormatting>
  <conditionalFormatting sqref="E34:AW34">
    <cfRule type="expression" dxfId="3" priority="8">
      <formula>E30=E34</formula>
    </cfRule>
  </conditionalFormatting>
  <conditionalFormatting sqref="E34:AW34">
    <cfRule type="expression" dxfId="0" priority="9">
      <formula>E34&lt;&gt;E30</formula>
    </cfRule>
  </conditionalFormatting>
  <conditionalFormatting sqref="E45:AW54">
    <cfRule type="containsBlanks" dxfId="1" priority="10">
      <formula>LEN(TRIM(E45))=0</formula>
    </cfRule>
  </conditionalFormatting>
  <conditionalFormatting sqref="E57:AW66">
    <cfRule type="containsBlanks" dxfId="1" priority="11">
      <formula>LEN(TRIM(E57))=0</formula>
    </cfRule>
  </conditionalFormatting>
  <conditionalFormatting sqref="E69:AW78">
    <cfRule type="containsBlanks" dxfId="1" priority="12">
      <formula>LEN(TRIM(E69))=0</formula>
    </cfRule>
  </conditionalFormatting>
  <conditionalFormatting sqref="E81:AW90">
    <cfRule type="containsBlanks" dxfId="1" priority="13">
      <formula>LEN(TRIM(E81))=0</formula>
    </cfRule>
  </conditionalFormatting>
  <conditionalFormatting sqref="E93:AW102">
    <cfRule type="containsBlanks" dxfId="1" priority="14">
      <formula>LEN(TRIM(E93))=0</formula>
    </cfRule>
  </conditionalFormatting>
  <conditionalFormatting sqref="E105:AW114">
    <cfRule type="containsBlanks" dxfId="1" priority="15">
      <formula>LEN(TRIM(E105))=0</formula>
    </cfRule>
  </conditionalFormatting>
  <conditionalFormatting sqref="E117:AW126">
    <cfRule type="containsBlanks" dxfId="1" priority="16">
      <formula>LEN(TRIM(E117))=0</formula>
    </cfRule>
  </conditionalFormatting>
  <conditionalFormatting sqref="E129:AW138">
    <cfRule type="containsBlanks" dxfId="1" priority="17">
      <formula>LEN(TRIM(E129))=0</formula>
    </cfRule>
  </conditionalFormatting>
  <conditionalFormatting sqref="E141:AW150">
    <cfRule type="containsBlanks" dxfId="1" priority="18">
      <formula>LEN(TRIM(E141))=0</formula>
    </cfRule>
  </conditionalFormatting>
  <conditionalFormatting sqref="E153:AW162">
    <cfRule type="containsBlanks" dxfId="1" priority="19">
      <formula>LEN(TRIM(E153))=0</formula>
    </cfRule>
  </conditionalFormatting>
  <conditionalFormatting sqref="E165:AW174">
    <cfRule type="containsBlanks" dxfId="1" priority="20">
      <formula>LEN(TRIM(E165))=0</formula>
    </cfRule>
  </conditionalFormatting>
  <conditionalFormatting sqref="E177:AW186">
    <cfRule type="containsBlanks" dxfId="1" priority="21">
      <formula>LEN(TRIM(E177))=0</formula>
    </cfRule>
  </conditionalFormatting>
  <conditionalFormatting sqref="E189:AW198">
    <cfRule type="containsBlanks" dxfId="1" priority="22">
      <formula>LEN(TRIM(E189))=0</formula>
    </cfRule>
  </conditionalFormatting>
  <conditionalFormatting sqref="E201:AW210">
    <cfRule type="containsBlanks" dxfId="1" priority="23">
      <formula>LEN(TRIM(E201))=0</formula>
    </cfRule>
  </conditionalFormatting>
  <conditionalFormatting sqref="E213:AW222">
    <cfRule type="containsBlanks" dxfId="1" priority="24">
      <formula>LEN(TRIM(E213))=0</formula>
    </cfRule>
  </conditionalFormatting>
  <conditionalFormatting sqref="E225:AW234">
    <cfRule type="containsBlanks" dxfId="1" priority="25">
      <formula>LEN(TRIM(E225))=0</formula>
    </cfRule>
  </conditionalFormatting>
  <conditionalFormatting sqref="E237:AW246">
    <cfRule type="containsBlanks" dxfId="1" priority="26">
      <formula>LEN(TRIM(E237))=0</formula>
    </cfRule>
  </conditionalFormatting>
  <conditionalFormatting sqref="E249:AW259">
    <cfRule type="containsBlanks" dxfId="1" priority="27">
      <formula>LEN(TRIM(E249))=0</formula>
    </cfRule>
  </conditionalFormatting>
  <conditionalFormatting sqref="E262:A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94">
        <v>118.0</v>
      </c>
      <c r="F14" s="94">
        <v>98.0</v>
      </c>
      <c r="G14" s="94">
        <v>113.0</v>
      </c>
      <c r="H14" s="94">
        <v>103.0</v>
      </c>
      <c r="I14" s="94">
        <v>144.0</v>
      </c>
      <c r="J14" s="94">
        <v>150.0</v>
      </c>
      <c r="K14" s="94">
        <v>117.0</v>
      </c>
      <c r="L14" s="94">
        <v>103.0</v>
      </c>
      <c r="M14" s="94">
        <v>112.0</v>
      </c>
      <c r="N14" s="94">
        <v>125.0</v>
      </c>
      <c r="O14" s="94">
        <v>107.0</v>
      </c>
      <c r="P14" s="94">
        <v>141.0</v>
      </c>
      <c r="Q14" s="94">
        <v>145.0</v>
      </c>
      <c r="R14" s="94">
        <v>131.0</v>
      </c>
      <c r="S14" s="94">
        <v>94.0</v>
      </c>
      <c r="T14" s="91">
        <v>136.0</v>
      </c>
      <c r="U14" s="91">
        <v>115.0</v>
      </c>
      <c r="V14" s="91">
        <v>138.0</v>
      </c>
      <c r="W14" s="91">
        <v>154.0</v>
      </c>
      <c r="X14" s="91">
        <v>136.0</v>
      </c>
      <c r="Y14" s="91">
        <v>147.0</v>
      </c>
      <c r="Z14" s="91">
        <v>137.0</v>
      </c>
      <c r="AA14" s="91">
        <v>84.0</v>
      </c>
      <c r="AB14" s="91">
        <v>140.0</v>
      </c>
      <c r="AC14" s="91">
        <v>126.0</v>
      </c>
      <c r="AD14" s="91">
        <v>113.0</v>
      </c>
      <c r="AE14" s="91">
        <v>114.0</v>
      </c>
      <c r="AF14" s="91">
        <v>127.0</v>
      </c>
      <c r="AG14" s="13">
        <f t="shared" ref="AG14:AG16" si="1">SUM(E14:AF14)</f>
        <v>3468</v>
      </c>
    </row>
    <row r="15" ht="12.75" customHeight="1">
      <c r="A15" s="18"/>
      <c r="B15" s="26"/>
      <c r="C15" s="27"/>
      <c r="D15" s="19" t="s">
        <v>13</v>
      </c>
      <c r="E15" s="94">
        <v>138.0</v>
      </c>
      <c r="F15" s="94">
        <v>89.0</v>
      </c>
      <c r="G15" s="94">
        <v>118.0</v>
      </c>
      <c r="H15" s="94">
        <v>121.0</v>
      </c>
      <c r="I15" s="94">
        <v>129.0</v>
      </c>
      <c r="J15" s="94">
        <v>141.0</v>
      </c>
      <c r="K15" s="94">
        <v>102.0</v>
      </c>
      <c r="L15" s="94">
        <v>90.0</v>
      </c>
      <c r="M15" s="94">
        <v>124.0</v>
      </c>
      <c r="N15" s="94">
        <v>123.0</v>
      </c>
      <c r="O15" s="94">
        <v>115.0</v>
      </c>
      <c r="P15" s="94">
        <v>142.0</v>
      </c>
      <c r="Q15" s="94">
        <v>142.0</v>
      </c>
      <c r="R15" s="94">
        <v>131.0</v>
      </c>
      <c r="S15" s="94">
        <v>115.0</v>
      </c>
      <c r="T15" s="91">
        <v>147.0</v>
      </c>
      <c r="U15" s="91">
        <v>128.0</v>
      </c>
      <c r="V15" s="91">
        <v>136.0</v>
      </c>
      <c r="W15" s="91">
        <v>129.0</v>
      </c>
      <c r="X15" s="91">
        <v>140.0</v>
      </c>
      <c r="Y15" s="91">
        <v>148.0</v>
      </c>
      <c r="Z15" s="91">
        <v>130.0</v>
      </c>
      <c r="AA15" s="91">
        <v>105.0</v>
      </c>
      <c r="AB15" s="91">
        <v>139.0</v>
      </c>
      <c r="AC15" s="91">
        <v>119.0</v>
      </c>
      <c r="AD15" s="91">
        <v>119.0</v>
      </c>
      <c r="AE15" s="91">
        <v>108.0</v>
      </c>
      <c r="AF15" s="91">
        <v>119.0</v>
      </c>
      <c r="AG15" s="13">
        <f t="shared" si="1"/>
        <v>3487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256</v>
      </c>
      <c r="F16" s="13">
        <f t="shared" si="2"/>
        <v>187</v>
      </c>
      <c r="G16" s="13">
        <f t="shared" si="2"/>
        <v>231</v>
      </c>
      <c r="H16" s="13">
        <f t="shared" si="2"/>
        <v>224</v>
      </c>
      <c r="I16" s="13">
        <f t="shared" si="2"/>
        <v>273</v>
      </c>
      <c r="J16" s="13">
        <f t="shared" si="2"/>
        <v>291</v>
      </c>
      <c r="K16" s="13">
        <f t="shared" si="2"/>
        <v>219</v>
      </c>
      <c r="L16" s="13">
        <f t="shared" si="2"/>
        <v>193</v>
      </c>
      <c r="M16" s="13">
        <f t="shared" si="2"/>
        <v>236</v>
      </c>
      <c r="N16" s="13">
        <f t="shared" si="2"/>
        <v>248</v>
      </c>
      <c r="O16" s="13">
        <f t="shared" si="2"/>
        <v>222</v>
      </c>
      <c r="P16" s="13">
        <f t="shared" si="2"/>
        <v>283</v>
      </c>
      <c r="Q16" s="13">
        <f t="shared" si="2"/>
        <v>287</v>
      </c>
      <c r="R16" s="13">
        <f t="shared" si="2"/>
        <v>262</v>
      </c>
      <c r="S16" s="13">
        <f t="shared" si="2"/>
        <v>209</v>
      </c>
      <c r="T16" s="13">
        <f t="shared" si="2"/>
        <v>283</v>
      </c>
      <c r="U16" s="13">
        <f t="shared" si="2"/>
        <v>243</v>
      </c>
      <c r="V16" s="13">
        <f t="shared" si="2"/>
        <v>274</v>
      </c>
      <c r="W16" s="13">
        <f t="shared" si="2"/>
        <v>283</v>
      </c>
      <c r="X16" s="13">
        <f t="shared" si="2"/>
        <v>276</v>
      </c>
      <c r="Y16" s="13">
        <f t="shared" si="2"/>
        <v>295</v>
      </c>
      <c r="Z16" s="13">
        <f t="shared" si="2"/>
        <v>267</v>
      </c>
      <c r="AA16" s="13">
        <f t="shared" si="2"/>
        <v>189</v>
      </c>
      <c r="AB16" s="13">
        <f t="shared" si="2"/>
        <v>279</v>
      </c>
      <c r="AC16" s="13">
        <f t="shared" si="2"/>
        <v>245</v>
      </c>
      <c r="AD16" s="13">
        <f t="shared" si="2"/>
        <v>232</v>
      </c>
      <c r="AE16" s="13">
        <f t="shared" si="2"/>
        <v>222</v>
      </c>
      <c r="AF16" s="13">
        <f t="shared" si="2"/>
        <v>246</v>
      </c>
      <c r="AG16" s="13">
        <f t="shared" si="1"/>
        <v>6955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95.0</v>
      </c>
      <c r="F19" s="74">
        <v>82.0</v>
      </c>
      <c r="G19" s="74">
        <v>83.0</v>
      </c>
      <c r="H19" s="74">
        <v>84.0</v>
      </c>
      <c r="I19" s="74">
        <v>118.0</v>
      </c>
      <c r="J19" s="74">
        <v>121.0</v>
      </c>
      <c r="K19" s="74">
        <v>81.0</v>
      </c>
      <c r="L19" s="74">
        <v>76.0</v>
      </c>
      <c r="M19" s="74">
        <v>89.0</v>
      </c>
      <c r="N19" s="74">
        <v>88.0</v>
      </c>
      <c r="O19" s="74">
        <v>71.0</v>
      </c>
      <c r="P19" s="74">
        <v>89.0</v>
      </c>
      <c r="Q19" s="74">
        <v>93.0</v>
      </c>
      <c r="R19" s="74">
        <v>81.0</v>
      </c>
      <c r="S19" s="74">
        <v>60.0</v>
      </c>
      <c r="T19" s="91">
        <v>95.0</v>
      </c>
      <c r="U19" s="91">
        <v>81.0</v>
      </c>
      <c r="V19" s="91">
        <v>93.0</v>
      </c>
      <c r="W19" s="91">
        <v>110.0</v>
      </c>
      <c r="X19" s="91">
        <v>88.0</v>
      </c>
      <c r="Y19" s="91">
        <v>101.0</v>
      </c>
      <c r="Z19" s="91">
        <v>89.0</v>
      </c>
      <c r="AA19" s="91">
        <v>65.0</v>
      </c>
      <c r="AB19" s="91">
        <v>106.0</v>
      </c>
      <c r="AC19" s="91">
        <v>87.0</v>
      </c>
      <c r="AD19" s="91">
        <v>83.0</v>
      </c>
      <c r="AE19" s="91">
        <v>94.0</v>
      </c>
      <c r="AF19" s="91">
        <v>93.0</v>
      </c>
      <c r="AG19" s="13">
        <f t="shared" ref="AG19:AG30" si="3">SUM(E19:AF19)</f>
        <v>2496</v>
      </c>
    </row>
    <row r="20" ht="12.75" customHeight="1">
      <c r="A20" s="33"/>
      <c r="B20" s="27"/>
      <c r="C20" s="34"/>
      <c r="D20" s="19" t="s">
        <v>13</v>
      </c>
      <c r="E20" s="74">
        <v>109.0</v>
      </c>
      <c r="F20" s="74">
        <v>82.0</v>
      </c>
      <c r="G20" s="74">
        <v>91.0</v>
      </c>
      <c r="H20" s="74">
        <v>92.0</v>
      </c>
      <c r="I20" s="74">
        <v>103.0</v>
      </c>
      <c r="J20" s="74">
        <v>109.0</v>
      </c>
      <c r="K20" s="74">
        <v>80.0</v>
      </c>
      <c r="L20" s="74">
        <v>70.0</v>
      </c>
      <c r="M20" s="74">
        <v>97.0</v>
      </c>
      <c r="N20" s="74">
        <v>87.0</v>
      </c>
      <c r="O20" s="74">
        <v>80.0</v>
      </c>
      <c r="P20" s="74">
        <v>101.0</v>
      </c>
      <c r="Q20" s="74">
        <v>91.0</v>
      </c>
      <c r="R20" s="74">
        <v>90.0</v>
      </c>
      <c r="S20" s="74">
        <v>83.0</v>
      </c>
      <c r="T20" s="91">
        <v>92.0</v>
      </c>
      <c r="U20" s="91">
        <v>97.0</v>
      </c>
      <c r="V20" s="91">
        <v>97.0</v>
      </c>
      <c r="W20" s="91">
        <v>94.0</v>
      </c>
      <c r="X20" s="91">
        <v>95.0</v>
      </c>
      <c r="Y20" s="91">
        <v>104.0</v>
      </c>
      <c r="Z20" s="91">
        <v>85.0</v>
      </c>
      <c r="AA20" s="91">
        <v>79.0</v>
      </c>
      <c r="AB20" s="91">
        <v>104.0</v>
      </c>
      <c r="AC20" s="91">
        <v>84.0</v>
      </c>
      <c r="AD20" s="91">
        <v>91.0</v>
      </c>
      <c r="AE20" s="91">
        <v>91.0</v>
      </c>
      <c r="AF20" s="91">
        <v>93.0</v>
      </c>
      <c r="AG20" s="13">
        <f t="shared" si="3"/>
        <v>2571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204</v>
      </c>
      <c r="F21" s="13">
        <f t="shared" si="4"/>
        <v>164</v>
      </c>
      <c r="G21" s="13">
        <f t="shared" si="4"/>
        <v>174</v>
      </c>
      <c r="H21" s="13">
        <f t="shared" si="4"/>
        <v>176</v>
      </c>
      <c r="I21" s="13">
        <f t="shared" si="4"/>
        <v>221</v>
      </c>
      <c r="J21" s="13">
        <f t="shared" si="4"/>
        <v>230</v>
      </c>
      <c r="K21" s="13">
        <f t="shared" si="4"/>
        <v>161</v>
      </c>
      <c r="L21" s="13">
        <f t="shared" si="4"/>
        <v>146</v>
      </c>
      <c r="M21" s="13">
        <f t="shared" si="4"/>
        <v>186</v>
      </c>
      <c r="N21" s="13">
        <f t="shared" si="4"/>
        <v>175</v>
      </c>
      <c r="O21" s="13">
        <f t="shared" si="4"/>
        <v>151</v>
      </c>
      <c r="P21" s="13">
        <f t="shared" si="4"/>
        <v>190</v>
      </c>
      <c r="Q21" s="13">
        <f t="shared" si="4"/>
        <v>184</v>
      </c>
      <c r="R21" s="13">
        <f t="shared" si="4"/>
        <v>171</v>
      </c>
      <c r="S21" s="13">
        <f t="shared" si="4"/>
        <v>143</v>
      </c>
      <c r="T21" s="13">
        <f t="shared" si="4"/>
        <v>187</v>
      </c>
      <c r="U21" s="13">
        <f t="shared" si="4"/>
        <v>178</v>
      </c>
      <c r="V21" s="13">
        <f t="shared" si="4"/>
        <v>190</v>
      </c>
      <c r="W21" s="13">
        <f t="shared" si="4"/>
        <v>204</v>
      </c>
      <c r="X21" s="13">
        <f t="shared" si="4"/>
        <v>183</v>
      </c>
      <c r="Y21" s="13">
        <f t="shared" si="4"/>
        <v>205</v>
      </c>
      <c r="Z21" s="13">
        <f t="shared" si="4"/>
        <v>174</v>
      </c>
      <c r="AA21" s="13">
        <f t="shared" si="4"/>
        <v>144</v>
      </c>
      <c r="AB21" s="13">
        <f t="shared" si="4"/>
        <v>210</v>
      </c>
      <c r="AC21" s="13">
        <f t="shared" si="4"/>
        <v>171</v>
      </c>
      <c r="AD21" s="13">
        <f t="shared" si="4"/>
        <v>174</v>
      </c>
      <c r="AE21" s="13">
        <f t="shared" si="4"/>
        <v>185</v>
      </c>
      <c r="AF21" s="13">
        <f t="shared" si="4"/>
        <v>186</v>
      </c>
      <c r="AG21" s="13">
        <f t="shared" si="3"/>
        <v>5067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8.0</v>
      </c>
      <c r="AC22" s="74">
        <v>0.0</v>
      </c>
      <c r="AD22" s="74">
        <v>0.0</v>
      </c>
      <c r="AE22" s="74">
        <v>0.0</v>
      </c>
      <c r="AF22" s="74">
        <v>0.0</v>
      </c>
      <c r="AG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3.0</v>
      </c>
      <c r="AC23" s="74">
        <v>0.0</v>
      </c>
      <c r="AD23" s="74">
        <v>0.0</v>
      </c>
      <c r="AE23" s="74">
        <v>0.0</v>
      </c>
      <c r="AF23" s="74">
        <v>0.0</v>
      </c>
      <c r="AG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1.0</v>
      </c>
      <c r="I25" s="74">
        <v>2.0</v>
      </c>
      <c r="J25" s="74">
        <v>2.0</v>
      </c>
      <c r="K25" s="74">
        <v>0.0</v>
      </c>
      <c r="L25" s="74">
        <v>0.0</v>
      </c>
      <c r="M25" s="74">
        <v>1.0</v>
      </c>
      <c r="N25" s="74">
        <v>0.0</v>
      </c>
      <c r="O25" s="74">
        <v>0.0</v>
      </c>
      <c r="P25" s="74">
        <v>2.0</v>
      </c>
      <c r="Q25" s="74">
        <v>1.0</v>
      </c>
      <c r="R25" s="74">
        <v>0.0</v>
      </c>
      <c r="S25" s="74">
        <v>4.0</v>
      </c>
      <c r="T25" s="74">
        <v>12.0</v>
      </c>
      <c r="U25" s="74">
        <v>7.0</v>
      </c>
      <c r="V25" s="74">
        <v>2.0</v>
      </c>
      <c r="W25" s="74">
        <v>3.0</v>
      </c>
      <c r="X25" s="74">
        <v>1.0</v>
      </c>
      <c r="Y25" s="74">
        <v>0.0</v>
      </c>
      <c r="Z25" s="74">
        <v>9.0</v>
      </c>
      <c r="AA25" s="74">
        <v>8.0</v>
      </c>
      <c r="AB25" s="74">
        <v>3.0</v>
      </c>
      <c r="AC25" s="74">
        <v>8.0</v>
      </c>
      <c r="AD25" s="74">
        <v>0.0</v>
      </c>
      <c r="AE25" s="74">
        <v>0.0</v>
      </c>
      <c r="AF25" s="74">
        <v>2.0</v>
      </c>
      <c r="AG25" s="13">
        <f t="shared" si="3"/>
        <v>68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0.0</v>
      </c>
      <c r="H26" s="74">
        <v>2.0</v>
      </c>
      <c r="I26" s="74">
        <v>0.0</v>
      </c>
      <c r="J26" s="74">
        <v>4.0</v>
      </c>
      <c r="K26" s="74">
        <v>4.0</v>
      </c>
      <c r="L26" s="74">
        <v>1.0</v>
      </c>
      <c r="M26" s="74">
        <v>2.0</v>
      </c>
      <c r="N26" s="74">
        <v>0.0</v>
      </c>
      <c r="O26" s="74">
        <v>0.0</v>
      </c>
      <c r="P26" s="74">
        <v>2.0</v>
      </c>
      <c r="Q26" s="74">
        <v>2.0</v>
      </c>
      <c r="R26" s="74">
        <v>2.0</v>
      </c>
      <c r="S26" s="74">
        <v>3.0</v>
      </c>
      <c r="T26" s="74">
        <v>9.0</v>
      </c>
      <c r="U26" s="74">
        <v>9.0</v>
      </c>
      <c r="V26" s="74">
        <v>2.0</v>
      </c>
      <c r="W26" s="74">
        <v>3.0</v>
      </c>
      <c r="X26" s="74">
        <v>3.0</v>
      </c>
      <c r="Y26" s="74">
        <v>2.0</v>
      </c>
      <c r="Z26" s="74">
        <v>8.0</v>
      </c>
      <c r="AA26" s="74">
        <v>8.0</v>
      </c>
      <c r="AB26" s="74">
        <v>2.0</v>
      </c>
      <c r="AC26" s="74">
        <v>10.0</v>
      </c>
      <c r="AD26" s="74">
        <v>0.0</v>
      </c>
      <c r="AE26" s="74">
        <v>0.0</v>
      </c>
      <c r="AF26" s="74">
        <v>5.0</v>
      </c>
      <c r="AG26" s="13">
        <f t="shared" si="3"/>
        <v>83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6</v>
      </c>
      <c r="K27" s="13">
        <f t="shared" si="6"/>
        <v>4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7</v>
      </c>
      <c r="T27" s="13">
        <f t="shared" si="6"/>
        <v>21</v>
      </c>
      <c r="U27" s="13">
        <f t="shared" si="6"/>
        <v>16</v>
      </c>
      <c r="V27" s="13">
        <f t="shared" si="6"/>
        <v>4</v>
      </c>
      <c r="W27" s="13">
        <f t="shared" si="6"/>
        <v>6</v>
      </c>
      <c r="X27" s="13">
        <f t="shared" si="6"/>
        <v>4</v>
      </c>
      <c r="Y27" s="13">
        <f t="shared" si="6"/>
        <v>2</v>
      </c>
      <c r="Z27" s="13">
        <f t="shared" si="6"/>
        <v>17</v>
      </c>
      <c r="AA27" s="13">
        <f t="shared" si="6"/>
        <v>16</v>
      </c>
      <c r="AB27" s="13">
        <f t="shared" si="6"/>
        <v>5</v>
      </c>
      <c r="AC27" s="13">
        <f t="shared" si="6"/>
        <v>18</v>
      </c>
      <c r="AD27" s="13">
        <f t="shared" si="6"/>
        <v>0</v>
      </c>
      <c r="AE27" s="13">
        <f t="shared" si="6"/>
        <v>0</v>
      </c>
      <c r="AF27" s="13">
        <f t="shared" si="6"/>
        <v>7</v>
      </c>
      <c r="AG27" s="13">
        <f t="shared" si="3"/>
        <v>151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95</v>
      </c>
      <c r="F28" s="13">
        <f t="shared" si="7"/>
        <v>82</v>
      </c>
      <c r="G28" s="13">
        <f t="shared" si="7"/>
        <v>83</v>
      </c>
      <c r="H28" s="13">
        <f t="shared" si="7"/>
        <v>85</v>
      </c>
      <c r="I28" s="13">
        <f t="shared" si="7"/>
        <v>120</v>
      </c>
      <c r="J28" s="13">
        <f t="shared" si="7"/>
        <v>123</v>
      </c>
      <c r="K28" s="13">
        <f t="shared" si="7"/>
        <v>81</v>
      </c>
      <c r="L28" s="13">
        <f t="shared" si="7"/>
        <v>76</v>
      </c>
      <c r="M28" s="13">
        <f t="shared" si="7"/>
        <v>90</v>
      </c>
      <c r="N28" s="13">
        <f t="shared" si="7"/>
        <v>88</v>
      </c>
      <c r="O28" s="13">
        <f t="shared" si="7"/>
        <v>71</v>
      </c>
      <c r="P28" s="13">
        <f t="shared" si="7"/>
        <v>91</v>
      </c>
      <c r="Q28" s="13">
        <f t="shared" si="7"/>
        <v>94</v>
      </c>
      <c r="R28" s="13">
        <f t="shared" si="7"/>
        <v>81</v>
      </c>
      <c r="S28" s="13">
        <f t="shared" si="7"/>
        <v>64</v>
      </c>
      <c r="T28" s="13">
        <f t="shared" si="7"/>
        <v>107</v>
      </c>
      <c r="U28" s="13">
        <f t="shared" si="7"/>
        <v>88</v>
      </c>
      <c r="V28" s="13">
        <f t="shared" si="7"/>
        <v>95</v>
      </c>
      <c r="W28" s="13">
        <f t="shared" si="7"/>
        <v>113</v>
      </c>
      <c r="X28" s="13">
        <f t="shared" si="7"/>
        <v>89</v>
      </c>
      <c r="Y28" s="13">
        <f t="shared" si="7"/>
        <v>101</v>
      </c>
      <c r="Z28" s="13">
        <f t="shared" si="7"/>
        <v>98</v>
      </c>
      <c r="AA28" s="13">
        <f t="shared" si="7"/>
        <v>73</v>
      </c>
      <c r="AB28" s="13">
        <f t="shared" si="7"/>
        <v>117</v>
      </c>
      <c r="AC28" s="13">
        <f t="shared" si="7"/>
        <v>95</v>
      </c>
      <c r="AD28" s="13">
        <f t="shared" si="7"/>
        <v>83</v>
      </c>
      <c r="AE28" s="13">
        <f t="shared" si="7"/>
        <v>94</v>
      </c>
      <c r="AF28" s="13">
        <f t="shared" si="7"/>
        <v>95</v>
      </c>
      <c r="AG28" s="13">
        <f t="shared" si="3"/>
        <v>2572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109</v>
      </c>
      <c r="F29" s="13">
        <f t="shared" si="8"/>
        <v>82</v>
      </c>
      <c r="G29" s="13">
        <f t="shared" si="8"/>
        <v>91</v>
      </c>
      <c r="H29" s="13">
        <f t="shared" si="8"/>
        <v>94</v>
      </c>
      <c r="I29" s="13">
        <f t="shared" si="8"/>
        <v>103</v>
      </c>
      <c r="J29" s="13">
        <f t="shared" si="8"/>
        <v>113</v>
      </c>
      <c r="K29" s="13">
        <f t="shared" si="8"/>
        <v>84</v>
      </c>
      <c r="L29" s="13">
        <f t="shared" si="8"/>
        <v>71</v>
      </c>
      <c r="M29" s="13">
        <f t="shared" si="8"/>
        <v>99</v>
      </c>
      <c r="N29" s="13">
        <f t="shared" si="8"/>
        <v>87</v>
      </c>
      <c r="O29" s="13">
        <f t="shared" si="8"/>
        <v>80</v>
      </c>
      <c r="P29" s="13">
        <f t="shared" si="8"/>
        <v>103</v>
      </c>
      <c r="Q29" s="13">
        <f t="shared" si="8"/>
        <v>93</v>
      </c>
      <c r="R29" s="13">
        <f t="shared" si="8"/>
        <v>92</v>
      </c>
      <c r="S29" s="13">
        <f t="shared" si="8"/>
        <v>86</v>
      </c>
      <c r="T29" s="13">
        <f t="shared" si="8"/>
        <v>101</v>
      </c>
      <c r="U29" s="13">
        <f t="shared" si="8"/>
        <v>106</v>
      </c>
      <c r="V29" s="13">
        <f t="shared" si="8"/>
        <v>99</v>
      </c>
      <c r="W29" s="13">
        <f t="shared" si="8"/>
        <v>97</v>
      </c>
      <c r="X29" s="13">
        <f t="shared" si="8"/>
        <v>98</v>
      </c>
      <c r="Y29" s="13">
        <f t="shared" si="8"/>
        <v>106</v>
      </c>
      <c r="Z29" s="13">
        <f t="shared" si="8"/>
        <v>93</v>
      </c>
      <c r="AA29" s="13">
        <f t="shared" si="8"/>
        <v>87</v>
      </c>
      <c r="AB29" s="13">
        <f t="shared" si="8"/>
        <v>109</v>
      </c>
      <c r="AC29" s="13">
        <f t="shared" si="8"/>
        <v>94</v>
      </c>
      <c r="AD29" s="13">
        <f t="shared" si="8"/>
        <v>91</v>
      </c>
      <c r="AE29" s="13">
        <f t="shared" si="8"/>
        <v>91</v>
      </c>
      <c r="AF29" s="13">
        <f t="shared" si="8"/>
        <v>98</v>
      </c>
      <c r="AG29" s="13">
        <f t="shared" si="3"/>
        <v>2657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204</v>
      </c>
      <c r="F30" s="13">
        <f t="shared" si="9"/>
        <v>164</v>
      </c>
      <c r="G30" s="13">
        <f t="shared" si="9"/>
        <v>174</v>
      </c>
      <c r="H30" s="13">
        <f t="shared" si="9"/>
        <v>179</v>
      </c>
      <c r="I30" s="13">
        <f t="shared" si="9"/>
        <v>223</v>
      </c>
      <c r="J30" s="13">
        <f t="shared" si="9"/>
        <v>236</v>
      </c>
      <c r="K30" s="13">
        <f t="shared" si="9"/>
        <v>165</v>
      </c>
      <c r="L30" s="13">
        <f t="shared" si="9"/>
        <v>147</v>
      </c>
      <c r="M30" s="13">
        <f t="shared" si="9"/>
        <v>189</v>
      </c>
      <c r="N30" s="13">
        <f t="shared" si="9"/>
        <v>175</v>
      </c>
      <c r="O30" s="13">
        <f t="shared" si="9"/>
        <v>151</v>
      </c>
      <c r="P30" s="13">
        <f t="shared" si="9"/>
        <v>194</v>
      </c>
      <c r="Q30" s="13">
        <f t="shared" si="9"/>
        <v>187</v>
      </c>
      <c r="R30" s="13">
        <f t="shared" si="9"/>
        <v>173</v>
      </c>
      <c r="S30" s="13">
        <f t="shared" si="9"/>
        <v>150</v>
      </c>
      <c r="T30" s="13">
        <f t="shared" si="9"/>
        <v>208</v>
      </c>
      <c r="U30" s="13">
        <f t="shared" si="9"/>
        <v>194</v>
      </c>
      <c r="V30" s="13">
        <f t="shared" si="9"/>
        <v>194</v>
      </c>
      <c r="W30" s="13">
        <f t="shared" si="9"/>
        <v>210</v>
      </c>
      <c r="X30" s="13">
        <f t="shared" si="9"/>
        <v>187</v>
      </c>
      <c r="Y30" s="13">
        <f t="shared" si="9"/>
        <v>207</v>
      </c>
      <c r="Z30" s="13">
        <f t="shared" si="9"/>
        <v>191</v>
      </c>
      <c r="AA30" s="13">
        <f t="shared" si="9"/>
        <v>160</v>
      </c>
      <c r="AB30" s="13">
        <f t="shared" si="9"/>
        <v>226</v>
      </c>
      <c r="AC30" s="13">
        <f t="shared" si="9"/>
        <v>189</v>
      </c>
      <c r="AD30" s="13">
        <f t="shared" si="9"/>
        <v>174</v>
      </c>
      <c r="AE30" s="13">
        <f t="shared" si="9"/>
        <v>185</v>
      </c>
      <c r="AF30" s="13">
        <f t="shared" si="9"/>
        <v>193</v>
      </c>
      <c r="AG30" s="13">
        <f t="shared" si="3"/>
        <v>5229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76"/>
    </row>
    <row r="33" ht="12.75" customHeight="1">
      <c r="A33" s="19">
        <v>1.0</v>
      </c>
      <c r="B33" s="20" t="s">
        <v>27</v>
      </c>
      <c r="C33" s="15"/>
      <c r="D33" s="16"/>
      <c r="E33" s="74">
        <v>262.0</v>
      </c>
      <c r="F33" s="74">
        <v>191.0</v>
      </c>
      <c r="G33" s="74">
        <v>236.0</v>
      </c>
      <c r="H33" s="74">
        <v>230.0</v>
      </c>
      <c r="I33" s="74">
        <v>279.0</v>
      </c>
      <c r="J33" s="74">
        <v>287.0</v>
      </c>
      <c r="K33" s="74">
        <v>224.0</v>
      </c>
      <c r="L33" s="74">
        <v>197.0</v>
      </c>
      <c r="M33" s="74">
        <v>241.0</v>
      </c>
      <c r="N33" s="74">
        <v>253.0</v>
      </c>
      <c r="O33" s="74">
        <v>227.0</v>
      </c>
      <c r="P33" s="74">
        <v>289.0</v>
      </c>
      <c r="Q33" s="74">
        <v>293.0</v>
      </c>
      <c r="R33" s="74">
        <v>268.0</v>
      </c>
      <c r="S33" s="74">
        <v>214.0</v>
      </c>
      <c r="T33" s="74">
        <v>289.0</v>
      </c>
      <c r="U33" s="74">
        <v>249.0</v>
      </c>
      <c r="V33" s="74">
        <v>280.0</v>
      </c>
      <c r="W33" s="74">
        <v>280.0</v>
      </c>
      <c r="X33" s="74">
        <v>282.0</v>
      </c>
      <c r="Y33" s="74">
        <v>291.0</v>
      </c>
      <c r="Z33" s="74">
        <v>273.0</v>
      </c>
      <c r="AA33" s="74">
        <v>153.0</v>
      </c>
      <c r="AB33" s="74">
        <v>285.0</v>
      </c>
      <c r="AC33" s="74">
        <v>251.0</v>
      </c>
      <c r="AD33" s="74">
        <v>291.0</v>
      </c>
      <c r="AE33" s="74">
        <v>287.0</v>
      </c>
      <c r="AF33" s="74">
        <v>248.0</v>
      </c>
      <c r="AG33" s="13">
        <f t="shared" ref="AG33:AG36" si="10">SUM(E33:AF33)</f>
        <v>7150</v>
      </c>
    </row>
    <row r="34" ht="12.75" customHeight="1">
      <c r="A34" s="19">
        <v>2.0</v>
      </c>
      <c r="B34" s="20" t="s">
        <v>28</v>
      </c>
      <c r="C34" s="15"/>
      <c r="D34" s="16"/>
      <c r="E34" s="78">
        <v>204.0</v>
      </c>
      <c r="F34" s="78">
        <v>164.0</v>
      </c>
      <c r="G34" s="78">
        <v>174.0</v>
      </c>
      <c r="H34" s="78">
        <v>179.0</v>
      </c>
      <c r="I34" s="78">
        <v>223.0</v>
      </c>
      <c r="J34" s="78">
        <v>236.0</v>
      </c>
      <c r="K34" s="78">
        <v>165.0</v>
      </c>
      <c r="L34" s="78">
        <v>147.0</v>
      </c>
      <c r="M34" s="78">
        <v>189.0</v>
      </c>
      <c r="N34" s="78">
        <v>175.0</v>
      </c>
      <c r="O34" s="78">
        <v>151.0</v>
      </c>
      <c r="P34" s="78">
        <v>194.0</v>
      </c>
      <c r="Q34" s="78">
        <v>187.0</v>
      </c>
      <c r="R34" s="78">
        <v>173.0</v>
      </c>
      <c r="S34" s="78">
        <v>150.0</v>
      </c>
      <c r="T34" s="78">
        <v>208.0</v>
      </c>
      <c r="U34" s="78">
        <v>194.0</v>
      </c>
      <c r="V34" s="78">
        <v>194.0</v>
      </c>
      <c r="W34" s="78">
        <v>210.0</v>
      </c>
      <c r="X34" s="78">
        <v>187.0</v>
      </c>
      <c r="Y34" s="78">
        <v>207.0</v>
      </c>
      <c r="Z34" s="78">
        <v>191.0</v>
      </c>
      <c r="AA34" s="78">
        <v>160.0</v>
      </c>
      <c r="AB34" s="78">
        <v>226.0</v>
      </c>
      <c r="AC34" s="78">
        <v>189.0</v>
      </c>
      <c r="AD34" s="78">
        <v>174.0</v>
      </c>
      <c r="AE34" s="78">
        <v>185.0</v>
      </c>
      <c r="AF34" s="78">
        <v>193.0</v>
      </c>
      <c r="AG34" s="13">
        <f t="shared" si="10"/>
        <v>5229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1.0</v>
      </c>
      <c r="G35" s="74">
        <v>2.0</v>
      </c>
      <c r="H35" s="74">
        <v>1.0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5.0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2.0</v>
      </c>
      <c r="AB35" s="74">
        <v>0.0</v>
      </c>
      <c r="AC35" s="74">
        <v>1.0</v>
      </c>
      <c r="AD35" s="74">
        <v>0.0</v>
      </c>
      <c r="AE35" s="74">
        <v>0.0</v>
      </c>
      <c r="AF35" s="74">
        <v>0.0</v>
      </c>
      <c r="AG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58</v>
      </c>
      <c r="F36" s="13">
        <f t="shared" si="11"/>
        <v>26</v>
      </c>
      <c r="G36" s="13">
        <f t="shared" si="11"/>
        <v>60</v>
      </c>
      <c r="H36" s="13">
        <f t="shared" si="11"/>
        <v>50</v>
      </c>
      <c r="I36" s="13">
        <f t="shared" si="11"/>
        <v>56</v>
      </c>
      <c r="J36" s="13">
        <f t="shared" si="11"/>
        <v>51</v>
      </c>
      <c r="K36" s="13">
        <f t="shared" si="11"/>
        <v>59</v>
      </c>
      <c r="L36" s="13">
        <f t="shared" si="11"/>
        <v>50</v>
      </c>
      <c r="M36" s="13">
        <f t="shared" si="11"/>
        <v>52</v>
      </c>
      <c r="N36" s="13">
        <f t="shared" si="11"/>
        <v>78</v>
      </c>
      <c r="O36" s="13">
        <f t="shared" si="11"/>
        <v>76</v>
      </c>
      <c r="P36" s="13">
        <f t="shared" si="11"/>
        <v>95</v>
      </c>
      <c r="Q36" s="13">
        <f t="shared" si="11"/>
        <v>106</v>
      </c>
      <c r="R36" s="13">
        <f t="shared" si="11"/>
        <v>95</v>
      </c>
      <c r="S36" s="13">
        <f t="shared" si="11"/>
        <v>64</v>
      </c>
      <c r="T36" s="13">
        <f t="shared" si="11"/>
        <v>81</v>
      </c>
      <c r="U36" s="13">
        <f t="shared" si="11"/>
        <v>50</v>
      </c>
      <c r="V36" s="13">
        <f t="shared" si="11"/>
        <v>86</v>
      </c>
      <c r="W36" s="13">
        <f t="shared" si="11"/>
        <v>70</v>
      </c>
      <c r="X36" s="13">
        <f t="shared" si="11"/>
        <v>95</v>
      </c>
      <c r="Y36" s="13">
        <f t="shared" si="11"/>
        <v>84</v>
      </c>
      <c r="Z36" s="13">
        <f t="shared" si="11"/>
        <v>82</v>
      </c>
      <c r="AA36" s="13">
        <f t="shared" si="11"/>
        <v>-9</v>
      </c>
      <c r="AB36" s="13">
        <f t="shared" si="11"/>
        <v>59</v>
      </c>
      <c r="AC36" s="13">
        <f t="shared" si="11"/>
        <v>61</v>
      </c>
      <c r="AD36" s="13">
        <f t="shared" si="11"/>
        <v>117</v>
      </c>
      <c r="AE36" s="13">
        <f t="shared" si="11"/>
        <v>102</v>
      </c>
      <c r="AF36" s="13">
        <f t="shared" si="11"/>
        <v>55</v>
      </c>
      <c r="AG36" s="13">
        <f t="shared" si="10"/>
        <v>1909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3.0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4.0</v>
      </c>
      <c r="AG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7</v>
      </c>
      <c r="AG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9.0</v>
      </c>
      <c r="F45" s="74">
        <v>2.0</v>
      </c>
      <c r="G45" s="74">
        <v>6.0</v>
      </c>
      <c r="H45" s="74">
        <v>13.0</v>
      </c>
      <c r="I45" s="74">
        <v>12.0</v>
      </c>
      <c r="J45" s="74">
        <v>20.0</v>
      </c>
      <c r="K45" s="74">
        <v>5.0</v>
      </c>
      <c r="L45" s="74">
        <v>9.0</v>
      </c>
      <c r="M45" s="74">
        <v>14.0</v>
      </c>
      <c r="N45" s="74">
        <v>4.0</v>
      </c>
      <c r="O45" s="74">
        <v>4.0</v>
      </c>
      <c r="P45" s="74">
        <v>8.0</v>
      </c>
      <c r="Q45" s="74">
        <v>4.0</v>
      </c>
      <c r="R45" s="74">
        <v>5.0</v>
      </c>
      <c r="S45" s="74">
        <v>6.0</v>
      </c>
      <c r="T45" s="74">
        <v>6.0</v>
      </c>
      <c r="U45" s="74">
        <v>12.0</v>
      </c>
      <c r="V45" s="74">
        <v>6.0</v>
      </c>
      <c r="W45" s="74">
        <v>7.0</v>
      </c>
      <c r="X45" s="74">
        <v>6.0</v>
      </c>
      <c r="Y45" s="74">
        <v>7.0</v>
      </c>
      <c r="Z45" s="74">
        <v>3.0</v>
      </c>
      <c r="AA45" s="74">
        <v>8.0</v>
      </c>
      <c r="AB45" s="74">
        <v>1.0</v>
      </c>
      <c r="AC45" s="74">
        <v>11.0</v>
      </c>
      <c r="AD45" s="74">
        <v>4.0</v>
      </c>
      <c r="AE45" s="74">
        <v>1.0</v>
      </c>
      <c r="AF45" s="74">
        <v>4.0</v>
      </c>
      <c r="AG45" s="13">
        <f t="shared" ref="AG45:AG54" si="14">SUM(E45:AF45)</f>
        <v>197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34.0</v>
      </c>
      <c r="F46" s="74">
        <v>20.0</v>
      </c>
      <c r="G46" s="74">
        <v>27.0</v>
      </c>
      <c r="H46" s="74">
        <v>35.0</v>
      </c>
      <c r="I46" s="74">
        <v>12.0</v>
      </c>
      <c r="J46" s="74">
        <v>44.0</v>
      </c>
      <c r="K46" s="74">
        <v>28.0</v>
      </c>
      <c r="L46" s="74">
        <v>7.0</v>
      </c>
      <c r="M46" s="74">
        <v>20.0</v>
      </c>
      <c r="N46" s="74">
        <v>15.0</v>
      </c>
      <c r="O46" s="74">
        <v>26.0</v>
      </c>
      <c r="P46" s="74">
        <v>14.0</v>
      </c>
      <c r="Q46" s="74">
        <v>25.0</v>
      </c>
      <c r="R46" s="74">
        <v>25.0</v>
      </c>
      <c r="S46" s="74">
        <v>18.0</v>
      </c>
      <c r="T46" s="74">
        <v>10.0</v>
      </c>
      <c r="U46" s="74">
        <v>20.0</v>
      </c>
      <c r="V46" s="74">
        <v>13.0</v>
      </c>
      <c r="W46" s="74">
        <v>12.0</v>
      </c>
      <c r="X46" s="74">
        <v>11.0</v>
      </c>
      <c r="Y46" s="74">
        <v>8.0</v>
      </c>
      <c r="Z46" s="74">
        <v>2.0</v>
      </c>
      <c r="AA46" s="74">
        <v>17.0</v>
      </c>
      <c r="AB46" s="74">
        <v>5.0</v>
      </c>
      <c r="AC46" s="74">
        <v>6.0</v>
      </c>
      <c r="AD46" s="74">
        <v>15.0</v>
      </c>
      <c r="AE46" s="74">
        <v>2.0</v>
      </c>
      <c r="AF46" s="74">
        <v>27.0</v>
      </c>
      <c r="AG46" s="13">
        <f t="shared" si="14"/>
        <v>498</v>
      </c>
    </row>
    <row r="47" ht="12.75" customHeight="1">
      <c r="A47" s="18"/>
      <c r="B47" s="55"/>
      <c r="C47" s="50" t="s">
        <v>41</v>
      </c>
      <c r="D47" s="50"/>
      <c r="E47" s="74">
        <v>0.0</v>
      </c>
      <c r="F47" s="74">
        <v>4.0</v>
      </c>
      <c r="G47" s="74">
        <v>3.0</v>
      </c>
      <c r="H47" s="74">
        <v>3.0</v>
      </c>
      <c r="I47" s="74">
        <v>1.0</v>
      </c>
      <c r="J47" s="74">
        <v>1.0</v>
      </c>
      <c r="K47" s="74">
        <v>1.0</v>
      </c>
      <c r="L47" s="74">
        <v>0.0</v>
      </c>
      <c r="M47" s="74">
        <v>0.0</v>
      </c>
      <c r="N47" s="74">
        <v>3.0</v>
      </c>
      <c r="O47" s="74">
        <v>1.0</v>
      </c>
      <c r="P47" s="74">
        <v>2.0</v>
      </c>
      <c r="Q47" s="74">
        <v>1.0</v>
      </c>
      <c r="R47" s="74">
        <v>2.0</v>
      </c>
      <c r="S47" s="74">
        <v>1.0</v>
      </c>
      <c r="T47" s="74">
        <v>1.0</v>
      </c>
      <c r="U47" s="74">
        <v>3.0</v>
      </c>
      <c r="V47" s="74">
        <v>1.0</v>
      </c>
      <c r="W47" s="74">
        <v>1.0</v>
      </c>
      <c r="X47" s="74">
        <v>4.0</v>
      </c>
      <c r="Y47" s="74">
        <v>1.0</v>
      </c>
      <c r="Z47" s="74">
        <v>0.0</v>
      </c>
      <c r="AA47" s="74">
        <v>2.0</v>
      </c>
      <c r="AB47" s="74">
        <v>1.0</v>
      </c>
      <c r="AC47" s="74">
        <v>0.0</v>
      </c>
      <c r="AD47" s="74">
        <v>6.0</v>
      </c>
      <c r="AE47" s="74">
        <v>0.0</v>
      </c>
      <c r="AF47" s="74">
        <v>3.0</v>
      </c>
      <c r="AG47" s="13">
        <f t="shared" si="14"/>
        <v>46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0.0</v>
      </c>
      <c r="H48" s="74">
        <v>1.0</v>
      </c>
      <c r="I48" s="74">
        <v>1.0</v>
      </c>
      <c r="J48" s="74">
        <v>1.0</v>
      </c>
      <c r="K48" s="74">
        <v>0.0</v>
      </c>
      <c r="L48" s="74">
        <v>0.0</v>
      </c>
      <c r="M48" s="74">
        <v>1.0</v>
      </c>
      <c r="N48" s="74">
        <v>1.0</v>
      </c>
      <c r="O48" s="74">
        <v>1.0</v>
      </c>
      <c r="P48" s="74">
        <v>1.0</v>
      </c>
      <c r="Q48" s="74">
        <v>0.0</v>
      </c>
      <c r="R48" s="74">
        <v>1.0</v>
      </c>
      <c r="S48" s="74">
        <v>3.0</v>
      </c>
      <c r="T48" s="74">
        <v>1.0</v>
      </c>
      <c r="U48" s="74">
        <v>0.0</v>
      </c>
      <c r="V48" s="74">
        <v>0.0</v>
      </c>
      <c r="W48" s="74">
        <v>0.0</v>
      </c>
      <c r="X48" s="74">
        <v>1.0</v>
      </c>
      <c r="Y48" s="74">
        <v>0.0</v>
      </c>
      <c r="Z48" s="74">
        <v>0.0</v>
      </c>
      <c r="AA48" s="74">
        <v>0.0</v>
      </c>
      <c r="AB48" s="74">
        <v>1.0</v>
      </c>
      <c r="AC48" s="74">
        <v>0.0</v>
      </c>
      <c r="AD48" s="74">
        <v>1.0</v>
      </c>
      <c r="AE48" s="74">
        <v>0.0</v>
      </c>
      <c r="AF48" s="74">
        <v>1.0</v>
      </c>
      <c r="AG48" s="13">
        <f t="shared" si="14"/>
        <v>17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2.0</v>
      </c>
      <c r="G49" s="74">
        <v>1.0</v>
      </c>
      <c r="H49" s="74">
        <v>1.0</v>
      </c>
      <c r="I49" s="74">
        <v>0.0</v>
      </c>
      <c r="J49" s="74">
        <v>4.0</v>
      </c>
      <c r="K49" s="74">
        <v>0.0</v>
      </c>
      <c r="L49" s="74">
        <v>2.0</v>
      </c>
      <c r="M49" s="74">
        <v>0.0</v>
      </c>
      <c r="N49" s="74">
        <v>2.0</v>
      </c>
      <c r="O49" s="74">
        <v>0.0</v>
      </c>
      <c r="P49" s="74">
        <v>1.0</v>
      </c>
      <c r="Q49" s="74">
        <v>2.0</v>
      </c>
      <c r="R49" s="74">
        <v>0.0</v>
      </c>
      <c r="S49" s="74">
        <v>0.0</v>
      </c>
      <c r="T49" s="74">
        <v>2.0</v>
      </c>
      <c r="U49" s="74">
        <v>0.0</v>
      </c>
      <c r="V49" s="74">
        <v>2.0</v>
      </c>
      <c r="W49" s="74">
        <v>2.0</v>
      </c>
      <c r="X49" s="74">
        <v>2.0</v>
      </c>
      <c r="Y49" s="74">
        <v>2.0</v>
      </c>
      <c r="Z49" s="74">
        <v>1.0</v>
      </c>
      <c r="AA49" s="74">
        <v>3.0</v>
      </c>
      <c r="AB49" s="74">
        <v>0.0</v>
      </c>
      <c r="AC49" s="74">
        <v>2.0</v>
      </c>
      <c r="AD49" s="74">
        <v>10.0</v>
      </c>
      <c r="AE49" s="74">
        <v>0.0</v>
      </c>
      <c r="AF49" s="74">
        <v>1.0</v>
      </c>
      <c r="AG49" s="13">
        <f t="shared" si="14"/>
        <v>42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2.0</v>
      </c>
      <c r="G50" s="74">
        <v>0.0</v>
      </c>
      <c r="H50" s="74">
        <v>1.0</v>
      </c>
      <c r="I50" s="74">
        <v>0.0</v>
      </c>
      <c r="J50" s="74">
        <v>3.0</v>
      </c>
      <c r="K50" s="74">
        <v>0.0</v>
      </c>
      <c r="L50" s="74">
        <v>0.0</v>
      </c>
      <c r="M50" s="74">
        <v>1.0</v>
      </c>
      <c r="N50" s="74">
        <v>0.0</v>
      </c>
      <c r="O50" s="74">
        <v>0.0</v>
      </c>
      <c r="P50" s="74">
        <v>1.0</v>
      </c>
      <c r="Q50" s="74">
        <v>1.0</v>
      </c>
      <c r="R50" s="74">
        <v>0.0</v>
      </c>
      <c r="S50" s="74">
        <v>0.0</v>
      </c>
      <c r="T50" s="74">
        <v>0.0</v>
      </c>
      <c r="U50" s="74">
        <v>1.0</v>
      </c>
      <c r="V50" s="74">
        <v>0.0</v>
      </c>
      <c r="W50" s="74">
        <v>1.0</v>
      </c>
      <c r="X50" s="74">
        <v>0.0</v>
      </c>
      <c r="Y50" s="74">
        <v>1.0</v>
      </c>
      <c r="Z50" s="74">
        <v>0.0</v>
      </c>
      <c r="AA50" s="74">
        <v>0.0</v>
      </c>
      <c r="AB50" s="74">
        <v>0.0</v>
      </c>
      <c r="AC50" s="74">
        <v>0.0</v>
      </c>
      <c r="AD50" s="74">
        <v>0.0</v>
      </c>
      <c r="AE50" s="74">
        <v>0.0</v>
      </c>
      <c r="AF50" s="74">
        <v>1.0</v>
      </c>
      <c r="AG50" s="13">
        <f t="shared" si="14"/>
        <v>13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2.0</v>
      </c>
      <c r="K51" s="74">
        <v>1.0</v>
      </c>
      <c r="L51" s="74">
        <v>1.0</v>
      </c>
      <c r="M51" s="74">
        <v>1.0</v>
      </c>
      <c r="N51" s="74">
        <v>1.0</v>
      </c>
      <c r="O51" s="74">
        <v>2.0</v>
      </c>
      <c r="P51" s="74">
        <v>1.0</v>
      </c>
      <c r="Q51" s="74">
        <v>0.0</v>
      </c>
      <c r="R51" s="74">
        <v>1.0</v>
      </c>
      <c r="S51" s="74">
        <v>0.0</v>
      </c>
      <c r="T51" s="74">
        <v>1.0</v>
      </c>
      <c r="U51" s="74">
        <v>2.0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74">
        <v>1.0</v>
      </c>
      <c r="AE51" s="74">
        <v>0.0</v>
      </c>
      <c r="AF51" s="74">
        <v>1.0</v>
      </c>
      <c r="AG51" s="13">
        <f t="shared" si="14"/>
        <v>15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1.0</v>
      </c>
      <c r="G52" s="74">
        <v>1.0</v>
      </c>
      <c r="H52" s="74">
        <v>1.0</v>
      </c>
      <c r="I52" s="74">
        <v>0.0</v>
      </c>
      <c r="J52" s="74">
        <v>2.0</v>
      </c>
      <c r="K52" s="74">
        <v>0.0</v>
      </c>
      <c r="L52" s="74">
        <v>2.0</v>
      </c>
      <c r="M52" s="74">
        <v>0.0</v>
      </c>
      <c r="N52" s="74">
        <v>1.0</v>
      </c>
      <c r="O52" s="74">
        <v>1.0</v>
      </c>
      <c r="P52" s="74">
        <v>0.0</v>
      </c>
      <c r="Q52" s="74">
        <v>2.0</v>
      </c>
      <c r="R52" s="74">
        <v>1.0</v>
      </c>
      <c r="S52" s="74">
        <v>1.0</v>
      </c>
      <c r="T52" s="74">
        <v>1.0</v>
      </c>
      <c r="U52" s="74">
        <v>3.0</v>
      </c>
      <c r="V52" s="74">
        <v>0.0</v>
      </c>
      <c r="W52" s="74">
        <v>1.0</v>
      </c>
      <c r="X52" s="74">
        <v>2.0</v>
      </c>
      <c r="Y52" s="74">
        <v>2.0</v>
      </c>
      <c r="Z52" s="74">
        <v>1.0</v>
      </c>
      <c r="AA52" s="74">
        <v>0.0</v>
      </c>
      <c r="AB52" s="74">
        <v>0.0</v>
      </c>
      <c r="AC52" s="74">
        <v>1.0</v>
      </c>
      <c r="AD52" s="74">
        <v>1.0</v>
      </c>
      <c r="AE52" s="74">
        <v>0.0</v>
      </c>
      <c r="AF52" s="74">
        <v>0.0</v>
      </c>
      <c r="AG52" s="13">
        <f t="shared" si="14"/>
        <v>26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1.0</v>
      </c>
      <c r="T53" s="74">
        <v>0.0</v>
      </c>
      <c r="U53" s="74">
        <v>0.0</v>
      </c>
      <c r="V53" s="74">
        <v>1.0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74">
        <v>0.0</v>
      </c>
      <c r="AG53" s="13">
        <f t="shared" si="14"/>
        <v>2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2.0</v>
      </c>
      <c r="G54" s="74">
        <v>4.0</v>
      </c>
      <c r="H54" s="74">
        <v>1.0</v>
      </c>
      <c r="I54" s="74">
        <v>1.0</v>
      </c>
      <c r="J54" s="74">
        <v>5.0</v>
      </c>
      <c r="K54" s="74">
        <v>3.0</v>
      </c>
      <c r="L54" s="74">
        <v>0.0</v>
      </c>
      <c r="M54" s="74">
        <v>1.0</v>
      </c>
      <c r="N54" s="74">
        <v>2.0</v>
      </c>
      <c r="O54" s="74">
        <v>0.0</v>
      </c>
      <c r="P54" s="74">
        <v>0.0</v>
      </c>
      <c r="Q54" s="74">
        <v>0.0</v>
      </c>
      <c r="R54" s="74">
        <v>0.0</v>
      </c>
      <c r="S54" s="74">
        <v>3.0</v>
      </c>
      <c r="T54" s="74">
        <v>1.0</v>
      </c>
      <c r="U54" s="74">
        <v>0.0</v>
      </c>
      <c r="V54" s="74">
        <v>0.0</v>
      </c>
      <c r="W54" s="74">
        <v>0.0</v>
      </c>
      <c r="X54" s="74">
        <v>1.0</v>
      </c>
      <c r="Y54" s="74">
        <v>0.0</v>
      </c>
      <c r="Z54" s="74">
        <v>1.0</v>
      </c>
      <c r="AA54" s="74">
        <v>2.0</v>
      </c>
      <c r="AB54" s="74">
        <v>1.0</v>
      </c>
      <c r="AC54" s="74">
        <v>0.0</v>
      </c>
      <c r="AD54" s="74">
        <v>1.0</v>
      </c>
      <c r="AE54" s="74">
        <v>1.0</v>
      </c>
      <c r="AF54" s="74">
        <v>2.0</v>
      </c>
      <c r="AG54" s="13">
        <f t="shared" si="14"/>
        <v>32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G55" si="15">SUM(E45:E54)</f>
        <v>45</v>
      </c>
      <c r="F55" s="13">
        <f t="shared" si="15"/>
        <v>33</v>
      </c>
      <c r="G55" s="13">
        <f t="shared" si="15"/>
        <v>42</v>
      </c>
      <c r="H55" s="13">
        <f t="shared" si="15"/>
        <v>56</v>
      </c>
      <c r="I55" s="13">
        <f t="shared" si="15"/>
        <v>27</v>
      </c>
      <c r="J55" s="13">
        <f t="shared" si="15"/>
        <v>82</v>
      </c>
      <c r="K55" s="13">
        <f t="shared" si="15"/>
        <v>38</v>
      </c>
      <c r="L55" s="13">
        <f t="shared" si="15"/>
        <v>21</v>
      </c>
      <c r="M55" s="13">
        <f t="shared" si="15"/>
        <v>38</v>
      </c>
      <c r="N55" s="13">
        <f t="shared" si="15"/>
        <v>29</v>
      </c>
      <c r="O55" s="13">
        <f t="shared" si="15"/>
        <v>35</v>
      </c>
      <c r="P55" s="13">
        <f t="shared" si="15"/>
        <v>28</v>
      </c>
      <c r="Q55" s="13">
        <f t="shared" si="15"/>
        <v>35</v>
      </c>
      <c r="R55" s="13">
        <f t="shared" si="15"/>
        <v>35</v>
      </c>
      <c r="S55" s="13">
        <f t="shared" si="15"/>
        <v>33</v>
      </c>
      <c r="T55" s="13">
        <f t="shared" si="15"/>
        <v>23</v>
      </c>
      <c r="U55" s="13">
        <f t="shared" si="15"/>
        <v>41</v>
      </c>
      <c r="V55" s="13">
        <f t="shared" si="15"/>
        <v>23</v>
      </c>
      <c r="W55" s="13">
        <f t="shared" si="15"/>
        <v>24</v>
      </c>
      <c r="X55" s="13">
        <f t="shared" si="15"/>
        <v>27</v>
      </c>
      <c r="Y55" s="13">
        <f t="shared" si="15"/>
        <v>21</v>
      </c>
      <c r="Z55" s="13">
        <f t="shared" si="15"/>
        <v>8</v>
      </c>
      <c r="AA55" s="13">
        <f t="shared" si="15"/>
        <v>32</v>
      </c>
      <c r="AB55" s="13">
        <f t="shared" si="15"/>
        <v>9</v>
      </c>
      <c r="AC55" s="13">
        <f t="shared" si="15"/>
        <v>20</v>
      </c>
      <c r="AD55" s="13">
        <f t="shared" si="15"/>
        <v>39</v>
      </c>
      <c r="AE55" s="13">
        <f t="shared" si="15"/>
        <v>4</v>
      </c>
      <c r="AF55" s="13">
        <f t="shared" si="15"/>
        <v>40</v>
      </c>
      <c r="AG55" s="13">
        <f t="shared" si="15"/>
        <v>888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6.0</v>
      </c>
      <c r="F57" s="74">
        <v>8.0</v>
      </c>
      <c r="G57" s="74">
        <v>4.0</v>
      </c>
      <c r="H57" s="74">
        <v>6.0</v>
      </c>
      <c r="I57" s="74">
        <v>11.0</v>
      </c>
      <c r="J57" s="74">
        <v>9.0</v>
      </c>
      <c r="K57" s="74">
        <v>10.0</v>
      </c>
      <c r="L57" s="74">
        <v>3.0</v>
      </c>
      <c r="M57" s="74">
        <v>10.0</v>
      </c>
      <c r="N57" s="74">
        <v>16.0</v>
      </c>
      <c r="O57" s="74">
        <v>6.0</v>
      </c>
      <c r="P57" s="74">
        <v>11.0</v>
      </c>
      <c r="Q57" s="74">
        <v>17.0</v>
      </c>
      <c r="R57" s="74">
        <v>9.0</v>
      </c>
      <c r="S57" s="74">
        <v>8.0</v>
      </c>
      <c r="T57" s="74">
        <v>12.0</v>
      </c>
      <c r="U57" s="74">
        <v>12.0</v>
      </c>
      <c r="V57" s="74">
        <v>15.0</v>
      </c>
      <c r="W57" s="74">
        <v>11.0</v>
      </c>
      <c r="X57" s="74">
        <v>4.0</v>
      </c>
      <c r="Y57" s="74">
        <v>19.0</v>
      </c>
      <c r="Z57" s="74">
        <v>20.0</v>
      </c>
      <c r="AA57" s="74">
        <v>14.0</v>
      </c>
      <c r="AB57" s="74">
        <v>13.0</v>
      </c>
      <c r="AC57" s="74">
        <v>10.0</v>
      </c>
      <c r="AD57" s="74">
        <v>8.0</v>
      </c>
      <c r="AE57" s="74">
        <v>10.0</v>
      </c>
      <c r="AF57" s="74">
        <v>7.0</v>
      </c>
      <c r="AG57" s="13">
        <f t="shared" ref="AG57:AG66" si="16">SUM(E57:AF57)</f>
        <v>289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8.0</v>
      </c>
      <c r="F58" s="74">
        <v>16.0</v>
      </c>
      <c r="G58" s="74">
        <v>4.0</v>
      </c>
      <c r="H58" s="74">
        <v>10.0</v>
      </c>
      <c r="I58" s="74">
        <v>7.0</v>
      </c>
      <c r="J58" s="74">
        <v>6.0</v>
      </c>
      <c r="K58" s="74">
        <v>12.0</v>
      </c>
      <c r="L58" s="74">
        <v>12.0</v>
      </c>
      <c r="M58" s="74">
        <v>26.0</v>
      </c>
      <c r="N58" s="74">
        <v>8.0</v>
      </c>
      <c r="O58" s="74">
        <v>7.0</v>
      </c>
      <c r="P58" s="74">
        <v>7.0</v>
      </c>
      <c r="Q58" s="74">
        <v>12.0</v>
      </c>
      <c r="R58" s="74">
        <v>7.0</v>
      </c>
      <c r="S58" s="74">
        <v>8.0</v>
      </c>
      <c r="T58" s="74">
        <v>12.0</v>
      </c>
      <c r="U58" s="74">
        <v>7.0</v>
      </c>
      <c r="V58" s="74">
        <v>9.0</v>
      </c>
      <c r="W58" s="74">
        <v>12.0</v>
      </c>
      <c r="X58" s="74">
        <v>9.0</v>
      </c>
      <c r="Y58" s="74">
        <v>4.0</v>
      </c>
      <c r="Z58" s="74">
        <v>7.0</v>
      </c>
      <c r="AA58" s="74">
        <v>6.0</v>
      </c>
      <c r="AB58" s="74">
        <v>3.0</v>
      </c>
      <c r="AC58" s="74">
        <v>13.0</v>
      </c>
      <c r="AD58" s="74">
        <v>8.0</v>
      </c>
      <c r="AE58" s="74">
        <v>2.0</v>
      </c>
      <c r="AF58" s="74">
        <v>14.0</v>
      </c>
      <c r="AG58" s="13">
        <f t="shared" si="16"/>
        <v>256</v>
      </c>
    </row>
    <row r="59" ht="12.75" customHeight="1">
      <c r="A59" s="18"/>
      <c r="B59" s="55"/>
      <c r="C59" s="50" t="s">
        <v>52</v>
      </c>
      <c r="D59" s="56"/>
      <c r="E59" s="74">
        <v>3.0</v>
      </c>
      <c r="F59" s="74">
        <v>2.0</v>
      </c>
      <c r="G59" s="74">
        <v>3.0</v>
      </c>
      <c r="H59" s="74">
        <v>1.0</v>
      </c>
      <c r="I59" s="74">
        <v>4.0</v>
      </c>
      <c r="J59" s="74">
        <v>3.0</v>
      </c>
      <c r="K59" s="74">
        <v>1.0</v>
      </c>
      <c r="L59" s="74">
        <v>4.0</v>
      </c>
      <c r="M59" s="74">
        <v>0.0</v>
      </c>
      <c r="N59" s="74">
        <v>5.0</v>
      </c>
      <c r="O59" s="74">
        <v>6.0</v>
      </c>
      <c r="P59" s="74">
        <v>4.0</v>
      </c>
      <c r="Q59" s="74">
        <v>0.0</v>
      </c>
      <c r="R59" s="74">
        <v>1.0</v>
      </c>
      <c r="S59" s="74">
        <v>3.0</v>
      </c>
      <c r="T59" s="74">
        <v>5.0</v>
      </c>
      <c r="U59" s="74">
        <v>1.0</v>
      </c>
      <c r="V59" s="74">
        <v>3.0</v>
      </c>
      <c r="W59" s="74">
        <v>5.0</v>
      </c>
      <c r="X59" s="74">
        <v>1.0</v>
      </c>
      <c r="Y59" s="74">
        <v>1.0</v>
      </c>
      <c r="Z59" s="74">
        <v>2.0</v>
      </c>
      <c r="AA59" s="74">
        <v>1.0</v>
      </c>
      <c r="AB59" s="74">
        <v>4.0</v>
      </c>
      <c r="AC59" s="74">
        <v>0.0</v>
      </c>
      <c r="AD59" s="74">
        <v>4.0</v>
      </c>
      <c r="AE59" s="74">
        <v>2.0</v>
      </c>
      <c r="AF59" s="74">
        <v>7.0</v>
      </c>
      <c r="AG59" s="13">
        <f t="shared" si="16"/>
        <v>76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4.0</v>
      </c>
      <c r="G60" s="74">
        <v>0.0</v>
      </c>
      <c r="H60" s="74">
        <v>1.0</v>
      </c>
      <c r="I60" s="74">
        <v>5.0</v>
      </c>
      <c r="J60" s="74">
        <v>0.0</v>
      </c>
      <c r="K60" s="74">
        <v>3.0</v>
      </c>
      <c r="L60" s="74">
        <v>2.0</v>
      </c>
      <c r="M60" s="74">
        <v>0.0</v>
      </c>
      <c r="N60" s="74">
        <v>3.0</v>
      </c>
      <c r="O60" s="74">
        <v>4.0</v>
      </c>
      <c r="P60" s="74">
        <v>1.0</v>
      </c>
      <c r="Q60" s="74">
        <v>0.0</v>
      </c>
      <c r="R60" s="74">
        <v>0.0</v>
      </c>
      <c r="S60" s="74">
        <v>1.0</v>
      </c>
      <c r="T60" s="74">
        <v>1.0</v>
      </c>
      <c r="U60" s="74">
        <v>0.0</v>
      </c>
      <c r="V60" s="74">
        <v>1.0</v>
      </c>
      <c r="W60" s="74">
        <v>1.0</v>
      </c>
      <c r="X60" s="74">
        <v>0.0</v>
      </c>
      <c r="Y60" s="74">
        <v>2.0</v>
      </c>
      <c r="Z60" s="74">
        <v>0.0</v>
      </c>
      <c r="AA60" s="74">
        <v>0.0</v>
      </c>
      <c r="AB60" s="74">
        <v>0.0</v>
      </c>
      <c r="AC60" s="74">
        <v>2.0</v>
      </c>
      <c r="AD60" s="74">
        <v>2.0</v>
      </c>
      <c r="AE60" s="74">
        <v>0.0</v>
      </c>
      <c r="AF60" s="74">
        <v>7.0</v>
      </c>
      <c r="AG60" s="13">
        <f t="shared" si="16"/>
        <v>40</v>
      </c>
    </row>
    <row r="61" ht="12.75" customHeight="1">
      <c r="A61" s="18"/>
      <c r="B61" s="55"/>
      <c r="C61" s="50" t="s">
        <v>54</v>
      </c>
      <c r="D61" s="56"/>
      <c r="E61" s="74">
        <v>2.0</v>
      </c>
      <c r="F61" s="74">
        <v>0.0</v>
      </c>
      <c r="G61" s="74">
        <v>1.0</v>
      </c>
      <c r="H61" s="74">
        <v>1.0</v>
      </c>
      <c r="I61" s="74">
        <v>2.0</v>
      </c>
      <c r="J61" s="74">
        <v>4.0</v>
      </c>
      <c r="K61" s="74">
        <v>10.0</v>
      </c>
      <c r="L61" s="74">
        <v>10.0</v>
      </c>
      <c r="M61" s="74">
        <v>4.0</v>
      </c>
      <c r="N61" s="74">
        <v>1.0</v>
      </c>
      <c r="O61" s="74">
        <v>2.0</v>
      </c>
      <c r="P61" s="74">
        <v>7.0</v>
      </c>
      <c r="Q61" s="74">
        <v>2.0</v>
      </c>
      <c r="R61" s="74">
        <v>1.0</v>
      </c>
      <c r="S61" s="74">
        <v>2.0</v>
      </c>
      <c r="T61" s="74">
        <v>4.0</v>
      </c>
      <c r="U61" s="74">
        <v>2.0</v>
      </c>
      <c r="V61" s="74">
        <v>2.0</v>
      </c>
      <c r="W61" s="74">
        <v>5.0</v>
      </c>
      <c r="X61" s="74">
        <v>0.0</v>
      </c>
      <c r="Y61" s="74">
        <v>3.0</v>
      </c>
      <c r="Z61" s="74">
        <v>0.0</v>
      </c>
      <c r="AA61" s="74">
        <v>4.0</v>
      </c>
      <c r="AB61" s="74">
        <v>16.0</v>
      </c>
      <c r="AC61" s="74">
        <v>7.0</v>
      </c>
      <c r="AD61" s="74">
        <v>0.0</v>
      </c>
      <c r="AE61" s="74">
        <v>0.0</v>
      </c>
      <c r="AF61" s="74">
        <v>1.0</v>
      </c>
      <c r="AG61" s="13">
        <f t="shared" si="16"/>
        <v>93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0.0</v>
      </c>
      <c r="M62" s="74">
        <v>2.0</v>
      </c>
      <c r="N62" s="74">
        <v>0.0</v>
      </c>
      <c r="O62" s="74">
        <v>4.0</v>
      </c>
      <c r="P62" s="74">
        <v>0.0</v>
      </c>
      <c r="Q62" s="74">
        <v>0.0</v>
      </c>
      <c r="R62" s="74">
        <v>2.0</v>
      </c>
      <c r="S62" s="74">
        <v>4.0</v>
      </c>
      <c r="T62" s="74">
        <v>4.0</v>
      </c>
      <c r="U62" s="74">
        <v>0.0</v>
      </c>
      <c r="V62" s="74">
        <v>0.0</v>
      </c>
      <c r="W62" s="74">
        <v>1.0</v>
      </c>
      <c r="X62" s="74">
        <v>0.0</v>
      </c>
      <c r="Y62" s="74">
        <v>1.0</v>
      </c>
      <c r="Z62" s="74">
        <v>1.0</v>
      </c>
      <c r="AA62" s="74">
        <v>1.0</v>
      </c>
      <c r="AB62" s="74">
        <v>0.0</v>
      </c>
      <c r="AC62" s="74">
        <v>0.0</v>
      </c>
      <c r="AD62" s="74">
        <v>0.0</v>
      </c>
      <c r="AE62" s="74">
        <v>0.0</v>
      </c>
      <c r="AF62" s="74">
        <v>0.0</v>
      </c>
      <c r="AG62" s="13">
        <f t="shared" si="16"/>
        <v>22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1.0</v>
      </c>
      <c r="H63" s="74">
        <v>0.0</v>
      </c>
      <c r="I63" s="74">
        <v>1.0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2.0</v>
      </c>
      <c r="Q63" s="74">
        <v>0.0</v>
      </c>
      <c r="R63" s="74">
        <v>2.0</v>
      </c>
      <c r="S63" s="74">
        <v>0.0</v>
      </c>
      <c r="T63" s="74">
        <v>0.0</v>
      </c>
      <c r="U63" s="74">
        <v>0.0</v>
      </c>
      <c r="V63" s="74">
        <v>2.0</v>
      </c>
      <c r="W63" s="74">
        <v>1.0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74">
        <v>0.0</v>
      </c>
      <c r="AF63" s="74">
        <v>1.0</v>
      </c>
      <c r="AG63" s="13">
        <f t="shared" si="16"/>
        <v>10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1.0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1.0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0.0</v>
      </c>
      <c r="AB64" s="74">
        <v>0.0</v>
      </c>
      <c r="AC64" s="74">
        <v>0.0</v>
      </c>
      <c r="AD64" s="74">
        <v>0.0</v>
      </c>
      <c r="AE64" s="74">
        <v>0.0</v>
      </c>
      <c r="AF64" s="74">
        <v>0.0</v>
      </c>
      <c r="AG64" s="13">
        <f t="shared" si="16"/>
        <v>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1.0</v>
      </c>
      <c r="O65" s="74">
        <v>1.0</v>
      </c>
      <c r="P65" s="74">
        <v>1.0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1.0</v>
      </c>
      <c r="Z65" s="74">
        <v>0.0</v>
      </c>
      <c r="AA65" s="74">
        <v>0.0</v>
      </c>
      <c r="AB65" s="74">
        <v>0.0</v>
      </c>
      <c r="AC65" s="74">
        <v>1.0</v>
      </c>
      <c r="AD65" s="74">
        <v>0.0</v>
      </c>
      <c r="AE65" s="74">
        <v>0.0</v>
      </c>
      <c r="AF65" s="74">
        <v>1.0</v>
      </c>
      <c r="AG65" s="13">
        <f t="shared" si="16"/>
        <v>6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1.0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2.0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1.0</v>
      </c>
      <c r="U66" s="74">
        <v>0.0</v>
      </c>
      <c r="V66" s="74">
        <v>1.0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74">
        <v>0.0</v>
      </c>
      <c r="AC66" s="74">
        <v>1.0</v>
      </c>
      <c r="AD66" s="74">
        <v>0.0</v>
      </c>
      <c r="AE66" s="74">
        <v>1.0</v>
      </c>
      <c r="AF66" s="74">
        <v>0.0</v>
      </c>
      <c r="AG66" s="13">
        <f t="shared" si="16"/>
        <v>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G67" si="17">SUM(E57:E66)</f>
        <v>21</v>
      </c>
      <c r="F67" s="13">
        <f t="shared" si="17"/>
        <v>30</v>
      </c>
      <c r="G67" s="13">
        <f t="shared" si="17"/>
        <v>13</v>
      </c>
      <c r="H67" s="13">
        <f t="shared" si="17"/>
        <v>20</v>
      </c>
      <c r="I67" s="13">
        <f t="shared" si="17"/>
        <v>30</v>
      </c>
      <c r="J67" s="13">
        <f t="shared" si="17"/>
        <v>23</v>
      </c>
      <c r="K67" s="13">
        <f t="shared" si="17"/>
        <v>36</v>
      </c>
      <c r="L67" s="13">
        <f t="shared" si="17"/>
        <v>31</v>
      </c>
      <c r="M67" s="13">
        <f t="shared" si="17"/>
        <v>42</v>
      </c>
      <c r="N67" s="13">
        <f t="shared" si="17"/>
        <v>36</v>
      </c>
      <c r="O67" s="13">
        <f t="shared" si="17"/>
        <v>30</v>
      </c>
      <c r="P67" s="13">
        <f t="shared" si="17"/>
        <v>33</v>
      </c>
      <c r="Q67" s="13">
        <f t="shared" si="17"/>
        <v>31</v>
      </c>
      <c r="R67" s="13">
        <f t="shared" si="17"/>
        <v>23</v>
      </c>
      <c r="S67" s="13">
        <f t="shared" si="17"/>
        <v>26</v>
      </c>
      <c r="T67" s="13">
        <f t="shared" si="17"/>
        <v>39</v>
      </c>
      <c r="U67" s="13">
        <f t="shared" si="17"/>
        <v>22</v>
      </c>
      <c r="V67" s="13">
        <f t="shared" si="17"/>
        <v>33</v>
      </c>
      <c r="W67" s="13">
        <f t="shared" si="17"/>
        <v>36</v>
      </c>
      <c r="X67" s="13">
        <f t="shared" si="17"/>
        <v>14</v>
      </c>
      <c r="Y67" s="13">
        <f t="shared" si="17"/>
        <v>31</v>
      </c>
      <c r="Z67" s="13">
        <f t="shared" si="17"/>
        <v>30</v>
      </c>
      <c r="AA67" s="13">
        <f t="shared" si="17"/>
        <v>26</v>
      </c>
      <c r="AB67" s="13">
        <f t="shared" si="17"/>
        <v>36</v>
      </c>
      <c r="AC67" s="13">
        <f t="shared" si="17"/>
        <v>34</v>
      </c>
      <c r="AD67" s="13">
        <f t="shared" si="17"/>
        <v>22</v>
      </c>
      <c r="AE67" s="13">
        <f t="shared" si="17"/>
        <v>15</v>
      </c>
      <c r="AF67" s="13">
        <f t="shared" si="17"/>
        <v>38</v>
      </c>
      <c r="AG67" s="13">
        <f t="shared" si="17"/>
        <v>801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10.0</v>
      </c>
      <c r="F69" s="74">
        <v>12.0</v>
      </c>
      <c r="G69" s="74">
        <v>7.0</v>
      </c>
      <c r="H69" s="74">
        <v>8.0</v>
      </c>
      <c r="I69" s="74">
        <v>53.0</v>
      </c>
      <c r="J69" s="74">
        <v>8.0</v>
      </c>
      <c r="K69" s="74">
        <v>11.0</v>
      </c>
      <c r="L69" s="74">
        <v>3.0</v>
      </c>
      <c r="M69" s="74">
        <v>14.0</v>
      </c>
      <c r="N69" s="74">
        <v>17.0</v>
      </c>
      <c r="O69" s="74">
        <v>3.0</v>
      </c>
      <c r="P69" s="74">
        <v>16.0</v>
      </c>
      <c r="Q69" s="74">
        <v>14.0</v>
      </c>
      <c r="R69" s="74">
        <v>9.0</v>
      </c>
      <c r="S69" s="74">
        <v>6.0</v>
      </c>
      <c r="T69" s="74">
        <v>14.0</v>
      </c>
      <c r="U69" s="74">
        <v>8.0</v>
      </c>
      <c r="V69" s="74">
        <v>9.0</v>
      </c>
      <c r="W69" s="74">
        <v>7.0</v>
      </c>
      <c r="X69" s="74">
        <v>11.0</v>
      </c>
      <c r="Y69" s="74">
        <v>9.0</v>
      </c>
      <c r="Z69" s="74">
        <v>4.0</v>
      </c>
      <c r="AA69" s="74">
        <v>2.0</v>
      </c>
      <c r="AB69" s="74">
        <v>7.0</v>
      </c>
      <c r="AC69" s="74">
        <v>1.0</v>
      </c>
      <c r="AD69" s="74">
        <v>1.0</v>
      </c>
      <c r="AE69" s="74">
        <v>1.0</v>
      </c>
      <c r="AF69" s="74">
        <v>6.0</v>
      </c>
      <c r="AG69" s="13">
        <f t="shared" ref="AG69:AG78" si="18">SUM(E69:AF69)</f>
        <v>271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12.0</v>
      </c>
      <c r="F70" s="74">
        <v>12.0</v>
      </c>
      <c r="G70" s="74">
        <v>6.0</v>
      </c>
      <c r="H70" s="74">
        <v>4.0</v>
      </c>
      <c r="I70" s="74">
        <v>7.0</v>
      </c>
      <c r="J70" s="74">
        <v>12.0</v>
      </c>
      <c r="K70" s="74">
        <v>11.0</v>
      </c>
      <c r="L70" s="74">
        <v>5.0</v>
      </c>
      <c r="M70" s="74">
        <v>7.0</v>
      </c>
      <c r="N70" s="74">
        <v>11.0</v>
      </c>
      <c r="O70" s="74">
        <v>9.0</v>
      </c>
      <c r="P70" s="74">
        <v>6.0</v>
      </c>
      <c r="Q70" s="74">
        <v>10.0</v>
      </c>
      <c r="R70" s="74">
        <v>10.0</v>
      </c>
      <c r="S70" s="74">
        <v>4.0</v>
      </c>
      <c r="T70" s="74">
        <v>15.0</v>
      </c>
      <c r="U70" s="74">
        <v>6.0</v>
      </c>
      <c r="V70" s="74">
        <v>23.0</v>
      </c>
      <c r="W70" s="74">
        <v>22.0</v>
      </c>
      <c r="X70" s="74">
        <v>9.0</v>
      </c>
      <c r="Y70" s="74">
        <v>2.0</v>
      </c>
      <c r="Z70" s="74">
        <v>4.0</v>
      </c>
      <c r="AA70" s="74">
        <v>3.0</v>
      </c>
      <c r="AB70" s="74">
        <v>6.0</v>
      </c>
      <c r="AC70" s="74">
        <v>2.0</v>
      </c>
      <c r="AD70" s="74">
        <v>9.0</v>
      </c>
      <c r="AE70" s="74">
        <v>134.0</v>
      </c>
      <c r="AF70" s="74">
        <v>38.0</v>
      </c>
      <c r="AG70" s="13">
        <f t="shared" si="18"/>
        <v>399</v>
      </c>
    </row>
    <row r="71" ht="12.75" customHeight="1">
      <c r="A71" s="18"/>
      <c r="B71" s="55"/>
      <c r="C71" s="50" t="s">
        <v>62</v>
      </c>
      <c r="D71" s="57"/>
      <c r="E71" s="74">
        <v>34.0</v>
      </c>
      <c r="F71" s="74">
        <v>13.0</v>
      </c>
      <c r="G71" s="74">
        <v>10.0</v>
      </c>
      <c r="H71" s="74">
        <v>2.0</v>
      </c>
      <c r="I71" s="74">
        <v>1.0</v>
      </c>
      <c r="J71" s="74">
        <v>3.0</v>
      </c>
      <c r="K71" s="74">
        <v>2.0</v>
      </c>
      <c r="L71" s="74">
        <v>9.0</v>
      </c>
      <c r="M71" s="74">
        <v>7.0</v>
      </c>
      <c r="N71" s="74">
        <v>6.0</v>
      </c>
      <c r="O71" s="74">
        <v>8.0</v>
      </c>
      <c r="P71" s="74">
        <v>3.0</v>
      </c>
      <c r="Q71" s="74">
        <v>2.0</v>
      </c>
      <c r="R71" s="74">
        <v>5.0</v>
      </c>
      <c r="S71" s="74">
        <v>0.0</v>
      </c>
      <c r="T71" s="74">
        <v>5.0</v>
      </c>
      <c r="U71" s="74">
        <v>2.0</v>
      </c>
      <c r="V71" s="74">
        <v>3.0</v>
      </c>
      <c r="W71" s="74">
        <v>4.0</v>
      </c>
      <c r="X71" s="74">
        <v>0.0</v>
      </c>
      <c r="Y71" s="74">
        <v>2.0</v>
      </c>
      <c r="Z71" s="74">
        <v>3.0</v>
      </c>
      <c r="AA71" s="74">
        <v>0.0</v>
      </c>
      <c r="AB71" s="74">
        <v>0.0</v>
      </c>
      <c r="AC71" s="74">
        <v>2.0</v>
      </c>
      <c r="AD71" s="74">
        <v>3.0</v>
      </c>
      <c r="AE71" s="74">
        <v>2.0</v>
      </c>
      <c r="AF71" s="74">
        <v>2.0</v>
      </c>
      <c r="AG71" s="13">
        <f t="shared" si="18"/>
        <v>133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2.0</v>
      </c>
      <c r="G72" s="74">
        <v>7.0</v>
      </c>
      <c r="H72" s="74">
        <v>3.0</v>
      </c>
      <c r="I72" s="74">
        <v>1.0</v>
      </c>
      <c r="J72" s="74">
        <v>2.0</v>
      </c>
      <c r="K72" s="74">
        <v>1.0</v>
      </c>
      <c r="L72" s="74">
        <v>1.0</v>
      </c>
      <c r="M72" s="74">
        <v>4.0</v>
      </c>
      <c r="N72" s="74">
        <v>3.0</v>
      </c>
      <c r="O72" s="74">
        <v>0.0</v>
      </c>
      <c r="P72" s="74">
        <v>0.0</v>
      </c>
      <c r="Q72" s="74">
        <v>0.0</v>
      </c>
      <c r="R72" s="74">
        <v>3.0</v>
      </c>
      <c r="S72" s="74">
        <v>6.0</v>
      </c>
      <c r="T72" s="74">
        <v>3.0</v>
      </c>
      <c r="U72" s="74">
        <v>4.0</v>
      </c>
      <c r="V72" s="74">
        <v>5.0</v>
      </c>
      <c r="W72" s="74">
        <v>1.0</v>
      </c>
      <c r="X72" s="74">
        <v>2.0</v>
      </c>
      <c r="Y72" s="74">
        <v>1.0</v>
      </c>
      <c r="Z72" s="74">
        <v>0.0</v>
      </c>
      <c r="AA72" s="74">
        <v>0.0</v>
      </c>
      <c r="AB72" s="74">
        <v>0.0</v>
      </c>
      <c r="AC72" s="74">
        <v>1.0</v>
      </c>
      <c r="AD72" s="74">
        <v>2.0</v>
      </c>
      <c r="AE72" s="74">
        <v>0.0</v>
      </c>
      <c r="AF72" s="74">
        <v>1.0</v>
      </c>
      <c r="AG72" s="13">
        <f t="shared" si="18"/>
        <v>54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2.0</v>
      </c>
      <c r="G73" s="74">
        <v>0.0</v>
      </c>
      <c r="H73" s="74">
        <v>0.0</v>
      </c>
      <c r="I73" s="74">
        <v>0.0</v>
      </c>
      <c r="J73" s="74">
        <v>3.0</v>
      </c>
      <c r="K73" s="74">
        <v>1.0</v>
      </c>
      <c r="L73" s="74">
        <v>0.0</v>
      </c>
      <c r="M73" s="74">
        <v>1.0</v>
      </c>
      <c r="N73" s="74">
        <v>1.0</v>
      </c>
      <c r="O73" s="74">
        <v>0.0</v>
      </c>
      <c r="P73" s="74">
        <v>1.0</v>
      </c>
      <c r="Q73" s="74">
        <v>0.0</v>
      </c>
      <c r="R73" s="74">
        <v>1.0</v>
      </c>
      <c r="S73" s="74">
        <v>0.0</v>
      </c>
      <c r="T73" s="74">
        <v>0.0</v>
      </c>
      <c r="U73" s="74">
        <v>0.0</v>
      </c>
      <c r="V73" s="74">
        <v>1.0</v>
      </c>
      <c r="W73" s="74">
        <v>0.0</v>
      </c>
      <c r="X73" s="74">
        <v>1.0</v>
      </c>
      <c r="Y73" s="74">
        <v>0.0</v>
      </c>
      <c r="Z73" s="74">
        <v>0.0</v>
      </c>
      <c r="AA73" s="74">
        <v>0.0</v>
      </c>
      <c r="AB73" s="74">
        <v>0.0</v>
      </c>
      <c r="AC73" s="74">
        <v>0.0</v>
      </c>
      <c r="AD73" s="74">
        <v>0.0</v>
      </c>
      <c r="AE73" s="74">
        <v>0.0</v>
      </c>
      <c r="AF73" s="74">
        <v>1.0</v>
      </c>
      <c r="AG73" s="13">
        <f t="shared" si="18"/>
        <v>13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3.0</v>
      </c>
      <c r="G74" s="74">
        <v>0.0</v>
      </c>
      <c r="H74" s="74">
        <v>0.0</v>
      </c>
      <c r="I74" s="74">
        <v>0.0</v>
      </c>
      <c r="J74" s="74">
        <v>4.0</v>
      </c>
      <c r="K74" s="74">
        <v>0.0</v>
      </c>
      <c r="L74" s="74">
        <v>0.0</v>
      </c>
      <c r="M74" s="74">
        <v>0.0</v>
      </c>
      <c r="N74" s="74">
        <v>0.0</v>
      </c>
      <c r="O74" s="74">
        <v>0.0</v>
      </c>
      <c r="P74" s="74">
        <v>2.0</v>
      </c>
      <c r="Q74" s="74">
        <v>0.0</v>
      </c>
      <c r="R74" s="74">
        <v>0.0</v>
      </c>
      <c r="S74" s="74">
        <v>1.0</v>
      </c>
      <c r="T74" s="74">
        <v>0.0</v>
      </c>
      <c r="U74" s="74">
        <v>0.0</v>
      </c>
      <c r="V74" s="74">
        <v>1.0</v>
      </c>
      <c r="W74" s="74">
        <v>3.0</v>
      </c>
      <c r="X74" s="74">
        <v>2.0</v>
      </c>
      <c r="Y74" s="74">
        <v>0.0</v>
      </c>
      <c r="Z74" s="74">
        <v>0.0</v>
      </c>
      <c r="AA74" s="74">
        <v>0.0</v>
      </c>
      <c r="AB74" s="74">
        <v>1.0</v>
      </c>
      <c r="AC74" s="74">
        <v>0.0</v>
      </c>
      <c r="AD74" s="74">
        <v>0.0</v>
      </c>
      <c r="AE74" s="74">
        <v>0.0</v>
      </c>
      <c r="AF74" s="74">
        <v>1.0</v>
      </c>
      <c r="AG74" s="13">
        <f t="shared" si="18"/>
        <v>18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1.0</v>
      </c>
      <c r="H75" s="74">
        <v>0.0</v>
      </c>
      <c r="I75" s="74">
        <v>1.0</v>
      </c>
      <c r="J75" s="74">
        <v>0.0</v>
      </c>
      <c r="K75" s="74">
        <v>0.0</v>
      </c>
      <c r="L75" s="74">
        <v>0.0</v>
      </c>
      <c r="M75" s="74">
        <v>0.0</v>
      </c>
      <c r="N75" s="74">
        <v>2.0</v>
      </c>
      <c r="O75" s="74">
        <v>2.0</v>
      </c>
      <c r="P75" s="74">
        <v>0.0</v>
      </c>
      <c r="Q75" s="74">
        <v>0.0</v>
      </c>
      <c r="R75" s="74">
        <v>4.0</v>
      </c>
      <c r="S75" s="74">
        <v>1.0</v>
      </c>
      <c r="T75" s="74">
        <v>0.0</v>
      </c>
      <c r="U75" s="74">
        <v>0.0</v>
      </c>
      <c r="V75" s="74">
        <v>2.0</v>
      </c>
      <c r="W75" s="74">
        <v>1.0</v>
      </c>
      <c r="X75" s="74">
        <v>2.0</v>
      </c>
      <c r="Y75" s="74">
        <v>1.0</v>
      </c>
      <c r="Z75" s="74">
        <v>0.0</v>
      </c>
      <c r="AA75" s="74">
        <v>1.0</v>
      </c>
      <c r="AB75" s="74">
        <v>1.0</v>
      </c>
      <c r="AC75" s="74">
        <v>0.0</v>
      </c>
      <c r="AD75" s="74">
        <v>0.0</v>
      </c>
      <c r="AE75" s="74">
        <v>0.0</v>
      </c>
      <c r="AF75" s="74">
        <v>0.0</v>
      </c>
      <c r="AG75" s="13">
        <f t="shared" si="18"/>
        <v>20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0.0</v>
      </c>
      <c r="I76" s="74">
        <v>1.0</v>
      </c>
      <c r="J76" s="74">
        <v>0.0</v>
      </c>
      <c r="K76" s="74">
        <v>1.0</v>
      </c>
      <c r="L76" s="74">
        <v>0.0</v>
      </c>
      <c r="M76" s="74">
        <v>1.0</v>
      </c>
      <c r="N76" s="74">
        <v>0.0</v>
      </c>
      <c r="O76" s="74">
        <v>0.0</v>
      </c>
      <c r="P76" s="74">
        <v>0.0</v>
      </c>
      <c r="Q76" s="74">
        <v>0.0</v>
      </c>
      <c r="R76" s="74">
        <v>1.0</v>
      </c>
      <c r="S76" s="74">
        <v>0.0</v>
      </c>
      <c r="T76" s="74">
        <v>0.0</v>
      </c>
      <c r="U76" s="74">
        <v>0.0</v>
      </c>
      <c r="V76" s="74">
        <v>1.0</v>
      </c>
      <c r="W76" s="74">
        <v>0.0</v>
      </c>
      <c r="X76" s="74">
        <v>0.0</v>
      </c>
      <c r="Y76" s="74">
        <v>0.0</v>
      </c>
      <c r="Z76" s="74">
        <v>0.0</v>
      </c>
      <c r="AA76" s="74">
        <v>0.0</v>
      </c>
      <c r="AB76" s="74">
        <v>0.0</v>
      </c>
      <c r="AC76" s="74">
        <v>0.0</v>
      </c>
      <c r="AD76" s="74">
        <v>1.0</v>
      </c>
      <c r="AE76" s="74">
        <v>0.0</v>
      </c>
      <c r="AF76" s="74">
        <v>0.0</v>
      </c>
      <c r="AG76" s="13">
        <f t="shared" si="18"/>
        <v>7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2.0</v>
      </c>
      <c r="G77" s="74">
        <v>0.0</v>
      </c>
      <c r="H77" s="74">
        <v>0.0</v>
      </c>
      <c r="I77" s="74">
        <v>1.0</v>
      </c>
      <c r="J77" s="74">
        <v>2.0</v>
      </c>
      <c r="K77" s="74">
        <v>1.0</v>
      </c>
      <c r="L77" s="74">
        <v>0.0</v>
      </c>
      <c r="M77" s="74">
        <v>0.0</v>
      </c>
      <c r="N77" s="74">
        <v>1.0</v>
      </c>
      <c r="O77" s="74">
        <v>0.0</v>
      </c>
      <c r="P77" s="74">
        <v>0.0</v>
      </c>
      <c r="Q77" s="74">
        <v>0.0</v>
      </c>
      <c r="R77" s="74">
        <v>1.0</v>
      </c>
      <c r="S77" s="74">
        <v>0.0</v>
      </c>
      <c r="T77" s="74">
        <v>0.0</v>
      </c>
      <c r="U77" s="74">
        <v>0.0</v>
      </c>
      <c r="V77" s="74">
        <v>0.0</v>
      </c>
      <c r="W77" s="74">
        <v>1.0</v>
      </c>
      <c r="X77" s="74">
        <v>0.0</v>
      </c>
      <c r="Y77" s="74">
        <v>0.0</v>
      </c>
      <c r="Z77" s="74">
        <v>0.0</v>
      </c>
      <c r="AA77" s="74">
        <v>0.0</v>
      </c>
      <c r="AB77" s="74">
        <v>1.0</v>
      </c>
      <c r="AC77" s="74">
        <v>0.0</v>
      </c>
      <c r="AD77" s="74">
        <v>0.0</v>
      </c>
      <c r="AE77" s="74">
        <v>0.0</v>
      </c>
      <c r="AF77" s="74">
        <v>0.0</v>
      </c>
      <c r="AG77" s="13">
        <f t="shared" si="18"/>
        <v>10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1.0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2.0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0.0</v>
      </c>
      <c r="AB78" s="74">
        <v>0.0</v>
      </c>
      <c r="AC78" s="74">
        <v>0.0</v>
      </c>
      <c r="AD78" s="74">
        <v>0.0</v>
      </c>
      <c r="AE78" s="74">
        <v>0.0</v>
      </c>
      <c r="AF78" s="74">
        <v>0.0</v>
      </c>
      <c r="AG78" s="13">
        <f t="shared" si="18"/>
        <v>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G79" si="19">SUM(E69:E78)</f>
        <v>59</v>
      </c>
      <c r="F79" s="13">
        <f t="shared" si="19"/>
        <v>46</v>
      </c>
      <c r="G79" s="13">
        <f t="shared" si="19"/>
        <v>31</v>
      </c>
      <c r="H79" s="13">
        <f t="shared" si="19"/>
        <v>17</v>
      </c>
      <c r="I79" s="13">
        <f t="shared" si="19"/>
        <v>65</v>
      </c>
      <c r="J79" s="13">
        <f t="shared" si="19"/>
        <v>35</v>
      </c>
      <c r="K79" s="13">
        <f t="shared" si="19"/>
        <v>28</v>
      </c>
      <c r="L79" s="13">
        <f t="shared" si="19"/>
        <v>18</v>
      </c>
      <c r="M79" s="13">
        <f t="shared" si="19"/>
        <v>34</v>
      </c>
      <c r="N79" s="13">
        <f t="shared" si="19"/>
        <v>41</v>
      </c>
      <c r="O79" s="13">
        <f t="shared" si="19"/>
        <v>22</v>
      </c>
      <c r="P79" s="13">
        <f t="shared" si="19"/>
        <v>28</v>
      </c>
      <c r="Q79" s="13">
        <f t="shared" si="19"/>
        <v>26</v>
      </c>
      <c r="R79" s="13">
        <f t="shared" si="19"/>
        <v>34</v>
      </c>
      <c r="S79" s="13">
        <f t="shared" si="19"/>
        <v>18</v>
      </c>
      <c r="T79" s="13">
        <f t="shared" si="19"/>
        <v>39</v>
      </c>
      <c r="U79" s="13">
        <f t="shared" si="19"/>
        <v>20</v>
      </c>
      <c r="V79" s="13">
        <f t="shared" si="19"/>
        <v>45</v>
      </c>
      <c r="W79" s="13">
        <f t="shared" si="19"/>
        <v>39</v>
      </c>
      <c r="X79" s="13">
        <f t="shared" si="19"/>
        <v>27</v>
      </c>
      <c r="Y79" s="13">
        <f t="shared" si="19"/>
        <v>15</v>
      </c>
      <c r="Z79" s="13">
        <f t="shared" si="19"/>
        <v>11</v>
      </c>
      <c r="AA79" s="13">
        <f t="shared" si="19"/>
        <v>6</v>
      </c>
      <c r="AB79" s="13">
        <f t="shared" si="19"/>
        <v>16</v>
      </c>
      <c r="AC79" s="13">
        <f t="shared" si="19"/>
        <v>6</v>
      </c>
      <c r="AD79" s="13">
        <f t="shared" si="19"/>
        <v>16</v>
      </c>
      <c r="AE79" s="13">
        <f t="shared" si="19"/>
        <v>137</v>
      </c>
      <c r="AF79" s="13">
        <f t="shared" si="19"/>
        <v>49</v>
      </c>
      <c r="AG79" s="13">
        <f t="shared" si="19"/>
        <v>928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2.0</v>
      </c>
      <c r="G81" s="74">
        <v>0.0</v>
      </c>
      <c r="H81" s="74">
        <v>0.0</v>
      </c>
      <c r="I81" s="74">
        <v>1.0</v>
      </c>
      <c r="J81" s="74">
        <v>1.0</v>
      </c>
      <c r="K81" s="74">
        <v>5.0</v>
      </c>
      <c r="L81" s="74">
        <v>6.0</v>
      </c>
      <c r="M81" s="74">
        <v>3.0</v>
      </c>
      <c r="N81" s="74">
        <v>1.0</v>
      </c>
      <c r="O81" s="74">
        <v>1.0</v>
      </c>
      <c r="P81" s="74">
        <v>4.0</v>
      </c>
      <c r="Q81" s="74">
        <v>6.0</v>
      </c>
      <c r="R81" s="74">
        <v>5.0</v>
      </c>
      <c r="S81" s="74">
        <v>7.0</v>
      </c>
      <c r="T81" s="74">
        <v>4.0</v>
      </c>
      <c r="U81" s="74">
        <v>9.0</v>
      </c>
      <c r="V81" s="74">
        <v>7.0</v>
      </c>
      <c r="W81" s="74">
        <v>7.0</v>
      </c>
      <c r="X81" s="74">
        <v>16.0</v>
      </c>
      <c r="Y81" s="74">
        <v>14.0</v>
      </c>
      <c r="Z81" s="74">
        <v>69.0</v>
      </c>
      <c r="AA81" s="74">
        <v>4.0</v>
      </c>
      <c r="AB81" s="74">
        <v>9.0</v>
      </c>
      <c r="AC81" s="74">
        <v>5.0</v>
      </c>
      <c r="AD81" s="74">
        <v>2.0</v>
      </c>
      <c r="AE81" s="74">
        <v>3.0</v>
      </c>
      <c r="AF81" s="74">
        <v>0.0</v>
      </c>
      <c r="AG81" s="13">
        <f t="shared" ref="AG81:AG90" si="20">SUM(E81:AF81)</f>
        <v>195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6.0</v>
      </c>
      <c r="F82" s="74">
        <v>8.0</v>
      </c>
      <c r="G82" s="74">
        <v>2.0</v>
      </c>
      <c r="H82" s="74">
        <v>3.0</v>
      </c>
      <c r="I82" s="74">
        <v>3.0</v>
      </c>
      <c r="J82" s="74">
        <v>2.0</v>
      </c>
      <c r="K82" s="74">
        <v>8.0</v>
      </c>
      <c r="L82" s="74">
        <v>6.0</v>
      </c>
      <c r="M82" s="74">
        <v>0.0</v>
      </c>
      <c r="N82" s="74">
        <v>4.0</v>
      </c>
      <c r="O82" s="74">
        <v>0.0</v>
      </c>
      <c r="P82" s="74">
        <v>4.0</v>
      </c>
      <c r="Q82" s="74">
        <v>2.0</v>
      </c>
      <c r="R82" s="74">
        <v>7.0</v>
      </c>
      <c r="S82" s="74">
        <v>4.0</v>
      </c>
      <c r="T82" s="74">
        <v>5.0</v>
      </c>
      <c r="U82" s="74">
        <v>11.0</v>
      </c>
      <c r="V82" s="74">
        <v>3.0</v>
      </c>
      <c r="W82" s="74">
        <v>7.0</v>
      </c>
      <c r="X82" s="74">
        <v>15.0</v>
      </c>
      <c r="Y82" s="74">
        <v>32.0</v>
      </c>
      <c r="Z82" s="74">
        <v>14.0</v>
      </c>
      <c r="AA82" s="74">
        <v>12.0</v>
      </c>
      <c r="AB82" s="74">
        <v>8.0</v>
      </c>
      <c r="AC82" s="74">
        <v>12.0</v>
      </c>
      <c r="AD82" s="74">
        <v>11.0</v>
      </c>
      <c r="AE82" s="74">
        <v>1.0</v>
      </c>
      <c r="AF82" s="74">
        <v>7.0</v>
      </c>
      <c r="AG82" s="13">
        <f t="shared" si="20"/>
        <v>197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2.0</v>
      </c>
      <c r="G83" s="74">
        <v>0.0</v>
      </c>
      <c r="H83" s="74">
        <v>2.0</v>
      </c>
      <c r="I83" s="74">
        <v>1.0</v>
      </c>
      <c r="J83" s="74">
        <v>0.0</v>
      </c>
      <c r="K83" s="74">
        <v>0.0</v>
      </c>
      <c r="L83" s="74">
        <v>3.0</v>
      </c>
      <c r="M83" s="74">
        <v>0.0</v>
      </c>
      <c r="N83" s="74">
        <v>0.0</v>
      </c>
      <c r="O83" s="74">
        <v>0.0</v>
      </c>
      <c r="P83" s="74">
        <v>4.0</v>
      </c>
      <c r="Q83" s="74">
        <v>3.0</v>
      </c>
      <c r="R83" s="74">
        <v>1.0</v>
      </c>
      <c r="S83" s="74">
        <v>0.0</v>
      </c>
      <c r="T83" s="74">
        <v>2.0</v>
      </c>
      <c r="U83" s="74">
        <v>0.0</v>
      </c>
      <c r="V83" s="74">
        <v>0.0</v>
      </c>
      <c r="W83" s="74">
        <v>2.0</v>
      </c>
      <c r="X83" s="74">
        <v>1.0</v>
      </c>
      <c r="Y83" s="74">
        <v>8.0</v>
      </c>
      <c r="Z83" s="74">
        <v>2.0</v>
      </c>
      <c r="AA83" s="74">
        <v>3.0</v>
      </c>
      <c r="AB83" s="74">
        <v>1.0</v>
      </c>
      <c r="AC83" s="74">
        <v>1.0</v>
      </c>
      <c r="AD83" s="74">
        <v>3.0</v>
      </c>
      <c r="AE83" s="74">
        <v>0.0</v>
      </c>
      <c r="AF83" s="74">
        <v>0.0</v>
      </c>
      <c r="AG83" s="13">
        <f t="shared" si="20"/>
        <v>39</v>
      </c>
    </row>
    <row r="84" ht="12.75" customHeight="1">
      <c r="A84" s="18"/>
      <c r="B84" s="55"/>
      <c r="C84" s="50" t="s">
        <v>73</v>
      </c>
      <c r="D84" s="57"/>
      <c r="E84" s="74">
        <v>3.0</v>
      </c>
      <c r="F84" s="74">
        <v>1.0</v>
      </c>
      <c r="G84" s="74">
        <v>2.0</v>
      </c>
      <c r="H84" s="74">
        <v>0.0</v>
      </c>
      <c r="I84" s="74">
        <v>1.0</v>
      </c>
      <c r="J84" s="74">
        <v>1.0</v>
      </c>
      <c r="K84" s="74">
        <v>0.0</v>
      </c>
      <c r="L84" s="74">
        <v>0.0</v>
      </c>
      <c r="M84" s="74">
        <v>1.0</v>
      </c>
      <c r="N84" s="74">
        <v>1.0</v>
      </c>
      <c r="O84" s="74">
        <v>0.0</v>
      </c>
      <c r="P84" s="74">
        <v>0.0</v>
      </c>
      <c r="Q84" s="74">
        <v>1.0</v>
      </c>
      <c r="R84" s="74">
        <v>1.0</v>
      </c>
      <c r="S84" s="74">
        <v>0.0</v>
      </c>
      <c r="T84" s="74">
        <v>0.0</v>
      </c>
      <c r="U84" s="74">
        <v>0.0</v>
      </c>
      <c r="V84" s="74">
        <v>0.0</v>
      </c>
      <c r="W84" s="74">
        <v>1.0</v>
      </c>
      <c r="X84" s="74">
        <v>2.0</v>
      </c>
      <c r="Y84" s="74">
        <v>3.0</v>
      </c>
      <c r="Z84" s="74">
        <v>0.0</v>
      </c>
      <c r="AA84" s="74">
        <v>1.0</v>
      </c>
      <c r="AB84" s="74">
        <v>1.0</v>
      </c>
      <c r="AC84" s="74">
        <v>0.0</v>
      </c>
      <c r="AD84" s="74">
        <v>1.0</v>
      </c>
      <c r="AE84" s="74">
        <v>0.0</v>
      </c>
      <c r="AF84" s="74">
        <v>1.0</v>
      </c>
      <c r="AG84" s="13">
        <f t="shared" si="20"/>
        <v>22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0.0</v>
      </c>
      <c r="G85" s="74">
        <v>0.0</v>
      </c>
      <c r="H85" s="74">
        <v>1.0</v>
      </c>
      <c r="I85" s="74">
        <v>4.0</v>
      </c>
      <c r="J85" s="74">
        <v>0.0</v>
      </c>
      <c r="K85" s="74">
        <v>0.0</v>
      </c>
      <c r="L85" s="74">
        <v>1.0</v>
      </c>
      <c r="M85" s="74">
        <v>0.0</v>
      </c>
      <c r="N85" s="74">
        <v>1.0</v>
      </c>
      <c r="O85" s="74">
        <v>1.0</v>
      </c>
      <c r="P85" s="74">
        <v>1.0</v>
      </c>
      <c r="Q85" s="74">
        <v>0.0</v>
      </c>
      <c r="R85" s="74">
        <v>1.0</v>
      </c>
      <c r="S85" s="74">
        <v>0.0</v>
      </c>
      <c r="T85" s="74">
        <v>2.0</v>
      </c>
      <c r="U85" s="74">
        <v>2.0</v>
      </c>
      <c r="V85" s="74">
        <v>1.0</v>
      </c>
      <c r="W85" s="74">
        <v>0.0</v>
      </c>
      <c r="X85" s="74">
        <v>0.0</v>
      </c>
      <c r="Y85" s="74">
        <v>2.0</v>
      </c>
      <c r="Z85" s="74">
        <v>2.0</v>
      </c>
      <c r="AA85" s="74">
        <v>2.0</v>
      </c>
      <c r="AB85" s="74">
        <v>0.0</v>
      </c>
      <c r="AC85" s="74">
        <v>1.0</v>
      </c>
      <c r="AD85" s="74">
        <v>1.0</v>
      </c>
      <c r="AE85" s="74">
        <v>0.0</v>
      </c>
      <c r="AF85" s="74">
        <v>0.0</v>
      </c>
      <c r="AG85" s="13">
        <f t="shared" si="20"/>
        <v>23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1.0</v>
      </c>
      <c r="H86" s="74">
        <v>0.0</v>
      </c>
      <c r="I86" s="74">
        <v>0.0</v>
      </c>
      <c r="J86" s="74">
        <v>1.0</v>
      </c>
      <c r="K86" s="74">
        <v>0.0</v>
      </c>
      <c r="L86" s="74">
        <v>0.0</v>
      </c>
      <c r="M86" s="74">
        <v>1.0</v>
      </c>
      <c r="N86" s="74">
        <v>0.0</v>
      </c>
      <c r="O86" s="74">
        <v>1.0</v>
      </c>
      <c r="P86" s="74">
        <v>0.0</v>
      </c>
      <c r="Q86" s="74">
        <v>0.0</v>
      </c>
      <c r="R86" s="74">
        <v>0.0</v>
      </c>
      <c r="S86" s="74">
        <v>0.0</v>
      </c>
      <c r="T86" s="74">
        <v>1.0</v>
      </c>
      <c r="U86" s="74">
        <v>0.0</v>
      </c>
      <c r="V86" s="74">
        <v>0.0</v>
      </c>
      <c r="W86" s="74">
        <v>1.0</v>
      </c>
      <c r="X86" s="74">
        <v>0.0</v>
      </c>
      <c r="Y86" s="74">
        <v>0.0</v>
      </c>
      <c r="Z86" s="74">
        <v>0.0</v>
      </c>
      <c r="AA86" s="74">
        <v>1.0</v>
      </c>
      <c r="AB86" s="74">
        <v>1.0</v>
      </c>
      <c r="AC86" s="74">
        <v>0.0</v>
      </c>
      <c r="AD86" s="74">
        <v>1.0</v>
      </c>
      <c r="AE86" s="74">
        <v>0.0</v>
      </c>
      <c r="AF86" s="74">
        <v>3.0</v>
      </c>
      <c r="AG86" s="13">
        <f t="shared" si="20"/>
        <v>12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1.0</v>
      </c>
      <c r="S87" s="74">
        <v>1.0</v>
      </c>
      <c r="T87" s="74">
        <v>0.0</v>
      </c>
      <c r="U87" s="74">
        <v>0.0</v>
      </c>
      <c r="V87" s="74">
        <v>1.0</v>
      </c>
      <c r="W87" s="74">
        <v>1.0</v>
      </c>
      <c r="X87" s="74">
        <v>2.0</v>
      </c>
      <c r="Y87" s="74">
        <v>1.0</v>
      </c>
      <c r="Z87" s="74">
        <v>1.0</v>
      </c>
      <c r="AA87" s="74">
        <v>1.0</v>
      </c>
      <c r="AB87" s="74">
        <v>2.0</v>
      </c>
      <c r="AC87" s="74">
        <v>1.0</v>
      </c>
      <c r="AD87" s="74">
        <v>1.0</v>
      </c>
      <c r="AE87" s="74">
        <v>0.0</v>
      </c>
      <c r="AF87" s="74">
        <v>1.0</v>
      </c>
      <c r="AG87" s="13">
        <f t="shared" si="20"/>
        <v>15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1.0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1.0</v>
      </c>
      <c r="X88" s="74">
        <v>0.0</v>
      </c>
      <c r="Y88" s="74">
        <v>1.0</v>
      </c>
      <c r="Z88" s="74">
        <v>0.0</v>
      </c>
      <c r="AA88" s="74">
        <v>0.0</v>
      </c>
      <c r="AB88" s="74">
        <v>0.0</v>
      </c>
      <c r="AC88" s="74">
        <v>1.0</v>
      </c>
      <c r="AD88" s="74">
        <v>0.0</v>
      </c>
      <c r="AE88" s="74">
        <v>0.0</v>
      </c>
      <c r="AF88" s="74">
        <v>0.0</v>
      </c>
      <c r="AG88" s="13">
        <f t="shared" si="20"/>
        <v>4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1.0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1.0</v>
      </c>
      <c r="Z89" s="74">
        <v>0.0</v>
      </c>
      <c r="AA89" s="74">
        <v>0.0</v>
      </c>
      <c r="AB89" s="74">
        <v>0.0</v>
      </c>
      <c r="AC89" s="74">
        <v>1.0</v>
      </c>
      <c r="AD89" s="74">
        <v>0.0</v>
      </c>
      <c r="AE89" s="74">
        <v>0.0</v>
      </c>
      <c r="AF89" s="74">
        <v>0.0</v>
      </c>
      <c r="AG89" s="13">
        <f t="shared" si="20"/>
        <v>3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1.0</v>
      </c>
      <c r="H90" s="74">
        <v>0.0</v>
      </c>
      <c r="I90" s="74">
        <v>1.0</v>
      </c>
      <c r="J90" s="74">
        <v>0.0</v>
      </c>
      <c r="K90" s="74">
        <v>0.0</v>
      </c>
      <c r="L90" s="74">
        <v>1.0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3.0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1.0</v>
      </c>
      <c r="Y90" s="74">
        <v>0.0</v>
      </c>
      <c r="Z90" s="74">
        <v>0.0</v>
      </c>
      <c r="AA90" s="74">
        <v>0.0</v>
      </c>
      <c r="AB90" s="74">
        <v>1.0</v>
      </c>
      <c r="AC90" s="74">
        <v>2.0</v>
      </c>
      <c r="AD90" s="74">
        <v>1.0</v>
      </c>
      <c r="AE90" s="74">
        <v>0.0</v>
      </c>
      <c r="AF90" s="74">
        <v>1.0</v>
      </c>
      <c r="AG90" s="13">
        <f t="shared" si="20"/>
        <v>12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G91" si="21">SUM(E81:E90)</f>
        <v>13</v>
      </c>
      <c r="F91" s="13">
        <f t="shared" si="21"/>
        <v>14</v>
      </c>
      <c r="G91" s="13">
        <f t="shared" si="21"/>
        <v>6</v>
      </c>
      <c r="H91" s="13">
        <f t="shared" si="21"/>
        <v>6</v>
      </c>
      <c r="I91" s="13">
        <f t="shared" si="21"/>
        <v>12</v>
      </c>
      <c r="J91" s="13">
        <f t="shared" si="21"/>
        <v>5</v>
      </c>
      <c r="K91" s="13">
        <f t="shared" si="21"/>
        <v>13</v>
      </c>
      <c r="L91" s="13">
        <f t="shared" si="21"/>
        <v>17</v>
      </c>
      <c r="M91" s="13">
        <f t="shared" si="21"/>
        <v>5</v>
      </c>
      <c r="N91" s="13">
        <f t="shared" si="21"/>
        <v>7</v>
      </c>
      <c r="O91" s="13">
        <f t="shared" si="21"/>
        <v>3</v>
      </c>
      <c r="P91" s="13">
        <f t="shared" si="21"/>
        <v>13</v>
      </c>
      <c r="Q91" s="13">
        <f t="shared" si="21"/>
        <v>12</v>
      </c>
      <c r="R91" s="13">
        <f t="shared" si="21"/>
        <v>20</v>
      </c>
      <c r="S91" s="13">
        <f t="shared" si="21"/>
        <v>12</v>
      </c>
      <c r="T91" s="13">
        <f t="shared" si="21"/>
        <v>14</v>
      </c>
      <c r="U91" s="13">
        <f t="shared" si="21"/>
        <v>22</v>
      </c>
      <c r="V91" s="13">
        <f t="shared" si="21"/>
        <v>12</v>
      </c>
      <c r="W91" s="13">
        <f t="shared" si="21"/>
        <v>20</v>
      </c>
      <c r="X91" s="13">
        <f t="shared" si="21"/>
        <v>37</v>
      </c>
      <c r="Y91" s="13">
        <f t="shared" si="21"/>
        <v>62</v>
      </c>
      <c r="Z91" s="13">
        <f t="shared" si="21"/>
        <v>88</v>
      </c>
      <c r="AA91" s="13">
        <f t="shared" si="21"/>
        <v>24</v>
      </c>
      <c r="AB91" s="13">
        <f t="shared" si="21"/>
        <v>23</v>
      </c>
      <c r="AC91" s="13">
        <f t="shared" si="21"/>
        <v>24</v>
      </c>
      <c r="AD91" s="13">
        <f t="shared" si="21"/>
        <v>21</v>
      </c>
      <c r="AE91" s="13">
        <f t="shared" si="21"/>
        <v>4</v>
      </c>
      <c r="AF91" s="13">
        <f t="shared" si="21"/>
        <v>13</v>
      </c>
      <c r="AG91" s="13">
        <f t="shared" si="21"/>
        <v>522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0.0</v>
      </c>
      <c r="G93" s="74">
        <v>1.0</v>
      </c>
      <c r="H93" s="74">
        <v>0.0</v>
      </c>
      <c r="I93" s="74">
        <v>0.0</v>
      </c>
      <c r="J93" s="74">
        <v>1.0</v>
      </c>
      <c r="K93" s="74">
        <v>4.0</v>
      </c>
      <c r="L93" s="74">
        <v>0.0</v>
      </c>
      <c r="M93" s="74">
        <v>1.0</v>
      </c>
      <c r="N93" s="74">
        <v>1.0</v>
      </c>
      <c r="O93" s="74">
        <v>2.0</v>
      </c>
      <c r="P93" s="74">
        <v>2.0</v>
      </c>
      <c r="Q93" s="74">
        <v>4.0</v>
      </c>
      <c r="R93" s="74">
        <v>1.0</v>
      </c>
      <c r="S93" s="74">
        <v>1.0</v>
      </c>
      <c r="T93" s="74">
        <v>2.0</v>
      </c>
      <c r="U93" s="74">
        <v>0.0</v>
      </c>
      <c r="V93" s="74">
        <v>0.0</v>
      </c>
      <c r="W93" s="74">
        <v>3.0</v>
      </c>
      <c r="X93" s="74">
        <v>1.0</v>
      </c>
      <c r="Y93" s="74">
        <v>1.0</v>
      </c>
      <c r="Z93" s="74">
        <v>0.0</v>
      </c>
      <c r="AA93" s="74">
        <v>2.0</v>
      </c>
      <c r="AB93" s="74">
        <v>1.0</v>
      </c>
      <c r="AC93" s="74">
        <v>0.0</v>
      </c>
      <c r="AD93" s="74">
        <v>0.0</v>
      </c>
      <c r="AE93" s="74">
        <v>0.0</v>
      </c>
      <c r="AF93" s="74">
        <v>3.0</v>
      </c>
      <c r="AG93" s="13">
        <f t="shared" ref="AG93:AG102" si="22">SUM(E93:AF93)</f>
        <v>32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4.0</v>
      </c>
      <c r="F94" s="74">
        <v>1.0</v>
      </c>
      <c r="G94" s="74">
        <v>2.0</v>
      </c>
      <c r="H94" s="74">
        <v>1.0</v>
      </c>
      <c r="I94" s="74">
        <v>4.0</v>
      </c>
      <c r="J94" s="74">
        <v>0.0</v>
      </c>
      <c r="K94" s="74">
        <v>5.0</v>
      </c>
      <c r="L94" s="74">
        <v>1.0</v>
      </c>
      <c r="M94" s="74">
        <v>0.0</v>
      </c>
      <c r="N94" s="74">
        <v>1.0</v>
      </c>
      <c r="O94" s="74">
        <v>1.0</v>
      </c>
      <c r="P94" s="74">
        <v>3.0</v>
      </c>
      <c r="Q94" s="74">
        <v>3.0</v>
      </c>
      <c r="R94" s="74">
        <v>3.0</v>
      </c>
      <c r="S94" s="74">
        <v>2.0</v>
      </c>
      <c r="T94" s="74">
        <v>1.0</v>
      </c>
      <c r="U94" s="74">
        <v>0.0</v>
      </c>
      <c r="V94" s="74">
        <v>3.0</v>
      </c>
      <c r="W94" s="74">
        <v>3.0</v>
      </c>
      <c r="X94" s="74">
        <v>3.0</v>
      </c>
      <c r="Y94" s="74">
        <v>2.0</v>
      </c>
      <c r="Z94" s="74">
        <v>0.0</v>
      </c>
      <c r="AA94" s="74">
        <v>0.0</v>
      </c>
      <c r="AB94" s="74">
        <v>2.0</v>
      </c>
      <c r="AC94" s="74">
        <v>2.0</v>
      </c>
      <c r="AD94" s="74">
        <v>0.0</v>
      </c>
      <c r="AE94" s="74">
        <v>0.0</v>
      </c>
      <c r="AF94" s="74">
        <v>5.0</v>
      </c>
      <c r="AG94" s="13">
        <f t="shared" si="22"/>
        <v>52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0.0</v>
      </c>
      <c r="H95" s="74">
        <v>0.0</v>
      </c>
      <c r="I95" s="74">
        <v>0.0</v>
      </c>
      <c r="J95" s="74">
        <v>1.0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1.0</v>
      </c>
      <c r="Q95" s="74">
        <v>0.0</v>
      </c>
      <c r="R95" s="74">
        <v>0.0</v>
      </c>
      <c r="S95" s="74">
        <v>0.0</v>
      </c>
      <c r="T95" s="74">
        <v>0.0</v>
      </c>
      <c r="U95" s="74">
        <v>0.0</v>
      </c>
      <c r="V95" s="74">
        <v>0.0</v>
      </c>
      <c r="W95" s="74">
        <v>1.0</v>
      </c>
      <c r="X95" s="74">
        <v>0.0</v>
      </c>
      <c r="Y95" s="74">
        <v>0.0</v>
      </c>
      <c r="Z95" s="74">
        <v>0.0</v>
      </c>
      <c r="AA95" s="74">
        <v>1.0</v>
      </c>
      <c r="AB95" s="74">
        <v>0.0</v>
      </c>
      <c r="AC95" s="74">
        <v>0.0</v>
      </c>
      <c r="AD95" s="74">
        <v>0.0</v>
      </c>
      <c r="AE95" s="74">
        <v>0.0</v>
      </c>
      <c r="AF95" s="74">
        <v>0.0</v>
      </c>
      <c r="AG95" s="13">
        <f t="shared" si="22"/>
        <v>5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1.0</v>
      </c>
      <c r="Q96" s="74">
        <v>0.0</v>
      </c>
      <c r="R96" s="74">
        <v>0.0</v>
      </c>
      <c r="S96" s="74">
        <v>0.0</v>
      </c>
      <c r="T96" s="74">
        <v>1.0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74">
        <v>0.0</v>
      </c>
      <c r="AC96" s="74">
        <v>0.0</v>
      </c>
      <c r="AD96" s="74">
        <v>0.0</v>
      </c>
      <c r="AE96" s="74">
        <v>0.0</v>
      </c>
      <c r="AF96" s="74">
        <v>1.0</v>
      </c>
      <c r="AG96" s="13">
        <f t="shared" si="22"/>
        <v>3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1.0</v>
      </c>
      <c r="I97" s="74">
        <v>1.0</v>
      </c>
      <c r="J97" s="74">
        <v>0.0</v>
      </c>
      <c r="K97" s="74">
        <v>1.0</v>
      </c>
      <c r="L97" s="74">
        <v>0.0</v>
      </c>
      <c r="M97" s="74">
        <v>1.0</v>
      </c>
      <c r="N97" s="74">
        <v>0.0</v>
      </c>
      <c r="O97" s="74">
        <v>1.0</v>
      </c>
      <c r="P97" s="74">
        <v>1.0</v>
      </c>
      <c r="Q97" s="74">
        <v>0.0</v>
      </c>
      <c r="R97" s="74">
        <v>0.0</v>
      </c>
      <c r="S97" s="74">
        <v>0.0</v>
      </c>
      <c r="T97" s="74">
        <v>0.0</v>
      </c>
      <c r="U97" s="74">
        <v>1.0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74">
        <v>0.0</v>
      </c>
      <c r="AC97" s="74">
        <v>0.0</v>
      </c>
      <c r="AD97" s="74">
        <v>0.0</v>
      </c>
      <c r="AE97" s="74">
        <v>0.0</v>
      </c>
      <c r="AF97" s="74">
        <v>0.0</v>
      </c>
      <c r="AG97" s="13">
        <f t="shared" si="22"/>
        <v>7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0.0</v>
      </c>
      <c r="H98" s="74">
        <v>0.0</v>
      </c>
      <c r="I98" s="74">
        <v>1.0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1.0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1.0</v>
      </c>
      <c r="X98" s="74">
        <v>0.0</v>
      </c>
      <c r="Y98" s="74">
        <v>0.0</v>
      </c>
      <c r="Z98" s="74">
        <v>0.0</v>
      </c>
      <c r="AA98" s="74">
        <v>0.0</v>
      </c>
      <c r="AB98" s="74">
        <v>0.0</v>
      </c>
      <c r="AC98" s="74">
        <v>0.0</v>
      </c>
      <c r="AD98" s="74">
        <v>0.0</v>
      </c>
      <c r="AE98" s="74">
        <v>0.0</v>
      </c>
      <c r="AF98" s="74">
        <v>0.0</v>
      </c>
      <c r="AG98" s="13">
        <f t="shared" si="22"/>
        <v>4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13">
        <f t="shared" si="22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1.0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1.0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13">
        <f t="shared" si="22"/>
        <v>2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2.0</v>
      </c>
      <c r="K101" s="74">
        <v>0.0</v>
      </c>
      <c r="L101" s="74">
        <v>0.0</v>
      </c>
      <c r="M101" s="74">
        <v>1.0</v>
      </c>
      <c r="N101" s="74">
        <v>0.0</v>
      </c>
      <c r="O101" s="74">
        <v>1.0</v>
      </c>
      <c r="P101" s="74">
        <v>0.0</v>
      </c>
      <c r="Q101" s="74">
        <v>0.0</v>
      </c>
      <c r="R101" s="74">
        <v>0.0</v>
      </c>
      <c r="S101" s="74">
        <v>0.0</v>
      </c>
      <c r="T101" s="74">
        <v>1.0</v>
      </c>
      <c r="U101" s="74">
        <v>0.0</v>
      </c>
      <c r="V101" s="74">
        <v>2.0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13">
        <f t="shared" si="22"/>
        <v>7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G103" si="23">SUM(E93:E102)</f>
        <v>5</v>
      </c>
      <c r="F103" s="13">
        <f t="shared" si="23"/>
        <v>3</v>
      </c>
      <c r="G103" s="13">
        <f t="shared" si="23"/>
        <v>3</v>
      </c>
      <c r="H103" s="13">
        <f t="shared" si="23"/>
        <v>2</v>
      </c>
      <c r="I103" s="13">
        <f t="shared" si="23"/>
        <v>6</v>
      </c>
      <c r="J103" s="13">
        <f t="shared" si="23"/>
        <v>4</v>
      </c>
      <c r="K103" s="13">
        <f t="shared" si="23"/>
        <v>11</v>
      </c>
      <c r="L103" s="13">
        <f t="shared" si="23"/>
        <v>1</v>
      </c>
      <c r="M103" s="13">
        <f t="shared" si="23"/>
        <v>3</v>
      </c>
      <c r="N103" s="13">
        <f t="shared" si="23"/>
        <v>2</v>
      </c>
      <c r="O103" s="13">
        <f t="shared" si="23"/>
        <v>5</v>
      </c>
      <c r="P103" s="13">
        <f t="shared" si="23"/>
        <v>9</v>
      </c>
      <c r="Q103" s="13">
        <f t="shared" si="23"/>
        <v>7</v>
      </c>
      <c r="R103" s="13">
        <f t="shared" si="23"/>
        <v>4</v>
      </c>
      <c r="S103" s="13">
        <f t="shared" si="23"/>
        <v>3</v>
      </c>
      <c r="T103" s="13">
        <f t="shared" si="23"/>
        <v>5</v>
      </c>
      <c r="U103" s="13">
        <f t="shared" si="23"/>
        <v>2</v>
      </c>
      <c r="V103" s="13">
        <f t="shared" si="23"/>
        <v>5</v>
      </c>
      <c r="W103" s="13">
        <f t="shared" si="23"/>
        <v>8</v>
      </c>
      <c r="X103" s="13">
        <f t="shared" si="23"/>
        <v>4</v>
      </c>
      <c r="Y103" s="13">
        <f t="shared" si="23"/>
        <v>3</v>
      </c>
      <c r="Z103" s="13">
        <f t="shared" si="23"/>
        <v>0</v>
      </c>
      <c r="AA103" s="13">
        <f t="shared" si="23"/>
        <v>3</v>
      </c>
      <c r="AB103" s="13">
        <f t="shared" si="23"/>
        <v>3</v>
      </c>
      <c r="AC103" s="13">
        <f t="shared" si="23"/>
        <v>2</v>
      </c>
      <c r="AD103" s="13">
        <f t="shared" si="23"/>
        <v>0</v>
      </c>
      <c r="AE103" s="13">
        <f t="shared" si="23"/>
        <v>0</v>
      </c>
      <c r="AF103" s="13">
        <f t="shared" si="23"/>
        <v>9</v>
      </c>
      <c r="AG103" s="13">
        <f t="shared" si="23"/>
        <v>112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1.0</v>
      </c>
      <c r="J105" s="74">
        <v>1.0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1.0</v>
      </c>
      <c r="T105" s="74">
        <v>0.0</v>
      </c>
      <c r="U105" s="74">
        <v>0.0</v>
      </c>
      <c r="V105" s="74">
        <v>1.0</v>
      </c>
      <c r="W105" s="74">
        <v>0.0</v>
      </c>
      <c r="X105" s="74">
        <v>0.0</v>
      </c>
      <c r="Y105" s="74">
        <v>1.0</v>
      </c>
      <c r="Z105" s="74">
        <v>2.0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0.0</v>
      </c>
      <c r="AG105" s="13">
        <f t="shared" ref="AG105:AG107" si="24">SUM(E105:AF105)</f>
        <v>7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2.0</v>
      </c>
      <c r="G106" s="74">
        <v>0.0</v>
      </c>
      <c r="H106" s="74">
        <v>0.0</v>
      </c>
      <c r="I106" s="74">
        <v>0.0</v>
      </c>
      <c r="J106" s="74">
        <v>2.0</v>
      </c>
      <c r="K106" s="74">
        <v>1.0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1.0</v>
      </c>
      <c r="S106" s="74">
        <v>1.0</v>
      </c>
      <c r="T106" s="74">
        <v>1.0</v>
      </c>
      <c r="U106" s="74">
        <v>0.0</v>
      </c>
      <c r="V106" s="74">
        <v>0.0</v>
      </c>
      <c r="W106" s="74">
        <v>1.0</v>
      </c>
      <c r="X106" s="74">
        <v>1.0</v>
      </c>
      <c r="Y106" s="74">
        <v>0.0</v>
      </c>
      <c r="Z106" s="74">
        <v>0.0</v>
      </c>
      <c r="AA106" s="74">
        <v>0.0</v>
      </c>
      <c r="AB106" s="74">
        <v>1.0</v>
      </c>
      <c r="AC106" s="74">
        <v>0.0</v>
      </c>
      <c r="AD106" s="74">
        <v>2.0</v>
      </c>
      <c r="AE106" s="74">
        <v>0.0</v>
      </c>
      <c r="AF106" s="74">
        <v>0.0</v>
      </c>
      <c r="AG106" s="13">
        <f t="shared" si="24"/>
        <v>14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1.0</v>
      </c>
      <c r="G107" s="74">
        <v>0.0</v>
      </c>
      <c r="H107" s="74">
        <v>1.0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1.0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0.0</v>
      </c>
      <c r="AG107" s="13">
        <f t="shared" si="24"/>
        <v>3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F115" si="25">SUM(E105:E112)</f>
        <v>1</v>
      </c>
      <c r="F115" s="13">
        <f t="shared" si="25"/>
        <v>3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3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2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2</v>
      </c>
      <c r="AE115" s="13">
        <f t="shared" si="25"/>
        <v>0</v>
      </c>
      <c r="AF115" s="13">
        <f t="shared" si="25"/>
        <v>0</v>
      </c>
      <c r="AG115" s="13">
        <f>SUM(E115:AF115)</f>
        <v>24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1.0</v>
      </c>
      <c r="H117" s="74">
        <v>2.0</v>
      </c>
      <c r="I117" s="74">
        <v>1.0</v>
      </c>
      <c r="J117" s="74">
        <v>3.0</v>
      </c>
      <c r="K117" s="74">
        <v>1.0</v>
      </c>
      <c r="L117" s="74">
        <v>1.0</v>
      </c>
      <c r="M117" s="74">
        <v>0.0</v>
      </c>
      <c r="N117" s="74">
        <v>2.0</v>
      </c>
      <c r="O117" s="74">
        <v>3.0</v>
      </c>
      <c r="P117" s="74">
        <v>3.0</v>
      </c>
      <c r="Q117" s="74">
        <v>1.0</v>
      </c>
      <c r="R117" s="74">
        <v>0.0</v>
      </c>
      <c r="S117" s="74">
        <v>0.0</v>
      </c>
      <c r="T117" s="74">
        <v>3.0</v>
      </c>
      <c r="U117" s="74">
        <v>0.0</v>
      </c>
      <c r="V117" s="74">
        <v>0.0</v>
      </c>
      <c r="W117" s="74">
        <v>1.0</v>
      </c>
      <c r="X117" s="74">
        <v>1.0</v>
      </c>
      <c r="Y117" s="74">
        <v>0.0</v>
      </c>
      <c r="Z117" s="74">
        <v>0.0</v>
      </c>
      <c r="AA117" s="74">
        <v>2.0</v>
      </c>
      <c r="AB117" s="74">
        <v>0.0</v>
      </c>
      <c r="AC117" s="74">
        <v>4.0</v>
      </c>
      <c r="AD117" s="74">
        <v>1.0</v>
      </c>
      <c r="AE117" s="74">
        <v>0.0</v>
      </c>
      <c r="AF117" s="74">
        <v>0.0</v>
      </c>
      <c r="AG117" s="13">
        <f t="shared" ref="AG117:AG122" si="26">SUM(E117:AF117)</f>
        <v>32</v>
      </c>
      <c r="AH117" s="5"/>
      <c r="AI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1.0</v>
      </c>
      <c r="F118" s="74">
        <v>0.0</v>
      </c>
      <c r="G118" s="74">
        <v>1.0</v>
      </c>
      <c r="H118" s="74">
        <v>0.0</v>
      </c>
      <c r="I118" s="74">
        <v>2.0</v>
      </c>
      <c r="J118" s="74">
        <v>0.0</v>
      </c>
      <c r="K118" s="74">
        <v>0.0</v>
      </c>
      <c r="L118" s="74">
        <v>2.0</v>
      </c>
      <c r="M118" s="74">
        <v>0.0</v>
      </c>
      <c r="N118" s="74">
        <v>1.0</v>
      </c>
      <c r="O118" s="74">
        <v>0.0</v>
      </c>
      <c r="P118" s="74">
        <v>1.0</v>
      </c>
      <c r="Q118" s="74">
        <v>1.0</v>
      </c>
      <c r="R118" s="74">
        <v>1.0</v>
      </c>
      <c r="S118" s="74">
        <v>0.0</v>
      </c>
      <c r="T118" s="74">
        <v>0.0</v>
      </c>
      <c r="U118" s="74">
        <v>1.0</v>
      </c>
      <c r="V118" s="74">
        <v>1.0</v>
      </c>
      <c r="W118" s="74">
        <v>1.0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2.0</v>
      </c>
      <c r="AD118" s="74">
        <v>2.0</v>
      </c>
      <c r="AE118" s="74">
        <v>0.0</v>
      </c>
      <c r="AF118" s="74">
        <v>0.0</v>
      </c>
      <c r="AG118" s="13">
        <f t="shared" si="26"/>
        <v>17</v>
      </c>
      <c r="AH118" s="5"/>
      <c r="AI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1.0</v>
      </c>
      <c r="G119" s="74">
        <v>1.0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2.0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13">
        <f t="shared" si="26"/>
        <v>4</v>
      </c>
      <c r="AH119" s="5"/>
      <c r="AI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74">
        <v>0.0</v>
      </c>
      <c r="AG120" s="13">
        <f t="shared" si="26"/>
        <v>1</v>
      </c>
      <c r="AH120" s="5"/>
      <c r="AI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13">
        <f t="shared" si="26"/>
        <v>0</v>
      </c>
      <c r="AH121" s="5"/>
      <c r="AI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0.0</v>
      </c>
      <c r="AG122" s="13">
        <f t="shared" si="26"/>
        <v>0</v>
      </c>
      <c r="AH122" s="5"/>
      <c r="AI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81"/>
      <c r="AH123" s="5"/>
      <c r="AI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81"/>
      <c r="AH124" s="5"/>
      <c r="AI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81"/>
      <c r="AH125" s="5"/>
      <c r="AI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81"/>
      <c r="AH126" s="5"/>
      <c r="AI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G127" si="27">SUM(E117:E122)</f>
        <v>2</v>
      </c>
      <c r="F127" s="63">
        <f t="shared" si="27"/>
        <v>2</v>
      </c>
      <c r="G127" s="63">
        <f t="shared" si="27"/>
        <v>3</v>
      </c>
      <c r="H127" s="63">
        <f t="shared" si="27"/>
        <v>2</v>
      </c>
      <c r="I127" s="63">
        <f t="shared" si="27"/>
        <v>3</v>
      </c>
      <c r="J127" s="63">
        <f t="shared" si="27"/>
        <v>3</v>
      </c>
      <c r="K127" s="63">
        <f t="shared" si="27"/>
        <v>2</v>
      </c>
      <c r="L127" s="63">
        <f t="shared" si="27"/>
        <v>3</v>
      </c>
      <c r="M127" s="63">
        <f t="shared" si="27"/>
        <v>0</v>
      </c>
      <c r="N127" s="63">
        <f t="shared" si="27"/>
        <v>3</v>
      </c>
      <c r="O127" s="63">
        <f t="shared" si="27"/>
        <v>3</v>
      </c>
      <c r="P127" s="63">
        <f t="shared" si="27"/>
        <v>4</v>
      </c>
      <c r="Q127" s="63">
        <f t="shared" si="27"/>
        <v>2</v>
      </c>
      <c r="R127" s="63">
        <f t="shared" si="27"/>
        <v>1</v>
      </c>
      <c r="S127" s="63">
        <f t="shared" si="27"/>
        <v>0</v>
      </c>
      <c r="T127" s="63">
        <f t="shared" si="27"/>
        <v>3</v>
      </c>
      <c r="U127" s="63">
        <f t="shared" si="27"/>
        <v>1</v>
      </c>
      <c r="V127" s="63">
        <f t="shared" si="27"/>
        <v>3</v>
      </c>
      <c r="W127" s="63">
        <f t="shared" si="27"/>
        <v>2</v>
      </c>
      <c r="X127" s="63">
        <f t="shared" si="27"/>
        <v>1</v>
      </c>
      <c r="Y127" s="63">
        <f t="shared" si="27"/>
        <v>0</v>
      </c>
      <c r="Z127" s="63">
        <f t="shared" si="27"/>
        <v>0</v>
      </c>
      <c r="AA127" s="63">
        <f t="shared" si="27"/>
        <v>2</v>
      </c>
      <c r="AB127" s="63">
        <f t="shared" si="27"/>
        <v>0</v>
      </c>
      <c r="AC127" s="63">
        <f t="shared" si="27"/>
        <v>6</v>
      </c>
      <c r="AD127" s="63">
        <f t="shared" si="27"/>
        <v>3</v>
      </c>
      <c r="AE127" s="63">
        <f t="shared" si="27"/>
        <v>0</v>
      </c>
      <c r="AF127" s="63">
        <f t="shared" si="27"/>
        <v>0</v>
      </c>
      <c r="AG127" s="63">
        <f t="shared" si="27"/>
        <v>54</v>
      </c>
      <c r="AH127" s="5"/>
      <c r="AI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5"/>
      <c r="AI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1.0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1.0</v>
      </c>
      <c r="S129" s="74">
        <v>1.0</v>
      </c>
      <c r="T129" s="74">
        <v>1.0</v>
      </c>
      <c r="U129" s="74">
        <v>1.0</v>
      </c>
      <c r="V129" s="74">
        <v>1.0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74">
        <v>0.0</v>
      </c>
      <c r="AC129" s="74">
        <v>3.0</v>
      </c>
      <c r="AD129" s="74">
        <v>1.0</v>
      </c>
      <c r="AE129" s="74">
        <v>0.0</v>
      </c>
      <c r="AF129" s="74">
        <v>0.0</v>
      </c>
      <c r="AG129" s="13">
        <f t="shared" ref="AG129:AG138" si="28">SUM(E129:AF129)</f>
        <v>10</v>
      </c>
      <c r="AH129" s="5"/>
      <c r="AI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0.0</v>
      </c>
      <c r="H130" s="74">
        <v>0.0</v>
      </c>
      <c r="I130" s="74">
        <v>1.0</v>
      </c>
      <c r="J130" s="74">
        <v>2.0</v>
      </c>
      <c r="K130" s="74">
        <v>1.0</v>
      </c>
      <c r="L130" s="74">
        <v>1.0</v>
      </c>
      <c r="M130" s="74">
        <v>0.0</v>
      </c>
      <c r="N130" s="74">
        <v>0.0</v>
      </c>
      <c r="O130" s="74">
        <v>0.0</v>
      </c>
      <c r="P130" s="74">
        <v>1.0</v>
      </c>
      <c r="Q130" s="74">
        <v>0.0</v>
      </c>
      <c r="R130" s="74">
        <v>0.0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0.0</v>
      </c>
      <c r="AB130" s="74">
        <v>0.0</v>
      </c>
      <c r="AC130" s="74">
        <v>0.0</v>
      </c>
      <c r="AD130" s="74">
        <v>0.0</v>
      </c>
      <c r="AE130" s="74">
        <v>0.0</v>
      </c>
      <c r="AF130" s="74">
        <v>0.0</v>
      </c>
      <c r="AG130" s="13">
        <f t="shared" si="28"/>
        <v>6</v>
      </c>
      <c r="AH130" s="1"/>
      <c r="AI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1.0</v>
      </c>
      <c r="G131" s="74">
        <v>0.0</v>
      </c>
      <c r="H131" s="74">
        <v>1.0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1.0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13">
        <f t="shared" si="28"/>
        <v>3</v>
      </c>
      <c r="AH131" s="52"/>
      <c r="AI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1.0</v>
      </c>
      <c r="R132" s="74">
        <v>0.0</v>
      </c>
      <c r="S132" s="74">
        <v>0.0</v>
      </c>
      <c r="T132" s="74">
        <v>0.0</v>
      </c>
      <c r="U132" s="74">
        <v>0.0</v>
      </c>
      <c r="V132" s="74">
        <v>1.0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13">
        <f t="shared" si="28"/>
        <v>2</v>
      </c>
      <c r="AH132" s="5"/>
      <c r="AI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13">
        <f t="shared" si="28"/>
        <v>0</v>
      </c>
      <c r="AH133" s="5"/>
      <c r="AI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1.0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13">
        <f t="shared" si="28"/>
        <v>1</v>
      </c>
      <c r="AH134" s="5"/>
      <c r="AI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13">
        <f t="shared" si="28"/>
        <v>0</v>
      </c>
      <c r="AH135" s="5"/>
      <c r="AI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1.0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13">
        <f t="shared" si="28"/>
        <v>1</v>
      </c>
      <c r="AH136" s="5"/>
      <c r="AI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13">
        <f t="shared" si="28"/>
        <v>0</v>
      </c>
      <c r="AH137" s="5"/>
      <c r="AI137" s="5"/>
    </row>
    <row r="138" ht="12.75" customHeight="1">
      <c r="A138" s="18"/>
      <c r="B138" s="55"/>
      <c r="C138" s="50" t="s">
        <v>112</v>
      </c>
      <c r="D138" s="5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3">
        <f t="shared" si="28"/>
        <v>0</v>
      </c>
      <c r="AH138" s="5"/>
      <c r="AI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G139" si="29">SUM(E129:E138)</f>
        <v>0</v>
      </c>
      <c r="F139" s="13">
        <f t="shared" si="29"/>
        <v>1</v>
      </c>
      <c r="G139" s="13">
        <f t="shared" si="29"/>
        <v>0</v>
      </c>
      <c r="H139" s="13">
        <f t="shared" si="29"/>
        <v>2</v>
      </c>
      <c r="I139" s="13">
        <f t="shared" si="29"/>
        <v>1</v>
      </c>
      <c r="J139" s="13">
        <f t="shared" si="29"/>
        <v>4</v>
      </c>
      <c r="K139" s="13">
        <f t="shared" si="29"/>
        <v>1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1</v>
      </c>
      <c r="R139" s="13">
        <f t="shared" si="29"/>
        <v>1</v>
      </c>
      <c r="S139" s="13">
        <f t="shared" si="29"/>
        <v>1</v>
      </c>
      <c r="T139" s="13">
        <f t="shared" si="29"/>
        <v>2</v>
      </c>
      <c r="U139" s="13">
        <f t="shared" si="29"/>
        <v>1</v>
      </c>
      <c r="V139" s="13">
        <f t="shared" si="29"/>
        <v>2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3</v>
      </c>
      <c r="AD139" s="13">
        <f t="shared" si="29"/>
        <v>1</v>
      </c>
      <c r="AE139" s="13">
        <f t="shared" si="29"/>
        <v>0</v>
      </c>
      <c r="AF139" s="13">
        <f t="shared" si="29"/>
        <v>0</v>
      </c>
      <c r="AG139" s="13">
        <f t="shared" si="29"/>
        <v>23</v>
      </c>
      <c r="AH139" s="5"/>
      <c r="AI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5"/>
      <c r="AI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1.0</v>
      </c>
      <c r="V141" s="74">
        <v>0.0</v>
      </c>
      <c r="W141" s="74">
        <v>1.0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13">
        <f t="shared" ref="AG141:AG144" si="30">SUM(E141:AF141)</f>
        <v>2</v>
      </c>
      <c r="AH141" s="1"/>
      <c r="AI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1.0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13">
        <f t="shared" si="30"/>
        <v>1</v>
      </c>
      <c r="AH142" s="52"/>
      <c r="AI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13">
        <f t="shared" si="30"/>
        <v>0</v>
      </c>
      <c r="AH143" s="5"/>
      <c r="AI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13">
        <f t="shared" si="30"/>
        <v>0</v>
      </c>
      <c r="AH144" s="5"/>
      <c r="AI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81"/>
      <c r="AH145" s="5"/>
      <c r="AI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81"/>
      <c r="AH146" s="5"/>
      <c r="AI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81"/>
      <c r="AH147" s="5"/>
      <c r="AI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81"/>
      <c r="AH148" s="5"/>
      <c r="AI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81"/>
      <c r="AH149" s="5"/>
      <c r="AI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81"/>
      <c r="AH150" s="5"/>
      <c r="AI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F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>SUM(E151:AF151)</f>
        <v>3</v>
      </c>
      <c r="AH151" s="1"/>
      <c r="AI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13"/>
      <c r="AH152" s="52"/>
      <c r="AI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1.0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1.0</v>
      </c>
      <c r="V153" s="74">
        <v>0.0</v>
      </c>
      <c r="W153" s="74">
        <v>0.0</v>
      </c>
      <c r="X153" s="74">
        <v>1.0</v>
      </c>
      <c r="Y153" s="74">
        <v>0.0</v>
      </c>
      <c r="Z153" s="74">
        <v>1.0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74">
        <v>0.0</v>
      </c>
      <c r="AG153" s="13">
        <f t="shared" ref="AG153:AG160" si="32">SUM(E153:AF153)</f>
        <v>4</v>
      </c>
      <c r="AH153" s="5"/>
      <c r="AI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1.0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2.0</v>
      </c>
      <c r="P154" s="74">
        <v>0.0</v>
      </c>
      <c r="Q154" s="74">
        <v>0.0</v>
      </c>
      <c r="R154" s="74">
        <v>1.0</v>
      </c>
      <c r="S154" s="74">
        <v>0.0</v>
      </c>
      <c r="T154" s="74">
        <v>0.0</v>
      </c>
      <c r="U154" s="74">
        <v>1.0</v>
      </c>
      <c r="V154" s="74">
        <v>0.0</v>
      </c>
      <c r="W154" s="74">
        <v>0.0</v>
      </c>
      <c r="X154" s="74">
        <v>0.0</v>
      </c>
      <c r="Y154" s="74">
        <v>2.0</v>
      </c>
      <c r="Z154" s="74">
        <v>0.0</v>
      </c>
      <c r="AA154" s="74">
        <v>0.0</v>
      </c>
      <c r="AB154" s="74">
        <v>0.0</v>
      </c>
      <c r="AC154" s="74">
        <v>2.0</v>
      </c>
      <c r="AD154" s="74">
        <v>1.0</v>
      </c>
      <c r="AE154" s="74">
        <v>0.0</v>
      </c>
      <c r="AF154" s="74">
        <v>1.0</v>
      </c>
      <c r="AG154" s="13">
        <f t="shared" si="32"/>
        <v>11</v>
      </c>
      <c r="AH154" s="5"/>
      <c r="AI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13">
        <f t="shared" si="32"/>
        <v>0</v>
      </c>
      <c r="AH155" s="5"/>
      <c r="AI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1.0</v>
      </c>
      <c r="AE156" s="74">
        <v>0.0</v>
      </c>
      <c r="AF156" s="74">
        <v>1.0</v>
      </c>
      <c r="AG156" s="13">
        <f t="shared" si="32"/>
        <v>2</v>
      </c>
      <c r="AH156" s="5"/>
      <c r="AI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1.0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1.0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13">
        <f t="shared" si="32"/>
        <v>2</v>
      </c>
      <c r="AH157" s="5"/>
      <c r="AI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1.0</v>
      </c>
      <c r="AE158" s="74">
        <v>0.0</v>
      </c>
      <c r="AF158" s="74">
        <v>0.0</v>
      </c>
      <c r="AG158" s="13">
        <f t="shared" si="32"/>
        <v>1</v>
      </c>
      <c r="AH158" s="5"/>
      <c r="AI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13">
        <f t="shared" si="32"/>
        <v>0</v>
      </c>
      <c r="AH159" s="5"/>
      <c r="AI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1.0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13">
        <f t="shared" si="32"/>
        <v>1</v>
      </c>
      <c r="AH160" s="5"/>
      <c r="AI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81"/>
      <c r="AH161" s="5"/>
      <c r="AI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81"/>
      <c r="AH162" s="5"/>
      <c r="AI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G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1</v>
      </c>
      <c r="T163" s="13">
        <f t="shared" si="33"/>
        <v>0</v>
      </c>
      <c r="U163" s="13">
        <f t="shared" si="33"/>
        <v>2</v>
      </c>
      <c r="V163" s="13">
        <f t="shared" si="33"/>
        <v>0</v>
      </c>
      <c r="W163" s="13">
        <f t="shared" si="33"/>
        <v>1</v>
      </c>
      <c r="X163" s="13">
        <f t="shared" si="33"/>
        <v>1</v>
      </c>
      <c r="Y163" s="13">
        <f t="shared" si="33"/>
        <v>2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2</v>
      </c>
      <c r="AD163" s="13">
        <f t="shared" si="33"/>
        <v>3</v>
      </c>
      <c r="AE163" s="13">
        <f t="shared" si="33"/>
        <v>0</v>
      </c>
      <c r="AF163" s="13">
        <f t="shared" si="33"/>
        <v>2</v>
      </c>
      <c r="AG163" s="13">
        <f t="shared" si="33"/>
        <v>21</v>
      </c>
      <c r="AH163" s="5"/>
      <c r="AI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5"/>
      <c r="AI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1.0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2.0</v>
      </c>
      <c r="R165" s="74">
        <v>0.0</v>
      </c>
      <c r="S165" s="74">
        <v>0.0</v>
      </c>
      <c r="T165" s="74">
        <v>0.0</v>
      </c>
      <c r="U165" s="74">
        <v>0.0</v>
      </c>
      <c r="V165" s="74">
        <v>1.0</v>
      </c>
      <c r="W165" s="74">
        <v>3.0</v>
      </c>
      <c r="X165" s="74">
        <v>0.0</v>
      </c>
      <c r="Y165" s="74">
        <v>0.0</v>
      </c>
      <c r="Z165" s="74">
        <v>1.0</v>
      </c>
      <c r="AA165" s="74">
        <v>1.0</v>
      </c>
      <c r="AB165" s="74">
        <v>0.0</v>
      </c>
      <c r="AC165" s="74">
        <v>1.0</v>
      </c>
      <c r="AD165" s="74">
        <v>0.0</v>
      </c>
      <c r="AE165" s="74">
        <v>0.0</v>
      </c>
      <c r="AF165" s="74">
        <v>0.0</v>
      </c>
      <c r="AG165" s="13">
        <f t="shared" ref="AG165:AG166" si="34">SUM(E165:AF165)</f>
        <v>10</v>
      </c>
      <c r="AH165" s="1"/>
      <c r="AI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1.0</v>
      </c>
      <c r="M166" s="74">
        <v>0.0</v>
      </c>
      <c r="N166" s="74">
        <v>1.0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1.0</v>
      </c>
      <c r="V166" s="74">
        <v>0.0</v>
      </c>
      <c r="W166" s="74">
        <v>0.0</v>
      </c>
      <c r="X166" s="74">
        <v>1.0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1.0</v>
      </c>
      <c r="AD166" s="74">
        <v>0.0</v>
      </c>
      <c r="AE166" s="74">
        <v>0.0</v>
      </c>
      <c r="AF166" s="74">
        <v>0.0</v>
      </c>
      <c r="AG166" s="13">
        <f t="shared" si="34"/>
        <v>5</v>
      </c>
      <c r="AH166" s="52"/>
      <c r="AI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81"/>
      <c r="AH167" s="5"/>
      <c r="AI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81"/>
      <c r="AH168" s="5"/>
      <c r="AI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81"/>
      <c r="AH169" s="5"/>
      <c r="AI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81"/>
      <c r="AH170" s="5"/>
      <c r="AI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81"/>
      <c r="AH171" s="5"/>
      <c r="AI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81"/>
      <c r="AH172" s="5"/>
      <c r="AI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81"/>
      <c r="AH173" s="5"/>
      <c r="AI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81"/>
      <c r="AH174" s="5"/>
      <c r="AI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F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1</v>
      </c>
      <c r="W175" s="13">
        <f t="shared" si="35"/>
        <v>3</v>
      </c>
      <c r="X175" s="13">
        <f t="shared" si="35"/>
        <v>1</v>
      </c>
      <c r="Y175" s="13">
        <f t="shared" si="35"/>
        <v>0</v>
      </c>
      <c r="Z175" s="13">
        <f t="shared" si="35"/>
        <v>1</v>
      </c>
      <c r="AA175" s="13">
        <f t="shared" si="35"/>
        <v>1</v>
      </c>
      <c r="AB175" s="13">
        <f t="shared" si="35"/>
        <v>0</v>
      </c>
      <c r="AC175" s="13">
        <f t="shared" si="35"/>
        <v>2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>SUM(E175:AF175)</f>
        <v>15</v>
      </c>
      <c r="AH175" s="5"/>
      <c r="AI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1"/>
      <c r="AI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0.0</v>
      </c>
      <c r="H177" s="74">
        <v>1.0</v>
      </c>
      <c r="I177" s="74">
        <v>0.0</v>
      </c>
      <c r="J177" s="74">
        <v>0.0</v>
      </c>
      <c r="K177" s="74">
        <v>0.0</v>
      </c>
      <c r="L177" s="74">
        <v>2.0</v>
      </c>
      <c r="M177" s="74">
        <v>0.0</v>
      </c>
      <c r="N177" s="74">
        <v>0.0</v>
      </c>
      <c r="O177" s="74">
        <v>0.0</v>
      </c>
      <c r="P177" s="74">
        <v>0.0</v>
      </c>
      <c r="Q177" s="74">
        <v>0.0</v>
      </c>
      <c r="R177" s="74">
        <v>1.0</v>
      </c>
      <c r="S177" s="74">
        <v>3.0</v>
      </c>
      <c r="T177" s="78">
        <v>0.0</v>
      </c>
      <c r="U177" s="74">
        <v>0.0</v>
      </c>
      <c r="V177" s="74">
        <v>0.0</v>
      </c>
      <c r="W177" s="74">
        <v>2.0</v>
      </c>
      <c r="X177" s="74">
        <v>1.0</v>
      </c>
      <c r="Y177" s="74">
        <v>1.0</v>
      </c>
      <c r="Z177" s="74">
        <v>0.0</v>
      </c>
      <c r="AA177" s="74">
        <v>1.0</v>
      </c>
      <c r="AB177" s="74">
        <v>0.0</v>
      </c>
      <c r="AC177" s="74">
        <v>2.0</v>
      </c>
      <c r="AD177" s="74">
        <v>0.0</v>
      </c>
      <c r="AE177" s="74">
        <v>0.0</v>
      </c>
      <c r="AF177" s="74">
        <v>0.0</v>
      </c>
      <c r="AG177" s="13">
        <f t="shared" ref="AG177:AG187" si="36">SUM(E177:AF177)</f>
        <v>15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2.0</v>
      </c>
      <c r="G178" s="74">
        <v>0.0</v>
      </c>
      <c r="H178" s="74">
        <v>0.0</v>
      </c>
      <c r="I178" s="74">
        <v>1.0</v>
      </c>
      <c r="J178" s="74">
        <v>1.0</v>
      </c>
      <c r="K178" s="74">
        <v>0.0</v>
      </c>
      <c r="L178" s="74">
        <v>2.0</v>
      </c>
      <c r="M178" s="74">
        <v>0.0</v>
      </c>
      <c r="N178" s="74">
        <v>0.0</v>
      </c>
      <c r="O178" s="74">
        <v>0.0</v>
      </c>
      <c r="P178" s="74">
        <v>1.0</v>
      </c>
      <c r="Q178" s="74">
        <v>1.0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74">
        <v>1.0</v>
      </c>
      <c r="X178" s="74">
        <v>1.0</v>
      </c>
      <c r="Y178" s="74">
        <v>0.0</v>
      </c>
      <c r="Z178" s="74">
        <v>0.0</v>
      </c>
      <c r="AA178" s="74">
        <v>0.0</v>
      </c>
      <c r="AB178" s="74">
        <v>0.0</v>
      </c>
      <c r="AC178" s="74">
        <v>0.0</v>
      </c>
      <c r="AD178" s="74">
        <v>5.0</v>
      </c>
      <c r="AE178" s="74">
        <v>3.0</v>
      </c>
      <c r="AF178" s="74">
        <v>3.0</v>
      </c>
      <c r="AG178" s="13">
        <f t="shared" si="36"/>
        <v>21</v>
      </c>
      <c r="AH178" s="5"/>
      <c r="AI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1.0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1.0</v>
      </c>
      <c r="AC179" s="74">
        <v>0.0</v>
      </c>
      <c r="AD179" s="74">
        <v>0.0</v>
      </c>
      <c r="AE179" s="74">
        <v>0.0</v>
      </c>
      <c r="AF179" s="74">
        <v>0.0</v>
      </c>
      <c r="AG179" s="13">
        <f t="shared" si="36"/>
        <v>3</v>
      </c>
      <c r="AH179" s="5"/>
      <c r="AI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1.0</v>
      </c>
      <c r="Q180" s="74">
        <v>0.0</v>
      </c>
      <c r="R180" s="74">
        <v>0.0</v>
      </c>
      <c r="S180" s="74">
        <v>1.0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2.0</v>
      </c>
      <c r="AE180" s="74">
        <v>1.0</v>
      </c>
      <c r="AF180" s="74">
        <v>0.0</v>
      </c>
      <c r="AG180" s="13">
        <f t="shared" si="36"/>
        <v>5</v>
      </c>
      <c r="AH180" s="5"/>
      <c r="AI180" s="5"/>
    </row>
    <row r="181" ht="12.75" customHeight="1">
      <c r="A181" s="18"/>
      <c r="B181" s="55"/>
      <c r="C181" s="50" t="s">
        <v>135</v>
      </c>
      <c r="D181" s="57"/>
      <c r="E181" s="74">
        <v>1.0</v>
      </c>
      <c r="F181" s="74">
        <v>0.0</v>
      </c>
      <c r="G181" s="74">
        <v>0.0</v>
      </c>
      <c r="H181" s="74">
        <v>0.0</v>
      </c>
      <c r="I181" s="74">
        <v>1.0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13">
        <f t="shared" si="36"/>
        <v>2</v>
      </c>
      <c r="AH181" s="5"/>
      <c r="AI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13">
        <f t="shared" si="36"/>
        <v>0</v>
      </c>
      <c r="AH182" s="5"/>
      <c r="AI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1.0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1.0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13">
        <f t="shared" si="36"/>
        <v>2</v>
      </c>
      <c r="AH183" s="5"/>
      <c r="AI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1.0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13">
        <f t="shared" si="36"/>
        <v>1</v>
      </c>
      <c r="AH184" s="5"/>
      <c r="AI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1.0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2.0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13">
        <f t="shared" si="36"/>
        <v>3</v>
      </c>
      <c r="AH185" s="5"/>
      <c r="AI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1.0</v>
      </c>
      <c r="W186" s="74">
        <v>0.0</v>
      </c>
      <c r="X186" s="74">
        <v>1.0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13">
        <f t="shared" si="36"/>
        <v>2</v>
      </c>
      <c r="AH186" s="5"/>
      <c r="AI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F187" si="37">SUM(E177:E186)</f>
        <v>2</v>
      </c>
      <c r="F187" s="13">
        <f t="shared" si="37"/>
        <v>2</v>
      </c>
      <c r="G187" s="13">
        <f t="shared" si="37"/>
        <v>0</v>
      </c>
      <c r="H187" s="13">
        <f t="shared" si="37"/>
        <v>3</v>
      </c>
      <c r="I187" s="13">
        <f t="shared" si="37"/>
        <v>2</v>
      </c>
      <c r="J187" s="13">
        <f t="shared" si="37"/>
        <v>2</v>
      </c>
      <c r="K187" s="13">
        <f t="shared" si="37"/>
        <v>0</v>
      </c>
      <c r="L187" s="13">
        <f t="shared" si="37"/>
        <v>4</v>
      </c>
      <c r="M187" s="13">
        <f t="shared" si="37"/>
        <v>1</v>
      </c>
      <c r="N187" s="13">
        <f t="shared" si="37"/>
        <v>0</v>
      </c>
      <c r="O187" s="13">
        <f t="shared" si="37"/>
        <v>0</v>
      </c>
      <c r="P187" s="13">
        <f t="shared" si="37"/>
        <v>2</v>
      </c>
      <c r="Q187" s="13">
        <f t="shared" si="37"/>
        <v>1</v>
      </c>
      <c r="R187" s="13">
        <f t="shared" si="37"/>
        <v>1</v>
      </c>
      <c r="S187" s="13">
        <f t="shared" si="37"/>
        <v>4</v>
      </c>
      <c r="T187" s="13">
        <f t="shared" si="37"/>
        <v>0</v>
      </c>
      <c r="U187" s="13">
        <f t="shared" si="37"/>
        <v>1</v>
      </c>
      <c r="V187" s="13">
        <f t="shared" si="37"/>
        <v>2</v>
      </c>
      <c r="W187" s="13">
        <f t="shared" si="37"/>
        <v>3</v>
      </c>
      <c r="X187" s="13">
        <f t="shared" si="37"/>
        <v>3</v>
      </c>
      <c r="Y187" s="13">
        <f t="shared" si="37"/>
        <v>1</v>
      </c>
      <c r="Z187" s="13">
        <f t="shared" si="37"/>
        <v>2</v>
      </c>
      <c r="AA187" s="13">
        <f t="shared" si="37"/>
        <v>1</v>
      </c>
      <c r="AB187" s="13">
        <f t="shared" si="37"/>
        <v>1</v>
      </c>
      <c r="AC187" s="13">
        <f t="shared" si="37"/>
        <v>2</v>
      </c>
      <c r="AD187" s="13">
        <f t="shared" si="37"/>
        <v>7</v>
      </c>
      <c r="AE187" s="13">
        <f t="shared" si="37"/>
        <v>4</v>
      </c>
      <c r="AF187" s="13">
        <f t="shared" si="37"/>
        <v>3</v>
      </c>
      <c r="AG187" s="13">
        <f t="shared" si="36"/>
        <v>54</v>
      </c>
      <c r="AH187" s="1"/>
      <c r="AI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1.0</v>
      </c>
      <c r="F189" s="74">
        <v>0.0</v>
      </c>
      <c r="G189" s="74">
        <v>0.0</v>
      </c>
      <c r="H189" s="74">
        <v>0.0</v>
      </c>
      <c r="I189" s="74">
        <v>0.0</v>
      </c>
      <c r="J189" s="74">
        <v>1.0</v>
      </c>
      <c r="K189" s="74">
        <v>0.0</v>
      </c>
      <c r="L189" s="74">
        <v>1.0</v>
      </c>
      <c r="M189" s="74">
        <v>1.0</v>
      </c>
      <c r="N189" s="74">
        <v>1.0</v>
      </c>
      <c r="O189" s="74">
        <v>1.0</v>
      </c>
      <c r="P189" s="74">
        <v>0.0</v>
      </c>
      <c r="Q189" s="74">
        <v>0.0</v>
      </c>
      <c r="R189" s="74">
        <v>1.0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1.0</v>
      </c>
      <c r="AA189" s="74">
        <v>1.0</v>
      </c>
      <c r="AB189" s="74">
        <v>0.0</v>
      </c>
      <c r="AC189" s="74">
        <v>1.0</v>
      </c>
      <c r="AD189" s="74">
        <v>0.0</v>
      </c>
      <c r="AE189" s="74">
        <v>0.0</v>
      </c>
      <c r="AF189" s="74">
        <v>0.0</v>
      </c>
      <c r="AG189" s="13">
        <f t="shared" ref="AG189:AG198" si="38">SUM(E189:AF189)</f>
        <v>10</v>
      </c>
      <c r="AH189" s="5"/>
      <c r="AI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1.0</v>
      </c>
      <c r="G190" s="74">
        <v>1.0</v>
      </c>
      <c r="H190" s="74">
        <v>1.0</v>
      </c>
      <c r="I190" s="74">
        <v>0.0</v>
      </c>
      <c r="J190" s="74">
        <v>0.0</v>
      </c>
      <c r="K190" s="74">
        <v>1.0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1.0</v>
      </c>
      <c r="T190" s="74">
        <v>0.0</v>
      </c>
      <c r="U190" s="74">
        <v>1.0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1.0</v>
      </c>
      <c r="AB190" s="74">
        <v>0.0</v>
      </c>
      <c r="AC190" s="74">
        <v>0.0</v>
      </c>
      <c r="AD190" s="74">
        <v>3.0</v>
      </c>
      <c r="AE190" s="74">
        <v>0.0</v>
      </c>
      <c r="AF190" s="74">
        <v>1.0</v>
      </c>
      <c r="AG190" s="13">
        <f t="shared" si="38"/>
        <v>11</v>
      </c>
      <c r="AH190" s="5"/>
      <c r="AI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1.0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1.0</v>
      </c>
      <c r="U191" s="74">
        <v>0.0</v>
      </c>
      <c r="V191" s="74">
        <v>0.0</v>
      </c>
      <c r="W191" s="74">
        <v>0.0</v>
      </c>
      <c r="X191" s="74">
        <v>0.0</v>
      </c>
      <c r="Y191" s="74">
        <v>1.0</v>
      </c>
      <c r="Z191" s="74">
        <v>0.0</v>
      </c>
      <c r="AA191" s="74">
        <v>0.0</v>
      </c>
      <c r="AB191" s="74">
        <v>0.0</v>
      </c>
      <c r="AC191" s="74">
        <v>1.0</v>
      </c>
      <c r="AD191" s="74">
        <v>0.0</v>
      </c>
      <c r="AE191" s="74">
        <v>0.0</v>
      </c>
      <c r="AF191" s="74">
        <v>0.0</v>
      </c>
      <c r="AG191" s="13">
        <f t="shared" si="38"/>
        <v>4</v>
      </c>
      <c r="AH191" s="5"/>
      <c r="AI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1.0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2.0</v>
      </c>
      <c r="AB192" s="74">
        <v>1.0</v>
      </c>
      <c r="AC192" s="74">
        <v>0.0</v>
      </c>
      <c r="AD192" s="74">
        <v>0.0</v>
      </c>
      <c r="AE192" s="74">
        <v>0.0</v>
      </c>
      <c r="AF192" s="74">
        <v>0.0</v>
      </c>
      <c r="AG192" s="13">
        <f t="shared" si="38"/>
        <v>4</v>
      </c>
      <c r="AH192" s="5"/>
      <c r="AI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13">
        <f t="shared" si="38"/>
        <v>0</v>
      </c>
      <c r="AH193" s="5"/>
      <c r="AI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13">
        <f t="shared" si="38"/>
        <v>0</v>
      </c>
      <c r="AH194" s="5"/>
      <c r="AI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1.0</v>
      </c>
      <c r="AF195" s="74">
        <v>0.0</v>
      </c>
      <c r="AG195" s="13">
        <f t="shared" si="38"/>
        <v>1</v>
      </c>
      <c r="AH195" s="5"/>
      <c r="AI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1.0</v>
      </c>
      <c r="AD196" s="74">
        <v>0.0</v>
      </c>
      <c r="AE196" s="74">
        <v>0.0</v>
      </c>
      <c r="AF196" s="74">
        <v>0.0</v>
      </c>
      <c r="AG196" s="13">
        <f t="shared" si="38"/>
        <v>1</v>
      </c>
      <c r="AH196" s="1"/>
      <c r="AI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1.0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13">
        <f t="shared" si="38"/>
        <v>1</v>
      </c>
      <c r="AH197" s="1"/>
      <c r="AI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13">
        <f t="shared" si="38"/>
        <v>0</v>
      </c>
      <c r="AH198" s="1"/>
      <c r="AI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G199" si="39">SUM(E189:E198)</f>
        <v>1</v>
      </c>
      <c r="F199" s="13">
        <f t="shared" si="39"/>
        <v>1</v>
      </c>
      <c r="G199" s="13">
        <f t="shared" si="39"/>
        <v>2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2</v>
      </c>
      <c r="M199" s="13">
        <f t="shared" si="39"/>
        <v>1</v>
      </c>
      <c r="N199" s="13">
        <f t="shared" si="39"/>
        <v>2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1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1</v>
      </c>
      <c r="AA199" s="13">
        <f t="shared" si="39"/>
        <v>4</v>
      </c>
      <c r="AB199" s="13">
        <f t="shared" si="39"/>
        <v>1</v>
      </c>
      <c r="AC199" s="13">
        <f t="shared" si="39"/>
        <v>3</v>
      </c>
      <c r="AD199" s="13">
        <f t="shared" si="39"/>
        <v>3</v>
      </c>
      <c r="AE199" s="13">
        <f t="shared" si="39"/>
        <v>1</v>
      </c>
      <c r="AF199" s="13">
        <f t="shared" si="39"/>
        <v>1</v>
      </c>
      <c r="AG199" s="13">
        <f t="shared" si="39"/>
        <v>32</v>
      </c>
      <c r="AH199" s="52"/>
      <c r="AI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5"/>
      <c r="AI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4.0</v>
      </c>
      <c r="F201" s="74">
        <v>2.0</v>
      </c>
      <c r="G201" s="74">
        <v>1.0</v>
      </c>
      <c r="H201" s="74">
        <v>1.0</v>
      </c>
      <c r="I201" s="74">
        <v>3.0</v>
      </c>
      <c r="J201" s="74">
        <v>3.0</v>
      </c>
      <c r="K201" s="74">
        <v>0.0</v>
      </c>
      <c r="L201" s="74">
        <v>2.0</v>
      </c>
      <c r="M201" s="74">
        <v>2.0</v>
      </c>
      <c r="N201" s="74">
        <v>2.0</v>
      </c>
      <c r="O201" s="74">
        <v>3.0</v>
      </c>
      <c r="P201" s="74">
        <v>1.0</v>
      </c>
      <c r="Q201" s="74">
        <v>5.0</v>
      </c>
      <c r="R201" s="74">
        <v>1.0</v>
      </c>
      <c r="S201" s="74">
        <v>3.0</v>
      </c>
      <c r="T201" s="74">
        <v>4.0</v>
      </c>
      <c r="U201" s="74">
        <v>3.0</v>
      </c>
      <c r="V201" s="74">
        <v>2.0</v>
      </c>
      <c r="W201" s="74">
        <v>2.0</v>
      </c>
      <c r="X201" s="74">
        <v>3.0</v>
      </c>
      <c r="Y201" s="74">
        <v>9.0</v>
      </c>
      <c r="Z201" s="74">
        <v>6.0</v>
      </c>
      <c r="AA201" s="74">
        <v>5.0</v>
      </c>
      <c r="AB201" s="74">
        <v>6.0</v>
      </c>
      <c r="AC201" s="74">
        <v>9.0</v>
      </c>
      <c r="AD201" s="74">
        <v>10.0</v>
      </c>
      <c r="AE201" s="74">
        <v>7.0</v>
      </c>
      <c r="AF201" s="74">
        <v>0.0</v>
      </c>
      <c r="AG201" s="13">
        <f t="shared" ref="AG201:AG210" si="40">SUM(E201:AF201)</f>
        <v>99</v>
      </c>
      <c r="AH201" s="5"/>
      <c r="AI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19.0</v>
      </c>
      <c r="F202" s="74">
        <v>5.0</v>
      </c>
      <c r="G202" s="74">
        <v>13.0</v>
      </c>
      <c r="H202" s="74">
        <v>27.0</v>
      </c>
      <c r="I202" s="74">
        <v>2.0</v>
      </c>
      <c r="J202" s="74">
        <v>5.0</v>
      </c>
      <c r="K202" s="74">
        <v>3.0</v>
      </c>
      <c r="L202" s="74">
        <v>9.0</v>
      </c>
      <c r="M202" s="74">
        <v>11.0</v>
      </c>
      <c r="N202" s="74">
        <v>11.0</v>
      </c>
      <c r="O202" s="74">
        <v>4.0</v>
      </c>
      <c r="P202" s="74">
        <v>6.0</v>
      </c>
      <c r="Q202" s="74">
        <v>14.0</v>
      </c>
      <c r="R202" s="74">
        <v>6.0</v>
      </c>
      <c r="S202" s="74">
        <v>3.0</v>
      </c>
      <c r="T202" s="74">
        <v>9.0</v>
      </c>
      <c r="U202" s="74">
        <v>11.0</v>
      </c>
      <c r="V202" s="74">
        <v>11.0</v>
      </c>
      <c r="W202" s="74">
        <v>6.0</v>
      </c>
      <c r="X202" s="74">
        <v>8.0</v>
      </c>
      <c r="Y202" s="74">
        <v>12.0</v>
      </c>
      <c r="Z202" s="74">
        <v>6.0</v>
      </c>
      <c r="AA202" s="74">
        <v>9.0</v>
      </c>
      <c r="AB202" s="74">
        <v>8.0</v>
      </c>
      <c r="AC202" s="74">
        <v>11.0</v>
      </c>
      <c r="AD202" s="74">
        <v>15.0</v>
      </c>
      <c r="AE202" s="74">
        <v>3.0</v>
      </c>
      <c r="AF202" s="74">
        <v>4.0</v>
      </c>
      <c r="AG202" s="13">
        <f t="shared" si="40"/>
        <v>251</v>
      </c>
      <c r="AH202" s="5"/>
      <c r="AI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0.0</v>
      </c>
      <c r="G203" s="74">
        <v>2.0</v>
      </c>
      <c r="H203" s="74">
        <v>0.0</v>
      </c>
      <c r="I203" s="74">
        <v>8.0</v>
      </c>
      <c r="J203" s="74">
        <v>3.0</v>
      </c>
      <c r="K203" s="74">
        <v>0.0</v>
      </c>
      <c r="L203" s="74">
        <v>0.0</v>
      </c>
      <c r="M203" s="74">
        <v>0.0</v>
      </c>
      <c r="N203" s="74">
        <v>2.0</v>
      </c>
      <c r="O203" s="74">
        <v>1.0</v>
      </c>
      <c r="P203" s="74">
        <v>2.0</v>
      </c>
      <c r="Q203" s="74">
        <v>2.0</v>
      </c>
      <c r="R203" s="74">
        <v>0.0</v>
      </c>
      <c r="S203" s="74">
        <v>1.0</v>
      </c>
      <c r="T203" s="74">
        <v>1.0</v>
      </c>
      <c r="U203" s="74">
        <v>1.0</v>
      </c>
      <c r="V203" s="74">
        <v>0.0</v>
      </c>
      <c r="W203" s="74">
        <v>1.0</v>
      </c>
      <c r="X203" s="74">
        <v>1.0</v>
      </c>
      <c r="Y203" s="74">
        <v>1.0</v>
      </c>
      <c r="Z203" s="74">
        <v>1.0</v>
      </c>
      <c r="AA203" s="74">
        <v>0.0</v>
      </c>
      <c r="AB203" s="74">
        <v>0.0</v>
      </c>
      <c r="AC203" s="74">
        <v>1.0</v>
      </c>
      <c r="AD203" s="74">
        <v>4.0</v>
      </c>
      <c r="AE203" s="74">
        <v>0.0</v>
      </c>
      <c r="AF203" s="74">
        <v>2.0</v>
      </c>
      <c r="AG203" s="13">
        <f t="shared" si="40"/>
        <v>35</v>
      </c>
      <c r="AH203" s="5"/>
      <c r="AI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1.0</v>
      </c>
      <c r="R204" s="74">
        <v>2.0</v>
      </c>
      <c r="S204" s="74">
        <v>0.0</v>
      </c>
      <c r="T204" s="74">
        <v>1.0</v>
      </c>
      <c r="U204" s="74">
        <v>0.0</v>
      </c>
      <c r="V204" s="74">
        <v>1.0</v>
      </c>
      <c r="W204" s="74">
        <v>1.0</v>
      </c>
      <c r="X204" s="74">
        <v>0.0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0.0</v>
      </c>
      <c r="AD204" s="74">
        <v>2.0</v>
      </c>
      <c r="AE204" s="74">
        <v>0.0</v>
      </c>
      <c r="AF204" s="74">
        <v>0.0</v>
      </c>
      <c r="AG204" s="13">
        <f t="shared" si="40"/>
        <v>9</v>
      </c>
      <c r="AH204" s="5"/>
      <c r="AI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1.0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2.0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13">
        <f t="shared" si="40"/>
        <v>3</v>
      </c>
      <c r="AH205" s="5"/>
      <c r="AI205" s="5"/>
    </row>
    <row r="206" ht="12.75" customHeight="1">
      <c r="A206" s="18"/>
      <c r="B206" s="55"/>
      <c r="C206" s="50" t="s">
        <v>158</v>
      </c>
      <c r="D206" s="57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1.0</v>
      </c>
      <c r="S206" s="74">
        <v>1.0</v>
      </c>
      <c r="T206" s="74">
        <v>0.0</v>
      </c>
      <c r="U206" s="74">
        <v>0.0</v>
      </c>
      <c r="V206" s="74">
        <v>1.0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1.0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1.0</v>
      </c>
      <c r="AG206" s="13">
        <f t="shared" si="40"/>
        <v>6</v>
      </c>
      <c r="AH206" s="5"/>
      <c r="AI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1.0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1.0</v>
      </c>
      <c r="W207" s="74">
        <v>0.0</v>
      </c>
      <c r="X207" s="74">
        <v>0.0</v>
      </c>
      <c r="Y207" s="74">
        <v>0.0</v>
      </c>
      <c r="Z207" s="74">
        <v>1.0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0.0</v>
      </c>
      <c r="AG207" s="13">
        <f t="shared" si="40"/>
        <v>3</v>
      </c>
      <c r="AH207" s="1"/>
      <c r="AI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2.0</v>
      </c>
      <c r="K208" s="74">
        <v>0.0</v>
      </c>
      <c r="L208" s="74">
        <v>0.0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0.0</v>
      </c>
      <c r="AB208" s="74">
        <v>0.0</v>
      </c>
      <c r="AC208" s="74">
        <v>0.0</v>
      </c>
      <c r="AD208" s="74">
        <v>1.0</v>
      </c>
      <c r="AE208" s="74">
        <v>0.0</v>
      </c>
      <c r="AF208" s="74">
        <v>1.0</v>
      </c>
      <c r="AG208" s="13">
        <f t="shared" si="40"/>
        <v>4</v>
      </c>
      <c r="AH208" s="52"/>
      <c r="AI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13">
        <f t="shared" si="40"/>
        <v>0</v>
      </c>
      <c r="AH209" s="52"/>
      <c r="AI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1.0</v>
      </c>
      <c r="T210" s="74">
        <v>0.0</v>
      </c>
      <c r="U210" s="74">
        <v>0.0</v>
      </c>
      <c r="V210" s="74">
        <v>0.0</v>
      </c>
      <c r="W210" s="74">
        <v>0.0</v>
      </c>
      <c r="X210" s="74">
        <v>1.0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1.0</v>
      </c>
      <c r="AD210" s="74">
        <v>0.0</v>
      </c>
      <c r="AE210" s="74">
        <v>0.0</v>
      </c>
      <c r="AF210" s="74">
        <v>0.0</v>
      </c>
      <c r="AG210" s="13">
        <f t="shared" si="40"/>
        <v>3</v>
      </c>
      <c r="AH210" s="52"/>
      <c r="AI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G211" si="41">SUM(E201:E210)</f>
        <v>25</v>
      </c>
      <c r="F211" s="13">
        <f t="shared" si="41"/>
        <v>7</v>
      </c>
      <c r="G211" s="13">
        <f t="shared" si="41"/>
        <v>17</v>
      </c>
      <c r="H211" s="13">
        <f t="shared" si="41"/>
        <v>28</v>
      </c>
      <c r="I211" s="13">
        <f t="shared" si="41"/>
        <v>14</v>
      </c>
      <c r="J211" s="13">
        <f t="shared" si="41"/>
        <v>13</v>
      </c>
      <c r="K211" s="13">
        <f t="shared" si="41"/>
        <v>3</v>
      </c>
      <c r="L211" s="13">
        <f t="shared" si="41"/>
        <v>11</v>
      </c>
      <c r="M211" s="13">
        <f t="shared" si="41"/>
        <v>13</v>
      </c>
      <c r="N211" s="13">
        <f t="shared" si="41"/>
        <v>15</v>
      </c>
      <c r="O211" s="13">
        <f t="shared" si="41"/>
        <v>8</v>
      </c>
      <c r="P211" s="13">
        <f t="shared" si="41"/>
        <v>10</v>
      </c>
      <c r="Q211" s="13">
        <f t="shared" si="41"/>
        <v>24</v>
      </c>
      <c r="R211" s="13">
        <f t="shared" si="41"/>
        <v>10</v>
      </c>
      <c r="S211" s="13">
        <f t="shared" si="41"/>
        <v>9</v>
      </c>
      <c r="T211" s="13">
        <f t="shared" si="41"/>
        <v>15</v>
      </c>
      <c r="U211" s="13">
        <f t="shared" si="41"/>
        <v>15</v>
      </c>
      <c r="V211" s="13">
        <f t="shared" si="41"/>
        <v>16</v>
      </c>
      <c r="W211" s="13">
        <f t="shared" si="41"/>
        <v>10</v>
      </c>
      <c r="X211" s="13">
        <f t="shared" si="41"/>
        <v>13</v>
      </c>
      <c r="Y211" s="13">
        <f t="shared" si="41"/>
        <v>22</v>
      </c>
      <c r="Z211" s="13">
        <f t="shared" si="41"/>
        <v>14</v>
      </c>
      <c r="AA211" s="13">
        <f t="shared" si="41"/>
        <v>15</v>
      </c>
      <c r="AB211" s="13">
        <f t="shared" si="41"/>
        <v>14</v>
      </c>
      <c r="AC211" s="13">
        <f t="shared" si="41"/>
        <v>22</v>
      </c>
      <c r="AD211" s="13">
        <f t="shared" si="41"/>
        <v>32</v>
      </c>
      <c r="AE211" s="13">
        <f t="shared" si="41"/>
        <v>10</v>
      </c>
      <c r="AF211" s="13">
        <f t="shared" si="41"/>
        <v>8</v>
      </c>
      <c r="AG211" s="13">
        <f t="shared" si="41"/>
        <v>413</v>
      </c>
      <c r="AH211" s="5"/>
      <c r="AI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5"/>
      <c r="AI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0.0</v>
      </c>
      <c r="G213" s="74">
        <v>4.0</v>
      </c>
      <c r="H213" s="74">
        <v>3.0</v>
      </c>
      <c r="I213" s="74">
        <v>2.0</v>
      </c>
      <c r="J213" s="74">
        <v>0.0</v>
      </c>
      <c r="K213" s="74">
        <v>0.0</v>
      </c>
      <c r="L213" s="74">
        <v>1.0</v>
      </c>
      <c r="M213" s="74">
        <v>1.0</v>
      </c>
      <c r="N213" s="74">
        <v>2.0</v>
      </c>
      <c r="O213" s="74">
        <v>1.0</v>
      </c>
      <c r="P213" s="74">
        <v>1.0</v>
      </c>
      <c r="Q213" s="74">
        <v>2.0</v>
      </c>
      <c r="R213" s="74">
        <v>3.0</v>
      </c>
      <c r="S213" s="74">
        <v>0.0</v>
      </c>
      <c r="T213" s="74">
        <v>3.0</v>
      </c>
      <c r="U213" s="74">
        <v>4.0</v>
      </c>
      <c r="V213" s="74">
        <v>0.0</v>
      </c>
      <c r="W213" s="74">
        <v>3.0</v>
      </c>
      <c r="X213" s="74">
        <v>2.0</v>
      </c>
      <c r="Y213" s="74">
        <v>1.0</v>
      </c>
      <c r="Z213" s="74">
        <v>2.0</v>
      </c>
      <c r="AA213" s="74">
        <v>2.0</v>
      </c>
      <c r="AB213" s="74">
        <v>4.0</v>
      </c>
      <c r="AC213" s="74">
        <v>1.0</v>
      </c>
      <c r="AD213" s="74">
        <v>0.0</v>
      </c>
      <c r="AE213" s="74">
        <v>0.0</v>
      </c>
      <c r="AF213" s="74">
        <v>2.0</v>
      </c>
      <c r="AG213" s="13">
        <f t="shared" ref="AG213:AG216" si="42">SUM(E213:AF213)</f>
        <v>45</v>
      </c>
      <c r="AH213" s="5"/>
      <c r="AI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2.0</v>
      </c>
      <c r="G214" s="74">
        <v>1.0</v>
      </c>
      <c r="H214" s="74">
        <v>1.0</v>
      </c>
      <c r="I214" s="74">
        <v>1.0</v>
      </c>
      <c r="J214" s="74">
        <v>2.0</v>
      </c>
      <c r="K214" s="74">
        <v>0.0</v>
      </c>
      <c r="L214" s="74">
        <v>2.0</v>
      </c>
      <c r="M214" s="74">
        <v>0.0</v>
      </c>
      <c r="N214" s="74">
        <v>2.0</v>
      </c>
      <c r="O214" s="74">
        <v>3.0</v>
      </c>
      <c r="P214" s="74">
        <v>0.0</v>
      </c>
      <c r="Q214" s="74">
        <v>1.0</v>
      </c>
      <c r="R214" s="74">
        <v>0.0</v>
      </c>
      <c r="S214" s="74">
        <v>0.0</v>
      </c>
      <c r="T214" s="74">
        <v>0.0</v>
      </c>
      <c r="U214" s="74">
        <v>1.0</v>
      </c>
      <c r="V214" s="74">
        <v>0.0</v>
      </c>
      <c r="W214" s="74">
        <v>1.0</v>
      </c>
      <c r="X214" s="74">
        <v>1.0</v>
      </c>
      <c r="Y214" s="74">
        <v>1.0</v>
      </c>
      <c r="Z214" s="74">
        <v>2.0</v>
      </c>
      <c r="AA214" s="74">
        <v>1.0</v>
      </c>
      <c r="AB214" s="74">
        <v>2.0</v>
      </c>
      <c r="AC214" s="74">
        <v>1.0</v>
      </c>
      <c r="AD214" s="74">
        <v>2.0</v>
      </c>
      <c r="AE214" s="74">
        <v>4.0</v>
      </c>
      <c r="AF214" s="74">
        <v>6.0</v>
      </c>
      <c r="AG214" s="13">
        <f t="shared" si="42"/>
        <v>37</v>
      </c>
      <c r="AH214" s="5"/>
      <c r="AI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2.0</v>
      </c>
      <c r="G215" s="74">
        <v>0.0</v>
      </c>
      <c r="H215" s="74">
        <v>0.0</v>
      </c>
      <c r="I215" s="74">
        <v>0.0</v>
      </c>
      <c r="J215" s="74">
        <v>0.0</v>
      </c>
      <c r="K215" s="74">
        <v>1.0</v>
      </c>
      <c r="L215" s="74">
        <v>1.0</v>
      </c>
      <c r="M215" s="74">
        <v>3.0</v>
      </c>
      <c r="N215" s="74">
        <v>0.0</v>
      </c>
      <c r="O215" s="74">
        <v>1.0</v>
      </c>
      <c r="P215" s="74">
        <v>1.0</v>
      </c>
      <c r="Q215" s="74">
        <v>1.0</v>
      </c>
      <c r="R215" s="74">
        <v>0.0</v>
      </c>
      <c r="S215" s="74">
        <v>2.0</v>
      </c>
      <c r="T215" s="74">
        <v>1.0</v>
      </c>
      <c r="U215" s="74">
        <v>1.0</v>
      </c>
      <c r="V215" s="74">
        <v>1.0</v>
      </c>
      <c r="W215" s="74">
        <v>0.0</v>
      </c>
      <c r="X215" s="74">
        <v>1.0</v>
      </c>
      <c r="Y215" s="74">
        <v>1.0</v>
      </c>
      <c r="Z215" s="74">
        <v>0.0</v>
      </c>
      <c r="AA215" s="74">
        <v>0.0</v>
      </c>
      <c r="AB215" s="74">
        <v>2.0</v>
      </c>
      <c r="AC215" s="74">
        <v>1.0</v>
      </c>
      <c r="AD215" s="74">
        <v>2.0</v>
      </c>
      <c r="AE215" s="74">
        <v>0.0</v>
      </c>
      <c r="AF215" s="74">
        <v>1.0</v>
      </c>
      <c r="AG215" s="13">
        <f t="shared" si="42"/>
        <v>24</v>
      </c>
      <c r="AH215" s="5"/>
      <c r="AI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1.0</v>
      </c>
      <c r="R216" s="74">
        <v>0.0</v>
      </c>
      <c r="S216" s="74">
        <v>0.0</v>
      </c>
      <c r="T216" s="74">
        <v>0.0</v>
      </c>
      <c r="U216" s="74">
        <v>0.0</v>
      </c>
      <c r="V216" s="74">
        <v>1.0</v>
      </c>
      <c r="W216" s="74">
        <v>1.0</v>
      </c>
      <c r="X216" s="74">
        <v>0.0</v>
      </c>
      <c r="Y216" s="74">
        <v>0.0</v>
      </c>
      <c r="Z216" s="74">
        <v>0.0</v>
      </c>
      <c r="AA216" s="74">
        <v>0.0</v>
      </c>
      <c r="AB216" s="74">
        <v>1.0</v>
      </c>
      <c r="AC216" s="74">
        <v>0.0</v>
      </c>
      <c r="AD216" s="74">
        <v>0.0</v>
      </c>
      <c r="AE216" s="74">
        <v>0.0</v>
      </c>
      <c r="AF216" s="74">
        <v>0.0</v>
      </c>
      <c r="AG216" s="13">
        <f t="shared" si="42"/>
        <v>4</v>
      </c>
      <c r="AH216" s="5"/>
      <c r="AI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81"/>
      <c r="AH217" s="5"/>
      <c r="AI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81"/>
      <c r="AH218" s="1"/>
      <c r="AI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81"/>
      <c r="AH219" s="52"/>
      <c r="AI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81"/>
      <c r="AH220" s="5"/>
      <c r="AI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81"/>
      <c r="AH221" s="5"/>
      <c r="AI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81"/>
      <c r="AH222" s="5"/>
      <c r="AI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F223" si="43">SUM(E213:E220)</f>
        <v>2</v>
      </c>
      <c r="F223" s="13">
        <f t="shared" si="43"/>
        <v>4</v>
      </c>
      <c r="G223" s="13">
        <f t="shared" si="43"/>
        <v>5</v>
      </c>
      <c r="H223" s="13">
        <f t="shared" si="43"/>
        <v>4</v>
      </c>
      <c r="I223" s="13">
        <f t="shared" si="43"/>
        <v>3</v>
      </c>
      <c r="J223" s="13">
        <f t="shared" si="43"/>
        <v>2</v>
      </c>
      <c r="K223" s="13">
        <f t="shared" si="43"/>
        <v>1</v>
      </c>
      <c r="L223" s="13">
        <f t="shared" si="43"/>
        <v>4</v>
      </c>
      <c r="M223" s="13">
        <f t="shared" si="43"/>
        <v>4</v>
      </c>
      <c r="N223" s="13">
        <f t="shared" si="43"/>
        <v>4</v>
      </c>
      <c r="O223" s="13">
        <f t="shared" si="43"/>
        <v>5</v>
      </c>
      <c r="P223" s="13">
        <f t="shared" si="43"/>
        <v>2</v>
      </c>
      <c r="Q223" s="13">
        <f t="shared" si="43"/>
        <v>5</v>
      </c>
      <c r="R223" s="13">
        <f t="shared" si="43"/>
        <v>3</v>
      </c>
      <c r="S223" s="13">
        <f t="shared" si="43"/>
        <v>2</v>
      </c>
      <c r="T223" s="13">
        <f t="shared" si="43"/>
        <v>4</v>
      </c>
      <c r="U223" s="13">
        <f t="shared" si="43"/>
        <v>6</v>
      </c>
      <c r="V223" s="13">
        <f t="shared" si="43"/>
        <v>2</v>
      </c>
      <c r="W223" s="13">
        <f t="shared" si="43"/>
        <v>5</v>
      </c>
      <c r="X223" s="13">
        <f t="shared" si="43"/>
        <v>4</v>
      </c>
      <c r="Y223" s="13">
        <f t="shared" si="43"/>
        <v>3</v>
      </c>
      <c r="Z223" s="13">
        <f t="shared" si="43"/>
        <v>4</v>
      </c>
      <c r="AA223" s="13">
        <f t="shared" si="43"/>
        <v>3</v>
      </c>
      <c r="AB223" s="13">
        <f t="shared" si="43"/>
        <v>9</v>
      </c>
      <c r="AC223" s="13">
        <f t="shared" si="43"/>
        <v>3</v>
      </c>
      <c r="AD223" s="13">
        <f t="shared" si="43"/>
        <v>4</v>
      </c>
      <c r="AE223" s="13">
        <f t="shared" si="43"/>
        <v>4</v>
      </c>
      <c r="AF223" s="13">
        <f t="shared" si="43"/>
        <v>9</v>
      </c>
      <c r="AG223" s="13">
        <f>SUM(E223:AF223)</f>
        <v>110</v>
      </c>
      <c r="AH223" s="5"/>
      <c r="AI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5"/>
      <c r="AI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1.0</v>
      </c>
      <c r="T225" s="74">
        <v>1.0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1.0</v>
      </c>
      <c r="AC225" s="74">
        <v>0.0</v>
      </c>
      <c r="AD225" s="74">
        <v>1.0</v>
      </c>
      <c r="AE225" s="74">
        <v>0.0</v>
      </c>
      <c r="AF225" s="74">
        <v>1.0</v>
      </c>
      <c r="AG225" s="13">
        <f t="shared" ref="AG225:AG229" si="44">SUM(E225:AF225)</f>
        <v>5</v>
      </c>
      <c r="AH225" s="5"/>
      <c r="AI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1.0</v>
      </c>
      <c r="H226" s="74">
        <v>0.0</v>
      </c>
      <c r="I226" s="74">
        <v>0.0</v>
      </c>
      <c r="J226" s="74">
        <v>0.0</v>
      </c>
      <c r="K226" s="74">
        <v>1.0</v>
      </c>
      <c r="L226" s="74">
        <v>0.0</v>
      </c>
      <c r="M226" s="74">
        <v>3.0</v>
      </c>
      <c r="N226" s="74">
        <v>0.0</v>
      </c>
      <c r="O226" s="74">
        <v>0.0</v>
      </c>
      <c r="P226" s="74">
        <v>0.0</v>
      </c>
      <c r="Q226" s="74">
        <v>1.0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2.0</v>
      </c>
      <c r="Z226" s="74">
        <v>1.0</v>
      </c>
      <c r="AA226" s="74">
        <v>7.0</v>
      </c>
      <c r="AB226" s="74">
        <v>1.0</v>
      </c>
      <c r="AC226" s="74">
        <v>1.0</v>
      </c>
      <c r="AD226" s="74">
        <v>0.0</v>
      </c>
      <c r="AE226" s="74">
        <v>0.0</v>
      </c>
      <c r="AF226" s="74">
        <v>2.0</v>
      </c>
      <c r="AG226" s="13">
        <f t="shared" si="44"/>
        <v>20</v>
      </c>
      <c r="AH226" s="5"/>
      <c r="AI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1.0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1.0</v>
      </c>
      <c r="AD227" s="74">
        <v>0.0</v>
      </c>
      <c r="AE227" s="74">
        <v>0.0</v>
      </c>
      <c r="AF227" s="74">
        <v>0.0</v>
      </c>
      <c r="AG227" s="13">
        <f t="shared" si="44"/>
        <v>2</v>
      </c>
      <c r="AH227" s="5"/>
      <c r="AI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13">
        <f t="shared" si="44"/>
        <v>0</v>
      </c>
      <c r="AH228" s="5"/>
      <c r="AI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1.0</v>
      </c>
      <c r="H229" s="74">
        <v>0.0</v>
      </c>
      <c r="I229" s="74">
        <v>0.0</v>
      </c>
      <c r="J229" s="74">
        <v>0.0</v>
      </c>
      <c r="K229" s="74">
        <v>1.0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1.0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13">
        <f t="shared" si="44"/>
        <v>3</v>
      </c>
      <c r="AH229" s="1"/>
      <c r="AI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81"/>
      <c r="AH230" s="52"/>
      <c r="AI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81"/>
      <c r="AH231" s="5"/>
      <c r="AI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81"/>
      <c r="AH232" s="5"/>
      <c r="AI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81"/>
      <c r="AH233" s="5"/>
      <c r="AI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81"/>
      <c r="AH234" s="5"/>
      <c r="AI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F235" si="45">SUM(E225:E232)</f>
        <v>0</v>
      </c>
      <c r="F235" s="13">
        <f t="shared" si="45"/>
        <v>0</v>
      </c>
      <c r="G235" s="13">
        <f t="shared" si="45"/>
        <v>2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3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1</v>
      </c>
      <c r="T235" s="13">
        <f t="shared" si="45"/>
        <v>1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0</v>
      </c>
      <c r="Y235" s="13">
        <f t="shared" si="45"/>
        <v>2</v>
      </c>
      <c r="Z235" s="13">
        <f t="shared" si="45"/>
        <v>1</v>
      </c>
      <c r="AA235" s="13">
        <f t="shared" si="45"/>
        <v>8</v>
      </c>
      <c r="AB235" s="13">
        <f t="shared" si="45"/>
        <v>2</v>
      </c>
      <c r="AC235" s="13">
        <f t="shared" si="45"/>
        <v>2</v>
      </c>
      <c r="AD235" s="13">
        <f t="shared" si="45"/>
        <v>1</v>
      </c>
      <c r="AE235" s="13">
        <f t="shared" si="45"/>
        <v>0</v>
      </c>
      <c r="AF235" s="13">
        <f t="shared" si="45"/>
        <v>3</v>
      </c>
      <c r="AG235" s="13">
        <f>SUM(E235:AF235)</f>
        <v>30</v>
      </c>
      <c r="AH235" s="5"/>
      <c r="AI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5"/>
      <c r="AI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5.0</v>
      </c>
      <c r="F237" s="74">
        <v>2.0</v>
      </c>
      <c r="G237" s="74">
        <v>1.0</v>
      </c>
      <c r="H237" s="74">
        <v>5.0</v>
      </c>
      <c r="I237" s="74">
        <v>3.0</v>
      </c>
      <c r="J237" s="74">
        <v>10.0</v>
      </c>
      <c r="K237" s="74">
        <v>1.0</v>
      </c>
      <c r="L237" s="74">
        <v>6.0</v>
      </c>
      <c r="M237" s="74">
        <v>2.0</v>
      </c>
      <c r="N237" s="74">
        <v>3.0</v>
      </c>
      <c r="O237" s="74">
        <v>4.0</v>
      </c>
      <c r="P237" s="74">
        <v>7.0</v>
      </c>
      <c r="Q237" s="74">
        <v>4.0</v>
      </c>
      <c r="R237" s="74">
        <v>5.0</v>
      </c>
      <c r="S237" s="74">
        <v>10.0</v>
      </c>
      <c r="T237" s="74">
        <v>10.0</v>
      </c>
      <c r="U237" s="74">
        <v>9.0</v>
      </c>
      <c r="V237" s="74">
        <v>7.0</v>
      </c>
      <c r="W237" s="74">
        <v>8.0</v>
      </c>
      <c r="X237" s="74">
        <v>7.0</v>
      </c>
      <c r="Y237" s="74">
        <v>8.0</v>
      </c>
      <c r="Z237" s="74">
        <v>7.0</v>
      </c>
      <c r="AA237" s="74">
        <v>5.0</v>
      </c>
      <c r="AB237" s="74">
        <v>4.0</v>
      </c>
      <c r="AC237" s="74">
        <v>13.0</v>
      </c>
      <c r="AD237" s="74">
        <v>3.0</v>
      </c>
      <c r="AE237" s="74">
        <v>1.0</v>
      </c>
      <c r="AF237" s="74">
        <v>4.0</v>
      </c>
      <c r="AG237" s="13">
        <f t="shared" ref="AG237:AG246" si="46">SUM(E237:AF237)</f>
        <v>154</v>
      </c>
      <c r="AH237" s="5"/>
      <c r="AI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4.0</v>
      </c>
      <c r="F238" s="74">
        <v>3.0</v>
      </c>
      <c r="G238" s="74">
        <v>8.0</v>
      </c>
      <c r="H238" s="74">
        <v>2.0</v>
      </c>
      <c r="I238" s="74">
        <v>5.0</v>
      </c>
      <c r="J238" s="74">
        <v>12.0</v>
      </c>
      <c r="K238" s="74">
        <v>4.0</v>
      </c>
      <c r="L238" s="74">
        <v>8.0</v>
      </c>
      <c r="M238" s="74">
        <v>6.0</v>
      </c>
      <c r="N238" s="74">
        <v>5.0</v>
      </c>
      <c r="O238" s="74">
        <v>6.0</v>
      </c>
      <c r="P238" s="74">
        <v>7.0</v>
      </c>
      <c r="Q238" s="74">
        <v>4.0</v>
      </c>
      <c r="R238" s="74">
        <v>7.0</v>
      </c>
      <c r="S238" s="74">
        <v>13.0</v>
      </c>
      <c r="T238" s="74">
        <v>11.0</v>
      </c>
      <c r="U238" s="74">
        <v>14.0</v>
      </c>
      <c r="V238" s="74">
        <v>14.0</v>
      </c>
      <c r="W238" s="74">
        <v>6.0</v>
      </c>
      <c r="X238" s="74">
        <v>12.0</v>
      </c>
      <c r="Y238" s="74">
        <v>7.0</v>
      </c>
      <c r="Z238" s="74">
        <v>8.0</v>
      </c>
      <c r="AA238" s="74">
        <v>6.0</v>
      </c>
      <c r="AB238" s="74">
        <v>1.0</v>
      </c>
      <c r="AC238" s="74">
        <v>13.0</v>
      </c>
      <c r="AD238" s="74">
        <v>7.0</v>
      </c>
      <c r="AE238" s="74">
        <v>0.0</v>
      </c>
      <c r="AF238" s="74">
        <v>4.0</v>
      </c>
      <c r="AG238" s="13">
        <f t="shared" si="46"/>
        <v>197</v>
      </c>
      <c r="AH238" s="5"/>
      <c r="AI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1.0</v>
      </c>
      <c r="G239" s="74">
        <v>3.0</v>
      </c>
      <c r="H239" s="74">
        <v>1.0</v>
      </c>
      <c r="I239" s="74">
        <v>2.0</v>
      </c>
      <c r="J239" s="74">
        <v>24.0</v>
      </c>
      <c r="K239" s="74">
        <v>4.0</v>
      </c>
      <c r="L239" s="74">
        <v>0.0</v>
      </c>
      <c r="M239" s="74">
        <v>1.0</v>
      </c>
      <c r="N239" s="74">
        <v>1.0</v>
      </c>
      <c r="O239" s="74">
        <v>3.0</v>
      </c>
      <c r="P239" s="74">
        <v>1.0</v>
      </c>
      <c r="Q239" s="74">
        <v>1.0</v>
      </c>
      <c r="R239" s="74">
        <v>0.0</v>
      </c>
      <c r="S239" s="74">
        <v>2.0</v>
      </c>
      <c r="T239" s="74">
        <v>4.0</v>
      </c>
      <c r="U239" s="74">
        <v>1.0</v>
      </c>
      <c r="V239" s="74">
        <v>5.0</v>
      </c>
      <c r="W239" s="74">
        <v>2.0</v>
      </c>
      <c r="X239" s="74">
        <v>2.0</v>
      </c>
      <c r="Y239" s="74">
        <v>3.0</v>
      </c>
      <c r="Z239" s="74">
        <v>1.0</v>
      </c>
      <c r="AA239" s="74">
        <v>1.0</v>
      </c>
      <c r="AB239" s="74">
        <v>0.0</v>
      </c>
      <c r="AC239" s="74">
        <v>0.0</v>
      </c>
      <c r="AD239" s="74">
        <v>0.0</v>
      </c>
      <c r="AE239" s="74">
        <v>0.0</v>
      </c>
      <c r="AF239" s="74">
        <v>1.0</v>
      </c>
      <c r="AG239" s="13">
        <f t="shared" si="46"/>
        <v>65</v>
      </c>
      <c r="AH239" s="5"/>
      <c r="AI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1.0</v>
      </c>
      <c r="P240" s="74">
        <v>0.0</v>
      </c>
      <c r="Q240" s="74">
        <v>1.0</v>
      </c>
      <c r="R240" s="74">
        <v>1.0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0.0</v>
      </c>
      <c r="AG240" s="13">
        <f t="shared" si="46"/>
        <v>3</v>
      </c>
      <c r="AH240" s="1"/>
      <c r="AI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0.0</v>
      </c>
      <c r="M241" s="74">
        <v>1.0</v>
      </c>
      <c r="N241" s="74">
        <v>1.0</v>
      </c>
      <c r="O241" s="74">
        <v>0.0</v>
      </c>
      <c r="P241" s="74">
        <v>0.0</v>
      </c>
      <c r="Q241" s="74">
        <v>1.0</v>
      </c>
      <c r="R241" s="74">
        <v>0.0</v>
      </c>
      <c r="S241" s="74">
        <v>0.0</v>
      </c>
      <c r="T241" s="74">
        <v>1.0</v>
      </c>
      <c r="U241" s="74">
        <v>1.0</v>
      </c>
      <c r="V241" s="74">
        <v>1.0</v>
      </c>
      <c r="W241" s="74">
        <v>0.0</v>
      </c>
      <c r="X241" s="74">
        <v>1.0</v>
      </c>
      <c r="Y241" s="74">
        <v>1.0</v>
      </c>
      <c r="Z241" s="74">
        <v>0.0</v>
      </c>
      <c r="AA241" s="74">
        <v>0.0</v>
      </c>
      <c r="AB241" s="74">
        <v>3.0</v>
      </c>
      <c r="AC241" s="74">
        <v>3.0</v>
      </c>
      <c r="AD241" s="74">
        <v>0.0</v>
      </c>
      <c r="AE241" s="74">
        <v>0.0</v>
      </c>
      <c r="AF241" s="74">
        <v>0.0</v>
      </c>
      <c r="AG241" s="13">
        <f t="shared" si="46"/>
        <v>15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1.0</v>
      </c>
      <c r="H242" s="74">
        <v>1.0</v>
      </c>
      <c r="I242" s="74">
        <v>1.0</v>
      </c>
      <c r="J242" s="74">
        <v>1.0</v>
      </c>
      <c r="K242" s="74">
        <v>0.0</v>
      </c>
      <c r="L242" s="74">
        <v>0.0</v>
      </c>
      <c r="M242" s="74">
        <v>0.0</v>
      </c>
      <c r="N242" s="74">
        <v>1.0</v>
      </c>
      <c r="O242" s="74">
        <v>0.0</v>
      </c>
      <c r="P242" s="74">
        <v>1.0</v>
      </c>
      <c r="Q242" s="74">
        <v>1.0</v>
      </c>
      <c r="R242" s="74">
        <v>2.0</v>
      </c>
      <c r="S242" s="74">
        <v>0.0</v>
      </c>
      <c r="T242" s="74">
        <v>1.0</v>
      </c>
      <c r="U242" s="74">
        <v>0.0</v>
      </c>
      <c r="V242" s="74">
        <v>2.0</v>
      </c>
      <c r="W242" s="74">
        <v>0.0</v>
      </c>
      <c r="X242" s="74">
        <v>0.0</v>
      </c>
      <c r="Y242" s="74">
        <v>1.0</v>
      </c>
      <c r="Z242" s="74">
        <v>0.0</v>
      </c>
      <c r="AA242" s="74">
        <v>2.0</v>
      </c>
      <c r="AB242" s="74">
        <v>0.0</v>
      </c>
      <c r="AC242" s="74">
        <v>4.0</v>
      </c>
      <c r="AD242" s="74">
        <v>1.0</v>
      </c>
      <c r="AE242" s="74">
        <v>1.0</v>
      </c>
      <c r="AF242" s="74">
        <v>0.0</v>
      </c>
      <c r="AG242" s="13">
        <f t="shared" si="46"/>
        <v>21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1.0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1.0</v>
      </c>
      <c r="Q243" s="74">
        <v>0.0</v>
      </c>
      <c r="R243" s="74">
        <v>0.0</v>
      </c>
      <c r="S243" s="74">
        <v>0.0</v>
      </c>
      <c r="T243" s="74">
        <v>0.0</v>
      </c>
      <c r="U243" s="74">
        <v>3.0</v>
      </c>
      <c r="V243" s="74">
        <v>1.0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1.0</v>
      </c>
      <c r="AC243" s="74">
        <v>3.0</v>
      </c>
      <c r="AD243" s="74">
        <v>0.0</v>
      </c>
      <c r="AE243" s="74">
        <v>0.0</v>
      </c>
      <c r="AF243" s="74">
        <v>0.0</v>
      </c>
      <c r="AG243" s="13">
        <f t="shared" si="46"/>
        <v>10</v>
      </c>
    </row>
    <row r="244" ht="12.75" customHeight="1">
      <c r="A244" s="18"/>
      <c r="B244" s="55"/>
      <c r="C244" s="50" t="s">
        <v>182</v>
      </c>
      <c r="D244" s="57"/>
      <c r="E244" s="74">
        <v>1.0</v>
      </c>
      <c r="F244" s="74">
        <v>0.0</v>
      </c>
      <c r="G244" s="74">
        <v>0.0</v>
      </c>
      <c r="H244" s="74">
        <v>1.0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1.0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1.0</v>
      </c>
      <c r="V244" s="74">
        <v>0.0</v>
      </c>
      <c r="W244" s="74">
        <v>0.0</v>
      </c>
      <c r="X244" s="74">
        <v>0.0</v>
      </c>
      <c r="Y244" s="74">
        <v>1.0</v>
      </c>
      <c r="Z244" s="74">
        <v>0.0</v>
      </c>
      <c r="AA244" s="74">
        <v>1.0</v>
      </c>
      <c r="AB244" s="74">
        <v>0.0</v>
      </c>
      <c r="AC244" s="74">
        <v>0.0</v>
      </c>
      <c r="AD244" s="74">
        <v>0.0</v>
      </c>
      <c r="AE244" s="74">
        <v>0.0</v>
      </c>
      <c r="AF244" s="74">
        <v>0.0</v>
      </c>
      <c r="AG244" s="13">
        <f t="shared" si="46"/>
        <v>6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1.0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0.0</v>
      </c>
      <c r="AG245" s="13">
        <f t="shared" si="46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1.0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1.0</v>
      </c>
      <c r="Q246" s="74">
        <v>1.0</v>
      </c>
      <c r="R246" s="74">
        <v>0.0</v>
      </c>
      <c r="S246" s="74">
        <v>0.0</v>
      </c>
      <c r="T246" s="74">
        <v>1.0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1.0</v>
      </c>
      <c r="AB246" s="74">
        <v>0.0</v>
      </c>
      <c r="AC246" s="74">
        <v>1.0</v>
      </c>
      <c r="AD246" s="74">
        <v>0.0</v>
      </c>
      <c r="AE246" s="74">
        <v>1.0</v>
      </c>
      <c r="AF246" s="74">
        <v>0.0</v>
      </c>
      <c r="AG246" s="13">
        <f t="shared" si="46"/>
        <v>7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G247" si="47">SUM(E237:E246)</f>
        <v>11</v>
      </c>
      <c r="F247" s="13">
        <f t="shared" si="47"/>
        <v>6</v>
      </c>
      <c r="G247" s="13">
        <f t="shared" si="47"/>
        <v>14</v>
      </c>
      <c r="H247" s="13">
        <f t="shared" si="47"/>
        <v>10</v>
      </c>
      <c r="I247" s="13">
        <f t="shared" si="47"/>
        <v>11</v>
      </c>
      <c r="J247" s="13">
        <f t="shared" si="47"/>
        <v>48</v>
      </c>
      <c r="K247" s="13">
        <f t="shared" si="47"/>
        <v>10</v>
      </c>
      <c r="L247" s="13">
        <f t="shared" si="47"/>
        <v>14</v>
      </c>
      <c r="M247" s="13">
        <f t="shared" si="47"/>
        <v>10</v>
      </c>
      <c r="N247" s="13">
        <f t="shared" si="47"/>
        <v>11</v>
      </c>
      <c r="O247" s="13">
        <f t="shared" si="47"/>
        <v>15</v>
      </c>
      <c r="P247" s="13">
        <f t="shared" si="47"/>
        <v>18</v>
      </c>
      <c r="Q247" s="13">
        <f t="shared" si="47"/>
        <v>13</v>
      </c>
      <c r="R247" s="13">
        <f t="shared" si="47"/>
        <v>15</v>
      </c>
      <c r="S247" s="13">
        <f t="shared" si="47"/>
        <v>25</v>
      </c>
      <c r="T247" s="13">
        <f t="shared" si="47"/>
        <v>28</v>
      </c>
      <c r="U247" s="13">
        <f t="shared" si="47"/>
        <v>29</v>
      </c>
      <c r="V247" s="13">
        <f t="shared" si="47"/>
        <v>30</v>
      </c>
      <c r="W247" s="13">
        <f t="shared" si="47"/>
        <v>16</v>
      </c>
      <c r="X247" s="13">
        <f t="shared" si="47"/>
        <v>22</v>
      </c>
      <c r="Y247" s="13">
        <f t="shared" si="47"/>
        <v>21</v>
      </c>
      <c r="Z247" s="13">
        <f t="shared" si="47"/>
        <v>16</v>
      </c>
      <c r="AA247" s="13">
        <f t="shared" si="47"/>
        <v>17</v>
      </c>
      <c r="AB247" s="13">
        <f t="shared" si="47"/>
        <v>9</v>
      </c>
      <c r="AC247" s="13">
        <f t="shared" si="47"/>
        <v>37</v>
      </c>
      <c r="AD247" s="13">
        <f t="shared" si="47"/>
        <v>11</v>
      </c>
      <c r="AE247" s="13">
        <f t="shared" si="47"/>
        <v>3</v>
      </c>
      <c r="AF247" s="13">
        <f t="shared" si="47"/>
        <v>9</v>
      </c>
      <c r="AG247" s="13">
        <f t="shared" si="47"/>
        <v>479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1.0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1.0</v>
      </c>
      <c r="T249" s="74">
        <v>0.0</v>
      </c>
      <c r="U249" s="74">
        <v>1.0</v>
      </c>
      <c r="V249" s="74">
        <v>0.0</v>
      </c>
      <c r="W249" s="74">
        <v>1.0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1.0</v>
      </c>
      <c r="AG249" s="13">
        <f t="shared" ref="AG249:AG252" si="48">SUM(E249:AF249)</f>
        <v>6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1.0</v>
      </c>
      <c r="AA250" s="74">
        <v>0.0</v>
      </c>
      <c r="AB250" s="74">
        <v>0.0</v>
      </c>
      <c r="AC250" s="74">
        <v>1.0</v>
      </c>
      <c r="AD250" s="74">
        <v>2.0</v>
      </c>
      <c r="AE250" s="74">
        <v>0.0</v>
      </c>
      <c r="AF250" s="74">
        <v>0.0</v>
      </c>
      <c r="AG250" s="13">
        <f t="shared" si="48"/>
        <v>4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1.0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1.0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13">
        <f t="shared" si="48"/>
        <v>2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1.0</v>
      </c>
      <c r="O252" s="74">
        <v>0.0</v>
      </c>
      <c r="P252" s="74">
        <v>0.0</v>
      </c>
      <c r="Q252" s="74">
        <v>0.0</v>
      </c>
      <c r="R252" s="74">
        <v>0.0</v>
      </c>
      <c r="S252" s="74">
        <v>1.0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13">
        <f t="shared" si="48"/>
        <v>2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F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1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2</v>
      </c>
      <c r="AE259" s="13">
        <f t="shared" si="49"/>
        <v>0</v>
      </c>
      <c r="AF259" s="13">
        <f t="shared" si="49"/>
        <v>1</v>
      </c>
      <c r="AG259" s="13">
        <f>SUM(E259:AF259)</f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F262" si="50">E55+E67+E79+E91+E103+E115+E127+E139+E151+E163+E175+E187+E199+E211+E223+E235+E247+E259</f>
        <v>187</v>
      </c>
      <c r="F262" s="19">
        <f t="shared" si="50"/>
        <v>152</v>
      </c>
      <c r="G262" s="19">
        <f t="shared" si="50"/>
        <v>138</v>
      </c>
      <c r="H262" s="19">
        <f t="shared" si="50"/>
        <v>154</v>
      </c>
      <c r="I262" s="19">
        <f t="shared" si="50"/>
        <v>178</v>
      </c>
      <c r="J262" s="19">
        <f t="shared" si="50"/>
        <v>225</v>
      </c>
      <c r="K262" s="19">
        <f t="shared" si="50"/>
        <v>147</v>
      </c>
      <c r="L262" s="19">
        <f t="shared" si="50"/>
        <v>129</v>
      </c>
      <c r="M262" s="19">
        <f t="shared" si="50"/>
        <v>156</v>
      </c>
      <c r="N262" s="19">
        <f t="shared" si="50"/>
        <v>152</v>
      </c>
      <c r="O262" s="19">
        <f t="shared" si="50"/>
        <v>129</v>
      </c>
      <c r="P262" s="19">
        <f t="shared" si="50"/>
        <v>148</v>
      </c>
      <c r="Q262" s="19">
        <f t="shared" si="50"/>
        <v>161</v>
      </c>
      <c r="R262" s="19">
        <f t="shared" si="50"/>
        <v>150</v>
      </c>
      <c r="S262" s="19">
        <f t="shared" si="50"/>
        <v>140</v>
      </c>
      <c r="T262" s="19">
        <f t="shared" si="50"/>
        <v>175</v>
      </c>
      <c r="U262" s="19">
        <f t="shared" si="50"/>
        <v>166</v>
      </c>
      <c r="V262" s="19">
        <f t="shared" si="50"/>
        <v>176</v>
      </c>
      <c r="W262" s="19">
        <f t="shared" si="50"/>
        <v>170</v>
      </c>
      <c r="X262" s="19">
        <f t="shared" si="50"/>
        <v>155</v>
      </c>
      <c r="Y262" s="19">
        <f t="shared" si="50"/>
        <v>186</v>
      </c>
      <c r="Z262" s="19">
        <f t="shared" si="50"/>
        <v>180</v>
      </c>
      <c r="AA262" s="19">
        <f t="shared" si="50"/>
        <v>142</v>
      </c>
      <c r="AB262" s="19">
        <f t="shared" si="50"/>
        <v>124</v>
      </c>
      <c r="AC262" s="19">
        <f t="shared" si="50"/>
        <v>169</v>
      </c>
      <c r="AD262" s="19">
        <f t="shared" si="50"/>
        <v>167</v>
      </c>
      <c r="AE262" s="19">
        <f t="shared" si="50"/>
        <v>182</v>
      </c>
      <c r="AF262" s="19">
        <f t="shared" si="50"/>
        <v>185</v>
      </c>
      <c r="AG262" s="13">
        <f t="shared" ref="AG262:AG264" si="51">SUM(E262:AF262)</f>
        <v>4523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17.0</v>
      </c>
      <c r="F263" s="74">
        <v>12.0</v>
      </c>
      <c r="G263" s="74">
        <v>36.0</v>
      </c>
      <c r="H263" s="74">
        <v>25.0</v>
      </c>
      <c r="I263" s="74">
        <v>45.0</v>
      </c>
      <c r="J263" s="74">
        <v>11.0</v>
      </c>
      <c r="K263" s="74">
        <v>18.0</v>
      </c>
      <c r="L263" s="74">
        <v>18.0</v>
      </c>
      <c r="M263" s="74">
        <v>33.0</v>
      </c>
      <c r="N263" s="74">
        <v>23.0</v>
      </c>
      <c r="O263" s="74">
        <v>22.0</v>
      </c>
      <c r="P263" s="74">
        <v>46.0</v>
      </c>
      <c r="Q263" s="74">
        <v>26.0</v>
      </c>
      <c r="R263" s="74">
        <v>23.0</v>
      </c>
      <c r="S263" s="74">
        <v>10.0</v>
      </c>
      <c r="T263" s="74">
        <v>33.0</v>
      </c>
      <c r="U263" s="74">
        <v>28.0</v>
      </c>
      <c r="V263" s="74">
        <v>18.0</v>
      </c>
      <c r="W263" s="74">
        <v>43.0</v>
      </c>
      <c r="X263" s="74">
        <v>32.0</v>
      </c>
      <c r="Y263" s="74">
        <v>21.0</v>
      </c>
      <c r="Z263" s="74">
        <v>11.0</v>
      </c>
      <c r="AA263" s="74">
        <v>18.0</v>
      </c>
      <c r="AB263" s="74">
        <v>102.0</v>
      </c>
      <c r="AC263" s="74">
        <v>23.0</v>
      </c>
      <c r="AD263" s="74">
        <v>7.0</v>
      </c>
      <c r="AE263" s="74">
        <v>8.0</v>
      </c>
      <c r="AF263" s="74">
        <v>8.0</v>
      </c>
      <c r="AG263" s="13">
        <f t="shared" si="51"/>
        <v>717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F264" si="52">SUM(E262:E263)</f>
        <v>204</v>
      </c>
      <c r="F264" s="13">
        <f t="shared" si="52"/>
        <v>164</v>
      </c>
      <c r="G264" s="13">
        <f t="shared" si="52"/>
        <v>174</v>
      </c>
      <c r="H264" s="13">
        <f t="shared" si="52"/>
        <v>179</v>
      </c>
      <c r="I264" s="13">
        <f t="shared" si="52"/>
        <v>223</v>
      </c>
      <c r="J264" s="13">
        <f t="shared" si="52"/>
        <v>236</v>
      </c>
      <c r="K264" s="13">
        <f t="shared" si="52"/>
        <v>165</v>
      </c>
      <c r="L264" s="13">
        <f t="shared" si="52"/>
        <v>147</v>
      </c>
      <c r="M264" s="13">
        <f t="shared" si="52"/>
        <v>189</v>
      </c>
      <c r="N264" s="13">
        <f t="shared" si="52"/>
        <v>175</v>
      </c>
      <c r="O264" s="13">
        <f t="shared" si="52"/>
        <v>151</v>
      </c>
      <c r="P264" s="13">
        <f t="shared" si="52"/>
        <v>194</v>
      </c>
      <c r="Q264" s="13">
        <f t="shared" si="52"/>
        <v>187</v>
      </c>
      <c r="R264" s="13">
        <f t="shared" si="52"/>
        <v>173</v>
      </c>
      <c r="S264" s="13">
        <f t="shared" si="52"/>
        <v>150</v>
      </c>
      <c r="T264" s="13">
        <f t="shared" si="52"/>
        <v>208</v>
      </c>
      <c r="U264" s="13">
        <f t="shared" si="52"/>
        <v>194</v>
      </c>
      <c r="V264" s="13">
        <f t="shared" si="52"/>
        <v>194</v>
      </c>
      <c r="W264" s="13">
        <f t="shared" si="52"/>
        <v>213</v>
      </c>
      <c r="X264" s="13">
        <f t="shared" si="52"/>
        <v>187</v>
      </c>
      <c r="Y264" s="13">
        <f t="shared" si="52"/>
        <v>207</v>
      </c>
      <c r="Z264" s="13">
        <f t="shared" si="52"/>
        <v>191</v>
      </c>
      <c r="AA264" s="13">
        <f t="shared" si="52"/>
        <v>160</v>
      </c>
      <c r="AB264" s="13">
        <f t="shared" si="52"/>
        <v>226</v>
      </c>
      <c r="AC264" s="13">
        <f t="shared" si="52"/>
        <v>192</v>
      </c>
      <c r="AD264" s="13">
        <f t="shared" si="52"/>
        <v>174</v>
      </c>
      <c r="AE264" s="13">
        <f t="shared" si="52"/>
        <v>190</v>
      </c>
      <c r="AF264" s="13">
        <f t="shared" si="52"/>
        <v>193</v>
      </c>
      <c r="AG264" s="13">
        <f t="shared" si="51"/>
        <v>5240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F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54">
    <cfRule type="containsBlanks" dxfId="1" priority="10">
      <formula>LEN(TRIM(E45))=0</formula>
    </cfRule>
  </conditionalFormatting>
  <conditionalFormatting sqref="E57:AF66">
    <cfRule type="containsBlanks" dxfId="1" priority="11">
      <formula>LEN(TRIM(E57))=0</formula>
    </cfRule>
  </conditionalFormatting>
  <conditionalFormatting sqref="E69:AF78">
    <cfRule type="containsBlanks" dxfId="1" priority="12">
      <formula>LEN(TRIM(E69))=0</formula>
    </cfRule>
  </conditionalFormatting>
  <conditionalFormatting sqref="E81:AF90">
    <cfRule type="containsBlanks" dxfId="1" priority="13">
      <formula>LEN(TRIM(E81))=0</formula>
    </cfRule>
  </conditionalFormatting>
  <conditionalFormatting sqref="E93:AF102">
    <cfRule type="containsBlanks" dxfId="1" priority="14">
      <formula>LEN(TRIM(E93))=0</formula>
    </cfRule>
  </conditionalFormatting>
  <conditionalFormatting sqref="E105:AF114">
    <cfRule type="containsBlanks" dxfId="1" priority="15">
      <formula>LEN(TRIM(E105))=0</formula>
    </cfRule>
  </conditionalFormatting>
  <conditionalFormatting sqref="E117:AF126">
    <cfRule type="containsBlanks" dxfId="1" priority="16">
      <formula>LEN(TRIM(E117))=0</formula>
    </cfRule>
  </conditionalFormatting>
  <conditionalFormatting sqref="E129:AF138">
    <cfRule type="containsBlanks" dxfId="1" priority="17">
      <formula>LEN(TRIM(E129))=0</formula>
    </cfRule>
  </conditionalFormatting>
  <conditionalFormatting sqref="E141:AF150">
    <cfRule type="containsBlanks" dxfId="1" priority="18">
      <formula>LEN(TRIM(E141))=0</formula>
    </cfRule>
  </conditionalFormatting>
  <conditionalFormatting sqref="E153:AF162">
    <cfRule type="containsBlanks" dxfId="1" priority="19">
      <formula>LEN(TRIM(E153))=0</formula>
    </cfRule>
  </conditionalFormatting>
  <conditionalFormatting sqref="E165:AF174">
    <cfRule type="containsBlanks" dxfId="1" priority="20">
      <formula>LEN(TRIM(E165))=0</formula>
    </cfRule>
  </conditionalFormatting>
  <conditionalFormatting sqref="E177:AF186">
    <cfRule type="containsBlanks" dxfId="1" priority="21">
      <formula>LEN(TRIM(E177))=0</formula>
    </cfRule>
  </conditionalFormatting>
  <conditionalFormatting sqref="E189:AF198">
    <cfRule type="containsBlanks" dxfId="1" priority="22">
      <formula>LEN(TRIM(E189))=0</formula>
    </cfRule>
  </conditionalFormatting>
  <conditionalFormatting sqref="E201:AF210">
    <cfRule type="containsBlanks" dxfId="1" priority="23">
      <formula>LEN(TRIM(E201))=0</formula>
    </cfRule>
  </conditionalFormatting>
  <conditionalFormatting sqref="E213:AF222">
    <cfRule type="containsBlanks" dxfId="1" priority="24">
      <formula>LEN(TRIM(E213))=0</formula>
    </cfRule>
  </conditionalFormatting>
  <conditionalFormatting sqref="E225:AF234">
    <cfRule type="containsBlanks" dxfId="1" priority="25">
      <formula>LEN(TRIM(E225))=0</formula>
    </cfRule>
  </conditionalFormatting>
  <conditionalFormatting sqref="E237:AF246">
    <cfRule type="containsBlanks" dxfId="1" priority="26">
      <formula>LEN(TRIM(E237))=0</formula>
    </cfRule>
  </conditionalFormatting>
  <conditionalFormatting sqref="E249:AF259">
    <cfRule type="containsBlanks" dxfId="1" priority="27">
      <formula>LEN(TRIM(E249))=0</formula>
    </cfRule>
  </conditionalFormatting>
  <conditionalFormatting sqref="E262:AF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74">
        <v>156.0</v>
      </c>
      <c r="F14" s="74">
        <v>144.0</v>
      </c>
      <c r="G14" s="74">
        <v>150.0</v>
      </c>
      <c r="H14" s="74">
        <v>150.0</v>
      </c>
      <c r="I14" s="74">
        <v>137.0</v>
      </c>
      <c r="J14" s="74">
        <v>140.0</v>
      </c>
      <c r="K14" s="74">
        <v>138.0</v>
      </c>
      <c r="L14" s="74">
        <v>129.0</v>
      </c>
      <c r="M14" s="74">
        <v>106.0</v>
      </c>
      <c r="N14" s="74">
        <v>154.0</v>
      </c>
      <c r="O14" s="74">
        <v>124.0</v>
      </c>
      <c r="P14" s="74">
        <v>126.0</v>
      </c>
      <c r="Q14" s="74">
        <v>96.0</v>
      </c>
      <c r="R14" s="74">
        <v>146.0</v>
      </c>
      <c r="S14" s="74">
        <v>148.0</v>
      </c>
      <c r="T14" s="74">
        <v>144.0</v>
      </c>
      <c r="U14" s="74">
        <v>151.0</v>
      </c>
      <c r="V14" s="74">
        <v>120.0</v>
      </c>
      <c r="W14" s="74">
        <v>133.0</v>
      </c>
      <c r="X14" s="74">
        <v>123.0</v>
      </c>
      <c r="Y14" s="74">
        <v>143.0</v>
      </c>
      <c r="Z14" s="74">
        <v>132.0</v>
      </c>
      <c r="AA14" s="74">
        <v>145.0</v>
      </c>
      <c r="AB14" s="13">
        <f t="shared" ref="AB14:AB16" si="1">SUM(E14:AA14)</f>
        <v>3135</v>
      </c>
    </row>
    <row r="15" ht="12.75" customHeight="1">
      <c r="A15" s="18"/>
      <c r="B15" s="26"/>
      <c r="C15" s="27"/>
      <c r="D15" s="19" t="s">
        <v>13</v>
      </c>
      <c r="E15" s="74">
        <v>141.0</v>
      </c>
      <c r="F15" s="74">
        <v>148.0</v>
      </c>
      <c r="G15" s="74">
        <v>146.0</v>
      </c>
      <c r="H15" s="74">
        <v>148.0</v>
      </c>
      <c r="I15" s="74">
        <v>142.0</v>
      </c>
      <c r="J15" s="74">
        <v>149.0</v>
      </c>
      <c r="K15" s="74">
        <v>137.0</v>
      </c>
      <c r="L15" s="74">
        <v>127.0</v>
      </c>
      <c r="M15" s="74">
        <v>113.0</v>
      </c>
      <c r="N15" s="74">
        <v>136.0</v>
      </c>
      <c r="O15" s="74">
        <v>143.0</v>
      </c>
      <c r="P15" s="74">
        <v>120.0</v>
      </c>
      <c r="Q15" s="74">
        <v>94.0</v>
      </c>
      <c r="R15" s="74">
        <v>143.0</v>
      </c>
      <c r="S15" s="74">
        <v>144.0</v>
      </c>
      <c r="T15" s="74">
        <v>152.0</v>
      </c>
      <c r="U15" s="74">
        <v>144.0</v>
      </c>
      <c r="V15" s="74">
        <v>127.0</v>
      </c>
      <c r="W15" s="74">
        <v>131.0</v>
      </c>
      <c r="X15" s="74">
        <v>137.0</v>
      </c>
      <c r="Y15" s="74">
        <v>135.0</v>
      </c>
      <c r="Z15" s="74">
        <v>131.0</v>
      </c>
      <c r="AA15" s="74">
        <v>150.0</v>
      </c>
      <c r="AB15" s="13">
        <f t="shared" si="1"/>
        <v>3138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297</v>
      </c>
      <c r="F16" s="13">
        <f t="shared" si="2"/>
        <v>292</v>
      </c>
      <c r="G16" s="13">
        <f t="shared" si="2"/>
        <v>296</v>
      </c>
      <c r="H16" s="13">
        <f t="shared" si="2"/>
        <v>298</v>
      </c>
      <c r="I16" s="13">
        <f t="shared" si="2"/>
        <v>279</v>
      </c>
      <c r="J16" s="13">
        <f t="shared" si="2"/>
        <v>289</v>
      </c>
      <c r="K16" s="13">
        <f t="shared" si="2"/>
        <v>275</v>
      </c>
      <c r="L16" s="13">
        <f t="shared" si="2"/>
        <v>256</v>
      </c>
      <c r="M16" s="13">
        <f t="shared" si="2"/>
        <v>219</v>
      </c>
      <c r="N16" s="13">
        <f t="shared" si="2"/>
        <v>290</v>
      </c>
      <c r="O16" s="13">
        <f t="shared" si="2"/>
        <v>267</v>
      </c>
      <c r="P16" s="13">
        <f t="shared" si="2"/>
        <v>246</v>
      </c>
      <c r="Q16" s="13">
        <f t="shared" si="2"/>
        <v>190</v>
      </c>
      <c r="R16" s="13">
        <f t="shared" si="2"/>
        <v>289</v>
      </c>
      <c r="S16" s="13">
        <f t="shared" si="2"/>
        <v>292</v>
      </c>
      <c r="T16" s="13">
        <f t="shared" si="2"/>
        <v>296</v>
      </c>
      <c r="U16" s="13">
        <f t="shared" si="2"/>
        <v>295</v>
      </c>
      <c r="V16" s="13">
        <f t="shared" si="2"/>
        <v>247</v>
      </c>
      <c r="W16" s="13">
        <f t="shared" si="2"/>
        <v>264</v>
      </c>
      <c r="X16" s="13">
        <f t="shared" si="2"/>
        <v>260</v>
      </c>
      <c r="Y16" s="13">
        <f t="shared" si="2"/>
        <v>278</v>
      </c>
      <c r="Z16" s="13">
        <f t="shared" si="2"/>
        <v>263</v>
      </c>
      <c r="AA16" s="13">
        <f t="shared" si="2"/>
        <v>295</v>
      </c>
      <c r="AB16" s="13">
        <f t="shared" si="1"/>
        <v>6273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125.0</v>
      </c>
      <c r="F19" s="74">
        <v>118.0</v>
      </c>
      <c r="G19" s="74">
        <v>119.0</v>
      </c>
      <c r="H19" s="74">
        <v>104.0</v>
      </c>
      <c r="I19" s="74">
        <v>100.0</v>
      </c>
      <c r="J19" s="74">
        <v>104.0</v>
      </c>
      <c r="K19" s="74">
        <v>92.0</v>
      </c>
      <c r="L19" s="74">
        <v>94.0</v>
      </c>
      <c r="M19" s="74">
        <v>81.0</v>
      </c>
      <c r="N19" s="74">
        <v>120.0</v>
      </c>
      <c r="O19" s="74">
        <v>96.0</v>
      </c>
      <c r="P19" s="74">
        <v>103.0</v>
      </c>
      <c r="Q19" s="74">
        <v>70.0</v>
      </c>
      <c r="R19" s="74">
        <v>118.0</v>
      </c>
      <c r="S19" s="74">
        <v>119.0</v>
      </c>
      <c r="T19" s="74">
        <v>110.0</v>
      </c>
      <c r="U19" s="74">
        <v>122.0</v>
      </c>
      <c r="V19" s="74">
        <v>88.0</v>
      </c>
      <c r="W19" s="74">
        <v>111.0</v>
      </c>
      <c r="X19" s="74">
        <v>104.0</v>
      </c>
      <c r="Y19" s="74">
        <v>122.0</v>
      </c>
      <c r="Z19" s="74">
        <v>113.0</v>
      </c>
      <c r="AA19" s="74">
        <v>122.0</v>
      </c>
      <c r="AB19" s="13">
        <f t="shared" ref="AB19:AB30" si="3">SUM(E19:AA19)</f>
        <v>2455</v>
      </c>
    </row>
    <row r="20" ht="12.75" customHeight="1">
      <c r="A20" s="33"/>
      <c r="B20" s="27"/>
      <c r="C20" s="34"/>
      <c r="D20" s="19" t="s">
        <v>13</v>
      </c>
      <c r="E20" s="74">
        <v>115.0</v>
      </c>
      <c r="F20" s="74">
        <v>116.0</v>
      </c>
      <c r="G20" s="74">
        <v>110.0</v>
      </c>
      <c r="H20" s="74">
        <v>107.0</v>
      </c>
      <c r="I20" s="74">
        <v>110.0</v>
      </c>
      <c r="J20" s="74">
        <v>109.0</v>
      </c>
      <c r="K20" s="74">
        <v>103.0</v>
      </c>
      <c r="L20" s="74">
        <v>100.0</v>
      </c>
      <c r="M20" s="74">
        <v>92.0</v>
      </c>
      <c r="N20" s="74">
        <v>102.0</v>
      </c>
      <c r="O20" s="74">
        <v>109.0</v>
      </c>
      <c r="P20" s="74">
        <v>100.0</v>
      </c>
      <c r="Q20" s="74">
        <v>70.0</v>
      </c>
      <c r="R20" s="74">
        <v>112.0</v>
      </c>
      <c r="S20" s="74">
        <v>112.0</v>
      </c>
      <c r="T20" s="74">
        <v>105.0</v>
      </c>
      <c r="U20" s="74">
        <v>123.0</v>
      </c>
      <c r="V20" s="74">
        <v>99.0</v>
      </c>
      <c r="W20" s="74">
        <v>106.0</v>
      </c>
      <c r="X20" s="74">
        <v>118.0</v>
      </c>
      <c r="Y20" s="74">
        <v>117.0</v>
      </c>
      <c r="Z20" s="74">
        <v>108.0</v>
      </c>
      <c r="AA20" s="74">
        <v>114.0</v>
      </c>
      <c r="AB20" s="13">
        <f t="shared" si="3"/>
        <v>2457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240</v>
      </c>
      <c r="F21" s="13">
        <f t="shared" si="4"/>
        <v>234</v>
      </c>
      <c r="G21" s="13">
        <f t="shared" si="4"/>
        <v>229</v>
      </c>
      <c r="H21" s="13">
        <f t="shared" si="4"/>
        <v>211</v>
      </c>
      <c r="I21" s="13">
        <f t="shared" si="4"/>
        <v>210</v>
      </c>
      <c r="J21" s="13">
        <f t="shared" si="4"/>
        <v>213</v>
      </c>
      <c r="K21" s="13">
        <f t="shared" si="4"/>
        <v>195</v>
      </c>
      <c r="L21" s="13">
        <f t="shared" si="4"/>
        <v>194</v>
      </c>
      <c r="M21" s="13">
        <f t="shared" si="4"/>
        <v>173</v>
      </c>
      <c r="N21" s="13">
        <f t="shared" si="4"/>
        <v>222</v>
      </c>
      <c r="O21" s="13">
        <f t="shared" si="4"/>
        <v>205</v>
      </c>
      <c r="P21" s="13">
        <f t="shared" si="4"/>
        <v>203</v>
      </c>
      <c r="Q21" s="13">
        <f t="shared" si="4"/>
        <v>140</v>
      </c>
      <c r="R21" s="13">
        <f t="shared" si="4"/>
        <v>230</v>
      </c>
      <c r="S21" s="13">
        <f t="shared" si="4"/>
        <v>231</v>
      </c>
      <c r="T21" s="13">
        <f t="shared" si="4"/>
        <v>215</v>
      </c>
      <c r="U21" s="13">
        <f t="shared" si="4"/>
        <v>245</v>
      </c>
      <c r="V21" s="13">
        <f t="shared" si="4"/>
        <v>187</v>
      </c>
      <c r="W21" s="13">
        <f t="shared" si="4"/>
        <v>217</v>
      </c>
      <c r="X21" s="13">
        <f t="shared" si="4"/>
        <v>222</v>
      </c>
      <c r="Y21" s="13">
        <f t="shared" si="4"/>
        <v>239</v>
      </c>
      <c r="Z21" s="13">
        <f t="shared" si="4"/>
        <v>221</v>
      </c>
      <c r="AA21" s="13">
        <f t="shared" si="4"/>
        <v>236</v>
      </c>
      <c r="AB21" s="13">
        <f t="shared" si="3"/>
        <v>4912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3.0</v>
      </c>
      <c r="L22" s="74">
        <v>0.0</v>
      </c>
      <c r="M22" s="74">
        <v>0.0</v>
      </c>
      <c r="N22" s="74">
        <v>1.0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1.0</v>
      </c>
      <c r="U22" s="74">
        <v>0.0</v>
      </c>
      <c r="V22" s="74">
        <v>1.0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2.0</v>
      </c>
      <c r="L23" s="74">
        <v>1.0</v>
      </c>
      <c r="M23" s="74">
        <v>2.0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1</v>
      </c>
      <c r="M24" s="13">
        <f t="shared" si="5"/>
        <v>2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2.0</v>
      </c>
      <c r="F25" s="74">
        <v>1.0</v>
      </c>
      <c r="G25" s="74">
        <v>4.0</v>
      </c>
      <c r="H25" s="74">
        <v>11.0</v>
      </c>
      <c r="I25" s="74">
        <v>2.0</v>
      </c>
      <c r="J25" s="74">
        <v>1.0</v>
      </c>
      <c r="K25" s="74">
        <v>0.0</v>
      </c>
      <c r="L25" s="74">
        <v>2.0</v>
      </c>
      <c r="M25" s="74">
        <v>1.0</v>
      </c>
      <c r="N25" s="74">
        <v>2.0</v>
      </c>
      <c r="O25" s="74">
        <v>0.0</v>
      </c>
      <c r="P25" s="74">
        <v>0.0</v>
      </c>
      <c r="Q25" s="74">
        <v>0.0</v>
      </c>
      <c r="R25" s="74">
        <v>1.0</v>
      </c>
      <c r="S25" s="74">
        <v>0.0</v>
      </c>
      <c r="T25" s="74">
        <v>0.0</v>
      </c>
      <c r="U25" s="74">
        <v>0.0</v>
      </c>
      <c r="V25" s="74">
        <v>0.0</v>
      </c>
      <c r="W25" s="74">
        <v>1.0</v>
      </c>
      <c r="X25" s="74">
        <v>0.0</v>
      </c>
      <c r="Y25" s="74">
        <v>0.0</v>
      </c>
      <c r="Z25" s="74">
        <v>0.0</v>
      </c>
      <c r="AA25" s="74">
        <v>0.0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1.0</v>
      </c>
      <c r="G26" s="74">
        <v>3.0</v>
      </c>
      <c r="H26" s="74">
        <v>8.0</v>
      </c>
      <c r="I26" s="74">
        <v>2.0</v>
      </c>
      <c r="J26" s="74">
        <v>3.0</v>
      </c>
      <c r="K26" s="74">
        <v>1.0</v>
      </c>
      <c r="L26" s="74">
        <v>1.0</v>
      </c>
      <c r="M26" s="74">
        <v>1.0</v>
      </c>
      <c r="N26" s="74">
        <v>3.0</v>
      </c>
      <c r="O26" s="74">
        <v>0.0</v>
      </c>
      <c r="P26" s="74">
        <v>1.0</v>
      </c>
      <c r="Q26" s="74">
        <v>0.0</v>
      </c>
      <c r="R26" s="74">
        <v>1.0</v>
      </c>
      <c r="S26" s="74">
        <v>1.0</v>
      </c>
      <c r="T26" s="74">
        <v>1.0</v>
      </c>
      <c r="U26" s="74">
        <v>4.0</v>
      </c>
      <c r="V26" s="74">
        <v>1.0</v>
      </c>
      <c r="W26" s="74">
        <v>0.0</v>
      </c>
      <c r="X26" s="74">
        <v>2.0</v>
      </c>
      <c r="Y26" s="74">
        <v>1.0</v>
      </c>
      <c r="Z26" s="74">
        <v>0.0</v>
      </c>
      <c r="AA26" s="74">
        <v>0.0</v>
      </c>
      <c r="AB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2</v>
      </c>
      <c r="G27" s="13">
        <f t="shared" si="6"/>
        <v>7</v>
      </c>
      <c r="H27" s="13">
        <f t="shared" si="6"/>
        <v>19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3</v>
      </c>
      <c r="M27" s="13">
        <f t="shared" si="6"/>
        <v>2</v>
      </c>
      <c r="N27" s="13">
        <f t="shared" si="6"/>
        <v>5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2</v>
      </c>
      <c r="S27" s="13">
        <f t="shared" si="6"/>
        <v>1</v>
      </c>
      <c r="T27" s="13">
        <f t="shared" si="6"/>
        <v>1</v>
      </c>
      <c r="U27" s="13">
        <f t="shared" si="6"/>
        <v>4</v>
      </c>
      <c r="V27" s="13">
        <f t="shared" si="6"/>
        <v>1</v>
      </c>
      <c r="W27" s="13">
        <f t="shared" si="6"/>
        <v>1</v>
      </c>
      <c r="X27" s="13">
        <f t="shared" si="6"/>
        <v>2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3"/>
        <v>65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127</v>
      </c>
      <c r="F28" s="13">
        <f t="shared" si="7"/>
        <v>119</v>
      </c>
      <c r="G28" s="13">
        <f t="shared" si="7"/>
        <v>123</v>
      </c>
      <c r="H28" s="13">
        <f t="shared" si="7"/>
        <v>115</v>
      </c>
      <c r="I28" s="13">
        <f t="shared" si="7"/>
        <v>102</v>
      </c>
      <c r="J28" s="13">
        <f t="shared" si="7"/>
        <v>105</v>
      </c>
      <c r="K28" s="13">
        <f t="shared" si="7"/>
        <v>95</v>
      </c>
      <c r="L28" s="13">
        <f t="shared" si="7"/>
        <v>96</v>
      </c>
      <c r="M28" s="13">
        <f t="shared" si="7"/>
        <v>82</v>
      </c>
      <c r="N28" s="13">
        <f t="shared" si="7"/>
        <v>123</v>
      </c>
      <c r="O28" s="13">
        <f t="shared" si="7"/>
        <v>96</v>
      </c>
      <c r="P28" s="13">
        <f t="shared" si="7"/>
        <v>103</v>
      </c>
      <c r="Q28" s="13">
        <f t="shared" si="7"/>
        <v>70</v>
      </c>
      <c r="R28" s="13">
        <f t="shared" si="7"/>
        <v>119</v>
      </c>
      <c r="S28" s="13">
        <f t="shared" si="7"/>
        <v>119</v>
      </c>
      <c r="T28" s="13">
        <f t="shared" si="7"/>
        <v>111</v>
      </c>
      <c r="U28" s="13">
        <f t="shared" si="7"/>
        <v>122</v>
      </c>
      <c r="V28" s="13">
        <f t="shared" si="7"/>
        <v>89</v>
      </c>
      <c r="W28" s="13">
        <f t="shared" si="7"/>
        <v>112</v>
      </c>
      <c r="X28" s="13">
        <f t="shared" si="7"/>
        <v>104</v>
      </c>
      <c r="Y28" s="13">
        <f t="shared" si="7"/>
        <v>122</v>
      </c>
      <c r="Z28" s="13">
        <f t="shared" si="7"/>
        <v>113</v>
      </c>
      <c r="AA28" s="13">
        <f t="shared" si="7"/>
        <v>122</v>
      </c>
      <c r="AB28" s="13">
        <f t="shared" si="3"/>
        <v>2489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117</v>
      </c>
      <c r="F29" s="13">
        <f t="shared" si="8"/>
        <v>117</v>
      </c>
      <c r="G29" s="13">
        <f t="shared" si="8"/>
        <v>113</v>
      </c>
      <c r="H29" s="13">
        <f t="shared" si="8"/>
        <v>115</v>
      </c>
      <c r="I29" s="13">
        <f t="shared" si="8"/>
        <v>112</v>
      </c>
      <c r="J29" s="13">
        <f t="shared" si="8"/>
        <v>112</v>
      </c>
      <c r="K29" s="13">
        <f t="shared" si="8"/>
        <v>106</v>
      </c>
      <c r="L29" s="13">
        <f t="shared" si="8"/>
        <v>102</v>
      </c>
      <c r="M29" s="13">
        <f t="shared" si="8"/>
        <v>95</v>
      </c>
      <c r="N29" s="13">
        <f t="shared" si="8"/>
        <v>105</v>
      </c>
      <c r="O29" s="13">
        <f t="shared" si="8"/>
        <v>109</v>
      </c>
      <c r="P29" s="13">
        <f t="shared" si="8"/>
        <v>101</v>
      </c>
      <c r="Q29" s="13">
        <f t="shared" si="8"/>
        <v>70</v>
      </c>
      <c r="R29" s="13">
        <f t="shared" si="8"/>
        <v>113</v>
      </c>
      <c r="S29" s="13">
        <f t="shared" si="8"/>
        <v>113</v>
      </c>
      <c r="T29" s="13">
        <f t="shared" si="8"/>
        <v>106</v>
      </c>
      <c r="U29" s="13">
        <f t="shared" si="8"/>
        <v>127</v>
      </c>
      <c r="V29" s="13">
        <f t="shared" si="8"/>
        <v>100</v>
      </c>
      <c r="W29" s="13">
        <f t="shared" si="8"/>
        <v>106</v>
      </c>
      <c r="X29" s="13">
        <f t="shared" si="8"/>
        <v>120</v>
      </c>
      <c r="Y29" s="13">
        <f t="shared" si="8"/>
        <v>118</v>
      </c>
      <c r="Z29" s="13">
        <f t="shared" si="8"/>
        <v>108</v>
      </c>
      <c r="AA29" s="13">
        <f t="shared" si="8"/>
        <v>114</v>
      </c>
      <c r="AB29" s="13">
        <f t="shared" si="3"/>
        <v>2499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244</v>
      </c>
      <c r="F30" s="13">
        <f t="shared" si="9"/>
        <v>236</v>
      </c>
      <c r="G30" s="13">
        <f t="shared" si="9"/>
        <v>236</v>
      </c>
      <c r="H30" s="13">
        <f t="shared" si="9"/>
        <v>230</v>
      </c>
      <c r="I30" s="13">
        <f t="shared" si="9"/>
        <v>214</v>
      </c>
      <c r="J30" s="13">
        <f t="shared" si="9"/>
        <v>217</v>
      </c>
      <c r="K30" s="13">
        <f t="shared" si="9"/>
        <v>201</v>
      </c>
      <c r="L30" s="13">
        <f t="shared" si="9"/>
        <v>198</v>
      </c>
      <c r="M30" s="13">
        <f t="shared" si="9"/>
        <v>177</v>
      </c>
      <c r="N30" s="13">
        <f t="shared" si="9"/>
        <v>228</v>
      </c>
      <c r="O30" s="13">
        <f t="shared" si="9"/>
        <v>205</v>
      </c>
      <c r="P30" s="13">
        <f t="shared" si="9"/>
        <v>204</v>
      </c>
      <c r="Q30" s="13">
        <f t="shared" si="9"/>
        <v>140</v>
      </c>
      <c r="R30" s="13">
        <f t="shared" si="9"/>
        <v>232</v>
      </c>
      <c r="S30" s="13">
        <f t="shared" si="9"/>
        <v>232</v>
      </c>
      <c r="T30" s="13">
        <f t="shared" si="9"/>
        <v>217</v>
      </c>
      <c r="U30" s="13">
        <f t="shared" si="9"/>
        <v>249</v>
      </c>
      <c r="V30" s="13">
        <f t="shared" si="9"/>
        <v>189</v>
      </c>
      <c r="W30" s="13">
        <f t="shared" si="9"/>
        <v>218</v>
      </c>
      <c r="X30" s="13">
        <f t="shared" si="9"/>
        <v>224</v>
      </c>
      <c r="Y30" s="13">
        <f t="shared" si="9"/>
        <v>240</v>
      </c>
      <c r="Z30" s="13">
        <f t="shared" si="9"/>
        <v>221</v>
      </c>
      <c r="AA30" s="13">
        <f t="shared" si="9"/>
        <v>236</v>
      </c>
      <c r="AB30" s="13">
        <f t="shared" si="3"/>
        <v>4988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76"/>
    </row>
    <row r="33" ht="12.75" customHeight="1">
      <c r="A33" s="19">
        <v>1.0</v>
      </c>
      <c r="B33" s="20" t="s">
        <v>27</v>
      </c>
      <c r="C33" s="15"/>
      <c r="D33" s="16"/>
      <c r="E33" s="74">
        <v>304.0</v>
      </c>
      <c r="F33" s="74">
        <v>298.0</v>
      </c>
      <c r="G33" s="74">
        <v>301.0</v>
      </c>
      <c r="H33" s="74">
        <v>304.0</v>
      </c>
      <c r="I33" s="74">
        <v>285.0</v>
      </c>
      <c r="J33" s="74">
        <v>295.0</v>
      </c>
      <c r="K33" s="74">
        <v>300.0</v>
      </c>
      <c r="L33" s="74">
        <v>252.0</v>
      </c>
      <c r="M33" s="74">
        <v>224.0</v>
      </c>
      <c r="N33" s="74">
        <v>296.0</v>
      </c>
      <c r="O33" s="74">
        <v>273.0</v>
      </c>
      <c r="P33" s="74">
        <v>251.0</v>
      </c>
      <c r="Q33" s="74">
        <v>295.0</v>
      </c>
      <c r="R33" s="74">
        <v>295.0</v>
      </c>
      <c r="S33" s="74">
        <v>298.0</v>
      </c>
      <c r="T33" s="74">
        <v>302.0</v>
      </c>
      <c r="U33" s="74">
        <v>301.0</v>
      </c>
      <c r="V33" s="74">
        <v>252.0</v>
      </c>
      <c r="W33" s="74">
        <v>270.0</v>
      </c>
      <c r="X33" s="74">
        <v>266.0</v>
      </c>
      <c r="Y33" s="74">
        <v>284.0</v>
      </c>
      <c r="Z33" s="74">
        <v>268.0</v>
      </c>
      <c r="AA33" s="74">
        <v>301.0</v>
      </c>
      <c r="AB33" s="13">
        <f t="shared" ref="AB33:AB36" si="10">SUM(E33:AA33)</f>
        <v>6515</v>
      </c>
    </row>
    <row r="34" ht="12.75" customHeight="1">
      <c r="A34" s="19">
        <v>2.0</v>
      </c>
      <c r="B34" s="20" t="s">
        <v>28</v>
      </c>
      <c r="C34" s="15"/>
      <c r="D34" s="16"/>
      <c r="E34" s="78">
        <v>244.0</v>
      </c>
      <c r="F34" s="78">
        <v>236.0</v>
      </c>
      <c r="G34" s="78">
        <v>236.0</v>
      </c>
      <c r="H34" s="78">
        <v>230.0</v>
      </c>
      <c r="I34" s="78">
        <v>214.0</v>
      </c>
      <c r="J34" s="78">
        <v>217.0</v>
      </c>
      <c r="K34" s="78">
        <v>201.0</v>
      </c>
      <c r="L34" s="78">
        <v>198.0</v>
      </c>
      <c r="M34" s="78">
        <v>177.0</v>
      </c>
      <c r="N34" s="78">
        <v>228.0</v>
      </c>
      <c r="O34" s="78">
        <v>205.0</v>
      </c>
      <c r="P34" s="78">
        <v>204.0</v>
      </c>
      <c r="Q34" s="78">
        <v>140.0</v>
      </c>
      <c r="R34" s="78">
        <v>232.0</v>
      </c>
      <c r="S34" s="78">
        <v>232.0</v>
      </c>
      <c r="T34" s="78">
        <v>217.0</v>
      </c>
      <c r="U34" s="78">
        <v>249.0</v>
      </c>
      <c r="V34" s="78">
        <v>189.0</v>
      </c>
      <c r="W34" s="78">
        <v>218.0</v>
      </c>
      <c r="X34" s="78">
        <v>224.0</v>
      </c>
      <c r="Y34" s="78">
        <v>240.0</v>
      </c>
      <c r="Z34" s="78">
        <v>221.0</v>
      </c>
      <c r="AA34" s="78">
        <v>236.0</v>
      </c>
      <c r="AB34" s="13">
        <f t="shared" si="10"/>
        <v>4988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1.0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1.0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60</v>
      </c>
      <c r="F36" s="13">
        <f t="shared" si="11"/>
        <v>61</v>
      </c>
      <c r="G36" s="13">
        <f t="shared" si="11"/>
        <v>65</v>
      </c>
      <c r="H36" s="13">
        <f t="shared" si="11"/>
        <v>74</v>
      </c>
      <c r="I36" s="13">
        <f t="shared" si="11"/>
        <v>71</v>
      </c>
      <c r="J36" s="13">
        <f t="shared" si="11"/>
        <v>78</v>
      </c>
      <c r="K36" s="13">
        <f t="shared" si="11"/>
        <v>99</v>
      </c>
      <c r="L36" s="13">
        <f t="shared" si="11"/>
        <v>54</v>
      </c>
      <c r="M36" s="13">
        <f t="shared" si="11"/>
        <v>47</v>
      </c>
      <c r="N36" s="13">
        <f t="shared" si="11"/>
        <v>68</v>
      </c>
      <c r="O36" s="13">
        <f t="shared" si="11"/>
        <v>67</v>
      </c>
      <c r="P36" s="13">
        <f t="shared" si="11"/>
        <v>47</v>
      </c>
      <c r="Q36" s="13">
        <f t="shared" si="11"/>
        <v>155</v>
      </c>
      <c r="R36" s="13">
        <f t="shared" si="11"/>
        <v>63</v>
      </c>
      <c r="S36" s="13">
        <f t="shared" si="11"/>
        <v>66</v>
      </c>
      <c r="T36" s="13">
        <f t="shared" si="11"/>
        <v>85</v>
      </c>
      <c r="U36" s="13">
        <f t="shared" si="11"/>
        <v>52</v>
      </c>
      <c r="V36" s="13">
        <f t="shared" si="11"/>
        <v>63</v>
      </c>
      <c r="W36" s="13">
        <f t="shared" si="11"/>
        <v>52</v>
      </c>
      <c r="X36" s="13">
        <f t="shared" si="11"/>
        <v>42</v>
      </c>
      <c r="Y36" s="13">
        <f t="shared" si="11"/>
        <v>44</v>
      </c>
      <c r="Z36" s="13">
        <f t="shared" si="11"/>
        <v>47</v>
      </c>
      <c r="AA36" s="13">
        <f t="shared" si="11"/>
        <v>65</v>
      </c>
      <c r="AB36" s="13">
        <f t="shared" si="10"/>
        <v>1525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2.0</v>
      </c>
      <c r="O39" s="74">
        <v>0.0</v>
      </c>
      <c r="P39" s="74">
        <v>0.0</v>
      </c>
      <c r="Q39" s="74">
        <v>0.0</v>
      </c>
      <c r="R39" s="74">
        <v>1.0</v>
      </c>
      <c r="S39" s="74">
        <v>0.0</v>
      </c>
      <c r="T39" s="74">
        <v>0.0</v>
      </c>
      <c r="U39" s="74">
        <v>2.0</v>
      </c>
      <c r="V39" s="74">
        <v>0.0</v>
      </c>
      <c r="W39" s="74">
        <v>0.0</v>
      </c>
      <c r="X39" s="74">
        <v>0.0</v>
      </c>
      <c r="Y39" s="74">
        <v>0.0</v>
      </c>
      <c r="Z39" s="74">
        <v>1.0</v>
      </c>
      <c r="AA39" s="74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3.0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1.0</v>
      </c>
      <c r="X40" s="74">
        <v>0.0</v>
      </c>
      <c r="Y40" s="74">
        <v>0.0</v>
      </c>
      <c r="Z40" s="74">
        <v>0.0</v>
      </c>
      <c r="AA40" s="74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9.0</v>
      </c>
      <c r="F45" s="74">
        <v>7.0</v>
      </c>
      <c r="G45" s="74">
        <v>8.0</v>
      </c>
      <c r="H45" s="74">
        <v>10.0</v>
      </c>
      <c r="I45" s="74">
        <v>4.0</v>
      </c>
      <c r="J45" s="74">
        <v>9.0</v>
      </c>
      <c r="K45" s="74">
        <v>9.0</v>
      </c>
      <c r="L45" s="74">
        <v>7.0</v>
      </c>
      <c r="M45" s="74">
        <v>13.0</v>
      </c>
      <c r="N45" s="74">
        <v>6.0</v>
      </c>
      <c r="O45" s="74">
        <v>7.0</v>
      </c>
      <c r="P45" s="74">
        <v>10.0</v>
      </c>
      <c r="Q45" s="74">
        <v>7.0</v>
      </c>
      <c r="R45" s="74">
        <v>8.0</v>
      </c>
      <c r="S45" s="74">
        <v>11.0</v>
      </c>
      <c r="T45" s="74">
        <v>8.0</v>
      </c>
      <c r="U45" s="74">
        <v>24.0</v>
      </c>
      <c r="V45" s="74">
        <v>3.0</v>
      </c>
      <c r="W45" s="74">
        <v>12.0</v>
      </c>
      <c r="X45" s="74">
        <v>12.0</v>
      </c>
      <c r="Y45" s="74">
        <v>18.0</v>
      </c>
      <c r="Z45" s="74">
        <v>14.0</v>
      </c>
      <c r="AA45" s="74">
        <v>11.0</v>
      </c>
      <c r="AB45" s="13">
        <f t="shared" ref="AB45:AB54" si="14">SUM(E45:AA45)</f>
        <v>227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23.0</v>
      </c>
      <c r="F46" s="74">
        <v>13.0</v>
      </c>
      <c r="G46" s="74">
        <v>6.0</v>
      </c>
      <c r="H46" s="74">
        <v>9.0</v>
      </c>
      <c r="I46" s="74">
        <v>23.0</v>
      </c>
      <c r="J46" s="74">
        <v>28.0</v>
      </c>
      <c r="K46" s="74">
        <v>27.0</v>
      </c>
      <c r="L46" s="74">
        <v>21.0</v>
      </c>
      <c r="M46" s="74">
        <v>29.0</v>
      </c>
      <c r="N46" s="74">
        <v>27.0</v>
      </c>
      <c r="O46" s="74">
        <v>15.0</v>
      </c>
      <c r="P46" s="74">
        <v>10.0</v>
      </c>
      <c r="Q46" s="74">
        <v>4.0</v>
      </c>
      <c r="R46" s="74">
        <v>28.0</v>
      </c>
      <c r="S46" s="74">
        <v>13.0</v>
      </c>
      <c r="T46" s="74">
        <v>57.0</v>
      </c>
      <c r="U46" s="74">
        <v>62.0</v>
      </c>
      <c r="V46" s="74">
        <v>22.0</v>
      </c>
      <c r="W46" s="74">
        <v>21.0</v>
      </c>
      <c r="X46" s="74">
        <v>34.0</v>
      </c>
      <c r="Y46" s="74">
        <v>26.0</v>
      </c>
      <c r="Z46" s="74">
        <v>49.0</v>
      </c>
      <c r="AA46" s="74">
        <v>30.0</v>
      </c>
      <c r="AB46" s="13">
        <f t="shared" si="14"/>
        <v>577</v>
      </c>
    </row>
    <row r="47" ht="12.75" customHeight="1">
      <c r="A47" s="18"/>
      <c r="B47" s="55"/>
      <c r="C47" s="50" t="s">
        <v>41</v>
      </c>
      <c r="D47" s="50"/>
      <c r="E47" s="74">
        <v>3.0</v>
      </c>
      <c r="F47" s="74">
        <v>2.0</v>
      </c>
      <c r="G47" s="74">
        <v>3.0</v>
      </c>
      <c r="H47" s="74">
        <v>0.0</v>
      </c>
      <c r="I47" s="74">
        <v>2.0</v>
      </c>
      <c r="J47" s="74">
        <v>4.0</v>
      </c>
      <c r="K47" s="74">
        <v>3.0</v>
      </c>
      <c r="L47" s="74">
        <v>3.0</v>
      </c>
      <c r="M47" s="74">
        <v>1.0</v>
      </c>
      <c r="N47" s="74">
        <v>1.0</v>
      </c>
      <c r="O47" s="74">
        <v>3.0</v>
      </c>
      <c r="P47" s="74">
        <v>5.0</v>
      </c>
      <c r="Q47" s="74">
        <v>0.0</v>
      </c>
      <c r="R47" s="74">
        <v>2.0</v>
      </c>
      <c r="S47" s="74">
        <v>6.0</v>
      </c>
      <c r="T47" s="74">
        <v>3.0</v>
      </c>
      <c r="U47" s="74">
        <v>7.0</v>
      </c>
      <c r="V47" s="74">
        <v>2.0</v>
      </c>
      <c r="W47" s="74">
        <v>6.0</v>
      </c>
      <c r="X47" s="74">
        <v>2.0</v>
      </c>
      <c r="Y47" s="74">
        <v>2.0</v>
      </c>
      <c r="Z47" s="74">
        <v>6.0</v>
      </c>
      <c r="AA47" s="74">
        <v>4.0</v>
      </c>
      <c r="AB47" s="13">
        <f t="shared" si="14"/>
        <v>70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0.0</v>
      </c>
      <c r="H48" s="74">
        <v>1.0</v>
      </c>
      <c r="I48" s="74">
        <v>1.0</v>
      </c>
      <c r="J48" s="74">
        <v>3.0</v>
      </c>
      <c r="K48" s="74">
        <v>0.0</v>
      </c>
      <c r="L48" s="74">
        <v>0.0</v>
      </c>
      <c r="M48" s="74">
        <v>4.0</v>
      </c>
      <c r="N48" s="74">
        <v>0.0</v>
      </c>
      <c r="O48" s="74">
        <v>2.0</v>
      </c>
      <c r="P48" s="74">
        <v>1.0</v>
      </c>
      <c r="Q48" s="74">
        <v>1.0</v>
      </c>
      <c r="R48" s="74">
        <v>2.0</v>
      </c>
      <c r="S48" s="74">
        <v>1.0</v>
      </c>
      <c r="T48" s="74">
        <v>1.0</v>
      </c>
      <c r="U48" s="74">
        <v>1.0</v>
      </c>
      <c r="V48" s="74">
        <v>0.0</v>
      </c>
      <c r="W48" s="74">
        <v>1.0</v>
      </c>
      <c r="X48" s="74">
        <v>4.0</v>
      </c>
      <c r="Y48" s="74">
        <v>0.0</v>
      </c>
      <c r="Z48" s="74">
        <v>1.0</v>
      </c>
      <c r="AA48" s="74">
        <v>2.0</v>
      </c>
      <c r="AB48" s="13">
        <f t="shared" si="14"/>
        <v>27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0.0</v>
      </c>
      <c r="G49" s="74">
        <v>1.0</v>
      </c>
      <c r="H49" s="74">
        <v>0.0</v>
      </c>
      <c r="I49" s="74">
        <v>3.0</v>
      </c>
      <c r="J49" s="74">
        <v>3.0</v>
      </c>
      <c r="K49" s="74">
        <v>1.0</v>
      </c>
      <c r="L49" s="74">
        <v>0.0</v>
      </c>
      <c r="M49" s="74">
        <v>2.0</v>
      </c>
      <c r="N49" s="74">
        <v>0.0</v>
      </c>
      <c r="O49" s="74">
        <v>2.0</v>
      </c>
      <c r="P49" s="74">
        <v>1.0</v>
      </c>
      <c r="Q49" s="74">
        <v>1.0</v>
      </c>
      <c r="R49" s="74">
        <v>2.0</v>
      </c>
      <c r="S49" s="74">
        <v>3.0</v>
      </c>
      <c r="T49" s="74">
        <v>1.0</v>
      </c>
      <c r="U49" s="74">
        <v>1.0</v>
      </c>
      <c r="V49" s="74">
        <v>1.0</v>
      </c>
      <c r="W49" s="74">
        <v>0.0</v>
      </c>
      <c r="X49" s="74">
        <v>6.0</v>
      </c>
      <c r="Y49" s="74">
        <v>0.0</v>
      </c>
      <c r="Z49" s="74">
        <v>2.0</v>
      </c>
      <c r="AA49" s="74">
        <v>3.0</v>
      </c>
      <c r="AB49" s="13">
        <f t="shared" si="14"/>
        <v>35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1.0</v>
      </c>
      <c r="G50" s="74">
        <v>0.0</v>
      </c>
      <c r="H50" s="74">
        <v>1.0</v>
      </c>
      <c r="I50" s="74">
        <v>0.0</v>
      </c>
      <c r="J50" s="74">
        <v>4.0</v>
      </c>
      <c r="K50" s="74">
        <v>4.0</v>
      </c>
      <c r="L50" s="74">
        <v>0.0</v>
      </c>
      <c r="M50" s="74">
        <v>0.0</v>
      </c>
      <c r="N50" s="74">
        <v>0.0</v>
      </c>
      <c r="O50" s="74">
        <v>0.0</v>
      </c>
      <c r="P50" s="74">
        <v>1.0</v>
      </c>
      <c r="Q50" s="74">
        <v>1.0</v>
      </c>
      <c r="R50" s="74">
        <v>2.0</v>
      </c>
      <c r="S50" s="74">
        <v>1.0</v>
      </c>
      <c r="T50" s="74">
        <v>2.0</v>
      </c>
      <c r="U50" s="74">
        <v>16.0</v>
      </c>
      <c r="V50" s="74">
        <v>3.0</v>
      </c>
      <c r="W50" s="74">
        <v>5.0</v>
      </c>
      <c r="X50" s="74">
        <v>7.0</v>
      </c>
      <c r="Y50" s="74">
        <v>44.0</v>
      </c>
      <c r="Z50" s="74">
        <v>5.0</v>
      </c>
      <c r="AA50" s="74">
        <v>3.0</v>
      </c>
      <c r="AB50" s="13">
        <f t="shared" si="14"/>
        <v>101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0.0</v>
      </c>
      <c r="I51" s="74">
        <v>0.0</v>
      </c>
      <c r="J51" s="74">
        <v>1.0</v>
      </c>
      <c r="K51" s="74">
        <v>1.0</v>
      </c>
      <c r="L51" s="74">
        <v>0.0</v>
      </c>
      <c r="M51" s="74">
        <v>0.0</v>
      </c>
      <c r="N51" s="74">
        <v>1.0</v>
      </c>
      <c r="O51" s="74">
        <v>0.0</v>
      </c>
      <c r="P51" s="74">
        <v>3.0</v>
      </c>
      <c r="Q51" s="74">
        <v>0.0</v>
      </c>
      <c r="R51" s="74">
        <v>0.0</v>
      </c>
      <c r="S51" s="74">
        <v>2.0</v>
      </c>
      <c r="T51" s="74">
        <v>0.0</v>
      </c>
      <c r="U51" s="74">
        <v>1.0</v>
      </c>
      <c r="V51" s="74">
        <v>0.0</v>
      </c>
      <c r="W51" s="74">
        <v>0.0</v>
      </c>
      <c r="X51" s="74">
        <v>1.0</v>
      </c>
      <c r="Y51" s="74">
        <v>0.0</v>
      </c>
      <c r="Z51" s="74">
        <v>2.0</v>
      </c>
      <c r="AA51" s="74">
        <v>2.0</v>
      </c>
      <c r="AB51" s="13">
        <f t="shared" si="14"/>
        <v>15</v>
      </c>
    </row>
    <row r="52" ht="12.75" customHeight="1">
      <c r="A52" s="18"/>
      <c r="B52" s="55"/>
      <c r="C52" s="50" t="s">
        <v>46</v>
      </c>
      <c r="D52" s="50"/>
      <c r="E52" s="74">
        <v>2.0</v>
      </c>
      <c r="F52" s="74">
        <v>2.0</v>
      </c>
      <c r="G52" s="74">
        <v>1.0</v>
      </c>
      <c r="H52" s="74">
        <v>4.0</v>
      </c>
      <c r="I52" s="74">
        <v>1.0</v>
      </c>
      <c r="J52" s="74">
        <v>2.0</v>
      </c>
      <c r="K52" s="74">
        <v>2.0</v>
      </c>
      <c r="L52" s="74">
        <v>1.0</v>
      </c>
      <c r="M52" s="74">
        <v>5.0</v>
      </c>
      <c r="N52" s="74">
        <v>1.0</v>
      </c>
      <c r="O52" s="74">
        <v>8.0</v>
      </c>
      <c r="P52" s="74">
        <v>2.0</v>
      </c>
      <c r="Q52" s="74">
        <v>4.0</v>
      </c>
      <c r="R52" s="74">
        <v>2.0</v>
      </c>
      <c r="S52" s="74">
        <v>0.0</v>
      </c>
      <c r="T52" s="74">
        <v>4.0</v>
      </c>
      <c r="U52" s="74">
        <v>3.0</v>
      </c>
      <c r="V52" s="74">
        <v>2.0</v>
      </c>
      <c r="W52" s="74">
        <v>5.0</v>
      </c>
      <c r="X52" s="74">
        <v>1.0</v>
      </c>
      <c r="Y52" s="74">
        <v>2.0</v>
      </c>
      <c r="Z52" s="74">
        <v>4.0</v>
      </c>
      <c r="AA52" s="74">
        <v>2.0</v>
      </c>
      <c r="AB52" s="13">
        <f t="shared" si="14"/>
        <v>60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2.0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13">
        <f t="shared" si="14"/>
        <v>2</v>
      </c>
    </row>
    <row r="54" ht="12.75" customHeight="1">
      <c r="A54" s="18"/>
      <c r="B54" s="55"/>
      <c r="C54" s="50" t="s">
        <v>48</v>
      </c>
      <c r="D54" s="50"/>
      <c r="E54" s="74">
        <v>1.0</v>
      </c>
      <c r="F54" s="74">
        <v>0.0</v>
      </c>
      <c r="G54" s="74">
        <v>0.0</v>
      </c>
      <c r="H54" s="74">
        <v>0.0</v>
      </c>
      <c r="I54" s="74">
        <v>4.0</v>
      </c>
      <c r="J54" s="74">
        <v>1.0</v>
      </c>
      <c r="K54" s="74">
        <v>2.0</v>
      </c>
      <c r="L54" s="74">
        <v>2.0</v>
      </c>
      <c r="M54" s="74">
        <v>2.0</v>
      </c>
      <c r="N54" s="74">
        <v>0.0</v>
      </c>
      <c r="O54" s="74">
        <v>1.0</v>
      </c>
      <c r="P54" s="74">
        <v>3.0</v>
      </c>
      <c r="Q54" s="74">
        <v>1.0</v>
      </c>
      <c r="R54" s="74">
        <v>1.0</v>
      </c>
      <c r="S54" s="74">
        <v>2.0</v>
      </c>
      <c r="T54" s="74">
        <v>0.0</v>
      </c>
      <c r="U54" s="74">
        <v>2.0</v>
      </c>
      <c r="V54" s="74">
        <v>1.0</v>
      </c>
      <c r="W54" s="74">
        <v>1.0</v>
      </c>
      <c r="X54" s="74">
        <v>6.0</v>
      </c>
      <c r="Y54" s="74">
        <v>3.0</v>
      </c>
      <c r="Z54" s="74">
        <v>1.0</v>
      </c>
      <c r="AA54" s="74">
        <v>1.0</v>
      </c>
      <c r="AB54" s="13">
        <f t="shared" si="14"/>
        <v>35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B55" si="15">SUM(E45:E54)</f>
        <v>42</v>
      </c>
      <c r="F55" s="13">
        <f t="shared" si="15"/>
        <v>26</v>
      </c>
      <c r="G55" s="13">
        <f t="shared" si="15"/>
        <v>19</v>
      </c>
      <c r="H55" s="13">
        <f t="shared" si="15"/>
        <v>25</v>
      </c>
      <c r="I55" s="13">
        <f t="shared" si="15"/>
        <v>38</v>
      </c>
      <c r="J55" s="13">
        <f t="shared" si="15"/>
        <v>55</v>
      </c>
      <c r="K55" s="13">
        <f t="shared" si="15"/>
        <v>49</v>
      </c>
      <c r="L55" s="13">
        <f t="shared" si="15"/>
        <v>34</v>
      </c>
      <c r="M55" s="13">
        <f t="shared" si="15"/>
        <v>56</v>
      </c>
      <c r="N55" s="13">
        <f t="shared" si="15"/>
        <v>36</v>
      </c>
      <c r="O55" s="13">
        <f t="shared" si="15"/>
        <v>38</v>
      </c>
      <c r="P55" s="13">
        <f t="shared" si="15"/>
        <v>36</v>
      </c>
      <c r="Q55" s="13">
        <f t="shared" si="15"/>
        <v>19</v>
      </c>
      <c r="R55" s="13">
        <f t="shared" si="15"/>
        <v>47</v>
      </c>
      <c r="S55" s="13">
        <f t="shared" si="15"/>
        <v>41</v>
      </c>
      <c r="T55" s="13">
        <f t="shared" si="15"/>
        <v>76</v>
      </c>
      <c r="U55" s="13">
        <f t="shared" si="15"/>
        <v>117</v>
      </c>
      <c r="V55" s="13">
        <f t="shared" si="15"/>
        <v>34</v>
      </c>
      <c r="W55" s="13">
        <f t="shared" si="15"/>
        <v>51</v>
      </c>
      <c r="X55" s="13">
        <f t="shared" si="15"/>
        <v>73</v>
      </c>
      <c r="Y55" s="13">
        <f t="shared" si="15"/>
        <v>95</v>
      </c>
      <c r="Z55" s="13">
        <f t="shared" si="15"/>
        <v>84</v>
      </c>
      <c r="AA55" s="13">
        <f t="shared" si="15"/>
        <v>58</v>
      </c>
      <c r="AB55" s="13">
        <f t="shared" si="15"/>
        <v>1149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11.0</v>
      </c>
      <c r="F57" s="74">
        <v>15.0</v>
      </c>
      <c r="G57" s="74">
        <v>9.0</v>
      </c>
      <c r="H57" s="74">
        <v>15.0</v>
      </c>
      <c r="I57" s="74">
        <v>16.0</v>
      </c>
      <c r="J57" s="74">
        <v>11.0</v>
      </c>
      <c r="K57" s="74">
        <v>8.0</v>
      </c>
      <c r="L57" s="74">
        <v>17.0</v>
      </c>
      <c r="M57" s="74">
        <v>18.0</v>
      </c>
      <c r="N57" s="74">
        <v>12.0</v>
      </c>
      <c r="O57" s="74">
        <v>11.0</v>
      </c>
      <c r="P57" s="74">
        <v>17.0</v>
      </c>
      <c r="Q57" s="74">
        <v>12.0</v>
      </c>
      <c r="R57" s="74">
        <v>13.0</v>
      </c>
      <c r="S57" s="74">
        <v>15.0</v>
      </c>
      <c r="T57" s="74">
        <v>6.0</v>
      </c>
      <c r="U57" s="74">
        <v>7.0</v>
      </c>
      <c r="V57" s="74">
        <v>9.0</v>
      </c>
      <c r="W57" s="74">
        <v>26.0</v>
      </c>
      <c r="X57" s="74">
        <v>12.0</v>
      </c>
      <c r="Y57" s="74">
        <v>9.0</v>
      </c>
      <c r="Z57" s="74">
        <v>15.0</v>
      </c>
      <c r="AA57" s="74">
        <v>11.0</v>
      </c>
      <c r="AB57" s="13">
        <f t="shared" ref="AB57:AB66" si="16">SUM(E57:AA57)</f>
        <v>295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8.0</v>
      </c>
      <c r="F58" s="74">
        <v>6.0</v>
      </c>
      <c r="G58" s="74">
        <v>2.0</v>
      </c>
      <c r="H58" s="74">
        <v>15.0</v>
      </c>
      <c r="I58" s="74">
        <v>9.0</v>
      </c>
      <c r="J58" s="74">
        <v>6.0</v>
      </c>
      <c r="K58" s="74">
        <v>8.0</v>
      </c>
      <c r="L58" s="74">
        <v>6.0</v>
      </c>
      <c r="M58" s="74">
        <v>10.0</v>
      </c>
      <c r="N58" s="74">
        <v>9.0</v>
      </c>
      <c r="O58" s="74">
        <v>3.0</v>
      </c>
      <c r="P58" s="74">
        <v>7.0</v>
      </c>
      <c r="Q58" s="74">
        <v>4.0</v>
      </c>
      <c r="R58" s="74">
        <v>5.0</v>
      </c>
      <c r="S58" s="74">
        <v>5.0</v>
      </c>
      <c r="T58" s="74">
        <v>9.0</v>
      </c>
      <c r="U58" s="74">
        <v>7.0</v>
      </c>
      <c r="V58" s="74">
        <v>8.0</v>
      </c>
      <c r="W58" s="74">
        <v>4.0</v>
      </c>
      <c r="X58" s="74">
        <v>9.0</v>
      </c>
      <c r="Y58" s="74">
        <v>5.0</v>
      </c>
      <c r="Z58" s="74">
        <v>8.0</v>
      </c>
      <c r="AA58" s="74">
        <v>8.0</v>
      </c>
      <c r="AB58" s="13">
        <f t="shared" si="16"/>
        <v>161</v>
      </c>
    </row>
    <row r="59" ht="12.75" customHeight="1">
      <c r="A59" s="18"/>
      <c r="B59" s="55"/>
      <c r="C59" s="50" t="s">
        <v>52</v>
      </c>
      <c r="D59" s="56"/>
      <c r="E59" s="74">
        <v>9.0</v>
      </c>
      <c r="F59" s="74">
        <v>8.0</v>
      </c>
      <c r="G59" s="74">
        <v>5.0</v>
      </c>
      <c r="H59" s="74">
        <v>7.0</v>
      </c>
      <c r="I59" s="74">
        <v>5.0</v>
      </c>
      <c r="J59" s="74">
        <v>4.0</v>
      </c>
      <c r="K59" s="74">
        <v>4.0</v>
      </c>
      <c r="L59" s="74">
        <v>2.0</v>
      </c>
      <c r="M59" s="74">
        <v>1.0</v>
      </c>
      <c r="N59" s="74">
        <v>4.0</v>
      </c>
      <c r="O59" s="74">
        <v>4.0</v>
      </c>
      <c r="P59" s="74">
        <v>3.0</v>
      </c>
      <c r="Q59" s="74">
        <v>4.0</v>
      </c>
      <c r="R59" s="74">
        <v>3.0</v>
      </c>
      <c r="S59" s="74">
        <v>3.0</v>
      </c>
      <c r="T59" s="74">
        <v>2.0</v>
      </c>
      <c r="U59" s="74">
        <v>5.0</v>
      </c>
      <c r="V59" s="74">
        <v>5.0</v>
      </c>
      <c r="W59" s="74">
        <v>5.0</v>
      </c>
      <c r="X59" s="74">
        <v>0.0</v>
      </c>
      <c r="Y59" s="74">
        <v>2.0</v>
      </c>
      <c r="Z59" s="74">
        <v>5.0</v>
      </c>
      <c r="AA59" s="74">
        <v>5.0</v>
      </c>
      <c r="AB59" s="13">
        <f t="shared" si="16"/>
        <v>95</v>
      </c>
    </row>
    <row r="60" ht="12.75" customHeight="1">
      <c r="A60" s="18"/>
      <c r="B60" s="55"/>
      <c r="C60" s="50" t="s">
        <v>53</v>
      </c>
      <c r="D60" s="56"/>
      <c r="E60" s="74">
        <v>5.0</v>
      </c>
      <c r="F60" s="74">
        <v>1.0</v>
      </c>
      <c r="G60" s="74">
        <v>4.0</v>
      </c>
      <c r="H60" s="74">
        <v>1.0</v>
      </c>
      <c r="I60" s="74">
        <v>3.0</v>
      </c>
      <c r="J60" s="74">
        <v>4.0</v>
      </c>
      <c r="K60" s="74">
        <v>5.0</v>
      </c>
      <c r="L60" s="74">
        <v>3.0</v>
      </c>
      <c r="M60" s="74">
        <v>6.0</v>
      </c>
      <c r="N60" s="74">
        <v>2.0</v>
      </c>
      <c r="O60" s="74">
        <v>2.0</v>
      </c>
      <c r="P60" s="74">
        <v>5.0</v>
      </c>
      <c r="Q60" s="74">
        <v>2.0</v>
      </c>
      <c r="R60" s="74">
        <v>3.0</v>
      </c>
      <c r="S60" s="74">
        <v>2.0</v>
      </c>
      <c r="T60" s="74">
        <v>1.0</v>
      </c>
      <c r="U60" s="74">
        <v>2.0</v>
      </c>
      <c r="V60" s="74">
        <v>4.0</v>
      </c>
      <c r="W60" s="74">
        <v>1.0</v>
      </c>
      <c r="X60" s="74">
        <v>9.0</v>
      </c>
      <c r="Y60" s="74">
        <v>3.0</v>
      </c>
      <c r="Z60" s="74">
        <v>6.0</v>
      </c>
      <c r="AA60" s="74">
        <v>1.0</v>
      </c>
      <c r="AB60" s="13">
        <f t="shared" si="16"/>
        <v>75</v>
      </c>
    </row>
    <row r="61" ht="12.75" customHeight="1">
      <c r="A61" s="18"/>
      <c r="B61" s="55"/>
      <c r="C61" s="50" t="s">
        <v>54</v>
      </c>
      <c r="D61" s="56"/>
      <c r="E61" s="74">
        <v>49.0</v>
      </c>
      <c r="F61" s="74">
        <v>11.0</v>
      </c>
      <c r="G61" s="74">
        <v>20.0</v>
      </c>
      <c r="H61" s="74">
        <v>8.0</v>
      </c>
      <c r="I61" s="74">
        <v>2.0</v>
      </c>
      <c r="J61" s="74">
        <v>5.0</v>
      </c>
      <c r="K61" s="74">
        <v>9.0</v>
      </c>
      <c r="L61" s="74">
        <v>18.0</v>
      </c>
      <c r="M61" s="74">
        <v>6.0</v>
      </c>
      <c r="N61" s="74">
        <v>26.0</v>
      </c>
      <c r="O61" s="74">
        <v>41.0</v>
      </c>
      <c r="P61" s="74">
        <v>10.0</v>
      </c>
      <c r="Q61" s="74">
        <v>4.0</v>
      </c>
      <c r="R61" s="74">
        <v>5.0</v>
      </c>
      <c r="S61" s="74">
        <v>3.0</v>
      </c>
      <c r="T61" s="74">
        <v>4.0</v>
      </c>
      <c r="U61" s="74">
        <v>3.0</v>
      </c>
      <c r="V61" s="74">
        <v>8.0</v>
      </c>
      <c r="W61" s="74">
        <v>19.0</v>
      </c>
      <c r="X61" s="74">
        <v>4.0</v>
      </c>
      <c r="Y61" s="74">
        <v>1.0</v>
      </c>
      <c r="Z61" s="74">
        <v>3.0</v>
      </c>
      <c r="AA61" s="74">
        <v>7.0</v>
      </c>
      <c r="AB61" s="13">
        <f t="shared" si="16"/>
        <v>266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0.0</v>
      </c>
      <c r="H62" s="74">
        <v>1.0</v>
      </c>
      <c r="I62" s="74">
        <v>1.0</v>
      </c>
      <c r="J62" s="74">
        <v>3.0</v>
      </c>
      <c r="K62" s="74">
        <v>1.0</v>
      </c>
      <c r="L62" s="74">
        <v>1.0</v>
      </c>
      <c r="M62" s="74">
        <v>5.0</v>
      </c>
      <c r="N62" s="74">
        <v>2.0</v>
      </c>
      <c r="O62" s="74">
        <v>4.0</v>
      </c>
      <c r="P62" s="74">
        <v>4.0</v>
      </c>
      <c r="Q62" s="74">
        <v>1.0</v>
      </c>
      <c r="R62" s="74">
        <v>4.0</v>
      </c>
      <c r="S62" s="74">
        <v>2.0</v>
      </c>
      <c r="T62" s="74">
        <v>2.0</v>
      </c>
      <c r="U62" s="74">
        <v>2.0</v>
      </c>
      <c r="V62" s="74">
        <v>1.0</v>
      </c>
      <c r="W62" s="74">
        <v>2.0</v>
      </c>
      <c r="X62" s="74">
        <v>0.0</v>
      </c>
      <c r="Y62" s="74">
        <v>1.0</v>
      </c>
      <c r="Z62" s="74">
        <v>2.0</v>
      </c>
      <c r="AA62" s="74">
        <v>2.0</v>
      </c>
      <c r="AB62" s="13">
        <f t="shared" si="16"/>
        <v>42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1.0</v>
      </c>
      <c r="H63" s="74">
        <v>0.0</v>
      </c>
      <c r="I63" s="74">
        <v>1.0</v>
      </c>
      <c r="J63" s="74">
        <v>0.0</v>
      </c>
      <c r="K63" s="74">
        <v>0.0</v>
      </c>
      <c r="L63" s="74">
        <v>0.0</v>
      </c>
      <c r="M63" s="74">
        <v>1.0</v>
      </c>
      <c r="N63" s="74">
        <v>1.0</v>
      </c>
      <c r="O63" s="74">
        <v>1.0</v>
      </c>
      <c r="P63" s="74">
        <v>2.0</v>
      </c>
      <c r="Q63" s="74">
        <v>1.0</v>
      </c>
      <c r="R63" s="74">
        <v>0.0</v>
      </c>
      <c r="S63" s="74">
        <v>0.0</v>
      </c>
      <c r="T63" s="74">
        <v>0.0</v>
      </c>
      <c r="U63" s="74">
        <v>1.0</v>
      </c>
      <c r="V63" s="74">
        <v>3.0</v>
      </c>
      <c r="W63" s="74">
        <v>0.0</v>
      </c>
      <c r="X63" s="74">
        <v>2.0</v>
      </c>
      <c r="Y63" s="74">
        <v>1.0</v>
      </c>
      <c r="Z63" s="74">
        <v>0.0</v>
      </c>
      <c r="AA63" s="74">
        <v>0.0</v>
      </c>
      <c r="AB63" s="13">
        <f t="shared" si="16"/>
        <v>15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1.0</v>
      </c>
      <c r="G64" s="74">
        <v>0.0</v>
      </c>
      <c r="H64" s="74">
        <v>0.0</v>
      </c>
      <c r="I64" s="74">
        <v>0.0</v>
      </c>
      <c r="J64" s="74">
        <v>1.0</v>
      </c>
      <c r="K64" s="74">
        <v>0.0</v>
      </c>
      <c r="L64" s="74">
        <v>1.0</v>
      </c>
      <c r="M64" s="74">
        <v>0.0</v>
      </c>
      <c r="N64" s="74">
        <v>0.0</v>
      </c>
      <c r="O64" s="74">
        <v>0.0</v>
      </c>
      <c r="P64" s="74">
        <v>0.0</v>
      </c>
      <c r="Q64" s="74">
        <v>1.0</v>
      </c>
      <c r="R64" s="74">
        <v>0.0</v>
      </c>
      <c r="S64" s="74">
        <v>1.0</v>
      </c>
      <c r="T64" s="74">
        <v>0.0</v>
      </c>
      <c r="U64" s="74">
        <v>1.0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0.0</v>
      </c>
      <c r="AB64" s="13">
        <f t="shared" si="16"/>
        <v>7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1.0</v>
      </c>
      <c r="K65" s="74">
        <v>0.0</v>
      </c>
      <c r="L65" s="74">
        <v>1.0</v>
      </c>
      <c r="M65" s="74">
        <v>0.0</v>
      </c>
      <c r="N65" s="74">
        <v>1.0</v>
      </c>
      <c r="O65" s="74">
        <v>0.0</v>
      </c>
      <c r="P65" s="74">
        <v>0.0</v>
      </c>
      <c r="Q65" s="74">
        <v>0.0</v>
      </c>
      <c r="R65" s="74">
        <v>1.0</v>
      </c>
      <c r="S65" s="74">
        <v>0.0</v>
      </c>
      <c r="T65" s="74">
        <v>1.0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13">
        <f t="shared" si="16"/>
        <v>5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1.0</v>
      </c>
      <c r="G66" s="74">
        <v>0.0</v>
      </c>
      <c r="H66" s="74">
        <v>2.0</v>
      </c>
      <c r="I66" s="74">
        <v>1.0</v>
      </c>
      <c r="J66" s="74">
        <v>3.0</v>
      </c>
      <c r="K66" s="74">
        <v>0.0</v>
      </c>
      <c r="L66" s="74">
        <v>2.0</v>
      </c>
      <c r="M66" s="74">
        <v>0.0</v>
      </c>
      <c r="N66" s="74">
        <v>1.0</v>
      </c>
      <c r="O66" s="74">
        <v>2.0</v>
      </c>
      <c r="P66" s="74">
        <v>0.0</v>
      </c>
      <c r="Q66" s="74">
        <v>0.0</v>
      </c>
      <c r="R66" s="74">
        <v>0.0</v>
      </c>
      <c r="S66" s="74">
        <v>0.0</v>
      </c>
      <c r="T66" s="74">
        <v>2.0</v>
      </c>
      <c r="U66" s="74">
        <v>1.0</v>
      </c>
      <c r="V66" s="74">
        <v>1.0</v>
      </c>
      <c r="W66" s="74">
        <v>2.0</v>
      </c>
      <c r="X66" s="74">
        <v>1.0</v>
      </c>
      <c r="Y66" s="74">
        <v>0.0</v>
      </c>
      <c r="Z66" s="74">
        <v>0.0</v>
      </c>
      <c r="AA66" s="74">
        <v>1.0</v>
      </c>
      <c r="AB66" s="13">
        <f t="shared" si="16"/>
        <v>21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B67" si="17">SUM(E57:E66)</f>
        <v>85</v>
      </c>
      <c r="F67" s="13">
        <f t="shared" si="17"/>
        <v>43</v>
      </c>
      <c r="G67" s="13">
        <f t="shared" si="17"/>
        <v>41</v>
      </c>
      <c r="H67" s="13">
        <f t="shared" si="17"/>
        <v>49</v>
      </c>
      <c r="I67" s="13">
        <f t="shared" si="17"/>
        <v>38</v>
      </c>
      <c r="J67" s="13">
        <f t="shared" si="17"/>
        <v>38</v>
      </c>
      <c r="K67" s="13">
        <f t="shared" si="17"/>
        <v>35</v>
      </c>
      <c r="L67" s="13">
        <f t="shared" si="17"/>
        <v>51</v>
      </c>
      <c r="M67" s="13">
        <f t="shared" si="17"/>
        <v>47</v>
      </c>
      <c r="N67" s="13">
        <f t="shared" si="17"/>
        <v>58</v>
      </c>
      <c r="O67" s="13">
        <f t="shared" si="17"/>
        <v>68</v>
      </c>
      <c r="P67" s="13">
        <f t="shared" si="17"/>
        <v>48</v>
      </c>
      <c r="Q67" s="13">
        <f t="shared" si="17"/>
        <v>29</v>
      </c>
      <c r="R67" s="13">
        <f t="shared" si="17"/>
        <v>34</v>
      </c>
      <c r="S67" s="13">
        <f t="shared" si="17"/>
        <v>31</v>
      </c>
      <c r="T67" s="13">
        <f t="shared" si="17"/>
        <v>27</v>
      </c>
      <c r="U67" s="13">
        <f t="shared" si="17"/>
        <v>29</v>
      </c>
      <c r="V67" s="13">
        <f t="shared" si="17"/>
        <v>39</v>
      </c>
      <c r="W67" s="13">
        <f t="shared" si="17"/>
        <v>59</v>
      </c>
      <c r="X67" s="13">
        <f t="shared" si="17"/>
        <v>37</v>
      </c>
      <c r="Y67" s="13">
        <f t="shared" si="17"/>
        <v>22</v>
      </c>
      <c r="Z67" s="13">
        <f t="shared" si="17"/>
        <v>39</v>
      </c>
      <c r="AA67" s="13">
        <f t="shared" si="17"/>
        <v>35</v>
      </c>
      <c r="AB67" s="13">
        <f t="shared" si="17"/>
        <v>982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15.0</v>
      </c>
      <c r="F69" s="74">
        <v>14.0</v>
      </c>
      <c r="G69" s="74">
        <v>22.0</v>
      </c>
      <c r="H69" s="74">
        <v>11.0</v>
      </c>
      <c r="I69" s="74">
        <v>21.0</v>
      </c>
      <c r="J69" s="74">
        <v>12.0</v>
      </c>
      <c r="K69" s="74">
        <v>10.0</v>
      </c>
      <c r="L69" s="74">
        <v>10.0</v>
      </c>
      <c r="M69" s="74">
        <v>5.0</v>
      </c>
      <c r="N69" s="74">
        <v>12.0</v>
      </c>
      <c r="O69" s="74">
        <v>11.0</v>
      </c>
      <c r="P69" s="74">
        <v>7.0</v>
      </c>
      <c r="Q69" s="74">
        <v>6.0</v>
      </c>
      <c r="R69" s="74">
        <v>15.0</v>
      </c>
      <c r="S69" s="74">
        <v>24.0</v>
      </c>
      <c r="T69" s="74">
        <v>5.0</v>
      </c>
      <c r="U69" s="74">
        <v>14.0</v>
      </c>
      <c r="V69" s="74">
        <v>14.0</v>
      </c>
      <c r="W69" s="74">
        <v>21.0</v>
      </c>
      <c r="X69" s="74">
        <v>6.0</v>
      </c>
      <c r="Y69" s="74">
        <v>10.0</v>
      </c>
      <c r="Z69" s="74">
        <v>3.0</v>
      </c>
      <c r="AA69" s="74">
        <v>7.0</v>
      </c>
      <c r="AB69" s="13">
        <f t="shared" ref="AB69:AB78" si="18">SUM(E69:AA69)</f>
        <v>275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12.0</v>
      </c>
      <c r="F70" s="74">
        <v>37.0</v>
      </c>
      <c r="G70" s="74">
        <v>42.0</v>
      </c>
      <c r="H70" s="74">
        <v>10.0</v>
      </c>
      <c r="I70" s="74">
        <v>30.0</v>
      </c>
      <c r="J70" s="74">
        <v>10.0</v>
      </c>
      <c r="K70" s="74">
        <v>4.0</v>
      </c>
      <c r="L70" s="74">
        <v>6.0</v>
      </c>
      <c r="M70" s="74">
        <v>2.0</v>
      </c>
      <c r="N70" s="74">
        <v>4.0</v>
      </c>
      <c r="O70" s="74">
        <v>3.0</v>
      </c>
      <c r="P70" s="74">
        <v>3.0</v>
      </c>
      <c r="Q70" s="74">
        <v>2.0</v>
      </c>
      <c r="R70" s="74">
        <v>3.0</v>
      </c>
      <c r="S70" s="74">
        <v>11.0</v>
      </c>
      <c r="T70" s="74">
        <v>1.0</v>
      </c>
      <c r="U70" s="74">
        <v>6.0</v>
      </c>
      <c r="V70" s="74">
        <v>6.0</v>
      </c>
      <c r="W70" s="74">
        <v>5.0</v>
      </c>
      <c r="X70" s="74">
        <v>3.0</v>
      </c>
      <c r="Y70" s="74">
        <v>1.0</v>
      </c>
      <c r="Z70" s="74">
        <v>0.0</v>
      </c>
      <c r="AA70" s="74">
        <v>4.0</v>
      </c>
      <c r="AB70" s="13">
        <f t="shared" si="18"/>
        <v>205</v>
      </c>
    </row>
    <row r="71" ht="12.75" customHeight="1">
      <c r="A71" s="18"/>
      <c r="B71" s="55"/>
      <c r="C71" s="50" t="s">
        <v>62</v>
      </c>
      <c r="D71" s="57"/>
      <c r="E71" s="74">
        <v>14.0</v>
      </c>
      <c r="F71" s="74">
        <v>4.0</v>
      </c>
      <c r="G71" s="74">
        <v>17.0</v>
      </c>
      <c r="H71" s="74">
        <v>5.0</v>
      </c>
      <c r="I71" s="74">
        <v>6.0</v>
      </c>
      <c r="J71" s="74">
        <v>10.0</v>
      </c>
      <c r="K71" s="74">
        <v>5.0</v>
      </c>
      <c r="L71" s="74">
        <v>1.0</v>
      </c>
      <c r="M71" s="74">
        <v>3.0</v>
      </c>
      <c r="N71" s="74">
        <v>3.0</v>
      </c>
      <c r="O71" s="74">
        <v>3.0</v>
      </c>
      <c r="P71" s="74">
        <v>2.0</v>
      </c>
      <c r="Q71" s="74">
        <v>4.0</v>
      </c>
      <c r="R71" s="74">
        <v>13.0</v>
      </c>
      <c r="S71" s="74">
        <v>14.0</v>
      </c>
      <c r="T71" s="74">
        <v>7.0</v>
      </c>
      <c r="U71" s="74">
        <v>3.0</v>
      </c>
      <c r="V71" s="74">
        <v>2.0</v>
      </c>
      <c r="W71" s="74">
        <v>5.0</v>
      </c>
      <c r="X71" s="74">
        <v>0.0</v>
      </c>
      <c r="Y71" s="74">
        <v>1.0</v>
      </c>
      <c r="Z71" s="74">
        <v>4.0</v>
      </c>
      <c r="AA71" s="74">
        <v>3.0</v>
      </c>
      <c r="AB71" s="13">
        <f t="shared" si="18"/>
        <v>129</v>
      </c>
    </row>
    <row r="72" ht="12.75" customHeight="1">
      <c r="A72" s="18"/>
      <c r="B72" s="55"/>
      <c r="C72" s="50" t="s">
        <v>63</v>
      </c>
      <c r="D72" s="57"/>
      <c r="E72" s="74">
        <v>4.0</v>
      </c>
      <c r="F72" s="74">
        <v>6.0</v>
      </c>
      <c r="G72" s="74">
        <v>3.0</v>
      </c>
      <c r="H72" s="74">
        <v>12.0</v>
      </c>
      <c r="I72" s="74">
        <v>4.0</v>
      </c>
      <c r="J72" s="74">
        <v>5.0</v>
      </c>
      <c r="K72" s="74">
        <v>5.0</v>
      </c>
      <c r="L72" s="74">
        <v>4.0</v>
      </c>
      <c r="M72" s="74">
        <v>4.0</v>
      </c>
      <c r="N72" s="74">
        <v>1.0</v>
      </c>
      <c r="O72" s="74">
        <v>5.0</v>
      </c>
      <c r="P72" s="74">
        <v>3.0</v>
      </c>
      <c r="Q72" s="74">
        <v>1.0</v>
      </c>
      <c r="R72" s="74">
        <v>4.0</v>
      </c>
      <c r="S72" s="74">
        <v>5.0</v>
      </c>
      <c r="T72" s="74">
        <v>6.0</v>
      </c>
      <c r="U72" s="74">
        <v>0.0</v>
      </c>
      <c r="V72" s="74">
        <v>3.0</v>
      </c>
      <c r="W72" s="74">
        <v>3.0</v>
      </c>
      <c r="X72" s="74">
        <v>1.0</v>
      </c>
      <c r="Y72" s="74">
        <v>3.0</v>
      </c>
      <c r="Z72" s="74">
        <v>2.0</v>
      </c>
      <c r="AA72" s="74">
        <v>3.0</v>
      </c>
      <c r="AB72" s="13">
        <f t="shared" si="18"/>
        <v>87</v>
      </c>
    </row>
    <row r="73" ht="12.75" customHeight="1">
      <c r="A73" s="18"/>
      <c r="B73" s="55"/>
      <c r="C73" s="50" t="s">
        <v>64</v>
      </c>
      <c r="D73" s="57"/>
      <c r="E73" s="74">
        <v>9.0</v>
      </c>
      <c r="F73" s="74">
        <v>11.0</v>
      </c>
      <c r="G73" s="74">
        <v>8.0</v>
      </c>
      <c r="H73" s="74">
        <v>7.0</v>
      </c>
      <c r="I73" s="74">
        <v>3.0</v>
      </c>
      <c r="J73" s="74">
        <v>2.0</v>
      </c>
      <c r="K73" s="74">
        <v>3.0</v>
      </c>
      <c r="L73" s="74">
        <v>2.0</v>
      </c>
      <c r="M73" s="74">
        <v>2.0</v>
      </c>
      <c r="N73" s="74">
        <v>1.0</v>
      </c>
      <c r="O73" s="74">
        <v>3.0</v>
      </c>
      <c r="P73" s="74">
        <v>0.0</v>
      </c>
      <c r="Q73" s="74">
        <v>1.0</v>
      </c>
      <c r="R73" s="74">
        <v>10.0</v>
      </c>
      <c r="S73" s="74">
        <v>10.0</v>
      </c>
      <c r="T73" s="74">
        <v>4.0</v>
      </c>
      <c r="U73" s="74">
        <v>2.0</v>
      </c>
      <c r="V73" s="74">
        <v>2.0</v>
      </c>
      <c r="W73" s="74">
        <v>0.0</v>
      </c>
      <c r="X73" s="74">
        <v>1.0</v>
      </c>
      <c r="Y73" s="74">
        <v>3.0</v>
      </c>
      <c r="Z73" s="74">
        <v>3.0</v>
      </c>
      <c r="AA73" s="74">
        <v>1.0</v>
      </c>
      <c r="AB73" s="13">
        <f t="shared" si="18"/>
        <v>88</v>
      </c>
    </row>
    <row r="74" ht="12.75" customHeight="1">
      <c r="A74" s="18"/>
      <c r="B74" s="55"/>
      <c r="C74" s="50" t="s">
        <v>65</v>
      </c>
      <c r="D74" s="57"/>
      <c r="E74" s="74">
        <v>2.0</v>
      </c>
      <c r="F74" s="74">
        <v>3.0</v>
      </c>
      <c r="G74" s="74">
        <v>3.0</v>
      </c>
      <c r="H74" s="74">
        <v>0.0</v>
      </c>
      <c r="I74" s="74">
        <v>2.0</v>
      </c>
      <c r="J74" s="74">
        <v>1.0</v>
      </c>
      <c r="K74" s="74">
        <v>1.0</v>
      </c>
      <c r="L74" s="74">
        <v>1.0</v>
      </c>
      <c r="M74" s="74">
        <v>1.0</v>
      </c>
      <c r="N74" s="74">
        <v>2.0</v>
      </c>
      <c r="O74" s="74">
        <v>4.0</v>
      </c>
      <c r="P74" s="74">
        <v>0.0</v>
      </c>
      <c r="Q74" s="74">
        <v>0.0</v>
      </c>
      <c r="R74" s="74">
        <v>2.0</v>
      </c>
      <c r="S74" s="74">
        <v>5.0</v>
      </c>
      <c r="T74" s="74">
        <v>2.0</v>
      </c>
      <c r="U74" s="74">
        <v>1.0</v>
      </c>
      <c r="V74" s="74">
        <v>0.0</v>
      </c>
      <c r="W74" s="74">
        <v>3.0</v>
      </c>
      <c r="X74" s="74">
        <v>4.0</v>
      </c>
      <c r="Y74" s="74">
        <v>2.0</v>
      </c>
      <c r="Z74" s="74">
        <v>3.0</v>
      </c>
      <c r="AA74" s="74">
        <v>3.0</v>
      </c>
      <c r="AB74" s="13">
        <f t="shared" si="18"/>
        <v>45</v>
      </c>
    </row>
    <row r="75" ht="12.75" customHeight="1">
      <c r="A75" s="18"/>
      <c r="B75" s="55"/>
      <c r="C75" s="50" t="s">
        <v>66</v>
      </c>
      <c r="D75" s="57"/>
      <c r="E75" s="74">
        <v>5.0</v>
      </c>
      <c r="F75" s="74">
        <v>2.0</v>
      </c>
      <c r="G75" s="74">
        <v>0.0</v>
      </c>
      <c r="H75" s="74">
        <v>1.0</v>
      </c>
      <c r="I75" s="74">
        <v>0.0</v>
      </c>
      <c r="J75" s="74">
        <v>0.0</v>
      </c>
      <c r="K75" s="74">
        <v>1.0</v>
      </c>
      <c r="L75" s="74">
        <v>2.0</v>
      </c>
      <c r="M75" s="74">
        <v>2.0</v>
      </c>
      <c r="N75" s="74">
        <v>1.0</v>
      </c>
      <c r="O75" s="74">
        <v>0.0</v>
      </c>
      <c r="P75" s="74">
        <v>5.0</v>
      </c>
      <c r="Q75" s="74">
        <v>0.0</v>
      </c>
      <c r="R75" s="74">
        <v>3.0</v>
      </c>
      <c r="S75" s="74">
        <v>1.0</v>
      </c>
      <c r="T75" s="74">
        <v>3.0</v>
      </c>
      <c r="U75" s="74">
        <v>1.0</v>
      </c>
      <c r="V75" s="74">
        <v>0.0</v>
      </c>
      <c r="W75" s="74">
        <v>2.0</v>
      </c>
      <c r="X75" s="74">
        <v>2.0</v>
      </c>
      <c r="Y75" s="74">
        <v>2.0</v>
      </c>
      <c r="Z75" s="74">
        <v>0.0</v>
      </c>
      <c r="AA75" s="74">
        <v>1.0</v>
      </c>
      <c r="AB75" s="13">
        <f t="shared" si="18"/>
        <v>34</v>
      </c>
    </row>
    <row r="76" ht="12.75" customHeight="1">
      <c r="A76" s="18"/>
      <c r="B76" s="55"/>
      <c r="C76" s="50" t="s">
        <v>67</v>
      </c>
      <c r="D76" s="57"/>
      <c r="E76" s="74">
        <v>2.0</v>
      </c>
      <c r="F76" s="74">
        <v>0.0</v>
      </c>
      <c r="G76" s="74">
        <v>0.0</v>
      </c>
      <c r="H76" s="74">
        <v>0.0</v>
      </c>
      <c r="I76" s="74">
        <v>1.0</v>
      </c>
      <c r="J76" s="74">
        <v>0.0</v>
      </c>
      <c r="K76" s="74">
        <v>1.0</v>
      </c>
      <c r="L76" s="74">
        <v>0.0</v>
      </c>
      <c r="M76" s="74">
        <v>0.0</v>
      </c>
      <c r="N76" s="74">
        <v>1.0</v>
      </c>
      <c r="O76" s="74">
        <v>2.0</v>
      </c>
      <c r="P76" s="74">
        <v>0.0</v>
      </c>
      <c r="Q76" s="74">
        <v>1.0</v>
      </c>
      <c r="R76" s="74">
        <v>1.0</v>
      </c>
      <c r="S76" s="74">
        <v>6.0</v>
      </c>
      <c r="T76" s="74">
        <v>4.0</v>
      </c>
      <c r="U76" s="74">
        <v>0.0</v>
      </c>
      <c r="V76" s="74">
        <v>0.0</v>
      </c>
      <c r="W76" s="74">
        <v>1.0</v>
      </c>
      <c r="X76" s="74">
        <v>1.0</v>
      </c>
      <c r="Y76" s="74">
        <v>0.0</v>
      </c>
      <c r="Z76" s="74">
        <v>0.0</v>
      </c>
      <c r="AA76" s="74">
        <v>1.0</v>
      </c>
      <c r="AB76" s="13">
        <f t="shared" si="18"/>
        <v>22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1.0</v>
      </c>
      <c r="G77" s="74">
        <v>1.0</v>
      </c>
      <c r="H77" s="74">
        <v>0.0</v>
      </c>
      <c r="I77" s="74">
        <v>0.0</v>
      </c>
      <c r="J77" s="74">
        <v>1.0</v>
      </c>
      <c r="K77" s="74">
        <v>1.0</v>
      </c>
      <c r="L77" s="74">
        <v>1.0</v>
      </c>
      <c r="M77" s="74">
        <v>1.0</v>
      </c>
      <c r="N77" s="74">
        <v>2.0</v>
      </c>
      <c r="O77" s="74">
        <v>2.0</v>
      </c>
      <c r="P77" s="74">
        <v>3.0</v>
      </c>
      <c r="Q77" s="74">
        <v>0.0</v>
      </c>
      <c r="R77" s="74">
        <v>0.0</v>
      </c>
      <c r="S77" s="74">
        <v>2.0</v>
      </c>
      <c r="T77" s="74">
        <v>1.0</v>
      </c>
      <c r="U77" s="74">
        <v>1.0</v>
      </c>
      <c r="V77" s="74">
        <v>2.0</v>
      </c>
      <c r="W77" s="74">
        <v>0.0</v>
      </c>
      <c r="X77" s="74">
        <v>0.0</v>
      </c>
      <c r="Y77" s="74">
        <v>1.0</v>
      </c>
      <c r="Z77" s="74">
        <v>0.0</v>
      </c>
      <c r="AA77" s="74">
        <v>2.0</v>
      </c>
      <c r="AB77" s="13">
        <f t="shared" si="18"/>
        <v>23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2.0</v>
      </c>
      <c r="G78" s="74">
        <v>4.0</v>
      </c>
      <c r="H78" s="74">
        <v>2.0</v>
      </c>
      <c r="I78" s="74">
        <v>1.0</v>
      </c>
      <c r="J78" s="74">
        <v>1.0</v>
      </c>
      <c r="K78" s="74">
        <v>3.0</v>
      </c>
      <c r="L78" s="74">
        <v>0.0</v>
      </c>
      <c r="M78" s="74">
        <v>0.0</v>
      </c>
      <c r="N78" s="74">
        <v>0.0</v>
      </c>
      <c r="O78" s="74">
        <v>0.0</v>
      </c>
      <c r="P78" s="74">
        <v>1.0</v>
      </c>
      <c r="Q78" s="74">
        <v>2.0</v>
      </c>
      <c r="R78" s="74">
        <v>1.0</v>
      </c>
      <c r="S78" s="74">
        <v>6.0</v>
      </c>
      <c r="T78" s="74">
        <v>1.0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2.0</v>
      </c>
      <c r="AB78" s="13">
        <f t="shared" si="18"/>
        <v>26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B79" si="19">SUM(E69:E78)</f>
        <v>64</v>
      </c>
      <c r="F79" s="13">
        <f t="shared" si="19"/>
        <v>80</v>
      </c>
      <c r="G79" s="13">
        <f t="shared" si="19"/>
        <v>100</v>
      </c>
      <c r="H79" s="13">
        <f t="shared" si="19"/>
        <v>48</v>
      </c>
      <c r="I79" s="13">
        <f t="shared" si="19"/>
        <v>68</v>
      </c>
      <c r="J79" s="13">
        <f t="shared" si="19"/>
        <v>42</v>
      </c>
      <c r="K79" s="13">
        <f t="shared" si="19"/>
        <v>34</v>
      </c>
      <c r="L79" s="13">
        <f t="shared" si="19"/>
        <v>27</v>
      </c>
      <c r="M79" s="13">
        <f t="shared" si="19"/>
        <v>20</v>
      </c>
      <c r="N79" s="13">
        <f t="shared" si="19"/>
        <v>27</v>
      </c>
      <c r="O79" s="13">
        <f t="shared" si="19"/>
        <v>33</v>
      </c>
      <c r="P79" s="13">
        <f t="shared" si="19"/>
        <v>24</v>
      </c>
      <c r="Q79" s="13">
        <f t="shared" si="19"/>
        <v>17</v>
      </c>
      <c r="R79" s="13">
        <f t="shared" si="19"/>
        <v>52</v>
      </c>
      <c r="S79" s="13">
        <f t="shared" si="19"/>
        <v>84</v>
      </c>
      <c r="T79" s="13">
        <f t="shared" si="19"/>
        <v>34</v>
      </c>
      <c r="U79" s="13">
        <f t="shared" si="19"/>
        <v>28</v>
      </c>
      <c r="V79" s="13">
        <f t="shared" si="19"/>
        <v>29</v>
      </c>
      <c r="W79" s="13">
        <f t="shared" si="19"/>
        <v>40</v>
      </c>
      <c r="X79" s="13">
        <f t="shared" si="19"/>
        <v>18</v>
      </c>
      <c r="Y79" s="13">
        <f t="shared" si="19"/>
        <v>23</v>
      </c>
      <c r="Z79" s="13">
        <f t="shared" si="19"/>
        <v>15</v>
      </c>
      <c r="AA79" s="13">
        <f t="shared" si="19"/>
        <v>27</v>
      </c>
      <c r="AB79" s="13">
        <f t="shared" si="19"/>
        <v>934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3.0</v>
      </c>
      <c r="G81" s="74">
        <v>3.0</v>
      </c>
      <c r="H81" s="74">
        <v>10.0</v>
      </c>
      <c r="I81" s="74">
        <v>5.0</v>
      </c>
      <c r="J81" s="74">
        <v>4.0</v>
      </c>
      <c r="K81" s="74">
        <v>4.0</v>
      </c>
      <c r="L81" s="74">
        <v>6.0</v>
      </c>
      <c r="M81" s="74">
        <v>1.0</v>
      </c>
      <c r="N81" s="74">
        <v>3.0</v>
      </c>
      <c r="O81" s="74">
        <v>4.0</v>
      </c>
      <c r="P81" s="74">
        <v>10.0</v>
      </c>
      <c r="Q81" s="74">
        <v>4.0</v>
      </c>
      <c r="R81" s="74">
        <v>5.0</v>
      </c>
      <c r="S81" s="74">
        <v>2.0</v>
      </c>
      <c r="T81" s="74">
        <v>2.0</v>
      </c>
      <c r="U81" s="74">
        <v>4.0</v>
      </c>
      <c r="V81" s="74">
        <v>7.0</v>
      </c>
      <c r="W81" s="74">
        <v>5.0</v>
      </c>
      <c r="X81" s="74">
        <v>2.0</v>
      </c>
      <c r="Y81" s="74">
        <v>8.0</v>
      </c>
      <c r="Z81" s="74">
        <v>7.0</v>
      </c>
      <c r="AA81" s="74">
        <v>6.0</v>
      </c>
      <c r="AB81" s="13">
        <f t="shared" ref="AB81:AB90" si="20">SUM(E81:AA81)</f>
        <v>109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8.0</v>
      </c>
      <c r="F82" s="74">
        <v>11.0</v>
      </c>
      <c r="G82" s="74">
        <v>7.0</v>
      </c>
      <c r="H82" s="74">
        <v>7.0</v>
      </c>
      <c r="I82" s="74">
        <v>3.0</v>
      </c>
      <c r="J82" s="74">
        <v>4.0</v>
      </c>
      <c r="K82" s="74">
        <v>4.0</v>
      </c>
      <c r="L82" s="74">
        <v>8.0</v>
      </c>
      <c r="M82" s="74">
        <v>3.0</v>
      </c>
      <c r="N82" s="74">
        <v>5.0</v>
      </c>
      <c r="O82" s="74">
        <v>3.0</v>
      </c>
      <c r="P82" s="74">
        <v>4.0</v>
      </c>
      <c r="Q82" s="74">
        <v>6.0</v>
      </c>
      <c r="R82" s="74">
        <v>9.0</v>
      </c>
      <c r="S82" s="74">
        <v>11.0</v>
      </c>
      <c r="T82" s="74">
        <v>13.0</v>
      </c>
      <c r="U82" s="74">
        <v>4.0</v>
      </c>
      <c r="V82" s="74">
        <v>14.0</v>
      </c>
      <c r="W82" s="74">
        <v>1.0</v>
      </c>
      <c r="X82" s="74">
        <v>2.0</v>
      </c>
      <c r="Y82" s="74">
        <v>7.0</v>
      </c>
      <c r="Z82" s="74">
        <v>7.0</v>
      </c>
      <c r="AA82" s="74">
        <v>8.0</v>
      </c>
      <c r="AB82" s="13">
        <f t="shared" si="20"/>
        <v>149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1.0</v>
      </c>
      <c r="G83" s="74">
        <v>0.0</v>
      </c>
      <c r="H83" s="74">
        <v>3.0</v>
      </c>
      <c r="I83" s="74">
        <v>3.0</v>
      </c>
      <c r="J83" s="74">
        <v>2.0</v>
      </c>
      <c r="K83" s="74">
        <v>1.0</v>
      </c>
      <c r="L83" s="74">
        <v>1.0</v>
      </c>
      <c r="M83" s="74">
        <v>1.0</v>
      </c>
      <c r="N83" s="74">
        <v>0.0</v>
      </c>
      <c r="O83" s="74">
        <v>3.0</v>
      </c>
      <c r="P83" s="74">
        <v>4.0</v>
      </c>
      <c r="Q83" s="74">
        <v>1.0</v>
      </c>
      <c r="R83" s="74">
        <v>2.0</v>
      </c>
      <c r="S83" s="74">
        <v>1.0</v>
      </c>
      <c r="T83" s="74">
        <v>0.0</v>
      </c>
      <c r="U83" s="74">
        <v>0.0</v>
      </c>
      <c r="V83" s="74">
        <v>4.0</v>
      </c>
      <c r="W83" s="74">
        <v>1.0</v>
      </c>
      <c r="X83" s="74">
        <v>0.0</v>
      </c>
      <c r="Y83" s="74">
        <v>0.0</v>
      </c>
      <c r="Z83" s="74">
        <v>0.0</v>
      </c>
      <c r="AA83" s="74">
        <v>1.0</v>
      </c>
      <c r="AB83" s="13">
        <f t="shared" si="20"/>
        <v>29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1.0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1.0</v>
      </c>
      <c r="P84" s="74">
        <v>3.0</v>
      </c>
      <c r="Q84" s="74">
        <v>2.0</v>
      </c>
      <c r="R84" s="74">
        <v>1.0</v>
      </c>
      <c r="S84" s="74">
        <v>2.0</v>
      </c>
      <c r="T84" s="74">
        <v>0.0</v>
      </c>
      <c r="U84" s="74">
        <v>0.0</v>
      </c>
      <c r="V84" s="74">
        <v>1.0</v>
      </c>
      <c r="W84" s="74">
        <v>2.0</v>
      </c>
      <c r="X84" s="74">
        <v>0.0</v>
      </c>
      <c r="Y84" s="74">
        <v>0.0</v>
      </c>
      <c r="Z84" s="74">
        <v>0.0</v>
      </c>
      <c r="AA84" s="74">
        <v>2.0</v>
      </c>
      <c r="AB84" s="13">
        <f t="shared" si="20"/>
        <v>15</v>
      </c>
    </row>
    <row r="85" ht="12.75" customHeight="1">
      <c r="A85" s="18"/>
      <c r="B85" s="55"/>
      <c r="C85" s="50" t="s">
        <v>74</v>
      </c>
      <c r="D85" s="57"/>
      <c r="E85" s="74">
        <v>3.0</v>
      </c>
      <c r="F85" s="74">
        <v>1.0</v>
      </c>
      <c r="G85" s="74">
        <v>1.0</v>
      </c>
      <c r="H85" s="74">
        <v>2.0</v>
      </c>
      <c r="I85" s="74">
        <v>6.0</v>
      </c>
      <c r="J85" s="74">
        <v>4.0</v>
      </c>
      <c r="K85" s="74">
        <v>4.0</v>
      </c>
      <c r="L85" s="74">
        <v>1.0</v>
      </c>
      <c r="M85" s="74">
        <v>2.0</v>
      </c>
      <c r="N85" s="74">
        <v>2.0</v>
      </c>
      <c r="O85" s="74">
        <v>3.0</v>
      </c>
      <c r="P85" s="74">
        <v>5.0</v>
      </c>
      <c r="Q85" s="74">
        <v>4.0</v>
      </c>
      <c r="R85" s="74">
        <v>4.0</v>
      </c>
      <c r="S85" s="74">
        <v>2.0</v>
      </c>
      <c r="T85" s="74">
        <v>1.0</v>
      </c>
      <c r="U85" s="74">
        <v>0.0</v>
      </c>
      <c r="V85" s="74">
        <v>2.0</v>
      </c>
      <c r="W85" s="74">
        <v>1.0</v>
      </c>
      <c r="X85" s="74">
        <v>0.0</v>
      </c>
      <c r="Y85" s="74">
        <v>1.0</v>
      </c>
      <c r="Z85" s="74">
        <v>0.0</v>
      </c>
      <c r="AA85" s="74">
        <v>0.0</v>
      </c>
      <c r="AB85" s="13">
        <f t="shared" si="20"/>
        <v>49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1.0</v>
      </c>
      <c r="G86" s="74">
        <v>0.0</v>
      </c>
      <c r="H86" s="74">
        <v>0.0</v>
      </c>
      <c r="I86" s="74">
        <v>0.0</v>
      </c>
      <c r="J86" s="74">
        <v>0.0</v>
      </c>
      <c r="K86" s="74">
        <v>1.0</v>
      </c>
      <c r="L86" s="74">
        <v>1.0</v>
      </c>
      <c r="M86" s="74">
        <v>0.0</v>
      </c>
      <c r="N86" s="74">
        <v>1.0</v>
      </c>
      <c r="O86" s="74">
        <v>0.0</v>
      </c>
      <c r="P86" s="74">
        <v>0.0</v>
      </c>
      <c r="Q86" s="74">
        <v>0.0</v>
      </c>
      <c r="R86" s="74">
        <v>1.0</v>
      </c>
      <c r="S86" s="74">
        <v>0.0</v>
      </c>
      <c r="T86" s="74">
        <v>0.0</v>
      </c>
      <c r="U86" s="74">
        <v>0.0</v>
      </c>
      <c r="V86" s="74">
        <v>1.0</v>
      </c>
      <c r="W86" s="74">
        <v>1.0</v>
      </c>
      <c r="X86" s="74">
        <v>0.0</v>
      </c>
      <c r="Y86" s="74">
        <v>0.0</v>
      </c>
      <c r="Z86" s="74">
        <v>1.0</v>
      </c>
      <c r="AA86" s="74">
        <v>0.0</v>
      </c>
      <c r="AB86" s="13">
        <f t="shared" si="20"/>
        <v>8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0.0</v>
      </c>
      <c r="H87" s="74">
        <v>0.0</v>
      </c>
      <c r="I87" s="74">
        <v>0.0</v>
      </c>
      <c r="J87" s="74">
        <v>1.0</v>
      </c>
      <c r="K87" s="74">
        <v>0.0</v>
      </c>
      <c r="L87" s="74">
        <v>0.0</v>
      </c>
      <c r="M87" s="74">
        <v>0.0</v>
      </c>
      <c r="N87" s="74">
        <v>1.0</v>
      </c>
      <c r="O87" s="74">
        <v>0.0</v>
      </c>
      <c r="P87" s="74">
        <v>2.0</v>
      </c>
      <c r="Q87" s="74">
        <v>0.0</v>
      </c>
      <c r="R87" s="74">
        <v>2.0</v>
      </c>
      <c r="S87" s="74">
        <v>1.0</v>
      </c>
      <c r="T87" s="74">
        <v>0.0</v>
      </c>
      <c r="U87" s="74">
        <v>1.0</v>
      </c>
      <c r="V87" s="74">
        <v>1.0</v>
      </c>
      <c r="W87" s="74">
        <v>0.0</v>
      </c>
      <c r="X87" s="74">
        <v>0.0</v>
      </c>
      <c r="Y87" s="74">
        <v>1.0</v>
      </c>
      <c r="Z87" s="74">
        <v>2.0</v>
      </c>
      <c r="AA87" s="74">
        <v>0.0</v>
      </c>
      <c r="AB87" s="13">
        <f t="shared" si="20"/>
        <v>13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1.0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1.0</v>
      </c>
      <c r="S88" s="74">
        <v>1.0</v>
      </c>
      <c r="T88" s="74">
        <v>1.0</v>
      </c>
      <c r="U88" s="74">
        <v>0.0</v>
      </c>
      <c r="V88" s="74">
        <v>0.0</v>
      </c>
      <c r="W88" s="74">
        <v>2.0</v>
      </c>
      <c r="X88" s="74">
        <v>0.0</v>
      </c>
      <c r="Y88" s="74">
        <v>0.0</v>
      </c>
      <c r="Z88" s="74">
        <v>1.0</v>
      </c>
      <c r="AA88" s="74">
        <v>1.0</v>
      </c>
      <c r="AB88" s="13">
        <f t="shared" si="20"/>
        <v>8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1.0</v>
      </c>
      <c r="Q89" s="74">
        <v>1.0</v>
      </c>
      <c r="R89" s="74">
        <v>1.0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1.0</v>
      </c>
      <c r="AA89" s="74">
        <v>0.0</v>
      </c>
      <c r="AB89" s="13">
        <f t="shared" si="20"/>
        <v>4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2.0</v>
      </c>
      <c r="K90" s="74">
        <v>0.0</v>
      </c>
      <c r="L90" s="74">
        <v>0.0</v>
      </c>
      <c r="M90" s="74">
        <v>1.0</v>
      </c>
      <c r="N90" s="74">
        <v>0.0</v>
      </c>
      <c r="O90" s="74">
        <v>1.0</v>
      </c>
      <c r="P90" s="74">
        <v>0.0</v>
      </c>
      <c r="Q90" s="74">
        <v>0.0</v>
      </c>
      <c r="R90" s="74">
        <v>2.0</v>
      </c>
      <c r="S90" s="74">
        <v>0.0</v>
      </c>
      <c r="T90" s="74">
        <v>0.0</v>
      </c>
      <c r="U90" s="74">
        <v>1.0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13">
        <f t="shared" si="20"/>
        <v>7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B91" si="21">SUM(E81:E90)</f>
        <v>15</v>
      </c>
      <c r="F91" s="13">
        <f t="shared" si="21"/>
        <v>18</v>
      </c>
      <c r="G91" s="13">
        <f t="shared" si="21"/>
        <v>12</v>
      </c>
      <c r="H91" s="13">
        <f t="shared" si="21"/>
        <v>22</v>
      </c>
      <c r="I91" s="13">
        <f t="shared" si="21"/>
        <v>18</v>
      </c>
      <c r="J91" s="13">
        <f t="shared" si="21"/>
        <v>17</v>
      </c>
      <c r="K91" s="13">
        <f t="shared" si="21"/>
        <v>14</v>
      </c>
      <c r="L91" s="13">
        <f t="shared" si="21"/>
        <v>17</v>
      </c>
      <c r="M91" s="13">
        <f t="shared" si="21"/>
        <v>8</v>
      </c>
      <c r="N91" s="13">
        <f t="shared" si="21"/>
        <v>12</v>
      </c>
      <c r="O91" s="13">
        <f t="shared" si="21"/>
        <v>15</v>
      </c>
      <c r="P91" s="13">
        <f t="shared" si="21"/>
        <v>29</v>
      </c>
      <c r="Q91" s="13">
        <f t="shared" si="21"/>
        <v>18</v>
      </c>
      <c r="R91" s="13">
        <f t="shared" si="21"/>
        <v>28</v>
      </c>
      <c r="S91" s="13">
        <f t="shared" si="21"/>
        <v>20</v>
      </c>
      <c r="T91" s="13">
        <f t="shared" si="21"/>
        <v>17</v>
      </c>
      <c r="U91" s="13">
        <f t="shared" si="21"/>
        <v>10</v>
      </c>
      <c r="V91" s="13">
        <f t="shared" si="21"/>
        <v>30</v>
      </c>
      <c r="W91" s="13">
        <f t="shared" si="21"/>
        <v>13</v>
      </c>
      <c r="X91" s="13">
        <f t="shared" si="21"/>
        <v>4</v>
      </c>
      <c r="Y91" s="13">
        <f t="shared" si="21"/>
        <v>17</v>
      </c>
      <c r="Z91" s="13">
        <f t="shared" si="21"/>
        <v>19</v>
      </c>
      <c r="AA91" s="13">
        <f t="shared" si="21"/>
        <v>18</v>
      </c>
      <c r="AB91" s="13">
        <f t="shared" si="21"/>
        <v>391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91">
        <v>3.0</v>
      </c>
      <c r="F93" s="91">
        <v>0.0</v>
      </c>
      <c r="G93" s="91">
        <v>1.0</v>
      </c>
      <c r="H93" s="91">
        <v>3.0</v>
      </c>
      <c r="I93" s="91">
        <v>1.0</v>
      </c>
      <c r="J93" s="91">
        <v>0.0</v>
      </c>
      <c r="K93" s="91">
        <v>2.0</v>
      </c>
      <c r="L93" s="91">
        <v>2.0</v>
      </c>
      <c r="M93" s="91">
        <v>2.0</v>
      </c>
      <c r="N93" s="91">
        <v>2.0</v>
      </c>
      <c r="O93" s="91">
        <v>2.0</v>
      </c>
      <c r="P93" s="91">
        <v>2.0</v>
      </c>
      <c r="Q93" s="91">
        <v>2.0</v>
      </c>
      <c r="R93" s="91">
        <v>2.0</v>
      </c>
      <c r="S93" s="91">
        <v>2.0</v>
      </c>
      <c r="T93" s="91">
        <v>4.0</v>
      </c>
      <c r="U93" s="91">
        <v>3.0</v>
      </c>
      <c r="V93" s="91">
        <v>6.0</v>
      </c>
      <c r="W93" s="91">
        <v>2.0</v>
      </c>
      <c r="X93" s="91">
        <v>1.0</v>
      </c>
      <c r="Y93" s="91">
        <v>1.0</v>
      </c>
      <c r="Z93" s="91">
        <v>0.0</v>
      </c>
      <c r="AA93" s="91">
        <v>0.0</v>
      </c>
      <c r="AB93" s="13">
        <f t="shared" ref="AB93:AB102" si="22">SUM(E93:AA93)</f>
        <v>43</v>
      </c>
    </row>
    <row r="94" ht="12.75" customHeight="1">
      <c r="A94" s="30" t="s">
        <v>39</v>
      </c>
      <c r="B94" s="55"/>
      <c r="C94" s="50" t="s">
        <v>82</v>
      </c>
      <c r="D94" s="57"/>
      <c r="E94" s="91">
        <v>0.0</v>
      </c>
      <c r="F94" s="91">
        <v>0.0</v>
      </c>
      <c r="G94" s="91">
        <v>2.0</v>
      </c>
      <c r="H94" s="91">
        <v>5.0</v>
      </c>
      <c r="I94" s="91">
        <v>1.0</v>
      </c>
      <c r="J94" s="91">
        <v>1.0</v>
      </c>
      <c r="K94" s="91">
        <v>0.0</v>
      </c>
      <c r="L94" s="91">
        <v>2.0</v>
      </c>
      <c r="M94" s="91">
        <v>1.0</v>
      </c>
      <c r="N94" s="91">
        <v>1.0</v>
      </c>
      <c r="O94" s="91">
        <v>1.0</v>
      </c>
      <c r="P94" s="91">
        <v>0.0</v>
      </c>
      <c r="Q94" s="91">
        <v>2.0</v>
      </c>
      <c r="R94" s="91">
        <v>3.0</v>
      </c>
      <c r="S94" s="91">
        <v>1.0</v>
      </c>
      <c r="T94" s="91">
        <v>3.0</v>
      </c>
      <c r="U94" s="91">
        <v>5.0</v>
      </c>
      <c r="V94" s="91">
        <v>1.0</v>
      </c>
      <c r="W94" s="91">
        <v>0.0</v>
      </c>
      <c r="X94" s="91">
        <v>5.0</v>
      </c>
      <c r="Y94" s="91">
        <v>2.0</v>
      </c>
      <c r="Z94" s="91">
        <v>2.0</v>
      </c>
      <c r="AA94" s="91">
        <v>1.0</v>
      </c>
      <c r="AB94" s="13">
        <f t="shared" si="22"/>
        <v>39</v>
      </c>
    </row>
    <row r="95" ht="12.75" customHeight="1">
      <c r="A95" s="18"/>
      <c r="B95" s="55"/>
      <c r="C95" s="50" t="s">
        <v>83</v>
      </c>
      <c r="D95" s="57"/>
      <c r="E95" s="91">
        <v>0.0</v>
      </c>
      <c r="F95" s="91">
        <v>0.0</v>
      </c>
      <c r="G95" s="91">
        <v>0.0</v>
      </c>
      <c r="H95" s="91">
        <v>0.0</v>
      </c>
      <c r="I95" s="91">
        <v>1.0</v>
      </c>
      <c r="J95" s="91">
        <v>0.0</v>
      </c>
      <c r="K95" s="91">
        <v>2.0</v>
      </c>
      <c r="L95" s="91">
        <v>0.0</v>
      </c>
      <c r="M95" s="91">
        <v>0.0</v>
      </c>
      <c r="N95" s="91">
        <v>0.0</v>
      </c>
      <c r="O95" s="91">
        <v>0.0</v>
      </c>
      <c r="P95" s="91">
        <v>1.0</v>
      </c>
      <c r="Q95" s="91">
        <v>1.0</v>
      </c>
      <c r="R95" s="91">
        <v>0.0</v>
      </c>
      <c r="S95" s="91">
        <v>1.0</v>
      </c>
      <c r="T95" s="91">
        <v>0.0</v>
      </c>
      <c r="U95" s="91">
        <v>0.0</v>
      </c>
      <c r="V95" s="91">
        <v>2.0</v>
      </c>
      <c r="W95" s="91">
        <v>3.0</v>
      </c>
      <c r="X95" s="91">
        <v>1.0</v>
      </c>
      <c r="Y95" s="91">
        <v>0.0</v>
      </c>
      <c r="Z95" s="91">
        <v>0.0</v>
      </c>
      <c r="AA95" s="91">
        <v>0.0</v>
      </c>
      <c r="AB95" s="13">
        <f t="shared" si="22"/>
        <v>12</v>
      </c>
    </row>
    <row r="96" ht="12.75" customHeight="1">
      <c r="A96" s="18"/>
      <c r="B96" s="55"/>
      <c r="C96" s="50" t="s">
        <v>84</v>
      </c>
      <c r="D96" s="57"/>
      <c r="E96" s="91">
        <v>0.0</v>
      </c>
      <c r="F96" s="91">
        <v>1.0</v>
      </c>
      <c r="G96" s="91">
        <v>2.0</v>
      </c>
      <c r="H96" s="91">
        <v>0.0</v>
      </c>
      <c r="I96" s="91">
        <v>0.0</v>
      </c>
      <c r="J96" s="91">
        <v>0.0</v>
      </c>
      <c r="K96" s="91">
        <v>0.0</v>
      </c>
      <c r="L96" s="91">
        <v>0.0</v>
      </c>
      <c r="M96" s="91">
        <v>0.0</v>
      </c>
      <c r="N96" s="91">
        <v>1.0</v>
      </c>
      <c r="O96" s="91">
        <v>0.0</v>
      </c>
      <c r="P96" s="91">
        <v>0.0</v>
      </c>
      <c r="Q96" s="91">
        <v>0.0</v>
      </c>
      <c r="R96" s="91">
        <v>1.0</v>
      </c>
      <c r="S96" s="91">
        <v>2.0</v>
      </c>
      <c r="T96" s="91">
        <v>0.0</v>
      </c>
      <c r="U96" s="91">
        <v>0.0</v>
      </c>
      <c r="V96" s="91">
        <v>2.0</v>
      </c>
      <c r="W96" s="91">
        <v>0.0</v>
      </c>
      <c r="X96" s="91">
        <v>0.0</v>
      </c>
      <c r="Y96" s="91">
        <v>0.0</v>
      </c>
      <c r="Z96" s="91">
        <v>0.0</v>
      </c>
      <c r="AA96" s="91">
        <v>2.0</v>
      </c>
      <c r="AB96" s="13">
        <f t="shared" si="22"/>
        <v>11</v>
      </c>
    </row>
    <row r="97" ht="12.75" customHeight="1">
      <c r="A97" s="18"/>
      <c r="B97" s="55"/>
      <c r="C97" s="50" t="s">
        <v>85</v>
      </c>
      <c r="D97" s="57"/>
      <c r="E97" s="91">
        <v>0.0</v>
      </c>
      <c r="F97" s="91">
        <v>1.0</v>
      </c>
      <c r="G97" s="91">
        <v>0.0</v>
      </c>
      <c r="H97" s="91">
        <v>0.0</v>
      </c>
      <c r="I97" s="91">
        <v>1.0</v>
      </c>
      <c r="J97" s="91">
        <v>0.0</v>
      </c>
      <c r="K97" s="91">
        <v>0.0</v>
      </c>
      <c r="L97" s="91">
        <v>0.0</v>
      </c>
      <c r="M97" s="91">
        <v>0.0</v>
      </c>
      <c r="N97" s="91">
        <v>1.0</v>
      </c>
      <c r="O97" s="91">
        <v>0.0</v>
      </c>
      <c r="P97" s="91">
        <v>1.0</v>
      </c>
      <c r="Q97" s="91">
        <v>2.0</v>
      </c>
      <c r="R97" s="91">
        <v>3.0</v>
      </c>
      <c r="S97" s="91">
        <v>2.0</v>
      </c>
      <c r="T97" s="91">
        <v>2.0</v>
      </c>
      <c r="U97" s="91">
        <v>2.0</v>
      </c>
      <c r="V97" s="91">
        <v>2.0</v>
      </c>
      <c r="W97" s="91">
        <v>1.0</v>
      </c>
      <c r="X97" s="91">
        <v>1.0</v>
      </c>
      <c r="Y97" s="91">
        <v>0.0</v>
      </c>
      <c r="Z97" s="91">
        <v>1.0</v>
      </c>
      <c r="AA97" s="91">
        <v>0.0</v>
      </c>
      <c r="AB97" s="13">
        <f t="shared" si="22"/>
        <v>20</v>
      </c>
    </row>
    <row r="98" ht="12.75" customHeight="1">
      <c r="A98" s="18"/>
      <c r="B98" s="55"/>
      <c r="C98" s="50" t="s">
        <v>86</v>
      </c>
      <c r="D98" s="57"/>
      <c r="E98" s="91">
        <v>0.0</v>
      </c>
      <c r="F98" s="91">
        <v>2.0</v>
      </c>
      <c r="G98" s="91">
        <v>1.0</v>
      </c>
      <c r="H98" s="91">
        <v>0.0</v>
      </c>
      <c r="I98" s="91">
        <v>0.0</v>
      </c>
      <c r="J98" s="91">
        <v>0.0</v>
      </c>
      <c r="K98" s="91">
        <v>0.0</v>
      </c>
      <c r="L98" s="91">
        <v>0.0</v>
      </c>
      <c r="M98" s="91">
        <v>0.0</v>
      </c>
      <c r="N98" s="91">
        <v>0.0</v>
      </c>
      <c r="O98" s="91">
        <v>0.0</v>
      </c>
      <c r="P98" s="91">
        <v>0.0</v>
      </c>
      <c r="Q98" s="91">
        <v>1.0</v>
      </c>
      <c r="R98" s="91">
        <v>2.0</v>
      </c>
      <c r="S98" s="91">
        <v>3.0</v>
      </c>
      <c r="T98" s="91">
        <v>1.0</v>
      </c>
      <c r="U98" s="91">
        <v>1.0</v>
      </c>
      <c r="V98" s="91">
        <v>3.0</v>
      </c>
      <c r="W98" s="91">
        <v>0.0</v>
      </c>
      <c r="X98" s="91">
        <v>1.0</v>
      </c>
      <c r="Y98" s="91">
        <v>0.0</v>
      </c>
      <c r="Z98" s="91">
        <v>1.0</v>
      </c>
      <c r="AA98" s="91">
        <v>0.0</v>
      </c>
      <c r="AB98" s="13">
        <f t="shared" si="22"/>
        <v>16</v>
      </c>
    </row>
    <row r="99" ht="12.75" customHeight="1">
      <c r="A99" s="18"/>
      <c r="B99" s="55"/>
      <c r="C99" s="50" t="s">
        <v>87</v>
      </c>
      <c r="D99" s="57"/>
      <c r="E99" s="91">
        <v>0.0</v>
      </c>
      <c r="F99" s="91">
        <v>0.0</v>
      </c>
      <c r="G99" s="91">
        <v>0.0</v>
      </c>
      <c r="H99" s="91">
        <v>0.0</v>
      </c>
      <c r="I99" s="91">
        <v>0.0</v>
      </c>
      <c r="J99" s="91">
        <v>0.0</v>
      </c>
      <c r="K99" s="91">
        <v>0.0</v>
      </c>
      <c r="L99" s="91">
        <v>0.0</v>
      </c>
      <c r="M99" s="91">
        <v>0.0</v>
      </c>
      <c r="N99" s="91">
        <v>0.0</v>
      </c>
      <c r="O99" s="91">
        <v>0.0</v>
      </c>
      <c r="P99" s="91">
        <v>0.0</v>
      </c>
      <c r="Q99" s="91">
        <v>0.0</v>
      </c>
      <c r="R99" s="91">
        <v>0.0</v>
      </c>
      <c r="S99" s="91">
        <v>0.0</v>
      </c>
      <c r="T99" s="91">
        <v>1.0</v>
      </c>
      <c r="U99" s="91">
        <v>0.0</v>
      </c>
      <c r="V99" s="91">
        <v>0.0</v>
      </c>
      <c r="W99" s="91">
        <v>0.0</v>
      </c>
      <c r="X99" s="91">
        <v>0.0</v>
      </c>
      <c r="Y99" s="91">
        <v>0.0</v>
      </c>
      <c r="Z99" s="91">
        <v>0.0</v>
      </c>
      <c r="AA99" s="91">
        <v>0.0</v>
      </c>
      <c r="AB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91">
        <v>0.0</v>
      </c>
      <c r="F100" s="91">
        <v>1.0</v>
      </c>
      <c r="G100" s="91">
        <v>1.0</v>
      </c>
      <c r="H100" s="91">
        <v>0.0</v>
      </c>
      <c r="I100" s="91">
        <v>0.0</v>
      </c>
      <c r="J100" s="91">
        <v>0.0</v>
      </c>
      <c r="K100" s="91">
        <v>1.0</v>
      </c>
      <c r="L100" s="91">
        <v>0.0</v>
      </c>
      <c r="M100" s="91">
        <v>1.0</v>
      </c>
      <c r="N100" s="91">
        <v>0.0</v>
      </c>
      <c r="O100" s="91">
        <v>0.0</v>
      </c>
      <c r="P100" s="91">
        <v>0.0</v>
      </c>
      <c r="Q100" s="91">
        <v>0.0</v>
      </c>
      <c r="R100" s="91">
        <v>0.0</v>
      </c>
      <c r="S100" s="91">
        <v>0.0</v>
      </c>
      <c r="T100" s="91">
        <v>0.0</v>
      </c>
      <c r="U100" s="91">
        <v>0.0</v>
      </c>
      <c r="V100" s="91">
        <v>0.0</v>
      </c>
      <c r="W100" s="91">
        <v>0.0</v>
      </c>
      <c r="X100" s="91">
        <v>0.0</v>
      </c>
      <c r="Y100" s="91">
        <v>0.0</v>
      </c>
      <c r="Z100" s="91">
        <v>0.0</v>
      </c>
      <c r="AA100" s="91">
        <v>0.0</v>
      </c>
      <c r="AB100" s="13">
        <f t="shared" si="22"/>
        <v>4</v>
      </c>
    </row>
    <row r="101" ht="12.75" customHeight="1">
      <c r="A101" s="18"/>
      <c r="B101" s="55"/>
      <c r="C101" s="50" t="s">
        <v>89</v>
      </c>
      <c r="D101" s="57"/>
      <c r="E101" s="91">
        <v>0.0</v>
      </c>
      <c r="F101" s="91">
        <v>1.0</v>
      </c>
      <c r="G101" s="91">
        <v>0.0</v>
      </c>
      <c r="H101" s="91">
        <v>0.0</v>
      </c>
      <c r="I101" s="91">
        <v>0.0</v>
      </c>
      <c r="J101" s="91">
        <v>0.0</v>
      </c>
      <c r="K101" s="91">
        <v>0.0</v>
      </c>
      <c r="L101" s="91">
        <v>0.0</v>
      </c>
      <c r="M101" s="91">
        <v>0.0</v>
      </c>
      <c r="N101" s="91">
        <v>0.0</v>
      </c>
      <c r="O101" s="91">
        <v>0.0</v>
      </c>
      <c r="P101" s="91">
        <v>0.0</v>
      </c>
      <c r="Q101" s="91">
        <v>0.0</v>
      </c>
      <c r="R101" s="91">
        <v>0.0</v>
      </c>
      <c r="S101" s="91">
        <v>0.0</v>
      </c>
      <c r="T101" s="91">
        <v>0.0</v>
      </c>
      <c r="U101" s="91">
        <v>0.0</v>
      </c>
      <c r="V101" s="91">
        <v>0.0</v>
      </c>
      <c r="W101" s="91">
        <v>0.0</v>
      </c>
      <c r="X101" s="91">
        <v>0.0</v>
      </c>
      <c r="Y101" s="91">
        <v>0.0</v>
      </c>
      <c r="Z101" s="91">
        <v>0.0</v>
      </c>
      <c r="AA101" s="91">
        <v>0.0</v>
      </c>
      <c r="AB101" s="13">
        <f t="shared" si="22"/>
        <v>1</v>
      </c>
    </row>
    <row r="102" ht="12.75" customHeight="1">
      <c r="A102" s="18"/>
      <c r="B102" s="55"/>
      <c r="C102" s="50" t="s">
        <v>90</v>
      </c>
      <c r="D102" s="57"/>
      <c r="E102" s="91">
        <v>0.0</v>
      </c>
      <c r="F102" s="91">
        <v>0.0</v>
      </c>
      <c r="G102" s="91">
        <v>0.0</v>
      </c>
      <c r="H102" s="91">
        <v>0.0</v>
      </c>
      <c r="I102" s="91">
        <v>0.0</v>
      </c>
      <c r="J102" s="91">
        <v>0.0</v>
      </c>
      <c r="K102" s="91">
        <v>1.0</v>
      </c>
      <c r="L102" s="91">
        <v>0.0</v>
      </c>
      <c r="M102" s="91">
        <v>0.0</v>
      </c>
      <c r="N102" s="91">
        <v>0.0</v>
      </c>
      <c r="O102" s="91">
        <v>0.0</v>
      </c>
      <c r="P102" s="91">
        <v>0.0</v>
      </c>
      <c r="Q102" s="91">
        <v>0.0</v>
      </c>
      <c r="R102" s="91">
        <v>0.0</v>
      </c>
      <c r="S102" s="91">
        <v>0.0</v>
      </c>
      <c r="T102" s="91">
        <v>0.0</v>
      </c>
      <c r="U102" s="91">
        <v>0.0</v>
      </c>
      <c r="V102" s="91">
        <v>0.0</v>
      </c>
      <c r="W102" s="91">
        <v>0.0</v>
      </c>
      <c r="X102" s="91">
        <v>0.0</v>
      </c>
      <c r="Y102" s="91">
        <v>0.0</v>
      </c>
      <c r="Z102" s="91">
        <v>0.0</v>
      </c>
      <c r="AA102" s="91">
        <v>0.0</v>
      </c>
      <c r="AB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B103" si="23">SUM(E93:E102)</f>
        <v>3</v>
      </c>
      <c r="F103" s="13">
        <f t="shared" si="23"/>
        <v>6</v>
      </c>
      <c r="G103" s="13">
        <f t="shared" si="23"/>
        <v>7</v>
      </c>
      <c r="H103" s="13">
        <f t="shared" si="23"/>
        <v>8</v>
      </c>
      <c r="I103" s="13">
        <f t="shared" si="23"/>
        <v>4</v>
      </c>
      <c r="J103" s="13">
        <f t="shared" si="23"/>
        <v>1</v>
      </c>
      <c r="K103" s="13">
        <f t="shared" si="23"/>
        <v>6</v>
      </c>
      <c r="L103" s="13">
        <f t="shared" si="23"/>
        <v>4</v>
      </c>
      <c r="M103" s="13">
        <f t="shared" si="23"/>
        <v>4</v>
      </c>
      <c r="N103" s="13">
        <f t="shared" si="23"/>
        <v>5</v>
      </c>
      <c r="O103" s="13">
        <f t="shared" si="23"/>
        <v>3</v>
      </c>
      <c r="P103" s="13">
        <f t="shared" si="23"/>
        <v>4</v>
      </c>
      <c r="Q103" s="13">
        <f t="shared" si="23"/>
        <v>8</v>
      </c>
      <c r="R103" s="13">
        <f t="shared" si="23"/>
        <v>11</v>
      </c>
      <c r="S103" s="13">
        <f t="shared" si="23"/>
        <v>11</v>
      </c>
      <c r="T103" s="13">
        <f t="shared" si="23"/>
        <v>11</v>
      </c>
      <c r="U103" s="13">
        <f t="shared" si="23"/>
        <v>11</v>
      </c>
      <c r="V103" s="13">
        <f t="shared" si="23"/>
        <v>16</v>
      </c>
      <c r="W103" s="13">
        <f t="shared" si="23"/>
        <v>6</v>
      </c>
      <c r="X103" s="13">
        <f t="shared" si="23"/>
        <v>9</v>
      </c>
      <c r="Y103" s="13">
        <f t="shared" si="23"/>
        <v>3</v>
      </c>
      <c r="Z103" s="13">
        <f t="shared" si="23"/>
        <v>4</v>
      </c>
      <c r="AA103" s="13">
        <f t="shared" si="23"/>
        <v>3</v>
      </c>
      <c r="AB103" s="13">
        <f t="shared" si="23"/>
        <v>148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91">
        <v>0.0</v>
      </c>
      <c r="F105" s="91">
        <v>1.0</v>
      </c>
      <c r="G105" s="91">
        <v>0.0</v>
      </c>
      <c r="H105" s="91">
        <v>0.0</v>
      </c>
      <c r="I105" s="91">
        <v>0.0</v>
      </c>
      <c r="J105" s="91">
        <v>0.0</v>
      </c>
      <c r="K105" s="91">
        <v>1.0</v>
      </c>
      <c r="L105" s="91">
        <v>1.0</v>
      </c>
      <c r="M105" s="91">
        <v>0.0</v>
      </c>
      <c r="N105" s="91">
        <v>1.0</v>
      </c>
      <c r="O105" s="91">
        <v>0.0</v>
      </c>
      <c r="P105" s="91">
        <v>0.0</v>
      </c>
      <c r="Q105" s="91">
        <v>1.0</v>
      </c>
      <c r="R105" s="91">
        <v>1.0</v>
      </c>
      <c r="S105" s="92">
        <v>0.0</v>
      </c>
      <c r="T105" s="91">
        <v>0.0</v>
      </c>
      <c r="U105" s="91">
        <v>0.0</v>
      </c>
      <c r="V105" s="91">
        <v>0.0</v>
      </c>
      <c r="W105" s="91">
        <v>0.0</v>
      </c>
      <c r="X105" s="91">
        <v>0.0</v>
      </c>
      <c r="Y105" s="91">
        <v>0.0</v>
      </c>
      <c r="Z105" s="91">
        <v>0.0</v>
      </c>
      <c r="AA105" s="91">
        <v>1.0</v>
      </c>
      <c r="AB105" s="13">
        <f t="shared" ref="AB105:AB107" si="24">SUM(E105:AA105)</f>
        <v>7</v>
      </c>
    </row>
    <row r="106" ht="12.75" customHeight="1">
      <c r="A106" s="30" t="s">
        <v>39</v>
      </c>
      <c r="B106" s="55"/>
      <c r="C106" s="50" t="s">
        <v>93</v>
      </c>
      <c r="D106" s="57"/>
      <c r="E106" s="91">
        <v>0.0</v>
      </c>
      <c r="F106" s="91">
        <v>2.0</v>
      </c>
      <c r="G106" s="91">
        <v>0.0</v>
      </c>
      <c r="H106" s="91">
        <v>0.0</v>
      </c>
      <c r="I106" s="91">
        <v>0.0</v>
      </c>
      <c r="J106" s="91">
        <v>0.0</v>
      </c>
      <c r="K106" s="91">
        <v>0.0</v>
      </c>
      <c r="L106" s="91">
        <v>0.0</v>
      </c>
      <c r="M106" s="91">
        <v>0.0</v>
      </c>
      <c r="N106" s="91">
        <v>0.0</v>
      </c>
      <c r="O106" s="91">
        <v>1.0</v>
      </c>
      <c r="P106" s="91">
        <v>0.0</v>
      </c>
      <c r="Q106" s="91">
        <v>0.0</v>
      </c>
      <c r="R106" s="91">
        <v>0.0</v>
      </c>
      <c r="S106" s="91">
        <v>0.0</v>
      </c>
      <c r="T106" s="91">
        <v>2.0</v>
      </c>
      <c r="U106" s="91">
        <v>0.0</v>
      </c>
      <c r="V106" s="91">
        <v>1.0</v>
      </c>
      <c r="W106" s="91">
        <v>0.0</v>
      </c>
      <c r="X106" s="91">
        <v>0.0</v>
      </c>
      <c r="Y106" s="91">
        <v>0.0</v>
      </c>
      <c r="Z106" s="91">
        <v>0.0</v>
      </c>
      <c r="AA106" s="91">
        <v>1.0</v>
      </c>
      <c r="AB106" s="13">
        <f t="shared" si="24"/>
        <v>7</v>
      </c>
    </row>
    <row r="107" ht="12.75" customHeight="1">
      <c r="A107" s="18"/>
      <c r="B107" s="55"/>
      <c r="C107" s="50" t="s">
        <v>94</v>
      </c>
      <c r="D107" s="57"/>
      <c r="E107" s="91">
        <v>0.0</v>
      </c>
      <c r="F107" s="91">
        <v>0.0</v>
      </c>
      <c r="G107" s="91">
        <v>0.0</v>
      </c>
      <c r="H107" s="91">
        <v>1.0</v>
      </c>
      <c r="I107" s="91">
        <v>0.0</v>
      </c>
      <c r="J107" s="91">
        <v>1.0</v>
      </c>
      <c r="K107" s="91">
        <v>0.0</v>
      </c>
      <c r="L107" s="91">
        <v>0.0</v>
      </c>
      <c r="M107" s="91">
        <v>0.0</v>
      </c>
      <c r="N107" s="91">
        <v>0.0</v>
      </c>
      <c r="O107" s="91">
        <v>0.0</v>
      </c>
      <c r="P107" s="91">
        <v>0.0</v>
      </c>
      <c r="Q107" s="91">
        <v>1.0</v>
      </c>
      <c r="R107" s="91">
        <v>0.0</v>
      </c>
      <c r="S107" s="91">
        <v>0.0</v>
      </c>
      <c r="T107" s="91">
        <v>0.0</v>
      </c>
      <c r="U107" s="91">
        <v>0.0</v>
      </c>
      <c r="V107" s="91">
        <v>0.0</v>
      </c>
      <c r="W107" s="91">
        <v>0.0</v>
      </c>
      <c r="X107" s="91">
        <v>0.0</v>
      </c>
      <c r="Y107" s="91">
        <v>0.0</v>
      </c>
      <c r="Z107" s="91">
        <v>0.0</v>
      </c>
      <c r="AA107" s="91">
        <v>0.0</v>
      </c>
      <c r="AB107" s="13">
        <f t="shared" si="24"/>
        <v>3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25">SUM(E105:E112)</f>
        <v>0</v>
      </c>
      <c r="F115" s="13">
        <f t="shared" si="25"/>
        <v>3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2</v>
      </c>
      <c r="R115" s="13">
        <f t="shared" si="25"/>
        <v>1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2</v>
      </c>
      <c r="AB115" s="13">
        <f>SUM(E115:AA115)</f>
        <v>17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2.0</v>
      </c>
      <c r="G117" s="74">
        <v>0.0</v>
      </c>
      <c r="H117" s="74">
        <v>3.0</v>
      </c>
      <c r="I117" s="74">
        <v>3.0</v>
      </c>
      <c r="J117" s="74">
        <v>0.0</v>
      </c>
      <c r="K117" s="74">
        <v>0.0</v>
      </c>
      <c r="L117" s="74">
        <v>4.0</v>
      </c>
      <c r="M117" s="74">
        <v>3.0</v>
      </c>
      <c r="N117" s="74">
        <v>0.0</v>
      </c>
      <c r="O117" s="74">
        <v>0.0</v>
      </c>
      <c r="P117" s="74">
        <v>5.0</v>
      </c>
      <c r="Q117" s="74">
        <v>2.0</v>
      </c>
      <c r="R117" s="74">
        <v>3.0</v>
      </c>
      <c r="S117" s="74">
        <v>4.0</v>
      </c>
      <c r="T117" s="74">
        <v>2.0</v>
      </c>
      <c r="U117" s="74">
        <v>3.0</v>
      </c>
      <c r="V117" s="74">
        <v>1.0</v>
      </c>
      <c r="W117" s="74">
        <v>3.0</v>
      </c>
      <c r="X117" s="74">
        <v>4.0</v>
      </c>
      <c r="Y117" s="74">
        <v>5.0</v>
      </c>
      <c r="Z117" s="74">
        <v>1.0</v>
      </c>
      <c r="AA117" s="74">
        <v>1.0</v>
      </c>
      <c r="AB117" s="13">
        <f t="shared" ref="AB117:AB122" si="26">SUM(E117:AA117)</f>
        <v>50</v>
      </c>
      <c r="AC117" s="5"/>
      <c r="AD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1.0</v>
      </c>
      <c r="F118" s="74">
        <v>1.0</v>
      </c>
      <c r="G118" s="74">
        <v>1.0</v>
      </c>
      <c r="H118" s="74">
        <v>1.0</v>
      </c>
      <c r="I118" s="74">
        <v>0.0</v>
      </c>
      <c r="J118" s="74">
        <v>0.0</v>
      </c>
      <c r="K118" s="74">
        <v>0.0</v>
      </c>
      <c r="L118" s="74">
        <v>0.0</v>
      </c>
      <c r="M118" s="74">
        <v>1.0</v>
      </c>
      <c r="N118" s="74">
        <v>1.0</v>
      </c>
      <c r="O118" s="74">
        <v>1.0</v>
      </c>
      <c r="P118" s="74">
        <v>0.0</v>
      </c>
      <c r="Q118" s="74">
        <v>0.0</v>
      </c>
      <c r="R118" s="74">
        <v>0.0</v>
      </c>
      <c r="S118" s="74">
        <v>0.0</v>
      </c>
      <c r="T118" s="74">
        <v>2.0</v>
      </c>
      <c r="U118" s="74">
        <v>0.0</v>
      </c>
      <c r="V118" s="74">
        <v>0.0</v>
      </c>
      <c r="W118" s="74">
        <v>0.0</v>
      </c>
      <c r="X118" s="74">
        <v>2.0</v>
      </c>
      <c r="Y118" s="74">
        <v>0.0</v>
      </c>
      <c r="Z118" s="74">
        <v>0.0</v>
      </c>
      <c r="AA118" s="74">
        <v>0.0</v>
      </c>
      <c r="AB118" s="13">
        <f t="shared" si="26"/>
        <v>11</v>
      </c>
      <c r="AC118" s="5"/>
      <c r="AD118" s="5"/>
    </row>
    <row r="119" ht="12.75" customHeight="1">
      <c r="A119" s="18"/>
      <c r="B119" s="55"/>
      <c r="C119" s="50" t="s">
        <v>98</v>
      </c>
      <c r="D119" s="57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1.0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13">
        <f t="shared" si="26"/>
        <v>2</v>
      </c>
      <c r="AC119" s="5"/>
      <c r="AD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1.0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1.0</v>
      </c>
      <c r="O120" s="74">
        <v>1.0</v>
      </c>
      <c r="P120" s="74">
        <v>0.0</v>
      </c>
      <c r="Q120" s="74">
        <v>0.0</v>
      </c>
      <c r="R120" s="74">
        <v>2.0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13">
        <f t="shared" si="26"/>
        <v>5</v>
      </c>
      <c r="AC120" s="5"/>
      <c r="AD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1.0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1.0</v>
      </c>
      <c r="Y121" s="74">
        <v>0.0</v>
      </c>
      <c r="Z121" s="74">
        <v>0.0</v>
      </c>
      <c r="AA121" s="74">
        <v>0.0</v>
      </c>
      <c r="AB121" s="13">
        <f t="shared" si="26"/>
        <v>2</v>
      </c>
      <c r="AC121" s="5"/>
      <c r="AD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1.0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1.0</v>
      </c>
      <c r="Y122" s="74">
        <v>0.0</v>
      </c>
      <c r="Z122" s="74">
        <v>0.0</v>
      </c>
      <c r="AA122" s="74">
        <v>0.0</v>
      </c>
      <c r="AB122" s="13">
        <f t="shared" si="26"/>
        <v>2</v>
      </c>
      <c r="AC122" s="5"/>
      <c r="AD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81"/>
      <c r="AC123" s="5"/>
      <c r="AD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81"/>
      <c r="AC124" s="5"/>
      <c r="AD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81"/>
      <c r="AC125" s="5"/>
      <c r="AD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81"/>
      <c r="AC126" s="5"/>
      <c r="AD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B127" si="27">SUM(E117:E122)</f>
        <v>3</v>
      </c>
      <c r="F127" s="63">
        <f t="shared" si="27"/>
        <v>3</v>
      </c>
      <c r="G127" s="63">
        <f t="shared" si="27"/>
        <v>2</v>
      </c>
      <c r="H127" s="63">
        <f t="shared" si="27"/>
        <v>5</v>
      </c>
      <c r="I127" s="63">
        <f t="shared" si="27"/>
        <v>3</v>
      </c>
      <c r="J127" s="63">
        <f t="shared" si="27"/>
        <v>0</v>
      </c>
      <c r="K127" s="63">
        <f t="shared" si="27"/>
        <v>0</v>
      </c>
      <c r="L127" s="63">
        <f t="shared" si="27"/>
        <v>4</v>
      </c>
      <c r="M127" s="63">
        <f t="shared" si="27"/>
        <v>5</v>
      </c>
      <c r="N127" s="63">
        <f t="shared" si="27"/>
        <v>2</v>
      </c>
      <c r="O127" s="63">
        <f t="shared" si="27"/>
        <v>2</v>
      </c>
      <c r="P127" s="63">
        <f t="shared" si="27"/>
        <v>5</v>
      </c>
      <c r="Q127" s="63">
        <f t="shared" si="27"/>
        <v>2</v>
      </c>
      <c r="R127" s="63">
        <f t="shared" si="27"/>
        <v>6</v>
      </c>
      <c r="S127" s="63">
        <f t="shared" si="27"/>
        <v>4</v>
      </c>
      <c r="T127" s="63">
        <f t="shared" si="27"/>
        <v>4</v>
      </c>
      <c r="U127" s="63">
        <f t="shared" si="27"/>
        <v>3</v>
      </c>
      <c r="V127" s="63">
        <f t="shared" si="27"/>
        <v>1</v>
      </c>
      <c r="W127" s="63">
        <f t="shared" si="27"/>
        <v>3</v>
      </c>
      <c r="X127" s="63">
        <f t="shared" si="27"/>
        <v>8</v>
      </c>
      <c r="Y127" s="63">
        <f t="shared" si="27"/>
        <v>5</v>
      </c>
      <c r="Z127" s="63">
        <f t="shared" si="27"/>
        <v>1</v>
      </c>
      <c r="AA127" s="63">
        <f t="shared" si="27"/>
        <v>1</v>
      </c>
      <c r="AB127" s="63">
        <f t="shared" si="27"/>
        <v>72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5"/>
      <c r="AD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2.0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1.0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13">
        <f t="shared" ref="AB129:AB138" si="28">SUM(E129:AA129)</f>
        <v>3</v>
      </c>
      <c r="AC129" s="5"/>
      <c r="AD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0.0</v>
      </c>
      <c r="H130" s="74">
        <v>0.0</v>
      </c>
      <c r="I130" s="74">
        <v>1.0</v>
      </c>
      <c r="J130" s="74">
        <v>1.0</v>
      </c>
      <c r="K130" s="74">
        <v>0.0</v>
      </c>
      <c r="L130" s="74">
        <v>0.0</v>
      </c>
      <c r="M130" s="74">
        <v>4.0</v>
      </c>
      <c r="N130" s="74">
        <v>0.0</v>
      </c>
      <c r="O130" s="74">
        <v>1.0</v>
      </c>
      <c r="P130" s="74">
        <v>4.0</v>
      </c>
      <c r="Q130" s="74">
        <v>4.0</v>
      </c>
      <c r="R130" s="74">
        <v>1.0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1.0</v>
      </c>
      <c r="AB130" s="13">
        <f t="shared" si="28"/>
        <v>17</v>
      </c>
      <c r="AC130" s="1"/>
      <c r="AD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1.0</v>
      </c>
      <c r="Y131" s="74">
        <v>1.0</v>
      </c>
      <c r="Z131" s="74">
        <v>0.0</v>
      </c>
      <c r="AA131" s="74">
        <v>0.0</v>
      </c>
      <c r="AB131" s="13">
        <f t="shared" si="28"/>
        <v>2</v>
      </c>
      <c r="AC131" s="52"/>
      <c r="AD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1.0</v>
      </c>
      <c r="V132" s="74">
        <v>0.0</v>
      </c>
      <c r="W132" s="74">
        <v>1.0</v>
      </c>
      <c r="X132" s="74">
        <v>0.0</v>
      </c>
      <c r="Y132" s="74">
        <v>0.0</v>
      </c>
      <c r="Z132" s="74">
        <v>0.0</v>
      </c>
      <c r="AA132" s="74">
        <v>0.0</v>
      </c>
      <c r="AB132" s="13">
        <f t="shared" si="28"/>
        <v>2</v>
      </c>
      <c r="AC132" s="5"/>
      <c r="AD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13">
        <f t="shared" si="28"/>
        <v>0</v>
      </c>
      <c r="AC133" s="5"/>
      <c r="AD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13">
        <f t="shared" si="28"/>
        <v>0</v>
      </c>
      <c r="AC134" s="5"/>
      <c r="AD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13">
        <f t="shared" si="28"/>
        <v>0</v>
      </c>
      <c r="AC135" s="5"/>
      <c r="AD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13">
        <f t="shared" si="28"/>
        <v>0</v>
      </c>
      <c r="AC136" s="5"/>
      <c r="AD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13">
        <f t="shared" si="28"/>
        <v>0</v>
      </c>
      <c r="AC137" s="5"/>
      <c r="AD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13">
        <f t="shared" si="28"/>
        <v>0</v>
      </c>
      <c r="AC138" s="5"/>
      <c r="AD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B139" si="29">SUM(E129:E138)</f>
        <v>2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1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4</v>
      </c>
      <c r="N139" s="13">
        <f t="shared" si="29"/>
        <v>0</v>
      </c>
      <c r="O139" s="13">
        <f t="shared" si="29"/>
        <v>1</v>
      </c>
      <c r="P139" s="13">
        <f t="shared" si="29"/>
        <v>4</v>
      </c>
      <c r="Q139" s="13">
        <f t="shared" si="29"/>
        <v>4</v>
      </c>
      <c r="R139" s="13">
        <f t="shared" si="29"/>
        <v>2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0</v>
      </c>
      <c r="W139" s="13">
        <f t="shared" si="29"/>
        <v>1</v>
      </c>
      <c r="X139" s="13">
        <f t="shared" si="29"/>
        <v>1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24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5"/>
      <c r="AD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2.0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19"/>
      <c r="U141" s="19"/>
      <c r="V141" s="19"/>
      <c r="W141" s="19"/>
      <c r="X141" s="19"/>
      <c r="Y141" s="19"/>
      <c r="Z141" s="19"/>
      <c r="AA141" s="19"/>
      <c r="AB141" s="13">
        <f t="shared" ref="AB141:AB144" si="30">SUM(E141:AA141)</f>
        <v>2</v>
      </c>
      <c r="AC141" s="1"/>
      <c r="AD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1.0</v>
      </c>
      <c r="Q142" s="74">
        <v>0.0</v>
      </c>
      <c r="R142" s="74">
        <v>0.0</v>
      </c>
      <c r="S142" s="74">
        <v>0.0</v>
      </c>
      <c r="T142" s="19"/>
      <c r="U142" s="19"/>
      <c r="V142" s="19"/>
      <c r="W142" s="19"/>
      <c r="X142" s="19"/>
      <c r="Y142" s="19"/>
      <c r="Z142" s="19"/>
      <c r="AA142" s="19"/>
      <c r="AB142" s="13">
        <f t="shared" si="30"/>
        <v>1</v>
      </c>
      <c r="AC142" s="52"/>
      <c r="AD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1.0</v>
      </c>
      <c r="P143" s="74">
        <v>0.0</v>
      </c>
      <c r="Q143" s="74">
        <v>0.0</v>
      </c>
      <c r="R143" s="74">
        <v>0.0</v>
      </c>
      <c r="S143" s="74">
        <v>0.0</v>
      </c>
      <c r="T143" s="19"/>
      <c r="U143" s="19"/>
      <c r="V143" s="19"/>
      <c r="W143" s="19"/>
      <c r="X143" s="19"/>
      <c r="Y143" s="19"/>
      <c r="Z143" s="19"/>
      <c r="AA143" s="19"/>
      <c r="AB143" s="13">
        <f t="shared" si="30"/>
        <v>1</v>
      </c>
      <c r="AC143" s="5"/>
      <c r="AD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1.0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19"/>
      <c r="U144" s="19"/>
      <c r="V144" s="19"/>
      <c r="W144" s="19"/>
      <c r="X144" s="19"/>
      <c r="Y144" s="19"/>
      <c r="Z144" s="19"/>
      <c r="AA144" s="19"/>
      <c r="AB144" s="13">
        <f t="shared" si="30"/>
        <v>1</v>
      </c>
      <c r="AC144" s="5"/>
      <c r="AD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81"/>
      <c r="AC145" s="5"/>
      <c r="AD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81"/>
      <c r="AC146" s="5"/>
      <c r="AD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81"/>
      <c r="AC147" s="5"/>
      <c r="AD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81"/>
      <c r="AC148" s="5"/>
      <c r="AD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81"/>
      <c r="AC149" s="5"/>
      <c r="AD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81"/>
      <c r="AC150" s="5"/>
      <c r="AD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2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1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>SUM(E151:AA151)</f>
        <v>5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13"/>
      <c r="AC152" s="52"/>
      <c r="AD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1.0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19"/>
      <c r="U153" s="19"/>
      <c r="V153" s="19"/>
      <c r="W153" s="19"/>
      <c r="X153" s="19"/>
      <c r="Y153" s="19"/>
      <c r="Z153" s="19"/>
      <c r="AA153" s="19"/>
      <c r="AB153" s="13">
        <f t="shared" ref="AB153:AB160" si="32">SUM(E153:AA153)</f>
        <v>1</v>
      </c>
      <c r="AC153" s="5"/>
      <c r="AD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19"/>
      <c r="U154" s="19"/>
      <c r="V154" s="19"/>
      <c r="W154" s="19"/>
      <c r="X154" s="19"/>
      <c r="Y154" s="19"/>
      <c r="Z154" s="19"/>
      <c r="AA154" s="19"/>
      <c r="AB154" s="13">
        <f t="shared" si="32"/>
        <v>0</v>
      </c>
      <c r="AC154" s="5"/>
      <c r="AD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1.0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19"/>
      <c r="U155" s="19"/>
      <c r="V155" s="19"/>
      <c r="W155" s="19"/>
      <c r="X155" s="19"/>
      <c r="Y155" s="19"/>
      <c r="Z155" s="19"/>
      <c r="AA155" s="19"/>
      <c r="AB155" s="13">
        <f t="shared" si="32"/>
        <v>1</v>
      </c>
      <c r="AC155" s="5"/>
      <c r="AD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1.0</v>
      </c>
      <c r="P156" s="74">
        <v>1.0</v>
      </c>
      <c r="Q156" s="74">
        <v>0.0</v>
      </c>
      <c r="R156" s="74">
        <v>0.0</v>
      </c>
      <c r="S156" s="74">
        <v>0.0</v>
      </c>
      <c r="T156" s="19"/>
      <c r="U156" s="19"/>
      <c r="V156" s="19"/>
      <c r="W156" s="19"/>
      <c r="X156" s="19"/>
      <c r="Y156" s="19"/>
      <c r="Z156" s="19"/>
      <c r="AA156" s="19"/>
      <c r="AB156" s="13">
        <f t="shared" si="32"/>
        <v>2</v>
      </c>
      <c r="AC156" s="5"/>
      <c r="AD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19"/>
      <c r="U157" s="19"/>
      <c r="V157" s="19"/>
      <c r="W157" s="19"/>
      <c r="X157" s="19"/>
      <c r="Y157" s="19"/>
      <c r="Z157" s="19"/>
      <c r="AA157" s="19"/>
      <c r="AB157" s="13">
        <f t="shared" si="32"/>
        <v>0</v>
      </c>
      <c r="AC157" s="5"/>
      <c r="AD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19"/>
      <c r="U158" s="19"/>
      <c r="V158" s="19"/>
      <c r="W158" s="19"/>
      <c r="X158" s="19"/>
      <c r="Y158" s="19"/>
      <c r="Z158" s="19"/>
      <c r="AA158" s="19"/>
      <c r="AB158" s="13">
        <f t="shared" si="32"/>
        <v>0</v>
      </c>
      <c r="AC158" s="5"/>
      <c r="AD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19"/>
      <c r="U159" s="19"/>
      <c r="V159" s="19"/>
      <c r="W159" s="19"/>
      <c r="X159" s="19"/>
      <c r="Y159" s="19"/>
      <c r="Z159" s="19"/>
      <c r="AA159" s="19"/>
      <c r="AB159" s="13">
        <f t="shared" si="32"/>
        <v>0</v>
      </c>
      <c r="AC159" s="5"/>
      <c r="AD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19"/>
      <c r="U160" s="19"/>
      <c r="V160" s="19"/>
      <c r="W160" s="19"/>
      <c r="X160" s="19"/>
      <c r="Y160" s="19"/>
      <c r="Z160" s="19"/>
      <c r="AA160" s="19"/>
      <c r="AB160" s="13">
        <f t="shared" si="32"/>
        <v>0</v>
      </c>
      <c r="AC160" s="5"/>
      <c r="AD160" s="5"/>
    </row>
    <row r="161" ht="12.75" customHeight="1">
      <c r="A161" s="18"/>
      <c r="B161" s="58"/>
      <c r="C161" s="66"/>
      <c r="D161" s="60"/>
      <c r="E161" s="82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19"/>
      <c r="T161" s="19"/>
      <c r="U161" s="19"/>
      <c r="V161" s="19"/>
      <c r="W161" s="19"/>
      <c r="X161" s="19"/>
      <c r="Y161" s="19"/>
      <c r="Z161" s="19"/>
      <c r="AA161" s="19"/>
      <c r="AB161" s="81"/>
      <c r="AC161" s="5"/>
      <c r="AD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81"/>
      <c r="AC162" s="5"/>
      <c r="AD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B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4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5"/>
      <c r="AD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91">
        <v>0.0</v>
      </c>
      <c r="F165" s="91">
        <v>0.0</v>
      </c>
      <c r="G165" s="91">
        <v>0.0</v>
      </c>
      <c r="H165" s="91">
        <v>0.0</v>
      </c>
      <c r="I165" s="91">
        <v>0.0</v>
      </c>
      <c r="J165" s="91">
        <v>0.0</v>
      </c>
      <c r="K165" s="91">
        <v>0.0</v>
      </c>
      <c r="L165" s="91">
        <v>0.0</v>
      </c>
      <c r="M165" s="91">
        <v>0.0</v>
      </c>
      <c r="N165" s="91">
        <v>1.0</v>
      </c>
      <c r="O165" s="91">
        <v>0.0</v>
      </c>
      <c r="P165" s="91">
        <v>1.0</v>
      </c>
      <c r="Q165" s="91">
        <v>1.0</v>
      </c>
      <c r="R165" s="91">
        <v>0.0</v>
      </c>
      <c r="S165" s="91">
        <v>0.0</v>
      </c>
      <c r="T165" s="91">
        <v>1.0</v>
      </c>
      <c r="U165" s="91">
        <v>1.0</v>
      </c>
      <c r="V165" s="91">
        <v>1.0</v>
      </c>
      <c r="W165" s="91">
        <v>0.0</v>
      </c>
      <c r="X165" s="91">
        <v>1.0</v>
      </c>
      <c r="Y165" s="91">
        <v>0.0</v>
      </c>
      <c r="Z165" s="91">
        <v>1.0</v>
      </c>
      <c r="AA165" s="91">
        <v>0.0</v>
      </c>
      <c r="AB165" s="13">
        <f t="shared" ref="AB165:AB166" si="34">SUM(E165:AA165)</f>
        <v>8</v>
      </c>
      <c r="AC165" s="1"/>
      <c r="AD165" s="1"/>
    </row>
    <row r="166" ht="12.75" customHeight="1">
      <c r="A166" s="30" t="s">
        <v>39</v>
      </c>
      <c r="B166" s="55"/>
      <c r="C166" s="50" t="s">
        <v>129</v>
      </c>
      <c r="D166" s="57"/>
      <c r="E166" s="91">
        <v>0.0</v>
      </c>
      <c r="F166" s="91">
        <v>0.0</v>
      </c>
      <c r="G166" s="91">
        <v>1.0</v>
      </c>
      <c r="H166" s="91">
        <v>1.0</v>
      </c>
      <c r="I166" s="91">
        <v>0.0</v>
      </c>
      <c r="J166" s="91">
        <v>0.0</v>
      </c>
      <c r="K166" s="91">
        <v>0.0</v>
      </c>
      <c r="L166" s="91">
        <v>1.0</v>
      </c>
      <c r="M166" s="91">
        <v>0.0</v>
      </c>
      <c r="N166" s="91">
        <v>1.0</v>
      </c>
      <c r="O166" s="91">
        <v>0.0</v>
      </c>
      <c r="P166" s="91">
        <v>1.0</v>
      </c>
      <c r="Q166" s="91">
        <v>0.0</v>
      </c>
      <c r="R166" s="91">
        <v>0.0</v>
      </c>
      <c r="S166" s="91">
        <v>0.0</v>
      </c>
      <c r="T166" s="91">
        <v>1.0</v>
      </c>
      <c r="U166" s="91">
        <v>1.0</v>
      </c>
      <c r="V166" s="91">
        <v>0.0</v>
      </c>
      <c r="W166" s="91">
        <v>0.0</v>
      </c>
      <c r="X166" s="91">
        <v>1.0</v>
      </c>
      <c r="Y166" s="91">
        <v>0.0</v>
      </c>
      <c r="Z166" s="91">
        <v>0.0</v>
      </c>
      <c r="AA166" s="91">
        <v>0.0</v>
      </c>
      <c r="AB166" s="13">
        <f t="shared" si="34"/>
        <v>8</v>
      </c>
      <c r="AC166" s="52"/>
      <c r="AD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81"/>
      <c r="AC167" s="5"/>
      <c r="AD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81"/>
      <c r="AC168" s="5"/>
      <c r="AD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81"/>
      <c r="AC169" s="5"/>
      <c r="AD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81"/>
      <c r="AC170" s="5"/>
      <c r="AD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81"/>
      <c r="AC171" s="5"/>
      <c r="AD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81"/>
      <c r="AC172" s="5"/>
      <c r="AD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81"/>
      <c r="AC173" s="5"/>
      <c r="AD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81"/>
      <c r="AC174" s="5"/>
      <c r="AD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2</v>
      </c>
      <c r="V175" s="13">
        <f t="shared" si="35"/>
        <v>1</v>
      </c>
      <c r="W175" s="13">
        <f t="shared" si="35"/>
        <v>0</v>
      </c>
      <c r="X175" s="13">
        <f t="shared" si="35"/>
        <v>2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>SUM(E175:AA175)</f>
        <v>16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1"/>
      <c r="AD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1.0</v>
      </c>
      <c r="G177" s="74">
        <v>0.0</v>
      </c>
      <c r="H177" s="74">
        <v>0.0</v>
      </c>
      <c r="I177" s="74">
        <v>2.0</v>
      </c>
      <c r="J177" s="74">
        <v>0.0</v>
      </c>
      <c r="K177" s="74">
        <v>0.0</v>
      </c>
      <c r="L177" s="74">
        <v>0.0</v>
      </c>
      <c r="M177" s="74">
        <v>1.0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1.0</v>
      </c>
      <c r="T177" s="91">
        <v>0.0</v>
      </c>
      <c r="U177" s="91">
        <v>0.0</v>
      </c>
      <c r="V177" s="91">
        <v>0.0</v>
      </c>
      <c r="W177" s="91">
        <v>2.0</v>
      </c>
      <c r="X177" s="91">
        <v>0.0</v>
      </c>
      <c r="Y177" s="91">
        <v>0.0</v>
      </c>
      <c r="Z177" s="91">
        <v>0.0</v>
      </c>
      <c r="AA177" s="91">
        <v>1.0</v>
      </c>
      <c r="AB177" s="13">
        <f t="shared" ref="AB177:AB186" si="36">SUM(E177:AA177)</f>
        <v>9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0.0</v>
      </c>
      <c r="I178" s="74">
        <v>1.0</v>
      </c>
      <c r="J178" s="74">
        <v>0.0</v>
      </c>
      <c r="K178" s="74">
        <v>1.0</v>
      </c>
      <c r="L178" s="74">
        <v>0.0</v>
      </c>
      <c r="M178" s="74">
        <v>0.0</v>
      </c>
      <c r="N178" s="74">
        <v>0.0</v>
      </c>
      <c r="O178" s="74">
        <v>0.0</v>
      </c>
      <c r="P178" s="74">
        <v>0.0</v>
      </c>
      <c r="Q178" s="74">
        <v>1.0</v>
      </c>
      <c r="R178" s="74">
        <v>0.0</v>
      </c>
      <c r="S178" s="74">
        <v>0.0</v>
      </c>
      <c r="T178" s="91">
        <v>0.0</v>
      </c>
      <c r="U178" s="91">
        <v>0.0</v>
      </c>
      <c r="V178" s="91">
        <v>0.0</v>
      </c>
      <c r="W178" s="91">
        <v>0.0</v>
      </c>
      <c r="X178" s="91">
        <v>2.0</v>
      </c>
      <c r="Y178" s="91">
        <v>1.0</v>
      </c>
      <c r="Z178" s="91">
        <v>0.0</v>
      </c>
      <c r="AA178" s="91">
        <v>0.0</v>
      </c>
      <c r="AB178" s="13">
        <f t="shared" si="36"/>
        <v>6</v>
      </c>
      <c r="AC178" s="5"/>
      <c r="AD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1.0</v>
      </c>
      <c r="R179" s="74">
        <v>1.0</v>
      </c>
      <c r="S179" s="74">
        <v>0.0</v>
      </c>
      <c r="T179" s="91">
        <v>0.0</v>
      </c>
      <c r="U179" s="91">
        <v>0.0</v>
      </c>
      <c r="V179" s="91">
        <v>2.0</v>
      </c>
      <c r="W179" s="91">
        <v>0.0</v>
      </c>
      <c r="X179" s="91">
        <v>0.0</v>
      </c>
      <c r="Y179" s="91">
        <v>0.0</v>
      </c>
      <c r="Z179" s="91">
        <v>0.0</v>
      </c>
      <c r="AA179" s="91">
        <v>0.0</v>
      </c>
      <c r="AB179" s="13">
        <f t="shared" si="36"/>
        <v>4</v>
      </c>
      <c r="AC179" s="5"/>
      <c r="AD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1.0</v>
      </c>
      <c r="K180" s="74">
        <v>0.0</v>
      </c>
      <c r="L180" s="74">
        <v>0.0</v>
      </c>
      <c r="M180" s="74">
        <v>0.0</v>
      </c>
      <c r="N180" s="74">
        <v>0.0</v>
      </c>
      <c r="O180" s="74">
        <v>1.0</v>
      </c>
      <c r="P180" s="74">
        <v>0.0</v>
      </c>
      <c r="Q180" s="74">
        <v>0.0</v>
      </c>
      <c r="R180" s="74">
        <v>1.0</v>
      </c>
      <c r="S180" s="74">
        <v>0.0</v>
      </c>
      <c r="T180" s="91">
        <v>0.0</v>
      </c>
      <c r="U180" s="91">
        <v>0.0</v>
      </c>
      <c r="V180" s="91">
        <v>0.0</v>
      </c>
      <c r="W180" s="91">
        <v>0.0</v>
      </c>
      <c r="X180" s="91">
        <v>1.0</v>
      </c>
      <c r="Y180" s="91">
        <v>1.0</v>
      </c>
      <c r="Z180" s="91">
        <v>0.0</v>
      </c>
      <c r="AA180" s="91">
        <v>2.0</v>
      </c>
      <c r="AB180" s="13">
        <f t="shared" si="36"/>
        <v>7</v>
      </c>
      <c r="AC180" s="5"/>
      <c r="AD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1.0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91">
        <v>0.0</v>
      </c>
      <c r="U181" s="91">
        <v>0.0</v>
      </c>
      <c r="V181" s="91">
        <v>0.0</v>
      </c>
      <c r="W181" s="91">
        <v>0.0</v>
      </c>
      <c r="X181" s="91">
        <v>0.0</v>
      </c>
      <c r="Y181" s="91">
        <v>1.0</v>
      </c>
      <c r="Z181" s="91">
        <v>0.0</v>
      </c>
      <c r="AA181" s="91">
        <v>0.0</v>
      </c>
      <c r="AB181" s="13">
        <f t="shared" si="36"/>
        <v>2</v>
      </c>
      <c r="AC181" s="5"/>
      <c r="AD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91">
        <v>0.0</v>
      </c>
      <c r="U182" s="91">
        <v>0.0</v>
      </c>
      <c r="V182" s="91">
        <v>0.0</v>
      </c>
      <c r="W182" s="91">
        <v>0.0</v>
      </c>
      <c r="X182" s="91">
        <v>0.0</v>
      </c>
      <c r="Y182" s="91">
        <v>0.0</v>
      </c>
      <c r="Z182" s="91">
        <v>1.0</v>
      </c>
      <c r="AA182" s="91">
        <v>0.0</v>
      </c>
      <c r="AB182" s="13">
        <f t="shared" si="36"/>
        <v>1</v>
      </c>
      <c r="AC182" s="5"/>
      <c r="AD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1.0</v>
      </c>
      <c r="P183" s="74">
        <v>0.0</v>
      </c>
      <c r="Q183" s="74">
        <v>0.0</v>
      </c>
      <c r="R183" s="74">
        <v>1.0</v>
      </c>
      <c r="S183" s="74">
        <v>0.0</v>
      </c>
      <c r="T183" s="91">
        <v>0.0</v>
      </c>
      <c r="U183" s="91">
        <v>0.0</v>
      </c>
      <c r="V183" s="91">
        <v>0.0</v>
      </c>
      <c r="W183" s="91">
        <v>0.0</v>
      </c>
      <c r="X183" s="91">
        <v>0.0</v>
      </c>
      <c r="Y183" s="91">
        <v>0.0</v>
      </c>
      <c r="Z183" s="91">
        <v>1.0</v>
      </c>
      <c r="AA183" s="91">
        <v>0.0</v>
      </c>
      <c r="AB183" s="13">
        <f t="shared" si="36"/>
        <v>3</v>
      </c>
      <c r="AC183" s="5"/>
      <c r="AD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1.0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91">
        <v>0.0</v>
      </c>
      <c r="U184" s="91">
        <v>0.0</v>
      </c>
      <c r="V184" s="91">
        <v>0.0</v>
      </c>
      <c r="W184" s="91">
        <v>0.0</v>
      </c>
      <c r="X184" s="91">
        <v>0.0</v>
      </c>
      <c r="Y184" s="91">
        <v>0.0</v>
      </c>
      <c r="Z184" s="91">
        <v>0.0</v>
      </c>
      <c r="AA184" s="91">
        <v>0.0</v>
      </c>
      <c r="AB184" s="13">
        <f t="shared" si="36"/>
        <v>1</v>
      </c>
      <c r="AC184" s="5"/>
      <c r="AD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1.0</v>
      </c>
      <c r="O185" s="74">
        <v>0.0</v>
      </c>
      <c r="P185" s="74">
        <v>0.0</v>
      </c>
      <c r="Q185" s="74">
        <v>1.0</v>
      </c>
      <c r="R185" s="74">
        <v>1.0</v>
      </c>
      <c r="S185" s="74">
        <v>0.0</v>
      </c>
      <c r="T185" s="91">
        <v>0.0</v>
      </c>
      <c r="U185" s="91">
        <v>0.0</v>
      </c>
      <c r="V185" s="91">
        <v>0.0</v>
      </c>
      <c r="W185" s="91">
        <v>0.0</v>
      </c>
      <c r="X185" s="91">
        <v>0.0</v>
      </c>
      <c r="Y185" s="91">
        <v>0.0</v>
      </c>
      <c r="Z185" s="91">
        <v>0.0</v>
      </c>
      <c r="AA185" s="91">
        <v>0.0</v>
      </c>
      <c r="AB185" s="13">
        <f t="shared" si="36"/>
        <v>3</v>
      </c>
      <c r="AC185" s="5"/>
      <c r="AD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91">
        <v>0.0</v>
      </c>
      <c r="U186" s="91">
        <v>0.0</v>
      </c>
      <c r="V186" s="91">
        <v>0.0</v>
      </c>
      <c r="W186" s="91">
        <v>0.0</v>
      </c>
      <c r="X186" s="91">
        <v>0.0</v>
      </c>
      <c r="Y186" s="91">
        <v>0.0</v>
      </c>
      <c r="Z186" s="91">
        <v>0.0</v>
      </c>
      <c r="AA186" s="91">
        <v>0.0</v>
      </c>
      <c r="AB186" s="13">
        <f t="shared" si="36"/>
        <v>0</v>
      </c>
      <c r="AC186" s="5"/>
      <c r="AD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B187" si="37">SUM(E177:E186)</f>
        <v>1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3</v>
      </c>
      <c r="J187" s="13">
        <f t="shared" si="37"/>
        <v>1</v>
      </c>
      <c r="K187" s="13">
        <f t="shared" si="37"/>
        <v>1</v>
      </c>
      <c r="L187" s="13">
        <f t="shared" si="37"/>
        <v>0</v>
      </c>
      <c r="M187" s="13">
        <f t="shared" si="37"/>
        <v>2</v>
      </c>
      <c r="N187" s="13">
        <f t="shared" si="37"/>
        <v>1</v>
      </c>
      <c r="O187" s="13">
        <f t="shared" si="37"/>
        <v>2</v>
      </c>
      <c r="P187" s="13">
        <f t="shared" si="37"/>
        <v>0</v>
      </c>
      <c r="Q187" s="13">
        <f t="shared" si="37"/>
        <v>3</v>
      </c>
      <c r="R187" s="13">
        <f t="shared" si="37"/>
        <v>4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2</v>
      </c>
      <c r="W187" s="13">
        <f t="shared" si="37"/>
        <v>2</v>
      </c>
      <c r="X187" s="13">
        <f t="shared" si="37"/>
        <v>3</v>
      </c>
      <c r="Y187" s="13">
        <f t="shared" si="37"/>
        <v>3</v>
      </c>
      <c r="Z187" s="13">
        <f t="shared" si="37"/>
        <v>2</v>
      </c>
      <c r="AA187" s="13">
        <f t="shared" si="37"/>
        <v>3</v>
      </c>
      <c r="AB187" s="13">
        <f t="shared" si="37"/>
        <v>36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1.0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0.0</v>
      </c>
      <c r="Q189" s="74">
        <v>1.0</v>
      </c>
      <c r="R189" s="74">
        <v>0.0</v>
      </c>
      <c r="S189" s="74">
        <v>0.0</v>
      </c>
      <c r="T189" s="91">
        <v>0.0</v>
      </c>
      <c r="U189" s="91">
        <v>1.0</v>
      </c>
      <c r="V189" s="91">
        <v>0.0</v>
      </c>
      <c r="W189" s="91">
        <v>0.0</v>
      </c>
      <c r="X189" s="91">
        <v>0.0</v>
      </c>
      <c r="Y189" s="91">
        <v>0.0</v>
      </c>
      <c r="Z189" s="91">
        <v>1.0</v>
      </c>
      <c r="AA189" s="91">
        <v>0.0</v>
      </c>
      <c r="AB189" s="13">
        <f t="shared" ref="AB189:AB198" si="38">SUM(E189:AA189)</f>
        <v>5</v>
      </c>
      <c r="AC189" s="5"/>
      <c r="AD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1.0</v>
      </c>
      <c r="Q190" s="74">
        <v>0.0</v>
      </c>
      <c r="R190" s="74">
        <v>0.0</v>
      </c>
      <c r="S190" s="74">
        <v>0.0</v>
      </c>
      <c r="T190" s="91">
        <v>0.0</v>
      </c>
      <c r="U190" s="91">
        <v>0.0</v>
      </c>
      <c r="V190" s="91">
        <v>0.0</v>
      </c>
      <c r="W190" s="91">
        <v>0.0</v>
      </c>
      <c r="X190" s="91">
        <v>0.0</v>
      </c>
      <c r="Y190" s="91">
        <v>0.0</v>
      </c>
      <c r="Z190" s="91">
        <v>0.0</v>
      </c>
      <c r="AA190" s="91">
        <v>0.0</v>
      </c>
      <c r="AB190" s="13">
        <f t="shared" si="38"/>
        <v>1</v>
      </c>
      <c r="AC190" s="5"/>
      <c r="AD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1.0</v>
      </c>
      <c r="L191" s="74">
        <v>1.0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92">
        <v>0.0</v>
      </c>
      <c r="U191" s="91">
        <v>0.0</v>
      </c>
      <c r="V191" s="91">
        <v>0.0</v>
      </c>
      <c r="W191" s="91">
        <v>0.0</v>
      </c>
      <c r="X191" s="91">
        <v>0.0</v>
      </c>
      <c r="Y191" s="91">
        <v>0.0</v>
      </c>
      <c r="Z191" s="91">
        <v>1.0</v>
      </c>
      <c r="AA191" s="91">
        <v>0.0</v>
      </c>
      <c r="AB191" s="13">
        <f t="shared" si="38"/>
        <v>3</v>
      </c>
      <c r="AC191" s="5"/>
      <c r="AD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91">
        <v>0.0</v>
      </c>
      <c r="U192" s="91">
        <v>0.0</v>
      </c>
      <c r="V192" s="91">
        <v>0.0</v>
      </c>
      <c r="W192" s="91">
        <v>0.0</v>
      </c>
      <c r="X192" s="91">
        <v>0.0</v>
      </c>
      <c r="Y192" s="91">
        <v>0.0</v>
      </c>
      <c r="Z192" s="91">
        <v>0.0</v>
      </c>
      <c r="AA192" s="91">
        <v>0.0</v>
      </c>
      <c r="AB192" s="13">
        <f t="shared" si="38"/>
        <v>0</v>
      </c>
      <c r="AC192" s="5"/>
      <c r="AD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91">
        <v>0.0</v>
      </c>
      <c r="U193" s="91">
        <v>0.0</v>
      </c>
      <c r="V193" s="91">
        <v>0.0</v>
      </c>
      <c r="W193" s="91">
        <v>0.0</v>
      </c>
      <c r="X193" s="91">
        <v>0.0</v>
      </c>
      <c r="Y193" s="91">
        <v>0.0</v>
      </c>
      <c r="Z193" s="91">
        <v>0.0</v>
      </c>
      <c r="AA193" s="91">
        <v>0.0</v>
      </c>
      <c r="AB193" s="13">
        <f t="shared" si="38"/>
        <v>0</v>
      </c>
      <c r="AC193" s="5"/>
      <c r="AD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91">
        <v>0.0</v>
      </c>
      <c r="U194" s="91">
        <v>0.0</v>
      </c>
      <c r="V194" s="91">
        <v>0.0</v>
      </c>
      <c r="W194" s="91">
        <v>0.0</v>
      </c>
      <c r="X194" s="91">
        <v>0.0</v>
      </c>
      <c r="Y194" s="91">
        <v>0.0</v>
      </c>
      <c r="Z194" s="91">
        <v>0.0</v>
      </c>
      <c r="AA194" s="91">
        <v>0.0</v>
      </c>
      <c r="AB194" s="13">
        <f t="shared" si="38"/>
        <v>0</v>
      </c>
      <c r="AC194" s="5"/>
      <c r="AD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91">
        <v>0.0</v>
      </c>
      <c r="U195" s="91">
        <v>0.0</v>
      </c>
      <c r="V195" s="91">
        <v>0.0</v>
      </c>
      <c r="W195" s="91">
        <v>0.0</v>
      </c>
      <c r="X195" s="91">
        <v>0.0</v>
      </c>
      <c r="Y195" s="91">
        <v>0.0</v>
      </c>
      <c r="Z195" s="91">
        <v>0.0</v>
      </c>
      <c r="AA195" s="91">
        <v>0.0</v>
      </c>
      <c r="AB195" s="13">
        <f t="shared" si="38"/>
        <v>0</v>
      </c>
      <c r="AC195" s="5"/>
      <c r="AD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91">
        <v>0.0</v>
      </c>
      <c r="U196" s="91">
        <v>0.0</v>
      </c>
      <c r="V196" s="91">
        <v>0.0</v>
      </c>
      <c r="W196" s="91">
        <v>0.0</v>
      </c>
      <c r="X196" s="91">
        <v>0.0</v>
      </c>
      <c r="Y196" s="91">
        <v>0.0</v>
      </c>
      <c r="Z196" s="91">
        <v>0.0</v>
      </c>
      <c r="AA196" s="91">
        <v>0.0</v>
      </c>
      <c r="AB196" s="13">
        <f t="shared" si="38"/>
        <v>0</v>
      </c>
      <c r="AC196" s="1"/>
      <c r="AD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91">
        <v>0.0</v>
      </c>
      <c r="U197" s="91">
        <v>0.0</v>
      </c>
      <c r="V197" s="91">
        <v>0.0</v>
      </c>
      <c r="W197" s="91">
        <v>0.0</v>
      </c>
      <c r="X197" s="91">
        <v>0.0</v>
      </c>
      <c r="Y197" s="91">
        <v>0.0</v>
      </c>
      <c r="Z197" s="91">
        <v>0.0</v>
      </c>
      <c r="AA197" s="91">
        <v>0.0</v>
      </c>
      <c r="AB197" s="13">
        <f t="shared" si="38"/>
        <v>0</v>
      </c>
      <c r="AC197" s="1"/>
      <c r="AD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1.0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13">
        <f t="shared" si="38"/>
        <v>1</v>
      </c>
      <c r="AC198" s="1"/>
      <c r="AD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B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1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2</v>
      </c>
      <c r="AA199" s="13">
        <f t="shared" si="39"/>
        <v>0</v>
      </c>
      <c r="AB199" s="13">
        <f t="shared" si="39"/>
        <v>10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5"/>
      <c r="AD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2.0</v>
      </c>
      <c r="G201" s="74">
        <v>1.0</v>
      </c>
      <c r="H201" s="74">
        <v>1.0</v>
      </c>
      <c r="I201" s="74">
        <v>4.0</v>
      </c>
      <c r="J201" s="74">
        <v>4.0</v>
      </c>
      <c r="K201" s="74">
        <v>3.0</v>
      </c>
      <c r="L201" s="74">
        <v>0.0</v>
      </c>
      <c r="M201" s="74">
        <v>2.0</v>
      </c>
      <c r="N201" s="74">
        <v>7.0</v>
      </c>
      <c r="O201" s="74">
        <v>3.0</v>
      </c>
      <c r="P201" s="74">
        <v>4.0</v>
      </c>
      <c r="Q201" s="74">
        <v>0.0</v>
      </c>
      <c r="R201" s="74">
        <v>2.0</v>
      </c>
      <c r="S201" s="74">
        <v>0.0</v>
      </c>
      <c r="T201" s="91">
        <v>1.0</v>
      </c>
      <c r="U201" s="91">
        <v>1.0</v>
      </c>
      <c r="V201" s="91">
        <v>2.0</v>
      </c>
      <c r="W201" s="91">
        <v>3.0</v>
      </c>
      <c r="X201" s="91">
        <v>2.0</v>
      </c>
      <c r="Y201" s="91">
        <v>4.0</v>
      </c>
      <c r="Z201" s="91">
        <v>1.0</v>
      </c>
      <c r="AA201" s="91">
        <v>3.0</v>
      </c>
      <c r="AB201" s="13">
        <f t="shared" ref="AB201:AB210" si="40">SUM(E201:AA201)</f>
        <v>51</v>
      </c>
      <c r="AC201" s="5"/>
      <c r="AD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4.0</v>
      </c>
      <c r="F202" s="74">
        <v>8.0</v>
      </c>
      <c r="G202" s="74">
        <v>9.0</v>
      </c>
      <c r="H202" s="74">
        <v>13.0</v>
      </c>
      <c r="I202" s="74">
        <v>11.0</v>
      </c>
      <c r="J202" s="74">
        <v>9.0</v>
      </c>
      <c r="K202" s="74">
        <v>12.0</v>
      </c>
      <c r="L202" s="74">
        <v>0.0</v>
      </c>
      <c r="M202" s="74">
        <v>8.0</v>
      </c>
      <c r="N202" s="74">
        <v>3.0</v>
      </c>
      <c r="O202" s="74">
        <v>8.0</v>
      </c>
      <c r="P202" s="74">
        <v>12.0</v>
      </c>
      <c r="Q202" s="74">
        <v>3.0</v>
      </c>
      <c r="R202" s="74">
        <v>5.0</v>
      </c>
      <c r="S202" s="74">
        <v>2.0</v>
      </c>
      <c r="T202" s="91">
        <v>3.0</v>
      </c>
      <c r="U202" s="91">
        <v>5.0</v>
      </c>
      <c r="V202" s="91">
        <v>4.0</v>
      </c>
      <c r="W202" s="91">
        <v>12.0</v>
      </c>
      <c r="X202" s="91">
        <v>19.0</v>
      </c>
      <c r="Y202" s="91">
        <v>6.0</v>
      </c>
      <c r="Z202" s="91">
        <v>11.0</v>
      </c>
      <c r="AA202" s="91">
        <v>6.0</v>
      </c>
      <c r="AB202" s="13">
        <f t="shared" si="40"/>
        <v>173</v>
      </c>
      <c r="AC202" s="5"/>
      <c r="AD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2.0</v>
      </c>
      <c r="G203" s="74">
        <v>3.0</v>
      </c>
      <c r="H203" s="74">
        <v>1.0</v>
      </c>
      <c r="I203" s="74">
        <v>0.0</v>
      </c>
      <c r="J203" s="74">
        <v>3.0</v>
      </c>
      <c r="K203" s="74">
        <v>3.0</v>
      </c>
      <c r="L203" s="74">
        <v>0.0</v>
      </c>
      <c r="M203" s="74">
        <v>0.0</v>
      </c>
      <c r="N203" s="74">
        <v>2.0</v>
      </c>
      <c r="O203" s="74">
        <v>0.0</v>
      </c>
      <c r="P203" s="74">
        <v>0.0</v>
      </c>
      <c r="Q203" s="74">
        <v>1.0</v>
      </c>
      <c r="R203" s="74">
        <v>1.0</v>
      </c>
      <c r="S203" s="74">
        <v>0.0</v>
      </c>
      <c r="T203" s="91">
        <v>1.0</v>
      </c>
      <c r="U203" s="91">
        <v>2.0</v>
      </c>
      <c r="V203" s="91">
        <v>1.0</v>
      </c>
      <c r="W203" s="91">
        <v>1.0</v>
      </c>
      <c r="X203" s="91">
        <v>1.0</v>
      </c>
      <c r="Y203" s="91">
        <v>0.0</v>
      </c>
      <c r="Z203" s="91">
        <v>0.0</v>
      </c>
      <c r="AA203" s="91">
        <v>1.0</v>
      </c>
      <c r="AB203" s="13">
        <f t="shared" si="40"/>
        <v>23</v>
      </c>
      <c r="AC203" s="5"/>
      <c r="AD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1.0</v>
      </c>
      <c r="R204" s="74">
        <v>0.0</v>
      </c>
      <c r="S204" s="74">
        <v>1.0</v>
      </c>
      <c r="T204" s="91">
        <v>0.0</v>
      </c>
      <c r="U204" s="91">
        <v>0.0</v>
      </c>
      <c r="V204" s="91">
        <v>0.0</v>
      </c>
      <c r="W204" s="91">
        <v>0.0</v>
      </c>
      <c r="X204" s="91">
        <v>0.0</v>
      </c>
      <c r="Y204" s="91">
        <v>3.0</v>
      </c>
      <c r="Z204" s="91">
        <v>0.0</v>
      </c>
      <c r="AA204" s="91">
        <v>0.0</v>
      </c>
      <c r="AB204" s="13">
        <f t="shared" si="40"/>
        <v>5</v>
      </c>
      <c r="AC204" s="5"/>
      <c r="AD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1.0</v>
      </c>
      <c r="S205" s="74">
        <v>1.0</v>
      </c>
      <c r="T205" s="91">
        <v>0.0</v>
      </c>
      <c r="U205" s="91">
        <v>1.0</v>
      </c>
      <c r="V205" s="91">
        <v>0.0</v>
      </c>
      <c r="W205" s="91">
        <v>1.0</v>
      </c>
      <c r="X205" s="91">
        <v>0.0</v>
      </c>
      <c r="Y205" s="91">
        <v>0.0</v>
      </c>
      <c r="Z205" s="91">
        <v>0.0</v>
      </c>
      <c r="AA205" s="91">
        <v>1.0</v>
      </c>
      <c r="AB205" s="13">
        <f t="shared" si="40"/>
        <v>6</v>
      </c>
      <c r="AC205" s="5"/>
      <c r="AD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91">
        <v>1.0</v>
      </c>
      <c r="U206" s="91">
        <v>0.0</v>
      </c>
      <c r="V206" s="91">
        <v>0.0</v>
      </c>
      <c r="W206" s="91">
        <v>0.0</v>
      </c>
      <c r="X206" s="91">
        <v>0.0</v>
      </c>
      <c r="Y206" s="91">
        <v>0.0</v>
      </c>
      <c r="Z206" s="91">
        <v>0.0</v>
      </c>
      <c r="AA206" s="91">
        <v>0.0</v>
      </c>
      <c r="AB206" s="13">
        <f t="shared" si="40"/>
        <v>1</v>
      </c>
      <c r="AC206" s="5"/>
      <c r="AD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1.0</v>
      </c>
      <c r="Q207" s="74">
        <v>0.0</v>
      </c>
      <c r="R207" s="74">
        <v>0.0</v>
      </c>
      <c r="S207" s="74">
        <v>0.0</v>
      </c>
      <c r="T207" s="91">
        <v>0.0</v>
      </c>
      <c r="U207" s="91">
        <v>0.0</v>
      </c>
      <c r="V207" s="91">
        <v>0.0</v>
      </c>
      <c r="W207" s="91">
        <v>0.0</v>
      </c>
      <c r="X207" s="91">
        <v>0.0</v>
      </c>
      <c r="Y207" s="91">
        <v>1.0</v>
      </c>
      <c r="Z207" s="91">
        <v>0.0</v>
      </c>
      <c r="AA207" s="91">
        <v>0.0</v>
      </c>
      <c r="AB207" s="13">
        <f t="shared" si="40"/>
        <v>2</v>
      </c>
      <c r="AC207" s="1"/>
      <c r="AD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1.0</v>
      </c>
      <c r="G208" s="74">
        <v>0.0</v>
      </c>
      <c r="H208" s="74">
        <v>1.0</v>
      </c>
      <c r="I208" s="74">
        <v>0.0</v>
      </c>
      <c r="J208" s="74">
        <v>0.0</v>
      </c>
      <c r="K208" s="74">
        <v>1.0</v>
      </c>
      <c r="L208" s="74">
        <v>0.0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91">
        <v>1.0</v>
      </c>
      <c r="U208" s="91">
        <v>0.0</v>
      </c>
      <c r="V208" s="91">
        <v>1.0</v>
      </c>
      <c r="W208" s="91">
        <v>0.0</v>
      </c>
      <c r="X208" s="91">
        <v>0.0</v>
      </c>
      <c r="Y208" s="91">
        <v>0.0</v>
      </c>
      <c r="Z208" s="91">
        <v>1.0</v>
      </c>
      <c r="AA208" s="91">
        <v>0.0</v>
      </c>
      <c r="AB208" s="13">
        <f t="shared" si="40"/>
        <v>6</v>
      </c>
      <c r="AC208" s="52"/>
      <c r="AD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91">
        <v>0.0</v>
      </c>
      <c r="U209" s="91">
        <v>1.0</v>
      </c>
      <c r="V209" s="91">
        <v>0.0</v>
      </c>
      <c r="W209" s="91">
        <v>0.0</v>
      </c>
      <c r="X209" s="91">
        <v>0.0</v>
      </c>
      <c r="Y209" s="91">
        <v>0.0</v>
      </c>
      <c r="Z209" s="91">
        <v>0.0</v>
      </c>
      <c r="AA209" s="91">
        <v>0.0</v>
      </c>
      <c r="AB209" s="13">
        <f t="shared" si="40"/>
        <v>1</v>
      </c>
      <c r="AC209" s="52"/>
      <c r="AD209" s="52"/>
    </row>
    <row r="210" ht="12.75" customHeight="1">
      <c r="A210" s="18"/>
      <c r="B210" s="55"/>
      <c r="C210" s="50" t="s">
        <v>162</v>
      </c>
      <c r="D210" s="57"/>
      <c r="E210" s="74">
        <v>1.0</v>
      </c>
      <c r="F210" s="74">
        <v>0.0</v>
      </c>
      <c r="G210" s="74">
        <v>0.0</v>
      </c>
      <c r="H210" s="74">
        <v>0.0</v>
      </c>
      <c r="I210" s="74">
        <v>1.0</v>
      </c>
      <c r="J210" s="74">
        <v>1.0</v>
      </c>
      <c r="K210" s="74">
        <v>2.0</v>
      </c>
      <c r="L210" s="74">
        <v>0.0</v>
      </c>
      <c r="M210" s="74">
        <v>3.0</v>
      </c>
      <c r="N210" s="74">
        <v>1.0</v>
      </c>
      <c r="O210" s="74">
        <v>3.0</v>
      </c>
      <c r="P210" s="74">
        <v>2.0</v>
      </c>
      <c r="Q210" s="74">
        <v>0.0</v>
      </c>
      <c r="R210" s="74">
        <v>1.0</v>
      </c>
      <c r="S210" s="74">
        <v>0.0</v>
      </c>
      <c r="T210" s="91">
        <v>3.0</v>
      </c>
      <c r="U210" s="91">
        <v>0.0</v>
      </c>
      <c r="V210" s="91">
        <v>2.0</v>
      </c>
      <c r="W210" s="91">
        <v>0.0</v>
      </c>
      <c r="X210" s="91">
        <v>0.0</v>
      </c>
      <c r="Y210" s="91">
        <v>0.0</v>
      </c>
      <c r="Z210" s="91">
        <v>0.0</v>
      </c>
      <c r="AA210" s="91">
        <v>0.0</v>
      </c>
      <c r="AB210" s="13">
        <f t="shared" si="40"/>
        <v>20</v>
      </c>
      <c r="AC210" s="52"/>
      <c r="AD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B211" si="41">SUM(E201:E210)</f>
        <v>6</v>
      </c>
      <c r="F211" s="13">
        <f t="shared" si="41"/>
        <v>13</v>
      </c>
      <c r="G211" s="13">
        <f t="shared" si="41"/>
        <v>13</v>
      </c>
      <c r="H211" s="13">
        <f t="shared" si="41"/>
        <v>17</v>
      </c>
      <c r="I211" s="13">
        <f t="shared" si="41"/>
        <v>16</v>
      </c>
      <c r="J211" s="13">
        <f t="shared" si="41"/>
        <v>17</v>
      </c>
      <c r="K211" s="13">
        <f t="shared" si="41"/>
        <v>21</v>
      </c>
      <c r="L211" s="13">
        <f t="shared" si="41"/>
        <v>0</v>
      </c>
      <c r="M211" s="13">
        <f t="shared" si="41"/>
        <v>13</v>
      </c>
      <c r="N211" s="13">
        <f t="shared" si="41"/>
        <v>13</v>
      </c>
      <c r="O211" s="13">
        <f t="shared" si="41"/>
        <v>14</v>
      </c>
      <c r="P211" s="13">
        <f t="shared" si="41"/>
        <v>19</v>
      </c>
      <c r="Q211" s="13">
        <f t="shared" si="41"/>
        <v>5</v>
      </c>
      <c r="R211" s="13">
        <f t="shared" si="41"/>
        <v>10</v>
      </c>
      <c r="S211" s="13">
        <f t="shared" si="41"/>
        <v>4</v>
      </c>
      <c r="T211" s="13">
        <f t="shared" si="41"/>
        <v>10</v>
      </c>
      <c r="U211" s="13">
        <f t="shared" si="41"/>
        <v>10</v>
      </c>
      <c r="V211" s="13">
        <f t="shared" si="41"/>
        <v>10</v>
      </c>
      <c r="W211" s="13">
        <f t="shared" si="41"/>
        <v>17</v>
      </c>
      <c r="X211" s="13">
        <f t="shared" si="41"/>
        <v>22</v>
      </c>
      <c r="Y211" s="13">
        <f t="shared" si="41"/>
        <v>14</v>
      </c>
      <c r="Z211" s="13">
        <f t="shared" si="41"/>
        <v>13</v>
      </c>
      <c r="AA211" s="13">
        <f t="shared" si="41"/>
        <v>11</v>
      </c>
      <c r="AB211" s="13">
        <f t="shared" si="41"/>
        <v>288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5"/>
      <c r="AD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4.0</v>
      </c>
      <c r="F213" s="74">
        <v>2.0</v>
      </c>
      <c r="G213" s="74">
        <v>0.0</v>
      </c>
      <c r="H213" s="74">
        <v>1.0</v>
      </c>
      <c r="I213" s="74">
        <v>1.0</v>
      </c>
      <c r="J213" s="74">
        <v>7.0</v>
      </c>
      <c r="K213" s="74">
        <v>4.0</v>
      </c>
      <c r="L213" s="74">
        <v>0.0</v>
      </c>
      <c r="M213" s="74">
        <v>1.0</v>
      </c>
      <c r="N213" s="74">
        <v>1.0</v>
      </c>
      <c r="O213" s="74">
        <v>0.0</v>
      </c>
      <c r="P213" s="74">
        <v>4.0</v>
      </c>
      <c r="Q213" s="74">
        <v>2.0</v>
      </c>
      <c r="R213" s="74">
        <v>5.0</v>
      </c>
      <c r="S213" s="74">
        <v>1.0</v>
      </c>
      <c r="T213" s="74">
        <v>0.0</v>
      </c>
      <c r="U213" s="74">
        <v>4.0</v>
      </c>
      <c r="V213" s="74">
        <v>1.0</v>
      </c>
      <c r="W213" s="74">
        <v>7.0</v>
      </c>
      <c r="X213" s="74">
        <v>3.0</v>
      </c>
      <c r="Y213" s="74">
        <v>0.0</v>
      </c>
      <c r="Z213" s="74">
        <v>2.0</v>
      </c>
      <c r="AA213" s="74">
        <v>3.0</v>
      </c>
      <c r="AB213" s="13">
        <f t="shared" ref="AB213:AB216" si="42">SUM(E213:AA213)</f>
        <v>53</v>
      </c>
      <c r="AC213" s="5"/>
      <c r="AD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1.0</v>
      </c>
      <c r="G214" s="74">
        <v>0.0</v>
      </c>
      <c r="H214" s="74">
        <v>0.0</v>
      </c>
      <c r="I214" s="74">
        <v>0.0</v>
      </c>
      <c r="J214" s="74">
        <v>1.0</v>
      </c>
      <c r="K214" s="74">
        <v>0.0</v>
      </c>
      <c r="L214" s="74">
        <v>0.0</v>
      </c>
      <c r="M214" s="74">
        <v>0.0</v>
      </c>
      <c r="N214" s="74">
        <v>0.0</v>
      </c>
      <c r="O214" s="74">
        <v>1.0</v>
      </c>
      <c r="P214" s="74">
        <v>1.0</v>
      </c>
      <c r="Q214" s="74">
        <v>1.0</v>
      </c>
      <c r="R214" s="74">
        <v>2.0</v>
      </c>
      <c r="S214" s="74">
        <v>2.0</v>
      </c>
      <c r="T214" s="74">
        <v>0.0</v>
      </c>
      <c r="U214" s="74">
        <v>1.0</v>
      </c>
      <c r="V214" s="74">
        <v>0.0</v>
      </c>
      <c r="W214" s="74">
        <v>1.0</v>
      </c>
      <c r="X214" s="74">
        <v>0.0</v>
      </c>
      <c r="Y214" s="74">
        <v>1.0</v>
      </c>
      <c r="Z214" s="74">
        <v>0.0</v>
      </c>
      <c r="AA214" s="74">
        <v>3.0</v>
      </c>
      <c r="AB214" s="13">
        <f t="shared" si="42"/>
        <v>16</v>
      </c>
      <c r="AC214" s="5"/>
      <c r="AD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6.0</v>
      </c>
      <c r="G215" s="74">
        <v>0.0</v>
      </c>
      <c r="H215" s="74">
        <v>1.0</v>
      </c>
      <c r="I215" s="74">
        <v>0.0</v>
      </c>
      <c r="J215" s="74">
        <v>2.0</v>
      </c>
      <c r="K215" s="74">
        <v>3.0</v>
      </c>
      <c r="L215" s="74">
        <v>0.0</v>
      </c>
      <c r="M215" s="74">
        <v>1.0</v>
      </c>
      <c r="N215" s="74">
        <v>0.0</v>
      </c>
      <c r="O215" s="74">
        <v>3.0</v>
      </c>
      <c r="P215" s="74">
        <v>2.0</v>
      </c>
      <c r="Q215" s="74">
        <v>1.0</v>
      </c>
      <c r="R215" s="74">
        <v>2.0</v>
      </c>
      <c r="S215" s="74">
        <v>1.0</v>
      </c>
      <c r="T215" s="74">
        <v>0.0</v>
      </c>
      <c r="U215" s="74">
        <v>1.0</v>
      </c>
      <c r="V215" s="74">
        <v>1.0</v>
      </c>
      <c r="W215" s="74">
        <v>0.0</v>
      </c>
      <c r="X215" s="74">
        <v>1.0</v>
      </c>
      <c r="Y215" s="74">
        <v>3.0</v>
      </c>
      <c r="Z215" s="74">
        <v>1.0</v>
      </c>
      <c r="AA215" s="74">
        <v>1.0</v>
      </c>
      <c r="AB215" s="13">
        <f t="shared" si="42"/>
        <v>31</v>
      </c>
      <c r="AC215" s="5"/>
      <c r="AD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1.0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1.0</v>
      </c>
      <c r="S216" s="74">
        <v>1.0</v>
      </c>
      <c r="T216" s="74">
        <v>0.0</v>
      </c>
      <c r="U216" s="74">
        <v>2.0</v>
      </c>
      <c r="V216" s="74">
        <v>0.0</v>
      </c>
      <c r="W216" s="74">
        <v>0.0</v>
      </c>
      <c r="X216" s="74">
        <v>0.0</v>
      </c>
      <c r="Y216" s="74">
        <v>0.0</v>
      </c>
      <c r="Z216" s="74">
        <v>1.0</v>
      </c>
      <c r="AA216" s="74">
        <v>0.0</v>
      </c>
      <c r="AB216" s="13">
        <f t="shared" si="42"/>
        <v>6</v>
      </c>
      <c r="AC216" s="5"/>
      <c r="AD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81"/>
      <c r="AC217" s="5"/>
      <c r="AD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81"/>
      <c r="AC218" s="1"/>
      <c r="AD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81"/>
      <c r="AC219" s="52"/>
      <c r="AD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81"/>
      <c r="AC220" s="5"/>
      <c r="AD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81"/>
      <c r="AC221" s="5"/>
      <c r="AD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81"/>
      <c r="AC222" s="5"/>
      <c r="AD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43">SUM(E213:E220)</f>
        <v>6</v>
      </c>
      <c r="F223" s="13">
        <f t="shared" si="43"/>
        <v>9</v>
      </c>
      <c r="G223" s="13">
        <f t="shared" si="43"/>
        <v>0</v>
      </c>
      <c r="H223" s="13">
        <f t="shared" si="43"/>
        <v>3</v>
      </c>
      <c r="I223" s="13">
        <f t="shared" si="43"/>
        <v>1</v>
      </c>
      <c r="J223" s="13">
        <f t="shared" si="43"/>
        <v>10</v>
      </c>
      <c r="K223" s="13">
        <f t="shared" si="43"/>
        <v>7</v>
      </c>
      <c r="L223" s="13">
        <f t="shared" si="43"/>
        <v>0</v>
      </c>
      <c r="M223" s="13">
        <f t="shared" si="43"/>
        <v>2</v>
      </c>
      <c r="N223" s="13">
        <f t="shared" si="43"/>
        <v>1</v>
      </c>
      <c r="O223" s="13">
        <f t="shared" si="43"/>
        <v>4</v>
      </c>
      <c r="P223" s="13">
        <f t="shared" si="43"/>
        <v>7</v>
      </c>
      <c r="Q223" s="13">
        <f t="shared" si="43"/>
        <v>4</v>
      </c>
      <c r="R223" s="13">
        <f t="shared" si="43"/>
        <v>10</v>
      </c>
      <c r="S223" s="13">
        <f t="shared" si="43"/>
        <v>5</v>
      </c>
      <c r="T223" s="13">
        <f t="shared" si="43"/>
        <v>0</v>
      </c>
      <c r="U223" s="13">
        <f t="shared" si="43"/>
        <v>8</v>
      </c>
      <c r="V223" s="13">
        <f t="shared" si="43"/>
        <v>2</v>
      </c>
      <c r="W223" s="13">
        <f t="shared" si="43"/>
        <v>8</v>
      </c>
      <c r="X223" s="13">
        <f t="shared" si="43"/>
        <v>4</v>
      </c>
      <c r="Y223" s="13">
        <f t="shared" si="43"/>
        <v>4</v>
      </c>
      <c r="Z223" s="13">
        <f t="shared" si="43"/>
        <v>4</v>
      </c>
      <c r="AA223" s="13">
        <f t="shared" si="43"/>
        <v>7</v>
      </c>
      <c r="AB223" s="13">
        <f>SUM(E223:AA223)</f>
        <v>106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5"/>
      <c r="AD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1.0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1.0</v>
      </c>
      <c r="U225" s="74">
        <v>1.0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13">
        <f t="shared" ref="AB225:AB229" si="44">SUM(E225:AA225)</f>
        <v>3</v>
      </c>
      <c r="AC225" s="5"/>
      <c r="AD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1.0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13">
        <f t="shared" si="44"/>
        <v>1</v>
      </c>
      <c r="AC226" s="5"/>
      <c r="AD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1.0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1.0</v>
      </c>
      <c r="X227" s="74">
        <v>0.0</v>
      </c>
      <c r="Y227" s="74">
        <v>0.0</v>
      </c>
      <c r="Z227" s="74">
        <v>0.0</v>
      </c>
      <c r="AA227" s="74">
        <v>0.0</v>
      </c>
      <c r="AB227" s="13">
        <f t="shared" si="44"/>
        <v>2</v>
      </c>
      <c r="AC227" s="5"/>
      <c r="AD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13">
        <f t="shared" si="44"/>
        <v>0</v>
      </c>
      <c r="AC228" s="5"/>
      <c r="AD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13">
        <f t="shared" si="44"/>
        <v>0</v>
      </c>
      <c r="AC229" s="1"/>
      <c r="AD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74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81"/>
      <c r="AC230" s="52"/>
      <c r="AD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81"/>
      <c r="AC231" s="5"/>
      <c r="AD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81"/>
      <c r="AC232" s="5"/>
      <c r="AD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81"/>
      <c r="AC233" s="5"/>
      <c r="AD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81"/>
      <c r="AC234" s="5"/>
      <c r="AD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1</v>
      </c>
      <c r="W235" s="13">
        <f t="shared" si="45"/>
        <v>1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>SUM(E235:AA235)</f>
        <v>6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5"/>
      <c r="AD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0.0</v>
      </c>
      <c r="H237" s="74">
        <v>1.0</v>
      </c>
      <c r="I237" s="74">
        <v>0.0</v>
      </c>
      <c r="J237" s="74">
        <v>0.0</v>
      </c>
      <c r="K237" s="74">
        <v>1.0</v>
      </c>
      <c r="L237" s="74">
        <v>1.0</v>
      </c>
      <c r="M237" s="74">
        <v>0.0</v>
      </c>
      <c r="N237" s="74">
        <v>2.0</v>
      </c>
      <c r="O237" s="74">
        <v>0.0</v>
      </c>
      <c r="P237" s="74">
        <v>0.0</v>
      </c>
      <c r="Q237" s="74">
        <v>1.0</v>
      </c>
      <c r="R237" s="74">
        <v>0.0</v>
      </c>
      <c r="S237" s="74">
        <v>0.0</v>
      </c>
      <c r="T237" s="74">
        <v>0.0</v>
      </c>
      <c r="U237" s="74">
        <v>0.0</v>
      </c>
      <c r="V237" s="74">
        <v>2.0</v>
      </c>
      <c r="W237" s="74">
        <v>0.0</v>
      </c>
      <c r="X237" s="74">
        <v>1.0</v>
      </c>
      <c r="Y237" s="74">
        <v>5.0</v>
      </c>
      <c r="Z237" s="74">
        <v>1.0</v>
      </c>
      <c r="AA237" s="74">
        <v>4.0</v>
      </c>
      <c r="AB237" s="13">
        <f t="shared" ref="AB237:AB246" si="46">SUM(E237:AA237)</f>
        <v>19</v>
      </c>
      <c r="AC237" s="5"/>
      <c r="AD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0.0</v>
      </c>
      <c r="G238" s="74">
        <v>0.0</v>
      </c>
      <c r="H238" s="74">
        <v>0.0</v>
      </c>
      <c r="I238" s="74">
        <v>0.0</v>
      </c>
      <c r="J238" s="74">
        <v>1.0</v>
      </c>
      <c r="K238" s="74">
        <v>1.0</v>
      </c>
      <c r="L238" s="74">
        <v>0.0</v>
      </c>
      <c r="M238" s="74">
        <v>0.0</v>
      </c>
      <c r="N238" s="74">
        <v>10.0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1.0</v>
      </c>
      <c r="V238" s="74">
        <v>0.0</v>
      </c>
      <c r="W238" s="74">
        <v>0.0</v>
      </c>
      <c r="X238" s="74">
        <v>0.0</v>
      </c>
      <c r="Y238" s="74">
        <v>2.0</v>
      </c>
      <c r="Z238" s="74">
        <v>2.0</v>
      </c>
      <c r="AA238" s="74">
        <v>4.0</v>
      </c>
      <c r="AB238" s="13">
        <f t="shared" si="46"/>
        <v>22</v>
      </c>
      <c r="AC238" s="5"/>
      <c r="AD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4.0</v>
      </c>
      <c r="H239" s="74">
        <v>0.0</v>
      </c>
      <c r="I239" s="74">
        <v>1.0</v>
      </c>
      <c r="J239" s="74">
        <v>1.0</v>
      </c>
      <c r="K239" s="74">
        <v>3.0</v>
      </c>
      <c r="L239" s="74">
        <v>0.0</v>
      </c>
      <c r="M239" s="74">
        <v>4.0</v>
      </c>
      <c r="N239" s="74">
        <v>3.0</v>
      </c>
      <c r="O239" s="74">
        <v>0.0</v>
      </c>
      <c r="P239" s="74">
        <v>0.0</v>
      </c>
      <c r="Q239" s="74">
        <v>1.0</v>
      </c>
      <c r="R239" s="74">
        <v>2.0</v>
      </c>
      <c r="S239" s="74">
        <v>5.0</v>
      </c>
      <c r="T239" s="74">
        <v>4.0</v>
      </c>
      <c r="U239" s="74">
        <v>1.0</v>
      </c>
      <c r="V239" s="74">
        <v>2.0</v>
      </c>
      <c r="W239" s="74">
        <v>0.0</v>
      </c>
      <c r="X239" s="74">
        <v>2.0</v>
      </c>
      <c r="Y239" s="74">
        <v>3.0</v>
      </c>
      <c r="Z239" s="74">
        <v>2.0</v>
      </c>
      <c r="AA239" s="74">
        <v>7.0</v>
      </c>
      <c r="AB239" s="13">
        <f t="shared" si="46"/>
        <v>45</v>
      </c>
      <c r="AC239" s="5"/>
      <c r="AD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1.0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1.0</v>
      </c>
      <c r="AB240" s="13">
        <f t="shared" si="46"/>
        <v>2</v>
      </c>
      <c r="AC240" s="1"/>
      <c r="AD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1.0</v>
      </c>
      <c r="L242" s="74">
        <v>0.0</v>
      </c>
      <c r="M242" s="74">
        <v>0.0</v>
      </c>
      <c r="N242" s="74">
        <v>2.0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1.0</v>
      </c>
      <c r="U242" s="74">
        <v>0.0</v>
      </c>
      <c r="V242" s="74">
        <v>0.0</v>
      </c>
      <c r="W242" s="74">
        <v>0.0</v>
      </c>
      <c r="X242" s="74">
        <v>0.0</v>
      </c>
      <c r="Y242" s="74">
        <v>2.0</v>
      </c>
      <c r="Z242" s="74">
        <v>2.0</v>
      </c>
      <c r="AA242" s="74">
        <v>3.0</v>
      </c>
      <c r="AB242" s="13">
        <f t="shared" si="46"/>
        <v>11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1.0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1.0</v>
      </c>
      <c r="Q244" s="74">
        <v>0.0</v>
      </c>
      <c r="R244" s="74">
        <v>0.0</v>
      </c>
      <c r="S244" s="74">
        <v>1.0</v>
      </c>
      <c r="T244" s="74">
        <v>1.0</v>
      </c>
      <c r="U244" s="74">
        <v>0.0</v>
      </c>
      <c r="V244" s="74">
        <v>0.0</v>
      </c>
      <c r="W244" s="74">
        <v>0.0</v>
      </c>
      <c r="X244" s="74">
        <v>0.0</v>
      </c>
      <c r="Y244" s="74">
        <v>1.0</v>
      </c>
      <c r="Z244" s="74">
        <v>0.0</v>
      </c>
      <c r="AA244" s="74">
        <v>0.0</v>
      </c>
      <c r="AB244" s="13">
        <f t="shared" si="46"/>
        <v>5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1.0</v>
      </c>
      <c r="O245" s="74">
        <v>1.0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1.0</v>
      </c>
      <c r="X245" s="74">
        <v>0.0</v>
      </c>
      <c r="Y245" s="74">
        <v>1.0</v>
      </c>
      <c r="Z245" s="74">
        <v>0.0</v>
      </c>
      <c r="AA245" s="74">
        <v>0.0</v>
      </c>
      <c r="AB245" s="13">
        <f t="shared" si="46"/>
        <v>4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1.0</v>
      </c>
      <c r="H246" s="74">
        <v>0.0</v>
      </c>
      <c r="I246" s="74">
        <v>0.0</v>
      </c>
      <c r="J246" s="74">
        <v>1.0</v>
      </c>
      <c r="K246" s="74">
        <v>0.0</v>
      </c>
      <c r="L246" s="74">
        <v>1.0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1.0</v>
      </c>
      <c r="Y246" s="74">
        <v>0.0</v>
      </c>
      <c r="Z246" s="74">
        <v>0.0</v>
      </c>
      <c r="AA246" s="74">
        <v>0.0</v>
      </c>
      <c r="AB246" s="13">
        <f t="shared" si="46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B247" si="47">SUM(E237:E246)</f>
        <v>1</v>
      </c>
      <c r="F247" s="13">
        <f t="shared" si="47"/>
        <v>0</v>
      </c>
      <c r="G247" s="13">
        <f t="shared" si="47"/>
        <v>6</v>
      </c>
      <c r="H247" s="13">
        <f t="shared" si="47"/>
        <v>1</v>
      </c>
      <c r="I247" s="13">
        <f t="shared" si="47"/>
        <v>1</v>
      </c>
      <c r="J247" s="13">
        <f t="shared" si="47"/>
        <v>3</v>
      </c>
      <c r="K247" s="13">
        <f t="shared" si="47"/>
        <v>6</v>
      </c>
      <c r="L247" s="13">
        <f t="shared" si="47"/>
        <v>2</v>
      </c>
      <c r="M247" s="13">
        <f t="shared" si="47"/>
        <v>4</v>
      </c>
      <c r="N247" s="13">
        <f t="shared" si="47"/>
        <v>19</v>
      </c>
      <c r="O247" s="13">
        <f t="shared" si="47"/>
        <v>1</v>
      </c>
      <c r="P247" s="13">
        <f t="shared" si="47"/>
        <v>1</v>
      </c>
      <c r="Q247" s="13">
        <f t="shared" si="47"/>
        <v>2</v>
      </c>
      <c r="R247" s="13">
        <f t="shared" si="47"/>
        <v>2</v>
      </c>
      <c r="S247" s="13">
        <f t="shared" si="47"/>
        <v>6</v>
      </c>
      <c r="T247" s="13">
        <f t="shared" si="47"/>
        <v>6</v>
      </c>
      <c r="U247" s="13">
        <f t="shared" si="47"/>
        <v>2</v>
      </c>
      <c r="V247" s="13">
        <f t="shared" si="47"/>
        <v>4</v>
      </c>
      <c r="W247" s="13">
        <f t="shared" si="47"/>
        <v>1</v>
      </c>
      <c r="X247" s="13">
        <f t="shared" si="47"/>
        <v>4</v>
      </c>
      <c r="Y247" s="13">
        <f t="shared" si="47"/>
        <v>14</v>
      </c>
      <c r="Z247" s="13">
        <f t="shared" si="47"/>
        <v>7</v>
      </c>
      <c r="AA247" s="13">
        <f t="shared" si="47"/>
        <v>19</v>
      </c>
      <c r="AB247" s="13">
        <f t="shared" si="47"/>
        <v>112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1.0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0.0</v>
      </c>
      <c r="AB249" s="13">
        <f t="shared" ref="AB249:AB252" si="48">SUM(E249:AA249)</f>
        <v>1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1.0</v>
      </c>
      <c r="J250" s="74">
        <v>0.0</v>
      </c>
      <c r="K250" s="74">
        <v>0.0</v>
      </c>
      <c r="L250" s="74">
        <v>0.0</v>
      </c>
      <c r="M250" s="74">
        <v>0.0</v>
      </c>
      <c r="N250" s="74">
        <v>4.0</v>
      </c>
      <c r="O250" s="74">
        <v>1.0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1.0</v>
      </c>
      <c r="W250" s="74">
        <v>0.0</v>
      </c>
      <c r="X250" s="74">
        <v>0.0</v>
      </c>
      <c r="Y250" s="74">
        <v>1.0</v>
      </c>
      <c r="Z250" s="74">
        <v>0.0</v>
      </c>
      <c r="AA250" s="74">
        <v>0.0</v>
      </c>
      <c r="AB250" s="13">
        <f t="shared" si="48"/>
        <v>8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4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>SUM(E259:AA259)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A262" si="50">E55+E67+E79+E91+E103+E115+E127+E139+E151+E163+E175+E187+E199+E211+E223+E235+E247+E259</f>
        <v>228</v>
      </c>
      <c r="F262" s="19">
        <f t="shared" si="50"/>
        <v>203</v>
      </c>
      <c r="G262" s="19">
        <f t="shared" si="50"/>
        <v>201</v>
      </c>
      <c r="H262" s="19">
        <f t="shared" si="50"/>
        <v>184</v>
      </c>
      <c r="I262" s="19">
        <f t="shared" si="50"/>
        <v>193</v>
      </c>
      <c r="J262" s="19">
        <f t="shared" si="50"/>
        <v>188</v>
      </c>
      <c r="K262" s="19">
        <f t="shared" si="50"/>
        <v>175</v>
      </c>
      <c r="L262" s="19">
        <f t="shared" si="50"/>
        <v>142</v>
      </c>
      <c r="M262" s="19">
        <f t="shared" si="50"/>
        <v>165</v>
      </c>
      <c r="N262" s="19">
        <f t="shared" si="50"/>
        <v>182</v>
      </c>
      <c r="O262" s="19">
        <f t="shared" si="50"/>
        <v>186</v>
      </c>
      <c r="P262" s="19">
        <f t="shared" si="50"/>
        <v>182</v>
      </c>
      <c r="Q262" s="19">
        <f t="shared" si="50"/>
        <v>116</v>
      </c>
      <c r="R262" s="19">
        <f t="shared" si="50"/>
        <v>207</v>
      </c>
      <c r="S262" s="19">
        <f t="shared" si="50"/>
        <v>207</v>
      </c>
      <c r="T262" s="19">
        <f t="shared" si="50"/>
        <v>191</v>
      </c>
      <c r="U262" s="19">
        <f t="shared" si="50"/>
        <v>223</v>
      </c>
      <c r="V262" s="19">
        <f t="shared" si="50"/>
        <v>171</v>
      </c>
      <c r="W262" s="19">
        <f t="shared" si="50"/>
        <v>202</v>
      </c>
      <c r="X262" s="19">
        <f t="shared" si="50"/>
        <v>185</v>
      </c>
      <c r="Y262" s="19">
        <f t="shared" si="50"/>
        <v>202</v>
      </c>
      <c r="Z262" s="19">
        <f t="shared" si="50"/>
        <v>191</v>
      </c>
      <c r="AA262" s="19">
        <f t="shared" si="50"/>
        <v>185</v>
      </c>
      <c r="AB262" s="13">
        <f t="shared" ref="AB262:AB264" si="51">SUM(E262:AA262)</f>
        <v>4309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16.0</v>
      </c>
      <c r="F263" s="74">
        <v>33.0</v>
      </c>
      <c r="G263" s="74">
        <v>35.0</v>
      </c>
      <c r="H263" s="74">
        <v>46.0</v>
      </c>
      <c r="I263" s="74">
        <v>21.0</v>
      </c>
      <c r="J263" s="74">
        <v>29.0</v>
      </c>
      <c r="K263" s="74">
        <v>26.0</v>
      </c>
      <c r="L263" s="74">
        <v>20.0</v>
      </c>
      <c r="M263" s="74">
        <v>10.0</v>
      </c>
      <c r="N263" s="74">
        <v>44.0</v>
      </c>
      <c r="O263" s="74">
        <v>15.0</v>
      </c>
      <c r="P263" s="74">
        <v>23.0</v>
      </c>
      <c r="Q263" s="74">
        <v>15.0</v>
      </c>
      <c r="R263" s="74">
        <v>23.0</v>
      </c>
      <c r="S263" s="74">
        <v>21.0</v>
      </c>
      <c r="T263" s="74">
        <v>25.0</v>
      </c>
      <c r="U263" s="74">
        <v>26.0</v>
      </c>
      <c r="V263" s="74">
        <v>14.0</v>
      </c>
      <c r="W263" s="74">
        <v>16.0</v>
      </c>
      <c r="X263" s="74">
        <v>37.0</v>
      </c>
      <c r="Y263" s="74">
        <v>37.0</v>
      </c>
      <c r="Z263" s="74">
        <v>30.0</v>
      </c>
      <c r="AA263" s="74">
        <v>50.0</v>
      </c>
      <c r="AB263" s="13">
        <f t="shared" si="51"/>
        <v>612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A264" si="52">SUM(E262:E263)</f>
        <v>244</v>
      </c>
      <c r="F264" s="13">
        <f t="shared" si="52"/>
        <v>236</v>
      </c>
      <c r="G264" s="13">
        <f t="shared" si="52"/>
        <v>236</v>
      </c>
      <c r="H264" s="13">
        <f t="shared" si="52"/>
        <v>230</v>
      </c>
      <c r="I264" s="13">
        <f t="shared" si="52"/>
        <v>214</v>
      </c>
      <c r="J264" s="13">
        <f t="shared" si="52"/>
        <v>217</v>
      </c>
      <c r="K264" s="13">
        <f t="shared" si="52"/>
        <v>201</v>
      </c>
      <c r="L264" s="13">
        <f t="shared" si="52"/>
        <v>162</v>
      </c>
      <c r="M264" s="13">
        <f t="shared" si="52"/>
        <v>175</v>
      </c>
      <c r="N264" s="13">
        <f t="shared" si="52"/>
        <v>226</v>
      </c>
      <c r="O264" s="13">
        <f t="shared" si="52"/>
        <v>201</v>
      </c>
      <c r="P264" s="13">
        <f t="shared" si="52"/>
        <v>205</v>
      </c>
      <c r="Q264" s="13">
        <f t="shared" si="52"/>
        <v>131</v>
      </c>
      <c r="R264" s="13">
        <f t="shared" si="52"/>
        <v>230</v>
      </c>
      <c r="S264" s="13">
        <f t="shared" si="52"/>
        <v>228</v>
      </c>
      <c r="T264" s="13">
        <f t="shared" si="52"/>
        <v>216</v>
      </c>
      <c r="U264" s="13">
        <f t="shared" si="52"/>
        <v>249</v>
      </c>
      <c r="V264" s="13">
        <f t="shared" si="52"/>
        <v>185</v>
      </c>
      <c r="W264" s="13">
        <f t="shared" si="52"/>
        <v>218</v>
      </c>
      <c r="X264" s="13">
        <f t="shared" si="52"/>
        <v>222</v>
      </c>
      <c r="Y264" s="13">
        <f t="shared" si="52"/>
        <v>239</v>
      </c>
      <c r="Z264" s="13">
        <f t="shared" si="52"/>
        <v>221</v>
      </c>
      <c r="AA264" s="13">
        <f t="shared" si="52"/>
        <v>235</v>
      </c>
      <c r="AB264" s="13">
        <f t="shared" si="51"/>
        <v>4921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A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