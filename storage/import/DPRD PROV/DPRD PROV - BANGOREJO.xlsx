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ko\Downloads\"/>
    </mc:Choice>
  </mc:AlternateContent>
  <xr:revisionPtr revIDLastSave="0" documentId="13_ncr:1_{48C9FFD2-5B0C-418B-8CCF-6A8150224E62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DPRD PROVINSI" sheetId="1" r:id="rId1"/>
    <sheet name="BANGOREJO" sheetId="2" r:id="rId2"/>
    <sheet name="KEBONDALEM" sheetId="3" r:id="rId3"/>
    <sheet name="RINGINTELU" sheetId="4" r:id="rId4"/>
    <sheet name="SAMBIMULYO" sheetId="5" r:id="rId5"/>
    <sheet name="SAMBIREJO" sheetId="6" r:id="rId6"/>
    <sheet name="SUKOREJO" sheetId="7" r:id="rId7"/>
    <sheet name="TEMUREJ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DcAtX6nfNsV07Hmp9xpgxRTbsPjtuLH3WrR6Oteoy+w="/>
    </ext>
  </extLst>
</workbook>
</file>

<file path=xl/calcChain.xml><?xml version="1.0" encoding="utf-8"?>
<calcChain xmlns="http://schemas.openxmlformats.org/spreadsheetml/2006/main">
  <c r="Z154" i="4" l="1"/>
  <c r="Z155" i="4"/>
  <c r="Z156" i="4"/>
  <c r="Z157" i="4"/>
  <c r="Z158" i="4"/>
  <c r="Z159" i="4"/>
  <c r="Z160" i="4"/>
  <c r="E160" i="1" s="1"/>
  <c r="Z153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E55" i="4"/>
  <c r="E67" i="5"/>
  <c r="E55" i="5"/>
  <c r="AF154" i="5"/>
  <c r="AF155" i="5"/>
  <c r="AF156" i="5"/>
  <c r="AF157" i="5"/>
  <c r="AF158" i="5"/>
  <c r="AF159" i="5"/>
  <c r="AF160" i="5"/>
  <c r="AF153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14" i="5"/>
  <c r="E55" i="3"/>
  <c r="AH154" i="3"/>
  <c r="AH155" i="3"/>
  <c r="AH156" i="3"/>
  <c r="AH157" i="3"/>
  <c r="AH158" i="3"/>
  <c r="AH159" i="3"/>
  <c r="AH160" i="3"/>
  <c r="AH153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14" i="3"/>
  <c r="AG154" i="2"/>
  <c r="AG155" i="2"/>
  <c r="AG156" i="2"/>
  <c r="AG157" i="2"/>
  <c r="AG158" i="2"/>
  <c r="AG159" i="2"/>
  <c r="AG160" i="2"/>
  <c r="AG153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AG163" i="2" s="1"/>
  <c r="I163" i="2"/>
  <c r="H163" i="2"/>
  <c r="G163" i="2"/>
  <c r="F163" i="2"/>
  <c r="E163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E55" i="2"/>
  <c r="AU154" i="8"/>
  <c r="AU155" i="8"/>
  <c r="AU156" i="8"/>
  <c r="AU157" i="8"/>
  <c r="AU158" i="8"/>
  <c r="AU159" i="8"/>
  <c r="AU160" i="8"/>
  <c r="AU153" i="8"/>
  <c r="AT259" i="8"/>
  <c r="AS259" i="8"/>
  <c r="AR259" i="8"/>
  <c r="AQ259" i="8"/>
  <c r="AP259" i="8"/>
  <c r="AO259" i="8"/>
  <c r="AN259" i="8"/>
  <c r="AM259" i="8"/>
  <c r="AL259" i="8"/>
  <c r="AK259" i="8"/>
  <c r="AJ259" i="8"/>
  <c r="AI259" i="8"/>
  <c r="AH259" i="8"/>
  <c r="AG259" i="8"/>
  <c r="AF259" i="8"/>
  <c r="AE259" i="8"/>
  <c r="AD259" i="8"/>
  <c r="AC259" i="8"/>
  <c r="AB259" i="8"/>
  <c r="AA259" i="8"/>
  <c r="Z259" i="8"/>
  <c r="Y259" i="8"/>
  <c r="X259" i="8"/>
  <c r="W259" i="8"/>
  <c r="V259" i="8"/>
  <c r="U259" i="8"/>
  <c r="T259" i="8"/>
  <c r="S259" i="8"/>
  <c r="R259" i="8"/>
  <c r="Q259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AT247" i="8"/>
  <c r="AS247" i="8"/>
  <c r="AR247" i="8"/>
  <c r="AQ247" i="8"/>
  <c r="AP247" i="8"/>
  <c r="AO247" i="8"/>
  <c r="AN247" i="8"/>
  <c r="AM247" i="8"/>
  <c r="AL247" i="8"/>
  <c r="AK247" i="8"/>
  <c r="AJ247" i="8"/>
  <c r="AI247" i="8"/>
  <c r="AH247" i="8"/>
  <c r="AG247" i="8"/>
  <c r="AF247" i="8"/>
  <c r="AE247" i="8"/>
  <c r="AD247" i="8"/>
  <c r="AC247" i="8"/>
  <c r="AB247" i="8"/>
  <c r="AA247" i="8"/>
  <c r="Z247" i="8"/>
  <c r="Y247" i="8"/>
  <c r="X247" i="8"/>
  <c r="W247" i="8"/>
  <c r="V247" i="8"/>
  <c r="U247" i="8"/>
  <c r="T247" i="8"/>
  <c r="S247" i="8"/>
  <c r="R247" i="8"/>
  <c r="Q247" i="8"/>
  <c r="P247" i="8"/>
  <c r="O247" i="8"/>
  <c r="N247" i="8"/>
  <c r="M247" i="8"/>
  <c r="L247" i="8"/>
  <c r="K247" i="8"/>
  <c r="J247" i="8"/>
  <c r="I247" i="8"/>
  <c r="H247" i="8"/>
  <c r="G247" i="8"/>
  <c r="F247" i="8"/>
  <c r="E247" i="8"/>
  <c r="AT235" i="8"/>
  <c r="AS235" i="8"/>
  <c r="AR235" i="8"/>
  <c r="AQ235" i="8"/>
  <c r="AP235" i="8"/>
  <c r="AO235" i="8"/>
  <c r="AN235" i="8"/>
  <c r="AM235" i="8"/>
  <c r="AL235" i="8"/>
  <c r="AK235" i="8"/>
  <c r="AJ235" i="8"/>
  <c r="AI235" i="8"/>
  <c r="AH235" i="8"/>
  <c r="AG235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AT223" i="8"/>
  <c r="AS223" i="8"/>
  <c r="AR223" i="8"/>
  <c r="AQ223" i="8"/>
  <c r="AP223" i="8"/>
  <c r="AO223" i="8"/>
  <c r="AN223" i="8"/>
  <c r="AM223" i="8"/>
  <c r="AL223" i="8"/>
  <c r="AK223" i="8"/>
  <c r="AJ223" i="8"/>
  <c r="AI223" i="8"/>
  <c r="AH223" i="8"/>
  <c r="AG223" i="8"/>
  <c r="AF223" i="8"/>
  <c r="AE223" i="8"/>
  <c r="AD223" i="8"/>
  <c r="AC223" i="8"/>
  <c r="AB223" i="8"/>
  <c r="AA223" i="8"/>
  <c r="Z223" i="8"/>
  <c r="Y223" i="8"/>
  <c r="X223" i="8"/>
  <c r="W223" i="8"/>
  <c r="V223" i="8"/>
  <c r="U223" i="8"/>
  <c r="T223" i="8"/>
  <c r="S223" i="8"/>
  <c r="R223" i="8"/>
  <c r="Q223" i="8"/>
  <c r="P223" i="8"/>
  <c r="O223" i="8"/>
  <c r="N223" i="8"/>
  <c r="M223" i="8"/>
  <c r="L223" i="8"/>
  <c r="K223" i="8"/>
  <c r="J223" i="8"/>
  <c r="I223" i="8"/>
  <c r="H223" i="8"/>
  <c r="G223" i="8"/>
  <c r="F223" i="8"/>
  <c r="F262" i="8" s="1"/>
  <c r="F264" i="8" s="1"/>
  <c r="E223" i="8"/>
  <c r="AT211" i="8"/>
  <c r="AS211" i="8"/>
  <c r="AR211" i="8"/>
  <c r="AQ211" i="8"/>
  <c r="AP211" i="8"/>
  <c r="AO211" i="8"/>
  <c r="AN211" i="8"/>
  <c r="AM211" i="8"/>
  <c r="AL211" i="8"/>
  <c r="AK211" i="8"/>
  <c r="AJ211" i="8"/>
  <c r="AI211" i="8"/>
  <c r="AH211" i="8"/>
  <c r="AG211" i="8"/>
  <c r="AF211" i="8"/>
  <c r="AE211" i="8"/>
  <c r="AD211" i="8"/>
  <c r="AC211" i="8"/>
  <c r="AB211" i="8"/>
  <c r="AA211" i="8"/>
  <c r="Z211" i="8"/>
  <c r="Y211" i="8"/>
  <c r="X211" i="8"/>
  <c r="W211" i="8"/>
  <c r="V211" i="8"/>
  <c r="U211" i="8"/>
  <c r="T211" i="8"/>
  <c r="S211" i="8"/>
  <c r="R211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AT199" i="8"/>
  <c r="AS199" i="8"/>
  <c r="AR199" i="8"/>
  <c r="AQ199" i="8"/>
  <c r="AP199" i="8"/>
  <c r="AP262" i="8" s="1"/>
  <c r="AP264" i="8" s="1"/>
  <c r="AO199" i="8"/>
  <c r="AN199" i="8"/>
  <c r="AM199" i="8"/>
  <c r="AL199" i="8"/>
  <c r="AK199" i="8"/>
  <c r="AJ199" i="8"/>
  <c r="AI199" i="8"/>
  <c r="AH199" i="8"/>
  <c r="AG199" i="8"/>
  <c r="AF199" i="8"/>
  <c r="AE199" i="8"/>
  <c r="AD199" i="8"/>
  <c r="AC199" i="8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AT187" i="8"/>
  <c r="AS187" i="8"/>
  <c r="AR187" i="8"/>
  <c r="AQ187" i="8"/>
  <c r="AP187" i="8"/>
  <c r="AO187" i="8"/>
  <c r="AN187" i="8"/>
  <c r="AM187" i="8"/>
  <c r="AL187" i="8"/>
  <c r="AK187" i="8"/>
  <c r="AJ187" i="8"/>
  <c r="AI187" i="8"/>
  <c r="AH187" i="8"/>
  <c r="AG187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AT175" i="8"/>
  <c r="AS175" i="8"/>
  <c r="AR175" i="8"/>
  <c r="AQ175" i="8"/>
  <c r="AP175" i="8"/>
  <c r="AO175" i="8"/>
  <c r="AN175" i="8"/>
  <c r="AM175" i="8"/>
  <c r="AL175" i="8"/>
  <c r="AK175" i="8"/>
  <c r="AJ175" i="8"/>
  <c r="AI175" i="8"/>
  <c r="AH175" i="8"/>
  <c r="AG175" i="8"/>
  <c r="AF175" i="8"/>
  <c r="AE175" i="8"/>
  <c r="AD175" i="8"/>
  <c r="AC175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AT163" i="8"/>
  <c r="AS163" i="8"/>
  <c r="AR163" i="8"/>
  <c r="AQ163" i="8"/>
  <c r="AP163" i="8"/>
  <c r="AO163" i="8"/>
  <c r="AN163" i="8"/>
  <c r="AM163" i="8"/>
  <c r="AL163" i="8"/>
  <c r="AK163" i="8"/>
  <c r="AJ163" i="8"/>
  <c r="AI163" i="8"/>
  <c r="AH163" i="8"/>
  <c r="AG163" i="8"/>
  <c r="AF163" i="8"/>
  <c r="AE163" i="8"/>
  <c r="AD163" i="8"/>
  <c r="AC163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AT151" i="8"/>
  <c r="AS151" i="8"/>
  <c r="AR151" i="8"/>
  <c r="AQ151" i="8"/>
  <c r="AP151" i="8"/>
  <c r="AO151" i="8"/>
  <c r="AN151" i="8"/>
  <c r="AM151" i="8"/>
  <c r="AL151" i="8"/>
  <c r="AK151" i="8"/>
  <c r="AJ151" i="8"/>
  <c r="AI151" i="8"/>
  <c r="AH151" i="8"/>
  <c r="AG151" i="8"/>
  <c r="AF151" i="8"/>
  <c r="AE151" i="8"/>
  <c r="AD151" i="8"/>
  <c r="AC151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AT139" i="8"/>
  <c r="AS139" i="8"/>
  <c r="AR139" i="8"/>
  <c r="AQ139" i="8"/>
  <c r="AP139" i="8"/>
  <c r="AO139" i="8"/>
  <c r="AN139" i="8"/>
  <c r="AM139" i="8"/>
  <c r="AL139" i="8"/>
  <c r="AK139" i="8"/>
  <c r="AJ139" i="8"/>
  <c r="AI139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AT127" i="8"/>
  <c r="AS127" i="8"/>
  <c r="AR127" i="8"/>
  <c r="AQ127" i="8"/>
  <c r="AP127" i="8"/>
  <c r="AO127" i="8"/>
  <c r="AN127" i="8"/>
  <c r="AM127" i="8"/>
  <c r="AL127" i="8"/>
  <c r="AK127" i="8"/>
  <c r="AJ127" i="8"/>
  <c r="AI127" i="8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AT115" i="8"/>
  <c r="AS115" i="8"/>
  <c r="AR115" i="8"/>
  <c r="AQ115" i="8"/>
  <c r="AP115" i="8"/>
  <c r="AO115" i="8"/>
  <c r="AN115" i="8"/>
  <c r="AM115" i="8"/>
  <c r="AL115" i="8"/>
  <c r="AK115" i="8"/>
  <c r="AJ115" i="8"/>
  <c r="AI115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AT103" i="8"/>
  <c r="AS103" i="8"/>
  <c r="AR103" i="8"/>
  <c r="AQ103" i="8"/>
  <c r="AP103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T91" i="8"/>
  <c r="AS91" i="8"/>
  <c r="AR91" i="8"/>
  <c r="AQ91" i="8"/>
  <c r="AP91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AT79" i="8"/>
  <c r="AS79" i="8"/>
  <c r="AR79" i="8"/>
  <c r="AQ79" i="8"/>
  <c r="AP79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AT67" i="8"/>
  <c r="AS67" i="8"/>
  <c r="AR67" i="8"/>
  <c r="AQ67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AK55" i="8"/>
  <c r="AL55" i="8"/>
  <c r="AM55" i="8"/>
  <c r="AN55" i="8"/>
  <c r="AO55" i="8"/>
  <c r="AP55" i="8"/>
  <c r="AQ55" i="8"/>
  <c r="AR55" i="8"/>
  <c r="AS55" i="8"/>
  <c r="AT55" i="8"/>
  <c r="E55" i="8"/>
  <c r="E264" i="6"/>
  <c r="AF154" i="6"/>
  <c r="AF155" i="6"/>
  <c r="AF156" i="6"/>
  <c r="AF157" i="6"/>
  <c r="AF158" i="6"/>
  <c r="AF159" i="6"/>
  <c r="AF160" i="6"/>
  <c r="AF153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F259" i="6"/>
  <c r="E259" i="6"/>
  <c r="AE247" i="6"/>
  <c r="AD247" i="6"/>
  <c r="AC247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F247" i="6"/>
  <c r="E247" i="6"/>
  <c r="AE235" i="6"/>
  <c r="AD235" i="6"/>
  <c r="AC235" i="6"/>
  <c r="AB235" i="6"/>
  <c r="AA235" i="6"/>
  <c r="Z235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F235" i="6"/>
  <c r="E235" i="6"/>
  <c r="AE223" i="6"/>
  <c r="AD223" i="6"/>
  <c r="AC223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AE211" i="6"/>
  <c r="AD211" i="6"/>
  <c r="AC211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AE199" i="6"/>
  <c r="AD199" i="6"/>
  <c r="AC199" i="6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AE187" i="6"/>
  <c r="AD187" i="6"/>
  <c r="AC187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AE175" i="6"/>
  <c r="AD175" i="6"/>
  <c r="AC175" i="6"/>
  <c r="AB175" i="6"/>
  <c r="AA175" i="6"/>
  <c r="Z175" i="6"/>
  <c r="Y175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AE163" i="6"/>
  <c r="AD163" i="6"/>
  <c r="AC163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AE151" i="6"/>
  <c r="AD151" i="6"/>
  <c r="AC151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AE127" i="6"/>
  <c r="AD127" i="6"/>
  <c r="AC127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E55" i="6"/>
  <c r="AB165" i="7"/>
  <c r="AB166" i="7"/>
  <c r="AB39" i="7"/>
  <c r="AB45" i="7"/>
  <c r="AB57" i="7"/>
  <c r="AB69" i="7"/>
  <c r="AB81" i="7"/>
  <c r="AB93" i="7"/>
  <c r="AB105" i="7"/>
  <c r="AB115" i="7" s="1"/>
  <c r="AB117" i="7"/>
  <c r="AB129" i="7"/>
  <c r="AB141" i="7"/>
  <c r="AB154" i="7"/>
  <c r="AB155" i="7"/>
  <c r="AB156" i="7"/>
  <c r="AB157" i="7"/>
  <c r="AB158" i="7"/>
  <c r="AB159" i="7"/>
  <c r="AB160" i="7"/>
  <c r="AB153" i="7"/>
  <c r="AB175" i="7"/>
  <c r="AB177" i="7"/>
  <c r="AB189" i="7"/>
  <c r="AB201" i="7"/>
  <c r="AB213" i="7"/>
  <c r="AB225" i="7"/>
  <c r="AB237" i="7"/>
  <c r="AB24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E55" i="7"/>
  <c r="AB14" i="7"/>
  <c r="AU263" i="8"/>
  <c r="AU252" i="8"/>
  <c r="AU251" i="8"/>
  <c r="AU250" i="8"/>
  <c r="AU249" i="8"/>
  <c r="AU246" i="8"/>
  <c r="AU245" i="8"/>
  <c r="AU244" i="8"/>
  <c r="AU243" i="8"/>
  <c r="AU242" i="8"/>
  <c r="AU241" i="8"/>
  <c r="AU240" i="8"/>
  <c r="AU239" i="8"/>
  <c r="AU238" i="8"/>
  <c r="AU237" i="8"/>
  <c r="AU229" i="8"/>
  <c r="AU228" i="8"/>
  <c r="AU227" i="8"/>
  <c r="AU226" i="8"/>
  <c r="AU225" i="8"/>
  <c r="AU216" i="8"/>
  <c r="AU215" i="8"/>
  <c r="AU214" i="8"/>
  <c r="AU213" i="8"/>
  <c r="AU223" i="8" s="1"/>
  <c r="AU210" i="8"/>
  <c r="AU209" i="8"/>
  <c r="AU208" i="8"/>
  <c r="AU207" i="8"/>
  <c r="AU206" i="8"/>
  <c r="AU205" i="8"/>
  <c r="AU204" i="8"/>
  <c r="AU203" i="8"/>
  <c r="AU202" i="8"/>
  <c r="AU201" i="8"/>
  <c r="AU198" i="8"/>
  <c r="AU197" i="8"/>
  <c r="AU196" i="8"/>
  <c r="AU195" i="8"/>
  <c r="AU194" i="8"/>
  <c r="AU193" i="8"/>
  <c r="AU192" i="8"/>
  <c r="AU191" i="8"/>
  <c r="AU190" i="8"/>
  <c r="AU189" i="8"/>
  <c r="AU199" i="8" s="1"/>
  <c r="AU186" i="8"/>
  <c r="AU185" i="8"/>
  <c r="AU184" i="8"/>
  <c r="AU183" i="8"/>
  <c r="AU182" i="8"/>
  <c r="AU181" i="8"/>
  <c r="AU180" i="8"/>
  <c r="AU179" i="8"/>
  <c r="AU178" i="8"/>
  <c r="AU177" i="8"/>
  <c r="AU166" i="8"/>
  <c r="AU165" i="8"/>
  <c r="AU175" i="8" s="1"/>
  <c r="AU144" i="8"/>
  <c r="AU143" i="8"/>
  <c r="AU142" i="8"/>
  <c r="AU141" i="8"/>
  <c r="AU138" i="8"/>
  <c r="AU137" i="8"/>
  <c r="AU136" i="8"/>
  <c r="AU135" i="8"/>
  <c r="AU134" i="8"/>
  <c r="AU133" i="8"/>
  <c r="AU132" i="8"/>
  <c r="AU131" i="8"/>
  <c r="AU130" i="8"/>
  <c r="AU129" i="8"/>
  <c r="AU122" i="8"/>
  <c r="AU121" i="8"/>
  <c r="AU120" i="8"/>
  <c r="AU119" i="8"/>
  <c r="AU118" i="8"/>
  <c r="AU117" i="8"/>
  <c r="AU107" i="8"/>
  <c r="AU106" i="8"/>
  <c r="AU105" i="8"/>
  <c r="AU115" i="8" s="1"/>
  <c r="AU102" i="8"/>
  <c r="AU101" i="8"/>
  <c r="AU100" i="8"/>
  <c r="AU99" i="8"/>
  <c r="AU98" i="8"/>
  <c r="AU97" i="8"/>
  <c r="AU96" i="8"/>
  <c r="AU95" i="8"/>
  <c r="AU94" i="8"/>
  <c r="AU93" i="8"/>
  <c r="AU90" i="8"/>
  <c r="AU89" i="8"/>
  <c r="AU88" i="8"/>
  <c r="AU87" i="8"/>
  <c r="AU86" i="8"/>
  <c r="AU85" i="8"/>
  <c r="AU84" i="8"/>
  <c r="AU83" i="8"/>
  <c r="AU82" i="8"/>
  <c r="AU81" i="8"/>
  <c r="AU78" i="8"/>
  <c r="AU77" i="8"/>
  <c r="AU76" i="8"/>
  <c r="AU75" i="8"/>
  <c r="AU74" i="8"/>
  <c r="AU73" i="8"/>
  <c r="AU72" i="8"/>
  <c r="AU71" i="8"/>
  <c r="AU70" i="8"/>
  <c r="AU69" i="8"/>
  <c r="AU66" i="8"/>
  <c r="AU65" i="8"/>
  <c r="AU64" i="8"/>
  <c r="AU63" i="8"/>
  <c r="AU62" i="8"/>
  <c r="AU61" i="8"/>
  <c r="AU60" i="8"/>
  <c r="AU59" i="8"/>
  <c r="AU58" i="8"/>
  <c r="AU57" i="8"/>
  <c r="AU54" i="8"/>
  <c r="AU53" i="8"/>
  <c r="AU52" i="8"/>
  <c r="AU51" i="8"/>
  <c r="AU50" i="8"/>
  <c r="AU49" i="8"/>
  <c r="AU48" i="8"/>
  <c r="AU47" i="8"/>
  <c r="AU46" i="8"/>
  <c r="AU45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AU40" i="8"/>
  <c r="AU39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AU35" i="8"/>
  <c r="AU34" i="8"/>
  <c r="AU33" i="8"/>
  <c r="AT29" i="8"/>
  <c r="AS29" i="8"/>
  <c r="AR29" i="8"/>
  <c r="AQ29" i="8"/>
  <c r="AP29" i="8"/>
  <c r="AO29" i="8"/>
  <c r="AN29" i="8"/>
  <c r="AM29" i="8"/>
  <c r="AL29" i="8"/>
  <c r="AK29" i="8"/>
  <c r="AJ29" i="8"/>
  <c r="AJ30" i="8" s="1"/>
  <c r="AI29" i="8"/>
  <c r="AH29" i="8"/>
  <c r="AG29" i="8"/>
  <c r="AF29" i="8"/>
  <c r="AE29" i="8"/>
  <c r="AD29" i="8"/>
  <c r="AC29" i="8"/>
  <c r="AB29" i="8"/>
  <c r="AA29" i="8"/>
  <c r="Z29" i="8"/>
  <c r="Y29" i="8"/>
  <c r="X29" i="8"/>
  <c r="X30" i="8" s="1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AT28" i="8"/>
  <c r="AS28" i="8"/>
  <c r="AS30" i="8" s="1"/>
  <c r="AR28" i="8"/>
  <c r="AR30" i="8" s="1"/>
  <c r="AQ28" i="8"/>
  <c r="AQ30" i="8" s="1"/>
  <c r="AP28" i="8"/>
  <c r="AP30" i="8" s="1"/>
  <c r="AO28" i="8"/>
  <c r="AO30" i="8" s="1"/>
  <c r="AN28" i="8"/>
  <c r="AN30" i="8" s="1"/>
  <c r="AM28" i="8"/>
  <c r="AL28" i="8"/>
  <c r="AK28" i="8"/>
  <c r="AJ28" i="8"/>
  <c r="AI28" i="8"/>
  <c r="AH28" i="8"/>
  <c r="AG28" i="8"/>
  <c r="AF28" i="8"/>
  <c r="AE28" i="8"/>
  <c r="AD28" i="8"/>
  <c r="AD30" i="8" s="1"/>
  <c r="AC28" i="8"/>
  <c r="AC30" i="8" s="1"/>
  <c r="AB28" i="8"/>
  <c r="AA28" i="8"/>
  <c r="AA30" i="8" s="1"/>
  <c r="Z28" i="8"/>
  <c r="Y28" i="8"/>
  <c r="Y30" i="8" s="1"/>
  <c r="X28" i="8"/>
  <c r="W28" i="8"/>
  <c r="V28" i="8"/>
  <c r="U28" i="8"/>
  <c r="T28" i="8"/>
  <c r="S28" i="8"/>
  <c r="S30" i="8" s="1"/>
  <c r="R28" i="8"/>
  <c r="Q28" i="8"/>
  <c r="Q30" i="8" s="1"/>
  <c r="P28" i="8"/>
  <c r="O28" i="8"/>
  <c r="O30" i="8" s="1"/>
  <c r="N28" i="8"/>
  <c r="M28" i="8"/>
  <c r="L28" i="8"/>
  <c r="K28" i="8"/>
  <c r="J28" i="8"/>
  <c r="I28" i="8"/>
  <c r="I30" i="8" s="1"/>
  <c r="H28" i="8"/>
  <c r="G28" i="8"/>
  <c r="G30" i="8" s="1"/>
  <c r="F28" i="8"/>
  <c r="E28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AU26" i="8"/>
  <c r="AU25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AU23" i="8"/>
  <c r="AU22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AU20" i="8"/>
  <c r="AU19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AU15" i="8"/>
  <c r="AU14" i="8"/>
  <c r="AB263" i="7"/>
  <c r="AB252" i="7"/>
  <c r="AB251" i="7"/>
  <c r="AB250" i="7"/>
  <c r="AB246" i="7"/>
  <c r="AB245" i="7"/>
  <c r="AB244" i="7"/>
  <c r="AB243" i="7"/>
  <c r="AB242" i="7"/>
  <c r="AB241" i="7"/>
  <c r="AB240" i="7"/>
  <c r="AB239" i="7"/>
  <c r="AB238" i="7"/>
  <c r="AB229" i="7"/>
  <c r="AB228" i="7"/>
  <c r="AB227" i="7"/>
  <c r="AB226" i="7"/>
  <c r="AB216" i="7"/>
  <c r="AB215" i="7"/>
  <c r="AB214" i="7"/>
  <c r="AB210" i="7"/>
  <c r="AB209" i="7"/>
  <c r="AB208" i="7"/>
  <c r="AB207" i="7"/>
  <c r="AB206" i="7"/>
  <c r="AB205" i="7"/>
  <c r="AB204" i="7"/>
  <c r="AB203" i="7"/>
  <c r="AB202" i="7"/>
  <c r="AB198" i="7"/>
  <c r="AB197" i="7"/>
  <c r="AB196" i="7"/>
  <c r="AB195" i="7"/>
  <c r="AB194" i="7"/>
  <c r="AB193" i="7"/>
  <c r="AB192" i="7"/>
  <c r="AB191" i="7"/>
  <c r="AB190" i="7"/>
  <c r="AB186" i="7"/>
  <c r="AB185" i="7"/>
  <c r="AB184" i="7"/>
  <c r="AB183" i="7"/>
  <c r="AB182" i="7"/>
  <c r="AB181" i="7"/>
  <c r="AB180" i="7"/>
  <c r="AB179" i="7"/>
  <c r="AB178" i="7"/>
  <c r="AB144" i="7"/>
  <c r="AB143" i="7"/>
  <c r="AB142" i="7"/>
  <c r="AB138" i="7"/>
  <c r="AB137" i="7"/>
  <c r="AB136" i="7"/>
  <c r="AB135" i="7"/>
  <c r="AB134" i="7"/>
  <c r="AB133" i="7"/>
  <c r="AB132" i="7"/>
  <c r="AB131" i="7"/>
  <c r="AB130" i="7"/>
  <c r="AB122" i="7"/>
  <c r="AB121" i="7"/>
  <c r="AB120" i="7"/>
  <c r="AB119" i="7"/>
  <c r="AB118" i="7"/>
  <c r="AB107" i="7"/>
  <c r="AB106" i="7"/>
  <c r="AB102" i="7"/>
  <c r="AB101" i="7"/>
  <c r="AB100" i="7"/>
  <c r="AB99" i="7"/>
  <c r="AB98" i="7"/>
  <c r="AB97" i="7"/>
  <c r="AB96" i="7"/>
  <c r="AB95" i="7"/>
  <c r="AB94" i="7"/>
  <c r="AB90" i="7"/>
  <c r="AB89" i="7"/>
  <c r="AB88" i="7"/>
  <c r="AB87" i="7"/>
  <c r="AB86" i="7"/>
  <c r="AB85" i="7"/>
  <c r="AB84" i="7"/>
  <c r="AB83" i="7"/>
  <c r="AB82" i="7"/>
  <c r="AB78" i="7"/>
  <c r="AB77" i="7"/>
  <c r="AB76" i="7"/>
  <c r="AB75" i="7"/>
  <c r="AB74" i="7"/>
  <c r="AB73" i="7"/>
  <c r="AB72" i="7"/>
  <c r="AB71" i="7"/>
  <c r="AB70" i="7"/>
  <c r="AB66" i="7"/>
  <c r="AB65" i="7"/>
  <c r="AB64" i="7"/>
  <c r="AB63" i="7"/>
  <c r="AB62" i="7"/>
  <c r="AB61" i="7"/>
  <c r="AB60" i="7"/>
  <c r="AB59" i="7"/>
  <c r="AB58" i="7"/>
  <c r="AB54" i="7"/>
  <c r="AB53" i="7"/>
  <c r="AB52" i="7"/>
  <c r="AB51" i="7"/>
  <c r="AB50" i="7"/>
  <c r="AB49" i="7"/>
  <c r="AB48" i="7"/>
  <c r="AB47" i="7"/>
  <c r="AB46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AB40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AB35" i="7"/>
  <c r="AB34" i="7"/>
  <c r="AB33" i="7"/>
  <c r="U30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AA28" i="7"/>
  <c r="AA30" i="7" s="1"/>
  <c r="Z28" i="7"/>
  <c r="Y28" i="7"/>
  <c r="X28" i="7"/>
  <c r="X30" i="7" s="1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AB26" i="7"/>
  <c r="AB25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AB23" i="7"/>
  <c r="AB22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AB20" i="7"/>
  <c r="AB19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AB15" i="7"/>
  <c r="AF263" i="6"/>
  <c r="AF252" i="6"/>
  <c r="AF251" i="6"/>
  <c r="AF250" i="6"/>
  <c r="AF249" i="6"/>
  <c r="AF246" i="6"/>
  <c r="AF245" i="6"/>
  <c r="AF244" i="6"/>
  <c r="AF243" i="6"/>
  <c r="AF242" i="6"/>
  <c r="AF241" i="6"/>
  <c r="AF240" i="6"/>
  <c r="AF239" i="6"/>
  <c r="AF238" i="6"/>
  <c r="AF237" i="6"/>
  <c r="AF229" i="6"/>
  <c r="AF228" i="6"/>
  <c r="AF227" i="6"/>
  <c r="AF226" i="6"/>
  <c r="AF225" i="6"/>
  <c r="AF235" i="6" s="1"/>
  <c r="AF216" i="6"/>
  <c r="AF215" i="6"/>
  <c r="AF214" i="6"/>
  <c r="AF213" i="6"/>
  <c r="AF223" i="6" s="1"/>
  <c r="AF210" i="6"/>
  <c r="AF209" i="6"/>
  <c r="AF208" i="6"/>
  <c r="AF207" i="6"/>
  <c r="AF206" i="6"/>
  <c r="AF205" i="6"/>
  <c r="AF204" i="6"/>
  <c r="AF203" i="6"/>
  <c r="AF202" i="6"/>
  <c r="AF201" i="6"/>
  <c r="AF211" i="6" s="1"/>
  <c r="AF198" i="6"/>
  <c r="AF197" i="6"/>
  <c r="AF196" i="6"/>
  <c r="AF195" i="6"/>
  <c r="AF194" i="6"/>
  <c r="AF193" i="6"/>
  <c r="AF192" i="6"/>
  <c r="AF191" i="6"/>
  <c r="AF190" i="6"/>
  <c r="AF189" i="6"/>
  <c r="AF186" i="6"/>
  <c r="AF185" i="6"/>
  <c r="AF184" i="6"/>
  <c r="AF183" i="6"/>
  <c r="AF182" i="6"/>
  <c r="AF181" i="6"/>
  <c r="AF180" i="6"/>
  <c r="AF179" i="6"/>
  <c r="AF178" i="6"/>
  <c r="AF177" i="6"/>
  <c r="AF166" i="6"/>
  <c r="AF165" i="6"/>
  <c r="AF175" i="6" s="1"/>
  <c r="AF144" i="6"/>
  <c r="AF143" i="6"/>
  <c r="AF142" i="6"/>
  <c r="AF141" i="6"/>
  <c r="AF151" i="6" s="1"/>
  <c r="AF138" i="6"/>
  <c r="AF137" i="6"/>
  <c r="AF136" i="6"/>
  <c r="AF135" i="6"/>
  <c r="AF134" i="6"/>
  <c r="AF133" i="6"/>
  <c r="AF132" i="6"/>
  <c r="AF131" i="6"/>
  <c r="AF130" i="6"/>
  <c r="AF129" i="6"/>
  <c r="AF122" i="6"/>
  <c r="AF121" i="6"/>
  <c r="AF120" i="6"/>
  <c r="AF119" i="6"/>
  <c r="AF118" i="6"/>
  <c r="AF117" i="6"/>
  <c r="AF127" i="6" s="1"/>
  <c r="AF107" i="6"/>
  <c r="AF106" i="6"/>
  <c r="AF105" i="6"/>
  <c r="AF115" i="6" s="1"/>
  <c r="AF102" i="6"/>
  <c r="AF101" i="6"/>
  <c r="AF100" i="6"/>
  <c r="AF99" i="6"/>
  <c r="AF98" i="6"/>
  <c r="AF97" i="6"/>
  <c r="AF96" i="6"/>
  <c r="AF95" i="6"/>
  <c r="AF94" i="6"/>
  <c r="AF93" i="6"/>
  <c r="AF90" i="6"/>
  <c r="AF89" i="6"/>
  <c r="AF88" i="6"/>
  <c r="AF87" i="6"/>
  <c r="AF86" i="6"/>
  <c r="AF85" i="6"/>
  <c r="AF84" i="6"/>
  <c r="AF83" i="6"/>
  <c r="AF82" i="6"/>
  <c r="AF81" i="6"/>
  <c r="AF78" i="6"/>
  <c r="AF77" i="6"/>
  <c r="AF76" i="6"/>
  <c r="AF75" i="6"/>
  <c r="AF74" i="6"/>
  <c r="AF73" i="6"/>
  <c r="AF72" i="6"/>
  <c r="AF71" i="6"/>
  <c r="AF70" i="6"/>
  <c r="AF69" i="6"/>
  <c r="AF66" i="6"/>
  <c r="AF65" i="6"/>
  <c r="AF64" i="6"/>
  <c r="AF63" i="6"/>
  <c r="AF62" i="6"/>
  <c r="AF61" i="6"/>
  <c r="AF60" i="6"/>
  <c r="AF59" i="6"/>
  <c r="AF58" i="6"/>
  <c r="AF57" i="6"/>
  <c r="AF54" i="6"/>
  <c r="AF53" i="6"/>
  <c r="AF52" i="6"/>
  <c r="AF51" i="6"/>
  <c r="AF50" i="6"/>
  <c r="AF49" i="6"/>
  <c r="AF48" i="6"/>
  <c r="AF47" i="6"/>
  <c r="AF46" i="6"/>
  <c r="AF45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AF40" i="6"/>
  <c r="AF39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AF35" i="6"/>
  <c r="AF34" i="6"/>
  <c r="AF33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O30" i="6" s="1"/>
  <c r="N29" i="6"/>
  <c r="M29" i="6"/>
  <c r="L29" i="6"/>
  <c r="K29" i="6"/>
  <c r="J29" i="6"/>
  <c r="I29" i="6"/>
  <c r="H29" i="6"/>
  <c r="G29" i="6"/>
  <c r="F29" i="6"/>
  <c r="E29" i="6"/>
  <c r="AE28" i="6"/>
  <c r="AD28" i="6"/>
  <c r="AD30" i="6" s="1"/>
  <c r="AC28" i="6"/>
  <c r="AC30" i="6" s="1"/>
  <c r="AB28" i="6"/>
  <c r="AB30" i="6" s="1"/>
  <c r="AA28" i="6"/>
  <c r="AA30" i="6" s="1"/>
  <c r="Z28" i="6"/>
  <c r="Y28" i="6"/>
  <c r="X28" i="6"/>
  <c r="W28" i="6"/>
  <c r="W30" i="6" s="1"/>
  <c r="V28" i="6"/>
  <c r="U28" i="6"/>
  <c r="T28" i="6"/>
  <c r="S28" i="6"/>
  <c r="R28" i="6"/>
  <c r="R30" i="6" s="1"/>
  <c r="Q28" i="6"/>
  <c r="P28" i="6"/>
  <c r="O28" i="6"/>
  <c r="N28" i="6"/>
  <c r="M28" i="6"/>
  <c r="L28" i="6"/>
  <c r="K28" i="6"/>
  <c r="K30" i="6" s="1"/>
  <c r="J28" i="6"/>
  <c r="I28" i="6"/>
  <c r="H28" i="6"/>
  <c r="G28" i="6"/>
  <c r="F28" i="6"/>
  <c r="E28" i="6"/>
  <c r="E30" i="6" s="1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AF26" i="6"/>
  <c r="AF25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AF23" i="6"/>
  <c r="AF22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AF20" i="6"/>
  <c r="AF19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AF15" i="6"/>
  <c r="AF14" i="6"/>
  <c r="AF263" i="5"/>
  <c r="AF252" i="5"/>
  <c r="AF251" i="5"/>
  <c r="AF250" i="5"/>
  <c r="AF249" i="5"/>
  <c r="AF246" i="5"/>
  <c r="AF245" i="5"/>
  <c r="AF244" i="5"/>
  <c r="AF243" i="5"/>
  <c r="AF242" i="5"/>
  <c r="AF241" i="5"/>
  <c r="AF240" i="5"/>
  <c r="AF239" i="5"/>
  <c r="AF238" i="5"/>
  <c r="AF237" i="5"/>
  <c r="AF229" i="5"/>
  <c r="AF228" i="5"/>
  <c r="AF227" i="5"/>
  <c r="AF226" i="5"/>
  <c r="AF225" i="5"/>
  <c r="AF235" i="5" s="1"/>
  <c r="AF216" i="5"/>
  <c r="AF215" i="5"/>
  <c r="AF214" i="5"/>
  <c r="AF213" i="5"/>
  <c r="AF210" i="5"/>
  <c r="AF209" i="5"/>
  <c r="AF208" i="5"/>
  <c r="AF207" i="5"/>
  <c r="AF206" i="5"/>
  <c r="AF205" i="5"/>
  <c r="AF204" i="5"/>
  <c r="AF203" i="5"/>
  <c r="AF202" i="5"/>
  <c r="AF201" i="5"/>
  <c r="AF198" i="5"/>
  <c r="AF197" i="5"/>
  <c r="AF196" i="5"/>
  <c r="AF195" i="5"/>
  <c r="AF194" i="5"/>
  <c r="AF193" i="5"/>
  <c r="AF192" i="5"/>
  <c r="AF191" i="5"/>
  <c r="AF190" i="5"/>
  <c r="AF189" i="5"/>
  <c r="AF186" i="5"/>
  <c r="AF185" i="5"/>
  <c r="AF184" i="5"/>
  <c r="AF183" i="5"/>
  <c r="AF182" i="5"/>
  <c r="AF181" i="5"/>
  <c r="AF180" i="5"/>
  <c r="AF179" i="5"/>
  <c r="AF178" i="5"/>
  <c r="AF177" i="5"/>
  <c r="AF166" i="5"/>
  <c r="AF165" i="5"/>
  <c r="AF144" i="5"/>
  <c r="AF143" i="5"/>
  <c r="AF142" i="5"/>
  <c r="AF141" i="5"/>
  <c r="AF138" i="5"/>
  <c r="AF137" i="5"/>
  <c r="AF136" i="5"/>
  <c r="AF135" i="5"/>
  <c r="AF134" i="5"/>
  <c r="AF133" i="5"/>
  <c r="AF132" i="5"/>
  <c r="AF131" i="5"/>
  <c r="AF130" i="5"/>
  <c r="AF129" i="5"/>
  <c r="AF122" i="5"/>
  <c r="AF121" i="5"/>
  <c r="AF120" i="5"/>
  <c r="AF119" i="5"/>
  <c r="AF118" i="5"/>
  <c r="AF117" i="5"/>
  <c r="AF107" i="5"/>
  <c r="AF106" i="5"/>
  <c r="AF105" i="5"/>
  <c r="AF115" i="5" s="1"/>
  <c r="AF102" i="5"/>
  <c r="AF101" i="5"/>
  <c r="AF100" i="5"/>
  <c r="AF99" i="5"/>
  <c r="AF98" i="5"/>
  <c r="AF97" i="5"/>
  <c r="AF96" i="5"/>
  <c r="AF95" i="5"/>
  <c r="AF94" i="5"/>
  <c r="AF93" i="5"/>
  <c r="AF90" i="5"/>
  <c r="AF89" i="5"/>
  <c r="AF88" i="5"/>
  <c r="AF87" i="5"/>
  <c r="AF86" i="5"/>
  <c r="AF85" i="5"/>
  <c r="AF84" i="5"/>
  <c r="AF83" i="5"/>
  <c r="AF82" i="5"/>
  <c r="AF81" i="5"/>
  <c r="AF78" i="5"/>
  <c r="AF77" i="5"/>
  <c r="AF76" i="5"/>
  <c r="AF75" i="5"/>
  <c r="AF74" i="5"/>
  <c r="AF73" i="5"/>
  <c r="AF72" i="5"/>
  <c r="AF71" i="5"/>
  <c r="AF70" i="5"/>
  <c r="AF69" i="5"/>
  <c r="AF66" i="5"/>
  <c r="AF65" i="5"/>
  <c r="AF64" i="5"/>
  <c r="AF63" i="5"/>
  <c r="AF62" i="5"/>
  <c r="AF61" i="5"/>
  <c r="AF60" i="5"/>
  <c r="AF59" i="5"/>
  <c r="AF58" i="5"/>
  <c r="AF57" i="5"/>
  <c r="AF54" i="5"/>
  <c r="AF53" i="5"/>
  <c r="AF52" i="5"/>
  <c r="AF51" i="5"/>
  <c r="AF50" i="5"/>
  <c r="AF49" i="5"/>
  <c r="AF48" i="5"/>
  <c r="AF47" i="5"/>
  <c r="AF46" i="5"/>
  <c r="AF45" i="5"/>
  <c r="AF55" i="5" s="1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AF40" i="5"/>
  <c r="AF39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AF35" i="5"/>
  <c r="AF34" i="5"/>
  <c r="AF33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H30" i="5" s="1"/>
  <c r="G29" i="5"/>
  <c r="G30" i="5" s="1"/>
  <c r="F29" i="5"/>
  <c r="E29" i="5"/>
  <c r="AE28" i="5"/>
  <c r="AD28" i="5"/>
  <c r="AC28" i="5"/>
  <c r="AB28" i="5"/>
  <c r="AA28" i="5"/>
  <c r="Z28" i="5"/>
  <c r="Y28" i="5"/>
  <c r="X28" i="5"/>
  <c r="W28" i="5"/>
  <c r="W30" i="5" s="1"/>
  <c r="V28" i="5"/>
  <c r="U28" i="5"/>
  <c r="U30" i="5" s="1"/>
  <c r="T28" i="5"/>
  <c r="T30" i="5" s="1"/>
  <c r="S28" i="5"/>
  <c r="R28" i="5"/>
  <c r="Q28" i="5"/>
  <c r="P28" i="5"/>
  <c r="P30" i="5" s="1"/>
  <c r="O28" i="5"/>
  <c r="O30" i="5" s="1"/>
  <c r="N28" i="5"/>
  <c r="N30" i="5" s="1"/>
  <c r="M28" i="5"/>
  <c r="M30" i="5" s="1"/>
  <c r="L28" i="5"/>
  <c r="K28" i="5"/>
  <c r="J28" i="5"/>
  <c r="I28" i="5"/>
  <c r="H28" i="5"/>
  <c r="G28" i="5"/>
  <c r="F28" i="5"/>
  <c r="E28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AF26" i="5"/>
  <c r="AF25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AF23" i="5"/>
  <c r="AF22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AF20" i="5"/>
  <c r="AF19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AF15" i="5"/>
  <c r="Z263" i="4"/>
  <c r="Z252" i="4"/>
  <c r="Z251" i="4"/>
  <c r="Z250" i="4"/>
  <c r="Z249" i="4"/>
  <c r="Z246" i="4"/>
  <c r="Z245" i="4"/>
  <c r="Z244" i="4"/>
  <c r="Z243" i="4"/>
  <c r="Z242" i="4"/>
  <c r="Z241" i="4"/>
  <c r="Z240" i="4"/>
  <c r="Z239" i="4"/>
  <c r="Z238" i="4"/>
  <c r="Z237" i="4"/>
  <c r="Z229" i="4"/>
  <c r="Z228" i="4"/>
  <c r="Z227" i="4"/>
  <c r="Z226" i="4"/>
  <c r="Z225" i="4"/>
  <c r="Z235" i="4" s="1"/>
  <c r="Z216" i="4"/>
  <c r="Z215" i="4"/>
  <c r="Z214" i="4"/>
  <c r="Z213" i="4"/>
  <c r="Z223" i="4" s="1"/>
  <c r="Z210" i="4"/>
  <c r="Z209" i="4"/>
  <c r="Z208" i="4"/>
  <c r="Z207" i="4"/>
  <c r="Z206" i="4"/>
  <c r="Z205" i="4"/>
  <c r="Z204" i="4"/>
  <c r="Z203" i="4"/>
  <c r="Z202" i="4"/>
  <c r="Z201" i="4"/>
  <c r="Z198" i="4"/>
  <c r="Z197" i="4"/>
  <c r="Z196" i="4"/>
  <c r="Z195" i="4"/>
  <c r="Z194" i="4"/>
  <c r="Z193" i="4"/>
  <c r="Z192" i="4"/>
  <c r="Z191" i="4"/>
  <c r="Z190" i="4"/>
  <c r="Z189" i="4"/>
  <c r="Z186" i="4"/>
  <c r="Z185" i="4"/>
  <c r="Z184" i="4"/>
  <c r="Z183" i="4"/>
  <c r="Z182" i="4"/>
  <c r="E182" i="1" s="1"/>
  <c r="Z181" i="4"/>
  <c r="Z180" i="4"/>
  <c r="Z179" i="4"/>
  <c r="Z178" i="4"/>
  <c r="Z177" i="4"/>
  <c r="Z166" i="4"/>
  <c r="Z165" i="4"/>
  <c r="Z175" i="4" s="1"/>
  <c r="Z144" i="4"/>
  <c r="Z143" i="4"/>
  <c r="Z142" i="4"/>
  <c r="Z141" i="4"/>
  <c r="Z151" i="4" s="1"/>
  <c r="Z138" i="4"/>
  <c r="Z137" i="4"/>
  <c r="Z136" i="4"/>
  <c r="Z135" i="4"/>
  <c r="Z134" i="4"/>
  <c r="Z133" i="4"/>
  <c r="Z132" i="4"/>
  <c r="Z131" i="4"/>
  <c r="Z130" i="4"/>
  <c r="Z129" i="4"/>
  <c r="Z122" i="4"/>
  <c r="Z121" i="4"/>
  <c r="Z120" i="4"/>
  <c r="Z119" i="4"/>
  <c r="Z118" i="4"/>
  <c r="Z117" i="4"/>
  <c r="Z127" i="4" s="1"/>
  <c r="Z107" i="4"/>
  <c r="Z106" i="4"/>
  <c r="Z105" i="4"/>
  <c r="Z115" i="4" s="1"/>
  <c r="Z102" i="4"/>
  <c r="Z101" i="4"/>
  <c r="Z100" i="4"/>
  <c r="Z99" i="4"/>
  <c r="Z98" i="4"/>
  <c r="Z97" i="4"/>
  <c r="Z96" i="4"/>
  <c r="Z95" i="4"/>
  <c r="Z94" i="4"/>
  <c r="Z93" i="4"/>
  <c r="Z90" i="4"/>
  <c r="Z89" i="4"/>
  <c r="Z88" i="4"/>
  <c r="Z87" i="4"/>
  <c r="Z86" i="4"/>
  <c r="Z85" i="4"/>
  <c r="Z84" i="4"/>
  <c r="Z83" i="4"/>
  <c r="Z82" i="4"/>
  <c r="Z81" i="4"/>
  <c r="Z91" i="4" s="1"/>
  <c r="Z78" i="4"/>
  <c r="Z77" i="4"/>
  <c r="Z76" i="4"/>
  <c r="Z75" i="4"/>
  <c r="Z74" i="4"/>
  <c r="Z73" i="4"/>
  <c r="Z72" i="4"/>
  <c r="Z71" i="4"/>
  <c r="Z70" i="4"/>
  <c r="Z69" i="4"/>
  <c r="Z66" i="4"/>
  <c r="Z65" i="4"/>
  <c r="Z64" i="4"/>
  <c r="Z63" i="4"/>
  <c r="Z62" i="4"/>
  <c r="Z61" i="4"/>
  <c r="Z60" i="4"/>
  <c r="Z59" i="4"/>
  <c r="Z58" i="4"/>
  <c r="Z57" i="4"/>
  <c r="Z54" i="4"/>
  <c r="Z53" i="4"/>
  <c r="Z52" i="4"/>
  <c r="Z51" i="4"/>
  <c r="Z50" i="4"/>
  <c r="Z49" i="4"/>
  <c r="Z48" i="4"/>
  <c r="Z47" i="4"/>
  <c r="Z46" i="4"/>
  <c r="Z45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Z40" i="4"/>
  <c r="Z39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Z35" i="4"/>
  <c r="Z34" i="4"/>
  <c r="Z33" i="4"/>
  <c r="Y29" i="4"/>
  <c r="Y30" i="4" s="1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H30" i="4" s="1"/>
  <c r="G28" i="4"/>
  <c r="F28" i="4"/>
  <c r="E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Z26" i="4"/>
  <c r="Z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Z23" i="4"/>
  <c r="Z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Z20" i="4"/>
  <c r="Z19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Z15" i="4"/>
  <c r="Z14" i="4"/>
  <c r="AH263" i="3"/>
  <c r="R262" i="3"/>
  <c r="R264" i="3" s="1"/>
  <c r="AH252" i="3"/>
  <c r="AH251" i="3"/>
  <c r="AH250" i="3"/>
  <c r="AH249" i="3"/>
  <c r="AH259" i="3" s="1"/>
  <c r="AH246" i="3"/>
  <c r="AH245" i="3"/>
  <c r="AH244" i="3"/>
  <c r="AH243" i="3"/>
  <c r="AH242" i="3"/>
  <c r="AH241" i="3"/>
  <c r="AH240" i="3"/>
  <c r="AH239" i="3"/>
  <c r="AH238" i="3"/>
  <c r="AH237" i="3"/>
  <c r="AH229" i="3"/>
  <c r="AH228" i="3"/>
  <c r="AH227" i="3"/>
  <c r="E227" i="1" s="1"/>
  <c r="AH226" i="3"/>
  <c r="AH225" i="3"/>
  <c r="AH235" i="3" s="1"/>
  <c r="AH216" i="3"/>
  <c r="AH215" i="3"/>
  <c r="AH214" i="3"/>
  <c r="AH213" i="3"/>
  <c r="AH223" i="3" s="1"/>
  <c r="AH210" i="3"/>
  <c r="AH209" i="3"/>
  <c r="AH208" i="3"/>
  <c r="AH207" i="3"/>
  <c r="AH206" i="3"/>
  <c r="AH205" i="3"/>
  <c r="AH204" i="3"/>
  <c r="AH203" i="3"/>
  <c r="AH202" i="3"/>
  <c r="AH201" i="3"/>
  <c r="AH198" i="3"/>
  <c r="AH197" i="3"/>
  <c r="AH196" i="3"/>
  <c r="AH195" i="3"/>
  <c r="AH194" i="3"/>
  <c r="AH193" i="3"/>
  <c r="AH192" i="3"/>
  <c r="AH191" i="3"/>
  <c r="AH190" i="3"/>
  <c r="AH189" i="3"/>
  <c r="AH186" i="3"/>
  <c r="AH185" i="3"/>
  <c r="AH184" i="3"/>
  <c r="AH183" i="3"/>
  <c r="AH182" i="3"/>
  <c r="AH181" i="3"/>
  <c r="AH180" i="3"/>
  <c r="AH179" i="3"/>
  <c r="AH178" i="3"/>
  <c r="AH177" i="3"/>
  <c r="AH166" i="3"/>
  <c r="AH165" i="3"/>
  <c r="AH175" i="3" s="1"/>
  <c r="AH144" i="3"/>
  <c r="AH143" i="3"/>
  <c r="AH142" i="3"/>
  <c r="AH141" i="3"/>
  <c r="AH151" i="3" s="1"/>
  <c r="AH138" i="3"/>
  <c r="AH137" i="3"/>
  <c r="AH136" i="3"/>
  <c r="AH135" i="3"/>
  <c r="AH134" i="3"/>
  <c r="AH133" i="3"/>
  <c r="AH132" i="3"/>
  <c r="AH131" i="3"/>
  <c r="AH130" i="3"/>
  <c r="AH129" i="3"/>
  <c r="AH122" i="3"/>
  <c r="AH121" i="3"/>
  <c r="AH120" i="3"/>
  <c r="AH119" i="3"/>
  <c r="AH118" i="3"/>
  <c r="AH117" i="3"/>
  <c r="AH107" i="3"/>
  <c r="AH106" i="3"/>
  <c r="AH105" i="3"/>
  <c r="AH115" i="3" s="1"/>
  <c r="AH102" i="3"/>
  <c r="AH101" i="3"/>
  <c r="AH100" i="3"/>
  <c r="AH99" i="3"/>
  <c r="AH98" i="3"/>
  <c r="AH97" i="3"/>
  <c r="AH96" i="3"/>
  <c r="AH95" i="3"/>
  <c r="AH94" i="3"/>
  <c r="AH93" i="3"/>
  <c r="AH90" i="3"/>
  <c r="AH89" i="3"/>
  <c r="AH88" i="3"/>
  <c r="AH87" i="3"/>
  <c r="AH86" i="3"/>
  <c r="AH85" i="3"/>
  <c r="AH84" i="3"/>
  <c r="AH83" i="3"/>
  <c r="AH82" i="3"/>
  <c r="AH81" i="3"/>
  <c r="AH78" i="3"/>
  <c r="AH77" i="3"/>
  <c r="AH76" i="3"/>
  <c r="AH75" i="3"/>
  <c r="AH74" i="3"/>
  <c r="AH73" i="3"/>
  <c r="AH72" i="3"/>
  <c r="AH71" i="3"/>
  <c r="AH70" i="3"/>
  <c r="AH69" i="3"/>
  <c r="F262" i="3"/>
  <c r="F264" i="3" s="1"/>
  <c r="AH66" i="3"/>
  <c r="AH65" i="3"/>
  <c r="AH64" i="3"/>
  <c r="AH63" i="3"/>
  <c r="AH62" i="3"/>
  <c r="AH61" i="3"/>
  <c r="AH60" i="3"/>
  <c r="AH59" i="3"/>
  <c r="AH58" i="3"/>
  <c r="AH57" i="3"/>
  <c r="AG262" i="3"/>
  <c r="AG264" i="3" s="1"/>
  <c r="U262" i="3"/>
  <c r="U264" i="3" s="1"/>
  <c r="J262" i="3"/>
  <c r="J264" i="3" s="1"/>
  <c r="AH54" i="3"/>
  <c r="AH53" i="3"/>
  <c r="AH52" i="3"/>
  <c r="AH51" i="3"/>
  <c r="AH50" i="3"/>
  <c r="AH49" i="3"/>
  <c r="AH48" i="3"/>
  <c r="AH47" i="3"/>
  <c r="AH46" i="3"/>
  <c r="AH45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AH40" i="3"/>
  <c r="AH39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AH35" i="3"/>
  <c r="AH34" i="3"/>
  <c r="AH33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G28" i="3"/>
  <c r="AG30" i="3" s="1"/>
  <c r="AF28" i="3"/>
  <c r="AF30" i="3" s="1"/>
  <c r="AE28" i="3"/>
  <c r="AE30" i="3" s="1"/>
  <c r="AD28" i="3"/>
  <c r="AC28" i="3"/>
  <c r="AC30" i="3" s="1"/>
  <c r="AB28" i="3"/>
  <c r="AB30" i="3" s="1"/>
  <c r="AA28" i="3"/>
  <c r="Z28" i="3"/>
  <c r="Y28" i="3"/>
  <c r="X28" i="3"/>
  <c r="W28" i="3"/>
  <c r="V28" i="3"/>
  <c r="U28" i="3"/>
  <c r="U30" i="3" s="1"/>
  <c r="T28" i="3"/>
  <c r="T30" i="3" s="1"/>
  <c r="S28" i="3"/>
  <c r="S30" i="3" s="1"/>
  <c r="R28" i="3"/>
  <c r="Q28" i="3"/>
  <c r="P28" i="3"/>
  <c r="P30" i="3" s="1"/>
  <c r="O28" i="3"/>
  <c r="N28" i="3"/>
  <c r="M28" i="3"/>
  <c r="L28" i="3"/>
  <c r="K28" i="3"/>
  <c r="K30" i="3" s="1"/>
  <c r="J28" i="3"/>
  <c r="I28" i="3"/>
  <c r="I30" i="3" s="1"/>
  <c r="H28" i="3"/>
  <c r="H30" i="3" s="1"/>
  <c r="G28" i="3"/>
  <c r="G30" i="3" s="1"/>
  <c r="F28" i="3"/>
  <c r="E28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AH26" i="3"/>
  <c r="AH25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AH23" i="3"/>
  <c r="AH22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AH20" i="3"/>
  <c r="AH19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H15" i="3"/>
  <c r="AG263" i="2"/>
  <c r="AG252" i="2"/>
  <c r="AG251" i="2"/>
  <c r="AG250" i="2"/>
  <c r="AG249" i="2"/>
  <c r="AG246" i="2"/>
  <c r="AG245" i="2"/>
  <c r="AG244" i="2"/>
  <c r="AG243" i="2"/>
  <c r="AG242" i="2"/>
  <c r="AG241" i="2"/>
  <c r="AG240" i="2"/>
  <c r="AG239" i="2"/>
  <c r="AG238" i="2"/>
  <c r="AG237" i="2"/>
  <c r="AG229" i="2"/>
  <c r="AG228" i="2"/>
  <c r="AG227" i="2"/>
  <c r="AG226" i="2"/>
  <c r="AG225" i="2"/>
  <c r="AG216" i="2"/>
  <c r="AG215" i="2"/>
  <c r="AG214" i="2"/>
  <c r="AG213" i="2"/>
  <c r="AG223" i="2" s="1"/>
  <c r="O262" i="2"/>
  <c r="O264" i="2" s="1"/>
  <c r="AG210" i="2"/>
  <c r="AG209" i="2"/>
  <c r="AG208" i="2"/>
  <c r="AG207" i="2"/>
  <c r="AG206" i="2"/>
  <c r="AG205" i="2"/>
  <c r="AG204" i="2"/>
  <c r="AG203" i="2"/>
  <c r="AG202" i="2"/>
  <c r="AG201" i="2"/>
  <c r="AG211" i="2" s="1"/>
  <c r="AG198" i="2"/>
  <c r="AG197" i="2"/>
  <c r="AG196" i="2"/>
  <c r="AG195" i="2"/>
  <c r="AG194" i="2"/>
  <c r="AG193" i="2"/>
  <c r="AG192" i="2"/>
  <c r="AG191" i="2"/>
  <c r="AG190" i="2"/>
  <c r="AG189" i="2"/>
  <c r="AG186" i="2"/>
  <c r="AG185" i="2"/>
  <c r="AG184" i="2"/>
  <c r="AG183" i="2"/>
  <c r="AG182" i="2"/>
  <c r="AG181" i="2"/>
  <c r="AG180" i="2"/>
  <c r="AG179" i="2"/>
  <c r="AG178" i="2"/>
  <c r="AG177" i="2"/>
  <c r="AG187" i="2" s="1"/>
  <c r="AG166" i="2"/>
  <c r="AG165" i="2"/>
  <c r="AG175" i="2" s="1"/>
  <c r="E156" i="1"/>
  <c r="AG144" i="2"/>
  <c r="AG143" i="2"/>
  <c r="AG142" i="2"/>
  <c r="AG141" i="2"/>
  <c r="AG138" i="2"/>
  <c r="AG137" i="2"/>
  <c r="AG136" i="2"/>
  <c r="AG135" i="2"/>
  <c r="AG134" i="2"/>
  <c r="AG133" i="2"/>
  <c r="AG132" i="2"/>
  <c r="AG131" i="2"/>
  <c r="AG130" i="2"/>
  <c r="AG129" i="2"/>
  <c r="AG122" i="2"/>
  <c r="AG121" i="2"/>
  <c r="AG120" i="2"/>
  <c r="AG119" i="2"/>
  <c r="AG118" i="2"/>
  <c r="AG117" i="2"/>
  <c r="AG127" i="2" s="1"/>
  <c r="AG107" i="2"/>
  <c r="AG106" i="2"/>
  <c r="AG105" i="2"/>
  <c r="AG115" i="2" s="1"/>
  <c r="AG102" i="2"/>
  <c r="AG101" i="2"/>
  <c r="AG100" i="2"/>
  <c r="AG99" i="2"/>
  <c r="AG98" i="2"/>
  <c r="AG97" i="2"/>
  <c r="AG96" i="2"/>
  <c r="AG95" i="2"/>
  <c r="AG94" i="2"/>
  <c r="AG93" i="2"/>
  <c r="AG90" i="2"/>
  <c r="AG89" i="2"/>
  <c r="AG88" i="2"/>
  <c r="AG87" i="2"/>
  <c r="AG86" i="2"/>
  <c r="AG85" i="2"/>
  <c r="AG84" i="2"/>
  <c r="AG83" i="2"/>
  <c r="AG82" i="2"/>
  <c r="AG81" i="2"/>
  <c r="AG78" i="2"/>
  <c r="AG77" i="2"/>
  <c r="AG76" i="2"/>
  <c r="AG75" i="2"/>
  <c r="AG74" i="2"/>
  <c r="AG73" i="2"/>
  <c r="AG72" i="2"/>
  <c r="AG71" i="2"/>
  <c r="AG70" i="2"/>
  <c r="AG69" i="2"/>
  <c r="AG66" i="2"/>
  <c r="AG65" i="2"/>
  <c r="AG64" i="2"/>
  <c r="AG63" i="2"/>
  <c r="AG62" i="2"/>
  <c r="AG61" i="2"/>
  <c r="AG60" i="2"/>
  <c r="E60" i="1" s="1"/>
  <c r="AG59" i="2"/>
  <c r="AG58" i="2"/>
  <c r="AG57" i="2"/>
  <c r="AG54" i="2"/>
  <c r="AG53" i="2"/>
  <c r="AG52" i="2"/>
  <c r="AG51" i="2"/>
  <c r="AG50" i="2"/>
  <c r="AG49" i="2"/>
  <c r="AG48" i="2"/>
  <c r="AG47" i="2"/>
  <c r="AG46" i="2"/>
  <c r="AG45" i="2"/>
  <c r="AG55" i="2" s="1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G40" i="2"/>
  <c r="AG39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AG35" i="2"/>
  <c r="AG34" i="2"/>
  <c r="AG33" i="2"/>
  <c r="AF30" i="2"/>
  <c r="AF29" i="2"/>
  <c r="AE29" i="2"/>
  <c r="AD29" i="2"/>
  <c r="AC29" i="2"/>
  <c r="AB29" i="2"/>
  <c r="AA29" i="2"/>
  <c r="Z29" i="2"/>
  <c r="Y29" i="2"/>
  <c r="X29" i="2"/>
  <c r="W29" i="2"/>
  <c r="V29" i="2"/>
  <c r="U29" i="2"/>
  <c r="U30" i="2" s="1"/>
  <c r="T29" i="2"/>
  <c r="S29" i="2"/>
  <c r="R29" i="2"/>
  <c r="Q29" i="2"/>
  <c r="P29" i="2"/>
  <c r="O29" i="2"/>
  <c r="N29" i="2"/>
  <c r="M29" i="2"/>
  <c r="L29" i="2"/>
  <c r="K29" i="2"/>
  <c r="J29" i="2"/>
  <c r="J30" i="2" s="1"/>
  <c r="I29" i="2"/>
  <c r="H29" i="2"/>
  <c r="G29" i="2"/>
  <c r="F29" i="2"/>
  <c r="E29" i="2"/>
  <c r="AF28" i="2"/>
  <c r="AE28" i="2"/>
  <c r="AD28" i="2"/>
  <c r="AC28" i="2"/>
  <c r="AC30" i="2" s="1"/>
  <c r="AB28" i="2"/>
  <c r="AA28" i="2"/>
  <c r="AA30" i="2" s="1"/>
  <c r="Z28" i="2"/>
  <c r="Z30" i="2" s="1"/>
  <c r="Y28" i="2"/>
  <c r="X28" i="2"/>
  <c r="W28" i="2"/>
  <c r="W30" i="2" s="1"/>
  <c r="V28" i="2"/>
  <c r="U28" i="2"/>
  <c r="T28" i="2"/>
  <c r="T30" i="2" s="1"/>
  <c r="S28" i="2"/>
  <c r="R28" i="2"/>
  <c r="R30" i="2" s="1"/>
  <c r="Q28" i="2"/>
  <c r="P28" i="2"/>
  <c r="P30" i="2" s="1"/>
  <c r="O28" i="2"/>
  <c r="N28" i="2"/>
  <c r="M28" i="2"/>
  <c r="M30" i="2" s="1"/>
  <c r="L28" i="2"/>
  <c r="K28" i="2"/>
  <c r="J28" i="2"/>
  <c r="I28" i="2"/>
  <c r="H28" i="2"/>
  <c r="H30" i="2" s="1"/>
  <c r="G28" i="2"/>
  <c r="F28" i="2"/>
  <c r="F30" i="2" s="1"/>
  <c r="E28" i="2"/>
  <c r="E30" i="2" s="1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AG26" i="2"/>
  <c r="AG25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AG23" i="2"/>
  <c r="AG22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AG20" i="2"/>
  <c r="AG19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AG15" i="2"/>
  <c r="AG14" i="2"/>
  <c r="E206" i="1"/>
  <c r="Z259" i="4" l="1"/>
  <c r="E249" i="1"/>
  <c r="Z247" i="4"/>
  <c r="Z211" i="4"/>
  <c r="Z199" i="4"/>
  <c r="Z187" i="4"/>
  <c r="Z139" i="4"/>
  <c r="Y262" i="4"/>
  <c r="Y264" i="4" s="1"/>
  <c r="Z103" i="4"/>
  <c r="Z79" i="4"/>
  <c r="Z55" i="4"/>
  <c r="Z67" i="4"/>
  <c r="X262" i="4"/>
  <c r="X264" i="4" s="1"/>
  <c r="N262" i="4"/>
  <c r="N264" i="4" s="1"/>
  <c r="T30" i="4"/>
  <c r="X30" i="4"/>
  <c r="U30" i="4"/>
  <c r="V30" i="4"/>
  <c r="Z41" i="4"/>
  <c r="Z36" i="4"/>
  <c r="I30" i="4"/>
  <c r="Z27" i="4"/>
  <c r="M30" i="4"/>
  <c r="F30" i="4"/>
  <c r="R30" i="4"/>
  <c r="Q30" i="4"/>
  <c r="Z24" i="4"/>
  <c r="O30" i="4"/>
  <c r="P30" i="4"/>
  <c r="G30" i="4"/>
  <c r="S30" i="4"/>
  <c r="J30" i="4"/>
  <c r="L30" i="4"/>
  <c r="Z29" i="4"/>
  <c r="Z163" i="4"/>
  <c r="R262" i="4"/>
  <c r="R264" i="4" s="1"/>
  <c r="I262" i="4"/>
  <c r="I264" i="4" s="1"/>
  <c r="U262" i="4"/>
  <c r="U264" i="4" s="1"/>
  <c r="P262" i="4"/>
  <c r="P264" i="4" s="1"/>
  <c r="AF247" i="5"/>
  <c r="AF259" i="5"/>
  <c r="E250" i="1"/>
  <c r="AF199" i="5"/>
  <c r="AF211" i="5"/>
  <c r="AF175" i="5"/>
  <c r="E166" i="1"/>
  <c r="AF187" i="5"/>
  <c r="E184" i="1"/>
  <c r="M262" i="5"/>
  <c r="M264" i="5" s="1"/>
  <c r="E186" i="1"/>
  <c r="E158" i="1"/>
  <c r="AF139" i="5"/>
  <c r="Y262" i="5"/>
  <c r="Y264" i="5" s="1"/>
  <c r="AF127" i="5"/>
  <c r="N262" i="5"/>
  <c r="N264" i="5" s="1"/>
  <c r="AF103" i="5"/>
  <c r="T262" i="5"/>
  <c r="T264" i="5" s="1"/>
  <c r="AD262" i="5"/>
  <c r="AD264" i="5" s="1"/>
  <c r="AE262" i="5"/>
  <c r="AE264" i="5" s="1"/>
  <c r="H262" i="5"/>
  <c r="H264" i="5" s="1"/>
  <c r="E93" i="1"/>
  <c r="AF91" i="5"/>
  <c r="E81" i="1"/>
  <c r="AF79" i="5"/>
  <c r="F262" i="5"/>
  <c r="F264" i="5" s="1"/>
  <c r="R262" i="5"/>
  <c r="R264" i="5" s="1"/>
  <c r="G262" i="5"/>
  <c r="G264" i="5" s="1"/>
  <c r="S262" i="5"/>
  <c r="S264" i="5" s="1"/>
  <c r="AF67" i="5"/>
  <c r="W262" i="5"/>
  <c r="W264" i="5" s="1"/>
  <c r="E40" i="1"/>
  <c r="Y30" i="5"/>
  <c r="V30" i="5"/>
  <c r="AE30" i="5"/>
  <c r="Z30" i="5"/>
  <c r="AA30" i="5"/>
  <c r="X30" i="5"/>
  <c r="AC30" i="5"/>
  <c r="AB30" i="5"/>
  <c r="AD30" i="5"/>
  <c r="J30" i="5"/>
  <c r="F30" i="5"/>
  <c r="R30" i="5"/>
  <c r="S30" i="5"/>
  <c r="AF21" i="5"/>
  <c r="Q30" i="5"/>
  <c r="K30" i="5"/>
  <c r="L30" i="5"/>
  <c r="I30" i="5"/>
  <c r="AF16" i="5"/>
  <c r="AF163" i="5"/>
  <c r="O262" i="5"/>
  <c r="O264" i="5" s="1"/>
  <c r="AB262" i="5"/>
  <c r="AB264" i="5" s="1"/>
  <c r="AH247" i="3"/>
  <c r="AH211" i="3"/>
  <c r="AH199" i="3"/>
  <c r="E193" i="1"/>
  <c r="AH187" i="3"/>
  <c r="AH139" i="3"/>
  <c r="AH127" i="3"/>
  <c r="E100" i="1"/>
  <c r="M262" i="3"/>
  <c r="M264" i="3" s="1"/>
  <c r="AH103" i="3"/>
  <c r="AH91" i="3"/>
  <c r="AH79" i="3"/>
  <c r="I262" i="3"/>
  <c r="I264" i="3" s="1"/>
  <c r="AH67" i="3"/>
  <c r="AH55" i="3"/>
  <c r="Y262" i="3"/>
  <c r="Y264" i="3" s="1"/>
  <c r="W30" i="3"/>
  <c r="AD30" i="3"/>
  <c r="Y30" i="3"/>
  <c r="AH41" i="3"/>
  <c r="AH36" i="3"/>
  <c r="AH24" i="3"/>
  <c r="O30" i="3"/>
  <c r="E30" i="3"/>
  <c r="Q30" i="3"/>
  <c r="F30" i="3"/>
  <c r="R30" i="3"/>
  <c r="AH16" i="3"/>
  <c r="P262" i="3"/>
  <c r="P264" i="3" s="1"/>
  <c r="AB262" i="3"/>
  <c r="AB264" i="3" s="1"/>
  <c r="O262" i="3"/>
  <c r="O264" i="3" s="1"/>
  <c r="AA262" i="3"/>
  <c r="AA264" i="3" s="1"/>
  <c r="Q262" i="3"/>
  <c r="Q264" i="3" s="1"/>
  <c r="AC262" i="3"/>
  <c r="AC264" i="3" s="1"/>
  <c r="AG259" i="2"/>
  <c r="AG247" i="2"/>
  <c r="E246" i="1"/>
  <c r="AA262" i="2"/>
  <c r="AA264" i="2" s="1"/>
  <c r="AG235" i="2"/>
  <c r="E225" i="1"/>
  <c r="AG199" i="2"/>
  <c r="AF262" i="2"/>
  <c r="AF264" i="2" s="1"/>
  <c r="N262" i="2"/>
  <c r="N264" i="2" s="1"/>
  <c r="E205" i="1"/>
  <c r="E194" i="1"/>
  <c r="E198" i="1"/>
  <c r="F262" i="2"/>
  <c r="F264" i="2" s="1"/>
  <c r="R262" i="2"/>
  <c r="R264" i="2" s="1"/>
  <c r="E185" i="1"/>
  <c r="AG151" i="2"/>
  <c r="Z262" i="2"/>
  <c r="Z264" i="2" s="1"/>
  <c r="E142" i="1"/>
  <c r="E143" i="1"/>
  <c r="AD262" i="2"/>
  <c r="AD264" i="2" s="1"/>
  <c r="AG139" i="2"/>
  <c r="E129" i="1"/>
  <c r="E130" i="1"/>
  <c r="E131" i="1"/>
  <c r="M262" i="2"/>
  <c r="M264" i="2" s="1"/>
  <c r="AG103" i="2"/>
  <c r="AB262" i="2"/>
  <c r="AB264" i="2" s="1"/>
  <c r="AG79" i="2"/>
  <c r="AG91" i="2"/>
  <c r="AG67" i="2"/>
  <c r="E64" i="1"/>
  <c r="E66" i="1"/>
  <c r="E65" i="1"/>
  <c r="E63" i="1"/>
  <c r="E53" i="1"/>
  <c r="E45" i="1"/>
  <c r="AG36" i="2"/>
  <c r="AB30" i="2"/>
  <c r="AD30" i="2"/>
  <c r="AE30" i="2"/>
  <c r="Y30" i="2"/>
  <c r="V30" i="2"/>
  <c r="AG16" i="2"/>
  <c r="E33" i="1"/>
  <c r="E34" i="1"/>
  <c r="AG27" i="2"/>
  <c r="K30" i="2"/>
  <c r="S30" i="2"/>
  <c r="I30" i="2"/>
  <c r="N30" i="2"/>
  <c r="AG21" i="2"/>
  <c r="O30" i="2"/>
  <c r="Q30" i="2"/>
  <c r="E14" i="1"/>
  <c r="K262" i="2"/>
  <c r="K264" i="2" s="1"/>
  <c r="W262" i="2"/>
  <c r="W264" i="2" s="1"/>
  <c r="J262" i="2"/>
  <c r="J264" i="2" s="1"/>
  <c r="AU259" i="8"/>
  <c r="E238" i="1"/>
  <c r="AU247" i="8"/>
  <c r="H262" i="8"/>
  <c r="H264" i="8" s="1"/>
  <c r="AU235" i="8"/>
  <c r="E213" i="1"/>
  <c r="G262" i="8"/>
  <c r="G264" i="8" s="1"/>
  <c r="AU211" i="8"/>
  <c r="AU187" i="8"/>
  <c r="AR262" i="8"/>
  <c r="AR264" i="8" s="1"/>
  <c r="E179" i="1"/>
  <c r="AU151" i="8"/>
  <c r="E138" i="1"/>
  <c r="AU139" i="8"/>
  <c r="AB262" i="8"/>
  <c r="AB264" i="8" s="1"/>
  <c r="AU127" i="8"/>
  <c r="E137" i="1"/>
  <c r="E121" i="1"/>
  <c r="AU103" i="8"/>
  <c r="E87" i="1"/>
  <c r="AU79" i="8"/>
  <c r="AU91" i="8"/>
  <c r="E50" i="1"/>
  <c r="E61" i="1"/>
  <c r="AU67" i="8"/>
  <c r="AU55" i="8"/>
  <c r="AF262" i="8"/>
  <c r="AF264" i="8" s="1"/>
  <c r="E62" i="1"/>
  <c r="R262" i="8"/>
  <c r="R264" i="8" s="1"/>
  <c r="E262" i="8"/>
  <c r="E264" i="8" s="1"/>
  <c r="AD262" i="8"/>
  <c r="AD264" i="8" s="1"/>
  <c r="AK262" i="8"/>
  <c r="AK264" i="8" s="1"/>
  <c r="AO262" i="8"/>
  <c r="AO264" i="8" s="1"/>
  <c r="AC262" i="8"/>
  <c r="AC264" i="8" s="1"/>
  <c r="Q262" i="8"/>
  <c r="Q264" i="8" s="1"/>
  <c r="AN262" i="8"/>
  <c r="AN264" i="8" s="1"/>
  <c r="P262" i="8"/>
  <c r="P264" i="8" s="1"/>
  <c r="M262" i="8"/>
  <c r="M264" i="8" s="1"/>
  <c r="AL30" i="8"/>
  <c r="AM30" i="8"/>
  <c r="AK30" i="8"/>
  <c r="AE30" i="8"/>
  <c r="T30" i="8"/>
  <c r="AF30" i="8"/>
  <c r="U30" i="8"/>
  <c r="AG30" i="8"/>
  <c r="AB30" i="8"/>
  <c r="Z30" i="8"/>
  <c r="E26" i="1"/>
  <c r="E35" i="1"/>
  <c r="AU21" i="8"/>
  <c r="N30" i="8"/>
  <c r="P30" i="8"/>
  <c r="AU29" i="8"/>
  <c r="F30" i="8"/>
  <c r="R30" i="8"/>
  <c r="L30" i="8"/>
  <c r="M30" i="8"/>
  <c r="H30" i="8"/>
  <c r="AU36" i="8"/>
  <c r="AU41" i="8"/>
  <c r="E252" i="1"/>
  <c r="AF259" i="6"/>
  <c r="AF247" i="6"/>
  <c r="E237" i="1"/>
  <c r="E201" i="1"/>
  <c r="AF199" i="6"/>
  <c r="AF187" i="6"/>
  <c r="E181" i="1"/>
  <c r="AF139" i="6"/>
  <c r="E120" i="1"/>
  <c r="AF103" i="6"/>
  <c r="AF91" i="6"/>
  <c r="E73" i="1"/>
  <c r="AF79" i="6"/>
  <c r="E76" i="1"/>
  <c r="E78" i="1"/>
  <c r="AF67" i="6"/>
  <c r="E59" i="1"/>
  <c r="AF55" i="6"/>
  <c r="E51" i="1"/>
  <c r="X30" i="6"/>
  <c r="T30" i="6"/>
  <c r="AE30" i="6"/>
  <c r="U30" i="6"/>
  <c r="Y30" i="6"/>
  <c r="V30" i="6"/>
  <c r="Z30" i="6"/>
  <c r="E39" i="1"/>
  <c r="E41" i="1" s="1"/>
  <c r="AF36" i="6"/>
  <c r="H30" i="6"/>
  <c r="L30" i="6"/>
  <c r="M30" i="6"/>
  <c r="N30" i="6"/>
  <c r="F30" i="6"/>
  <c r="P30" i="6"/>
  <c r="Q30" i="6"/>
  <c r="AF21" i="6"/>
  <c r="G30" i="6"/>
  <c r="S30" i="6"/>
  <c r="I30" i="6"/>
  <c r="J30" i="6"/>
  <c r="AF29" i="6"/>
  <c r="W262" i="6"/>
  <c r="W264" i="6" s="1"/>
  <c r="AA262" i="6"/>
  <c r="AA264" i="6" s="1"/>
  <c r="O262" i="6"/>
  <c r="O264" i="6" s="1"/>
  <c r="X262" i="6"/>
  <c r="X264" i="6" s="1"/>
  <c r="Z262" i="6"/>
  <c r="Z264" i="6" s="1"/>
  <c r="N262" i="6"/>
  <c r="N264" i="6" s="1"/>
  <c r="M262" i="6"/>
  <c r="M264" i="6" s="1"/>
  <c r="Y262" i="6"/>
  <c r="Y264" i="6" s="1"/>
  <c r="E263" i="1"/>
  <c r="E244" i="1"/>
  <c r="AB259" i="7"/>
  <c r="AB247" i="7"/>
  <c r="E214" i="1"/>
  <c r="AB235" i="7"/>
  <c r="AB223" i="7"/>
  <c r="E197" i="1"/>
  <c r="E208" i="1"/>
  <c r="AB211" i="7"/>
  <c r="E207" i="1"/>
  <c r="AB199" i="7"/>
  <c r="E192" i="1"/>
  <c r="AB187" i="7"/>
  <c r="E153" i="1"/>
  <c r="E154" i="1"/>
  <c r="AB151" i="7"/>
  <c r="E144" i="1"/>
  <c r="E141" i="1"/>
  <c r="AB139" i="7"/>
  <c r="AB127" i="7"/>
  <c r="E122" i="1"/>
  <c r="E135" i="1"/>
  <c r="E136" i="1"/>
  <c r="E118" i="1"/>
  <c r="E105" i="1"/>
  <c r="E106" i="1"/>
  <c r="E107" i="1"/>
  <c r="AB103" i="7"/>
  <c r="E102" i="1"/>
  <c r="E95" i="1"/>
  <c r="AB79" i="7"/>
  <c r="E71" i="1"/>
  <c r="E89" i="1"/>
  <c r="AB91" i="7"/>
  <c r="E86" i="1"/>
  <c r="E90" i="1"/>
  <c r="E74" i="1"/>
  <c r="E72" i="1"/>
  <c r="AB55" i="7"/>
  <c r="AB67" i="7"/>
  <c r="T30" i="7"/>
  <c r="V30" i="7"/>
  <c r="W30" i="7"/>
  <c r="E20" i="1"/>
  <c r="Z30" i="7"/>
  <c r="AB41" i="7"/>
  <c r="F30" i="7"/>
  <c r="AB27" i="7"/>
  <c r="E25" i="1"/>
  <c r="P30" i="7"/>
  <c r="H30" i="7"/>
  <c r="S30" i="7"/>
  <c r="R30" i="7"/>
  <c r="I30" i="7"/>
  <c r="L30" i="7"/>
  <c r="N30" i="7"/>
  <c r="O30" i="7"/>
  <c r="J30" i="7"/>
  <c r="E30" i="7"/>
  <c r="Q30" i="7"/>
  <c r="K30" i="7"/>
  <c r="E15" i="1"/>
  <c r="AB163" i="7"/>
  <c r="V262" i="7"/>
  <c r="V264" i="7" s="1"/>
  <c r="S262" i="7"/>
  <c r="S264" i="7" s="1"/>
  <c r="H262" i="7"/>
  <c r="H264" i="7" s="1"/>
  <c r="T262" i="7"/>
  <c r="T264" i="7" s="1"/>
  <c r="P262" i="7"/>
  <c r="P264" i="7" s="1"/>
  <c r="J262" i="7"/>
  <c r="J264" i="7" s="1"/>
  <c r="K262" i="7"/>
  <c r="K264" i="7" s="1"/>
  <c r="G262" i="7"/>
  <c r="G264" i="7" s="1"/>
  <c r="G262" i="3"/>
  <c r="G264" i="3" s="1"/>
  <c r="V262" i="4"/>
  <c r="V264" i="4" s="1"/>
  <c r="E52" i="1"/>
  <c r="S262" i="3"/>
  <c r="S264" i="3" s="1"/>
  <c r="AE262" i="3"/>
  <c r="AE264" i="3" s="1"/>
  <c r="E84" i="1"/>
  <c r="M30" i="3"/>
  <c r="G30" i="2"/>
  <c r="AG29" i="2"/>
  <c r="O262" i="4"/>
  <c r="O264" i="4" s="1"/>
  <c r="AF29" i="5"/>
  <c r="E30" i="5"/>
  <c r="E262" i="4"/>
  <c r="P262" i="6"/>
  <c r="P264" i="6" s="1"/>
  <c r="E209" i="1"/>
  <c r="V262" i="3"/>
  <c r="V264" i="3" s="1"/>
  <c r="E77" i="1"/>
  <c r="K30" i="4"/>
  <c r="L262" i="4"/>
  <c r="L264" i="4" s="1"/>
  <c r="Z21" i="4"/>
  <c r="V262" i="5"/>
  <c r="V264" i="5" s="1"/>
  <c r="M30" i="7"/>
  <c r="F262" i="7"/>
  <c r="F264" i="7" s="1"/>
  <c r="E30" i="8"/>
  <c r="AU28" i="8"/>
  <c r="AG28" i="2"/>
  <c r="AF24" i="6"/>
  <c r="F262" i="6"/>
  <c r="F264" i="6" s="1"/>
  <c r="AB36" i="7"/>
  <c r="E242" i="1"/>
  <c r="E239" i="1"/>
  <c r="AF27" i="5"/>
  <c r="R262" i="6"/>
  <c r="R264" i="6" s="1"/>
  <c r="AB16" i="7"/>
  <c r="AE262" i="8"/>
  <c r="AE264" i="8" s="1"/>
  <c r="J262" i="4"/>
  <c r="J264" i="4" s="1"/>
  <c r="E47" i="1"/>
  <c r="K262" i="4"/>
  <c r="K264" i="4" s="1"/>
  <c r="AF41" i="6"/>
  <c r="AB262" i="6"/>
  <c r="AB264" i="6" s="1"/>
  <c r="T262" i="8"/>
  <c r="T264" i="8" s="1"/>
  <c r="W30" i="4"/>
  <c r="E178" i="1"/>
  <c r="Z16" i="4"/>
  <c r="AF163" i="6"/>
  <c r="Y30" i="7"/>
  <c r="R262" i="7"/>
  <c r="R264" i="7" s="1"/>
  <c r="AU24" i="8"/>
  <c r="E22" i="1"/>
  <c r="T262" i="2"/>
  <c r="T264" i="2" s="1"/>
  <c r="T262" i="6"/>
  <c r="T264" i="6" s="1"/>
  <c r="E48" i="1"/>
  <c r="V262" i="2"/>
  <c r="V264" i="2" s="1"/>
  <c r="E58" i="1"/>
  <c r="E99" i="1"/>
  <c r="E202" i="1"/>
  <c r="E228" i="1"/>
  <c r="E243" i="1"/>
  <c r="E203" i="1"/>
  <c r="E97" i="1"/>
  <c r="Z262" i="5"/>
  <c r="Z264" i="5" s="1"/>
  <c r="L262" i="5"/>
  <c r="L264" i="5" s="1"/>
  <c r="X262" i="5"/>
  <c r="X264" i="5" s="1"/>
  <c r="H262" i="6"/>
  <c r="H264" i="6" s="1"/>
  <c r="L262" i="7"/>
  <c r="L264" i="7" s="1"/>
  <c r="E262" i="3"/>
  <c r="AH21" i="3"/>
  <c r="E229" i="1"/>
  <c r="AH27" i="3"/>
  <c r="AH29" i="3"/>
  <c r="E30" i="4"/>
  <c r="Z28" i="4"/>
  <c r="J262" i="5"/>
  <c r="J264" i="5" s="1"/>
  <c r="I262" i="7"/>
  <c r="I264" i="7" s="1"/>
  <c r="K262" i="8"/>
  <c r="K264" i="8" s="1"/>
  <c r="AI262" i="8"/>
  <c r="AI264" i="8" s="1"/>
  <c r="AM262" i="8"/>
  <c r="AM264" i="8" s="1"/>
  <c r="L262" i="2"/>
  <c r="L264" i="2" s="1"/>
  <c r="X262" i="2"/>
  <c r="X264" i="2" s="1"/>
  <c r="E70" i="1"/>
  <c r="E101" i="1"/>
  <c r="E245" i="1"/>
  <c r="AH163" i="3"/>
  <c r="M262" i="4"/>
  <c r="M264" i="4" s="1"/>
  <c r="P262" i="5"/>
  <c r="P264" i="5" s="1"/>
  <c r="U262" i="6"/>
  <c r="U264" i="6" s="1"/>
  <c r="AB29" i="7"/>
  <c r="W262" i="4"/>
  <c r="W264" i="4" s="1"/>
  <c r="E117" i="1"/>
  <c r="Y262" i="8"/>
  <c r="Y264" i="8" s="1"/>
  <c r="E85" i="1"/>
  <c r="AD262" i="6"/>
  <c r="AD264" i="6" s="1"/>
  <c r="E49" i="1"/>
  <c r="E69" i="1"/>
  <c r="P262" i="2"/>
  <c r="P264" i="2" s="1"/>
  <c r="N30" i="3"/>
  <c r="Z30" i="3"/>
  <c r="F262" i="4"/>
  <c r="F264" i="4" s="1"/>
  <c r="K262" i="5"/>
  <c r="K264" i="5" s="1"/>
  <c r="W262" i="8"/>
  <c r="W264" i="8" s="1"/>
  <c r="O262" i="8"/>
  <c r="O264" i="8" s="1"/>
  <c r="AA262" i="8"/>
  <c r="AA264" i="8" s="1"/>
  <c r="E204" i="1"/>
  <c r="E19" i="1"/>
  <c r="Y262" i="2"/>
  <c r="Y264" i="2" s="1"/>
  <c r="E195" i="1"/>
  <c r="AD262" i="3"/>
  <c r="AD264" i="3" s="1"/>
  <c r="Q262" i="4"/>
  <c r="Q264" i="4" s="1"/>
  <c r="AF41" i="5"/>
  <c r="E262" i="5"/>
  <c r="Q262" i="5"/>
  <c r="Q264" i="5" s="1"/>
  <c r="AC262" i="5"/>
  <c r="AC264" i="5" s="1"/>
  <c r="AA262" i="5"/>
  <c r="AA264" i="5" s="1"/>
  <c r="G30" i="7"/>
  <c r="AB28" i="7"/>
  <c r="X262" i="7"/>
  <c r="X264" i="7" s="1"/>
  <c r="U262" i="7"/>
  <c r="U264" i="7" s="1"/>
  <c r="H262" i="2"/>
  <c r="H264" i="2" s="1"/>
  <c r="E180" i="1"/>
  <c r="E189" i="1"/>
  <c r="L262" i="3"/>
  <c r="L264" i="3" s="1"/>
  <c r="X262" i="3"/>
  <c r="X264" i="3" s="1"/>
  <c r="E155" i="1"/>
  <c r="E191" i="1"/>
  <c r="E215" i="1"/>
  <c r="E82" i="1"/>
  <c r="AF27" i="6"/>
  <c r="L262" i="6"/>
  <c r="L264" i="6" s="1"/>
  <c r="I262" i="6"/>
  <c r="I264" i="6" s="1"/>
  <c r="N262" i="7"/>
  <c r="N264" i="7" s="1"/>
  <c r="Z262" i="7"/>
  <c r="Z264" i="7" s="1"/>
  <c r="W262" i="7"/>
  <c r="W264" i="7" s="1"/>
  <c r="I262" i="8"/>
  <c r="I264" i="8" s="1"/>
  <c r="U262" i="8"/>
  <c r="U264" i="8" s="1"/>
  <c r="AG262" i="8"/>
  <c r="AG264" i="8" s="1"/>
  <c r="AS262" i="8"/>
  <c r="AS264" i="8" s="1"/>
  <c r="S262" i="8"/>
  <c r="S264" i="8" s="1"/>
  <c r="AQ262" i="8"/>
  <c r="AQ264" i="8" s="1"/>
  <c r="G262" i="2"/>
  <c r="G264" i="2" s="1"/>
  <c r="S262" i="2"/>
  <c r="S264" i="2" s="1"/>
  <c r="AE262" i="2"/>
  <c r="AE264" i="2" s="1"/>
  <c r="E96" i="1"/>
  <c r="E210" i="1"/>
  <c r="AA30" i="3"/>
  <c r="K262" i="3"/>
  <c r="K264" i="3" s="1"/>
  <c r="W262" i="3"/>
  <c r="W264" i="3" s="1"/>
  <c r="E165" i="1"/>
  <c r="E175" i="1" s="1"/>
  <c r="E46" i="1"/>
  <c r="E251" i="1"/>
  <c r="K262" i="6"/>
  <c r="K264" i="6" s="1"/>
  <c r="O262" i="7"/>
  <c r="O264" i="7" s="1"/>
  <c r="AA262" i="7"/>
  <c r="AA264" i="7" s="1"/>
  <c r="J262" i="8"/>
  <c r="J264" i="8" s="1"/>
  <c r="V262" i="8"/>
  <c r="V264" i="8" s="1"/>
  <c r="AH262" i="8"/>
  <c r="AH264" i="8" s="1"/>
  <c r="AT262" i="8"/>
  <c r="AT264" i="8" s="1"/>
  <c r="AF16" i="6"/>
  <c r="L30" i="2"/>
  <c r="X30" i="2"/>
  <c r="I262" i="2"/>
  <c r="I264" i="2" s="1"/>
  <c r="U262" i="2"/>
  <c r="U264" i="2" s="1"/>
  <c r="E57" i="1"/>
  <c r="E88" i="1"/>
  <c r="E226" i="1"/>
  <c r="E240" i="1"/>
  <c r="H262" i="3"/>
  <c r="H264" i="3" s="1"/>
  <c r="T262" i="3"/>
  <c r="T264" i="3" s="1"/>
  <c r="AF262" i="3"/>
  <c r="AF264" i="3" s="1"/>
  <c r="E75" i="1"/>
  <c r="E83" i="1"/>
  <c r="J262" i="6"/>
  <c r="J264" i="6" s="1"/>
  <c r="V262" i="6"/>
  <c r="V264" i="6" s="1"/>
  <c r="E262" i="7"/>
  <c r="Q262" i="7"/>
  <c r="Q264" i="7" s="1"/>
  <c r="Q262" i="6"/>
  <c r="Q264" i="6" s="1"/>
  <c r="X262" i="8"/>
  <c r="X264" i="8" s="1"/>
  <c r="E132" i="1"/>
  <c r="E196" i="1"/>
  <c r="J30" i="3"/>
  <c r="V30" i="3"/>
  <c r="N262" i="3"/>
  <c r="N264" i="3" s="1"/>
  <c r="Z262" i="3"/>
  <c r="Z264" i="3" s="1"/>
  <c r="E133" i="1"/>
  <c r="E183" i="1"/>
  <c r="I262" i="5"/>
  <c r="I264" i="5" s="1"/>
  <c r="U262" i="5"/>
  <c r="U264" i="5" s="1"/>
  <c r="E241" i="1"/>
  <c r="AB24" i="7"/>
  <c r="AC262" i="6"/>
  <c r="AC264" i="6" s="1"/>
  <c r="AB21" i="7"/>
  <c r="AJ262" i="8"/>
  <c r="AJ264" i="8" s="1"/>
  <c r="AG41" i="2"/>
  <c r="AG24" i="2"/>
  <c r="E54" i="1"/>
  <c r="E159" i="1"/>
  <c r="E98" i="1"/>
  <c r="N30" i="4"/>
  <c r="G262" i="4"/>
  <c r="G264" i="4" s="1"/>
  <c r="S262" i="4"/>
  <c r="S264" i="4" s="1"/>
  <c r="E23" i="1"/>
  <c r="AF28" i="6"/>
  <c r="G262" i="6"/>
  <c r="G264" i="6" s="1"/>
  <c r="S262" i="6"/>
  <c r="S264" i="6" s="1"/>
  <c r="AE262" i="6"/>
  <c r="AE264" i="6" s="1"/>
  <c r="AU16" i="8"/>
  <c r="J30" i="8"/>
  <c r="V30" i="8"/>
  <c r="AH30" i="8"/>
  <c r="AT30" i="8"/>
  <c r="N262" i="8"/>
  <c r="N264" i="8" s="1"/>
  <c r="Z262" i="8"/>
  <c r="Z264" i="8" s="1"/>
  <c r="AL262" i="8"/>
  <c r="AL264" i="8" s="1"/>
  <c r="E262" i="6"/>
  <c r="L262" i="8"/>
  <c r="L264" i="8" s="1"/>
  <c r="E119" i="1"/>
  <c r="E216" i="1"/>
  <c r="Q262" i="2"/>
  <c r="Q264" i="2" s="1"/>
  <c r="AC262" i="2"/>
  <c r="AC264" i="2" s="1"/>
  <c r="E94" i="1"/>
  <c r="E134" i="1"/>
  <c r="E177" i="1"/>
  <c r="L30" i="3"/>
  <c r="X30" i="3"/>
  <c r="H262" i="4"/>
  <c r="H264" i="4" s="1"/>
  <c r="T262" i="4"/>
  <c r="T264" i="4" s="1"/>
  <c r="AF24" i="5"/>
  <c r="AF28" i="5"/>
  <c r="AF36" i="5"/>
  <c r="E190" i="1"/>
  <c r="M262" i="7"/>
  <c r="M264" i="7" s="1"/>
  <c r="Y262" i="7"/>
  <c r="Y264" i="7" s="1"/>
  <c r="AU27" i="8"/>
  <c r="K30" i="8"/>
  <c r="W30" i="8"/>
  <c r="AI30" i="8"/>
  <c r="E262" i="2"/>
  <c r="AH28" i="3"/>
  <c r="Z30" i="4" l="1"/>
  <c r="AF30" i="5"/>
  <c r="E36" i="1"/>
  <c r="AH30" i="3"/>
  <c r="E16" i="1"/>
  <c r="AG30" i="2"/>
  <c r="E259" i="1"/>
  <c r="E157" i="1"/>
  <c r="E163" i="1" s="1"/>
  <c r="AU163" i="8"/>
  <c r="E27" i="1"/>
  <c r="E235" i="1"/>
  <c r="E151" i="1"/>
  <c r="E115" i="1"/>
  <c r="E103" i="1"/>
  <c r="E55" i="1"/>
  <c r="AF30" i="6"/>
  <c r="E24" i="1"/>
  <c r="E29" i="1"/>
  <c r="E247" i="1"/>
  <c r="E223" i="1"/>
  <c r="E211" i="1"/>
  <c r="E199" i="1"/>
  <c r="E139" i="1"/>
  <c r="E91" i="1"/>
  <c r="AB30" i="7"/>
  <c r="AG262" i="2"/>
  <c r="E264" i="2"/>
  <c r="AG264" i="2" s="1"/>
  <c r="AF262" i="5"/>
  <c r="E264" i="5"/>
  <c r="AF264" i="5" s="1"/>
  <c r="E79" i="1"/>
  <c r="AU30" i="8"/>
  <c r="AF264" i="6"/>
  <c r="AF262" i="6"/>
  <c r="AU264" i="8"/>
  <c r="Z262" i="4"/>
  <c r="E264" i="4"/>
  <c r="Z264" i="4" s="1"/>
  <c r="AB262" i="7"/>
  <c r="E264" i="7"/>
  <c r="AB264" i="7" s="1"/>
  <c r="AU262" i="8"/>
  <c r="E187" i="1"/>
  <c r="E127" i="1"/>
  <c r="E67" i="1"/>
  <c r="E21" i="1"/>
  <c r="E28" i="1"/>
  <c r="AH262" i="3"/>
  <c r="E264" i="3"/>
  <c r="AH264" i="3" s="1"/>
  <c r="E30" i="1" l="1"/>
  <c r="E262" i="1"/>
  <c r="E264" i="1" s="1"/>
</calcChain>
</file>

<file path=xl/sharedStrings.xml><?xml version="1.0" encoding="utf-8"?>
<sst xmlns="http://schemas.openxmlformats.org/spreadsheetml/2006/main" count="2499" uniqueCount="247">
  <si>
    <t>Kecamatan</t>
  </si>
  <si>
    <t>BANGOREJO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</si>
  <si>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</si>
  <si>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</si>
  <si>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</si>
  <si>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</si>
  <si>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</si>
  <si>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</si>
  <si>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</si>
  <si>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</si>
  <si>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</si>
  <si>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</si>
  <si>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</si>
  <si>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</si>
  <si>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</si>
  <si>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</si>
  <si>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</si>
  <si>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</si>
  <si>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</si>
  <si>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</si>
  <si>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</si>
  <si>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</si>
  <si>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</si>
  <si>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</si>
  <si>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</si>
  <si>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</si>
  <si>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</si>
  <si>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</si>
  <si>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</si>
  <si>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</si>
  <si>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</si>
  <si>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</si>
  <si>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</si>
  <si>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</si>
  <si>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</si>
  <si>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</si>
  <si>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</si>
  <si>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</si>
  <si>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</si>
  <si>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</si>
  <si>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</si>
  <si>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</si>
  <si>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</si>
  <si>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</si>
  <si>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</si>
  <si>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</si>
  <si>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</si>
  <si>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</si>
  <si>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</si>
  <si>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</si>
  <si>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</si>
  <si>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</si>
  <si>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</si>
  <si>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</si>
  <si>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</si>
  <si>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</si>
  <si>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</si>
  <si>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</si>
  <si>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</si>
  <si>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</si>
  <si>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</si>
  <si>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</si>
  <si>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</si>
  <si>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</si>
  <si>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</si>
  <si>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</si>
  <si>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</si>
  <si>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</si>
  <si>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</si>
  <si>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</si>
  <si>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</si>
  <si>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</si>
  <si>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</si>
  <si>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</si>
  <si>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</si>
  <si>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</si>
  <si>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</si>
  <si>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</si>
  <si>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</si>
  <si>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</si>
  <si>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</si>
  <si>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</si>
  <si>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</si>
  <si>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</si>
  <si>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</si>
  <si>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</si>
  <si>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</si>
  <si>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</si>
  <si>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</si>
  <si>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</si>
  <si>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</si>
  <si>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</si>
  <si>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</si>
  <si>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</si>
  <si>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</si>
  <si>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</si>
  <si>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</si>
  <si>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</si>
  <si>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</si>
  <si>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</si>
  <si>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</si>
  <si>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</si>
  <si>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</si>
  <si>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</si>
  <si>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</si>
  <si>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</si>
  <si>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</si>
  <si>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</si>
  <si>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</si>
  <si>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</si>
  <si>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</si>
  <si>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</si>
  <si>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</si>
  <si>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</si>
  <si>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</si>
  <si>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</si>
  <si>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</si>
  <si>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</si>
  <si>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</si>
  <si>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</si>
  <si>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</si>
  <si>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</si>
  <si>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</si>
  <si>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</si>
  <si>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</si>
  <si>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</si>
  <si>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</si>
  <si>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</si>
  <si>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</si>
  <si>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</si>
  <si>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</si>
  <si>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</si>
  <si>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</si>
  <si>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</si>
  <si>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</si>
  <si>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</si>
  <si>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</si>
  <si>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</si>
  <si>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</si>
  <si>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</si>
  <si>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</si>
  <si>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</si>
  <si>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</si>
  <si>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</si>
  <si>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</si>
  <si>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</si>
  <si>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</si>
  <si>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</si>
  <si>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</si>
  <si>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</si>
  <si>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</si>
  <si>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</si>
  <si>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</si>
  <si>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</si>
  <si>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</si>
  <si>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</si>
  <si>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</si>
  <si>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</si>
  <si>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</si>
  <si>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</si>
  <si>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</si>
  <si>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</si>
  <si>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</si>
  <si>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</si>
  <si>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</si>
  <si>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</si>
  <si>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</si>
  <si>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</si>
  <si>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</si>
  <si>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</si>
  <si>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</si>
  <si>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</si>
  <si>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</si>
  <si>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</si>
  <si>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</si>
  <si>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</si>
  <si>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</si>
  <si>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</si>
  <si>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</si>
  <si>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</si>
  <si>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</si>
  <si>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</si>
  <si>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</si>
  <si>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</si>
  <si>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</si>
  <si>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</si>
  <si>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</si>
  <si>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</si>
  <si>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</si>
  <si>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</si>
  <si>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</si>
  <si>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</si>
  <si>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</si>
  <si>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</si>
  <si>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</si>
  <si>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</si>
  <si>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</si>
  <si>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</si>
  <si>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</si>
  <si>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</si>
  <si>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</si>
  <si>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</si>
  <si>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</si>
  <si>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</si>
  <si>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</si>
  <si>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</si>
  <si>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</si>
  <si>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</si>
  <si>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</si>
  <si>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</si>
  <si>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</si>
  <si>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</si>
  <si>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</si>
  <si>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</si>
  <si>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</si>
  <si>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</si>
  <si>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</si>
  <si>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</si>
  <si>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</si>
  <si>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</si>
  <si>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</si>
  <si>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</si>
  <si>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</si>
  <si>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</si>
  <si>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</si>
  <si>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</si>
  <si>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</si>
  <si>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KEBONDALEM</t>
  </si>
  <si>
    <t>TPS 029</t>
  </si>
  <si>
    <t>RINGINTELU</t>
  </si>
  <si>
    <t>SAMBIMULYO</t>
  </si>
  <si>
    <t>SAMBIREJO</t>
  </si>
  <si>
    <t>SUKOREJO</t>
  </si>
  <si>
    <t>TEMUREJO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</si>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</sst>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0"/>
      <color theme="1"/>
      <name val="Bookman Old Style"/>
    </font>
    <font>
      <sz val="10"/>
      <color theme="1"/>
      <name val="Arial"/>
    </font>
    <font>
      <sz val="10"/>
      <color theme="1"/>
      <name val="Bookman Old Style"/>
    </font>
    <font>
      <sz val="10"/>
      <color rgb="FF000000"/>
      <name val="Bookman Old Style"/>
    </font>
    <font>
      <sz val="10"/>
      <name val="Calibri"/>
    </font>
    <font>
      <sz val="10"/>
      <color theme="1"/>
      <name val="Cambria"/>
    </font>
    <font>
      <sz val="10"/>
      <color rgb="FF000000"/>
      <name val="Calibri"/>
    </font>
    <font>
      <b/>
      <sz val="10"/>
      <color rgb="FF000000"/>
      <name val="Bookman Old Styl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3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3" fontId="2" fillId="0" borderId="0" xfId="0" applyNumberFormat="1" applyFont="1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3" fontId="2" fillId="2" borderId="17" xfId="0" applyNumberFormat="1" applyFont="1" applyFill="1" applyBorder="1"/>
    <xf numFmtId="0" fontId="2" fillId="2" borderId="17" xfId="0" applyFont="1" applyFill="1" applyBorder="1"/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/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vertical="center" wrapText="1"/>
    </xf>
    <xf numFmtId="0" fontId="2" fillId="3" borderId="20" xfId="0" applyFont="1" applyFill="1" applyBorder="1"/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left" vertical="top" wrapText="1"/>
    </xf>
    <xf numFmtId="0" fontId="7" fillId="0" borderId="0" xfId="0" applyFont="1"/>
    <xf numFmtId="0" fontId="3" fillId="3" borderId="20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5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5" xfId="0" applyFont="1" applyBorder="1"/>
    <xf numFmtId="0" fontId="1" fillId="0" borderId="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5" fillId="0" borderId="8" xfId="0" applyFont="1" applyBorder="1"/>
    <xf numFmtId="0" fontId="0" fillId="0" borderId="0" xfId="0"/>
    <xf numFmtId="0" fontId="5" fillId="0" borderId="9" xfId="0" applyFont="1" applyBorder="1"/>
    <xf numFmtId="0" fontId="5" fillId="0" borderId="10" xfId="0" applyFont="1" applyBorder="1"/>
    <xf numFmtId="0" fontId="5" fillId="0" borderId="14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5" fillId="0" borderId="12" xfId="0" applyFont="1" applyBorder="1"/>
    <xf numFmtId="0" fontId="5" fillId="0" borderId="13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7" xfId="0" applyFont="1" applyBorder="1"/>
    <xf numFmtId="0" fontId="3" fillId="0" borderId="5" xfId="0" applyFont="1" applyBorder="1" applyAlignment="1">
      <alignment horizontal="left" vertical="center" wrapText="1"/>
    </xf>
    <xf numFmtId="0" fontId="5" fillId="0" borderId="6" xfId="0" applyFont="1" applyBorder="1"/>
    <xf numFmtId="0" fontId="1" fillId="0" borderId="2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wrapText="1"/>
    </xf>
  </cellXfs>
  <cellStyles count="1">
    <cellStyle name="Normal" xfId="0" builtinId="0"/>
  </cellStyles>
  <dxfs count="207"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5:Z1000"/>
  <sheetViews>
    <sheetView workbookViewId="0"/>
  </sheetViews>
  <sheetFormatPr defaultColWidth="14.3984375" defaultRowHeight="15" customHeight="1" x14ac:dyDescent="0.3"/>
  <cols>
    <col min="1" max="1" width="3.59765625" customWidth="1"/>
    <col min="2" max="2" width="4" customWidth="1"/>
    <col min="3" max="3" width="64.59765625" customWidth="1"/>
    <col min="4" max="4" width="6.59765625" customWidth="1"/>
    <col min="5" max="5" width="18.8984375" customWidth="1"/>
    <col min="6" max="7" width="10.09765625" customWidth="1"/>
    <col min="8" max="16" width="10.09765625" hidden="1" customWidth="1"/>
    <col min="17" max="25" width="8.69921875" hidden="1" customWidth="1"/>
    <col min="26" max="26" width="8.69921875" customWidth="1"/>
  </cols>
  <sheetData>
    <row r="5" spans="1:26" ht="15.75" customHeight="1" x14ac:dyDescent="0.3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3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13" t="s">
        <v>6</v>
      </c>
      <c r="B12" s="65" t="s">
        <v>7</v>
      </c>
      <c r="C12" s="61"/>
      <c r="D12" s="59"/>
      <c r="E12" s="79" t="s">
        <v>8</v>
      </c>
      <c r="F12" s="15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16" t="s">
        <v>9</v>
      </c>
      <c r="B13" s="72" t="s">
        <v>10</v>
      </c>
      <c r="C13" s="61"/>
      <c r="D13" s="59"/>
      <c r="E13" s="80"/>
      <c r="F13" s="15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15"/>
      <c r="B14" s="81" t="s">
        <v>11</v>
      </c>
      <c r="C14" s="67"/>
      <c r="D14" s="16" t="s">
        <v>12</v>
      </c>
      <c r="E14" s="17">
        <f>BANGOREJO!AG14+KEBONDALEM!AH14+RINGINTELU!Z14+SAMBIMULYO!AF14+SAMBIREJO!AF14+SUKOREJO!AB14+TEMUREJO!AU14</f>
        <v>26100</v>
      </c>
      <c r="F14" s="18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3">
      <c r="A15" s="15"/>
      <c r="B15" s="82"/>
      <c r="C15" s="69"/>
      <c r="D15" s="16" t="s">
        <v>13</v>
      </c>
      <c r="E15" s="17">
        <f>BANGOREJO!AG15+KEBONDALEM!AH15+RINGINTELU!Z15+SAMBIMULYO!AF15+SAMBIREJO!AF15+SUKOREJO!AB15+TEMUREJO!AU15</f>
        <v>25979</v>
      </c>
      <c r="F15" s="15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18"/>
      <c r="B16" s="80"/>
      <c r="C16" s="70"/>
      <c r="D16" s="13" t="s">
        <v>14</v>
      </c>
      <c r="E16" s="19">
        <f>SUM(E14:E15)</f>
        <v>52079</v>
      </c>
      <c r="F16" s="15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62"/>
      <c r="B17" s="61"/>
      <c r="C17" s="61"/>
      <c r="D17" s="59"/>
      <c r="E17" s="17"/>
      <c r="F17" s="18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3">
      <c r="A18" s="20" t="s">
        <v>15</v>
      </c>
      <c r="B18" s="72" t="s">
        <v>16</v>
      </c>
      <c r="C18" s="61"/>
      <c r="D18" s="59"/>
      <c r="E18" s="17"/>
      <c r="F18" s="15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20"/>
      <c r="B19" s="73" t="s">
        <v>17</v>
      </c>
      <c r="C19" s="74" t="s">
        <v>18</v>
      </c>
      <c r="D19" s="16" t="s">
        <v>12</v>
      </c>
      <c r="E19" s="17">
        <f>BANGOREJO!AG19+KEBONDALEM!AH19+RINGINTELU!Z19+SAMBIMULYO!AF19+SAMBIREJO!AF19+SUKOREJO!AB19+TEMUREJO!AU19</f>
        <v>19808</v>
      </c>
      <c r="F19" s="15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21"/>
      <c r="B20" s="69"/>
      <c r="C20" s="75"/>
      <c r="D20" s="16" t="s">
        <v>13</v>
      </c>
      <c r="E20" s="17">
        <f>BANGOREJO!AG20+KEBONDALEM!AH20+RINGINTELU!Z20+SAMBIMULYO!AF20+SAMBIREJO!AF20+SUKOREJO!AB20+TEMUREJO!AU20</f>
        <v>20559</v>
      </c>
      <c r="F20" s="18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3">
      <c r="A21" s="22"/>
      <c r="B21" s="70"/>
      <c r="C21" s="76"/>
      <c r="D21" s="13" t="s">
        <v>14</v>
      </c>
      <c r="E21" s="19">
        <f>SUM(E19:E20)</f>
        <v>40367</v>
      </c>
      <c r="F21" s="18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3">
      <c r="A22" s="21"/>
      <c r="B22" s="73" t="s">
        <v>19</v>
      </c>
      <c r="C22" s="74" t="s">
        <v>20</v>
      </c>
      <c r="D22" s="16" t="s">
        <v>12</v>
      </c>
      <c r="E22" s="17">
        <f>BANGOREJO!AG22+KEBONDALEM!AH22+RINGINTELU!Z22+SAMBIMULYO!AF22+SAMBIREJO!AF22+SUKOREJO!AB22+TEMUREJO!AU22</f>
        <v>15</v>
      </c>
      <c r="F22" s="18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3">
      <c r="A23" s="21"/>
      <c r="B23" s="69"/>
      <c r="C23" s="75"/>
      <c r="D23" s="16" t="s">
        <v>13</v>
      </c>
      <c r="E23" s="17">
        <f>BANGOREJO!AG23+KEBONDALEM!AH23+RINGINTELU!Z23+SAMBIMULYO!AF23+SAMBIREJO!AF23+SUKOREJO!AB23+TEMUREJO!AU23</f>
        <v>26</v>
      </c>
      <c r="F23" s="18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3">
      <c r="A24" s="22"/>
      <c r="B24" s="70"/>
      <c r="C24" s="76"/>
      <c r="D24" s="13" t="s">
        <v>14</v>
      </c>
      <c r="E24" s="19">
        <f>SUM(E22:E23)</f>
        <v>41</v>
      </c>
      <c r="F24" s="15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21"/>
      <c r="B25" s="73" t="s">
        <v>21</v>
      </c>
      <c r="C25" s="74" t="s">
        <v>22</v>
      </c>
      <c r="D25" s="16" t="s">
        <v>12</v>
      </c>
      <c r="E25" s="17">
        <f>BANGOREJO!AG25+KEBONDALEM!AH25+RINGINTELU!Z25+SAMBIMULYO!AF25+SAMBIREJO!AF25+SUKOREJO!AB25+TEMUREJO!AU25</f>
        <v>186</v>
      </c>
      <c r="F25" s="18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21"/>
      <c r="B26" s="69"/>
      <c r="C26" s="75"/>
      <c r="D26" s="16" t="s">
        <v>13</v>
      </c>
      <c r="E26" s="17">
        <f>BANGOREJO!AG26+KEBONDALEM!AH26+RINGINTELU!Z26+SAMBIMULYO!AF26+SAMBIREJO!AF26+SUKOREJO!AB26+TEMUREJO!AU26</f>
        <v>211</v>
      </c>
      <c r="F26" s="15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22"/>
      <c r="B27" s="70"/>
      <c r="C27" s="76"/>
      <c r="D27" s="13" t="s">
        <v>14</v>
      </c>
      <c r="E27" s="19">
        <f>SUM(E25:E26)</f>
        <v>397</v>
      </c>
      <c r="F27" s="18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22"/>
      <c r="B28" s="77" t="s">
        <v>23</v>
      </c>
      <c r="C28" s="78" t="s">
        <v>24</v>
      </c>
      <c r="D28" s="13" t="s">
        <v>12</v>
      </c>
      <c r="E28" s="19">
        <f t="shared" ref="E28:E29" si="0">E19+E22+E25</f>
        <v>20009</v>
      </c>
      <c r="F28" s="15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22"/>
      <c r="B29" s="69"/>
      <c r="C29" s="75"/>
      <c r="D29" s="13" t="s">
        <v>13</v>
      </c>
      <c r="E29" s="19">
        <f t="shared" si="0"/>
        <v>20796</v>
      </c>
      <c r="F29" s="18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22"/>
      <c r="B30" s="70"/>
      <c r="C30" s="76"/>
      <c r="D30" s="13" t="s">
        <v>14</v>
      </c>
      <c r="E30" s="19">
        <f>SUM(E28:E29)</f>
        <v>40805</v>
      </c>
      <c r="F30" s="23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62"/>
      <c r="B31" s="61"/>
      <c r="C31" s="61"/>
      <c r="D31" s="59"/>
      <c r="E31" s="24"/>
      <c r="F31" s="18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25" t="s">
        <v>25</v>
      </c>
      <c r="B32" s="65" t="s">
        <v>26</v>
      </c>
      <c r="C32" s="61"/>
      <c r="D32" s="59"/>
      <c r="E32" s="19"/>
      <c r="F32" s="15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16">
        <v>1</v>
      </c>
      <c r="B33" s="72" t="s">
        <v>27</v>
      </c>
      <c r="C33" s="61"/>
      <c r="D33" s="59"/>
      <c r="E33" s="17">
        <f>BANGOREJO!AG33+KEBONDALEM!AH33+RINGINTELU!Z33+SAMBIMULYO!AF33+SAMBIREJO!AF33+SUKOREJO!AB33+TEMUREJO!AU33</f>
        <v>53184</v>
      </c>
      <c r="F33" s="15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16">
        <v>2</v>
      </c>
      <c r="B34" s="72" t="s">
        <v>28</v>
      </c>
      <c r="C34" s="61"/>
      <c r="D34" s="59"/>
      <c r="E34" s="17">
        <f>BANGOREJO!AG34+KEBONDALEM!AH34+RINGINTELU!Z34+SAMBIMULYO!AF34+SAMBIREJO!AF34+SUKOREJO!AB34+TEMUREJO!AU34</f>
        <v>40789</v>
      </c>
      <c r="F34" s="18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16">
        <v>3</v>
      </c>
      <c r="B35" s="72" t="s">
        <v>29</v>
      </c>
      <c r="C35" s="61"/>
      <c r="D35" s="59"/>
      <c r="E35" s="17">
        <f>BANGOREJO!AG35+KEBONDALEM!AH35+RINGINTELU!Z35+SAMBIMULYO!AF35+SAMBIREJO!AF35+SUKOREJO!AB35+TEMUREJO!AU35</f>
        <v>163</v>
      </c>
      <c r="F35" s="23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16">
        <v>4</v>
      </c>
      <c r="B36" s="72" t="s">
        <v>30</v>
      </c>
      <c r="C36" s="61"/>
      <c r="D36" s="59"/>
      <c r="E36" s="19">
        <f>E33-(E34+E35)</f>
        <v>12232</v>
      </c>
      <c r="F36" s="18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62"/>
      <c r="B37" s="61"/>
      <c r="C37" s="61"/>
      <c r="D37" s="61"/>
      <c r="E37" s="61"/>
      <c r="F37" s="15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26" t="s">
        <v>31</v>
      </c>
      <c r="B38" s="65" t="s">
        <v>32</v>
      </c>
      <c r="C38" s="61"/>
      <c r="D38" s="59"/>
      <c r="E38" s="19"/>
      <c r="F38" s="15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20"/>
      <c r="B39" s="66" t="s">
        <v>33</v>
      </c>
      <c r="C39" s="67"/>
      <c r="D39" s="16" t="s">
        <v>12</v>
      </c>
      <c r="E39" s="17">
        <f>BANGOREJO!AG39+KEBONDALEM!AH39+RINGINTELU!Z39+SAMBIMULYO!AF39+SAMBIREJO!AF39+SUKOREJO!AB39+TEMUREJO!AU39</f>
        <v>33</v>
      </c>
      <c r="F39" s="15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21"/>
      <c r="B40" s="68"/>
      <c r="C40" s="69"/>
      <c r="D40" s="16" t="s">
        <v>13</v>
      </c>
      <c r="E40" s="17">
        <f>BANGOREJO!AG40+KEBONDALEM!AH40+RINGINTELU!Z40+SAMBIMULYO!AF40+SAMBIREJO!AF40+SUKOREJO!AB40+TEMUREJO!AU40</f>
        <v>38</v>
      </c>
      <c r="F40" s="15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25"/>
      <c r="B41" s="64"/>
      <c r="C41" s="70"/>
      <c r="D41" s="13" t="s">
        <v>14</v>
      </c>
      <c r="E41" s="19">
        <f>SUM(E39:E40)</f>
        <v>71</v>
      </c>
      <c r="F41" s="15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63"/>
      <c r="B42" s="64"/>
      <c r="C42" s="64"/>
      <c r="D42" s="70"/>
      <c r="E42" s="17"/>
      <c r="F42" s="15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26" t="s">
        <v>34</v>
      </c>
      <c r="B43" s="65" t="s">
        <v>35</v>
      </c>
      <c r="C43" s="61"/>
      <c r="D43" s="59"/>
      <c r="E43" s="19"/>
      <c r="F43" s="15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66" t="s">
        <v>36</v>
      </c>
      <c r="B44" s="71"/>
      <c r="C44" s="71"/>
      <c r="D44" s="67"/>
      <c r="E44" s="17"/>
      <c r="F44" s="15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20" t="s">
        <v>37</v>
      </c>
      <c r="B45" s="27" t="s">
        <v>17</v>
      </c>
      <c r="C45" s="58" t="s">
        <v>38</v>
      </c>
      <c r="D45" s="59"/>
      <c r="E45" s="17">
        <f>BANGOREJO!AG45+KEBONDALEM!AH45+RINGINTELU!Z45+SAMBIMULYO!AF45+SAMBIREJO!AF45+SUKOREJO!AB45+TEMUREJO!AU45</f>
        <v>986</v>
      </c>
      <c r="F45" s="18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20" t="s">
        <v>39</v>
      </c>
      <c r="B46" s="28"/>
      <c r="C46" s="29" t="s">
        <v>40</v>
      </c>
      <c r="D46" s="29"/>
      <c r="E46" s="17">
        <f>BANGOREJO!AG46+KEBONDALEM!AH46+RINGINTELU!Z46+SAMBIMULYO!AF46+SAMBIREJO!AF46+SUKOREJO!AB46+TEMUREJO!AU46</f>
        <v>2422</v>
      </c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2"/>
      <c r="Q46" s="3"/>
      <c r="R46" s="3"/>
      <c r="S46" s="3"/>
      <c r="T46" s="3"/>
      <c r="U46" s="3"/>
      <c r="V46" s="3"/>
      <c r="W46" s="33"/>
      <c r="X46" s="3"/>
      <c r="Y46" s="3"/>
      <c r="Z46" s="3"/>
    </row>
    <row r="47" spans="1:26" ht="15.75" customHeight="1" x14ac:dyDescent="0.3">
      <c r="A47" s="15"/>
      <c r="B47" s="34"/>
      <c r="C47" s="29" t="s">
        <v>41</v>
      </c>
      <c r="D47" s="29"/>
      <c r="E47" s="17">
        <f>BANGOREJO!AG47+KEBONDALEM!AH47+RINGINTELU!Z47+SAMBIMULYO!AF47+SAMBIREJO!AF47+SUKOREJO!AB47+TEMUREJO!AU47</f>
        <v>594</v>
      </c>
      <c r="F47" s="15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15"/>
      <c r="B48" s="34"/>
      <c r="C48" s="29" t="s">
        <v>42</v>
      </c>
      <c r="D48" s="29"/>
      <c r="E48" s="17">
        <f>BANGOREJO!AG48+KEBONDALEM!AH48+RINGINTELU!Z48+SAMBIMULYO!AF48+SAMBIREJO!AF48+SUKOREJO!AB48+TEMUREJO!AU48</f>
        <v>110</v>
      </c>
      <c r="F48" s="15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15"/>
      <c r="B49" s="34"/>
      <c r="C49" s="29" t="s">
        <v>43</v>
      </c>
      <c r="D49" s="29"/>
      <c r="E49" s="17">
        <f>BANGOREJO!AG49+KEBONDALEM!AH49+RINGINTELU!Z49+SAMBIMULYO!AF49+SAMBIREJO!AF49+SUKOREJO!AB49+TEMUREJO!AU49</f>
        <v>210</v>
      </c>
      <c r="F49" s="15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15"/>
      <c r="B50" s="34"/>
      <c r="C50" s="29" t="s">
        <v>44</v>
      </c>
      <c r="D50" s="29"/>
      <c r="E50" s="17">
        <f>BANGOREJO!AG50+KEBONDALEM!AH50+RINGINTELU!Z50+SAMBIMULYO!AF50+SAMBIREJO!AF50+SUKOREJO!AB50+TEMUREJO!AU50</f>
        <v>145</v>
      </c>
      <c r="F50" s="15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15"/>
      <c r="B51" s="34"/>
      <c r="C51" s="29" t="s">
        <v>45</v>
      </c>
      <c r="D51" s="29"/>
      <c r="E51" s="17">
        <f>BANGOREJO!AG51+KEBONDALEM!AH51+RINGINTELU!Z51+SAMBIMULYO!AF51+SAMBIREJO!AF51+SUKOREJO!AB51+TEMUREJO!AU51</f>
        <v>78</v>
      </c>
      <c r="F51" s="15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15"/>
      <c r="B52" s="34"/>
      <c r="C52" s="29" t="s">
        <v>46</v>
      </c>
      <c r="D52" s="29"/>
      <c r="E52" s="17">
        <f>BANGOREJO!AG52+KEBONDALEM!AH52+RINGINTELU!Z52+SAMBIMULYO!AF52+SAMBIREJO!AF52+SUKOREJO!AB52+TEMUREJO!AU52</f>
        <v>118</v>
      </c>
      <c r="F52" s="15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15"/>
      <c r="B53" s="34"/>
      <c r="C53" s="29" t="s">
        <v>47</v>
      </c>
      <c r="D53" s="29"/>
      <c r="E53" s="17">
        <f>BANGOREJO!AG53+KEBONDALEM!AH53+RINGINTELU!Z53+SAMBIMULYO!AF53+SAMBIREJO!AF53+SUKOREJO!AB53+TEMUREJO!AU53</f>
        <v>27</v>
      </c>
      <c r="F53" s="15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15"/>
      <c r="B54" s="34"/>
      <c r="C54" s="29" t="s">
        <v>48</v>
      </c>
      <c r="D54" s="29"/>
      <c r="E54" s="17">
        <f>BANGOREJO!AG54+KEBONDALEM!AH54+RINGINTELU!Z54+SAMBIMULYO!AF54+SAMBIREJO!AF54+SUKOREJO!AB54+TEMUREJO!AU54</f>
        <v>68</v>
      </c>
      <c r="F54" s="15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16" t="s">
        <v>15</v>
      </c>
      <c r="B55" s="60" t="s">
        <v>49</v>
      </c>
      <c r="C55" s="61"/>
      <c r="D55" s="59"/>
      <c r="E55" s="13">
        <f>SUM(E45:E52)</f>
        <v>4663</v>
      </c>
      <c r="F55" s="15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63"/>
      <c r="B56" s="64"/>
      <c r="C56" s="64"/>
      <c r="D56" s="64"/>
      <c r="E56" s="64"/>
      <c r="F56" s="15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20" t="s">
        <v>37</v>
      </c>
      <c r="B57" s="27" t="s">
        <v>19</v>
      </c>
      <c r="C57" s="58" t="s">
        <v>50</v>
      </c>
      <c r="D57" s="59"/>
      <c r="E57" s="17">
        <f>BANGOREJO!AG57+KEBONDALEM!AH57+RINGINTELU!Z57+SAMBIMULYO!AF57+SAMBIREJO!AF57+SUKOREJO!AB57+TEMUREJO!AU57</f>
        <v>1830</v>
      </c>
      <c r="F57" s="18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20" t="s">
        <v>39</v>
      </c>
      <c r="B58" s="34"/>
      <c r="C58" s="29" t="s">
        <v>51</v>
      </c>
      <c r="D58" s="35"/>
      <c r="E58" s="17">
        <f>BANGOREJO!AG58+KEBONDALEM!AH58+RINGINTELU!Z58+SAMBIMULYO!AF58+SAMBIREJO!AF58+SUKOREJO!AB58+TEMUREJO!AU58</f>
        <v>3362</v>
      </c>
      <c r="F58" s="30"/>
      <c r="G58" s="31"/>
      <c r="H58" s="31"/>
      <c r="I58" s="31"/>
      <c r="J58" s="31"/>
      <c r="K58" s="31"/>
      <c r="L58" s="31"/>
      <c r="M58" s="31"/>
      <c r="N58" s="31"/>
      <c r="O58" s="31"/>
      <c r="P58" s="32"/>
      <c r="Q58" s="3"/>
      <c r="R58" s="3"/>
      <c r="S58" s="3"/>
      <c r="T58" s="3"/>
      <c r="U58" s="3"/>
      <c r="V58" s="3"/>
      <c r="W58" s="33"/>
      <c r="X58" s="3"/>
      <c r="Y58" s="3"/>
      <c r="Z58" s="3"/>
    </row>
    <row r="59" spans="1:26" ht="15.75" customHeight="1" x14ac:dyDescent="0.3">
      <c r="A59" s="15"/>
      <c r="B59" s="34"/>
      <c r="C59" s="29" t="s">
        <v>52</v>
      </c>
      <c r="D59" s="35"/>
      <c r="E59" s="17">
        <f>BANGOREJO!AG59+KEBONDALEM!AH59+RINGINTELU!Z59+SAMBIMULYO!AF59+SAMBIREJO!AF59+SUKOREJO!AB59+TEMUREJO!AU59</f>
        <v>1521</v>
      </c>
      <c r="F59" s="15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15"/>
      <c r="B60" s="34"/>
      <c r="C60" s="29" t="s">
        <v>53</v>
      </c>
      <c r="D60" s="35"/>
      <c r="E60" s="17">
        <f>BANGOREJO!AG60+KEBONDALEM!AH60+RINGINTELU!Z60+SAMBIMULYO!AF60+SAMBIREJO!AF60+SUKOREJO!AB60+TEMUREJO!AU60</f>
        <v>351</v>
      </c>
      <c r="F60" s="15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15"/>
      <c r="B61" s="34"/>
      <c r="C61" s="29" t="s">
        <v>54</v>
      </c>
      <c r="D61" s="35"/>
      <c r="E61" s="17">
        <f>BANGOREJO!AG61+KEBONDALEM!AH61+RINGINTELU!Z61+SAMBIMULYO!AF61+SAMBIREJO!AF61+SUKOREJO!AB61+TEMUREJO!AU61</f>
        <v>2214</v>
      </c>
      <c r="F61" s="15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15"/>
      <c r="B62" s="34"/>
      <c r="C62" s="29" t="s">
        <v>55</v>
      </c>
      <c r="D62" s="35"/>
      <c r="E62" s="17">
        <f>BANGOREJO!AG62+KEBONDALEM!AH62+RINGINTELU!Z62+SAMBIMULYO!AF62+SAMBIREJO!AF62+SUKOREJO!AB62+TEMUREJO!AU62</f>
        <v>222</v>
      </c>
      <c r="F62" s="15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15"/>
      <c r="B63" s="34"/>
      <c r="C63" s="29" t="s">
        <v>56</v>
      </c>
      <c r="D63" s="36"/>
      <c r="E63" s="17">
        <f>BANGOREJO!AG63+KEBONDALEM!AH63+RINGINTELU!Z63+SAMBIMULYO!AF63+SAMBIREJO!AF63+SUKOREJO!AB63+TEMUREJO!AU63</f>
        <v>88</v>
      </c>
      <c r="F63" s="15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15"/>
      <c r="B64" s="34"/>
      <c r="C64" s="29" t="s">
        <v>57</v>
      </c>
      <c r="D64" s="35"/>
      <c r="E64" s="17">
        <f>BANGOREJO!AG64+KEBONDALEM!AH64+RINGINTELU!Z64+SAMBIMULYO!AF64+SAMBIREJO!AF64+SUKOREJO!AB64+TEMUREJO!AU64</f>
        <v>60</v>
      </c>
      <c r="F64" s="15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15"/>
      <c r="B65" s="34"/>
      <c r="C65" s="29" t="s">
        <v>58</v>
      </c>
      <c r="D65" s="35"/>
      <c r="E65" s="17">
        <f>BANGOREJO!AG65+KEBONDALEM!AH65+RINGINTELU!Z65+SAMBIMULYO!AF65+SAMBIREJO!AF65+SUKOREJO!AB65+TEMUREJO!AU65</f>
        <v>42</v>
      </c>
      <c r="F65" s="15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15"/>
      <c r="B66" s="34"/>
      <c r="C66" s="29" t="s">
        <v>59</v>
      </c>
      <c r="D66" s="35"/>
      <c r="E66" s="17">
        <f>BANGOREJO!AG66+KEBONDALEM!AH66+RINGINTELU!Z66+SAMBIMULYO!AF66+SAMBIREJO!AF66+SUKOREJO!AB66+TEMUREJO!AU66</f>
        <v>83</v>
      </c>
      <c r="F66" s="15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16" t="s">
        <v>15</v>
      </c>
      <c r="B67" s="60" t="s">
        <v>49</v>
      </c>
      <c r="C67" s="61"/>
      <c r="D67" s="59"/>
      <c r="E67" s="13">
        <f>SUM(E57:E64)</f>
        <v>9648</v>
      </c>
      <c r="F67" s="15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63"/>
      <c r="B68" s="64"/>
      <c r="C68" s="64"/>
      <c r="D68" s="64"/>
      <c r="E68" s="64"/>
      <c r="F68" s="15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20" t="s">
        <v>37</v>
      </c>
      <c r="B69" s="27" t="s">
        <v>21</v>
      </c>
      <c r="C69" s="58" t="s">
        <v>60</v>
      </c>
      <c r="D69" s="59"/>
      <c r="E69" s="17">
        <f>BANGOREJO!AG69+KEBONDALEM!AH69+RINGINTELU!Z69+SAMBIMULYO!AF69+SAMBIREJO!AF69+SUKOREJO!AB69+TEMUREJO!AU69</f>
        <v>1914</v>
      </c>
      <c r="F69" s="18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20" t="s">
        <v>39</v>
      </c>
      <c r="B70" s="34"/>
      <c r="C70" s="29" t="s">
        <v>61</v>
      </c>
      <c r="D70" s="36"/>
      <c r="E70" s="17">
        <f>BANGOREJO!AG70+KEBONDALEM!AH70+RINGINTELU!Z70+SAMBIMULYO!AF70+SAMBIREJO!AF70+SUKOREJO!AB70+TEMUREJO!AU70</f>
        <v>1141</v>
      </c>
      <c r="F70" s="30"/>
      <c r="G70" s="31"/>
      <c r="H70" s="31"/>
      <c r="I70" s="31"/>
      <c r="J70" s="31"/>
      <c r="K70" s="31"/>
      <c r="L70" s="31"/>
      <c r="M70" s="31"/>
      <c r="N70" s="31"/>
      <c r="O70" s="31"/>
      <c r="P70" s="32"/>
      <c r="Q70" s="3"/>
      <c r="R70" s="3"/>
      <c r="S70" s="3"/>
      <c r="T70" s="3"/>
      <c r="U70" s="3"/>
      <c r="V70" s="3"/>
      <c r="W70" s="33"/>
      <c r="X70" s="3"/>
      <c r="Y70" s="3"/>
      <c r="Z70" s="3"/>
    </row>
    <row r="71" spans="1:26" ht="15.75" customHeight="1" x14ac:dyDescent="0.3">
      <c r="A71" s="15"/>
      <c r="B71" s="34"/>
      <c r="C71" s="29" t="s">
        <v>62</v>
      </c>
      <c r="D71" s="36"/>
      <c r="E71" s="17">
        <f>BANGOREJO!AG71+KEBONDALEM!AH71+RINGINTELU!Z71+SAMBIMULYO!AF71+SAMBIREJO!AF71+SUKOREJO!AB71+TEMUREJO!AU71</f>
        <v>1307</v>
      </c>
      <c r="F71" s="15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15"/>
      <c r="B72" s="34"/>
      <c r="C72" s="29" t="s">
        <v>63</v>
      </c>
      <c r="D72" s="36"/>
      <c r="E72" s="17">
        <f>BANGOREJO!AG72+KEBONDALEM!AH72+RINGINTELU!Z72+SAMBIMULYO!AF72+SAMBIREJO!AF72+SUKOREJO!AB72+TEMUREJO!AU72</f>
        <v>602</v>
      </c>
      <c r="F72" s="15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15"/>
      <c r="B73" s="34"/>
      <c r="C73" s="29" t="s">
        <v>64</v>
      </c>
      <c r="D73" s="36"/>
      <c r="E73" s="17">
        <f>BANGOREJO!AG73+KEBONDALEM!AH73+RINGINTELU!Z73+SAMBIMULYO!AF73+SAMBIREJO!AF73+SUKOREJO!AB73+TEMUREJO!AU73</f>
        <v>1728</v>
      </c>
      <c r="F73" s="15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15"/>
      <c r="B74" s="34"/>
      <c r="C74" s="29" t="s">
        <v>65</v>
      </c>
      <c r="D74" s="36"/>
      <c r="E74" s="17">
        <f>BANGOREJO!AG74+KEBONDALEM!AH74+RINGINTELU!Z74+SAMBIMULYO!AF74+SAMBIREJO!AF74+SUKOREJO!AB74+TEMUREJO!AU74</f>
        <v>436</v>
      </c>
      <c r="F74" s="15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15"/>
      <c r="B75" s="34"/>
      <c r="C75" s="29" t="s">
        <v>66</v>
      </c>
      <c r="D75" s="36"/>
      <c r="E75" s="17">
        <f>BANGOREJO!AG75+KEBONDALEM!AH75+RINGINTELU!Z75+SAMBIMULYO!AF75+SAMBIREJO!AF75+SUKOREJO!AB75+TEMUREJO!AU75</f>
        <v>231</v>
      </c>
      <c r="F75" s="15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15"/>
      <c r="B76" s="34"/>
      <c r="C76" s="29" t="s">
        <v>67</v>
      </c>
      <c r="D76" s="36"/>
      <c r="E76" s="17">
        <f>BANGOREJO!AG76+KEBONDALEM!AH76+RINGINTELU!Z76+SAMBIMULYO!AF76+SAMBIREJO!AF76+SUKOREJO!AB76+TEMUREJO!AU76</f>
        <v>233</v>
      </c>
      <c r="F76" s="15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15"/>
      <c r="B77" s="34"/>
      <c r="C77" s="29" t="s">
        <v>68</v>
      </c>
      <c r="D77" s="36"/>
      <c r="E77" s="17">
        <f>BANGOREJO!AG77+KEBONDALEM!AH77+RINGINTELU!Z77+SAMBIMULYO!AF77+SAMBIREJO!AF77+SUKOREJO!AB77+TEMUREJO!AU77</f>
        <v>147</v>
      </c>
      <c r="F77" s="15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15"/>
      <c r="B78" s="34"/>
      <c r="C78" s="29" t="s">
        <v>69</v>
      </c>
      <c r="D78" s="36"/>
      <c r="E78" s="17">
        <f>BANGOREJO!AG78+KEBONDALEM!AH78+RINGINTELU!Z78+SAMBIMULYO!AF78+SAMBIREJO!AF78+SUKOREJO!AB78+TEMUREJO!AU78</f>
        <v>308</v>
      </c>
      <c r="F78" s="15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16" t="s">
        <v>15</v>
      </c>
      <c r="B79" s="60" t="s">
        <v>49</v>
      </c>
      <c r="C79" s="61"/>
      <c r="D79" s="59"/>
      <c r="E79" s="13">
        <f>SUM(E69:E76)</f>
        <v>7592</v>
      </c>
      <c r="F79" s="15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63"/>
      <c r="B80" s="64"/>
      <c r="C80" s="64"/>
      <c r="D80" s="64"/>
      <c r="E80" s="64"/>
      <c r="F80" s="15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20" t="s">
        <v>37</v>
      </c>
      <c r="B81" s="27" t="s">
        <v>23</v>
      </c>
      <c r="C81" s="58" t="s">
        <v>70</v>
      </c>
      <c r="D81" s="59"/>
      <c r="E81" s="17">
        <f>BANGOREJO!AG81+KEBONDALEM!AH81+RINGINTELU!Z81+SAMBIMULYO!AF81+SAMBIREJO!AF81+SUKOREJO!AB81+TEMUREJO!AU81</f>
        <v>906</v>
      </c>
      <c r="F81" s="18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20" t="s">
        <v>39</v>
      </c>
      <c r="B82" s="34"/>
      <c r="C82" s="29" t="s">
        <v>71</v>
      </c>
      <c r="D82" s="36"/>
      <c r="E82" s="17">
        <f>BANGOREJO!AG82+KEBONDALEM!AH82+RINGINTELU!Z82+SAMBIMULYO!AF82+SAMBIREJO!AF82+SUKOREJO!AB82+TEMUREJO!AU82</f>
        <v>2164</v>
      </c>
      <c r="F82" s="30"/>
      <c r="G82" s="31"/>
      <c r="H82" s="31"/>
      <c r="I82" s="31"/>
      <c r="J82" s="31"/>
      <c r="K82" s="31"/>
      <c r="L82" s="31"/>
      <c r="M82" s="31"/>
      <c r="N82" s="31"/>
      <c r="O82" s="31"/>
      <c r="P82" s="32"/>
      <c r="Q82" s="3"/>
      <c r="R82" s="3"/>
      <c r="S82" s="3"/>
      <c r="T82" s="3"/>
      <c r="U82" s="3"/>
      <c r="V82" s="3"/>
      <c r="W82" s="33"/>
      <c r="X82" s="3"/>
      <c r="Y82" s="3"/>
      <c r="Z82" s="3"/>
    </row>
    <row r="83" spans="1:26" ht="15.75" customHeight="1" x14ac:dyDescent="0.3">
      <c r="A83" s="15"/>
      <c r="B83" s="34"/>
      <c r="C83" s="29" t="s">
        <v>72</v>
      </c>
      <c r="D83" s="36"/>
      <c r="E83" s="17">
        <f>BANGOREJO!AG83+KEBONDALEM!AH83+RINGINTELU!Z83+SAMBIMULYO!AF83+SAMBIREJO!AF83+SUKOREJO!AB83+TEMUREJO!AU83</f>
        <v>241</v>
      </c>
      <c r="F83" s="15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15"/>
      <c r="B84" s="34"/>
      <c r="C84" s="29" t="s">
        <v>73</v>
      </c>
      <c r="D84" s="36"/>
      <c r="E84" s="17">
        <f>BANGOREJO!AG84+KEBONDALEM!AH84+RINGINTELU!Z84+SAMBIMULYO!AF84+SAMBIREJO!AF84+SUKOREJO!AB84+TEMUREJO!AU84</f>
        <v>119</v>
      </c>
      <c r="F84" s="15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15"/>
      <c r="B85" s="34"/>
      <c r="C85" s="29" t="s">
        <v>74</v>
      </c>
      <c r="D85" s="36"/>
      <c r="E85" s="17">
        <f>BANGOREJO!AG85+KEBONDALEM!AH85+RINGINTELU!Z85+SAMBIMULYO!AF85+SAMBIREJO!AF85+SUKOREJO!AB85+TEMUREJO!AU85</f>
        <v>240</v>
      </c>
      <c r="F85" s="15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15"/>
      <c r="B86" s="34"/>
      <c r="C86" s="29" t="s">
        <v>75</v>
      </c>
      <c r="D86" s="36"/>
      <c r="E86" s="17">
        <f>BANGOREJO!AG86+KEBONDALEM!AH86+RINGINTELU!Z86+SAMBIMULYO!AF86+SAMBIREJO!AF86+SUKOREJO!AB86+TEMUREJO!AU86</f>
        <v>156</v>
      </c>
      <c r="F86" s="15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15"/>
      <c r="B87" s="34"/>
      <c r="C87" s="29" t="s">
        <v>76</v>
      </c>
      <c r="D87" s="36"/>
      <c r="E87" s="17">
        <f>BANGOREJO!AG87+KEBONDALEM!AH87+RINGINTELU!Z87+SAMBIMULYO!AF87+SAMBIREJO!AF87+SUKOREJO!AB87+TEMUREJO!AU87</f>
        <v>37</v>
      </c>
      <c r="F87" s="15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15"/>
      <c r="B88" s="34"/>
      <c r="C88" s="29" t="s">
        <v>77</v>
      </c>
      <c r="D88" s="36"/>
      <c r="E88" s="17">
        <f>BANGOREJO!AG88+KEBONDALEM!AH88+RINGINTELU!Z88+SAMBIMULYO!AF88+SAMBIREJO!AF88+SUKOREJO!AB88+TEMUREJO!AU88</f>
        <v>34</v>
      </c>
      <c r="F88" s="15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15"/>
      <c r="B89" s="34"/>
      <c r="C89" s="29" t="s">
        <v>78</v>
      </c>
      <c r="D89" s="36"/>
      <c r="E89" s="17">
        <f>BANGOREJO!AG89+KEBONDALEM!AH89+RINGINTELU!Z89+SAMBIMULYO!AF89+SAMBIREJO!AF89+SUKOREJO!AB89+TEMUREJO!AU89</f>
        <v>18</v>
      </c>
      <c r="F89" s="15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15"/>
      <c r="B90" s="34"/>
      <c r="C90" s="29" t="s">
        <v>79</v>
      </c>
      <c r="D90" s="36"/>
      <c r="E90" s="17">
        <f>BANGOREJO!AG90+KEBONDALEM!AH90+RINGINTELU!Z90+SAMBIMULYO!AF90+SAMBIREJO!AF90+SUKOREJO!AB90+TEMUREJO!AU90</f>
        <v>44</v>
      </c>
      <c r="F90" s="15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16" t="s">
        <v>15</v>
      </c>
      <c r="B91" s="60" t="s">
        <v>49</v>
      </c>
      <c r="C91" s="61"/>
      <c r="D91" s="59"/>
      <c r="E91" s="13">
        <f>SUM(E81:E88)</f>
        <v>3897</v>
      </c>
      <c r="F91" s="15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63"/>
      <c r="B92" s="64"/>
      <c r="C92" s="64"/>
      <c r="D92" s="64"/>
      <c r="E92" s="64"/>
      <c r="F92" s="15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20" t="s">
        <v>37</v>
      </c>
      <c r="B93" s="27" t="s">
        <v>80</v>
      </c>
      <c r="C93" s="58" t="s">
        <v>81</v>
      </c>
      <c r="D93" s="59"/>
      <c r="E93" s="17">
        <f>BANGOREJO!AG93+KEBONDALEM!AH93+RINGINTELU!Z93+SAMBIMULYO!AF93+SAMBIREJO!AF93+SUKOREJO!AB93+TEMUREJO!AU93</f>
        <v>574</v>
      </c>
      <c r="F93" s="18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20" t="s">
        <v>39</v>
      </c>
      <c r="B94" s="34"/>
      <c r="C94" s="29" t="s">
        <v>82</v>
      </c>
      <c r="D94" s="36"/>
      <c r="E94" s="17">
        <f>BANGOREJO!AG94+KEBONDALEM!AH94+RINGINTELU!Z94+SAMBIMULYO!AF94+SAMBIREJO!AF94+SUKOREJO!AB94+TEMUREJO!AU94</f>
        <v>416</v>
      </c>
      <c r="F94" s="30"/>
      <c r="G94" s="31"/>
      <c r="H94" s="31"/>
      <c r="I94" s="31"/>
      <c r="J94" s="31"/>
      <c r="K94" s="31"/>
      <c r="L94" s="31"/>
      <c r="M94" s="31"/>
      <c r="N94" s="31"/>
      <c r="O94" s="31"/>
      <c r="P94" s="32"/>
      <c r="Q94" s="3"/>
      <c r="R94" s="3"/>
      <c r="S94" s="3"/>
      <c r="T94" s="3"/>
      <c r="U94" s="3"/>
      <c r="V94" s="3"/>
      <c r="W94" s="33"/>
      <c r="X94" s="3"/>
      <c r="Y94" s="3"/>
      <c r="Z94" s="3"/>
    </row>
    <row r="95" spans="1:26" ht="15.75" customHeight="1" x14ac:dyDescent="0.3">
      <c r="A95" s="15"/>
      <c r="B95" s="34"/>
      <c r="C95" s="29" t="s">
        <v>83</v>
      </c>
      <c r="D95" s="36"/>
      <c r="E95" s="17">
        <f>BANGOREJO!AG95+KEBONDALEM!AH95+RINGINTELU!Z95+SAMBIMULYO!AF95+SAMBIREJO!AF95+SUKOREJO!AB95+TEMUREJO!AU95</f>
        <v>91</v>
      </c>
      <c r="F95" s="15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15"/>
      <c r="B96" s="34"/>
      <c r="C96" s="29" t="s">
        <v>84</v>
      </c>
      <c r="D96" s="36"/>
      <c r="E96" s="17">
        <f>BANGOREJO!AG96+KEBONDALEM!AH96+RINGINTELU!Z96+SAMBIMULYO!AF96+SAMBIREJO!AF96+SUKOREJO!AB96+TEMUREJO!AU96</f>
        <v>63</v>
      </c>
      <c r="F96" s="15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15"/>
      <c r="B97" s="34"/>
      <c r="C97" s="29" t="s">
        <v>85</v>
      </c>
      <c r="D97" s="36"/>
      <c r="E97" s="17">
        <f>BANGOREJO!AG97+KEBONDALEM!AH97+RINGINTELU!Z97+SAMBIMULYO!AF97+SAMBIREJO!AF97+SUKOREJO!AB97+TEMUREJO!AU97</f>
        <v>112</v>
      </c>
      <c r="F97" s="15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15"/>
      <c r="B98" s="34"/>
      <c r="C98" s="29" t="s">
        <v>86</v>
      </c>
      <c r="D98" s="36"/>
      <c r="E98" s="17">
        <f>BANGOREJO!AG98+KEBONDALEM!AH98+RINGINTELU!Z98+SAMBIMULYO!AF98+SAMBIREJO!AF98+SUKOREJO!AB98+TEMUREJO!AU98</f>
        <v>147</v>
      </c>
      <c r="F98" s="15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15"/>
      <c r="B99" s="34"/>
      <c r="C99" s="29" t="s">
        <v>87</v>
      </c>
      <c r="D99" s="36"/>
      <c r="E99" s="17">
        <f>BANGOREJO!AG99+KEBONDALEM!AH99+RINGINTELU!Z99+SAMBIMULYO!AF99+SAMBIREJO!AF99+SUKOREJO!AB99+TEMUREJO!AU99</f>
        <v>32</v>
      </c>
      <c r="F99" s="15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15"/>
      <c r="B100" s="34"/>
      <c r="C100" s="29" t="s">
        <v>88</v>
      </c>
      <c r="D100" s="36"/>
      <c r="E100" s="17">
        <f>BANGOREJO!AG100+KEBONDALEM!AH100+RINGINTELU!Z100+SAMBIMULYO!AF100+SAMBIREJO!AF100+SUKOREJO!AB100+TEMUREJO!AU100</f>
        <v>18</v>
      </c>
      <c r="F100" s="15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15"/>
      <c r="B101" s="34"/>
      <c r="C101" s="29" t="s">
        <v>89</v>
      </c>
      <c r="D101" s="36"/>
      <c r="E101" s="17">
        <f>BANGOREJO!AG101+KEBONDALEM!AH101+RINGINTELU!Z101+SAMBIMULYO!AF101+SAMBIREJO!AF101+SUKOREJO!AB101+TEMUREJO!AU101</f>
        <v>12</v>
      </c>
      <c r="F101" s="15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15"/>
      <c r="B102" s="34"/>
      <c r="C102" s="29" t="s">
        <v>90</v>
      </c>
      <c r="D102" s="36"/>
      <c r="E102" s="17">
        <f>BANGOREJO!AG102+KEBONDALEM!AH102+RINGINTELU!Z102+SAMBIMULYO!AF102+SAMBIREJO!AF102+SUKOREJO!AB102+TEMUREJO!AU102</f>
        <v>9</v>
      </c>
      <c r="F102" s="15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16" t="s">
        <v>15</v>
      </c>
      <c r="B103" s="60" t="s">
        <v>49</v>
      </c>
      <c r="C103" s="61"/>
      <c r="D103" s="59"/>
      <c r="E103" s="13">
        <f>SUM(E93:E100)</f>
        <v>1453</v>
      </c>
      <c r="F103" s="15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63"/>
      <c r="B104" s="64"/>
      <c r="C104" s="64"/>
      <c r="D104" s="64"/>
      <c r="E104" s="64"/>
      <c r="F104" s="15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20" t="s">
        <v>37</v>
      </c>
      <c r="B105" s="27" t="s">
        <v>91</v>
      </c>
      <c r="C105" s="58" t="s">
        <v>92</v>
      </c>
      <c r="D105" s="59"/>
      <c r="E105" s="17">
        <f>BANGOREJO!AG105+KEBONDALEM!AH105+RINGINTELU!Z105+SAMBIMULYO!AF105+SAMBIREJO!AF105+SUKOREJO!AB105+TEMUREJO!AU105</f>
        <v>50</v>
      </c>
      <c r="F105" s="18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20" t="s">
        <v>39</v>
      </c>
      <c r="B106" s="34"/>
      <c r="C106" s="29" t="s">
        <v>93</v>
      </c>
      <c r="D106" s="36"/>
      <c r="E106" s="17">
        <f>BANGOREJO!AG106+KEBONDALEM!AH106+RINGINTELU!Z106+SAMBIMULYO!AF106+SAMBIREJO!AF106+SUKOREJO!AB106+TEMUREJO!AU106</f>
        <v>48</v>
      </c>
      <c r="F106" s="30"/>
      <c r="G106" s="31"/>
      <c r="H106" s="31"/>
      <c r="I106" s="31"/>
      <c r="J106" s="31"/>
      <c r="K106" s="31"/>
      <c r="L106" s="31"/>
      <c r="M106" s="31"/>
      <c r="N106" s="31"/>
      <c r="O106" s="31"/>
      <c r="P106" s="32"/>
      <c r="Q106" s="3"/>
      <c r="R106" s="3"/>
      <c r="S106" s="3"/>
      <c r="T106" s="3"/>
      <c r="U106" s="3"/>
      <c r="V106" s="3"/>
      <c r="W106" s="33"/>
      <c r="X106" s="3"/>
      <c r="Y106" s="3"/>
      <c r="Z106" s="3"/>
    </row>
    <row r="107" spans="1:26" ht="15.75" customHeight="1" x14ac:dyDescent="0.3">
      <c r="A107" s="15"/>
      <c r="B107" s="34"/>
      <c r="C107" s="29" t="s">
        <v>94</v>
      </c>
      <c r="D107" s="36"/>
      <c r="E107" s="17">
        <f>BANGOREJO!AG107+KEBONDALEM!AH107+RINGINTELU!Z107+SAMBIMULYO!AF107+SAMBIREJO!AF107+SUKOREJO!AB107+TEMUREJO!AU107</f>
        <v>34</v>
      </c>
      <c r="F107" s="15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15"/>
      <c r="B108" s="37"/>
      <c r="C108" s="38"/>
      <c r="D108" s="39"/>
      <c r="E108" s="40"/>
      <c r="F108" s="15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15"/>
      <c r="B109" s="37"/>
      <c r="C109" s="38"/>
      <c r="D109" s="39"/>
      <c r="E109" s="40"/>
      <c r="F109" s="15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15"/>
      <c r="B110" s="37"/>
      <c r="C110" s="38"/>
      <c r="D110" s="39"/>
      <c r="E110" s="40"/>
      <c r="F110" s="15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15"/>
      <c r="B111" s="37"/>
      <c r="C111" s="38"/>
      <c r="D111" s="39"/>
      <c r="E111" s="40"/>
      <c r="F111" s="15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15"/>
      <c r="B112" s="37"/>
      <c r="C112" s="38"/>
      <c r="D112" s="39"/>
      <c r="E112" s="40"/>
      <c r="F112" s="18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15"/>
      <c r="B113" s="37"/>
      <c r="C113" s="38"/>
      <c r="D113" s="39"/>
      <c r="E113" s="40"/>
      <c r="F113" s="18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15"/>
      <c r="B114" s="37"/>
      <c r="C114" s="38"/>
      <c r="D114" s="39"/>
      <c r="E114" s="40"/>
      <c r="F114" s="18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16" t="s">
        <v>15</v>
      </c>
      <c r="B115" s="60" t="s">
        <v>49</v>
      </c>
      <c r="C115" s="61"/>
      <c r="D115" s="59"/>
      <c r="E115" s="13">
        <f>SUM(E105:E112)</f>
        <v>132</v>
      </c>
      <c r="F115" s="30"/>
      <c r="G115" s="31"/>
      <c r="H115" s="31"/>
      <c r="I115" s="31"/>
      <c r="J115" s="31"/>
      <c r="K115" s="31"/>
      <c r="L115" s="31"/>
      <c r="M115" s="31"/>
      <c r="N115" s="31"/>
      <c r="O115" s="31"/>
      <c r="P115" s="32"/>
      <c r="Q115" s="3"/>
      <c r="R115" s="3"/>
      <c r="S115" s="3"/>
      <c r="T115" s="3"/>
      <c r="U115" s="3"/>
      <c r="V115" s="3"/>
      <c r="W115" s="33"/>
      <c r="X115" s="3"/>
      <c r="Y115" s="3"/>
      <c r="Z115" s="3"/>
    </row>
    <row r="116" spans="1:26" ht="15.75" customHeight="1" x14ac:dyDescent="0.3">
      <c r="A116" s="62"/>
      <c r="B116" s="61"/>
      <c r="C116" s="61"/>
      <c r="D116" s="61"/>
      <c r="E116" s="59"/>
      <c r="F116" s="15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20" t="s">
        <v>37</v>
      </c>
      <c r="B117" s="27" t="s">
        <v>95</v>
      </c>
      <c r="C117" s="58" t="s">
        <v>96</v>
      </c>
      <c r="D117" s="59"/>
      <c r="E117" s="17">
        <f>BANGOREJO!AG117+KEBONDALEM!AH117+RINGINTELU!Z117+SAMBIMULYO!AF117+SAMBIREJO!AF117+SUKOREJO!AB117+TEMUREJO!AU117</f>
        <v>223</v>
      </c>
      <c r="F117" s="15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20" t="s">
        <v>39</v>
      </c>
      <c r="B118" s="34"/>
      <c r="C118" s="29" t="s">
        <v>97</v>
      </c>
      <c r="D118" s="36"/>
      <c r="E118" s="17">
        <f>BANGOREJO!AG118+KEBONDALEM!AH118+RINGINTELU!Z118+SAMBIMULYO!AF118+SAMBIREJO!AF118+SUKOREJO!AB118+TEMUREJO!AU118</f>
        <v>56</v>
      </c>
      <c r="F118" s="15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15"/>
      <c r="B119" s="34"/>
      <c r="C119" s="29" t="s">
        <v>98</v>
      </c>
      <c r="D119" s="36"/>
      <c r="E119" s="17">
        <f>BANGOREJO!AG119+KEBONDALEM!AH119+RINGINTELU!Z119+SAMBIMULYO!AF119+SAMBIREJO!AF119+SUKOREJO!AB119+TEMUREJO!AU119</f>
        <v>27</v>
      </c>
      <c r="F119" s="15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15"/>
      <c r="B120" s="34"/>
      <c r="C120" s="29" t="s">
        <v>99</v>
      </c>
      <c r="D120" s="36"/>
      <c r="E120" s="17">
        <f>BANGOREJO!AG120+KEBONDALEM!AH120+RINGINTELU!Z120+SAMBIMULYO!AF120+SAMBIREJO!AF120+SUKOREJO!AB120+TEMUREJO!AU120</f>
        <v>28</v>
      </c>
      <c r="F120" s="15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15"/>
      <c r="B121" s="34"/>
      <c r="C121" s="29" t="s">
        <v>100</v>
      </c>
      <c r="D121" s="36"/>
      <c r="E121" s="17">
        <f>BANGOREJO!AG121+KEBONDALEM!AH121+RINGINTELU!Z121+SAMBIMULYO!AF121+SAMBIREJO!AF121+SUKOREJO!AB121+TEMUREJO!AU121</f>
        <v>8</v>
      </c>
      <c r="F121" s="15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15"/>
      <c r="B122" s="34"/>
      <c r="C122" s="29" t="s">
        <v>101</v>
      </c>
      <c r="D122" s="36"/>
      <c r="E122" s="17">
        <f>BANGOREJO!AG122+KEBONDALEM!AH122+RINGINTELU!Z122+SAMBIMULYO!AF122+SAMBIREJO!AF122+SUKOREJO!AB122+TEMUREJO!AU122</f>
        <v>7</v>
      </c>
      <c r="F122" s="15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15"/>
      <c r="B123" s="37"/>
      <c r="C123" s="38"/>
      <c r="D123" s="39"/>
      <c r="E123" s="41"/>
      <c r="F123" s="15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15"/>
      <c r="B124" s="37"/>
      <c r="C124" s="38"/>
      <c r="D124" s="39"/>
      <c r="E124" s="41"/>
      <c r="F124" s="15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15"/>
      <c r="B125" s="37"/>
      <c r="C125" s="38"/>
      <c r="D125" s="39"/>
      <c r="E125" s="41"/>
      <c r="F125" s="15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15"/>
      <c r="B126" s="37"/>
      <c r="C126" s="38"/>
      <c r="D126" s="39"/>
      <c r="E126" s="41"/>
      <c r="F126" s="15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16" t="s">
        <v>15</v>
      </c>
      <c r="B127" s="60" t="s">
        <v>49</v>
      </c>
      <c r="C127" s="61"/>
      <c r="D127" s="59"/>
      <c r="E127" s="42">
        <f>SUM(E117:E120)</f>
        <v>334</v>
      </c>
      <c r="F127" s="15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62"/>
      <c r="B128" s="61"/>
      <c r="C128" s="61"/>
      <c r="D128" s="61"/>
      <c r="E128" s="59"/>
      <c r="F128" s="15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20" t="s">
        <v>37</v>
      </c>
      <c r="B129" s="27" t="s">
        <v>102</v>
      </c>
      <c r="C129" s="58" t="s">
        <v>103</v>
      </c>
      <c r="D129" s="59"/>
      <c r="E129" s="17">
        <f>BANGOREJO!AG129+KEBONDALEM!AH129+RINGINTELU!Z129+SAMBIMULYO!AF129+SAMBIREJO!AF129+SUKOREJO!AB129+TEMUREJO!AU129</f>
        <v>90</v>
      </c>
      <c r="F129" s="18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20" t="s">
        <v>39</v>
      </c>
      <c r="B130" s="34"/>
      <c r="C130" s="29" t="s">
        <v>104</v>
      </c>
      <c r="D130" s="35"/>
      <c r="E130" s="17">
        <f>BANGOREJO!AG130+KEBONDALEM!AH130+RINGINTELU!Z130+SAMBIMULYO!AF130+SAMBIREJO!AF130+SUKOREJO!AB130+TEMUREJO!AU130</f>
        <v>186</v>
      </c>
      <c r="F130" s="30"/>
      <c r="G130" s="31"/>
      <c r="H130" s="31"/>
      <c r="I130" s="31"/>
      <c r="J130" s="31"/>
      <c r="K130" s="31"/>
      <c r="L130" s="31"/>
      <c r="M130" s="31"/>
      <c r="N130" s="31"/>
      <c r="O130" s="31"/>
      <c r="P130" s="32"/>
      <c r="Q130" s="3"/>
      <c r="R130" s="3"/>
      <c r="S130" s="3"/>
      <c r="T130" s="3"/>
      <c r="U130" s="3"/>
      <c r="V130" s="3"/>
      <c r="W130" s="33"/>
      <c r="X130" s="3"/>
      <c r="Y130" s="3"/>
      <c r="Z130" s="3"/>
    </row>
    <row r="131" spans="1:26" ht="15.75" customHeight="1" x14ac:dyDescent="0.3">
      <c r="A131" s="15"/>
      <c r="B131" s="34"/>
      <c r="C131" s="29" t="s">
        <v>105</v>
      </c>
      <c r="D131" s="35"/>
      <c r="E131" s="17">
        <f>BANGOREJO!AG131+KEBONDALEM!AH131+RINGINTELU!Z131+SAMBIMULYO!AF131+SAMBIREJO!AF131+SUKOREJO!AB131+TEMUREJO!AU131</f>
        <v>29</v>
      </c>
      <c r="F131" s="15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15"/>
      <c r="B132" s="34"/>
      <c r="C132" s="29" t="s">
        <v>106</v>
      </c>
      <c r="D132" s="35"/>
      <c r="E132" s="17">
        <f>BANGOREJO!AG132+KEBONDALEM!AH132+RINGINTELU!Z132+SAMBIMULYO!AF132+SAMBIREJO!AF132+SUKOREJO!AB132+TEMUREJO!AU132</f>
        <v>18</v>
      </c>
      <c r="F132" s="15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15"/>
      <c r="B133" s="34"/>
      <c r="C133" s="29" t="s">
        <v>107</v>
      </c>
      <c r="D133" s="35"/>
      <c r="E133" s="17">
        <f>BANGOREJO!AG133+KEBONDALEM!AH133+RINGINTELU!Z133+SAMBIMULYO!AF133+SAMBIREJO!AF133+SUKOREJO!AB133+TEMUREJO!AU133</f>
        <v>9</v>
      </c>
      <c r="F133" s="15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15"/>
      <c r="B134" s="34"/>
      <c r="C134" s="29" t="s">
        <v>108</v>
      </c>
      <c r="D134" s="35"/>
      <c r="E134" s="17">
        <f>BANGOREJO!AG134+KEBONDALEM!AH134+RINGINTELU!Z134+SAMBIMULYO!AF134+SAMBIREJO!AF134+SUKOREJO!AB134+TEMUREJO!AU134</f>
        <v>17</v>
      </c>
      <c r="F134" s="15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A135" s="15"/>
      <c r="B135" s="34"/>
      <c r="C135" s="29" t="s">
        <v>109</v>
      </c>
      <c r="D135" s="36"/>
      <c r="E135" s="17">
        <f>BANGOREJO!AG135+KEBONDALEM!AH135+RINGINTELU!Z135+SAMBIMULYO!AF135+SAMBIREJO!AF135+SUKOREJO!AB135+TEMUREJO!AU135</f>
        <v>7</v>
      </c>
      <c r="F135" s="15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A136" s="15"/>
      <c r="B136" s="34"/>
      <c r="C136" s="29" t="s">
        <v>110</v>
      </c>
      <c r="D136" s="35"/>
      <c r="E136" s="17">
        <f>BANGOREJO!AG136+KEBONDALEM!AH136+RINGINTELU!Z136+SAMBIMULYO!AF136+SAMBIREJO!AF136+SUKOREJO!AB136+TEMUREJO!AU136</f>
        <v>85</v>
      </c>
      <c r="F136" s="15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15"/>
      <c r="B137" s="34"/>
      <c r="C137" s="29" t="s">
        <v>111</v>
      </c>
      <c r="D137" s="35"/>
      <c r="E137" s="17">
        <f>BANGOREJO!AG137+KEBONDALEM!AH137+RINGINTELU!Z137+SAMBIMULYO!AF137+SAMBIREJO!AF137+SUKOREJO!AB137+TEMUREJO!AU137</f>
        <v>5</v>
      </c>
      <c r="F137" s="15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15"/>
      <c r="B138" s="34"/>
      <c r="C138" s="29" t="s">
        <v>112</v>
      </c>
      <c r="D138" s="35"/>
      <c r="E138" s="17">
        <f>BANGOREJO!AG138+KEBONDALEM!AH138+RINGINTELU!Z138+SAMBIMULYO!AF138+SAMBIREJO!AF138+SUKOREJO!AB138+TEMUREJO!AU138</f>
        <v>8</v>
      </c>
      <c r="F138" s="15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16" t="s">
        <v>15</v>
      </c>
      <c r="B139" s="60" t="s">
        <v>49</v>
      </c>
      <c r="C139" s="61"/>
      <c r="D139" s="59"/>
      <c r="E139" s="13">
        <f>SUM(E129:E136)</f>
        <v>441</v>
      </c>
      <c r="F139" s="15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62"/>
      <c r="B140" s="61"/>
      <c r="C140" s="61"/>
      <c r="D140" s="61"/>
      <c r="E140" s="59"/>
      <c r="F140" s="15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20" t="s">
        <v>37</v>
      </c>
      <c r="B141" s="27" t="s">
        <v>113</v>
      </c>
      <c r="C141" s="58" t="s">
        <v>114</v>
      </c>
      <c r="D141" s="59"/>
      <c r="E141" s="17">
        <f>BANGOREJO!AG141+KEBONDALEM!AH141+RINGINTELU!Z141+SAMBIMULYO!AF141+SAMBIREJO!AF141+SUKOREJO!AB141+TEMUREJO!AU141</f>
        <v>61</v>
      </c>
      <c r="F141" s="18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20" t="s">
        <v>39</v>
      </c>
      <c r="B142" s="34"/>
      <c r="C142" s="29" t="s">
        <v>115</v>
      </c>
      <c r="D142" s="36"/>
      <c r="E142" s="17">
        <f>BANGOREJO!AG142+KEBONDALEM!AH142+RINGINTELU!Z142+SAMBIMULYO!AF142+SAMBIREJO!AF142+SUKOREJO!AB142+TEMUREJO!AU142</f>
        <v>23</v>
      </c>
      <c r="F142" s="30"/>
      <c r="G142" s="31"/>
      <c r="H142" s="31"/>
      <c r="I142" s="31"/>
      <c r="J142" s="31"/>
      <c r="K142" s="31"/>
      <c r="L142" s="31"/>
      <c r="M142" s="31"/>
      <c r="N142" s="31"/>
      <c r="O142" s="31"/>
      <c r="P142" s="32"/>
      <c r="Q142" s="3"/>
      <c r="R142" s="3"/>
      <c r="S142" s="3"/>
      <c r="T142" s="3"/>
      <c r="U142" s="3"/>
      <c r="V142" s="3"/>
      <c r="W142" s="33"/>
      <c r="X142" s="3"/>
      <c r="Y142" s="3"/>
      <c r="Z142" s="3"/>
    </row>
    <row r="143" spans="1:26" ht="15.75" customHeight="1" x14ac:dyDescent="0.3">
      <c r="A143" s="15"/>
      <c r="B143" s="34"/>
      <c r="C143" s="29" t="s">
        <v>116</v>
      </c>
      <c r="D143" s="36"/>
      <c r="E143" s="17">
        <f>BANGOREJO!AG143+KEBONDALEM!AH143+RINGINTELU!Z143+SAMBIMULYO!AF143+SAMBIREJO!AF143+SUKOREJO!AB143+TEMUREJO!AU143</f>
        <v>6</v>
      </c>
      <c r="F143" s="15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15"/>
      <c r="B144" s="34"/>
      <c r="C144" s="29" t="s">
        <v>117</v>
      </c>
      <c r="D144" s="36"/>
      <c r="E144" s="17">
        <f>BANGOREJO!AG144+KEBONDALEM!AH144+RINGINTELU!Z144+SAMBIMULYO!AF144+SAMBIREJO!AF144+SUKOREJO!AB144+TEMUREJO!AU144</f>
        <v>8</v>
      </c>
      <c r="F144" s="15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15"/>
      <c r="B145" s="37"/>
      <c r="C145" s="38"/>
      <c r="D145" s="39"/>
      <c r="E145" s="40"/>
      <c r="F145" s="15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15"/>
      <c r="B146" s="37"/>
      <c r="C146" s="38"/>
      <c r="D146" s="39"/>
      <c r="E146" s="40"/>
      <c r="F146" s="15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15"/>
      <c r="B147" s="37"/>
      <c r="C147" s="38"/>
      <c r="D147" s="39"/>
      <c r="E147" s="40"/>
      <c r="F147" s="15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15"/>
      <c r="B148" s="37"/>
      <c r="C148" s="38"/>
      <c r="D148" s="39"/>
      <c r="E148" s="40"/>
      <c r="F148" s="15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15"/>
      <c r="B149" s="37"/>
      <c r="C149" s="38"/>
      <c r="D149" s="39"/>
      <c r="E149" s="40"/>
      <c r="F149" s="15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15"/>
      <c r="B150" s="37"/>
      <c r="C150" s="38"/>
      <c r="D150" s="39"/>
      <c r="E150" s="40"/>
      <c r="F150" s="15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16" t="s">
        <v>15</v>
      </c>
      <c r="B151" s="60" t="s">
        <v>49</v>
      </c>
      <c r="C151" s="61"/>
      <c r="D151" s="59"/>
      <c r="E151" s="13">
        <f>SUM(E141:E148)</f>
        <v>98</v>
      </c>
      <c r="F151" s="15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62"/>
      <c r="B152" s="61"/>
      <c r="C152" s="61"/>
      <c r="D152" s="61"/>
      <c r="E152" s="59"/>
      <c r="F152" s="18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20" t="s">
        <v>37</v>
      </c>
      <c r="B153" s="14" t="s">
        <v>118</v>
      </c>
      <c r="C153" s="84" t="s">
        <v>119</v>
      </c>
      <c r="D153" s="67"/>
      <c r="E153" s="17">
        <f>BANGOREJO!AG153+KEBONDALEM!AH153+RINGINTELU!Z153+SAMBIMULYO!AF153+SAMBIREJO!AF153+SUKOREJO!AB153+TEMUREJO!AU153</f>
        <v>30</v>
      </c>
      <c r="F153" s="30"/>
      <c r="G153" s="31"/>
      <c r="H153" s="31"/>
      <c r="I153" s="31"/>
      <c r="J153" s="31"/>
      <c r="K153" s="31"/>
      <c r="L153" s="31"/>
      <c r="M153" s="31"/>
      <c r="N153" s="31"/>
      <c r="O153" s="31"/>
      <c r="P153" s="32"/>
      <c r="Q153" s="3"/>
      <c r="R153" s="3"/>
      <c r="S153" s="3"/>
      <c r="T153" s="3"/>
      <c r="U153" s="3"/>
      <c r="V153" s="3"/>
      <c r="W153" s="33"/>
      <c r="X153" s="3"/>
      <c r="Y153" s="3"/>
      <c r="Z153" s="3"/>
    </row>
    <row r="154" spans="1:26" ht="15.75" customHeight="1" x14ac:dyDescent="0.3">
      <c r="A154" s="43" t="s">
        <v>39</v>
      </c>
      <c r="B154" s="34"/>
      <c r="C154" s="29" t="s">
        <v>120</v>
      </c>
      <c r="D154" s="36"/>
      <c r="E154" s="17">
        <f>BANGOREJO!AG154+KEBONDALEM!AH154+RINGINTELU!Z154+SAMBIMULYO!AF154+SAMBIREJO!AF154+SUKOREJO!AB154+TEMUREJO!AU154</f>
        <v>30</v>
      </c>
      <c r="F154" s="15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15"/>
      <c r="B155" s="34"/>
      <c r="C155" s="29" t="s">
        <v>121</v>
      </c>
      <c r="D155" s="36"/>
      <c r="E155" s="17">
        <f>BANGOREJO!AG155+KEBONDALEM!AH155+RINGINTELU!Z155+SAMBIMULYO!AF155+SAMBIREJO!AF155+SUKOREJO!AB155+TEMUREJO!AU155</f>
        <v>8</v>
      </c>
      <c r="F155" s="15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15"/>
      <c r="B156" s="34"/>
      <c r="C156" s="29" t="s">
        <v>122</v>
      </c>
      <c r="D156" s="36"/>
      <c r="E156" s="17">
        <f>BANGOREJO!AG156+KEBONDALEM!AH156+RINGINTELU!Z156+SAMBIMULYO!AF156+SAMBIREJO!AF156+SUKOREJO!AB156+TEMUREJO!AU156</f>
        <v>27</v>
      </c>
      <c r="F156" s="15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15"/>
      <c r="B157" s="34"/>
      <c r="C157" s="29" t="s">
        <v>123</v>
      </c>
      <c r="D157" s="36"/>
      <c r="E157" s="17">
        <f>BANGOREJO!AG157+KEBONDALEM!AH157+RINGINTELU!Z157+SAMBIMULYO!AF157+SAMBIREJO!AF157+SUKOREJO!AB157+TEMUREJO!AU157</f>
        <v>9</v>
      </c>
      <c r="F157" s="15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15"/>
      <c r="B158" s="34"/>
      <c r="C158" s="29" t="s">
        <v>124</v>
      </c>
      <c r="D158" s="36"/>
      <c r="E158" s="17">
        <f>BANGOREJO!AG158+KEBONDALEM!AH158+RINGINTELU!Z158+SAMBIMULYO!AF158+SAMBIREJO!AF158+SUKOREJO!AB158+TEMUREJO!AU158</f>
        <v>8</v>
      </c>
      <c r="F158" s="15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15"/>
      <c r="B159" s="34"/>
      <c r="C159" s="29" t="s">
        <v>125</v>
      </c>
      <c r="D159" s="36"/>
      <c r="E159" s="17">
        <f>BANGOREJO!AG159+KEBONDALEM!AH159+RINGINTELU!Z159+SAMBIMULYO!AF159+SAMBIREJO!AF159+SUKOREJO!AB159+TEMUREJO!AU159</f>
        <v>6</v>
      </c>
      <c r="F159" s="15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15"/>
      <c r="B160" s="34"/>
      <c r="C160" s="29" t="s">
        <v>126</v>
      </c>
      <c r="D160" s="36"/>
      <c r="E160" s="17">
        <f>BANGOREJO!AG160+KEBONDALEM!AH160+RINGINTELU!Z160+SAMBIMULYO!AF160+SAMBIREJO!AF160+SUKOREJO!AB160+TEMUREJO!AU160</f>
        <v>12</v>
      </c>
      <c r="F160" s="15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15"/>
      <c r="B161" s="37"/>
      <c r="C161" s="44"/>
      <c r="D161" s="39"/>
      <c r="E161" s="41"/>
      <c r="F161" s="15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15"/>
      <c r="B162" s="37"/>
      <c r="C162" s="44"/>
      <c r="D162" s="39"/>
      <c r="E162" s="41"/>
      <c r="F162" s="15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16" t="s">
        <v>15</v>
      </c>
      <c r="B163" s="85" t="s">
        <v>49</v>
      </c>
      <c r="C163" s="64"/>
      <c r="D163" s="70"/>
      <c r="E163" s="13">
        <f>SUM(E153:E157)</f>
        <v>104</v>
      </c>
      <c r="F163" s="15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62"/>
      <c r="B164" s="61"/>
      <c r="C164" s="61"/>
      <c r="D164" s="61"/>
      <c r="E164" s="59"/>
      <c r="F164" s="15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20" t="s">
        <v>37</v>
      </c>
      <c r="B165" s="27" t="s">
        <v>127</v>
      </c>
      <c r="C165" s="58" t="s">
        <v>128</v>
      </c>
      <c r="D165" s="59"/>
      <c r="E165" s="17">
        <f>BANGOREJO!AG165+KEBONDALEM!AH165+RINGINTELU!Z165+SAMBIMULYO!AF165+SAMBIREJO!AF165+SUKOREJO!AB165+TEMUREJO!AU165</f>
        <v>36</v>
      </c>
      <c r="F165" s="18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20" t="s">
        <v>39</v>
      </c>
      <c r="B166" s="34"/>
      <c r="C166" s="29" t="s">
        <v>129</v>
      </c>
      <c r="D166" s="36"/>
      <c r="E166" s="17">
        <f>BANGOREJO!AG166+KEBONDALEM!AH166+RINGINTELU!Z166+SAMBIMULYO!AF166+SAMBIREJO!AF166+SUKOREJO!AB166+TEMUREJO!AU166</f>
        <v>56</v>
      </c>
      <c r="F166" s="30"/>
      <c r="G166" s="31"/>
      <c r="H166" s="31"/>
      <c r="I166" s="31"/>
      <c r="J166" s="31"/>
      <c r="K166" s="31"/>
      <c r="L166" s="31"/>
      <c r="M166" s="31"/>
      <c r="N166" s="31"/>
      <c r="O166" s="31"/>
      <c r="P166" s="32"/>
      <c r="Q166" s="3"/>
      <c r="R166" s="3"/>
      <c r="S166" s="3"/>
      <c r="T166" s="3"/>
      <c r="U166" s="3"/>
      <c r="V166" s="3"/>
      <c r="W166" s="33"/>
      <c r="X166" s="3"/>
      <c r="Y166" s="3"/>
      <c r="Z166" s="3"/>
    </row>
    <row r="167" spans="1:26" ht="15.75" customHeight="1" x14ac:dyDescent="0.3">
      <c r="A167" s="15"/>
      <c r="B167" s="37"/>
      <c r="C167" s="38"/>
      <c r="D167" s="39"/>
      <c r="E167" s="40"/>
      <c r="F167" s="15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15"/>
      <c r="B168" s="37"/>
      <c r="C168" s="38"/>
      <c r="D168" s="39"/>
      <c r="E168" s="40"/>
      <c r="F168" s="15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15"/>
      <c r="B169" s="37"/>
      <c r="C169" s="38"/>
      <c r="D169" s="39"/>
      <c r="E169" s="40"/>
      <c r="F169" s="15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15"/>
      <c r="B170" s="37"/>
      <c r="C170" s="38"/>
      <c r="D170" s="39"/>
      <c r="E170" s="40"/>
      <c r="F170" s="15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15"/>
      <c r="B171" s="37"/>
      <c r="C171" s="38"/>
      <c r="D171" s="39"/>
      <c r="E171" s="40"/>
      <c r="F171" s="15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15"/>
      <c r="B172" s="37"/>
      <c r="C172" s="38"/>
      <c r="D172" s="39"/>
      <c r="E172" s="40"/>
      <c r="F172" s="15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15"/>
      <c r="B173" s="37"/>
      <c r="C173" s="38"/>
      <c r="D173" s="39"/>
      <c r="E173" s="40"/>
      <c r="F173" s="15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15"/>
      <c r="B174" s="37"/>
      <c r="C174" s="38"/>
      <c r="D174" s="39"/>
      <c r="E174" s="40"/>
      <c r="F174" s="15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16" t="s">
        <v>15</v>
      </c>
      <c r="B175" s="60" t="s">
        <v>49</v>
      </c>
      <c r="C175" s="61"/>
      <c r="D175" s="59"/>
      <c r="E175" s="13">
        <f>SUM(E165:E172)</f>
        <v>92</v>
      </c>
      <c r="F175" s="15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62"/>
      <c r="B176" s="61"/>
      <c r="C176" s="61"/>
      <c r="D176" s="61"/>
      <c r="E176" s="59"/>
      <c r="F176" s="15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20" t="s">
        <v>37</v>
      </c>
      <c r="B177" s="27" t="s">
        <v>130</v>
      </c>
      <c r="C177" s="58" t="s">
        <v>131</v>
      </c>
      <c r="D177" s="59"/>
      <c r="E177" s="17">
        <f>BANGOREJO!AG177+KEBONDALEM!AH177+RINGINTELU!Z177+SAMBIMULYO!AF177+SAMBIREJO!AF177+SUKOREJO!AB177+TEMUREJO!AU177</f>
        <v>89</v>
      </c>
      <c r="F177" s="18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20" t="s">
        <v>39</v>
      </c>
      <c r="B178" s="34"/>
      <c r="C178" s="29" t="s">
        <v>132</v>
      </c>
      <c r="D178" s="36"/>
      <c r="E178" s="17">
        <f>BANGOREJO!AG178+KEBONDALEM!AH178+RINGINTELU!Z178+SAMBIMULYO!AF178+SAMBIREJO!AF178+SUKOREJO!AB178+TEMUREJO!AU178</f>
        <v>83</v>
      </c>
      <c r="F178" s="30"/>
      <c r="G178" s="31"/>
      <c r="H178" s="31"/>
      <c r="I178" s="31"/>
      <c r="J178" s="31"/>
      <c r="K178" s="31"/>
      <c r="L178" s="31"/>
      <c r="M178" s="31"/>
      <c r="N178" s="31"/>
      <c r="O178" s="31"/>
      <c r="P178" s="32"/>
      <c r="Q178" s="3"/>
      <c r="R178" s="3"/>
      <c r="S178" s="3"/>
      <c r="T178" s="3"/>
      <c r="U178" s="3"/>
      <c r="V178" s="3"/>
      <c r="W178" s="33"/>
      <c r="X178" s="3"/>
      <c r="Y178" s="3"/>
      <c r="Z178" s="3"/>
    </row>
    <row r="179" spans="1:26" ht="15.75" customHeight="1" x14ac:dyDescent="0.3">
      <c r="A179" s="15"/>
      <c r="B179" s="34"/>
      <c r="C179" s="29" t="s">
        <v>133</v>
      </c>
      <c r="D179" s="36"/>
      <c r="E179" s="17">
        <f>BANGOREJO!AG179+KEBONDALEM!AH179+RINGINTELU!Z179+SAMBIMULYO!AF179+SAMBIREJO!AF179+SUKOREJO!AB179+TEMUREJO!AU179</f>
        <v>19</v>
      </c>
      <c r="F179" s="15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15"/>
      <c r="B180" s="34"/>
      <c r="C180" s="29" t="s">
        <v>134</v>
      </c>
      <c r="D180" s="36"/>
      <c r="E180" s="17">
        <f>BANGOREJO!AG180+KEBONDALEM!AH180+RINGINTELU!Z180+SAMBIMULYO!AF180+SAMBIREJO!AF180+SUKOREJO!AB180+TEMUREJO!AU180</f>
        <v>64</v>
      </c>
      <c r="F180" s="15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15"/>
      <c r="B181" s="34"/>
      <c r="C181" s="29" t="s">
        <v>135</v>
      </c>
      <c r="D181" s="36"/>
      <c r="E181" s="17">
        <f>BANGOREJO!AG181+KEBONDALEM!AH181+RINGINTELU!Z181+SAMBIMULYO!AF181+SAMBIREJO!AF181+SUKOREJO!AB181+TEMUREJO!AU181</f>
        <v>24</v>
      </c>
      <c r="F181" s="15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15"/>
      <c r="B182" s="34"/>
      <c r="C182" s="29" t="s">
        <v>136</v>
      </c>
      <c r="D182" s="36"/>
      <c r="E182" s="17">
        <f>BANGOREJO!AG182+KEBONDALEM!AH182+RINGINTELU!Z182+SAMBIMULYO!AF182+SAMBIREJO!AF182+SUKOREJO!AB182+TEMUREJO!AU182</f>
        <v>16</v>
      </c>
      <c r="F182" s="15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15"/>
      <c r="B183" s="34"/>
      <c r="C183" s="29" t="s">
        <v>137</v>
      </c>
      <c r="D183" s="36"/>
      <c r="E183" s="17">
        <f>BANGOREJO!AG183+KEBONDALEM!AH183+RINGINTELU!Z183+SAMBIMULYO!AF183+SAMBIREJO!AF183+SUKOREJO!AB183+TEMUREJO!AU183</f>
        <v>10</v>
      </c>
      <c r="F183" s="15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15"/>
      <c r="B184" s="34"/>
      <c r="C184" s="29" t="s">
        <v>138</v>
      </c>
      <c r="D184" s="36"/>
      <c r="E184" s="17">
        <f>BANGOREJO!AG184+KEBONDALEM!AH184+RINGINTELU!Z184+SAMBIMULYO!AF184+SAMBIREJO!AF184+SUKOREJO!AB184+TEMUREJO!AU184</f>
        <v>6</v>
      </c>
      <c r="F184" s="15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15"/>
      <c r="B185" s="34"/>
      <c r="C185" s="29" t="s">
        <v>139</v>
      </c>
      <c r="D185" s="36"/>
      <c r="E185" s="17">
        <f>BANGOREJO!AG185+KEBONDALEM!AH185+RINGINTELU!Z185+SAMBIMULYO!AF185+SAMBIREJO!AF185+SUKOREJO!AB185+TEMUREJO!AU185</f>
        <v>9</v>
      </c>
      <c r="F185" s="15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15"/>
      <c r="B186" s="34"/>
      <c r="C186" s="29" t="s">
        <v>140</v>
      </c>
      <c r="D186" s="36"/>
      <c r="E186" s="17">
        <f>BANGOREJO!AG186+KEBONDALEM!AH186+RINGINTELU!Z186+SAMBIMULYO!AF186+SAMBIREJO!AF186+SUKOREJO!AB186+TEMUREJO!AU186</f>
        <v>5</v>
      </c>
      <c r="F186" s="15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16" t="s">
        <v>15</v>
      </c>
      <c r="B187" s="60" t="s">
        <v>49</v>
      </c>
      <c r="C187" s="61"/>
      <c r="D187" s="59"/>
      <c r="E187" s="13">
        <f>SUM(E177:E184)</f>
        <v>311</v>
      </c>
      <c r="F187" s="15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62"/>
      <c r="B188" s="61"/>
      <c r="C188" s="61"/>
      <c r="D188" s="61"/>
      <c r="E188" s="59"/>
      <c r="F188" s="15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20" t="s">
        <v>37</v>
      </c>
      <c r="B189" s="27" t="s">
        <v>141</v>
      </c>
      <c r="C189" s="58" t="s">
        <v>142</v>
      </c>
      <c r="D189" s="59"/>
      <c r="E189" s="17">
        <f>BANGOREJO!AG189+KEBONDALEM!AH189+RINGINTELU!Z189+SAMBIMULYO!AF189+SAMBIREJO!AF189+SUKOREJO!AB189+TEMUREJO!AU189</f>
        <v>14</v>
      </c>
      <c r="F189" s="18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20" t="s">
        <v>39</v>
      </c>
      <c r="B190" s="34"/>
      <c r="C190" s="29" t="s">
        <v>143</v>
      </c>
      <c r="D190" s="36"/>
      <c r="E190" s="17">
        <f>BANGOREJO!AG190+KEBONDALEM!AH190+RINGINTELU!Z190+SAMBIMULYO!AF190+SAMBIREJO!AF190+SUKOREJO!AB190+TEMUREJO!AU190</f>
        <v>15</v>
      </c>
      <c r="F190" s="30"/>
      <c r="G190" s="31"/>
      <c r="H190" s="31"/>
      <c r="I190" s="31"/>
      <c r="J190" s="31"/>
      <c r="K190" s="31"/>
      <c r="L190" s="31"/>
      <c r="M190" s="31"/>
      <c r="N190" s="31"/>
      <c r="O190" s="31"/>
      <c r="P190" s="32"/>
      <c r="Q190" s="3"/>
      <c r="R190" s="3"/>
      <c r="S190" s="3"/>
      <c r="T190" s="3"/>
      <c r="U190" s="3"/>
      <c r="V190" s="3"/>
      <c r="W190" s="33"/>
      <c r="X190" s="3"/>
      <c r="Y190" s="3"/>
      <c r="Z190" s="3"/>
    </row>
    <row r="191" spans="1:26" ht="15.75" customHeight="1" x14ac:dyDescent="0.3">
      <c r="A191" s="15"/>
      <c r="B191" s="34"/>
      <c r="C191" s="29" t="s">
        <v>144</v>
      </c>
      <c r="D191" s="36"/>
      <c r="E191" s="17">
        <f>BANGOREJO!AG191+KEBONDALEM!AH191+RINGINTELU!Z191+SAMBIMULYO!AF191+SAMBIREJO!AF191+SUKOREJO!AB191+TEMUREJO!AU191</f>
        <v>14</v>
      </c>
      <c r="F191" s="15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15"/>
      <c r="B192" s="34"/>
      <c r="C192" s="29" t="s">
        <v>145</v>
      </c>
      <c r="D192" s="36"/>
      <c r="E192" s="17">
        <f>BANGOREJO!AG192+KEBONDALEM!AH192+RINGINTELU!Z192+SAMBIMULYO!AF192+SAMBIREJO!AF192+SUKOREJO!AB192+TEMUREJO!AU192</f>
        <v>4</v>
      </c>
      <c r="F192" s="15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15"/>
      <c r="B193" s="34"/>
      <c r="C193" s="29" t="s">
        <v>146</v>
      </c>
      <c r="D193" s="36"/>
      <c r="E193" s="17">
        <f>BANGOREJO!AG193+KEBONDALEM!AH193+RINGINTELU!Z193+SAMBIMULYO!AF193+SAMBIREJO!AF193+SUKOREJO!AB193+TEMUREJO!AU193</f>
        <v>1</v>
      </c>
      <c r="F193" s="15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15"/>
      <c r="B194" s="34"/>
      <c r="C194" s="29" t="s">
        <v>147</v>
      </c>
      <c r="D194" s="36"/>
      <c r="E194" s="17">
        <f>BANGOREJO!AG194+KEBONDALEM!AH194+RINGINTELU!Z194+SAMBIMULYO!AF194+SAMBIREJO!AF194+SUKOREJO!AB194+TEMUREJO!AU194</f>
        <v>5</v>
      </c>
      <c r="F194" s="15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15"/>
      <c r="B195" s="34"/>
      <c r="C195" s="29" t="s">
        <v>148</v>
      </c>
      <c r="D195" s="36"/>
      <c r="E195" s="17">
        <f>BANGOREJO!AG195+KEBONDALEM!AH195+RINGINTELU!Z195+SAMBIMULYO!AF195+SAMBIREJO!AF195+SUKOREJO!AB195+TEMUREJO!AU195</f>
        <v>3</v>
      </c>
      <c r="F195" s="15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15"/>
      <c r="B196" s="34"/>
      <c r="C196" s="29" t="s">
        <v>149</v>
      </c>
      <c r="D196" s="36"/>
      <c r="E196" s="17">
        <f>BANGOREJO!AG196+KEBONDALEM!AH196+RINGINTELU!Z196+SAMBIMULYO!AF196+SAMBIREJO!AF196+SUKOREJO!AB196+TEMUREJO!AU196</f>
        <v>4</v>
      </c>
      <c r="F196" s="15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15"/>
      <c r="B197" s="34"/>
      <c r="C197" s="29" t="s">
        <v>150</v>
      </c>
      <c r="D197" s="36"/>
      <c r="E197" s="17">
        <f>BANGOREJO!AG197+KEBONDALEM!AH197+RINGINTELU!Z197+SAMBIMULYO!AF197+SAMBIREJO!AF197+SUKOREJO!AB197+TEMUREJO!AU197</f>
        <v>1</v>
      </c>
      <c r="F197" s="15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15"/>
      <c r="B198" s="34"/>
      <c r="C198" s="29" t="s">
        <v>151</v>
      </c>
      <c r="D198" s="36"/>
      <c r="E198" s="17">
        <f>BANGOREJO!AG198+KEBONDALEM!AH198+RINGINTELU!Z198+SAMBIMULYO!AF198+SAMBIREJO!AF198+SUKOREJO!AB198+TEMUREJO!AU198</f>
        <v>1</v>
      </c>
      <c r="F198" s="15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16" t="s">
        <v>15</v>
      </c>
      <c r="B199" s="60" t="s">
        <v>49</v>
      </c>
      <c r="C199" s="61"/>
      <c r="D199" s="59"/>
      <c r="E199" s="13">
        <f>SUM(E189:E196)</f>
        <v>60</v>
      </c>
      <c r="F199" s="15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62"/>
      <c r="B200" s="61"/>
      <c r="C200" s="61"/>
      <c r="D200" s="61"/>
      <c r="E200" s="59"/>
      <c r="F200" s="15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20" t="s">
        <v>37</v>
      </c>
      <c r="B201" s="27" t="s">
        <v>152</v>
      </c>
      <c r="C201" s="58" t="s">
        <v>153</v>
      </c>
      <c r="D201" s="59"/>
      <c r="E201" s="17">
        <f>BANGOREJO!AG201+KEBONDALEM!AH201+RINGINTELU!Z201+SAMBIMULYO!AF201+SAMBIREJO!AF201+SUKOREJO!AB201+TEMUREJO!AU201</f>
        <v>648</v>
      </c>
      <c r="F201" s="18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20" t="s">
        <v>39</v>
      </c>
      <c r="B202" s="34"/>
      <c r="C202" s="29" t="s">
        <v>154</v>
      </c>
      <c r="D202" s="36"/>
      <c r="E202" s="17">
        <f>BANGOREJO!AG202+KEBONDALEM!AH202+RINGINTELU!Z202+SAMBIMULYO!AF202+SAMBIREJO!AF202+SUKOREJO!AB202+TEMUREJO!AU202</f>
        <v>2820</v>
      </c>
      <c r="F202" s="30"/>
      <c r="G202" s="31"/>
      <c r="H202" s="31"/>
      <c r="I202" s="31"/>
      <c r="J202" s="31"/>
      <c r="K202" s="31"/>
      <c r="L202" s="31"/>
      <c r="M202" s="31"/>
      <c r="N202" s="31"/>
      <c r="O202" s="31"/>
      <c r="P202" s="32"/>
      <c r="Q202" s="3"/>
      <c r="R202" s="3"/>
      <c r="S202" s="3"/>
      <c r="T202" s="3"/>
      <c r="U202" s="3"/>
      <c r="V202" s="3"/>
      <c r="W202" s="33"/>
      <c r="X202" s="3"/>
      <c r="Y202" s="3"/>
      <c r="Z202" s="3"/>
    </row>
    <row r="203" spans="1:26" ht="15.75" customHeight="1" x14ac:dyDescent="0.3">
      <c r="A203" s="15"/>
      <c r="B203" s="34"/>
      <c r="C203" s="29" t="s">
        <v>155</v>
      </c>
      <c r="D203" s="36"/>
      <c r="E203" s="17">
        <f>BANGOREJO!AG203+KEBONDALEM!AH203+RINGINTELU!Z203+SAMBIMULYO!AF203+SAMBIREJO!AF203+SUKOREJO!AB203+TEMUREJO!AU203</f>
        <v>299</v>
      </c>
      <c r="F203" s="15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15"/>
      <c r="B204" s="34"/>
      <c r="C204" s="29" t="s">
        <v>156</v>
      </c>
      <c r="D204" s="36"/>
      <c r="E204" s="17">
        <f>BANGOREJO!AG204+KEBONDALEM!AH204+RINGINTELU!Z204+SAMBIMULYO!AF204+SAMBIREJO!AF204+SUKOREJO!AB204+TEMUREJO!AU204</f>
        <v>83</v>
      </c>
      <c r="F204" s="15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15"/>
      <c r="B205" s="34"/>
      <c r="C205" s="29" t="s">
        <v>157</v>
      </c>
      <c r="D205" s="36"/>
      <c r="E205" s="17">
        <f>BANGOREJO!AG205+KEBONDALEM!AH205+RINGINTELU!Z205+SAMBIMULYO!AF205+SAMBIREJO!AF205+SUKOREJO!AB205+TEMUREJO!AU205</f>
        <v>56</v>
      </c>
      <c r="F205" s="15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15"/>
      <c r="B206" s="34"/>
      <c r="C206" s="29" t="s">
        <v>158</v>
      </c>
      <c r="D206" s="36"/>
      <c r="E206" s="17">
        <f>BANGOREJO!AG206+KEBONDALEM!AH206+RINGINTELU!Z206+SAMBIMULYO!AF206+SAMBIREJO!AF206+SUKOREJO!AB206+TEMUREJO!AU206</f>
        <v>35</v>
      </c>
      <c r="F206" s="15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15"/>
      <c r="B207" s="34"/>
      <c r="C207" s="29" t="s">
        <v>159</v>
      </c>
      <c r="D207" s="36"/>
      <c r="E207" s="17">
        <f>BANGOREJO!AG207+KEBONDALEM!AH207+RINGINTELU!Z207+SAMBIMULYO!AF207+SAMBIREJO!AF207+SUKOREJO!AB207+TEMUREJO!AU207</f>
        <v>46</v>
      </c>
      <c r="F207" s="15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15"/>
      <c r="B208" s="34"/>
      <c r="C208" s="29" t="s">
        <v>160</v>
      </c>
      <c r="D208" s="36"/>
      <c r="E208" s="17">
        <f>BANGOREJO!AG208+KEBONDALEM!AH208+RINGINTELU!Z208+SAMBIMULYO!AF208+SAMBIREJO!AF208+SUKOREJO!AB208+TEMUREJO!AU208</f>
        <v>118</v>
      </c>
      <c r="F208" s="15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15"/>
      <c r="B209" s="34"/>
      <c r="C209" s="29" t="s">
        <v>161</v>
      </c>
      <c r="D209" s="36"/>
      <c r="E209" s="17">
        <f>BANGOREJO!AG209+KEBONDALEM!AH209+RINGINTELU!Z209+SAMBIMULYO!AF209+SAMBIREJO!AF209+SUKOREJO!AB209+TEMUREJO!AU209</f>
        <v>18</v>
      </c>
      <c r="F209" s="15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15"/>
      <c r="B210" s="34"/>
      <c r="C210" s="29" t="s">
        <v>162</v>
      </c>
      <c r="D210" s="36"/>
      <c r="E210" s="17">
        <f>BANGOREJO!AG210+KEBONDALEM!AH210+RINGINTELU!Z210+SAMBIMULYO!AF210+SAMBIREJO!AF210+SUKOREJO!AB210+TEMUREJO!AU210</f>
        <v>151</v>
      </c>
      <c r="F210" s="15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16" t="s">
        <v>15</v>
      </c>
      <c r="B211" s="60" t="s">
        <v>49</v>
      </c>
      <c r="C211" s="61"/>
      <c r="D211" s="59"/>
      <c r="E211" s="13">
        <f>SUM(E201:E208)</f>
        <v>4105</v>
      </c>
      <c r="F211" s="15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62"/>
      <c r="B212" s="61"/>
      <c r="C212" s="61"/>
      <c r="D212" s="61"/>
      <c r="E212" s="59"/>
      <c r="F212" s="15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20" t="s">
        <v>37</v>
      </c>
      <c r="B213" s="27" t="s">
        <v>163</v>
      </c>
      <c r="C213" s="58" t="s">
        <v>164</v>
      </c>
      <c r="D213" s="59"/>
      <c r="E213" s="17">
        <f>BANGOREJO!AG213+KEBONDALEM!AH213+RINGINTELU!Z213+SAMBIMULYO!AF213+SAMBIREJO!AF213+SUKOREJO!AB213+TEMUREJO!AU213</f>
        <v>305</v>
      </c>
      <c r="F213" s="18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20" t="s">
        <v>39</v>
      </c>
      <c r="B214" s="34"/>
      <c r="C214" s="29" t="s">
        <v>165</v>
      </c>
      <c r="D214" s="35"/>
      <c r="E214" s="17">
        <f>BANGOREJO!AG214+KEBONDALEM!AH214+RINGINTELU!Z214+SAMBIMULYO!AF214+SAMBIREJO!AF214+SUKOREJO!AB214+TEMUREJO!AU214</f>
        <v>194</v>
      </c>
      <c r="F214" s="30"/>
      <c r="G214" s="31"/>
      <c r="H214" s="31"/>
      <c r="I214" s="31"/>
      <c r="J214" s="31"/>
      <c r="K214" s="31"/>
      <c r="L214" s="31"/>
      <c r="M214" s="31"/>
      <c r="N214" s="31"/>
      <c r="O214" s="31"/>
      <c r="P214" s="32"/>
      <c r="Q214" s="3"/>
      <c r="R214" s="3"/>
      <c r="S214" s="3"/>
      <c r="T214" s="3"/>
      <c r="U214" s="3"/>
      <c r="V214" s="3"/>
      <c r="W214" s="33"/>
      <c r="X214" s="3"/>
      <c r="Y214" s="3"/>
      <c r="Z214" s="3"/>
    </row>
    <row r="215" spans="1:26" ht="15.75" customHeight="1" x14ac:dyDescent="0.3">
      <c r="A215" s="15"/>
      <c r="B215" s="34"/>
      <c r="C215" s="29" t="s">
        <v>166</v>
      </c>
      <c r="D215" s="35"/>
      <c r="E215" s="17">
        <f>BANGOREJO!AG215+KEBONDALEM!AH215+RINGINTELU!Z215+SAMBIMULYO!AF215+SAMBIREJO!AF215+SUKOREJO!AB215+TEMUREJO!AU215</f>
        <v>186</v>
      </c>
      <c r="F215" s="15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15"/>
      <c r="B216" s="34"/>
      <c r="C216" s="29" t="s">
        <v>167</v>
      </c>
      <c r="D216" s="45"/>
      <c r="E216" s="17">
        <f>BANGOREJO!AG216+KEBONDALEM!AH216+RINGINTELU!Z216+SAMBIMULYO!AF216+SAMBIREJO!AF216+SUKOREJO!AB216+TEMUREJO!AU216</f>
        <v>54</v>
      </c>
      <c r="F216" s="15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15"/>
      <c r="B217" s="37"/>
      <c r="C217" s="38"/>
      <c r="D217" s="46"/>
      <c r="E217" s="40"/>
      <c r="F217" s="15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15"/>
      <c r="B218" s="37"/>
      <c r="C218" s="38"/>
      <c r="D218" s="46"/>
      <c r="E218" s="40"/>
      <c r="F218" s="15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15"/>
      <c r="B219" s="37"/>
      <c r="C219" s="38"/>
      <c r="D219" s="46"/>
      <c r="E219" s="40"/>
      <c r="F219" s="15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15"/>
      <c r="B220" s="37"/>
      <c r="C220" s="38"/>
      <c r="D220" s="46"/>
      <c r="E220" s="40"/>
      <c r="F220" s="15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15"/>
      <c r="B221" s="37"/>
      <c r="C221" s="38"/>
      <c r="D221" s="46"/>
      <c r="E221" s="40"/>
      <c r="F221" s="15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15"/>
      <c r="B222" s="37"/>
      <c r="C222" s="38"/>
      <c r="D222" s="46"/>
      <c r="E222" s="40"/>
      <c r="F222" s="15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16" t="s">
        <v>15</v>
      </c>
      <c r="B223" s="60" t="s">
        <v>49</v>
      </c>
      <c r="C223" s="61"/>
      <c r="D223" s="59"/>
      <c r="E223" s="13">
        <f>SUM(E213:E220)</f>
        <v>739</v>
      </c>
      <c r="F223" s="15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62"/>
      <c r="B224" s="61"/>
      <c r="C224" s="61"/>
      <c r="D224" s="61"/>
      <c r="E224" s="59"/>
      <c r="F224" s="15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20" t="s">
        <v>37</v>
      </c>
      <c r="B225" s="27" t="s">
        <v>168</v>
      </c>
      <c r="C225" s="58" t="s">
        <v>169</v>
      </c>
      <c r="D225" s="59"/>
      <c r="E225" s="17">
        <f>BANGOREJO!AG225+KEBONDALEM!AH225+RINGINTELU!Z225+SAMBIMULYO!AF225+SAMBIREJO!AF225+SUKOREJO!AB225+TEMUREJO!AU225</f>
        <v>21</v>
      </c>
      <c r="F225" s="18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20" t="s">
        <v>39</v>
      </c>
      <c r="B226" s="34"/>
      <c r="C226" s="29" t="s">
        <v>170</v>
      </c>
      <c r="D226" s="36"/>
      <c r="E226" s="17">
        <f>BANGOREJO!AG226+KEBONDALEM!AH226+RINGINTELU!Z226+SAMBIMULYO!AF226+SAMBIREJO!AF226+SUKOREJO!AB226+TEMUREJO!AU226</f>
        <v>66</v>
      </c>
      <c r="F226" s="30"/>
      <c r="G226" s="31"/>
      <c r="H226" s="31"/>
      <c r="I226" s="31"/>
      <c r="J226" s="31"/>
      <c r="K226" s="31"/>
      <c r="L226" s="31"/>
      <c r="M226" s="31"/>
      <c r="N226" s="31"/>
      <c r="O226" s="31"/>
      <c r="P226" s="32"/>
      <c r="Q226" s="3"/>
      <c r="R226" s="3"/>
      <c r="S226" s="3"/>
      <c r="T226" s="3"/>
      <c r="U226" s="3"/>
      <c r="V226" s="3"/>
      <c r="W226" s="33"/>
      <c r="X226" s="3"/>
      <c r="Y226" s="3"/>
      <c r="Z226" s="3"/>
    </row>
    <row r="227" spans="1:26" ht="15.75" customHeight="1" x14ac:dyDescent="0.3">
      <c r="A227" s="15"/>
      <c r="B227" s="34"/>
      <c r="C227" s="29" t="s">
        <v>171</v>
      </c>
      <c r="D227" s="36"/>
      <c r="E227" s="17">
        <f>BANGOREJO!AG227+KEBONDALEM!AH227+RINGINTELU!Z227+SAMBIMULYO!AF227+SAMBIREJO!AF227+SUKOREJO!AB227+TEMUREJO!AU227</f>
        <v>8</v>
      </c>
      <c r="F227" s="15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15"/>
      <c r="B228" s="34"/>
      <c r="C228" s="29" t="s">
        <v>172</v>
      </c>
      <c r="D228" s="36"/>
      <c r="E228" s="17">
        <f>BANGOREJO!AG228+KEBONDALEM!AH228+RINGINTELU!Z228+SAMBIMULYO!AF228+SAMBIREJO!AF228+SUKOREJO!AB228+TEMUREJO!AU228</f>
        <v>7</v>
      </c>
      <c r="F228" s="15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15"/>
      <c r="B229" s="34"/>
      <c r="C229" s="29" t="s">
        <v>173</v>
      </c>
      <c r="D229" s="36"/>
      <c r="E229" s="17">
        <f>BANGOREJO!AG229+KEBONDALEM!AH229+RINGINTELU!Z229+SAMBIMULYO!AF229+SAMBIREJO!AF229+SUKOREJO!AB229+TEMUREJO!AU229</f>
        <v>8</v>
      </c>
      <c r="F229" s="15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15"/>
      <c r="B230" s="37"/>
      <c r="C230" s="38"/>
      <c r="D230" s="39"/>
      <c r="E230" s="40"/>
      <c r="F230" s="15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15"/>
      <c r="B231" s="37"/>
      <c r="C231" s="38"/>
      <c r="D231" s="39"/>
      <c r="E231" s="40"/>
      <c r="F231" s="15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15"/>
      <c r="B232" s="37"/>
      <c r="C232" s="38"/>
      <c r="D232" s="39"/>
      <c r="E232" s="40"/>
      <c r="F232" s="15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15"/>
      <c r="B233" s="37"/>
      <c r="C233" s="38"/>
      <c r="D233" s="39"/>
      <c r="E233" s="40"/>
      <c r="F233" s="15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15"/>
      <c r="B234" s="37"/>
      <c r="C234" s="38"/>
      <c r="D234" s="39"/>
      <c r="E234" s="40"/>
      <c r="F234" s="15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16" t="s">
        <v>15</v>
      </c>
      <c r="B235" s="60" t="s">
        <v>49</v>
      </c>
      <c r="C235" s="61"/>
      <c r="D235" s="59"/>
      <c r="E235" s="13">
        <f>SUM(E225:E232)</f>
        <v>110</v>
      </c>
      <c r="F235" s="15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62"/>
      <c r="B236" s="61"/>
      <c r="C236" s="61"/>
      <c r="D236" s="61"/>
      <c r="E236" s="59"/>
      <c r="F236" s="15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20" t="s">
        <v>37</v>
      </c>
      <c r="B237" s="27" t="s">
        <v>174</v>
      </c>
      <c r="C237" s="58" t="s">
        <v>175</v>
      </c>
      <c r="D237" s="59"/>
      <c r="E237" s="17">
        <f>BANGOREJO!AG237+KEBONDALEM!AH237+RINGINTELU!Z237+SAMBIMULYO!AF237+SAMBIREJO!AF237+SUKOREJO!AB237+TEMUREJO!AU237</f>
        <v>157</v>
      </c>
      <c r="F237" s="18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20" t="s">
        <v>39</v>
      </c>
      <c r="B238" s="34"/>
      <c r="C238" s="29" t="s">
        <v>176</v>
      </c>
      <c r="D238" s="36"/>
      <c r="E238" s="17">
        <f>BANGOREJO!AG238+KEBONDALEM!AH238+RINGINTELU!Z238+SAMBIMULYO!AF238+SAMBIREJO!AF238+SUKOREJO!AB238+TEMUREJO!AU238</f>
        <v>118</v>
      </c>
      <c r="F238" s="30"/>
      <c r="G238" s="31"/>
      <c r="H238" s="31"/>
      <c r="I238" s="31"/>
      <c r="J238" s="31"/>
      <c r="K238" s="31"/>
      <c r="L238" s="31"/>
      <c r="M238" s="31"/>
      <c r="N238" s="31"/>
      <c r="O238" s="31"/>
      <c r="P238" s="32"/>
      <c r="Q238" s="3"/>
      <c r="R238" s="3"/>
      <c r="S238" s="3"/>
      <c r="T238" s="3"/>
      <c r="U238" s="3"/>
      <c r="V238" s="3"/>
      <c r="W238" s="33"/>
      <c r="X238" s="3"/>
      <c r="Y238" s="3"/>
      <c r="Z238" s="3"/>
    </row>
    <row r="239" spans="1:26" ht="15.75" customHeight="1" x14ac:dyDescent="0.3">
      <c r="A239" s="15"/>
      <c r="B239" s="34"/>
      <c r="C239" s="29" t="s">
        <v>177</v>
      </c>
      <c r="D239" s="36"/>
      <c r="E239" s="17">
        <f>BANGOREJO!AG239+KEBONDALEM!AH239+RINGINTELU!Z239+SAMBIMULYO!AF239+SAMBIREJO!AF239+SUKOREJO!AB239+TEMUREJO!AU239</f>
        <v>578</v>
      </c>
      <c r="F239" s="15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15"/>
      <c r="B240" s="34"/>
      <c r="C240" s="29" t="s">
        <v>178</v>
      </c>
      <c r="D240" s="36"/>
      <c r="E240" s="17">
        <f>BANGOREJO!AG240+KEBONDALEM!AH240+RINGINTELU!Z240+SAMBIMULYO!AF240+SAMBIREJO!AF240+SUKOREJO!AB240+TEMUREJO!AU240</f>
        <v>22</v>
      </c>
      <c r="F240" s="15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15"/>
      <c r="B241" s="34"/>
      <c r="C241" s="29" t="s">
        <v>179</v>
      </c>
      <c r="D241" s="36"/>
      <c r="E241" s="17">
        <f>BANGOREJO!AG241+KEBONDALEM!AH241+RINGINTELU!Z241+SAMBIMULYO!AF241+SAMBIREJO!AF241+SUKOREJO!AB241+TEMUREJO!AU241</f>
        <v>21</v>
      </c>
      <c r="F241" s="15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15"/>
      <c r="B242" s="34"/>
      <c r="C242" s="29" t="s">
        <v>180</v>
      </c>
      <c r="D242" s="36"/>
      <c r="E242" s="17">
        <f>BANGOREJO!AG242+KEBONDALEM!AH242+RINGINTELU!Z242+SAMBIMULYO!AF242+SAMBIREJO!AF242+SUKOREJO!AB242+TEMUREJO!AU242</f>
        <v>118</v>
      </c>
      <c r="F242" s="15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15"/>
      <c r="B243" s="34"/>
      <c r="C243" s="29" t="s">
        <v>181</v>
      </c>
      <c r="D243" s="36"/>
      <c r="E243" s="17">
        <f>BANGOREJO!AG243+KEBONDALEM!AH243+RINGINTELU!Z243+SAMBIMULYO!AF243+SAMBIREJO!AF243+SUKOREJO!AB243+TEMUREJO!AU243</f>
        <v>18</v>
      </c>
      <c r="F243" s="15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15"/>
      <c r="B244" s="34"/>
      <c r="C244" s="29" t="s">
        <v>182</v>
      </c>
      <c r="D244" s="36"/>
      <c r="E244" s="17">
        <f>BANGOREJO!AG244+KEBONDALEM!AH244+RINGINTELU!Z244+SAMBIMULYO!AF244+SAMBIREJO!AF244+SUKOREJO!AB244+TEMUREJO!AU244</f>
        <v>68</v>
      </c>
      <c r="F244" s="15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15"/>
      <c r="B245" s="34"/>
      <c r="C245" s="29" t="s">
        <v>183</v>
      </c>
      <c r="D245" s="36"/>
      <c r="E245" s="17">
        <f>BANGOREJO!AG245+KEBONDALEM!AH245+RINGINTELU!Z245+SAMBIMULYO!AF245+SAMBIREJO!AF245+SUKOREJO!AB245+TEMUREJO!AU245</f>
        <v>10</v>
      </c>
      <c r="F245" s="15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15"/>
      <c r="B246" s="34"/>
      <c r="C246" s="29" t="s">
        <v>184</v>
      </c>
      <c r="D246" s="36"/>
      <c r="E246" s="17">
        <f>BANGOREJO!AG246+KEBONDALEM!AH246+RINGINTELU!Z246+SAMBIMULYO!AF246+SAMBIREJO!AF246+SUKOREJO!AB246+TEMUREJO!AU246</f>
        <v>22</v>
      </c>
      <c r="F246" s="15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16" t="s">
        <v>15</v>
      </c>
      <c r="B247" s="60" t="s">
        <v>49</v>
      </c>
      <c r="C247" s="61"/>
      <c r="D247" s="59"/>
      <c r="E247" s="13">
        <f>SUM(E237:E244)</f>
        <v>1100</v>
      </c>
      <c r="F247" s="15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62"/>
      <c r="B248" s="61"/>
      <c r="C248" s="61"/>
      <c r="D248" s="61"/>
      <c r="E248" s="59"/>
      <c r="F248" s="15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20" t="s">
        <v>37</v>
      </c>
      <c r="B249" s="27" t="s">
        <v>185</v>
      </c>
      <c r="C249" s="58" t="s">
        <v>186</v>
      </c>
      <c r="D249" s="59"/>
      <c r="E249" s="17">
        <f>BANGOREJO!AG249+KEBONDALEM!AH249+RINGINTELU!Z249+SAMBIMULYO!AF249+SAMBIREJO!AF249+SUKOREJO!AB249+TEMUREJO!AU249</f>
        <v>32</v>
      </c>
      <c r="F249" s="18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20" t="s">
        <v>39</v>
      </c>
      <c r="B250" s="34"/>
      <c r="C250" s="29" t="s">
        <v>187</v>
      </c>
      <c r="D250" s="36"/>
      <c r="E250" s="17">
        <f>BANGOREJO!AG250+KEBONDALEM!AH250+RINGINTELU!Z250+SAMBIMULYO!AF250+SAMBIREJO!AF250+SUKOREJO!AB250+TEMUREJO!AU250</f>
        <v>79</v>
      </c>
      <c r="F250" s="15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15"/>
      <c r="B251" s="34"/>
      <c r="C251" s="29" t="s">
        <v>188</v>
      </c>
      <c r="D251" s="36"/>
      <c r="E251" s="17">
        <f>BANGOREJO!AG251+KEBONDALEM!AH251+RINGINTELU!Z251+SAMBIMULYO!AF251+SAMBIREJO!AF251+SUKOREJO!AB251+TEMUREJO!AU251</f>
        <v>2</v>
      </c>
      <c r="F251" s="18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15"/>
      <c r="B252" s="34"/>
      <c r="C252" s="29" t="s">
        <v>189</v>
      </c>
      <c r="D252" s="36"/>
      <c r="E252" s="17">
        <f>BANGOREJO!AG252+KEBONDALEM!AH252+RINGINTELU!Z252+SAMBIMULYO!AF252+SAMBIREJO!AF252+SUKOREJO!AB252+TEMUREJO!AU252</f>
        <v>8</v>
      </c>
      <c r="F252" s="18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15"/>
      <c r="B253" s="37"/>
      <c r="C253" s="44"/>
      <c r="D253" s="39"/>
      <c r="E253" s="40"/>
      <c r="F253" s="15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15"/>
      <c r="B254" s="37"/>
      <c r="C254" s="44"/>
      <c r="D254" s="39"/>
      <c r="E254" s="40"/>
      <c r="F254" s="18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15"/>
      <c r="B255" s="37"/>
      <c r="C255" s="44"/>
      <c r="D255" s="39"/>
      <c r="E255" s="40"/>
      <c r="F255" s="1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15"/>
      <c r="B256" s="37"/>
      <c r="C256" s="44"/>
      <c r="D256" s="39"/>
      <c r="E256" s="40"/>
      <c r="F256" s="1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15"/>
      <c r="B257" s="37"/>
      <c r="C257" s="44"/>
      <c r="D257" s="39"/>
      <c r="E257" s="40"/>
      <c r="F257" s="1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15"/>
      <c r="B258" s="37"/>
      <c r="C258" s="44"/>
      <c r="D258" s="39"/>
      <c r="E258" s="40"/>
      <c r="F258" s="1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16" t="s">
        <v>15</v>
      </c>
      <c r="B259" s="60" t="s">
        <v>49</v>
      </c>
      <c r="C259" s="61"/>
      <c r="D259" s="59"/>
      <c r="E259" s="13">
        <f>SUM(E249:E255)</f>
        <v>121</v>
      </c>
      <c r="F259" s="15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F260" s="15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26" t="s">
        <v>190</v>
      </c>
      <c r="B261" s="65" t="s">
        <v>191</v>
      </c>
      <c r="C261" s="61"/>
      <c r="D261" s="59"/>
      <c r="E261" s="13"/>
      <c r="F261" s="15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26"/>
      <c r="B262" s="47" t="s">
        <v>192</v>
      </c>
      <c r="C262" s="83" t="s">
        <v>193</v>
      </c>
      <c r="D262" s="59"/>
      <c r="E262" s="17">
        <f>BANGOREJO!AG262+KEBONDALEM!AH262+RINGINTELU!Z262+SAMBIMULYO!AF262+SAMBIREJO!AF262+SUKOREJO!AB262+TEMUREJO!AU262</f>
        <v>36029</v>
      </c>
      <c r="F262" s="15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22"/>
      <c r="B263" s="47" t="s">
        <v>194</v>
      </c>
      <c r="C263" s="83" t="s">
        <v>195</v>
      </c>
      <c r="D263" s="59"/>
      <c r="E263" s="17">
        <f>BANGOREJO!AG263+KEBONDALEM!AH263+RINGINTELU!Z263+SAMBIMULYO!AF263+SAMBIREJO!AF263+SUKOREJO!AB263+TEMUREJO!AU263</f>
        <v>4760</v>
      </c>
      <c r="F263" s="15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25"/>
      <c r="B264" s="47" t="s">
        <v>196</v>
      </c>
      <c r="C264" s="83" t="s">
        <v>197</v>
      </c>
      <c r="D264" s="59"/>
      <c r="E264" s="13">
        <f>SUM(E262:E263)</f>
        <v>40789</v>
      </c>
      <c r="F264" s="15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5"/>
      <c r="B265" s="48"/>
      <c r="C265" s="4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5"/>
      <c r="B266" s="48"/>
      <c r="C266" s="4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5"/>
      <c r="B267" s="48"/>
      <c r="C267" s="4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hidden="1" customHeight="1" x14ac:dyDescent="0.3">
      <c r="A268" s="5"/>
      <c r="B268" s="48"/>
      <c r="C268" s="4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hidden="1" customHeight="1" x14ac:dyDescent="0.3">
      <c r="A269" s="5"/>
      <c r="B269" s="48"/>
      <c r="C269" s="4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hidden="1" customHeight="1" x14ac:dyDescent="0.3">
      <c r="A270" s="5"/>
      <c r="B270" s="48"/>
      <c r="C270" s="4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hidden="1" customHeight="1" x14ac:dyDescent="0.3">
      <c r="A271" s="5"/>
      <c r="B271" s="48"/>
      <c r="C271" s="4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hidden="1" customHeight="1" x14ac:dyDescent="0.3">
      <c r="A272" s="5"/>
      <c r="B272" s="48"/>
      <c r="C272" s="4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hidden="1" customHeight="1" x14ac:dyDescent="0.3">
      <c r="A273" s="5"/>
      <c r="B273" s="48"/>
      <c r="C273" s="4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hidden="1" customHeight="1" x14ac:dyDescent="0.3">
      <c r="A274" s="5"/>
      <c r="B274" s="48"/>
      <c r="C274" s="4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hidden="1" customHeight="1" x14ac:dyDescent="0.3">
      <c r="A275" s="5"/>
      <c r="B275" s="48"/>
      <c r="C275" s="4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hidden="1" customHeight="1" x14ac:dyDescent="0.3">
      <c r="A276" s="5"/>
      <c r="B276" s="48"/>
      <c r="C276" s="4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hidden="1" customHeight="1" x14ac:dyDescent="0.3">
      <c r="A277" s="5"/>
      <c r="B277" s="48"/>
      <c r="C277" s="4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hidden="1" customHeight="1" x14ac:dyDescent="0.3">
      <c r="A278" s="5"/>
      <c r="B278" s="48"/>
      <c r="C278" s="4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hidden="1" customHeight="1" x14ac:dyDescent="0.3">
      <c r="A279" s="5"/>
      <c r="B279" s="48"/>
      <c r="C279" s="4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hidden="1" customHeight="1" x14ac:dyDescent="0.3">
      <c r="A280" s="5"/>
      <c r="B280" s="48"/>
      <c r="C280" s="4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hidden="1" customHeight="1" x14ac:dyDescent="0.3">
      <c r="A281" s="5"/>
      <c r="B281" s="48"/>
      <c r="C281" s="4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hidden="1" customHeight="1" x14ac:dyDescent="0.3">
      <c r="A282" s="5"/>
      <c r="B282" s="48"/>
      <c r="C282" s="4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hidden="1" customHeight="1" x14ac:dyDescent="0.3">
      <c r="A283" s="5"/>
      <c r="B283" s="48"/>
      <c r="C283" s="4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hidden="1" customHeight="1" x14ac:dyDescent="0.3">
      <c r="A284" s="5"/>
      <c r="B284" s="48"/>
      <c r="C284" s="4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hidden="1" customHeight="1" x14ac:dyDescent="0.3">
      <c r="A285" s="5"/>
      <c r="B285" s="48"/>
      <c r="C285" s="4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hidden="1" customHeight="1" x14ac:dyDescent="0.3">
      <c r="A286" s="5"/>
      <c r="B286" s="48"/>
      <c r="C286" s="4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hidden="1" customHeight="1" x14ac:dyDescent="0.3">
      <c r="A287" s="5"/>
      <c r="B287" s="48"/>
      <c r="C287" s="4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hidden="1" customHeight="1" x14ac:dyDescent="0.3">
      <c r="A288" s="5"/>
      <c r="B288" s="48"/>
      <c r="C288" s="4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hidden="1" customHeight="1" x14ac:dyDescent="0.3">
      <c r="A289" s="5"/>
      <c r="B289" s="48"/>
      <c r="C289" s="4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hidden="1" customHeight="1" x14ac:dyDescent="0.3">
      <c r="A290" s="5"/>
      <c r="B290" s="48"/>
      <c r="C290" s="4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hidden="1" customHeight="1" x14ac:dyDescent="0.3">
      <c r="A291" s="5"/>
      <c r="B291" s="48"/>
      <c r="C291" s="4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hidden="1" customHeight="1" x14ac:dyDescent="0.3">
      <c r="A292" s="5"/>
      <c r="B292" s="48"/>
      <c r="C292" s="4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hidden="1" customHeight="1" x14ac:dyDescent="0.3">
      <c r="A293" s="5"/>
      <c r="B293" s="48"/>
      <c r="C293" s="4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hidden="1" customHeight="1" x14ac:dyDescent="0.3">
      <c r="A294" s="5"/>
      <c r="B294" s="48"/>
      <c r="C294" s="4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hidden="1" customHeight="1" x14ac:dyDescent="0.3">
      <c r="A295" s="5"/>
      <c r="B295" s="48"/>
      <c r="C295" s="4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hidden="1" customHeight="1" x14ac:dyDescent="0.3">
      <c r="A296" s="5"/>
      <c r="B296" s="48"/>
      <c r="C296" s="4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hidden="1" customHeight="1" x14ac:dyDescent="0.3">
      <c r="A297" s="5"/>
      <c r="B297" s="48"/>
      <c r="C297" s="4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hidden="1" customHeight="1" x14ac:dyDescent="0.3">
      <c r="A298" s="5"/>
      <c r="B298" s="48"/>
      <c r="C298" s="4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hidden="1" customHeight="1" x14ac:dyDescent="0.3">
      <c r="A299" s="5"/>
      <c r="B299" s="48"/>
      <c r="C299" s="4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hidden="1" customHeight="1" x14ac:dyDescent="0.3">
      <c r="A300" s="5"/>
      <c r="B300" s="48"/>
      <c r="C300" s="4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hidden="1" customHeight="1" x14ac:dyDescent="0.3">
      <c r="A301" s="5"/>
      <c r="B301" s="48"/>
      <c r="C301" s="4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hidden="1" customHeight="1" x14ac:dyDescent="0.3">
      <c r="A302" s="5"/>
      <c r="B302" s="48"/>
      <c r="C302" s="4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hidden="1" customHeight="1" x14ac:dyDescent="0.3">
      <c r="A303" s="5"/>
      <c r="B303" s="48"/>
      <c r="C303" s="4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hidden="1" customHeight="1" x14ac:dyDescent="0.3">
      <c r="A304" s="5"/>
      <c r="B304" s="48"/>
      <c r="C304" s="4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hidden="1" customHeight="1" x14ac:dyDescent="0.3">
      <c r="A305" s="5"/>
      <c r="B305" s="48"/>
      <c r="C305" s="4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hidden="1" customHeight="1" x14ac:dyDescent="0.3">
      <c r="A306" s="5"/>
      <c r="B306" s="48"/>
      <c r="C306" s="4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hidden="1" customHeight="1" x14ac:dyDescent="0.3">
      <c r="A307" s="5"/>
      <c r="B307" s="48"/>
      <c r="C307" s="4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hidden="1" customHeight="1" x14ac:dyDescent="0.3">
      <c r="A308" s="5"/>
      <c r="B308" s="48"/>
      <c r="C308" s="4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hidden="1" customHeight="1" x14ac:dyDescent="0.3">
      <c r="A309" s="5"/>
      <c r="B309" s="48"/>
      <c r="C309" s="4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hidden="1" customHeight="1" x14ac:dyDescent="0.3">
      <c r="A310" s="5"/>
      <c r="B310" s="48"/>
      <c r="C310" s="4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hidden="1" customHeight="1" x14ac:dyDescent="0.3">
      <c r="A311" s="5"/>
      <c r="B311" s="48"/>
      <c r="C311" s="4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hidden="1" customHeight="1" x14ac:dyDescent="0.3">
      <c r="A312" s="5"/>
      <c r="B312" s="48"/>
      <c r="C312" s="4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hidden="1" customHeight="1" x14ac:dyDescent="0.3">
      <c r="A313" s="5"/>
      <c r="B313" s="48"/>
      <c r="C313" s="4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hidden="1" customHeight="1" x14ac:dyDescent="0.3">
      <c r="A314" s="5"/>
      <c r="B314" s="48"/>
      <c r="C314" s="4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hidden="1" customHeight="1" x14ac:dyDescent="0.3">
      <c r="A315" s="5"/>
      <c r="B315" s="48"/>
      <c r="C315" s="4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hidden="1" customHeight="1" x14ac:dyDescent="0.3">
      <c r="A316" s="5"/>
      <c r="B316" s="48"/>
      <c r="C316" s="4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hidden="1" customHeight="1" x14ac:dyDescent="0.3">
      <c r="A317" s="5"/>
      <c r="B317" s="48"/>
      <c r="C317" s="4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hidden="1" customHeight="1" x14ac:dyDescent="0.3">
      <c r="A318" s="5"/>
      <c r="B318" s="48"/>
      <c r="C318" s="4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hidden="1" customHeight="1" x14ac:dyDescent="0.3">
      <c r="A319" s="5"/>
      <c r="B319" s="48"/>
      <c r="C319" s="4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hidden="1" customHeight="1" x14ac:dyDescent="0.3">
      <c r="A320" s="5"/>
      <c r="B320" s="48"/>
      <c r="C320" s="4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hidden="1" customHeight="1" x14ac:dyDescent="0.3">
      <c r="A321" s="5"/>
      <c r="B321" s="48"/>
      <c r="C321" s="4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hidden="1" customHeight="1" x14ac:dyDescent="0.3">
      <c r="A322" s="5"/>
      <c r="B322" s="48"/>
      <c r="C322" s="4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hidden="1" customHeight="1" x14ac:dyDescent="0.3">
      <c r="A323" s="5"/>
      <c r="B323" s="48"/>
      <c r="C323" s="4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hidden="1" customHeight="1" x14ac:dyDescent="0.3">
      <c r="A324" s="5"/>
      <c r="B324" s="48"/>
      <c r="C324" s="4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hidden="1" customHeight="1" x14ac:dyDescent="0.3">
      <c r="A325" s="5"/>
      <c r="B325" s="48"/>
      <c r="C325" s="4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hidden="1" customHeight="1" x14ac:dyDescent="0.3">
      <c r="A326" s="5"/>
      <c r="B326" s="48"/>
      <c r="C326" s="4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hidden="1" customHeight="1" x14ac:dyDescent="0.3">
      <c r="A327" s="5"/>
      <c r="B327" s="48"/>
      <c r="C327" s="4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hidden="1" customHeight="1" x14ac:dyDescent="0.3">
      <c r="A328" s="5"/>
      <c r="B328" s="48"/>
      <c r="C328" s="4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hidden="1" customHeight="1" x14ac:dyDescent="0.3">
      <c r="A329" s="5"/>
      <c r="B329" s="48"/>
      <c r="C329" s="4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hidden="1" customHeight="1" x14ac:dyDescent="0.3">
      <c r="A330" s="5"/>
      <c r="B330" s="48"/>
      <c r="C330" s="4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hidden="1" customHeight="1" x14ac:dyDescent="0.3">
      <c r="A331" s="5"/>
      <c r="B331" s="48"/>
      <c r="C331" s="4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hidden="1" customHeight="1" x14ac:dyDescent="0.3">
      <c r="A332" s="5"/>
      <c r="B332" s="48"/>
      <c r="C332" s="4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hidden="1" customHeight="1" x14ac:dyDescent="0.3">
      <c r="A333" s="5"/>
      <c r="B333" s="48"/>
      <c r="C333" s="4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hidden="1" customHeight="1" x14ac:dyDescent="0.3">
      <c r="A334" s="5"/>
      <c r="B334" s="48"/>
      <c r="C334" s="4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hidden="1" customHeight="1" x14ac:dyDescent="0.3">
      <c r="A335" s="5"/>
      <c r="B335" s="48"/>
      <c r="C335" s="4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hidden="1" customHeight="1" x14ac:dyDescent="0.3">
      <c r="A336" s="5"/>
      <c r="B336" s="48"/>
      <c r="C336" s="4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hidden="1" customHeight="1" x14ac:dyDescent="0.3">
      <c r="A337" s="5"/>
      <c r="B337" s="48"/>
      <c r="C337" s="4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hidden="1" customHeight="1" x14ac:dyDescent="0.3">
      <c r="A338" s="5"/>
      <c r="B338" s="48"/>
      <c r="C338" s="4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hidden="1" customHeight="1" x14ac:dyDescent="0.3">
      <c r="A339" s="5"/>
      <c r="B339" s="48"/>
      <c r="C339" s="4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hidden="1" customHeight="1" x14ac:dyDescent="0.3">
      <c r="A340" s="5"/>
      <c r="B340" s="48"/>
      <c r="C340" s="4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hidden="1" customHeight="1" x14ac:dyDescent="0.3">
      <c r="A341" s="5"/>
      <c r="B341" s="48"/>
      <c r="C341" s="4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hidden="1" customHeight="1" x14ac:dyDescent="0.3">
      <c r="A342" s="5"/>
      <c r="B342" s="48"/>
      <c r="C342" s="4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hidden="1" customHeight="1" x14ac:dyDescent="0.3">
      <c r="A343" s="5"/>
      <c r="B343" s="48"/>
      <c r="C343" s="4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hidden="1" customHeight="1" x14ac:dyDescent="0.3">
      <c r="A344" s="5"/>
      <c r="B344" s="48"/>
      <c r="C344" s="4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hidden="1" customHeight="1" x14ac:dyDescent="0.3">
      <c r="A345" s="5"/>
      <c r="B345" s="48"/>
      <c r="C345" s="4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hidden="1" customHeight="1" x14ac:dyDescent="0.3">
      <c r="A346" s="5"/>
      <c r="B346" s="48"/>
      <c r="C346" s="4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hidden="1" customHeight="1" x14ac:dyDescent="0.3">
      <c r="A347" s="5"/>
      <c r="B347" s="48"/>
      <c r="C347" s="4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hidden="1" customHeight="1" x14ac:dyDescent="0.3">
      <c r="A348" s="5"/>
      <c r="B348" s="48"/>
      <c r="C348" s="4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hidden="1" customHeight="1" x14ac:dyDescent="0.3">
      <c r="A349" s="5"/>
      <c r="B349" s="48"/>
      <c r="C349" s="4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hidden="1" customHeight="1" x14ac:dyDescent="0.3">
      <c r="A350" s="5"/>
      <c r="B350" s="48"/>
      <c r="C350" s="4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hidden="1" customHeight="1" x14ac:dyDescent="0.3">
      <c r="A351" s="5"/>
      <c r="B351" s="48"/>
      <c r="C351" s="4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hidden="1" customHeight="1" x14ac:dyDescent="0.3">
      <c r="A352" s="5"/>
      <c r="B352" s="48"/>
      <c r="C352" s="4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hidden="1" customHeight="1" x14ac:dyDescent="0.3">
      <c r="A353" s="5"/>
      <c r="B353" s="48"/>
      <c r="C353" s="4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hidden="1" customHeight="1" x14ac:dyDescent="0.3">
      <c r="A354" s="5"/>
      <c r="B354" s="48"/>
      <c r="C354" s="4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hidden="1" customHeight="1" x14ac:dyDescent="0.3">
      <c r="A355" s="5"/>
      <c r="B355" s="48"/>
      <c r="C355" s="4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hidden="1" customHeight="1" x14ac:dyDescent="0.3">
      <c r="A356" s="5"/>
      <c r="B356" s="48"/>
      <c r="C356" s="4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hidden="1" customHeight="1" x14ac:dyDescent="0.3">
      <c r="A357" s="5"/>
      <c r="B357" s="48"/>
      <c r="C357" s="4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hidden="1" customHeight="1" x14ac:dyDescent="0.3">
      <c r="A358" s="5"/>
      <c r="B358" s="48"/>
      <c r="C358" s="4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hidden="1" customHeight="1" x14ac:dyDescent="0.3">
      <c r="A359" s="5"/>
      <c r="B359" s="48"/>
      <c r="C359" s="4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hidden="1" customHeight="1" x14ac:dyDescent="0.3">
      <c r="A360" s="5"/>
      <c r="B360" s="48"/>
      <c r="C360" s="4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hidden="1" customHeight="1" x14ac:dyDescent="0.3">
      <c r="A361" s="5"/>
      <c r="B361" s="48"/>
      <c r="C361" s="4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hidden="1" customHeight="1" x14ac:dyDescent="0.3">
      <c r="A362" s="5"/>
      <c r="B362" s="48"/>
      <c r="C362" s="4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hidden="1" customHeight="1" x14ac:dyDescent="0.3">
      <c r="A363" s="5"/>
      <c r="B363" s="48"/>
      <c r="C363" s="4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hidden="1" customHeight="1" x14ac:dyDescent="0.3">
      <c r="A364" s="5"/>
      <c r="B364" s="48"/>
      <c r="C364" s="4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hidden="1" customHeight="1" x14ac:dyDescent="0.3">
      <c r="A365" s="5"/>
      <c r="B365" s="48"/>
      <c r="C365" s="4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hidden="1" customHeight="1" x14ac:dyDescent="0.3">
      <c r="A366" s="5"/>
      <c r="B366" s="48"/>
      <c r="C366" s="4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hidden="1" customHeight="1" x14ac:dyDescent="0.3">
      <c r="A367" s="5"/>
      <c r="B367" s="48"/>
      <c r="C367" s="4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hidden="1" customHeight="1" x14ac:dyDescent="0.3">
      <c r="A368" s="5"/>
      <c r="B368" s="48"/>
      <c r="C368" s="4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hidden="1" customHeight="1" x14ac:dyDescent="0.3">
      <c r="A369" s="5"/>
      <c r="B369" s="48"/>
      <c r="C369" s="4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hidden="1" customHeight="1" x14ac:dyDescent="0.3">
      <c r="A370" s="5"/>
      <c r="B370" s="48"/>
      <c r="C370" s="4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hidden="1" customHeight="1" x14ac:dyDescent="0.3">
      <c r="A371" s="5"/>
      <c r="B371" s="48"/>
      <c r="C371" s="4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hidden="1" customHeight="1" x14ac:dyDescent="0.3">
      <c r="A372" s="5"/>
      <c r="B372" s="48"/>
      <c r="C372" s="4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hidden="1" customHeight="1" x14ac:dyDescent="0.3">
      <c r="A373" s="5"/>
      <c r="B373" s="48"/>
      <c r="C373" s="4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hidden="1" customHeight="1" x14ac:dyDescent="0.3">
      <c r="A374" s="5"/>
      <c r="B374" s="48"/>
      <c r="C374" s="4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hidden="1" customHeight="1" x14ac:dyDescent="0.3">
      <c r="A375" s="5"/>
      <c r="B375" s="48"/>
      <c r="C375" s="4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hidden="1" customHeight="1" x14ac:dyDescent="0.3">
      <c r="A376" s="5"/>
      <c r="B376" s="48"/>
      <c r="C376" s="4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hidden="1" customHeight="1" x14ac:dyDescent="0.3">
      <c r="A377" s="5"/>
      <c r="B377" s="48"/>
      <c r="C377" s="4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hidden="1" customHeight="1" x14ac:dyDescent="0.3">
      <c r="A378" s="5"/>
      <c r="B378" s="48"/>
      <c r="C378" s="4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hidden="1" customHeight="1" x14ac:dyDescent="0.3">
      <c r="A379" s="5"/>
      <c r="B379" s="48"/>
      <c r="C379" s="4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hidden="1" customHeight="1" x14ac:dyDescent="0.3">
      <c r="A380" s="5"/>
      <c r="B380" s="48"/>
      <c r="C380" s="4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hidden="1" customHeight="1" x14ac:dyDescent="0.3">
      <c r="A381" s="5"/>
      <c r="B381" s="48"/>
      <c r="C381" s="4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hidden="1" customHeight="1" x14ac:dyDescent="0.3">
      <c r="A382" s="5"/>
      <c r="B382" s="48"/>
      <c r="C382" s="4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hidden="1" customHeight="1" x14ac:dyDescent="0.3">
      <c r="A383" s="5"/>
      <c r="B383" s="48"/>
      <c r="C383" s="4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hidden="1" customHeight="1" x14ac:dyDescent="0.3">
      <c r="A384" s="5"/>
      <c r="B384" s="48"/>
      <c r="C384" s="4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hidden="1" customHeight="1" x14ac:dyDescent="0.3">
      <c r="A385" s="5"/>
      <c r="B385" s="48"/>
      <c r="C385" s="4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hidden="1" customHeight="1" x14ac:dyDescent="0.3">
      <c r="A386" s="5"/>
      <c r="B386" s="48"/>
      <c r="C386" s="4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hidden="1" customHeight="1" x14ac:dyDescent="0.3">
      <c r="A387" s="5"/>
      <c r="B387" s="48"/>
      <c r="C387" s="4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hidden="1" customHeight="1" x14ac:dyDescent="0.3">
      <c r="A388" s="5"/>
      <c r="B388" s="48"/>
      <c r="C388" s="4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hidden="1" customHeight="1" x14ac:dyDescent="0.3">
      <c r="A389" s="5"/>
      <c r="B389" s="48"/>
      <c r="C389" s="4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hidden="1" customHeight="1" x14ac:dyDescent="0.3">
      <c r="A390" s="5"/>
      <c r="B390" s="48"/>
      <c r="C390" s="4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hidden="1" customHeight="1" x14ac:dyDescent="0.3">
      <c r="A391" s="5"/>
      <c r="B391" s="48"/>
      <c r="C391" s="4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hidden="1" customHeight="1" x14ac:dyDescent="0.3">
      <c r="A392" s="5"/>
      <c r="B392" s="48"/>
      <c r="C392" s="4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hidden="1" customHeight="1" x14ac:dyDescent="0.3">
      <c r="A393" s="5"/>
      <c r="B393" s="48"/>
      <c r="C393" s="4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hidden="1" customHeight="1" x14ac:dyDescent="0.3">
      <c r="A394" s="5"/>
      <c r="B394" s="48"/>
      <c r="C394" s="4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hidden="1" customHeight="1" x14ac:dyDescent="0.3">
      <c r="A395" s="5"/>
      <c r="B395" s="48"/>
      <c r="C395" s="4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hidden="1" customHeight="1" x14ac:dyDescent="0.3">
      <c r="A396" s="5"/>
      <c r="B396" s="48"/>
      <c r="C396" s="4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hidden="1" customHeight="1" x14ac:dyDescent="0.3">
      <c r="A397" s="5"/>
      <c r="B397" s="48"/>
      <c r="C397" s="4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hidden="1" customHeight="1" x14ac:dyDescent="0.3">
      <c r="A398" s="5"/>
      <c r="B398" s="48"/>
      <c r="C398" s="4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hidden="1" customHeight="1" x14ac:dyDescent="0.3">
      <c r="A399" s="5"/>
      <c r="B399" s="48"/>
      <c r="C399" s="4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hidden="1" customHeight="1" x14ac:dyDescent="0.3">
      <c r="A400" s="5"/>
      <c r="B400" s="48"/>
      <c r="C400" s="4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hidden="1" customHeight="1" x14ac:dyDescent="0.3">
      <c r="A401" s="5"/>
      <c r="B401" s="48"/>
      <c r="C401" s="4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hidden="1" customHeight="1" x14ac:dyDescent="0.3">
      <c r="A402" s="5"/>
      <c r="B402" s="48"/>
      <c r="C402" s="4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hidden="1" customHeight="1" x14ac:dyDescent="0.3">
      <c r="A403" s="5"/>
      <c r="B403" s="48"/>
      <c r="C403" s="4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hidden="1" customHeight="1" x14ac:dyDescent="0.3">
      <c r="A404" s="5"/>
      <c r="B404" s="48"/>
      <c r="C404" s="4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hidden="1" customHeight="1" x14ac:dyDescent="0.3">
      <c r="A405" s="5"/>
      <c r="B405" s="48"/>
      <c r="C405" s="4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hidden="1" customHeight="1" x14ac:dyDescent="0.3">
      <c r="A406" s="5"/>
      <c r="B406" s="48"/>
      <c r="C406" s="4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hidden="1" customHeight="1" x14ac:dyDescent="0.3">
      <c r="A407" s="5"/>
      <c r="B407" s="48"/>
      <c r="C407" s="4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hidden="1" customHeight="1" x14ac:dyDescent="0.3">
      <c r="A408" s="5"/>
      <c r="B408" s="48"/>
      <c r="C408" s="4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hidden="1" customHeight="1" x14ac:dyDescent="0.3">
      <c r="A409" s="5"/>
      <c r="B409" s="48"/>
      <c r="C409" s="4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hidden="1" customHeight="1" x14ac:dyDescent="0.3">
      <c r="A410" s="5"/>
      <c r="B410" s="48"/>
      <c r="C410" s="4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hidden="1" customHeight="1" x14ac:dyDescent="0.3">
      <c r="A411" s="5"/>
      <c r="B411" s="48"/>
      <c r="C411" s="4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hidden="1" customHeight="1" x14ac:dyDescent="0.3">
      <c r="A412" s="5"/>
      <c r="B412" s="48"/>
      <c r="C412" s="4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hidden="1" customHeight="1" x14ac:dyDescent="0.3">
      <c r="A413" s="5"/>
      <c r="B413" s="48"/>
      <c r="C413" s="4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hidden="1" customHeight="1" x14ac:dyDescent="0.3">
      <c r="A414" s="5"/>
      <c r="B414" s="48"/>
      <c r="C414" s="4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hidden="1" customHeight="1" x14ac:dyDescent="0.3">
      <c r="A415" s="5"/>
      <c r="B415" s="48"/>
      <c r="C415" s="4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hidden="1" customHeight="1" x14ac:dyDescent="0.3">
      <c r="A416" s="5"/>
      <c r="B416" s="48"/>
      <c r="C416" s="4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hidden="1" customHeight="1" x14ac:dyDescent="0.3">
      <c r="A417" s="5"/>
      <c r="B417" s="48"/>
      <c r="C417" s="4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hidden="1" customHeight="1" x14ac:dyDescent="0.3">
      <c r="A418" s="5"/>
      <c r="B418" s="48"/>
      <c r="C418" s="4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hidden="1" customHeight="1" x14ac:dyDescent="0.3">
      <c r="A419" s="5"/>
      <c r="B419" s="48"/>
      <c r="C419" s="4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hidden="1" customHeight="1" x14ac:dyDescent="0.3">
      <c r="A420" s="5"/>
      <c r="B420" s="48"/>
      <c r="C420" s="4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hidden="1" customHeight="1" x14ac:dyDescent="0.3">
      <c r="A421" s="5"/>
      <c r="B421" s="48"/>
      <c r="C421" s="4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hidden="1" customHeight="1" x14ac:dyDescent="0.3">
      <c r="A422" s="5"/>
      <c r="B422" s="48"/>
      <c r="C422" s="4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hidden="1" customHeight="1" x14ac:dyDescent="0.3">
      <c r="A423" s="5"/>
      <c r="B423" s="48"/>
      <c r="C423" s="4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hidden="1" customHeight="1" x14ac:dyDescent="0.3">
      <c r="A424" s="5"/>
      <c r="B424" s="48"/>
      <c r="C424" s="4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hidden="1" customHeight="1" x14ac:dyDescent="0.3">
      <c r="A425" s="5"/>
      <c r="B425" s="48"/>
      <c r="C425" s="4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hidden="1" customHeight="1" x14ac:dyDescent="0.3">
      <c r="A426" s="5"/>
      <c r="B426" s="48"/>
      <c r="C426" s="4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hidden="1" customHeight="1" x14ac:dyDescent="0.3">
      <c r="A427" s="5"/>
      <c r="B427" s="48"/>
      <c r="C427" s="4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hidden="1" customHeight="1" x14ac:dyDescent="0.3">
      <c r="A428" s="5"/>
      <c r="B428" s="48"/>
      <c r="C428" s="4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hidden="1" customHeight="1" x14ac:dyDescent="0.3">
      <c r="A429" s="5"/>
      <c r="B429" s="48"/>
      <c r="C429" s="4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hidden="1" customHeight="1" x14ac:dyDescent="0.3">
      <c r="A430" s="5"/>
      <c r="B430" s="48"/>
      <c r="C430" s="4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hidden="1" customHeight="1" x14ac:dyDescent="0.3">
      <c r="A431" s="5"/>
      <c r="B431" s="48"/>
      <c r="C431" s="4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hidden="1" customHeight="1" x14ac:dyDescent="0.3">
      <c r="A432" s="5"/>
      <c r="B432" s="48"/>
      <c r="C432" s="4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hidden="1" customHeight="1" x14ac:dyDescent="0.3">
      <c r="A433" s="5"/>
      <c r="B433" s="48"/>
      <c r="C433" s="4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hidden="1" customHeight="1" x14ac:dyDescent="0.3">
      <c r="A434" s="5"/>
      <c r="B434" s="48"/>
      <c r="C434" s="4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hidden="1" customHeight="1" x14ac:dyDescent="0.3">
      <c r="A435" s="5"/>
      <c r="B435" s="48"/>
      <c r="C435" s="4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hidden="1" customHeight="1" x14ac:dyDescent="0.3">
      <c r="A436" s="5"/>
      <c r="B436" s="48"/>
      <c r="C436" s="4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hidden="1" customHeight="1" x14ac:dyDescent="0.3">
      <c r="A437" s="5"/>
      <c r="B437" s="48"/>
      <c r="C437" s="4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hidden="1" customHeight="1" x14ac:dyDescent="0.3">
      <c r="A438" s="5"/>
      <c r="B438" s="48"/>
      <c r="C438" s="4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hidden="1" customHeight="1" x14ac:dyDescent="0.3">
      <c r="A439" s="5"/>
      <c r="B439" s="48"/>
      <c r="C439" s="4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hidden="1" customHeight="1" x14ac:dyDescent="0.3">
      <c r="A440" s="5"/>
      <c r="B440" s="48"/>
      <c r="C440" s="4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hidden="1" customHeight="1" x14ac:dyDescent="0.3">
      <c r="A441" s="5"/>
      <c r="B441" s="48"/>
      <c r="C441" s="4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hidden="1" customHeight="1" x14ac:dyDescent="0.3">
      <c r="A442" s="5"/>
      <c r="B442" s="48"/>
      <c r="C442" s="4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hidden="1" customHeight="1" x14ac:dyDescent="0.3">
      <c r="A443" s="5"/>
      <c r="B443" s="48"/>
      <c r="C443" s="4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hidden="1" customHeight="1" x14ac:dyDescent="0.3">
      <c r="A444" s="5"/>
      <c r="B444" s="48"/>
      <c r="C444" s="4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hidden="1" customHeight="1" x14ac:dyDescent="0.3">
      <c r="A445" s="5"/>
      <c r="B445" s="48"/>
      <c r="C445" s="4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hidden="1" customHeight="1" x14ac:dyDescent="0.3">
      <c r="A446" s="5"/>
      <c r="B446" s="48"/>
      <c r="C446" s="4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hidden="1" customHeight="1" x14ac:dyDescent="0.3">
      <c r="A447" s="5"/>
      <c r="B447" s="48"/>
      <c r="C447" s="4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hidden="1" customHeight="1" x14ac:dyDescent="0.3">
      <c r="A448" s="5"/>
      <c r="B448" s="48"/>
      <c r="C448" s="4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hidden="1" customHeight="1" x14ac:dyDescent="0.3">
      <c r="A449" s="5"/>
      <c r="B449" s="48"/>
      <c r="C449" s="4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hidden="1" customHeight="1" x14ac:dyDescent="0.3">
      <c r="A450" s="5"/>
      <c r="B450" s="48"/>
      <c r="C450" s="4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hidden="1" customHeight="1" x14ac:dyDescent="0.3">
      <c r="A451" s="5"/>
      <c r="B451" s="48"/>
      <c r="C451" s="4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hidden="1" customHeight="1" x14ac:dyDescent="0.3">
      <c r="A452" s="5"/>
      <c r="B452" s="48"/>
      <c r="C452" s="4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hidden="1" customHeight="1" x14ac:dyDescent="0.3">
      <c r="A453" s="5"/>
      <c r="B453" s="48"/>
      <c r="C453" s="4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hidden="1" customHeight="1" x14ac:dyDescent="0.3">
      <c r="A454" s="5"/>
      <c r="B454" s="48"/>
      <c r="C454" s="4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hidden="1" customHeight="1" x14ac:dyDescent="0.3">
      <c r="A455" s="5"/>
      <c r="B455" s="48"/>
      <c r="C455" s="4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hidden="1" customHeight="1" x14ac:dyDescent="0.3">
      <c r="A456" s="5"/>
      <c r="B456" s="48"/>
      <c r="C456" s="4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hidden="1" customHeight="1" x14ac:dyDescent="0.3">
      <c r="A457" s="5"/>
      <c r="B457" s="48"/>
      <c r="C457" s="4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hidden="1" customHeight="1" x14ac:dyDescent="0.3">
      <c r="A458" s="5"/>
      <c r="B458" s="48"/>
      <c r="C458" s="4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hidden="1" customHeight="1" x14ac:dyDescent="0.3">
      <c r="A459" s="5"/>
      <c r="B459" s="48"/>
      <c r="C459" s="4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hidden="1" customHeight="1" x14ac:dyDescent="0.3">
      <c r="A460" s="5"/>
      <c r="B460" s="48"/>
      <c r="C460" s="4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hidden="1" customHeight="1" x14ac:dyDescent="0.3">
      <c r="A461" s="5"/>
      <c r="B461" s="48"/>
      <c r="C461" s="4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hidden="1" customHeight="1" x14ac:dyDescent="0.3">
      <c r="A462" s="5"/>
      <c r="B462" s="48"/>
      <c r="C462" s="49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hidden="1" customHeight="1" x14ac:dyDescent="0.3">
      <c r="A463" s="5"/>
      <c r="B463" s="48"/>
      <c r="C463" s="49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hidden="1" customHeight="1" x14ac:dyDescent="0.3">
      <c r="A464" s="5"/>
      <c r="B464" s="48"/>
      <c r="C464" s="49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3">
    <mergeCell ref="A92:E92"/>
    <mergeCell ref="C93:D93"/>
    <mergeCell ref="B103:D103"/>
    <mergeCell ref="A104:E104"/>
    <mergeCell ref="C105:D105"/>
    <mergeCell ref="C141:D141"/>
    <mergeCell ref="B151:D151"/>
    <mergeCell ref="B115:D115"/>
    <mergeCell ref="A116:E116"/>
    <mergeCell ref="C117:D117"/>
    <mergeCell ref="B127:D127"/>
    <mergeCell ref="A128:E128"/>
    <mergeCell ref="C213:D213"/>
    <mergeCell ref="B223:D223"/>
    <mergeCell ref="A224:E224"/>
    <mergeCell ref="C225:D225"/>
    <mergeCell ref="B175:D175"/>
    <mergeCell ref="A176:E176"/>
    <mergeCell ref="C177:D177"/>
    <mergeCell ref="B187:D187"/>
    <mergeCell ref="A188:E188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261:D261"/>
    <mergeCell ref="C262:D262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189:D189"/>
    <mergeCell ref="B199:D199"/>
    <mergeCell ref="A200:E200"/>
    <mergeCell ref="A152:E152"/>
    <mergeCell ref="C153:D153"/>
    <mergeCell ref="B163:D163"/>
    <mergeCell ref="A164:E164"/>
    <mergeCell ref="C165:D165"/>
    <mergeCell ref="C129:D129"/>
    <mergeCell ref="B139:D139"/>
    <mergeCell ref="A140:E140"/>
  </mergeCells>
  <conditionalFormatting sqref="E30">
    <cfRule type="expression" dxfId="206" priority="1">
      <formula>E30&lt;&gt;E264</formula>
    </cfRule>
    <cfRule type="expression" dxfId="205" priority="2">
      <formula>E30&lt;&gt;E34</formula>
    </cfRule>
  </conditionalFormatting>
  <conditionalFormatting sqref="E259">
    <cfRule type="containsBlanks" dxfId="204" priority="3">
      <formula>LEN(TRIM(E259))=0</formula>
    </cfRule>
  </conditionalFormatting>
  <conditionalFormatting sqref="F259:O261">
    <cfRule type="cellIs" dxfId="203" priority="4" operator="equal">
      <formula>"FALSE"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I1000"/>
  <sheetViews>
    <sheetView topLeftCell="A250" workbookViewId="0">
      <selection activeCell="AG263" sqref="AG263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5" width="11.69921875" customWidth="1"/>
    <col min="6" max="32" width="8.69921875" customWidth="1"/>
    <col min="33" max="33" width="13.296875" customWidth="1"/>
    <col min="34" max="35" width="8.69921875" customWidth="1"/>
  </cols>
  <sheetData>
    <row r="1" spans="1:33" ht="12.75" customHeight="1" x14ac:dyDescent="0.3"/>
    <row r="2" spans="1:33" ht="12.75" customHeight="1" x14ac:dyDescent="0.3">
      <c r="C2" s="8" t="s">
        <v>0</v>
      </c>
      <c r="D2" s="8" t="s">
        <v>1</v>
      </c>
    </row>
    <row r="3" spans="1:33" ht="12.75" customHeight="1" x14ac:dyDescent="0.3">
      <c r="C3" s="8" t="s">
        <v>2</v>
      </c>
      <c r="D3" s="8" t="s">
        <v>3</v>
      </c>
    </row>
    <row r="4" spans="1:33" ht="12.75" customHeight="1" x14ac:dyDescent="0.3">
      <c r="C4" s="8" t="s">
        <v>4</v>
      </c>
      <c r="D4" s="8" t="s">
        <v>5</v>
      </c>
    </row>
    <row r="5" spans="1:33" ht="12.75" customHeight="1" x14ac:dyDescent="0.3">
      <c r="C5" s="8"/>
      <c r="D5" s="8"/>
    </row>
    <row r="6" spans="1:33" ht="12.75" customHeight="1" x14ac:dyDescent="0.3">
      <c r="C6" s="8"/>
      <c r="D6" s="8"/>
    </row>
    <row r="7" spans="1:33" ht="12.75" customHeight="1" x14ac:dyDescent="0.3">
      <c r="C7" s="8"/>
      <c r="D7" s="8"/>
    </row>
    <row r="8" spans="1:33" ht="12.75" customHeight="1" x14ac:dyDescent="0.3">
      <c r="C8" s="8"/>
      <c r="D8" s="8"/>
    </row>
    <row r="9" spans="1:33" ht="12.75" customHeight="1" x14ac:dyDescent="0.3">
      <c r="C9" s="8" t="s">
        <v>198</v>
      </c>
      <c r="D9" s="8" t="s">
        <v>1</v>
      </c>
    </row>
    <row r="10" spans="1:33" ht="12.75" customHeight="1" x14ac:dyDescent="0.3"/>
    <row r="11" spans="1:33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33" ht="12.75" customHeight="1" x14ac:dyDescent="0.3">
      <c r="A12" s="13" t="s">
        <v>6</v>
      </c>
      <c r="B12" s="65" t="s">
        <v>7</v>
      </c>
      <c r="C12" s="61"/>
      <c r="D12" s="59"/>
      <c r="E12" s="86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87" t="s">
        <v>8</v>
      </c>
    </row>
    <row r="13" spans="1:33" ht="12.75" customHeight="1" x14ac:dyDescent="0.3">
      <c r="A13" s="16" t="s">
        <v>9</v>
      </c>
      <c r="B13" s="72" t="s">
        <v>10</v>
      </c>
      <c r="C13" s="61"/>
      <c r="D13" s="59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76"/>
    </row>
    <row r="14" spans="1:33" ht="12.75" customHeight="1" x14ac:dyDescent="0.3">
      <c r="A14" s="15"/>
      <c r="B14" s="81" t="s">
        <v>11</v>
      </c>
      <c r="C14" s="67"/>
      <c r="D14" s="16" t="s">
        <v>12</v>
      </c>
      <c r="E14" s="16">
        <v>129</v>
      </c>
      <c r="F14" s="16">
        <v>130</v>
      </c>
      <c r="G14" s="16">
        <v>151</v>
      </c>
      <c r="H14" s="16">
        <v>139</v>
      </c>
      <c r="I14" s="16">
        <v>144</v>
      </c>
      <c r="J14" s="16">
        <v>124</v>
      </c>
      <c r="K14" s="16">
        <v>119</v>
      </c>
      <c r="L14" s="16">
        <v>140</v>
      </c>
      <c r="M14" s="16">
        <v>147</v>
      </c>
      <c r="N14" s="16">
        <v>146</v>
      </c>
      <c r="O14" s="16">
        <v>130</v>
      </c>
      <c r="P14" s="16">
        <v>144</v>
      </c>
      <c r="Q14" s="16">
        <v>144</v>
      </c>
      <c r="R14" s="16">
        <v>139</v>
      </c>
      <c r="S14" s="16">
        <v>145</v>
      </c>
      <c r="T14" s="16">
        <v>135</v>
      </c>
      <c r="U14" s="16">
        <v>123</v>
      </c>
      <c r="V14" s="16">
        <v>140</v>
      </c>
      <c r="W14" s="16">
        <v>134</v>
      </c>
      <c r="X14" s="16">
        <v>140</v>
      </c>
      <c r="Y14" s="16">
        <v>116</v>
      </c>
      <c r="Z14" s="16">
        <v>122</v>
      </c>
      <c r="AA14" s="16">
        <v>126</v>
      </c>
      <c r="AB14" s="16">
        <v>120</v>
      </c>
      <c r="AC14" s="16">
        <v>144</v>
      </c>
      <c r="AD14" s="16">
        <v>112</v>
      </c>
      <c r="AE14" s="16">
        <v>86</v>
      </c>
      <c r="AF14" s="16">
        <v>101</v>
      </c>
      <c r="AG14" s="13">
        <f t="shared" ref="AG14:AG16" si="0">SUM(E14:AF14)</f>
        <v>3670</v>
      </c>
    </row>
    <row r="15" spans="1:33" ht="12.75" customHeight="1" x14ac:dyDescent="0.3">
      <c r="A15" s="15"/>
      <c r="B15" s="82"/>
      <c r="C15" s="69"/>
      <c r="D15" s="16" t="s">
        <v>13</v>
      </c>
      <c r="E15" s="16">
        <v>136</v>
      </c>
      <c r="F15" s="16">
        <v>138</v>
      </c>
      <c r="G15" s="16">
        <v>145</v>
      </c>
      <c r="H15" s="16">
        <v>128</v>
      </c>
      <c r="I15" s="16">
        <v>145</v>
      </c>
      <c r="J15" s="16">
        <v>137</v>
      </c>
      <c r="K15" s="16">
        <v>134</v>
      </c>
      <c r="L15" s="16">
        <v>140</v>
      </c>
      <c r="M15" s="16">
        <v>151</v>
      </c>
      <c r="N15" s="16">
        <v>147</v>
      </c>
      <c r="O15" s="16">
        <v>143</v>
      </c>
      <c r="P15" s="16">
        <v>140</v>
      </c>
      <c r="Q15" s="16">
        <v>145</v>
      </c>
      <c r="R15" s="16">
        <v>147</v>
      </c>
      <c r="S15" s="16">
        <v>149</v>
      </c>
      <c r="T15" s="16">
        <v>108</v>
      </c>
      <c r="U15" s="16">
        <v>118</v>
      </c>
      <c r="V15" s="16">
        <v>157</v>
      </c>
      <c r="W15" s="16">
        <v>155</v>
      </c>
      <c r="X15" s="16">
        <v>131</v>
      </c>
      <c r="Y15" s="16">
        <v>104</v>
      </c>
      <c r="Z15" s="16">
        <v>111</v>
      </c>
      <c r="AA15" s="16">
        <v>123</v>
      </c>
      <c r="AB15" s="16">
        <v>122</v>
      </c>
      <c r="AC15" s="16">
        <v>139</v>
      </c>
      <c r="AD15" s="16">
        <v>124</v>
      </c>
      <c r="AE15" s="16">
        <v>87</v>
      </c>
      <c r="AF15" s="16">
        <v>115</v>
      </c>
      <c r="AG15" s="13">
        <f t="shared" si="0"/>
        <v>3719</v>
      </c>
    </row>
    <row r="16" spans="1:33" ht="12.75" customHeight="1" x14ac:dyDescent="0.3">
      <c r="A16" s="18"/>
      <c r="B16" s="80"/>
      <c r="C16" s="70"/>
      <c r="D16" s="13" t="s">
        <v>14</v>
      </c>
      <c r="E16" s="13">
        <f t="shared" ref="E16:AF16" si="1">SUM(E14:E15)</f>
        <v>265</v>
      </c>
      <c r="F16" s="13">
        <f t="shared" si="1"/>
        <v>268</v>
      </c>
      <c r="G16" s="13">
        <f t="shared" si="1"/>
        <v>296</v>
      </c>
      <c r="H16" s="13">
        <f t="shared" si="1"/>
        <v>267</v>
      </c>
      <c r="I16" s="13">
        <f t="shared" si="1"/>
        <v>289</v>
      </c>
      <c r="J16" s="13">
        <f t="shared" si="1"/>
        <v>261</v>
      </c>
      <c r="K16" s="13">
        <f t="shared" si="1"/>
        <v>253</v>
      </c>
      <c r="L16" s="13">
        <f t="shared" si="1"/>
        <v>280</v>
      </c>
      <c r="M16" s="13">
        <f t="shared" si="1"/>
        <v>298</v>
      </c>
      <c r="N16" s="13">
        <f t="shared" si="1"/>
        <v>293</v>
      </c>
      <c r="O16" s="13">
        <f t="shared" si="1"/>
        <v>273</v>
      </c>
      <c r="P16" s="13">
        <f t="shared" si="1"/>
        <v>284</v>
      </c>
      <c r="Q16" s="13">
        <f t="shared" si="1"/>
        <v>289</v>
      </c>
      <c r="R16" s="13">
        <f t="shared" si="1"/>
        <v>286</v>
      </c>
      <c r="S16" s="13">
        <f t="shared" si="1"/>
        <v>294</v>
      </c>
      <c r="T16" s="13">
        <f t="shared" si="1"/>
        <v>243</v>
      </c>
      <c r="U16" s="13">
        <f t="shared" si="1"/>
        <v>241</v>
      </c>
      <c r="V16" s="13">
        <f t="shared" si="1"/>
        <v>297</v>
      </c>
      <c r="W16" s="13">
        <f t="shared" si="1"/>
        <v>289</v>
      </c>
      <c r="X16" s="13">
        <f t="shared" si="1"/>
        <v>271</v>
      </c>
      <c r="Y16" s="13">
        <f t="shared" si="1"/>
        <v>220</v>
      </c>
      <c r="Z16" s="13">
        <f t="shared" si="1"/>
        <v>233</v>
      </c>
      <c r="AA16" s="13">
        <f t="shared" si="1"/>
        <v>249</v>
      </c>
      <c r="AB16" s="13">
        <f t="shared" si="1"/>
        <v>242</v>
      </c>
      <c r="AC16" s="13">
        <f t="shared" si="1"/>
        <v>283</v>
      </c>
      <c r="AD16" s="13">
        <f t="shared" si="1"/>
        <v>236</v>
      </c>
      <c r="AE16" s="13">
        <f t="shared" si="1"/>
        <v>173</v>
      </c>
      <c r="AF16" s="13">
        <f t="shared" si="1"/>
        <v>216</v>
      </c>
      <c r="AG16" s="13">
        <f t="shared" si="0"/>
        <v>7389</v>
      </c>
    </row>
    <row r="17" spans="1:33" ht="12.75" customHeight="1" x14ac:dyDescent="0.3">
      <c r="A17" s="62"/>
      <c r="B17" s="61"/>
      <c r="C17" s="61"/>
      <c r="D17" s="59"/>
      <c r="E17" s="16"/>
      <c r="F17" s="16"/>
      <c r="G17" s="16"/>
      <c r="H17" s="16"/>
      <c r="I17" s="16"/>
      <c r="J17" s="16"/>
      <c r="K17" s="16"/>
      <c r="L17" s="16"/>
      <c r="M17" s="16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1"/>
    </row>
    <row r="18" spans="1:33" ht="12.75" customHeight="1" x14ac:dyDescent="0.3">
      <c r="A18" s="20" t="s">
        <v>15</v>
      </c>
      <c r="B18" s="72" t="s">
        <v>16</v>
      </c>
      <c r="C18" s="61"/>
      <c r="D18" s="59"/>
      <c r="E18" s="16"/>
      <c r="F18" s="16"/>
      <c r="G18" s="16"/>
      <c r="H18" s="16"/>
      <c r="I18" s="16"/>
      <c r="J18" s="16"/>
      <c r="K18" s="16"/>
      <c r="L18" s="16"/>
      <c r="M18" s="16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1"/>
    </row>
    <row r="19" spans="1:33" ht="12.75" customHeight="1" x14ac:dyDescent="0.3">
      <c r="A19" s="20"/>
      <c r="B19" s="73" t="s">
        <v>17</v>
      </c>
      <c r="C19" s="74" t="s">
        <v>18</v>
      </c>
      <c r="D19" s="16" t="s">
        <v>12</v>
      </c>
      <c r="E19" s="16">
        <v>100</v>
      </c>
      <c r="F19" s="16">
        <v>98</v>
      </c>
      <c r="G19" s="16">
        <v>110</v>
      </c>
      <c r="H19" s="16">
        <v>122</v>
      </c>
      <c r="I19" s="16">
        <v>111</v>
      </c>
      <c r="J19" s="16">
        <v>113</v>
      </c>
      <c r="K19" s="16">
        <v>99</v>
      </c>
      <c r="L19" s="16">
        <v>115</v>
      </c>
      <c r="M19" s="16">
        <v>124</v>
      </c>
      <c r="N19" s="16">
        <v>101</v>
      </c>
      <c r="O19" s="16">
        <v>102</v>
      </c>
      <c r="P19" s="16">
        <v>108</v>
      </c>
      <c r="Q19" s="16">
        <v>115</v>
      </c>
      <c r="R19" s="16">
        <v>110</v>
      </c>
      <c r="S19" s="16">
        <v>102</v>
      </c>
      <c r="T19" s="16">
        <v>88</v>
      </c>
      <c r="U19" s="16">
        <v>79</v>
      </c>
      <c r="V19" s="16">
        <v>109</v>
      </c>
      <c r="W19" s="16">
        <v>101</v>
      </c>
      <c r="X19" s="16">
        <v>120</v>
      </c>
      <c r="Y19" s="16">
        <v>95</v>
      </c>
      <c r="Z19" s="16">
        <v>90</v>
      </c>
      <c r="AA19" s="16">
        <v>87</v>
      </c>
      <c r="AB19" s="16">
        <v>94</v>
      </c>
      <c r="AC19" s="16">
        <v>99</v>
      </c>
      <c r="AD19" s="16">
        <v>77</v>
      </c>
      <c r="AE19" s="16">
        <v>64</v>
      </c>
      <c r="AF19" s="16">
        <v>78</v>
      </c>
      <c r="AG19" s="13">
        <f t="shared" ref="AG19:AG30" si="2">SUM(E19:AF19)</f>
        <v>2811</v>
      </c>
    </row>
    <row r="20" spans="1:33" ht="12.75" customHeight="1" x14ac:dyDescent="0.3">
      <c r="A20" s="21"/>
      <c r="B20" s="69"/>
      <c r="C20" s="75"/>
      <c r="D20" s="16" t="s">
        <v>13</v>
      </c>
      <c r="E20" s="16">
        <v>120</v>
      </c>
      <c r="F20" s="16">
        <v>108</v>
      </c>
      <c r="G20" s="16">
        <v>122</v>
      </c>
      <c r="H20" s="16">
        <v>112</v>
      </c>
      <c r="I20" s="16">
        <v>112</v>
      </c>
      <c r="J20" s="16">
        <v>121</v>
      </c>
      <c r="K20" s="16">
        <v>106</v>
      </c>
      <c r="L20" s="16">
        <v>118</v>
      </c>
      <c r="M20" s="16">
        <v>127</v>
      </c>
      <c r="N20" s="16">
        <v>121</v>
      </c>
      <c r="O20" s="16">
        <v>112</v>
      </c>
      <c r="P20" s="16">
        <v>114</v>
      </c>
      <c r="Q20" s="16">
        <v>126</v>
      </c>
      <c r="R20" s="16">
        <v>119</v>
      </c>
      <c r="S20" s="16">
        <v>120</v>
      </c>
      <c r="T20" s="16">
        <v>80</v>
      </c>
      <c r="U20" s="16">
        <v>93</v>
      </c>
      <c r="V20" s="16">
        <v>129</v>
      </c>
      <c r="W20" s="16">
        <v>125</v>
      </c>
      <c r="X20" s="16">
        <v>112</v>
      </c>
      <c r="Y20" s="16">
        <v>82</v>
      </c>
      <c r="Z20" s="16">
        <v>87</v>
      </c>
      <c r="AA20" s="16">
        <v>87</v>
      </c>
      <c r="AB20" s="16">
        <v>96</v>
      </c>
      <c r="AC20" s="16">
        <v>105</v>
      </c>
      <c r="AD20" s="16">
        <v>95</v>
      </c>
      <c r="AE20" s="16">
        <v>61</v>
      </c>
      <c r="AF20" s="16">
        <v>91</v>
      </c>
      <c r="AG20" s="13">
        <f t="shared" si="2"/>
        <v>3001</v>
      </c>
    </row>
    <row r="21" spans="1:33" ht="12.75" customHeight="1" x14ac:dyDescent="0.3">
      <c r="A21" s="22"/>
      <c r="B21" s="70"/>
      <c r="C21" s="76"/>
      <c r="D21" s="13" t="s">
        <v>14</v>
      </c>
      <c r="E21" s="13">
        <f t="shared" ref="E21:AF21" si="3">SUM(E19:E20)</f>
        <v>220</v>
      </c>
      <c r="F21" s="13">
        <f t="shared" si="3"/>
        <v>206</v>
      </c>
      <c r="G21" s="13">
        <f t="shared" si="3"/>
        <v>232</v>
      </c>
      <c r="H21" s="13">
        <f t="shared" si="3"/>
        <v>234</v>
      </c>
      <c r="I21" s="13">
        <f t="shared" si="3"/>
        <v>223</v>
      </c>
      <c r="J21" s="13">
        <f t="shared" si="3"/>
        <v>234</v>
      </c>
      <c r="K21" s="13">
        <f t="shared" si="3"/>
        <v>205</v>
      </c>
      <c r="L21" s="13">
        <f t="shared" si="3"/>
        <v>233</v>
      </c>
      <c r="M21" s="13">
        <f t="shared" si="3"/>
        <v>251</v>
      </c>
      <c r="N21" s="13">
        <f t="shared" si="3"/>
        <v>222</v>
      </c>
      <c r="O21" s="13">
        <f t="shared" si="3"/>
        <v>214</v>
      </c>
      <c r="P21" s="13">
        <f t="shared" si="3"/>
        <v>222</v>
      </c>
      <c r="Q21" s="13">
        <f t="shared" si="3"/>
        <v>241</v>
      </c>
      <c r="R21" s="13">
        <f t="shared" si="3"/>
        <v>229</v>
      </c>
      <c r="S21" s="13">
        <f t="shared" si="3"/>
        <v>222</v>
      </c>
      <c r="T21" s="13">
        <f t="shared" si="3"/>
        <v>168</v>
      </c>
      <c r="U21" s="13">
        <f t="shared" si="3"/>
        <v>172</v>
      </c>
      <c r="V21" s="13">
        <f t="shared" si="3"/>
        <v>238</v>
      </c>
      <c r="W21" s="13">
        <f t="shared" si="3"/>
        <v>226</v>
      </c>
      <c r="X21" s="13">
        <f t="shared" si="3"/>
        <v>232</v>
      </c>
      <c r="Y21" s="13">
        <f t="shared" si="3"/>
        <v>177</v>
      </c>
      <c r="Z21" s="13">
        <f t="shared" si="3"/>
        <v>177</v>
      </c>
      <c r="AA21" s="13">
        <f t="shared" si="3"/>
        <v>174</v>
      </c>
      <c r="AB21" s="13">
        <f t="shared" si="3"/>
        <v>190</v>
      </c>
      <c r="AC21" s="13">
        <f t="shared" si="3"/>
        <v>204</v>
      </c>
      <c r="AD21" s="13">
        <f t="shared" si="3"/>
        <v>172</v>
      </c>
      <c r="AE21" s="13">
        <f t="shared" si="3"/>
        <v>125</v>
      </c>
      <c r="AF21" s="13">
        <f t="shared" si="3"/>
        <v>169</v>
      </c>
      <c r="AG21" s="13">
        <f t="shared" si="2"/>
        <v>5812</v>
      </c>
    </row>
    <row r="22" spans="1:33" ht="12.75" customHeight="1" x14ac:dyDescent="0.3">
      <c r="A22" s="21"/>
      <c r="B22" s="73" t="s">
        <v>19</v>
      </c>
      <c r="C22" s="74" t="s">
        <v>20</v>
      </c>
      <c r="D22" s="16" t="s">
        <v>12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1</v>
      </c>
      <c r="AE22" s="16">
        <v>0</v>
      </c>
      <c r="AF22" s="16">
        <v>0</v>
      </c>
      <c r="AG22" s="13">
        <f t="shared" si="2"/>
        <v>1</v>
      </c>
    </row>
    <row r="23" spans="1:33" ht="12.75" customHeight="1" x14ac:dyDescent="0.3">
      <c r="A23" s="21"/>
      <c r="B23" s="69"/>
      <c r="C23" s="75"/>
      <c r="D23" s="16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1</v>
      </c>
      <c r="AE23" s="16">
        <v>0</v>
      </c>
      <c r="AF23" s="16">
        <v>0</v>
      </c>
      <c r="AG23" s="13">
        <f t="shared" si="2"/>
        <v>1</v>
      </c>
    </row>
    <row r="24" spans="1:33" ht="12.75" customHeight="1" x14ac:dyDescent="0.3">
      <c r="A24" s="22"/>
      <c r="B24" s="70"/>
      <c r="C24" s="76"/>
      <c r="D24" s="13" t="s">
        <v>14</v>
      </c>
      <c r="E24" s="13">
        <f t="shared" ref="E24:AF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2</v>
      </c>
      <c r="AE24" s="13">
        <f t="shared" si="4"/>
        <v>0</v>
      </c>
      <c r="AF24" s="13">
        <f t="shared" si="4"/>
        <v>0</v>
      </c>
      <c r="AG24" s="13">
        <f t="shared" si="2"/>
        <v>2</v>
      </c>
    </row>
    <row r="25" spans="1:33" ht="12.75" customHeight="1" x14ac:dyDescent="0.3">
      <c r="A25" s="21"/>
      <c r="B25" s="73" t="s">
        <v>21</v>
      </c>
      <c r="C25" s="74" t="s">
        <v>22</v>
      </c>
      <c r="D25" s="16" t="s">
        <v>12</v>
      </c>
      <c r="E25" s="16">
        <v>2</v>
      </c>
      <c r="F25" s="16">
        <v>3</v>
      </c>
      <c r="G25" s="16">
        <v>3</v>
      </c>
      <c r="H25" s="16">
        <v>0</v>
      </c>
      <c r="I25" s="16">
        <v>0</v>
      </c>
      <c r="J25" s="16">
        <v>2</v>
      </c>
      <c r="K25" s="16">
        <v>0</v>
      </c>
      <c r="L25" s="16">
        <v>0</v>
      </c>
      <c r="M25" s="16">
        <v>1</v>
      </c>
      <c r="N25" s="16">
        <v>1</v>
      </c>
      <c r="O25" s="16">
        <v>3</v>
      </c>
      <c r="P25" s="16">
        <v>2</v>
      </c>
      <c r="Q25" s="16">
        <v>5</v>
      </c>
      <c r="R25" s="16">
        <v>1</v>
      </c>
      <c r="S25" s="16">
        <v>2</v>
      </c>
      <c r="T25" s="16">
        <v>5</v>
      </c>
      <c r="U25" s="16">
        <v>2</v>
      </c>
      <c r="V25" s="16">
        <v>2</v>
      </c>
      <c r="W25" s="16">
        <v>2</v>
      </c>
      <c r="X25" s="16">
        <v>0</v>
      </c>
      <c r="Y25" s="16">
        <v>2</v>
      </c>
      <c r="Z25" s="16">
        <v>2</v>
      </c>
      <c r="AA25" s="16">
        <v>2</v>
      </c>
      <c r="AB25" s="16">
        <v>1</v>
      </c>
      <c r="AC25" s="16">
        <v>1</v>
      </c>
      <c r="AD25" s="16">
        <v>4</v>
      </c>
      <c r="AE25" s="16">
        <v>1</v>
      </c>
      <c r="AF25" s="16">
        <v>0</v>
      </c>
      <c r="AG25" s="13">
        <f t="shared" si="2"/>
        <v>49</v>
      </c>
    </row>
    <row r="26" spans="1:33" ht="12.75" customHeight="1" x14ac:dyDescent="0.3">
      <c r="A26" s="21"/>
      <c r="B26" s="69"/>
      <c r="C26" s="75"/>
      <c r="D26" s="16" t="s">
        <v>13</v>
      </c>
      <c r="E26" s="16">
        <v>2</v>
      </c>
      <c r="F26" s="16">
        <v>1</v>
      </c>
      <c r="G26" s="16">
        <v>1</v>
      </c>
      <c r="H26" s="16">
        <v>2</v>
      </c>
      <c r="I26" s="16">
        <v>0</v>
      </c>
      <c r="J26" s="16">
        <v>2</v>
      </c>
      <c r="K26" s="16">
        <v>0</v>
      </c>
      <c r="L26" s="16">
        <v>0</v>
      </c>
      <c r="M26" s="16">
        <v>3</v>
      </c>
      <c r="N26" s="16">
        <v>0</v>
      </c>
      <c r="O26" s="16">
        <v>1</v>
      </c>
      <c r="P26" s="16">
        <v>6</v>
      </c>
      <c r="Q26" s="16">
        <v>4</v>
      </c>
      <c r="R26" s="16">
        <v>0</v>
      </c>
      <c r="S26" s="16">
        <v>2</v>
      </c>
      <c r="T26" s="16">
        <v>2</v>
      </c>
      <c r="U26" s="16">
        <v>1</v>
      </c>
      <c r="V26" s="16">
        <v>2</v>
      </c>
      <c r="W26" s="16">
        <v>2</v>
      </c>
      <c r="X26" s="16">
        <v>0</v>
      </c>
      <c r="Y26" s="16">
        <v>2</v>
      </c>
      <c r="Z26" s="16">
        <v>0</v>
      </c>
      <c r="AA26" s="16">
        <v>5</v>
      </c>
      <c r="AB26" s="16">
        <v>1</v>
      </c>
      <c r="AC26" s="16">
        <v>1</v>
      </c>
      <c r="AD26" s="16">
        <v>1</v>
      </c>
      <c r="AE26" s="16">
        <v>4</v>
      </c>
      <c r="AF26" s="16">
        <v>0</v>
      </c>
      <c r="AG26" s="13">
        <f t="shared" si="2"/>
        <v>45</v>
      </c>
    </row>
    <row r="27" spans="1:33" ht="12.75" customHeight="1" x14ac:dyDescent="0.3">
      <c r="A27" s="22"/>
      <c r="B27" s="70"/>
      <c r="C27" s="76"/>
      <c r="D27" s="13" t="s">
        <v>14</v>
      </c>
      <c r="E27" s="13">
        <f t="shared" ref="E27:AF27" si="5">SUM(E25:E26)</f>
        <v>4</v>
      </c>
      <c r="F27" s="13">
        <f t="shared" si="5"/>
        <v>4</v>
      </c>
      <c r="G27" s="13">
        <f t="shared" si="5"/>
        <v>4</v>
      </c>
      <c r="H27" s="13">
        <f t="shared" si="5"/>
        <v>2</v>
      </c>
      <c r="I27" s="13">
        <f t="shared" si="5"/>
        <v>0</v>
      </c>
      <c r="J27" s="13">
        <f t="shared" si="5"/>
        <v>4</v>
      </c>
      <c r="K27" s="13">
        <f t="shared" si="5"/>
        <v>0</v>
      </c>
      <c r="L27" s="13">
        <f t="shared" si="5"/>
        <v>0</v>
      </c>
      <c r="M27" s="13">
        <f t="shared" si="5"/>
        <v>4</v>
      </c>
      <c r="N27" s="13">
        <f t="shared" si="5"/>
        <v>1</v>
      </c>
      <c r="O27" s="13">
        <f t="shared" si="5"/>
        <v>4</v>
      </c>
      <c r="P27" s="13">
        <f t="shared" si="5"/>
        <v>8</v>
      </c>
      <c r="Q27" s="13">
        <f t="shared" si="5"/>
        <v>9</v>
      </c>
      <c r="R27" s="13">
        <f t="shared" si="5"/>
        <v>1</v>
      </c>
      <c r="S27" s="13">
        <f t="shared" si="5"/>
        <v>4</v>
      </c>
      <c r="T27" s="13">
        <f t="shared" si="5"/>
        <v>7</v>
      </c>
      <c r="U27" s="13">
        <f t="shared" si="5"/>
        <v>3</v>
      </c>
      <c r="V27" s="13">
        <f t="shared" si="5"/>
        <v>4</v>
      </c>
      <c r="W27" s="13">
        <f t="shared" si="5"/>
        <v>4</v>
      </c>
      <c r="X27" s="13">
        <f t="shared" si="5"/>
        <v>0</v>
      </c>
      <c r="Y27" s="13">
        <f t="shared" si="5"/>
        <v>4</v>
      </c>
      <c r="Z27" s="13">
        <f t="shared" si="5"/>
        <v>2</v>
      </c>
      <c r="AA27" s="13">
        <f t="shared" si="5"/>
        <v>7</v>
      </c>
      <c r="AB27" s="13">
        <f t="shared" si="5"/>
        <v>2</v>
      </c>
      <c r="AC27" s="13">
        <f t="shared" si="5"/>
        <v>2</v>
      </c>
      <c r="AD27" s="13">
        <f t="shared" si="5"/>
        <v>5</v>
      </c>
      <c r="AE27" s="13">
        <f t="shared" si="5"/>
        <v>5</v>
      </c>
      <c r="AF27" s="13">
        <f t="shared" si="5"/>
        <v>0</v>
      </c>
      <c r="AG27" s="13">
        <f t="shared" si="2"/>
        <v>94</v>
      </c>
    </row>
    <row r="28" spans="1:33" ht="12.75" customHeight="1" x14ac:dyDescent="0.3">
      <c r="A28" s="22"/>
      <c r="B28" s="77" t="s">
        <v>23</v>
      </c>
      <c r="C28" s="78" t="s">
        <v>24</v>
      </c>
      <c r="D28" s="13" t="s">
        <v>12</v>
      </c>
      <c r="E28" s="13">
        <f t="shared" ref="E28:AF28" si="6">SUM(E19,E22,E25)</f>
        <v>102</v>
      </c>
      <c r="F28" s="13">
        <f t="shared" si="6"/>
        <v>101</v>
      </c>
      <c r="G28" s="13">
        <f t="shared" si="6"/>
        <v>113</v>
      </c>
      <c r="H28" s="13">
        <f t="shared" si="6"/>
        <v>122</v>
      </c>
      <c r="I28" s="13">
        <f t="shared" si="6"/>
        <v>111</v>
      </c>
      <c r="J28" s="13">
        <f t="shared" si="6"/>
        <v>115</v>
      </c>
      <c r="K28" s="13">
        <f t="shared" si="6"/>
        <v>99</v>
      </c>
      <c r="L28" s="13">
        <f t="shared" si="6"/>
        <v>115</v>
      </c>
      <c r="M28" s="13">
        <f t="shared" si="6"/>
        <v>125</v>
      </c>
      <c r="N28" s="13">
        <f t="shared" si="6"/>
        <v>102</v>
      </c>
      <c r="O28" s="13">
        <f t="shared" si="6"/>
        <v>105</v>
      </c>
      <c r="P28" s="13">
        <f t="shared" si="6"/>
        <v>110</v>
      </c>
      <c r="Q28" s="13">
        <f t="shared" si="6"/>
        <v>120</v>
      </c>
      <c r="R28" s="13">
        <f t="shared" si="6"/>
        <v>111</v>
      </c>
      <c r="S28" s="13">
        <f t="shared" si="6"/>
        <v>104</v>
      </c>
      <c r="T28" s="13">
        <f t="shared" si="6"/>
        <v>93</v>
      </c>
      <c r="U28" s="13">
        <f t="shared" si="6"/>
        <v>81</v>
      </c>
      <c r="V28" s="13">
        <f t="shared" si="6"/>
        <v>111</v>
      </c>
      <c r="W28" s="13">
        <f t="shared" si="6"/>
        <v>103</v>
      </c>
      <c r="X28" s="13">
        <f t="shared" si="6"/>
        <v>120</v>
      </c>
      <c r="Y28" s="13">
        <f t="shared" si="6"/>
        <v>97</v>
      </c>
      <c r="Z28" s="13">
        <f t="shared" si="6"/>
        <v>92</v>
      </c>
      <c r="AA28" s="13">
        <f t="shared" si="6"/>
        <v>89</v>
      </c>
      <c r="AB28" s="13">
        <f t="shared" si="6"/>
        <v>95</v>
      </c>
      <c r="AC28" s="13">
        <f t="shared" si="6"/>
        <v>100</v>
      </c>
      <c r="AD28" s="13">
        <f t="shared" si="6"/>
        <v>82</v>
      </c>
      <c r="AE28" s="13">
        <f t="shared" si="6"/>
        <v>65</v>
      </c>
      <c r="AF28" s="13">
        <f t="shared" si="6"/>
        <v>78</v>
      </c>
      <c r="AG28" s="13">
        <f t="shared" si="2"/>
        <v>2861</v>
      </c>
    </row>
    <row r="29" spans="1:33" ht="12.75" customHeight="1" x14ac:dyDescent="0.3">
      <c r="A29" s="22"/>
      <c r="B29" s="69"/>
      <c r="C29" s="75"/>
      <c r="D29" s="13" t="s">
        <v>13</v>
      </c>
      <c r="E29" s="13">
        <f t="shared" ref="E29:AF29" si="7">SUM(E20,E23,E26)</f>
        <v>122</v>
      </c>
      <c r="F29" s="13">
        <f t="shared" si="7"/>
        <v>109</v>
      </c>
      <c r="G29" s="13">
        <f t="shared" si="7"/>
        <v>123</v>
      </c>
      <c r="H29" s="13">
        <f t="shared" si="7"/>
        <v>114</v>
      </c>
      <c r="I29" s="13">
        <f t="shared" si="7"/>
        <v>112</v>
      </c>
      <c r="J29" s="13">
        <f t="shared" si="7"/>
        <v>123</v>
      </c>
      <c r="K29" s="13">
        <f t="shared" si="7"/>
        <v>106</v>
      </c>
      <c r="L29" s="13">
        <f t="shared" si="7"/>
        <v>118</v>
      </c>
      <c r="M29" s="13">
        <f t="shared" si="7"/>
        <v>130</v>
      </c>
      <c r="N29" s="13">
        <f t="shared" si="7"/>
        <v>121</v>
      </c>
      <c r="O29" s="13">
        <f t="shared" si="7"/>
        <v>113</v>
      </c>
      <c r="P29" s="13">
        <f t="shared" si="7"/>
        <v>120</v>
      </c>
      <c r="Q29" s="13">
        <f t="shared" si="7"/>
        <v>130</v>
      </c>
      <c r="R29" s="13">
        <f t="shared" si="7"/>
        <v>119</v>
      </c>
      <c r="S29" s="13">
        <f t="shared" si="7"/>
        <v>122</v>
      </c>
      <c r="T29" s="13">
        <f t="shared" si="7"/>
        <v>82</v>
      </c>
      <c r="U29" s="13">
        <f t="shared" si="7"/>
        <v>94</v>
      </c>
      <c r="V29" s="13">
        <f t="shared" si="7"/>
        <v>131</v>
      </c>
      <c r="W29" s="13">
        <f t="shared" si="7"/>
        <v>127</v>
      </c>
      <c r="X29" s="13">
        <f t="shared" si="7"/>
        <v>112</v>
      </c>
      <c r="Y29" s="13">
        <f t="shared" si="7"/>
        <v>84</v>
      </c>
      <c r="Z29" s="13">
        <f t="shared" si="7"/>
        <v>87</v>
      </c>
      <c r="AA29" s="13">
        <f t="shared" si="7"/>
        <v>92</v>
      </c>
      <c r="AB29" s="13">
        <f t="shared" si="7"/>
        <v>97</v>
      </c>
      <c r="AC29" s="13">
        <f t="shared" si="7"/>
        <v>106</v>
      </c>
      <c r="AD29" s="13">
        <f t="shared" si="7"/>
        <v>97</v>
      </c>
      <c r="AE29" s="13">
        <f t="shared" si="7"/>
        <v>65</v>
      </c>
      <c r="AF29" s="13">
        <f t="shared" si="7"/>
        <v>91</v>
      </c>
      <c r="AG29" s="13">
        <f t="shared" si="2"/>
        <v>3047</v>
      </c>
    </row>
    <row r="30" spans="1:33" ht="12.75" customHeight="1" x14ac:dyDescent="0.3">
      <c r="A30" s="22"/>
      <c r="B30" s="70"/>
      <c r="C30" s="76"/>
      <c r="D30" s="13" t="s">
        <v>14</v>
      </c>
      <c r="E30" s="13">
        <f t="shared" ref="E30:AF30" si="8">SUM(E28:E29)</f>
        <v>224</v>
      </c>
      <c r="F30" s="13">
        <f t="shared" si="8"/>
        <v>210</v>
      </c>
      <c r="G30" s="13">
        <f t="shared" si="8"/>
        <v>236</v>
      </c>
      <c r="H30" s="13">
        <f t="shared" si="8"/>
        <v>236</v>
      </c>
      <c r="I30" s="13">
        <f t="shared" si="8"/>
        <v>223</v>
      </c>
      <c r="J30" s="13">
        <f t="shared" si="8"/>
        <v>238</v>
      </c>
      <c r="K30" s="13">
        <f t="shared" si="8"/>
        <v>205</v>
      </c>
      <c r="L30" s="13">
        <f t="shared" si="8"/>
        <v>233</v>
      </c>
      <c r="M30" s="13">
        <f t="shared" si="8"/>
        <v>255</v>
      </c>
      <c r="N30" s="13">
        <f t="shared" si="8"/>
        <v>223</v>
      </c>
      <c r="O30" s="13">
        <f t="shared" si="8"/>
        <v>218</v>
      </c>
      <c r="P30" s="13">
        <f t="shared" si="8"/>
        <v>230</v>
      </c>
      <c r="Q30" s="13">
        <f t="shared" si="8"/>
        <v>250</v>
      </c>
      <c r="R30" s="13">
        <f t="shared" si="8"/>
        <v>230</v>
      </c>
      <c r="S30" s="13">
        <f t="shared" si="8"/>
        <v>226</v>
      </c>
      <c r="T30" s="13">
        <f t="shared" si="8"/>
        <v>175</v>
      </c>
      <c r="U30" s="13">
        <f t="shared" si="8"/>
        <v>175</v>
      </c>
      <c r="V30" s="13">
        <f t="shared" si="8"/>
        <v>242</v>
      </c>
      <c r="W30" s="13">
        <f t="shared" si="8"/>
        <v>230</v>
      </c>
      <c r="X30" s="13">
        <f t="shared" si="8"/>
        <v>232</v>
      </c>
      <c r="Y30" s="13">
        <f t="shared" si="8"/>
        <v>181</v>
      </c>
      <c r="Z30" s="13">
        <f t="shared" si="8"/>
        <v>179</v>
      </c>
      <c r="AA30" s="13">
        <f t="shared" si="8"/>
        <v>181</v>
      </c>
      <c r="AB30" s="13">
        <f t="shared" si="8"/>
        <v>192</v>
      </c>
      <c r="AC30" s="13">
        <f t="shared" si="8"/>
        <v>206</v>
      </c>
      <c r="AD30" s="13">
        <f t="shared" si="8"/>
        <v>179</v>
      </c>
      <c r="AE30" s="13">
        <f t="shared" si="8"/>
        <v>130</v>
      </c>
      <c r="AF30" s="13">
        <f t="shared" si="8"/>
        <v>169</v>
      </c>
      <c r="AG30" s="13">
        <f t="shared" si="2"/>
        <v>5908</v>
      </c>
    </row>
    <row r="31" spans="1:33" ht="12.75" customHeight="1" x14ac:dyDescent="0.3">
      <c r="A31" s="62"/>
      <c r="B31" s="61"/>
      <c r="C31" s="61"/>
      <c r="D31" s="59"/>
      <c r="E31" s="16"/>
      <c r="F31" s="16"/>
      <c r="G31" s="16"/>
      <c r="H31" s="16"/>
      <c r="I31" s="16"/>
      <c r="J31" s="16"/>
      <c r="K31" s="16"/>
      <c r="L31" s="16"/>
      <c r="M31" s="16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1"/>
    </row>
    <row r="32" spans="1:33" ht="12.75" customHeight="1" x14ac:dyDescent="0.3">
      <c r="A32" s="25" t="s">
        <v>25</v>
      </c>
      <c r="B32" s="65" t="s">
        <v>26</v>
      </c>
      <c r="C32" s="61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1"/>
    </row>
    <row r="33" spans="1:33" ht="12.75" customHeight="1" x14ac:dyDescent="0.3">
      <c r="A33" s="16">
        <v>1</v>
      </c>
      <c r="B33" s="72" t="s">
        <v>27</v>
      </c>
      <c r="C33" s="61"/>
      <c r="D33" s="59"/>
      <c r="E33" s="16">
        <v>271</v>
      </c>
      <c r="F33" s="16">
        <v>274</v>
      </c>
      <c r="G33" s="16">
        <v>302</v>
      </c>
      <c r="H33" s="16">
        <v>273</v>
      </c>
      <c r="I33" s="16">
        <v>293</v>
      </c>
      <c r="J33" s="16">
        <v>267</v>
      </c>
      <c r="K33" s="16">
        <v>254</v>
      </c>
      <c r="L33" s="16">
        <v>284</v>
      </c>
      <c r="M33" s="16">
        <v>304</v>
      </c>
      <c r="N33" s="16">
        <v>299</v>
      </c>
      <c r="O33" s="16">
        <v>278</v>
      </c>
      <c r="P33" s="16">
        <v>290</v>
      </c>
      <c r="Q33" s="16">
        <v>295</v>
      </c>
      <c r="R33" s="16">
        <v>291</v>
      </c>
      <c r="S33" s="16">
        <v>300</v>
      </c>
      <c r="T33" s="16">
        <v>248</v>
      </c>
      <c r="U33" s="16">
        <v>246</v>
      </c>
      <c r="V33" s="16">
        <v>303</v>
      </c>
      <c r="W33" s="16">
        <v>295</v>
      </c>
      <c r="X33" s="16">
        <v>277</v>
      </c>
      <c r="Y33" s="16">
        <v>225</v>
      </c>
      <c r="Z33" s="16">
        <v>238</v>
      </c>
      <c r="AA33" s="16">
        <v>254</v>
      </c>
      <c r="AB33" s="16">
        <v>247</v>
      </c>
      <c r="AC33" s="16">
        <v>288</v>
      </c>
      <c r="AD33" s="16">
        <v>240</v>
      </c>
      <c r="AE33" s="16">
        <v>177</v>
      </c>
      <c r="AF33" s="16">
        <v>221</v>
      </c>
      <c r="AG33" s="13">
        <f t="shared" ref="AG33:AG36" si="9">SUM(E33:AF33)</f>
        <v>7534</v>
      </c>
    </row>
    <row r="34" spans="1:33" ht="12.75" customHeight="1" x14ac:dyDescent="0.3">
      <c r="A34" s="16">
        <v>2</v>
      </c>
      <c r="B34" s="72" t="s">
        <v>28</v>
      </c>
      <c r="C34" s="61"/>
      <c r="D34" s="59"/>
      <c r="E34" s="13">
        <v>224</v>
      </c>
      <c r="F34" s="13">
        <v>210</v>
      </c>
      <c r="G34" s="13">
        <v>236</v>
      </c>
      <c r="H34" s="13">
        <v>236</v>
      </c>
      <c r="I34" s="13">
        <v>223</v>
      </c>
      <c r="J34" s="13">
        <v>238</v>
      </c>
      <c r="K34" s="13">
        <v>205</v>
      </c>
      <c r="L34" s="13">
        <v>233</v>
      </c>
      <c r="M34" s="13">
        <v>255</v>
      </c>
      <c r="N34" s="13">
        <v>223</v>
      </c>
      <c r="O34" s="13">
        <v>218</v>
      </c>
      <c r="P34" s="13">
        <v>230</v>
      </c>
      <c r="Q34" s="13">
        <v>250</v>
      </c>
      <c r="R34" s="13">
        <v>230</v>
      </c>
      <c r="S34" s="13">
        <v>226</v>
      </c>
      <c r="T34" s="13">
        <v>175</v>
      </c>
      <c r="U34" s="13">
        <v>175</v>
      </c>
      <c r="V34" s="13">
        <v>242</v>
      </c>
      <c r="W34" s="13">
        <v>230</v>
      </c>
      <c r="X34" s="13">
        <v>232</v>
      </c>
      <c r="Y34" s="13">
        <v>181</v>
      </c>
      <c r="Z34" s="13">
        <v>179</v>
      </c>
      <c r="AA34" s="13">
        <v>181</v>
      </c>
      <c r="AB34" s="13">
        <v>192</v>
      </c>
      <c r="AC34" s="13">
        <v>206</v>
      </c>
      <c r="AD34" s="13">
        <v>179</v>
      </c>
      <c r="AE34" s="13">
        <v>130</v>
      </c>
      <c r="AF34" s="13">
        <v>169</v>
      </c>
      <c r="AG34" s="13">
        <f t="shared" si="9"/>
        <v>5908</v>
      </c>
    </row>
    <row r="35" spans="1:33" ht="12.75" customHeight="1" x14ac:dyDescent="0.3">
      <c r="A35" s="16">
        <v>3</v>
      </c>
      <c r="B35" s="72" t="s">
        <v>29</v>
      </c>
      <c r="C35" s="61"/>
      <c r="D35" s="59"/>
      <c r="E35" s="16">
        <v>0</v>
      </c>
      <c r="F35" s="16">
        <v>0</v>
      </c>
      <c r="G35" s="16">
        <v>0</v>
      </c>
      <c r="H35" s="16">
        <v>3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2</v>
      </c>
      <c r="P35" s="16">
        <v>0</v>
      </c>
      <c r="Q35" s="16">
        <v>0</v>
      </c>
      <c r="R35" s="16">
        <v>0</v>
      </c>
      <c r="S35" s="16">
        <v>0</v>
      </c>
      <c r="T35" s="16">
        <v>1</v>
      </c>
      <c r="U35" s="16">
        <v>1</v>
      </c>
      <c r="V35" s="16">
        <v>1</v>
      </c>
      <c r="W35" s="16">
        <v>0</v>
      </c>
      <c r="X35" s="16">
        <v>0</v>
      </c>
      <c r="Y35" s="16">
        <v>0</v>
      </c>
      <c r="Z35" s="16">
        <v>2</v>
      </c>
      <c r="AA35" s="16">
        <v>1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3">
        <f t="shared" si="9"/>
        <v>11</v>
      </c>
    </row>
    <row r="36" spans="1:33" ht="12.75" customHeight="1" x14ac:dyDescent="0.3">
      <c r="A36" s="16">
        <v>4</v>
      </c>
      <c r="B36" s="72" t="s">
        <v>30</v>
      </c>
      <c r="C36" s="61"/>
      <c r="D36" s="59"/>
      <c r="E36" s="13">
        <f t="shared" ref="E36:AF36" si="10">E33-(E34+E35)</f>
        <v>47</v>
      </c>
      <c r="F36" s="13">
        <f t="shared" si="10"/>
        <v>64</v>
      </c>
      <c r="G36" s="13">
        <f t="shared" si="10"/>
        <v>66</v>
      </c>
      <c r="H36" s="13">
        <f t="shared" si="10"/>
        <v>34</v>
      </c>
      <c r="I36" s="13">
        <f t="shared" si="10"/>
        <v>70</v>
      </c>
      <c r="J36" s="13">
        <f t="shared" si="10"/>
        <v>29</v>
      </c>
      <c r="K36" s="13">
        <f t="shared" si="10"/>
        <v>49</v>
      </c>
      <c r="L36" s="13">
        <f t="shared" si="10"/>
        <v>51</v>
      </c>
      <c r="M36" s="13">
        <f t="shared" si="10"/>
        <v>49</v>
      </c>
      <c r="N36" s="13">
        <f t="shared" si="10"/>
        <v>76</v>
      </c>
      <c r="O36" s="13">
        <f t="shared" si="10"/>
        <v>58</v>
      </c>
      <c r="P36" s="13">
        <f t="shared" si="10"/>
        <v>60</v>
      </c>
      <c r="Q36" s="13">
        <f t="shared" si="10"/>
        <v>45</v>
      </c>
      <c r="R36" s="13">
        <f t="shared" si="10"/>
        <v>61</v>
      </c>
      <c r="S36" s="13">
        <f t="shared" si="10"/>
        <v>74</v>
      </c>
      <c r="T36" s="13">
        <f t="shared" si="10"/>
        <v>72</v>
      </c>
      <c r="U36" s="13">
        <f t="shared" si="10"/>
        <v>70</v>
      </c>
      <c r="V36" s="13">
        <f t="shared" si="10"/>
        <v>60</v>
      </c>
      <c r="W36" s="13">
        <f t="shared" si="10"/>
        <v>65</v>
      </c>
      <c r="X36" s="13">
        <f t="shared" si="10"/>
        <v>45</v>
      </c>
      <c r="Y36" s="13">
        <f t="shared" si="10"/>
        <v>44</v>
      </c>
      <c r="Z36" s="13">
        <f t="shared" si="10"/>
        <v>57</v>
      </c>
      <c r="AA36" s="13">
        <f t="shared" si="10"/>
        <v>72</v>
      </c>
      <c r="AB36" s="13">
        <f t="shared" si="10"/>
        <v>55</v>
      </c>
      <c r="AC36" s="13">
        <f t="shared" si="10"/>
        <v>82</v>
      </c>
      <c r="AD36" s="13">
        <f t="shared" si="10"/>
        <v>61</v>
      </c>
      <c r="AE36" s="13">
        <f t="shared" si="10"/>
        <v>47</v>
      </c>
      <c r="AF36" s="13">
        <f t="shared" si="10"/>
        <v>52</v>
      </c>
      <c r="AG36" s="13">
        <f t="shared" si="9"/>
        <v>1615</v>
      </c>
    </row>
    <row r="37" spans="1:33" ht="12.75" customHeight="1" x14ac:dyDescent="0.3">
      <c r="A37" s="62"/>
      <c r="B37" s="61"/>
      <c r="C37" s="61"/>
      <c r="D37" s="61"/>
      <c r="E37" s="62"/>
      <c r="F37" s="61"/>
      <c r="G37" s="61"/>
      <c r="H37" s="61"/>
      <c r="I37" s="59"/>
      <c r="J37" s="16"/>
      <c r="K37" s="16"/>
      <c r="L37" s="16"/>
      <c r="M37" s="16"/>
      <c r="N37" s="50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1"/>
    </row>
    <row r="38" spans="1:33" ht="12.75" customHeight="1" x14ac:dyDescent="0.3">
      <c r="A38" s="26" t="s">
        <v>31</v>
      </c>
      <c r="B38" s="65" t="s">
        <v>32</v>
      </c>
      <c r="C38" s="61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1"/>
    </row>
    <row r="39" spans="1:33" ht="12.75" customHeight="1" x14ac:dyDescent="0.3">
      <c r="A39" s="20"/>
      <c r="B39" s="66" t="s">
        <v>33</v>
      </c>
      <c r="C39" s="67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3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1</v>
      </c>
      <c r="AC39" s="16">
        <v>0</v>
      </c>
      <c r="AD39" s="16">
        <v>0</v>
      </c>
      <c r="AE39" s="16">
        <v>0</v>
      </c>
      <c r="AF39" s="16">
        <v>0</v>
      </c>
      <c r="AG39" s="13">
        <f t="shared" ref="AG39:AG41" si="11">SUM(E39:AF39)</f>
        <v>4</v>
      </c>
    </row>
    <row r="40" spans="1:33" ht="12.75" customHeight="1" x14ac:dyDescent="0.3">
      <c r="A40" s="21"/>
      <c r="B40" s="68"/>
      <c r="C40" s="69"/>
      <c r="D40" s="16" t="s">
        <v>13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1</v>
      </c>
      <c r="S40" s="16">
        <v>0</v>
      </c>
      <c r="T40" s="16">
        <v>1</v>
      </c>
      <c r="U40" s="16">
        <v>0</v>
      </c>
      <c r="V40" s="16">
        <v>2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1</v>
      </c>
      <c r="AC40" s="16">
        <v>0</v>
      </c>
      <c r="AD40" s="16">
        <v>0</v>
      </c>
      <c r="AE40" s="16">
        <v>0</v>
      </c>
      <c r="AF40" s="16">
        <v>0</v>
      </c>
      <c r="AG40" s="13">
        <f t="shared" si="11"/>
        <v>5</v>
      </c>
    </row>
    <row r="41" spans="1:33" ht="12.75" customHeight="1" x14ac:dyDescent="0.3">
      <c r="A41" s="25"/>
      <c r="B41" s="64"/>
      <c r="C41" s="70"/>
      <c r="D41" s="13" t="s">
        <v>14</v>
      </c>
      <c r="E41" s="13">
        <f t="shared" ref="E41:AF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1</v>
      </c>
      <c r="S41" s="13">
        <f t="shared" si="12"/>
        <v>0</v>
      </c>
      <c r="T41" s="13">
        <f t="shared" si="12"/>
        <v>1</v>
      </c>
      <c r="U41" s="13">
        <f t="shared" si="12"/>
        <v>0</v>
      </c>
      <c r="V41" s="13">
        <f t="shared" si="12"/>
        <v>5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2"/>
        <v>2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1"/>
        <v>9</v>
      </c>
    </row>
    <row r="42" spans="1:33" ht="12.75" customHeight="1" x14ac:dyDescent="0.3">
      <c r="A42" s="63"/>
      <c r="B42" s="64"/>
      <c r="C42" s="64"/>
      <c r="D42" s="70"/>
      <c r="E42" s="62"/>
      <c r="F42" s="61"/>
      <c r="G42" s="61"/>
      <c r="H42" s="61"/>
      <c r="I42" s="59"/>
      <c r="J42" s="16"/>
      <c r="K42" s="16"/>
      <c r="L42" s="16"/>
      <c r="M42" s="16"/>
      <c r="N42" s="50"/>
      <c r="O42" s="16"/>
      <c r="P42" s="50"/>
      <c r="Q42" s="16"/>
      <c r="R42" s="50"/>
      <c r="S42" s="16"/>
      <c r="T42" s="50"/>
      <c r="U42" s="16"/>
      <c r="V42" s="50"/>
      <c r="W42" s="16"/>
      <c r="X42" s="50"/>
      <c r="Y42" s="16"/>
      <c r="Z42" s="50"/>
      <c r="AA42" s="16"/>
      <c r="AB42" s="50"/>
      <c r="AC42" s="16"/>
      <c r="AD42" s="50"/>
      <c r="AE42" s="16"/>
      <c r="AF42" s="50"/>
      <c r="AG42" s="13"/>
    </row>
    <row r="43" spans="1:33" ht="12.75" customHeight="1" x14ac:dyDescent="0.3">
      <c r="A43" s="26" t="s">
        <v>34</v>
      </c>
      <c r="B43" s="65" t="s">
        <v>35</v>
      </c>
      <c r="C43" s="61"/>
      <c r="D43" s="59"/>
      <c r="E43" s="19"/>
      <c r="F43" s="13"/>
      <c r="G43" s="13"/>
      <c r="H43" s="13"/>
      <c r="I43" s="13"/>
      <c r="J43" s="13"/>
      <c r="K43" s="13"/>
      <c r="L43" s="13"/>
      <c r="M43" s="13"/>
      <c r="N43" s="52"/>
      <c r="O43" s="13"/>
      <c r="P43" s="52"/>
      <c r="Q43" s="13"/>
      <c r="R43" s="52"/>
      <c r="S43" s="13"/>
      <c r="T43" s="52"/>
      <c r="U43" s="13"/>
      <c r="V43" s="52"/>
      <c r="W43" s="13"/>
      <c r="X43" s="52"/>
      <c r="Y43" s="13"/>
      <c r="Z43" s="52"/>
      <c r="AA43" s="13"/>
      <c r="AB43" s="52"/>
      <c r="AC43" s="13"/>
      <c r="AD43" s="52"/>
      <c r="AE43" s="13"/>
      <c r="AF43" s="52"/>
      <c r="AG43" s="13"/>
    </row>
    <row r="44" spans="1:33" ht="12.75" customHeight="1" x14ac:dyDescent="0.3">
      <c r="A44" s="66" t="s">
        <v>36</v>
      </c>
      <c r="B44" s="71"/>
      <c r="C44" s="71"/>
      <c r="D44" s="67"/>
      <c r="E44" s="17"/>
      <c r="F44" s="16"/>
      <c r="G44" s="16"/>
      <c r="H44" s="16"/>
      <c r="I44" s="16"/>
      <c r="J44" s="16"/>
      <c r="K44" s="16"/>
      <c r="L44" s="16"/>
      <c r="M44" s="16"/>
      <c r="N44" s="50"/>
      <c r="O44" s="16"/>
      <c r="P44" s="50"/>
      <c r="Q44" s="16"/>
      <c r="R44" s="50"/>
      <c r="S44" s="16"/>
      <c r="T44" s="50"/>
      <c r="U44" s="16"/>
      <c r="V44" s="50"/>
      <c r="W44" s="16"/>
      <c r="X44" s="50"/>
      <c r="Y44" s="16"/>
      <c r="Z44" s="50"/>
      <c r="AA44" s="16"/>
      <c r="AB44" s="50"/>
      <c r="AC44" s="16"/>
      <c r="AD44" s="50"/>
      <c r="AE44" s="16"/>
      <c r="AF44" s="50"/>
      <c r="AG44" s="13"/>
    </row>
    <row r="45" spans="1:33" ht="12.75" customHeight="1" x14ac:dyDescent="0.3">
      <c r="A45" s="20" t="s">
        <v>37</v>
      </c>
      <c r="B45" s="27" t="s">
        <v>17</v>
      </c>
      <c r="C45" s="58" t="s">
        <v>38</v>
      </c>
      <c r="D45" s="59"/>
      <c r="E45" s="16">
        <v>10</v>
      </c>
      <c r="F45" s="16">
        <v>1</v>
      </c>
      <c r="G45" s="16">
        <v>6</v>
      </c>
      <c r="H45" s="16">
        <v>13</v>
      </c>
      <c r="I45" s="16">
        <v>1</v>
      </c>
      <c r="J45" s="16">
        <v>6</v>
      </c>
      <c r="K45" s="16">
        <v>1</v>
      </c>
      <c r="L45" s="16">
        <v>5</v>
      </c>
      <c r="M45" s="16">
        <v>0</v>
      </c>
      <c r="N45" s="16">
        <v>4</v>
      </c>
      <c r="O45" s="16">
        <v>10</v>
      </c>
      <c r="P45" s="16">
        <v>8</v>
      </c>
      <c r="Q45" s="16">
        <v>1</v>
      </c>
      <c r="R45" s="16">
        <v>4</v>
      </c>
      <c r="S45" s="16">
        <v>4</v>
      </c>
      <c r="T45" s="16">
        <v>2</v>
      </c>
      <c r="U45" s="16">
        <v>6</v>
      </c>
      <c r="V45" s="16">
        <v>2</v>
      </c>
      <c r="W45" s="16">
        <v>3</v>
      </c>
      <c r="X45" s="16">
        <v>9</v>
      </c>
      <c r="Y45" s="16">
        <v>1</v>
      </c>
      <c r="Z45" s="16">
        <v>2</v>
      </c>
      <c r="AA45" s="16">
        <v>1</v>
      </c>
      <c r="AB45" s="16">
        <v>1</v>
      </c>
      <c r="AC45" s="16">
        <v>7</v>
      </c>
      <c r="AD45" s="16">
        <v>3</v>
      </c>
      <c r="AE45" s="16">
        <v>1</v>
      </c>
      <c r="AF45" s="16">
        <v>1</v>
      </c>
      <c r="AG45" s="13">
        <f t="shared" ref="AG45:AG54" si="13">SUM(E45:AF45)</f>
        <v>113</v>
      </c>
    </row>
    <row r="46" spans="1:33" ht="12.75" customHeight="1" x14ac:dyDescent="0.3">
      <c r="A46" s="20" t="s">
        <v>39</v>
      </c>
      <c r="B46" s="28"/>
      <c r="C46" s="29" t="s">
        <v>40</v>
      </c>
      <c r="D46" s="29"/>
      <c r="E46" s="16">
        <v>9</v>
      </c>
      <c r="F46" s="16">
        <v>6</v>
      </c>
      <c r="G46" s="16">
        <v>15</v>
      </c>
      <c r="H46" s="16">
        <v>29</v>
      </c>
      <c r="I46" s="16">
        <v>6</v>
      </c>
      <c r="J46" s="16">
        <v>6</v>
      </c>
      <c r="K46" s="16">
        <v>4</v>
      </c>
      <c r="L46" s="16">
        <v>8</v>
      </c>
      <c r="M46" s="16">
        <v>8</v>
      </c>
      <c r="N46" s="16">
        <v>9</v>
      </c>
      <c r="O46" s="16">
        <v>20</v>
      </c>
      <c r="P46" s="16">
        <v>19</v>
      </c>
      <c r="Q46" s="16">
        <v>8</v>
      </c>
      <c r="R46" s="16">
        <v>7</v>
      </c>
      <c r="S46" s="16">
        <v>8</v>
      </c>
      <c r="T46" s="16">
        <v>1</v>
      </c>
      <c r="U46" s="16">
        <v>3</v>
      </c>
      <c r="V46" s="16">
        <v>4</v>
      </c>
      <c r="W46" s="16">
        <v>7</v>
      </c>
      <c r="X46" s="16">
        <v>19</v>
      </c>
      <c r="Y46" s="16">
        <v>7</v>
      </c>
      <c r="Z46" s="16">
        <v>1</v>
      </c>
      <c r="AA46" s="16">
        <v>1</v>
      </c>
      <c r="AB46" s="16">
        <v>3</v>
      </c>
      <c r="AC46" s="16">
        <v>6</v>
      </c>
      <c r="AD46" s="16">
        <v>6</v>
      </c>
      <c r="AE46" s="16">
        <v>10</v>
      </c>
      <c r="AF46" s="16">
        <v>2</v>
      </c>
      <c r="AG46" s="13">
        <f t="shared" si="13"/>
        <v>232</v>
      </c>
    </row>
    <row r="47" spans="1:33" ht="12.75" customHeight="1" x14ac:dyDescent="0.3">
      <c r="A47" s="15"/>
      <c r="B47" s="34"/>
      <c r="C47" s="29" t="s">
        <v>41</v>
      </c>
      <c r="D47" s="29"/>
      <c r="E47" s="16">
        <v>0</v>
      </c>
      <c r="F47" s="16">
        <v>2</v>
      </c>
      <c r="G47" s="16">
        <v>4</v>
      </c>
      <c r="H47" s="16">
        <v>5</v>
      </c>
      <c r="I47" s="16">
        <v>0</v>
      </c>
      <c r="J47" s="16">
        <v>3</v>
      </c>
      <c r="K47" s="16">
        <v>0</v>
      </c>
      <c r="L47" s="16">
        <v>4</v>
      </c>
      <c r="M47" s="16">
        <v>2</v>
      </c>
      <c r="N47" s="16">
        <v>3</v>
      </c>
      <c r="O47" s="16">
        <v>3</v>
      </c>
      <c r="P47" s="16">
        <v>2</v>
      </c>
      <c r="Q47" s="16">
        <v>2</v>
      </c>
      <c r="R47" s="16">
        <v>3</v>
      </c>
      <c r="S47" s="16">
        <v>0</v>
      </c>
      <c r="T47" s="16">
        <v>0</v>
      </c>
      <c r="U47" s="16">
        <v>2</v>
      </c>
      <c r="V47" s="16">
        <v>1</v>
      </c>
      <c r="W47" s="16">
        <v>1</v>
      </c>
      <c r="X47" s="16">
        <v>2</v>
      </c>
      <c r="Y47" s="16">
        <v>1</v>
      </c>
      <c r="Z47" s="16">
        <v>1</v>
      </c>
      <c r="AA47" s="16">
        <v>3</v>
      </c>
      <c r="AB47" s="16">
        <v>0</v>
      </c>
      <c r="AC47" s="16">
        <v>1</v>
      </c>
      <c r="AD47" s="16">
        <v>1</v>
      </c>
      <c r="AE47" s="16">
        <v>2</v>
      </c>
      <c r="AF47" s="16">
        <v>0</v>
      </c>
      <c r="AG47" s="13">
        <f t="shared" si="13"/>
        <v>48</v>
      </c>
    </row>
    <row r="48" spans="1:33" ht="12.75" customHeight="1" x14ac:dyDescent="0.3">
      <c r="A48" s="15"/>
      <c r="B48" s="34"/>
      <c r="C48" s="29" t="s">
        <v>42</v>
      </c>
      <c r="D48" s="29"/>
      <c r="E48" s="16">
        <v>1</v>
      </c>
      <c r="F48" s="16">
        <v>0</v>
      </c>
      <c r="G48" s="16">
        <v>2</v>
      </c>
      <c r="H48" s="16">
        <v>3</v>
      </c>
      <c r="I48" s="16">
        <v>0</v>
      </c>
      <c r="J48" s="16">
        <v>0</v>
      </c>
      <c r="K48" s="16">
        <v>0</v>
      </c>
      <c r="L48" s="16">
        <v>1</v>
      </c>
      <c r="M48" s="16">
        <v>1</v>
      </c>
      <c r="N48" s="16">
        <v>1</v>
      </c>
      <c r="O48" s="16">
        <v>1</v>
      </c>
      <c r="P48" s="16">
        <v>0</v>
      </c>
      <c r="Q48" s="16">
        <v>0</v>
      </c>
      <c r="R48" s="16">
        <v>1</v>
      </c>
      <c r="S48" s="16">
        <v>1</v>
      </c>
      <c r="T48" s="16">
        <v>0</v>
      </c>
      <c r="U48" s="16">
        <v>1</v>
      </c>
      <c r="V48" s="16">
        <v>1</v>
      </c>
      <c r="W48" s="16">
        <v>0</v>
      </c>
      <c r="X48" s="16">
        <v>2</v>
      </c>
      <c r="Y48" s="16">
        <v>0</v>
      </c>
      <c r="Z48" s="16">
        <v>0</v>
      </c>
      <c r="AA48" s="16">
        <v>0</v>
      </c>
      <c r="AB48" s="16">
        <v>2</v>
      </c>
      <c r="AC48" s="16">
        <v>0</v>
      </c>
      <c r="AD48" s="16">
        <v>0</v>
      </c>
      <c r="AE48" s="16">
        <v>2</v>
      </c>
      <c r="AF48" s="16">
        <v>1</v>
      </c>
      <c r="AG48" s="13">
        <f t="shared" si="13"/>
        <v>21</v>
      </c>
    </row>
    <row r="49" spans="1:33" ht="12.75" customHeight="1" x14ac:dyDescent="0.3">
      <c r="A49" s="15"/>
      <c r="B49" s="34"/>
      <c r="C49" s="29" t="s">
        <v>43</v>
      </c>
      <c r="D49" s="29"/>
      <c r="E49" s="16">
        <v>1</v>
      </c>
      <c r="F49" s="16">
        <v>0</v>
      </c>
      <c r="G49" s="16">
        <v>2</v>
      </c>
      <c r="H49" s="16">
        <v>1</v>
      </c>
      <c r="I49" s="16">
        <v>1</v>
      </c>
      <c r="J49" s="16">
        <v>2</v>
      </c>
      <c r="K49" s="16">
        <v>0</v>
      </c>
      <c r="L49" s="16">
        <v>0</v>
      </c>
      <c r="M49" s="16">
        <v>0</v>
      </c>
      <c r="N49" s="16">
        <v>1</v>
      </c>
      <c r="O49" s="16">
        <v>0</v>
      </c>
      <c r="P49" s="16">
        <v>3</v>
      </c>
      <c r="Q49" s="16">
        <v>3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1</v>
      </c>
      <c r="X49" s="16">
        <v>1</v>
      </c>
      <c r="Y49" s="16">
        <v>0</v>
      </c>
      <c r="Z49" s="16">
        <v>0</v>
      </c>
      <c r="AA49" s="16">
        <v>0</v>
      </c>
      <c r="AB49" s="16">
        <v>1</v>
      </c>
      <c r="AC49" s="16">
        <v>2</v>
      </c>
      <c r="AD49" s="16">
        <v>1</v>
      </c>
      <c r="AE49" s="16">
        <v>1</v>
      </c>
      <c r="AF49" s="16">
        <v>1</v>
      </c>
      <c r="AG49" s="13">
        <f t="shared" si="13"/>
        <v>22</v>
      </c>
    </row>
    <row r="50" spans="1:33" ht="12.75" customHeight="1" x14ac:dyDescent="0.3">
      <c r="A50" s="15"/>
      <c r="B50" s="34"/>
      <c r="C50" s="29" t="s">
        <v>44</v>
      </c>
      <c r="D50" s="29"/>
      <c r="E50" s="16">
        <v>0</v>
      </c>
      <c r="F50" s="16">
        <v>0</v>
      </c>
      <c r="G50" s="16">
        <v>1</v>
      </c>
      <c r="H50" s="16">
        <v>0</v>
      </c>
      <c r="I50" s="16">
        <v>1</v>
      </c>
      <c r="J50" s="16">
        <v>3</v>
      </c>
      <c r="K50" s="16">
        <v>0</v>
      </c>
      <c r="L50" s="16">
        <v>1</v>
      </c>
      <c r="M50" s="16">
        <v>0</v>
      </c>
      <c r="N50" s="16">
        <v>0</v>
      </c>
      <c r="O50" s="16">
        <v>1</v>
      </c>
      <c r="P50" s="16">
        <v>3</v>
      </c>
      <c r="Q50" s="16">
        <v>4</v>
      </c>
      <c r="R50" s="16">
        <v>0</v>
      </c>
      <c r="S50" s="16">
        <v>0</v>
      </c>
      <c r="T50" s="16">
        <v>0</v>
      </c>
      <c r="U50" s="16">
        <v>0</v>
      </c>
      <c r="V50" s="16">
        <v>1</v>
      </c>
      <c r="W50" s="16">
        <v>2</v>
      </c>
      <c r="X50" s="16">
        <v>2</v>
      </c>
      <c r="Y50" s="16">
        <v>1</v>
      </c>
      <c r="Z50" s="16">
        <v>0</v>
      </c>
      <c r="AA50" s="16">
        <v>1</v>
      </c>
      <c r="AB50" s="16">
        <v>0</v>
      </c>
      <c r="AC50" s="16">
        <v>4</v>
      </c>
      <c r="AD50" s="16">
        <v>0</v>
      </c>
      <c r="AE50" s="16">
        <v>1</v>
      </c>
      <c r="AF50" s="16">
        <v>0</v>
      </c>
      <c r="AG50" s="13">
        <f t="shared" si="13"/>
        <v>26</v>
      </c>
    </row>
    <row r="51" spans="1:33" ht="12.75" customHeight="1" x14ac:dyDescent="0.3">
      <c r="A51" s="15"/>
      <c r="B51" s="34"/>
      <c r="C51" s="29" t="s">
        <v>45</v>
      </c>
      <c r="D51" s="29"/>
      <c r="E51" s="16">
        <v>0</v>
      </c>
      <c r="F51" s="16">
        <v>1</v>
      </c>
      <c r="G51" s="16">
        <v>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</v>
      </c>
      <c r="N51" s="16">
        <v>0</v>
      </c>
      <c r="O51" s="16">
        <v>2</v>
      </c>
      <c r="P51" s="16">
        <v>3</v>
      </c>
      <c r="Q51" s="16">
        <v>3</v>
      </c>
      <c r="R51" s="16">
        <v>1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1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</v>
      </c>
      <c r="AF51" s="16">
        <v>0</v>
      </c>
      <c r="AG51" s="13">
        <f t="shared" si="13"/>
        <v>15</v>
      </c>
    </row>
    <row r="52" spans="1:33" ht="12.75" customHeight="1" x14ac:dyDescent="0.3">
      <c r="A52" s="15"/>
      <c r="B52" s="34"/>
      <c r="C52" s="29" t="s">
        <v>46</v>
      </c>
      <c r="D52" s="29"/>
      <c r="E52" s="16">
        <v>0</v>
      </c>
      <c r="F52" s="16">
        <v>1</v>
      </c>
      <c r="G52" s="16">
        <v>1</v>
      </c>
      <c r="H52" s="16">
        <v>3</v>
      </c>
      <c r="I52" s="16">
        <v>1</v>
      </c>
      <c r="J52" s="16">
        <v>1</v>
      </c>
      <c r="K52" s="16">
        <v>0</v>
      </c>
      <c r="L52" s="16">
        <v>1</v>
      </c>
      <c r="M52" s="16">
        <v>1</v>
      </c>
      <c r="N52" s="16">
        <v>1</v>
      </c>
      <c r="O52" s="16">
        <v>0</v>
      </c>
      <c r="P52" s="16">
        <v>0</v>
      </c>
      <c r="Q52" s="16">
        <v>2</v>
      </c>
      <c r="R52" s="16">
        <v>0</v>
      </c>
      <c r="S52" s="16">
        <v>0</v>
      </c>
      <c r="T52" s="16">
        <v>1</v>
      </c>
      <c r="U52" s="16">
        <v>0</v>
      </c>
      <c r="V52" s="16">
        <v>0</v>
      </c>
      <c r="W52" s="16">
        <v>1</v>
      </c>
      <c r="X52" s="16">
        <v>0</v>
      </c>
      <c r="Y52" s="16">
        <v>1</v>
      </c>
      <c r="Z52" s="16">
        <v>1</v>
      </c>
      <c r="AA52" s="16">
        <v>0</v>
      </c>
      <c r="AB52" s="16">
        <v>0</v>
      </c>
      <c r="AC52" s="16">
        <v>1</v>
      </c>
      <c r="AD52" s="16">
        <v>0</v>
      </c>
      <c r="AE52" s="16">
        <v>1</v>
      </c>
      <c r="AF52" s="16">
        <v>0</v>
      </c>
      <c r="AG52" s="13">
        <f t="shared" si="13"/>
        <v>18</v>
      </c>
    </row>
    <row r="53" spans="1:33" ht="12.75" customHeight="1" x14ac:dyDescent="0.3">
      <c r="A53" s="15"/>
      <c r="B53" s="34"/>
      <c r="C53" s="29" t="s">
        <v>47</v>
      </c>
      <c r="D53" s="29"/>
      <c r="E53" s="16">
        <v>0</v>
      </c>
      <c r="F53" s="16">
        <v>0</v>
      </c>
      <c r="G53" s="16">
        <v>0</v>
      </c>
      <c r="H53" s="16">
        <v>1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1</v>
      </c>
      <c r="V53" s="16">
        <v>0</v>
      </c>
      <c r="W53" s="16">
        <v>0</v>
      </c>
      <c r="X53" s="16">
        <v>3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1</v>
      </c>
      <c r="AF53" s="16">
        <v>0</v>
      </c>
      <c r="AG53" s="13">
        <f t="shared" si="13"/>
        <v>6</v>
      </c>
    </row>
    <row r="54" spans="1:33" ht="12.75" customHeight="1" x14ac:dyDescent="0.3">
      <c r="A54" s="15"/>
      <c r="B54" s="34"/>
      <c r="C54" s="29" t="s">
        <v>48</v>
      </c>
      <c r="D54" s="29"/>
      <c r="E54" s="16">
        <v>0</v>
      </c>
      <c r="F54" s="16">
        <v>0</v>
      </c>
      <c r="G54" s="16">
        <v>1</v>
      </c>
      <c r="H54" s="16">
        <v>0</v>
      </c>
      <c r="I54" s="16">
        <v>0</v>
      </c>
      <c r="J54" s="16">
        <v>1</v>
      </c>
      <c r="K54" s="16">
        <v>0</v>
      </c>
      <c r="L54" s="16">
        <v>0</v>
      </c>
      <c r="M54" s="16">
        <v>1</v>
      </c>
      <c r="N54" s="16">
        <v>0</v>
      </c>
      <c r="O54" s="16">
        <v>2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2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1</v>
      </c>
      <c r="AF54" s="16">
        <v>0</v>
      </c>
      <c r="AG54" s="13">
        <f t="shared" si="13"/>
        <v>8</v>
      </c>
    </row>
    <row r="55" spans="1:33" ht="12.75" customHeight="1" x14ac:dyDescent="0.3">
      <c r="A55" s="16" t="s">
        <v>15</v>
      </c>
      <c r="B55" s="60" t="s">
        <v>49</v>
      </c>
      <c r="C55" s="61"/>
      <c r="D55" s="59"/>
      <c r="E55" s="13">
        <f>SUM(E45:E54)</f>
        <v>21</v>
      </c>
      <c r="F55" s="13">
        <f t="shared" ref="F55:AG55" si="14">SUM(F45:F54)</f>
        <v>11</v>
      </c>
      <c r="G55" s="13">
        <f t="shared" si="14"/>
        <v>34</v>
      </c>
      <c r="H55" s="13">
        <f t="shared" si="14"/>
        <v>55</v>
      </c>
      <c r="I55" s="13">
        <f t="shared" si="14"/>
        <v>10</v>
      </c>
      <c r="J55" s="13">
        <f t="shared" si="14"/>
        <v>22</v>
      </c>
      <c r="K55" s="13">
        <f t="shared" si="14"/>
        <v>5</v>
      </c>
      <c r="L55" s="13">
        <f t="shared" si="14"/>
        <v>20</v>
      </c>
      <c r="M55" s="13">
        <f t="shared" si="14"/>
        <v>14</v>
      </c>
      <c r="N55" s="13">
        <f t="shared" si="14"/>
        <v>19</v>
      </c>
      <c r="O55" s="13">
        <f t="shared" si="14"/>
        <v>39</v>
      </c>
      <c r="P55" s="13">
        <f t="shared" si="14"/>
        <v>38</v>
      </c>
      <c r="Q55" s="13">
        <f t="shared" si="14"/>
        <v>23</v>
      </c>
      <c r="R55" s="13">
        <f t="shared" si="14"/>
        <v>16</v>
      </c>
      <c r="S55" s="13">
        <f t="shared" si="14"/>
        <v>13</v>
      </c>
      <c r="T55" s="13">
        <f t="shared" si="14"/>
        <v>4</v>
      </c>
      <c r="U55" s="13">
        <f t="shared" si="14"/>
        <v>13</v>
      </c>
      <c r="V55" s="13">
        <f t="shared" si="14"/>
        <v>9</v>
      </c>
      <c r="W55" s="13">
        <f t="shared" si="14"/>
        <v>15</v>
      </c>
      <c r="X55" s="13">
        <f t="shared" si="14"/>
        <v>41</v>
      </c>
      <c r="Y55" s="13">
        <f t="shared" si="14"/>
        <v>11</v>
      </c>
      <c r="Z55" s="13">
        <f t="shared" si="14"/>
        <v>5</v>
      </c>
      <c r="AA55" s="13">
        <f t="shared" si="14"/>
        <v>6</v>
      </c>
      <c r="AB55" s="13">
        <f t="shared" si="14"/>
        <v>7</v>
      </c>
      <c r="AC55" s="13">
        <f t="shared" si="14"/>
        <v>21</v>
      </c>
      <c r="AD55" s="13">
        <f t="shared" si="14"/>
        <v>11</v>
      </c>
      <c r="AE55" s="13">
        <f t="shared" si="14"/>
        <v>21</v>
      </c>
      <c r="AF55" s="13">
        <f t="shared" si="14"/>
        <v>5</v>
      </c>
      <c r="AG55" s="13">
        <f t="shared" si="14"/>
        <v>509</v>
      </c>
    </row>
    <row r="56" spans="1:33" ht="12.75" customHeight="1" x14ac:dyDescent="0.3">
      <c r="A56" s="63"/>
      <c r="B56" s="64"/>
      <c r="C56" s="64"/>
      <c r="D56" s="64"/>
      <c r="E56" s="64"/>
      <c r="AG56" s="13"/>
    </row>
    <row r="57" spans="1:33" ht="12.75" customHeight="1" x14ac:dyDescent="0.3">
      <c r="A57" s="20" t="s">
        <v>37</v>
      </c>
      <c r="B57" s="27" t="s">
        <v>19</v>
      </c>
      <c r="C57" s="58" t="s">
        <v>50</v>
      </c>
      <c r="D57" s="59"/>
      <c r="E57" s="16">
        <v>7</v>
      </c>
      <c r="F57" s="16">
        <v>9</v>
      </c>
      <c r="G57" s="16">
        <v>9</v>
      </c>
      <c r="H57" s="16">
        <v>4</v>
      </c>
      <c r="I57" s="16">
        <v>5</v>
      </c>
      <c r="J57" s="16">
        <v>7</v>
      </c>
      <c r="K57" s="16">
        <v>0</v>
      </c>
      <c r="L57" s="16">
        <v>6</v>
      </c>
      <c r="M57" s="16">
        <v>11</v>
      </c>
      <c r="N57" s="16">
        <v>10</v>
      </c>
      <c r="O57" s="16">
        <v>12</v>
      </c>
      <c r="P57" s="16">
        <v>10</v>
      </c>
      <c r="Q57" s="16">
        <v>8</v>
      </c>
      <c r="R57" s="16">
        <v>9</v>
      </c>
      <c r="S57" s="16">
        <v>15</v>
      </c>
      <c r="T57" s="16">
        <v>12</v>
      </c>
      <c r="U57" s="16">
        <v>10</v>
      </c>
      <c r="V57" s="16">
        <v>15</v>
      </c>
      <c r="W57" s="16">
        <v>11</v>
      </c>
      <c r="X57" s="16">
        <v>15</v>
      </c>
      <c r="Y57" s="16">
        <v>3</v>
      </c>
      <c r="Z57" s="16">
        <v>9</v>
      </c>
      <c r="AA57" s="16">
        <v>14</v>
      </c>
      <c r="AB57" s="16">
        <v>8</v>
      </c>
      <c r="AC57" s="16">
        <v>12</v>
      </c>
      <c r="AD57" s="16">
        <v>22</v>
      </c>
      <c r="AE57" s="16">
        <v>9</v>
      </c>
      <c r="AF57" s="16">
        <v>11</v>
      </c>
      <c r="AG57" s="13">
        <f t="shared" ref="AG57:AG66" si="15">SUM(E57:AF57)</f>
        <v>273</v>
      </c>
    </row>
    <row r="58" spans="1:33" ht="12.75" customHeight="1" x14ac:dyDescent="0.3">
      <c r="A58" s="20" t="s">
        <v>39</v>
      </c>
      <c r="B58" s="34"/>
      <c r="C58" s="29" t="s">
        <v>51</v>
      </c>
      <c r="D58" s="35"/>
      <c r="E58" s="16">
        <v>7</v>
      </c>
      <c r="F58" s="16">
        <v>6</v>
      </c>
      <c r="G58" s="16">
        <v>3</v>
      </c>
      <c r="H58" s="16">
        <v>11</v>
      </c>
      <c r="I58" s="16">
        <v>8</v>
      </c>
      <c r="J58" s="16">
        <v>13</v>
      </c>
      <c r="K58" s="16">
        <v>2</v>
      </c>
      <c r="L58" s="16">
        <v>6</v>
      </c>
      <c r="M58" s="16">
        <v>4</v>
      </c>
      <c r="N58" s="16">
        <v>15</v>
      </c>
      <c r="O58" s="16">
        <v>15</v>
      </c>
      <c r="P58" s="16">
        <v>12</v>
      </c>
      <c r="Q58" s="16">
        <v>11</v>
      </c>
      <c r="R58" s="16">
        <v>5</v>
      </c>
      <c r="S58" s="16">
        <v>6</v>
      </c>
      <c r="T58" s="16">
        <v>3</v>
      </c>
      <c r="U58" s="16">
        <v>10</v>
      </c>
      <c r="V58" s="16">
        <v>17</v>
      </c>
      <c r="W58" s="16">
        <v>4</v>
      </c>
      <c r="X58" s="16">
        <v>53</v>
      </c>
      <c r="Y58" s="16">
        <v>10</v>
      </c>
      <c r="Z58" s="16">
        <v>10</v>
      </c>
      <c r="AA58" s="16">
        <v>5</v>
      </c>
      <c r="AB58" s="16">
        <v>6</v>
      </c>
      <c r="AC58" s="16">
        <v>4</v>
      </c>
      <c r="AD58" s="16">
        <v>6</v>
      </c>
      <c r="AE58" s="16">
        <v>3</v>
      </c>
      <c r="AF58" s="16">
        <v>10</v>
      </c>
      <c r="AG58" s="13">
        <f t="shared" si="15"/>
        <v>265</v>
      </c>
    </row>
    <row r="59" spans="1:33" ht="12.75" customHeight="1" x14ac:dyDescent="0.3">
      <c r="A59" s="15"/>
      <c r="B59" s="34"/>
      <c r="C59" s="29" t="s">
        <v>52</v>
      </c>
      <c r="D59" s="35"/>
      <c r="E59" s="16">
        <v>6</v>
      </c>
      <c r="F59" s="16">
        <v>4</v>
      </c>
      <c r="G59" s="16">
        <v>6</v>
      </c>
      <c r="H59" s="16">
        <v>3</v>
      </c>
      <c r="I59" s="16">
        <v>10</v>
      </c>
      <c r="J59" s="16">
        <v>8</v>
      </c>
      <c r="K59" s="16">
        <v>2</v>
      </c>
      <c r="L59" s="16">
        <v>11</v>
      </c>
      <c r="M59" s="16">
        <v>2</v>
      </c>
      <c r="N59" s="16">
        <v>3</v>
      </c>
      <c r="O59" s="16">
        <v>3</v>
      </c>
      <c r="P59" s="16">
        <v>5</v>
      </c>
      <c r="Q59" s="16">
        <v>4</v>
      </c>
      <c r="R59" s="16">
        <v>4</v>
      </c>
      <c r="S59" s="16">
        <v>8</v>
      </c>
      <c r="T59" s="16">
        <v>0</v>
      </c>
      <c r="U59" s="16">
        <v>7</v>
      </c>
      <c r="V59" s="16">
        <v>12</v>
      </c>
      <c r="W59" s="16">
        <v>3</v>
      </c>
      <c r="X59" s="16">
        <v>4</v>
      </c>
      <c r="Y59" s="16">
        <v>3</v>
      </c>
      <c r="Z59" s="16">
        <v>5</v>
      </c>
      <c r="AA59" s="16">
        <v>2</v>
      </c>
      <c r="AB59" s="16">
        <v>3</v>
      </c>
      <c r="AC59" s="16">
        <v>6</v>
      </c>
      <c r="AD59" s="16">
        <v>31</v>
      </c>
      <c r="AE59" s="16">
        <v>29</v>
      </c>
      <c r="AF59" s="16">
        <v>20</v>
      </c>
      <c r="AG59" s="13">
        <f t="shared" si="15"/>
        <v>204</v>
      </c>
    </row>
    <row r="60" spans="1:33" ht="12.75" customHeight="1" x14ac:dyDescent="0.3">
      <c r="A60" s="15"/>
      <c r="B60" s="34"/>
      <c r="C60" s="29" t="s">
        <v>53</v>
      </c>
      <c r="D60" s="35"/>
      <c r="E60" s="16">
        <v>3</v>
      </c>
      <c r="F60" s="16">
        <v>2</v>
      </c>
      <c r="G60" s="16">
        <v>2</v>
      </c>
      <c r="H60" s="16">
        <v>0</v>
      </c>
      <c r="I60" s="16">
        <v>4</v>
      </c>
      <c r="J60" s="16">
        <v>2</v>
      </c>
      <c r="K60" s="16">
        <v>0</v>
      </c>
      <c r="L60" s="16">
        <v>4</v>
      </c>
      <c r="M60" s="16">
        <v>2</v>
      </c>
      <c r="N60" s="16">
        <v>1</v>
      </c>
      <c r="O60" s="16">
        <v>3</v>
      </c>
      <c r="P60" s="16">
        <v>0</v>
      </c>
      <c r="Q60" s="16">
        <v>0</v>
      </c>
      <c r="R60" s="16">
        <v>0</v>
      </c>
      <c r="S60" s="16">
        <v>4</v>
      </c>
      <c r="T60" s="16">
        <v>0</v>
      </c>
      <c r="U60" s="16">
        <v>1</v>
      </c>
      <c r="V60" s="16">
        <v>2</v>
      </c>
      <c r="W60" s="16">
        <v>2</v>
      </c>
      <c r="X60" s="16">
        <v>3</v>
      </c>
      <c r="Y60" s="16">
        <v>4</v>
      </c>
      <c r="Z60" s="16">
        <v>1</v>
      </c>
      <c r="AA60" s="16">
        <v>3</v>
      </c>
      <c r="AB60" s="16">
        <v>1</v>
      </c>
      <c r="AC60" s="16">
        <v>2</v>
      </c>
      <c r="AD60" s="16">
        <v>2</v>
      </c>
      <c r="AE60" s="16">
        <v>3</v>
      </c>
      <c r="AF60" s="16">
        <v>3</v>
      </c>
      <c r="AG60" s="13">
        <f t="shared" si="15"/>
        <v>54</v>
      </c>
    </row>
    <row r="61" spans="1:33" ht="12.75" customHeight="1" x14ac:dyDescent="0.3">
      <c r="A61" s="15"/>
      <c r="B61" s="34"/>
      <c r="C61" s="29" t="s">
        <v>54</v>
      </c>
      <c r="D61" s="35"/>
      <c r="E61" s="16">
        <v>3</v>
      </c>
      <c r="F61" s="16">
        <v>3</v>
      </c>
      <c r="G61" s="16">
        <v>5</v>
      </c>
      <c r="H61" s="16">
        <v>5</v>
      </c>
      <c r="I61" s="16">
        <v>49</v>
      </c>
      <c r="J61" s="16">
        <v>73</v>
      </c>
      <c r="K61" s="16">
        <v>1</v>
      </c>
      <c r="L61" s="16">
        <v>40</v>
      </c>
      <c r="M61" s="16">
        <v>126</v>
      </c>
      <c r="N61" s="16">
        <v>30</v>
      </c>
      <c r="O61" s="16">
        <v>12</v>
      </c>
      <c r="P61" s="16">
        <v>36</v>
      </c>
      <c r="Q61" s="16">
        <v>8</v>
      </c>
      <c r="R61" s="16">
        <v>18</v>
      </c>
      <c r="S61" s="16">
        <v>63</v>
      </c>
      <c r="T61" s="16">
        <v>12</v>
      </c>
      <c r="U61" s="16">
        <v>10</v>
      </c>
      <c r="V61" s="16">
        <v>30</v>
      </c>
      <c r="W61" s="16">
        <v>50</v>
      </c>
      <c r="X61" s="16">
        <v>4</v>
      </c>
      <c r="Y61" s="16">
        <v>2</v>
      </c>
      <c r="Z61" s="16">
        <v>6</v>
      </c>
      <c r="AA61" s="16">
        <v>57</v>
      </c>
      <c r="AB61" s="16">
        <v>20</v>
      </c>
      <c r="AC61" s="16">
        <v>45</v>
      </c>
      <c r="AD61" s="16">
        <v>13</v>
      </c>
      <c r="AE61" s="16">
        <v>1</v>
      </c>
      <c r="AF61" s="16">
        <v>54</v>
      </c>
      <c r="AG61" s="13">
        <f t="shared" si="15"/>
        <v>776</v>
      </c>
    </row>
    <row r="62" spans="1:33" ht="12.75" customHeight="1" x14ac:dyDescent="0.3">
      <c r="A62" s="15"/>
      <c r="B62" s="34"/>
      <c r="C62" s="29" t="s">
        <v>55</v>
      </c>
      <c r="D62" s="35"/>
      <c r="E62" s="16">
        <v>1</v>
      </c>
      <c r="F62" s="16">
        <v>3</v>
      </c>
      <c r="G62" s="16">
        <v>2</v>
      </c>
      <c r="H62" s="16">
        <v>1</v>
      </c>
      <c r="I62" s="16">
        <v>6</v>
      </c>
      <c r="J62" s="16">
        <v>0</v>
      </c>
      <c r="K62" s="16">
        <v>0</v>
      </c>
      <c r="L62" s="16">
        <v>1</v>
      </c>
      <c r="M62" s="16">
        <v>0</v>
      </c>
      <c r="N62" s="16">
        <v>2</v>
      </c>
      <c r="O62" s="16">
        <v>1</v>
      </c>
      <c r="P62" s="16">
        <v>0</v>
      </c>
      <c r="Q62" s="16">
        <v>2</v>
      </c>
      <c r="R62" s="16">
        <v>2</v>
      </c>
      <c r="S62" s="16">
        <v>0</v>
      </c>
      <c r="T62" s="16">
        <v>0</v>
      </c>
      <c r="U62" s="16">
        <v>1</v>
      </c>
      <c r="V62" s="16">
        <v>2</v>
      </c>
      <c r="W62" s="16">
        <v>1</v>
      </c>
      <c r="X62" s="16">
        <v>1</v>
      </c>
      <c r="Y62" s="16">
        <v>0</v>
      </c>
      <c r="Z62" s="16">
        <v>1</v>
      </c>
      <c r="AA62" s="16">
        <v>2</v>
      </c>
      <c r="AB62" s="16">
        <v>1</v>
      </c>
      <c r="AC62" s="16">
        <v>4</v>
      </c>
      <c r="AD62" s="16">
        <v>2</v>
      </c>
      <c r="AE62" s="16">
        <v>1</v>
      </c>
      <c r="AF62" s="16">
        <v>0</v>
      </c>
      <c r="AG62" s="13">
        <f t="shared" si="15"/>
        <v>37</v>
      </c>
    </row>
    <row r="63" spans="1:33" ht="12.75" customHeight="1" x14ac:dyDescent="0.3">
      <c r="A63" s="15"/>
      <c r="B63" s="34"/>
      <c r="C63" s="29" t="s">
        <v>56</v>
      </c>
      <c r="D63" s="36"/>
      <c r="E63" s="16">
        <v>0</v>
      </c>
      <c r="F63" s="16">
        <v>0</v>
      </c>
      <c r="G63" s="16">
        <v>0</v>
      </c>
      <c r="H63" s="16">
        <v>0</v>
      </c>
      <c r="I63" s="16">
        <v>1</v>
      </c>
      <c r="J63" s="16">
        <v>2</v>
      </c>
      <c r="K63" s="16">
        <v>0</v>
      </c>
      <c r="L63" s="16">
        <v>0</v>
      </c>
      <c r="M63" s="16">
        <v>0</v>
      </c>
      <c r="N63" s="16">
        <v>1</v>
      </c>
      <c r="O63" s="16">
        <v>1</v>
      </c>
      <c r="P63" s="16">
        <v>0</v>
      </c>
      <c r="Q63" s="16">
        <v>1</v>
      </c>
      <c r="R63" s="16">
        <v>1</v>
      </c>
      <c r="S63" s="16">
        <v>1</v>
      </c>
      <c r="T63" s="16">
        <v>0</v>
      </c>
      <c r="U63" s="16">
        <v>0</v>
      </c>
      <c r="V63" s="16">
        <v>1</v>
      </c>
      <c r="W63" s="16">
        <v>0</v>
      </c>
      <c r="X63" s="16">
        <v>0</v>
      </c>
      <c r="Y63" s="16">
        <v>0</v>
      </c>
      <c r="Z63" s="16">
        <v>1</v>
      </c>
      <c r="AA63" s="16">
        <v>0</v>
      </c>
      <c r="AB63" s="16">
        <v>1</v>
      </c>
      <c r="AC63" s="16">
        <v>0</v>
      </c>
      <c r="AD63" s="16">
        <v>0</v>
      </c>
      <c r="AE63" s="16">
        <v>0</v>
      </c>
      <c r="AF63" s="16">
        <v>0</v>
      </c>
      <c r="AG63" s="13">
        <f t="shared" si="15"/>
        <v>11</v>
      </c>
    </row>
    <row r="64" spans="1:33" ht="12.75" customHeight="1" x14ac:dyDescent="0.3">
      <c r="A64" s="15"/>
      <c r="B64" s="34"/>
      <c r="C64" s="29" t="s">
        <v>57</v>
      </c>
      <c r="D64" s="35"/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2</v>
      </c>
      <c r="K64" s="16">
        <v>0</v>
      </c>
      <c r="L64" s="16">
        <v>2</v>
      </c>
      <c r="M64" s="16">
        <v>0</v>
      </c>
      <c r="N64" s="16">
        <v>1</v>
      </c>
      <c r="O64" s="16">
        <v>0</v>
      </c>
      <c r="P64" s="16">
        <v>0</v>
      </c>
      <c r="Q64" s="16">
        <v>2</v>
      </c>
      <c r="R64" s="16">
        <v>1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1</v>
      </c>
      <c r="Y64" s="16">
        <v>1</v>
      </c>
      <c r="Z64" s="16">
        <v>2</v>
      </c>
      <c r="AA64" s="16">
        <v>0</v>
      </c>
      <c r="AB64" s="16">
        <v>0</v>
      </c>
      <c r="AC64" s="16">
        <v>0</v>
      </c>
      <c r="AD64" s="16">
        <v>2</v>
      </c>
      <c r="AE64" s="16">
        <v>1</v>
      </c>
      <c r="AF64" s="16">
        <v>0</v>
      </c>
      <c r="AG64" s="13">
        <f t="shared" si="15"/>
        <v>15</v>
      </c>
    </row>
    <row r="65" spans="1:33" ht="12.75" customHeight="1" x14ac:dyDescent="0.3">
      <c r="A65" s="15"/>
      <c r="B65" s="34"/>
      <c r="C65" s="29" t="s">
        <v>58</v>
      </c>
      <c r="D65" s="35"/>
      <c r="E65" s="16">
        <v>0</v>
      </c>
      <c r="F65" s="16">
        <v>0</v>
      </c>
      <c r="G65" s="16">
        <v>0</v>
      </c>
      <c r="H65" s="16">
        <v>0</v>
      </c>
      <c r="I65" s="16">
        <v>1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1</v>
      </c>
      <c r="S65" s="16">
        <v>0</v>
      </c>
      <c r="T65" s="16">
        <v>0</v>
      </c>
      <c r="U65" s="16">
        <v>0</v>
      </c>
      <c r="V65" s="16">
        <v>1</v>
      </c>
      <c r="W65" s="16">
        <v>1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1</v>
      </c>
      <c r="AF65" s="16">
        <v>1</v>
      </c>
      <c r="AG65" s="13">
        <f t="shared" si="15"/>
        <v>6</v>
      </c>
    </row>
    <row r="66" spans="1:33" ht="12.75" customHeight="1" x14ac:dyDescent="0.3">
      <c r="A66" s="15"/>
      <c r="B66" s="34"/>
      <c r="C66" s="29" t="s">
        <v>59</v>
      </c>
      <c r="D66" s="35"/>
      <c r="E66" s="16">
        <v>1</v>
      </c>
      <c r="F66" s="16">
        <v>0</v>
      </c>
      <c r="G66" s="16">
        <v>1</v>
      </c>
      <c r="H66" s="16">
        <v>0</v>
      </c>
      <c r="I66" s="16">
        <v>1</v>
      </c>
      <c r="J66" s="16">
        <v>1</v>
      </c>
      <c r="K66" s="16">
        <v>0</v>
      </c>
      <c r="L66" s="16">
        <v>1</v>
      </c>
      <c r="M66" s="16">
        <v>1</v>
      </c>
      <c r="N66" s="16">
        <v>1</v>
      </c>
      <c r="O66" s="16">
        <v>0</v>
      </c>
      <c r="P66" s="16">
        <v>1</v>
      </c>
      <c r="Q66" s="16">
        <v>0</v>
      </c>
      <c r="R66" s="16">
        <v>0</v>
      </c>
      <c r="S66" s="16">
        <v>1</v>
      </c>
      <c r="T66" s="16">
        <v>0</v>
      </c>
      <c r="U66" s="16">
        <v>1</v>
      </c>
      <c r="V66" s="16">
        <v>3</v>
      </c>
      <c r="W66" s="16">
        <v>0</v>
      </c>
      <c r="X66" s="16">
        <v>0</v>
      </c>
      <c r="Y66" s="16">
        <v>0</v>
      </c>
      <c r="Z66" s="16">
        <v>3</v>
      </c>
      <c r="AA66" s="16">
        <v>0</v>
      </c>
      <c r="AB66" s="16">
        <v>0</v>
      </c>
      <c r="AC66" s="16">
        <v>0</v>
      </c>
      <c r="AD66" s="16">
        <v>0</v>
      </c>
      <c r="AE66" s="16">
        <v>1</v>
      </c>
      <c r="AF66" s="16">
        <v>1</v>
      </c>
      <c r="AG66" s="13">
        <f t="shared" si="15"/>
        <v>18</v>
      </c>
    </row>
    <row r="67" spans="1:33" ht="12.75" customHeight="1" x14ac:dyDescent="0.3">
      <c r="A67" s="16" t="s">
        <v>15</v>
      </c>
      <c r="B67" s="60" t="s">
        <v>49</v>
      </c>
      <c r="C67" s="61"/>
      <c r="D67" s="59"/>
      <c r="E67" s="13">
        <f>SUM(E57:E66)</f>
        <v>28</v>
      </c>
      <c r="F67" s="13">
        <f t="shared" ref="F67" si="16">SUM(F57:F66)</f>
        <v>27</v>
      </c>
      <c r="G67" s="13">
        <f t="shared" ref="G67" si="17">SUM(G57:G66)</f>
        <v>28</v>
      </c>
      <c r="H67" s="13">
        <f t="shared" ref="H67" si="18">SUM(H57:H66)</f>
        <v>24</v>
      </c>
      <c r="I67" s="13">
        <f t="shared" ref="I67" si="19">SUM(I57:I66)</f>
        <v>85</v>
      </c>
      <c r="J67" s="13">
        <f t="shared" ref="J67" si="20">SUM(J57:J66)</f>
        <v>108</v>
      </c>
      <c r="K67" s="13">
        <f t="shared" ref="K67" si="21">SUM(K57:K66)</f>
        <v>5</v>
      </c>
      <c r="L67" s="13">
        <f t="shared" ref="L67" si="22">SUM(L57:L66)</f>
        <v>71</v>
      </c>
      <c r="M67" s="13">
        <f t="shared" ref="M67" si="23">SUM(M57:M66)</f>
        <v>146</v>
      </c>
      <c r="N67" s="13">
        <f t="shared" ref="N67" si="24">SUM(N57:N66)</f>
        <v>64</v>
      </c>
      <c r="O67" s="13">
        <f t="shared" ref="O67" si="25">SUM(O57:O66)</f>
        <v>47</v>
      </c>
      <c r="P67" s="13">
        <f t="shared" ref="P67" si="26">SUM(P57:P66)</f>
        <v>64</v>
      </c>
      <c r="Q67" s="13">
        <f t="shared" ref="Q67" si="27">SUM(Q57:Q66)</f>
        <v>36</v>
      </c>
      <c r="R67" s="13">
        <f t="shared" ref="R67" si="28">SUM(R57:R66)</f>
        <v>41</v>
      </c>
      <c r="S67" s="13">
        <f t="shared" ref="S67" si="29">SUM(S57:S66)</f>
        <v>98</v>
      </c>
      <c r="T67" s="13">
        <f t="shared" ref="T67" si="30">SUM(T57:T66)</f>
        <v>27</v>
      </c>
      <c r="U67" s="13">
        <f t="shared" ref="U67" si="31">SUM(U57:U66)</f>
        <v>40</v>
      </c>
      <c r="V67" s="13">
        <f t="shared" ref="V67" si="32">SUM(V57:V66)</f>
        <v>83</v>
      </c>
      <c r="W67" s="13">
        <f t="shared" ref="W67" si="33">SUM(W57:W66)</f>
        <v>72</v>
      </c>
      <c r="X67" s="13">
        <f t="shared" ref="X67" si="34">SUM(X57:X66)</f>
        <v>81</v>
      </c>
      <c r="Y67" s="13">
        <f t="shared" ref="Y67" si="35">SUM(Y57:Y66)</f>
        <v>23</v>
      </c>
      <c r="Z67" s="13">
        <f t="shared" ref="Z67" si="36">SUM(Z57:Z66)</f>
        <v>38</v>
      </c>
      <c r="AA67" s="13">
        <f t="shared" ref="AA67" si="37">SUM(AA57:AA66)</f>
        <v>83</v>
      </c>
      <c r="AB67" s="13">
        <f t="shared" ref="AB67" si="38">SUM(AB57:AB66)</f>
        <v>40</v>
      </c>
      <c r="AC67" s="13">
        <f t="shared" ref="AC67" si="39">SUM(AC57:AC66)</f>
        <v>73</v>
      </c>
      <c r="AD67" s="13">
        <f t="shared" ref="AD67" si="40">SUM(AD57:AD66)</f>
        <v>78</v>
      </c>
      <c r="AE67" s="13">
        <f t="shared" ref="AE67" si="41">SUM(AE57:AE66)</f>
        <v>49</v>
      </c>
      <c r="AF67" s="13">
        <f t="shared" ref="AF67" si="42">SUM(AF57:AF66)</f>
        <v>100</v>
      </c>
      <c r="AG67" s="13">
        <f t="shared" ref="AG67" si="43">SUM(AG57:AG66)</f>
        <v>1659</v>
      </c>
    </row>
    <row r="68" spans="1:33" ht="12.75" customHeight="1" x14ac:dyDescent="0.3">
      <c r="A68" s="63"/>
      <c r="B68" s="64"/>
      <c r="C68" s="64"/>
      <c r="D68" s="64"/>
      <c r="E68" s="64"/>
    </row>
    <row r="69" spans="1:33" ht="12.75" customHeight="1" x14ac:dyDescent="0.3">
      <c r="A69" s="20" t="s">
        <v>37</v>
      </c>
      <c r="B69" s="27" t="s">
        <v>21</v>
      </c>
      <c r="C69" s="58" t="s">
        <v>60</v>
      </c>
      <c r="D69" s="59"/>
      <c r="E69" s="16">
        <v>4</v>
      </c>
      <c r="F69" s="16">
        <v>4</v>
      </c>
      <c r="G69" s="16">
        <v>5</v>
      </c>
      <c r="H69" s="16">
        <v>6</v>
      </c>
      <c r="I69" s="16">
        <v>8</v>
      </c>
      <c r="J69" s="16">
        <v>3</v>
      </c>
      <c r="K69" s="16">
        <v>2</v>
      </c>
      <c r="L69" s="16">
        <v>8</v>
      </c>
      <c r="M69" s="16">
        <v>10</v>
      </c>
      <c r="N69" s="16">
        <v>13</v>
      </c>
      <c r="O69" s="16">
        <v>14</v>
      </c>
      <c r="P69" s="16">
        <v>12</v>
      </c>
      <c r="Q69" s="16">
        <v>11</v>
      </c>
      <c r="R69" s="16">
        <v>12</v>
      </c>
      <c r="S69" s="16">
        <v>14</v>
      </c>
      <c r="T69" s="16">
        <v>10</v>
      </c>
      <c r="U69" s="16">
        <v>8</v>
      </c>
      <c r="V69" s="16">
        <v>12</v>
      </c>
      <c r="W69" s="16">
        <v>16</v>
      </c>
      <c r="X69" s="16">
        <v>8</v>
      </c>
      <c r="Y69" s="16">
        <v>5</v>
      </c>
      <c r="Z69" s="16">
        <v>2</v>
      </c>
      <c r="AA69" s="16">
        <v>5</v>
      </c>
      <c r="AB69" s="16">
        <v>14</v>
      </c>
      <c r="AC69" s="16">
        <v>14</v>
      </c>
      <c r="AD69" s="16">
        <v>12</v>
      </c>
      <c r="AE69" s="16">
        <v>4</v>
      </c>
      <c r="AF69" s="16">
        <v>1</v>
      </c>
      <c r="AG69" s="13">
        <f t="shared" ref="AG69:AG78" si="44">SUM(E69:AF69)</f>
        <v>237</v>
      </c>
    </row>
    <row r="70" spans="1:33" ht="12.75" customHeight="1" x14ac:dyDescent="0.3">
      <c r="A70" s="20" t="s">
        <v>39</v>
      </c>
      <c r="B70" s="34"/>
      <c r="C70" s="29" t="s">
        <v>61</v>
      </c>
      <c r="D70" s="36"/>
      <c r="E70" s="16">
        <v>4</v>
      </c>
      <c r="F70" s="16">
        <v>1</v>
      </c>
      <c r="G70" s="16">
        <v>4</v>
      </c>
      <c r="H70" s="16">
        <v>3</v>
      </c>
      <c r="I70" s="16">
        <v>8</v>
      </c>
      <c r="J70" s="16">
        <v>2</v>
      </c>
      <c r="K70" s="16">
        <v>0</v>
      </c>
      <c r="L70" s="16">
        <v>1</v>
      </c>
      <c r="M70" s="16">
        <v>2</v>
      </c>
      <c r="N70" s="16">
        <v>5</v>
      </c>
      <c r="O70" s="16">
        <v>7</v>
      </c>
      <c r="P70" s="16">
        <v>3</v>
      </c>
      <c r="Q70" s="16">
        <v>4</v>
      </c>
      <c r="R70" s="16">
        <v>6</v>
      </c>
      <c r="S70" s="16">
        <v>4</v>
      </c>
      <c r="T70" s="16">
        <v>6</v>
      </c>
      <c r="U70" s="16">
        <v>4</v>
      </c>
      <c r="V70" s="16">
        <v>15</v>
      </c>
      <c r="W70" s="16">
        <v>27</v>
      </c>
      <c r="X70" s="16">
        <v>6</v>
      </c>
      <c r="Y70" s="16">
        <v>4</v>
      </c>
      <c r="Z70" s="16">
        <v>3</v>
      </c>
      <c r="AA70" s="16">
        <v>2</v>
      </c>
      <c r="AB70" s="16">
        <v>7</v>
      </c>
      <c r="AC70" s="16">
        <v>8</v>
      </c>
      <c r="AD70" s="16">
        <v>7</v>
      </c>
      <c r="AE70" s="16">
        <v>1</v>
      </c>
      <c r="AF70" s="16">
        <v>0</v>
      </c>
      <c r="AG70" s="13">
        <f t="shared" si="44"/>
        <v>144</v>
      </c>
    </row>
    <row r="71" spans="1:33" ht="12.75" customHeight="1" x14ac:dyDescent="0.3">
      <c r="A71" s="15"/>
      <c r="B71" s="34"/>
      <c r="C71" s="29" t="s">
        <v>62</v>
      </c>
      <c r="D71" s="36"/>
      <c r="E71" s="16">
        <v>2</v>
      </c>
      <c r="F71" s="16">
        <v>3</v>
      </c>
      <c r="G71" s="16">
        <v>3</v>
      </c>
      <c r="H71" s="16">
        <v>3</v>
      </c>
      <c r="I71" s="16">
        <v>4</v>
      </c>
      <c r="J71" s="16">
        <v>2</v>
      </c>
      <c r="K71" s="16">
        <v>3</v>
      </c>
      <c r="L71" s="16">
        <v>4</v>
      </c>
      <c r="M71" s="16">
        <v>3</v>
      </c>
      <c r="N71" s="16">
        <v>3</v>
      </c>
      <c r="O71" s="16">
        <v>6</v>
      </c>
      <c r="P71" s="16">
        <v>8</v>
      </c>
      <c r="Q71" s="16">
        <v>9</v>
      </c>
      <c r="R71" s="16">
        <v>9</v>
      </c>
      <c r="S71" s="16">
        <v>1</v>
      </c>
      <c r="T71" s="16">
        <v>2</v>
      </c>
      <c r="U71" s="16">
        <v>1</v>
      </c>
      <c r="V71" s="16">
        <v>5</v>
      </c>
      <c r="W71" s="16">
        <v>5</v>
      </c>
      <c r="X71" s="16">
        <v>5</v>
      </c>
      <c r="Y71" s="16">
        <v>1</v>
      </c>
      <c r="Z71" s="16">
        <v>2</v>
      </c>
      <c r="AA71" s="16">
        <v>3</v>
      </c>
      <c r="AB71" s="16">
        <v>5</v>
      </c>
      <c r="AC71" s="16">
        <v>3</v>
      </c>
      <c r="AD71" s="16">
        <v>7</v>
      </c>
      <c r="AE71" s="16">
        <v>2</v>
      </c>
      <c r="AF71" s="16">
        <v>1</v>
      </c>
      <c r="AG71" s="13">
        <f t="shared" si="44"/>
        <v>105</v>
      </c>
    </row>
    <row r="72" spans="1:33" ht="12.75" customHeight="1" x14ac:dyDescent="0.3">
      <c r="A72" s="15"/>
      <c r="B72" s="34"/>
      <c r="C72" s="29" t="s">
        <v>63</v>
      </c>
      <c r="D72" s="36"/>
      <c r="E72" s="16">
        <v>2</v>
      </c>
      <c r="F72" s="16">
        <v>1</v>
      </c>
      <c r="G72" s="16">
        <v>1</v>
      </c>
      <c r="H72" s="16">
        <v>3</v>
      </c>
      <c r="I72" s="16">
        <v>2</v>
      </c>
      <c r="J72" s="16">
        <v>1</v>
      </c>
      <c r="K72" s="16">
        <v>0</v>
      </c>
      <c r="L72" s="16">
        <v>3</v>
      </c>
      <c r="M72" s="16">
        <v>1</v>
      </c>
      <c r="N72" s="16">
        <v>1</v>
      </c>
      <c r="O72" s="16">
        <v>2</v>
      </c>
      <c r="P72" s="16">
        <v>4</v>
      </c>
      <c r="Q72" s="16">
        <v>8</v>
      </c>
      <c r="R72" s="16">
        <v>5</v>
      </c>
      <c r="S72" s="16">
        <v>0</v>
      </c>
      <c r="T72" s="16">
        <v>2</v>
      </c>
      <c r="U72" s="16">
        <v>1</v>
      </c>
      <c r="V72" s="16">
        <v>5</v>
      </c>
      <c r="W72" s="16">
        <v>2</v>
      </c>
      <c r="X72" s="16">
        <v>2</v>
      </c>
      <c r="Y72" s="16">
        <v>5</v>
      </c>
      <c r="Z72" s="16">
        <v>5</v>
      </c>
      <c r="AA72" s="16">
        <v>1</v>
      </c>
      <c r="AB72" s="16">
        <v>5</v>
      </c>
      <c r="AC72" s="16">
        <v>1</v>
      </c>
      <c r="AD72" s="16">
        <v>4</v>
      </c>
      <c r="AE72" s="16">
        <v>2</v>
      </c>
      <c r="AF72" s="16">
        <v>2</v>
      </c>
      <c r="AG72" s="13">
        <f t="shared" si="44"/>
        <v>71</v>
      </c>
    </row>
    <row r="73" spans="1:33" ht="12.75" customHeight="1" x14ac:dyDescent="0.3">
      <c r="A73" s="15"/>
      <c r="B73" s="34"/>
      <c r="C73" s="29" t="s">
        <v>64</v>
      </c>
      <c r="D73" s="36"/>
      <c r="E73" s="16">
        <v>3</v>
      </c>
      <c r="F73" s="16">
        <v>4</v>
      </c>
      <c r="G73" s="16">
        <v>3</v>
      </c>
      <c r="H73" s="16">
        <v>4</v>
      </c>
      <c r="I73" s="16">
        <v>1</v>
      </c>
      <c r="J73" s="16">
        <v>2</v>
      </c>
      <c r="K73" s="16">
        <v>1</v>
      </c>
      <c r="L73" s="16">
        <v>8</v>
      </c>
      <c r="M73" s="16">
        <v>6</v>
      </c>
      <c r="N73" s="16">
        <v>1</v>
      </c>
      <c r="O73" s="16">
        <v>5</v>
      </c>
      <c r="P73" s="16">
        <v>6</v>
      </c>
      <c r="Q73" s="16">
        <v>5</v>
      </c>
      <c r="R73" s="16">
        <v>5</v>
      </c>
      <c r="S73" s="16">
        <v>3</v>
      </c>
      <c r="T73" s="16">
        <v>1</v>
      </c>
      <c r="U73" s="16">
        <v>0</v>
      </c>
      <c r="V73" s="16">
        <v>7</v>
      </c>
      <c r="W73" s="16">
        <v>3</v>
      </c>
      <c r="X73" s="16">
        <v>0</v>
      </c>
      <c r="Y73" s="16">
        <v>2</v>
      </c>
      <c r="Z73" s="16">
        <v>2</v>
      </c>
      <c r="AA73" s="16">
        <v>1</v>
      </c>
      <c r="AB73" s="16">
        <v>1</v>
      </c>
      <c r="AC73" s="16">
        <v>6</v>
      </c>
      <c r="AD73" s="16">
        <v>5</v>
      </c>
      <c r="AE73" s="16">
        <v>2</v>
      </c>
      <c r="AF73" s="16">
        <v>3</v>
      </c>
      <c r="AG73" s="13">
        <f t="shared" si="44"/>
        <v>90</v>
      </c>
    </row>
    <row r="74" spans="1:33" ht="12.75" customHeight="1" x14ac:dyDescent="0.3">
      <c r="A74" s="15"/>
      <c r="B74" s="34"/>
      <c r="C74" s="29" t="s">
        <v>65</v>
      </c>
      <c r="D74" s="36"/>
      <c r="E74" s="16">
        <v>4</v>
      </c>
      <c r="F74" s="16">
        <v>2</v>
      </c>
      <c r="G74" s="16">
        <v>2</v>
      </c>
      <c r="H74" s="16">
        <v>1</v>
      </c>
      <c r="I74" s="16">
        <v>1</v>
      </c>
      <c r="J74" s="16">
        <v>1</v>
      </c>
      <c r="K74" s="16">
        <v>0</v>
      </c>
      <c r="L74" s="16">
        <v>3</v>
      </c>
      <c r="M74" s="16">
        <v>1</v>
      </c>
      <c r="N74" s="16">
        <v>5</v>
      </c>
      <c r="O74" s="16">
        <v>4</v>
      </c>
      <c r="P74" s="16">
        <v>3</v>
      </c>
      <c r="Q74" s="16">
        <v>3</v>
      </c>
      <c r="R74" s="16">
        <v>6</v>
      </c>
      <c r="S74" s="16">
        <v>1</v>
      </c>
      <c r="T74" s="16">
        <v>1</v>
      </c>
      <c r="U74" s="16">
        <v>0</v>
      </c>
      <c r="V74" s="16">
        <v>4</v>
      </c>
      <c r="W74" s="16">
        <v>3</v>
      </c>
      <c r="X74" s="16">
        <v>2</v>
      </c>
      <c r="Y74" s="16">
        <v>2</v>
      </c>
      <c r="Z74" s="16">
        <v>2</v>
      </c>
      <c r="AA74" s="16">
        <v>1</v>
      </c>
      <c r="AB74" s="16">
        <v>1</v>
      </c>
      <c r="AC74" s="16">
        <v>3</v>
      </c>
      <c r="AD74" s="16">
        <v>0</v>
      </c>
      <c r="AE74" s="16">
        <v>1</v>
      </c>
      <c r="AF74" s="16">
        <v>0</v>
      </c>
      <c r="AG74" s="13">
        <f t="shared" si="44"/>
        <v>57</v>
      </c>
    </row>
    <row r="75" spans="1:33" ht="12.75" customHeight="1" x14ac:dyDescent="0.3">
      <c r="A75" s="15"/>
      <c r="B75" s="34"/>
      <c r="C75" s="29" t="s">
        <v>66</v>
      </c>
      <c r="D75" s="36"/>
      <c r="E75" s="16">
        <v>4</v>
      </c>
      <c r="F75" s="16">
        <v>1</v>
      </c>
      <c r="G75" s="16">
        <v>1</v>
      </c>
      <c r="H75" s="16">
        <v>1</v>
      </c>
      <c r="I75" s="16">
        <v>5</v>
      </c>
      <c r="J75" s="16">
        <v>2</v>
      </c>
      <c r="K75" s="16">
        <v>1</v>
      </c>
      <c r="L75" s="16">
        <v>1</v>
      </c>
      <c r="M75" s="16">
        <v>1</v>
      </c>
      <c r="N75" s="16">
        <v>0</v>
      </c>
      <c r="O75" s="16">
        <v>3</v>
      </c>
      <c r="P75" s="16">
        <v>2</v>
      </c>
      <c r="Q75" s="16">
        <v>2</v>
      </c>
      <c r="R75" s="16">
        <v>3</v>
      </c>
      <c r="S75" s="16">
        <v>1</v>
      </c>
      <c r="T75" s="16">
        <v>0</v>
      </c>
      <c r="U75" s="16">
        <v>0</v>
      </c>
      <c r="V75" s="16">
        <v>2</v>
      </c>
      <c r="W75" s="16">
        <v>2</v>
      </c>
      <c r="X75" s="16">
        <v>0</v>
      </c>
      <c r="Y75" s="16">
        <v>0</v>
      </c>
      <c r="Z75" s="16">
        <v>2</v>
      </c>
      <c r="AA75" s="16">
        <v>0</v>
      </c>
      <c r="AB75" s="16">
        <v>1</v>
      </c>
      <c r="AC75" s="16">
        <v>0</v>
      </c>
      <c r="AD75" s="16">
        <v>1</v>
      </c>
      <c r="AE75" s="16">
        <v>0</v>
      </c>
      <c r="AF75" s="16">
        <v>0</v>
      </c>
      <c r="AG75" s="13">
        <f t="shared" si="44"/>
        <v>36</v>
      </c>
    </row>
    <row r="76" spans="1:33" ht="12.75" customHeight="1" x14ac:dyDescent="0.3">
      <c r="A76" s="15"/>
      <c r="B76" s="34"/>
      <c r="C76" s="29" t="s">
        <v>67</v>
      </c>
      <c r="D76" s="36"/>
      <c r="E76" s="16">
        <v>0</v>
      </c>
      <c r="F76" s="16">
        <v>0</v>
      </c>
      <c r="G76" s="16">
        <v>1</v>
      </c>
      <c r="H76" s="16">
        <v>2</v>
      </c>
      <c r="I76" s="16">
        <v>6</v>
      </c>
      <c r="J76" s="16">
        <v>2</v>
      </c>
      <c r="K76" s="16">
        <v>0</v>
      </c>
      <c r="L76" s="16">
        <v>0</v>
      </c>
      <c r="M76" s="16">
        <v>2</v>
      </c>
      <c r="N76" s="16">
        <v>0</v>
      </c>
      <c r="O76" s="16">
        <v>0</v>
      </c>
      <c r="P76" s="16">
        <v>0</v>
      </c>
      <c r="Q76" s="16">
        <v>2</v>
      </c>
      <c r="R76" s="16">
        <v>1</v>
      </c>
      <c r="S76" s="16">
        <v>2</v>
      </c>
      <c r="T76" s="16">
        <v>3</v>
      </c>
      <c r="U76" s="16">
        <v>1</v>
      </c>
      <c r="V76" s="16">
        <v>1</v>
      </c>
      <c r="W76" s="16">
        <v>0</v>
      </c>
      <c r="X76" s="16">
        <v>1</v>
      </c>
      <c r="Y76" s="16">
        <v>0</v>
      </c>
      <c r="Z76" s="16">
        <v>3</v>
      </c>
      <c r="AA76" s="16">
        <v>5</v>
      </c>
      <c r="AB76" s="16">
        <v>8</v>
      </c>
      <c r="AC76" s="16">
        <v>1</v>
      </c>
      <c r="AD76" s="16">
        <v>1</v>
      </c>
      <c r="AE76" s="16">
        <v>0</v>
      </c>
      <c r="AF76" s="16">
        <v>0</v>
      </c>
      <c r="AG76" s="13">
        <f t="shared" si="44"/>
        <v>42</v>
      </c>
    </row>
    <row r="77" spans="1:33" ht="12.75" customHeight="1" x14ac:dyDescent="0.3">
      <c r="A77" s="15"/>
      <c r="B77" s="34"/>
      <c r="C77" s="29" t="s">
        <v>68</v>
      </c>
      <c r="D77" s="36"/>
      <c r="E77" s="16">
        <v>0</v>
      </c>
      <c r="F77" s="16">
        <v>0</v>
      </c>
      <c r="G77" s="16">
        <v>0</v>
      </c>
      <c r="H77" s="16">
        <v>0</v>
      </c>
      <c r="I77" s="16">
        <v>4</v>
      </c>
      <c r="J77" s="16">
        <v>3</v>
      </c>
      <c r="K77" s="16">
        <v>0</v>
      </c>
      <c r="L77" s="16">
        <v>0</v>
      </c>
      <c r="M77" s="16">
        <v>3</v>
      </c>
      <c r="N77" s="16">
        <v>1</v>
      </c>
      <c r="O77" s="16">
        <v>3</v>
      </c>
      <c r="P77" s="16">
        <v>0</v>
      </c>
      <c r="Q77" s="16">
        <v>1</v>
      </c>
      <c r="R77" s="16">
        <v>2</v>
      </c>
      <c r="S77" s="16">
        <v>1</v>
      </c>
      <c r="T77" s="16">
        <v>1</v>
      </c>
      <c r="U77" s="16">
        <v>0</v>
      </c>
      <c r="V77" s="16">
        <v>1</v>
      </c>
      <c r="W77" s="16">
        <v>2</v>
      </c>
      <c r="X77" s="16">
        <v>0</v>
      </c>
      <c r="Y77" s="16">
        <v>1</v>
      </c>
      <c r="Z77" s="16">
        <v>3</v>
      </c>
      <c r="AA77" s="16">
        <v>1</v>
      </c>
      <c r="AB77" s="16">
        <v>2</v>
      </c>
      <c r="AC77" s="16">
        <v>1</v>
      </c>
      <c r="AD77" s="16">
        <v>1</v>
      </c>
      <c r="AE77" s="16">
        <v>0</v>
      </c>
      <c r="AF77" s="16">
        <v>1</v>
      </c>
      <c r="AG77" s="13">
        <f t="shared" si="44"/>
        <v>32</v>
      </c>
    </row>
    <row r="78" spans="1:33" ht="12.75" customHeight="1" x14ac:dyDescent="0.3">
      <c r="A78" s="15"/>
      <c r="B78" s="34"/>
      <c r="C78" s="29" t="s">
        <v>69</v>
      </c>
      <c r="D78" s="36"/>
      <c r="E78" s="16">
        <v>0</v>
      </c>
      <c r="F78" s="16">
        <v>0</v>
      </c>
      <c r="G78" s="16">
        <v>2</v>
      </c>
      <c r="H78" s="16">
        <v>2</v>
      </c>
      <c r="I78" s="16">
        <v>4</v>
      </c>
      <c r="J78" s="16">
        <v>2</v>
      </c>
      <c r="K78" s="16">
        <v>0</v>
      </c>
      <c r="L78" s="16">
        <v>0</v>
      </c>
      <c r="M78" s="16">
        <v>1</v>
      </c>
      <c r="N78" s="16">
        <v>1</v>
      </c>
      <c r="O78" s="16">
        <v>4</v>
      </c>
      <c r="P78" s="16">
        <v>1</v>
      </c>
      <c r="Q78" s="16">
        <v>1</v>
      </c>
      <c r="R78" s="16">
        <v>1</v>
      </c>
      <c r="S78" s="16">
        <v>1</v>
      </c>
      <c r="T78" s="16">
        <v>0</v>
      </c>
      <c r="U78" s="16">
        <v>0</v>
      </c>
      <c r="V78" s="16">
        <v>2</v>
      </c>
      <c r="W78" s="16">
        <v>0</v>
      </c>
      <c r="X78" s="16">
        <v>1</v>
      </c>
      <c r="Y78" s="16">
        <v>0</v>
      </c>
      <c r="Z78" s="16">
        <v>2</v>
      </c>
      <c r="AA78" s="16">
        <v>1</v>
      </c>
      <c r="AB78" s="16">
        <v>2</v>
      </c>
      <c r="AC78" s="16">
        <v>4</v>
      </c>
      <c r="AD78" s="16">
        <v>3</v>
      </c>
      <c r="AE78" s="16">
        <v>4</v>
      </c>
      <c r="AF78" s="16">
        <v>0</v>
      </c>
      <c r="AG78" s="13">
        <f t="shared" si="44"/>
        <v>39</v>
      </c>
    </row>
    <row r="79" spans="1:33" ht="12.75" customHeight="1" x14ac:dyDescent="0.3">
      <c r="A79" s="16" t="s">
        <v>15</v>
      </c>
      <c r="B79" s="60" t="s">
        <v>49</v>
      </c>
      <c r="C79" s="61"/>
      <c r="D79" s="59"/>
      <c r="E79" s="13">
        <f>SUM(E69:E78)</f>
        <v>23</v>
      </c>
      <c r="F79" s="13">
        <f t="shared" ref="F79" si="45">SUM(F69:F78)</f>
        <v>16</v>
      </c>
      <c r="G79" s="13">
        <f t="shared" ref="G79" si="46">SUM(G69:G78)</f>
        <v>22</v>
      </c>
      <c r="H79" s="13">
        <f t="shared" ref="H79" si="47">SUM(H69:H78)</f>
        <v>25</v>
      </c>
      <c r="I79" s="13">
        <f t="shared" ref="I79" si="48">SUM(I69:I78)</f>
        <v>43</v>
      </c>
      <c r="J79" s="13">
        <f t="shared" ref="J79" si="49">SUM(J69:J78)</f>
        <v>20</v>
      </c>
      <c r="K79" s="13">
        <f t="shared" ref="K79" si="50">SUM(K69:K78)</f>
        <v>7</v>
      </c>
      <c r="L79" s="13">
        <f t="shared" ref="L79" si="51">SUM(L69:L78)</f>
        <v>28</v>
      </c>
      <c r="M79" s="13">
        <f t="shared" ref="M79" si="52">SUM(M69:M78)</f>
        <v>30</v>
      </c>
      <c r="N79" s="13">
        <f t="shared" ref="N79" si="53">SUM(N69:N78)</f>
        <v>30</v>
      </c>
      <c r="O79" s="13">
        <f t="shared" ref="O79" si="54">SUM(O69:O78)</f>
        <v>48</v>
      </c>
      <c r="P79" s="13">
        <f t="shared" ref="P79" si="55">SUM(P69:P78)</f>
        <v>39</v>
      </c>
      <c r="Q79" s="13">
        <f t="shared" ref="Q79" si="56">SUM(Q69:Q78)</f>
        <v>46</v>
      </c>
      <c r="R79" s="13">
        <f t="shared" ref="R79" si="57">SUM(R69:R78)</f>
        <v>50</v>
      </c>
      <c r="S79" s="13">
        <f t="shared" ref="S79" si="58">SUM(S69:S78)</f>
        <v>28</v>
      </c>
      <c r="T79" s="13">
        <f t="shared" ref="T79" si="59">SUM(T69:T78)</f>
        <v>26</v>
      </c>
      <c r="U79" s="13">
        <f t="shared" ref="U79" si="60">SUM(U69:U78)</f>
        <v>15</v>
      </c>
      <c r="V79" s="13">
        <f t="shared" ref="V79" si="61">SUM(V69:V78)</f>
        <v>54</v>
      </c>
      <c r="W79" s="13">
        <f t="shared" ref="W79" si="62">SUM(W69:W78)</f>
        <v>60</v>
      </c>
      <c r="X79" s="13">
        <f t="shared" ref="X79" si="63">SUM(X69:X78)</f>
        <v>25</v>
      </c>
      <c r="Y79" s="13">
        <f t="shared" ref="Y79" si="64">SUM(Y69:Y78)</f>
        <v>20</v>
      </c>
      <c r="Z79" s="13">
        <f t="shared" ref="Z79" si="65">SUM(Z69:Z78)</f>
        <v>26</v>
      </c>
      <c r="AA79" s="13">
        <f t="shared" ref="AA79" si="66">SUM(AA69:AA78)</f>
        <v>20</v>
      </c>
      <c r="AB79" s="13">
        <f t="shared" ref="AB79" si="67">SUM(AB69:AB78)</f>
        <v>46</v>
      </c>
      <c r="AC79" s="13">
        <f t="shared" ref="AC79" si="68">SUM(AC69:AC78)</f>
        <v>41</v>
      </c>
      <c r="AD79" s="13">
        <f t="shared" ref="AD79" si="69">SUM(AD69:AD78)</f>
        <v>41</v>
      </c>
      <c r="AE79" s="13">
        <f t="shared" ref="AE79" si="70">SUM(AE69:AE78)</f>
        <v>16</v>
      </c>
      <c r="AF79" s="13">
        <f t="shared" ref="AF79" si="71">SUM(AF69:AF78)</f>
        <v>8</v>
      </c>
      <c r="AG79" s="13">
        <f t="shared" ref="AG79" si="72">SUM(AG69:AG78)</f>
        <v>853</v>
      </c>
    </row>
    <row r="80" spans="1:33" ht="12.75" customHeight="1" x14ac:dyDescent="0.3">
      <c r="A80" s="63"/>
      <c r="B80" s="64"/>
      <c r="C80" s="64"/>
      <c r="D80" s="64"/>
      <c r="E80" s="64"/>
    </row>
    <row r="81" spans="1:33" ht="12.75" customHeight="1" x14ac:dyDescent="0.3">
      <c r="A81" s="20" t="s">
        <v>37</v>
      </c>
      <c r="B81" s="27" t="s">
        <v>23</v>
      </c>
      <c r="C81" s="58" t="s">
        <v>70</v>
      </c>
      <c r="D81" s="59"/>
      <c r="E81" s="16">
        <v>1</v>
      </c>
      <c r="F81" s="16">
        <v>1</v>
      </c>
      <c r="G81" s="16">
        <v>3</v>
      </c>
      <c r="H81" s="16">
        <v>2</v>
      </c>
      <c r="I81" s="16">
        <v>1</v>
      </c>
      <c r="J81" s="16">
        <v>1</v>
      </c>
      <c r="K81" s="16">
        <v>5</v>
      </c>
      <c r="L81" s="16">
        <v>5</v>
      </c>
      <c r="M81" s="16">
        <v>4</v>
      </c>
      <c r="N81" s="16">
        <v>4</v>
      </c>
      <c r="O81" s="16">
        <v>2</v>
      </c>
      <c r="P81" s="16">
        <v>2</v>
      </c>
      <c r="Q81" s="16">
        <v>7</v>
      </c>
      <c r="R81" s="16">
        <v>9</v>
      </c>
      <c r="S81" s="16">
        <v>6</v>
      </c>
      <c r="T81" s="16">
        <v>6</v>
      </c>
      <c r="U81" s="16">
        <v>5</v>
      </c>
      <c r="V81" s="16">
        <v>6</v>
      </c>
      <c r="W81" s="16">
        <v>4</v>
      </c>
      <c r="X81" s="16">
        <v>3</v>
      </c>
      <c r="Y81" s="16">
        <v>1</v>
      </c>
      <c r="Z81" s="16">
        <v>2</v>
      </c>
      <c r="AA81" s="16">
        <v>3</v>
      </c>
      <c r="AB81" s="16">
        <v>13</v>
      </c>
      <c r="AC81" s="16">
        <v>9</v>
      </c>
      <c r="AD81" s="16">
        <v>5</v>
      </c>
      <c r="AE81" s="16">
        <v>2</v>
      </c>
      <c r="AF81" s="16">
        <v>1</v>
      </c>
      <c r="AG81" s="13">
        <f t="shared" ref="AG81:AG90" si="73">SUM(E81:AF81)</f>
        <v>113</v>
      </c>
    </row>
    <row r="82" spans="1:33" ht="12.75" customHeight="1" x14ac:dyDescent="0.3">
      <c r="A82" s="20" t="s">
        <v>39</v>
      </c>
      <c r="B82" s="34"/>
      <c r="C82" s="29" t="s">
        <v>71</v>
      </c>
      <c r="D82" s="36"/>
      <c r="E82" s="16">
        <v>4</v>
      </c>
      <c r="F82" s="16">
        <v>1</v>
      </c>
      <c r="G82" s="16">
        <v>6</v>
      </c>
      <c r="H82" s="16">
        <v>1</v>
      </c>
      <c r="I82" s="16">
        <v>3</v>
      </c>
      <c r="J82" s="16">
        <v>3</v>
      </c>
      <c r="K82" s="16">
        <v>152</v>
      </c>
      <c r="L82" s="16">
        <v>2</v>
      </c>
      <c r="M82" s="16">
        <v>0</v>
      </c>
      <c r="N82" s="16">
        <v>4</v>
      </c>
      <c r="O82" s="16">
        <v>7</v>
      </c>
      <c r="P82" s="16">
        <v>5</v>
      </c>
      <c r="Q82" s="16">
        <v>10</v>
      </c>
      <c r="R82" s="16">
        <v>9</v>
      </c>
      <c r="S82" s="16">
        <v>2</v>
      </c>
      <c r="T82" s="16">
        <v>1</v>
      </c>
      <c r="U82" s="16">
        <v>0</v>
      </c>
      <c r="V82" s="16">
        <v>9</v>
      </c>
      <c r="W82" s="16">
        <v>2</v>
      </c>
      <c r="X82" s="16">
        <v>6</v>
      </c>
      <c r="Y82" s="16">
        <v>1</v>
      </c>
      <c r="Z82" s="16">
        <v>1</v>
      </c>
      <c r="AA82" s="16">
        <v>1</v>
      </c>
      <c r="AB82" s="16">
        <v>11</v>
      </c>
      <c r="AC82" s="16">
        <v>8</v>
      </c>
      <c r="AD82" s="16">
        <v>3</v>
      </c>
      <c r="AE82" s="16">
        <v>1</v>
      </c>
      <c r="AF82" s="16">
        <v>1</v>
      </c>
      <c r="AG82" s="13">
        <f t="shared" si="73"/>
        <v>254</v>
      </c>
    </row>
    <row r="83" spans="1:33" ht="12.75" customHeight="1" x14ac:dyDescent="0.3">
      <c r="A83" s="15"/>
      <c r="B83" s="34"/>
      <c r="C83" s="29" t="s">
        <v>72</v>
      </c>
      <c r="D83" s="36"/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1</v>
      </c>
      <c r="L83" s="16">
        <v>4</v>
      </c>
      <c r="M83" s="16">
        <v>0</v>
      </c>
      <c r="N83" s="16">
        <v>3</v>
      </c>
      <c r="O83" s="16">
        <v>2</v>
      </c>
      <c r="P83" s="16">
        <v>4</v>
      </c>
      <c r="Q83" s="16">
        <v>1</v>
      </c>
      <c r="R83" s="16">
        <v>0</v>
      </c>
      <c r="S83" s="16">
        <v>1</v>
      </c>
      <c r="T83" s="16">
        <v>1</v>
      </c>
      <c r="U83" s="16">
        <v>2</v>
      </c>
      <c r="V83" s="16">
        <v>5</v>
      </c>
      <c r="W83" s="16">
        <v>1</v>
      </c>
      <c r="X83" s="16">
        <v>1</v>
      </c>
      <c r="Y83" s="16">
        <v>0</v>
      </c>
      <c r="Z83" s="16">
        <v>0</v>
      </c>
      <c r="AA83" s="16">
        <v>0</v>
      </c>
      <c r="AB83" s="16">
        <v>0</v>
      </c>
      <c r="AC83" s="16">
        <v>2</v>
      </c>
      <c r="AD83" s="16">
        <v>3</v>
      </c>
      <c r="AE83" s="16">
        <v>1</v>
      </c>
      <c r="AF83" s="16">
        <v>4</v>
      </c>
      <c r="AG83" s="13">
        <f t="shared" si="73"/>
        <v>36</v>
      </c>
    </row>
    <row r="84" spans="1:33" ht="12.75" customHeight="1" x14ac:dyDescent="0.3">
      <c r="A84" s="15"/>
      <c r="B84" s="34"/>
      <c r="C84" s="29" t="s">
        <v>73</v>
      </c>
      <c r="D84" s="36"/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1</v>
      </c>
      <c r="M84" s="16">
        <v>0</v>
      </c>
      <c r="N84" s="16">
        <v>1</v>
      </c>
      <c r="O84" s="16">
        <v>0</v>
      </c>
      <c r="P84" s="16">
        <v>3</v>
      </c>
      <c r="Q84" s="16">
        <v>1</v>
      </c>
      <c r="R84" s="16">
        <v>2</v>
      </c>
      <c r="S84" s="16">
        <v>0</v>
      </c>
      <c r="T84" s="16">
        <v>2</v>
      </c>
      <c r="U84" s="16">
        <v>1</v>
      </c>
      <c r="V84" s="16">
        <v>0</v>
      </c>
      <c r="W84" s="16">
        <v>0</v>
      </c>
      <c r="X84" s="16">
        <v>2</v>
      </c>
      <c r="Y84" s="16">
        <v>0</v>
      </c>
      <c r="Z84" s="16">
        <v>1</v>
      </c>
      <c r="AA84" s="16">
        <v>0</v>
      </c>
      <c r="AB84" s="16">
        <v>2</v>
      </c>
      <c r="AC84" s="16">
        <v>0</v>
      </c>
      <c r="AD84" s="16">
        <v>0</v>
      </c>
      <c r="AE84" s="16">
        <v>0</v>
      </c>
      <c r="AF84" s="16">
        <v>0</v>
      </c>
      <c r="AG84" s="13">
        <f t="shared" si="73"/>
        <v>16</v>
      </c>
    </row>
    <row r="85" spans="1:33" ht="12.75" customHeight="1" x14ac:dyDescent="0.3">
      <c r="A85" s="15"/>
      <c r="B85" s="34"/>
      <c r="C85" s="29" t="s">
        <v>74</v>
      </c>
      <c r="D85" s="36"/>
      <c r="E85" s="16">
        <v>0</v>
      </c>
      <c r="F85" s="16">
        <v>1</v>
      </c>
      <c r="G85" s="16">
        <v>3</v>
      </c>
      <c r="H85" s="16">
        <v>1</v>
      </c>
      <c r="I85" s="16">
        <v>0</v>
      </c>
      <c r="J85" s="16">
        <v>0</v>
      </c>
      <c r="K85" s="16">
        <v>1</v>
      </c>
      <c r="L85" s="16">
        <v>1</v>
      </c>
      <c r="M85" s="16">
        <v>1</v>
      </c>
      <c r="N85" s="16">
        <v>3</v>
      </c>
      <c r="O85" s="16">
        <v>3</v>
      </c>
      <c r="P85" s="16">
        <v>1</v>
      </c>
      <c r="Q85" s="16">
        <v>3</v>
      </c>
      <c r="R85" s="16">
        <v>6</v>
      </c>
      <c r="S85" s="16">
        <v>2</v>
      </c>
      <c r="T85" s="16">
        <v>0</v>
      </c>
      <c r="U85" s="16">
        <v>2</v>
      </c>
      <c r="V85" s="16">
        <v>2</v>
      </c>
      <c r="W85" s="16">
        <v>0</v>
      </c>
      <c r="X85" s="16">
        <v>0</v>
      </c>
      <c r="Y85" s="16">
        <v>0</v>
      </c>
      <c r="Z85" s="16">
        <v>1</v>
      </c>
      <c r="AA85" s="16">
        <v>4</v>
      </c>
      <c r="AB85" s="16">
        <v>3</v>
      </c>
      <c r="AC85" s="16">
        <v>1</v>
      </c>
      <c r="AD85" s="16">
        <v>2</v>
      </c>
      <c r="AE85" s="16">
        <v>1</v>
      </c>
      <c r="AF85" s="16">
        <v>0</v>
      </c>
      <c r="AG85" s="13">
        <f t="shared" si="73"/>
        <v>42</v>
      </c>
    </row>
    <row r="86" spans="1:33" ht="12.75" customHeight="1" x14ac:dyDescent="0.3">
      <c r="A86" s="15"/>
      <c r="B86" s="34"/>
      <c r="C86" s="29" t="s">
        <v>75</v>
      </c>
      <c r="D86" s="36"/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5</v>
      </c>
      <c r="N86" s="16">
        <v>6</v>
      </c>
      <c r="O86" s="16">
        <v>0</v>
      </c>
      <c r="P86" s="16">
        <v>1</v>
      </c>
      <c r="Q86" s="16">
        <v>0</v>
      </c>
      <c r="R86" s="16">
        <v>1</v>
      </c>
      <c r="S86" s="16">
        <v>0</v>
      </c>
      <c r="T86" s="16">
        <v>0</v>
      </c>
      <c r="U86" s="16">
        <v>1</v>
      </c>
      <c r="V86" s="16">
        <v>1</v>
      </c>
      <c r="W86" s="16">
        <v>0</v>
      </c>
      <c r="X86" s="16">
        <v>0</v>
      </c>
      <c r="Y86" s="16">
        <v>1</v>
      </c>
      <c r="Z86" s="16">
        <v>0</v>
      </c>
      <c r="AA86" s="16">
        <v>0</v>
      </c>
      <c r="AB86" s="16">
        <v>1</v>
      </c>
      <c r="AC86" s="16">
        <v>0</v>
      </c>
      <c r="AD86" s="16">
        <v>0</v>
      </c>
      <c r="AE86" s="16">
        <v>0</v>
      </c>
      <c r="AF86" s="16">
        <v>0</v>
      </c>
      <c r="AG86" s="13">
        <f t="shared" si="73"/>
        <v>17</v>
      </c>
    </row>
    <row r="87" spans="1:33" ht="12.75" customHeight="1" x14ac:dyDescent="0.3">
      <c r="A87" s="15"/>
      <c r="B87" s="34"/>
      <c r="C87" s="29" t="s">
        <v>76</v>
      </c>
      <c r="D87" s="36"/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1</v>
      </c>
      <c r="O87" s="16">
        <v>0</v>
      </c>
      <c r="P87" s="16">
        <v>0</v>
      </c>
      <c r="Q87" s="16">
        <v>1</v>
      </c>
      <c r="R87" s="16">
        <v>3</v>
      </c>
      <c r="S87" s="16">
        <v>0</v>
      </c>
      <c r="T87" s="16">
        <v>0</v>
      </c>
      <c r="U87" s="16">
        <v>1</v>
      </c>
      <c r="V87" s="16">
        <v>2</v>
      </c>
      <c r="W87" s="16">
        <v>0</v>
      </c>
      <c r="X87" s="16">
        <v>0</v>
      </c>
      <c r="Y87" s="16">
        <v>0</v>
      </c>
      <c r="Z87" s="16">
        <v>1</v>
      </c>
      <c r="AA87" s="16">
        <v>0</v>
      </c>
      <c r="AB87" s="16">
        <v>1</v>
      </c>
      <c r="AC87" s="16">
        <v>0</v>
      </c>
      <c r="AD87" s="16">
        <v>0</v>
      </c>
      <c r="AE87" s="16">
        <v>0</v>
      </c>
      <c r="AF87" s="16">
        <v>0</v>
      </c>
      <c r="AG87" s="13">
        <f t="shared" si="73"/>
        <v>10</v>
      </c>
    </row>
    <row r="88" spans="1:33" ht="12.75" customHeight="1" x14ac:dyDescent="0.3">
      <c r="A88" s="15"/>
      <c r="B88" s="34"/>
      <c r="C88" s="29" t="s">
        <v>77</v>
      </c>
      <c r="D88" s="36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1</v>
      </c>
      <c r="O88" s="16">
        <v>1</v>
      </c>
      <c r="P88" s="16">
        <v>0</v>
      </c>
      <c r="Q88" s="16">
        <v>0</v>
      </c>
      <c r="R88" s="16">
        <v>1</v>
      </c>
      <c r="S88" s="16">
        <v>0</v>
      </c>
      <c r="T88" s="16">
        <v>0</v>
      </c>
      <c r="U88" s="16">
        <v>0</v>
      </c>
      <c r="V88" s="16">
        <v>1</v>
      </c>
      <c r="W88" s="16">
        <v>0</v>
      </c>
      <c r="X88" s="16">
        <v>0</v>
      </c>
      <c r="Y88" s="16">
        <v>0</v>
      </c>
      <c r="Z88" s="16">
        <v>3</v>
      </c>
      <c r="AA88" s="16">
        <v>0</v>
      </c>
      <c r="AB88" s="16">
        <v>0</v>
      </c>
      <c r="AC88" s="16">
        <v>0</v>
      </c>
      <c r="AD88" s="16">
        <v>0</v>
      </c>
      <c r="AE88" s="16">
        <v>1</v>
      </c>
      <c r="AF88" s="16">
        <v>0</v>
      </c>
      <c r="AG88" s="13">
        <f t="shared" si="73"/>
        <v>8</v>
      </c>
    </row>
    <row r="89" spans="1:33" ht="12.75" customHeight="1" x14ac:dyDescent="0.3">
      <c r="A89" s="15"/>
      <c r="B89" s="34"/>
      <c r="C89" s="29" t="s">
        <v>78</v>
      </c>
      <c r="D89" s="36"/>
      <c r="E89" s="16">
        <v>0</v>
      </c>
      <c r="F89" s="16">
        <v>0</v>
      </c>
      <c r="G89" s="16">
        <v>0</v>
      </c>
      <c r="H89" s="16">
        <v>1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1</v>
      </c>
      <c r="Q89" s="16">
        <v>0</v>
      </c>
      <c r="R89" s="16">
        <v>1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1</v>
      </c>
      <c r="AC89" s="16">
        <v>0</v>
      </c>
      <c r="AD89" s="16">
        <v>0</v>
      </c>
      <c r="AE89" s="16">
        <v>0</v>
      </c>
      <c r="AF89" s="16">
        <v>0</v>
      </c>
      <c r="AG89" s="13">
        <f t="shared" si="73"/>
        <v>4</v>
      </c>
    </row>
    <row r="90" spans="1:33" ht="12.75" customHeight="1" x14ac:dyDescent="0.3">
      <c r="A90" s="15"/>
      <c r="B90" s="34"/>
      <c r="C90" s="29" t="s">
        <v>79</v>
      </c>
      <c r="D90" s="36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1</v>
      </c>
      <c r="K90" s="16">
        <v>0</v>
      </c>
      <c r="L90" s="16">
        <v>0</v>
      </c>
      <c r="M90" s="16">
        <v>0</v>
      </c>
      <c r="N90" s="16">
        <v>0</v>
      </c>
      <c r="O90" s="16">
        <v>1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1</v>
      </c>
      <c r="W90" s="16">
        <v>0</v>
      </c>
      <c r="X90" s="16">
        <v>0</v>
      </c>
      <c r="Y90" s="16">
        <v>0</v>
      </c>
      <c r="Z90" s="16">
        <v>1</v>
      </c>
      <c r="AA90" s="16">
        <v>1</v>
      </c>
      <c r="AB90" s="16">
        <v>2</v>
      </c>
      <c r="AC90" s="16">
        <v>1</v>
      </c>
      <c r="AD90" s="16">
        <v>0</v>
      </c>
      <c r="AE90" s="16">
        <v>0</v>
      </c>
      <c r="AF90" s="16">
        <v>0</v>
      </c>
      <c r="AG90" s="13">
        <f t="shared" si="73"/>
        <v>8</v>
      </c>
    </row>
    <row r="91" spans="1:33" ht="12.75" customHeight="1" x14ac:dyDescent="0.3">
      <c r="A91" s="16" t="s">
        <v>15</v>
      </c>
      <c r="B91" s="60" t="s">
        <v>49</v>
      </c>
      <c r="C91" s="61"/>
      <c r="D91" s="59"/>
      <c r="E91" s="13">
        <f>SUM(E81:E90)</f>
        <v>5</v>
      </c>
      <c r="F91" s="13">
        <f t="shared" ref="F91" si="74">SUM(F81:F90)</f>
        <v>3</v>
      </c>
      <c r="G91" s="13">
        <f t="shared" ref="G91" si="75">SUM(G81:G90)</f>
        <v>12</v>
      </c>
      <c r="H91" s="13">
        <f t="shared" ref="H91" si="76">SUM(H81:H90)</f>
        <v>5</v>
      </c>
      <c r="I91" s="13">
        <f t="shared" ref="I91" si="77">SUM(I81:I90)</f>
        <v>4</v>
      </c>
      <c r="J91" s="13">
        <f t="shared" ref="J91" si="78">SUM(J81:J90)</f>
        <v>5</v>
      </c>
      <c r="K91" s="13">
        <f t="shared" ref="K91" si="79">SUM(K81:K90)</f>
        <v>159</v>
      </c>
      <c r="L91" s="13">
        <f t="shared" ref="L91" si="80">SUM(L81:L90)</f>
        <v>13</v>
      </c>
      <c r="M91" s="13">
        <f t="shared" ref="M91" si="81">SUM(M81:M90)</f>
        <v>10</v>
      </c>
      <c r="N91" s="13">
        <f t="shared" ref="N91" si="82">SUM(N81:N90)</f>
        <v>23</v>
      </c>
      <c r="O91" s="13">
        <f t="shared" ref="O91" si="83">SUM(O81:O90)</f>
        <v>16</v>
      </c>
      <c r="P91" s="13">
        <f t="shared" ref="P91" si="84">SUM(P81:P90)</f>
        <v>17</v>
      </c>
      <c r="Q91" s="13">
        <f t="shared" ref="Q91" si="85">SUM(Q81:Q90)</f>
        <v>23</v>
      </c>
      <c r="R91" s="13">
        <f t="shared" ref="R91" si="86">SUM(R81:R90)</f>
        <v>32</v>
      </c>
      <c r="S91" s="13">
        <f t="shared" ref="S91" si="87">SUM(S81:S90)</f>
        <v>11</v>
      </c>
      <c r="T91" s="13">
        <f t="shared" ref="T91" si="88">SUM(T81:T90)</f>
        <v>10</v>
      </c>
      <c r="U91" s="13">
        <f t="shared" ref="U91" si="89">SUM(U81:U90)</f>
        <v>12</v>
      </c>
      <c r="V91" s="13">
        <f t="shared" ref="V91" si="90">SUM(V81:V90)</f>
        <v>27</v>
      </c>
      <c r="W91" s="13">
        <f t="shared" ref="W91" si="91">SUM(W81:W90)</f>
        <v>7</v>
      </c>
      <c r="X91" s="13">
        <f t="shared" ref="X91" si="92">SUM(X81:X90)</f>
        <v>12</v>
      </c>
      <c r="Y91" s="13">
        <f t="shared" ref="Y91" si="93">SUM(Y81:Y90)</f>
        <v>3</v>
      </c>
      <c r="Z91" s="13">
        <f t="shared" ref="Z91" si="94">SUM(Z81:Z90)</f>
        <v>10</v>
      </c>
      <c r="AA91" s="13">
        <f t="shared" ref="AA91" si="95">SUM(AA81:AA90)</f>
        <v>9</v>
      </c>
      <c r="AB91" s="13">
        <f t="shared" ref="AB91" si="96">SUM(AB81:AB90)</f>
        <v>34</v>
      </c>
      <c r="AC91" s="13">
        <f t="shared" ref="AC91" si="97">SUM(AC81:AC90)</f>
        <v>21</v>
      </c>
      <c r="AD91" s="13">
        <f t="shared" ref="AD91" si="98">SUM(AD81:AD90)</f>
        <v>13</v>
      </c>
      <c r="AE91" s="13">
        <f t="shared" ref="AE91" si="99">SUM(AE81:AE90)</f>
        <v>6</v>
      </c>
      <c r="AF91" s="13">
        <f t="shared" ref="AF91" si="100">SUM(AF81:AF90)</f>
        <v>6</v>
      </c>
      <c r="AG91" s="13">
        <f t="shared" ref="AG91" si="101">SUM(AG81:AG90)</f>
        <v>508</v>
      </c>
    </row>
    <row r="92" spans="1:33" ht="12.75" customHeight="1" x14ac:dyDescent="0.3">
      <c r="A92" s="63"/>
      <c r="B92" s="64"/>
      <c r="C92" s="64"/>
      <c r="D92" s="64"/>
      <c r="E92" s="64"/>
    </row>
    <row r="93" spans="1:33" ht="12.75" customHeight="1" x14ac:dyDescent="0.3">
      <c r="A93" s="20" t="s">
        <v>37</v>
      </c>
      <c r="B93" s="27" t="s">
        <v>80</v>
      </c>
      <c r="C93" s="58" t="s">
        <v>81</v>
      </c>
      <c r="D93" s="59"/>
      <c r="E93" s="16">
        <v>2</v>
      </c>
      <c r="F93" s="16">
        <v>0</v>
      </c>
      <c r="G93" s="16">
        <v>1</v>
      </c>
      <c r="H93" s="16">
        <v>2</v>
      </c>
      <c r="I93" s="16">
        <v>1</v>
      </c>
      <c r="J93" s="16">
        <v>3</v>
      </c>
      <c r="K93" s="16">
        <v>0</v>
      </c>
      <c r="L93" s="16">
        <v>4</v>
      </c>
      <c r="M93" s="16">
        <v>2</v>
      </c>
      <c r="N93" s="16">
        <v>14</v>
      </c>
      <c r="O93" s="16">
        <v>7</v>
      </c>
      <c r="P93" s="16">
        <v>2</v>
      </c>
      <c r="Q93" s="16">
        <v>5</v>
      </c>
      <c r="R93" s="16">
        <v>4</v>
      </c>
      <c r="S93" s="16">
        <v>2</v>
      </c>
      <c r="T93" s="16">
        <v>6</v>
      </c>
      <c r="U93" s="16">
        <v>1</v>
      </c>
      <c r="V93" s="16">
        <v>0</v>
      </c>
      <c r="W93" s="16">
        <v>5</v>
      </c>
      <c r="X93" s="16">
        <v>7</v>
      </c>
      <c r="Y93" s="16">
        <v>4</v>
      </c>
      <c r="Z93" s="16">
        <v>0</v>
      </c>
      <c r="AA93" s="16">
        <v>3</v>
      </c>
      <c r="AB93" s="16">
        <v>0</v>
      </c>
      <c r="AC93" s="16">
        <v>0</v>
      </c>
      <c r="AD93" s="16">
        <v>1</v>
      </c>
      <c r="AE93" s="16">
        <v>1</v>
      </c>
      <c r="AF93" s="16">
        <v>1</v>
      </c>
      <c r="AG93" s="13">
        <f t="shared" ref="AG93:AG102" si="102">SUM(E93:AF93)</f>
        <v>78</v>
      </c>
    </row>
    <row r="94" spans="1:33" ht="12.75" customHeight="1" x14ac:dyDescent="0.3">
      <c r="A94" s="20" t="s">
        <v>39</v>
      </c>
      <c r="B94" s="34"/>
      <c r="C94" s="29" t="s">
        <v>82</v>
      </c>
      <c r="D94" s="36"/>
      <c r="E94" s="16">
        <v>0</v>
      </c>
      <c r="F94" s="16">
        <v>1</v>
      </c>
      <c r="G94" s="16">
        <v>1</v>
      </c>
      <c r="H94" s="16">
        <v>2</v>
      </c>
      <c r="I94" s="16">
        <v>0</v>
      </c>
      <c r="J94" s="16">
        <v>1</v>
      </c>
      <c r="K94" s="16">
        <v>0</v>
      </c>
      <c r="L94" s="16">
        <v>1</v>
      </c>
      <c r="M94" s="16">
        <v>0</v>
      </c>
      <c r="N94" s="16">
        <v>2</v>
      </c>
      <c r="O94" s="16">
        <v>2</v>
      </c>
      <c r="P94" s="16">
        <v>4</v>
      </c>
      <c r="Q94" s="16">
        <v>1</v>
      </c>
      <c r="R94" s="16">
        <v>0</v>
      </c>
      <c r="S94" s="16">
        <v>0</v>
      </c>
      <c r="T94" s="16">
        <v>5</v>
      </c>
      <c r="U94" s="16">
        <v>3</v>
      </c>
      <c r="V94" s="16">
        <v>6</v>
      </c>
      <c r="W94" s="16">
        <v>2</v>
      </c>
      <c r="X94" s="16">
        <v>1</v>
      </c>
      <c r="Y94" s="16">
        <v>2</v>
      </c>
      <c r="Z94" s="16">
        <v>6</v>
      </c>
      <c r="AA94" s="16">
        <v>1</v>
      </c>
      <c r="AB94" s="16">
        <v>0</v>
      </c>
      <c r="AC94" s="16">
        <v>1</v>
      </c>
      <c r="AD94" s="16">
        <v>0</v>
      </c>
      <c r="AE94" s="16">
        <v>0</v>
      </c>
      <c r="AF94" s="16">
        <v>0</v>
      </c>
      <c r="AG94" s="13">
        <f t="shared" si="102"/>
        <v>42</v>
      </c>
    </row>
    <row r="95" spans="1:33" ht="12.75" customHeight="1" x14ac:dyDescent="0.3">
      <c r="A95" s="15"/>
      <c r="B95" s="34"/>
      <c r="C95" s="29" t="s">
        <v>83</v>
      </c>
      <c r="D95" s="36"/>
      <c r="E95" s="16">
        <v>0</v>
      </c>
      <c r="F95" s="16">
        <v>1</v>
      </c>
      <c r="G95" s="16">
        <v>0</v>
      </c>
      <c r="H95" s="16">
        <v>0</v>
      </c>
      <c r="I95" s="16">
        <v>1</v>
      </c>
      <c r="J95" s="16">
        <v>1</v>
      </c>
      <c r="K95" s="16">
        <v>2</v>
      </c>
      <c r="L95" s="16">
        <v>0</v>
      </c>
      <c r="M95" s="16">
        <v>0</v>
      </c>
      <c r="N95" s="16">
        <v>0</v>
      </c>
      <c r="O95" s="16">
        <v>1</v>
      </c>
      <c r="P95" s="16">
        <v>0</v>
      </c>
      <c r="Q95" s="16">
        <v>0</v>
      </c>
      <c r="R95" s="16">
        <v>0</v>
      </c>
      <c r="S95" s="16">
        <v>0</v>
      </c>
      <c r="T95" s="16">
        <v>1</v>
      </c>
      <c r="U95" s="16">
        <v>0</v>
      </c>
      <c r="V95" s="16">
        <v>0</v>
      </c>
      <c r="W95" s="16">
        <v>1</v>
      </c>
      <c r="X95" s="16">
        <v>2</v>
      </c>
      <c r="Y95" s="16">
        <v>1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3">
        <f t="shared" si="102"/>
        <v>11</v>
      </c>
    </row>
    <row r="96" spans="1:33" ht="12.75" customHeight="1" x14ac:dyDescent="0.3">
      <c r="A96" s="15"/>
      <c r="B96" s="34"/>
      <c r="C96" s="29" t="s">
        <v>84</v>
      </c>
      <c r="D96" s="36"/>
      <c r="E96" s="16">
        <v>1</v>
      </c>
      <c r="F96" s="16">
        <v>1</v>
      </c>
      <c r="G96" s="16">
        <v>0</v>
      </c>
      <c r="H96" s="16">
        <v>2</v>
      </c>
      <c r="I96" s="16">
        <v>0</v>
      </c>
      <c r="J96" s="16">
        <v>1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2</v>
      </c>
      <c r="U96" s="16">
        <v>0</v>
      </c>
      <c r="V96" s="16">
        <v>1</v>
      </c>
      <c r="W96" s="16">
        <v>0</v>
      </c>
      <c r="X96" s="16">
        <v>2</v>
      </c>
      <c r="Y96" s="16">
        <v>0</v>
      </c>
      <c r="Z96" s="16">
        <v>0</v>
      </c>
      <c r="AA96" s="16">
        <v>0</v>
      </c>
      <c r="AB96" s="16">
        <v>1</v>
      </c>
      <c r="AC96" s="16">
        <v>0</v>
      </c>
      <c r="AD96" s="16">
        <v>0</v>
      </c>
      <c r="AE96" s="16">
        <v>1</v>
      </c>
      <c r="AF96" s="16">
        <v>0</v>
      </c>
      <c r="AG96" s="13">
        <f t="shared" si="102"/>
        <v>12</v>
      </c>
    </row>
    <row r="97" spans="1:33" ht="12.75" customHeight="1" x14ac:dyDescent="0.3">
      <c r="A97" s="15"/>
      <c r="B97" s="34"/>
      <c r="C97" s="29" t="s">
        <v>85</v>
      </c>
      <c r="D97" s="36"/>
      <c r="E97" s="16">
        <v>0</v>
      </c>
      <c r="F97" s="16">
        <v>0</v>
      </c>
      <c r="G97" s="16">
        <v>1</v>
      </c>
      <c r="H97" s="16">
        <v>1</v>
      </c>
      <c r="I97" s="16">
        <v>2</v>
      </c>
      <c r="J97" s="16">
        <v>2</v>
      </c>
      <c r="K97" s="16">
        <v>0</v>
      </c>
      <c r="L97" s="16">
        <v>0</v>
      </c>
      <c r="M97" s="16">
        <v>0</v>
      </c>
      <c r="N97" s="16">
        <v>2</v>
      </c>
      <c r="O97" s="16">
        <v>0</v>
      </c>
      <c r="P97" s="16">
        <v>2</v>
      </c>
      <c r="Q97" s="16">
        <v>1</v>
      </c>
      <c r="R97" s="16">
        <v>1</v>
      </c>
      <c r="S97" s="16">
        <v>0</v>
      </c>
      <c r="T97" s="16">
        <v>1</v>
      </c>
      <c r="U97" s="16">
        <v>2</v>
      </c>
      <c r="V97" s="16">
        <v>1</v>
      </c>
      <c r="W97" s="16">
        <v>0</v>
      </c>
      <c r="X97" s="16">
        <v>1</v>
      </c>
      <c r="Y97" s="16">
        <v>1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3">
        <f t="shared" si="102"/>
        <v>18</v>
      </c>
    </row>
    <row r="98" spans="1:33" ht="12.75" customHeight="1" x14ac:dyDescent="0.3">
      <c r="A98" s="15"/>
      <c r="B98" s="34"/>
      <c r="C98" s="29" t="s">
        <v>86</v>
      </c>
      <c r="D98" s="36"/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2</v>
      </c>
      <c r="K98" s="16">
        <v>0</v>
      </c>
      <c r="L98" s="16">
        <v>1</v>
      </c>
      <c r="M98" s="16">
        <v>0</v>
      </c>
      <c r="N98" s="16">
        <v>3</v>
      </c>
      <c r="O98" s="16">
        <v>2</v>
      </c>
      <c r="P98" s="16">
        <v>2</v>
      </c>
      <c r="Q98" s="16">
        <v>2</v>
      </c>
      <c r="R98" s="16">
        <v>1</v>
      </c>
      <c r="S98" s="16">
        <v>0</v>
      </c>
      <c r="T98" s="16">
        <v>4</v>
      </c>
      <c r="U98" s="16">
        <v>0</v>
      </c>
      <c r="V98" s="16">
        <v>0</v>
      </c>
      <c r="W98" s="16">
        <v>0</v>
      </c>
      <c r="X98" s="16">
        <v>1</v>
      </c>
      <c r="Y98" s="16">
        <v>3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3">
        <f t="shared" si="102"/>
        <v>21</v>
      </c>
    </row>
    <row r="99" spans="1:33" ht="12.75" customHeight="1" x14ac:dyDescent="0.3">
      <c r="A99" s="15"/>
      <c r="B99" s="34"/>
      <c r="C99" s="29" t="s">
        <v>87</v>
      </c>
      <c r="D99" s="36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</v>
      </c>
      <c r="O99" s="16">
        <v>0</v>
      </c>
      <c r="P99" s="16">
        <v>1</v>
      </c>
      <c r="Q99" s="16">
        <v>0</v>
      </c>
      <c r="R99" s="16">
        <v>0</v>
      </c>
      <c r="S99" s="16">
        <v>0</v>
      </c>
      <c r="T99" s="16">
        <v>1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1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3">
        <f t="shared" si="102"/>
        <v>4</v>
      </c>
    </row>
    <row r="100" spans="1:33" ht="12.75" customHeight="1" x14ac:dyDescent="0.3">
      <c r="A100" s="15"/>
      <c r="B100" s="34"/>
      <c r="C100" s="29" t="s">
        <v>88</v>
      </c>
      <c r="D100" s="36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</v>
      </c>
      <c r="P100" s="16">
        <v>0</v>
      </c>
      <c r="Q100" s="16">
        <v>0</v>
      </c>
      <c r="R100" s="16">
        <v>0</v>
      </c>
      <c r="S100" s="16">
        <v>0</v>
      </c>
      <c r="T100" s="16">
        <v>1</v>
      </c>
      <c r="U100" s="16">
        <v>0</v>
      </c>
      <c r="V100" s="16">
        <v>0</v>
      </c>
      <c r="W100" s="16">
        <v>0</v>
      </c>
      <c r="X100" s="16">
        <v>0</v>
      </c>
      <c r="Y100" s="16">
        <v>1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3">
        <f t="shared" si="102"/>
        <v>3</v>
      </c>
    </row>
    <row r="101" spans="1:33" ht="12.75" customHeight="1" x14ac:dyDescent="0.3">
      <c r="A101" s="15"/>
      <c r="B101" s="34"/>
      <c r="C101" s="29" t="s">
        <v>89</v>
      </c>
      <c r="D101" s="36"/>
      <c r="E101" s="16">
        <v>0</v>
      </c>
      <c r="F101" s="16">
        <v>0</v>
      </c>
      <c r="G101" s="16">
        <v>0</v>
      </c>
      <c r="H101" s="16">
        <v>1</v>
      </c>
      <c r="I101" s="16">
        <v>0</v>
      </c>
      <c r="J101" s="16">
        <v>0</v>
      </c>
      <c r="K101" s="16">
        <v>0</v>
      </c>
      <c r="L101" s="16">
        <v>1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1</v>
      </c>
      <c r="U101" s="16">
        <v>0</v>
      </c>
      <c r="V101" s="16">
        <v>0</v>
      </c>
      <c r="W101" s="16">
        <v>0</v>
      </c>
      <c r="X101" s="16">
        <v>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3">
        <f t="shared" si="102"/>
        <v>4</v>
      </c>
    </row>
    <row r="102" spans="1:33" ht="12.75" customHeight="1" x14ac:dyDescent="0.3">
      <c r="A102" s="15"/>
      <c r="B102" s="34"/>
      <c r="C102" s="29" t="s">
        <v>90</v>
      </c>
      <c r="D102" s="36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1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1</v>
      </c>
      <c r="Z102" s="16">
        <v>0</v>
      </c>
      <c r="AA102" s="16">
        <v>0</v>
      </c>
      <c r="AB102" s="16">
        <v>0</v>
      </c>
      <c r="AC102" s="16">
        <v>0</v>
      </c>
      <c r="AD102" s="16">
        <v>1</v>
      </c>
      <c r="AE102" s="16">
        <v>0</v>
      </c>
      <c r="AF102" s="16">
        <v>0</v>
      </c>
      <c r="AG102" s="13">
        <f t="shared" si="102"/>
        <v>3</v>
      </c>
    </row>
    <row r="103" spans="1:33" ht="12.75" customHeight="1" x14ac:dyDescent="0.3">
      <c r="A103" s="16" t="s">
        <v>15</v>
      </c>
      <c r="B103" s="60" t="s">
        <v>49</v>
      </c>
      <c r="C103" s="61"/>
      <c r="D103" s="59"/>
      <c r="E103" s="13">
        <f>SUM(E93:E102)</f>
        <v>3</v>
      </c>
      <c r="F103" s="13">
        <f t="shared" ref="F103" si="103">SUM(F93:F102)</f>
        <v>3</v>
      </c>
      <c r="G103" s="13">
        <f t="shared" ref="G103" si="104">SUM(G93:G102)</f>
        <v>3</v>
      </c>
      <c r="H103" s="13">
        <f t="shared" ref="H103" si="105">SUM(H93:H102)</f>
        <v>8</v>
      </c>
      <c r="I103" s="13">
        <f t="shared" ref="I103" si="106">SUM(I93:I102)</f>
        <v>4</v>
      </c>
      <c r="J103" s="13">
        <f t="shared" ref="J103" si="107">SUM(J93:J102)</f>
        <v>10</v>
      </c>
      <c r="K103" s="13">
        <f t="shared" ref="K103" si="108">SUM(K93:K102)</f>
        <v>2</v>
      </c>
      <c r="L103" s="13">
        <f t="shared" ref="L103" si="109">SUM(L93:L102)</f>
        <v>7</v>
      </c>
      <c r="M103" s="13">
        <f t="shared" ref="M103" si="110">SUM(M93:M102)</f>
        <v>2</v>
      </c>
      <c r="N103" s="13">
        <f t="shared" ref="N103" si="111">SUM(N93:N102)</f>
        <v>22</v>
      </c>
      <c r="O103" s="13">
        <f t="shared" ref="O103" si="112">SUM(O93:O102)</f>
        <v>14</v>
      </c>
      <c r="P103" s="13">
        <f t="shared" ref="P103" si="113">SUM(P93:P102)</f>
        <v>11</v>
      </c>
      <c r="Q103" s="13">
        <f t="shared" ref="Q103" si="114">SUM(Q93:Q102)</f>
        <v>9</v>
      </c>
      <c r="R103" s="13">
        <f t="shared" ref="R103" si="115">SUM(R93:R102)</f>
        <v>6</v>
      </c>
      <c r="S103" s="13">
        <f t="shared" ref="S103" si="116">SUM(S93:S102)</f>
        <v>2</v>
      </c>
      <c r="T103" s="13">
        <f t="shared" ref="T103" si="117">SUM(T93:T102)</f>
        <v>22</v>
      </c>
      <c r="U103" s="13">
        <f t="shared" ref="U103" si="118">SUM(U93:U102)</f>
        <v>6</v>
      </c>
      <c r="V103" s="13">
        <f t="shared" ref="V103" si="119">SUM(V93:V102)</f>
        <v>8</v>
      </c>
      <c r="W103" s="13">
        <f t="shared" ref="W103" si="120">SUM(W93:W102)</f>
        <v>8</v>
      </c>
      <c r="X103" s="13">
        <f t="shared" ref="X103" si="121">SUM(X93:X102)</f>
        <v>15</v>
      </c>
      <c r="Y103" s="13">
        <f t="shared" ref="Y103" si="122">SUM(Y93:Y102)</f>
        <v>13</v>
      </c>
      <c r="Z103" s="13">
        <f t="shared" ref="Z103" si="123">SUM(Z93:Z102)</f>
        <v>7</v>
      </c>
      <c r="AA103" s="13">
        <f t="shared" ref="AA103" si="124">SUM(AA93:AA102)</f>
        <v>4</v>
      </c>
      <c r="AB103" s="13">
        <f t="shared" ref="AB103" si="125">SUM(AB93:AB102)</f>
        <v>1</v>
      </c>
      <c r="AC103" s="13">
        <f t="shared" ref="AC103" si="126">SUM(AC93:AC102)</f>
        <v>1</v>
      </c>
      <c r="AD103" s="13">
        <f t="shared" ref="AD103" si="127">SUM(AD93:AD102)</f>
        <v>2</v>
      </c>
      <c r="AE103" s="13">
        <f t="shared" ref="AE103" si="128">SUM(AE93:AE102)</f>
        <v>2</v>
      </c>
      <c r="AF103" s="13">
        <f t="shared" ref="AF103" si="129">SUM(AF93:AF102)</f>
        <v>1</v>
      </c>
      <c r="AG103" s="13">
        <f t="shared" ref="AG103" si="130">SUM(AG93:AG102)</f>
        <v>196</v>
      </c>
    </row>
    <row r="104" spans="1:33" ht="12.75" customHeight="1" x14ac:dyDescent="0.3">
      <c r="A104" s="63"/>
      <c r="B104" s="64"/>
      <c r="C104" s="64"/>
      <c r="D104" s="64"/>
      <c r="E104" s="6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</row>
    <row r="105" spans="1:33" ht="12.75" customHeight="1" x14ac:dyDescent="0.3">
      <c r="A105" s="20" t="s">
        <v>37</v>
      </c>
      <c r="B105" s="27" t="s">
        <v>91</v>
      </c>
      <c r="C105" s="58" t="s">
        <v>92</v>
      </c>
      <c r="D105" s="59"/>
      <c r="E105" s="16">
        <v>0</v>
      </c>
      <c r="F105" s="16">
        <v>0</v>
      </c>
      <c r="G105" s="16">
        <v>1</v>
      </c>
      <c r="H105" s="16">
        <v>1</v>
      </c>
      <c r="I105" s="16">
        <v>0</v>
      </c>
      <c r="J105" s="16">
        <v>0</v>
      </c>
      <c r="K105" s="16">
        <v>0</v>
      </c>
      <c r="L105" s="16">
        <v>0</v>
      </c>
      <c r="M105" s="16">
        <v>1</v>
      </c>
      <c r="N105" s="16">
        <v>1</v>
      </c>
      <c r="O105" s="16">
        <v>0</v>
      </c>
      <c r="P105" s="16">
        <v>0</v>
      </c>
      <c r="Q105" s="16">
        <v>0</v>
      </c>
      <c r="R105" s="16">
        <v>1</v>
      </c>
      <c r="S105" s="16">
        <v>1</v>
      </c>
      <c r="T105" s="16">
        <v>0</v>
      </c>
      <c r="U105" s="16">
        <v>2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2</v>
      </c>
      <c r="AG105" s="13">
        <f t="shared" ref="AG105:AG107" si="131">SUM(E105:AF105)</f>
        <v>10</v>
      </c>
    </row>
    <row r="106" spans="1:33" ht="12.75" customHeight="1" x14ac:dyDescent="0.3">
      <c r="A106" s="20" t="s">
        <v>39</v>
      </c>
      <c r="B106" s="34"/>
      <c r="C106" s="29" t="s">
        <v>93</v>
      </c>
      <c r="D106" s="36"/>
      <c r="E106" s="16">
        <v>1</v>
      </c>
      <c r="F106" s="16">
        <v>0</v>
      </c>
      <c r="G106" s="16">
        <v>1</v>
      </c>
      <c r="H106" s="16">
        <v>2</v>
      </c>
      <c r="I106" s="16">
        <v>0</v>
      </c>
      <c r="J106" s="16">
        <v>1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3">
        <f t="shared" si="131"/>
        <v>5</v>
      </c>
    </row>
    <row r="107" spans="1:33" ht="12.75" customHeight="1" x14ac:dyDescent="0.3">
      <c r="A107" s="15"/>
      <c r="B107" s="34"/>
      <c r="C107" s="29" t="s">
        <v>94</v>
      </c>
      <c r="D107" s="36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1</v>
      </c>
      <c r="S107" s="16">
        <v>2</v>
      </c>
      <c r="T107" s="16">
        <v>0</v>
      </c>
      <c r="U107" s="16">
        <v>0</v>
      </c>
      <c r="V107" s="16">
        <v>1</v>
      </c>
      <c r="W107" s="16">
        <v>1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1</v>
      </c>
      <c r="AF107" s="16">
        <v>0</v>
      </c>
      <c r="AG107" s="13">
        <f t="shared" si="131"/>
        <v>6</v>
      </c>
    </row>
    <row r="108" spans="1:33" ht="12.75" customHeight="1" x14ac:dyDescent="0.3">
      <c r="A108" s="15"/>
      <c r="B108" s="37"/>
      <c r="C108" s="38"/>
      <c r="D108" s="39"/>
      <c r="E108" s="5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56"/>
    </row>
    <row r="109" spans="1:33" ht="12.75" customHeight="1" x14ac:dyDescent="0.3">
      <c r="A109" s="15"/>
      <c r="B109" s="37"/>
      <c r="C109" s="38"/>
      <c r="D109" s="39"/>
      <c r="E109" s="5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56"/>
    </row>
    <row r="110" spans="1:33" ht="12.75" customHeight="1" x14ac:dyDescent="0.3">
      <c r="A110" s="15"/>
      <c r="B110" s="37"/>
      <c r="C110" s="38"/>
      <c r="D110" s="39"/>
      <c r="E110" s="5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56"/>
    </row>
    <row r="111" spans="1:33" ht="12.75" customHeight="1" x14ac:dyDescent="0.3">
      <c r="A111" s="15"/>
      <c r="B111" s="37"/>
      <c r="C111" s="38"/>
      <c r="D111" s="39"/>
      <c r="E111" s="5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56"/>
    </row>
    <row r="112" spans="1:33" ht="12.75" customHeight="1" x14ac:dyDescent="0.3">
      <c r="A112" s="15"/>
      <c r="B112" s="37"/>
      <c r="C112" s="38"/>
      <c r="D112" s="39"/>
      <c r="E112" s="5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56"/>
    </row>
    <row r="113" spans="1:35" ht="12.75" customHeight="1" x14ac:dyDescent="0.3">
      <c r="A113" s="15"/>
      <c r="B113" s="37"/>
      <c r="C113" s="38"/>
      <c r="D113" s="39"/>
      <c r="E113" s="5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56"/>
    </row>
    <row r="114" spans="1:35" ht="12.75" customHeight="1" x14ac:dyDescent="0.3">
      <c r="A114" s="15"/>
      <c r="B114" s="37"/>
      <c r="C114" s="38"/>
      <c r="D114" s="39"/>
      <c r="E114" s="5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56"/>
    </row>
    <row r="115" spans="1:35" ht="12.75" customHeight="1" x14ac:dyDescent="0.3">
      <c r="A115" s="16" t="s">
        <v>15</v>
      </c>
      <c r="B115" s="60" t="s">
        <v>49</v>
      </c>
      <c r="C115" s="61"/>
      <c r="D115" s="59"/>
      <c r="E115" s="13">
        <f>SUM(E105:E114)</f>
        <v>1</v>
      </c>
      <c r="F115" s="13">
        <f t="shared" ref="F115" si="132">SUM(F105:F114)</f>
        <v>0</v>
      </c>
      <c r="G115" s="13">
        <f t="shared" ref="G115" si="133">SUM(G105:G114)</f>
        <v>2</v>
      </c>
      <c r="H115" s="13">
        <f t="shared" ref="H115" si="134">SUM(H105:H114)</f>
        <v>3</v>
      </c>
      <c r="I115" s="13">
        <f t="shared" ref="I115" si="135">SUM(I105:I114)</f>
        <v>0</v>
      </c>
      <c r="J115" s="13">
        <f t="shared" ref="J115" si="136">SUM(J105:J114)</f>
        <v>1</v>
      </c>
      <c r="K115" s="13">
        <f t="shared" ref="K115" si="137">SUM(K105:K114)</f>
        <v>0</v>
      </c>
      <c r="L115" s="13">
        <f t="shared" ref="L115" si="138">SUM(L105:L114)</f>
        <v>0</v>
      </c>
      <c r="M115" s="13">
        <f t="shared" ref="M115" si="139">SUM(M105:M114)</f>
        <v>1</v>
      </c>
      <c r="N115" s="13">
        <f t="shared" ref="N115" si="140">SUM(N105:N114)</f>
        <v>1</v>
      </c>
      <c r="O115" s="13">
        <f t="shared" ref="O115" si="141">SUM(O105:O114)</f>
        <v>0</v>
      </c>
      <c r="P115" s="13">
        <f t="shared" ref="P115" si="142">SUM(P105:P114)</f>
        <v>0</v>
      </c>
      <c r="Q115" s="13">
        <f t="shared" ref="Q115" si="143">SUM(Q105:Q114)</f>
        <v>0</v>
      </c>
      <c r="R115" s="13">
        <f t="shared" ref="R115" si="144">SUM(R105:R114)</f>
        <v>2</v>
      </c>
      <c r="S115" s="13">
        <f t="shared" ref="S115" si="145">SUM(S105:S114)</f>
        <v>3</v>
      </c>
      <c r="T115" s="13">
        <f t="shared" ref="T115" si="146">SUM(T105:T114)</f>
        <v>0</v>
      </c>
      <c r="U115" s="13">
        <f t="shared" ref="U115" si="147">SUM(U105:U114)</f>
        <v>2</v>
      </c>
      <c r="V115" s="13">
        <f t="shared" ref="V115" si="148">SUM(V105:V114)</f>
        <v>1</v>
      </c>
      <c r="W115" s="13">
        <f t="shared" ref="W115" si="149">SUM(W105:W114)</f>
        <v>1</v>
      </c>
      <c r="X115" s="13">
        <f t="shared" ref="X115" si="150">SUM(X105:X114)</f>
        <v>0</v>
      </c>
      <c r="Y115" s="13">
        <f t="shared" ref="Y115" si="151">SUM(Y105:Y114)</f>
        <v>0</v>
      </c>
      <c r="Z115" s="13">
        <f t="shared" ref="Z115" si="152">SUM(Z105:Z114)</f>
        <v>0</v>
      </c>
      <c r="AA115" s="13">
        <f t="shared" ref="AA115" si="153">SUM(AA105:AA114)</f>
        <v>0</v>
      </c>
      <c r="AB115" s="13">
        <f t="shared" ref="AB115" si="154">SUM(AB105:AB114)</f>
        <v>0</v>
      </c>
      <c r="AC115" s="13">
        <f t="shared" ref="AC115" si="155">SUM(AC105:AC114)</f>
        <v>0</v>
      </c>
      <c r="AD115" s="13">
        <f t="shared" ref="AD115" si="156">SUM(AD105:AD114)</f>
        <v>0</v>
      </c>
      <c r="AE115" s="13">
        <f t="shared" ref="AE115" si="157">SUM(AE105:AE114)</f>
        <v>1</v>
      </c>
      <c r="AF115" s="13">
        <f t="shared" ref="AF115" si="158">SUM(AF105:AF114)</f>
        <v>2</v>
      </c>
      <c r="AG115" s="13">
        <f t="shared" ref="AG115" si="159">SUM(AG105:AG114)</f>
        <v>21</v>
      </c>
    </row>
    <row r="116" spans="1:35" ht="12.75" customHeight="1" x14ac:dyDescent="0.3">
      <c r="A116" s="62"/>
      <c r="B116" s="61"/>
      <c r="C116" s="61"/>
      <c r="D116" s="61"/>
      <c r="E116" s="59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AG116" s="13"/>
    </row>
    <row r="117" spans="1:35" ht="12.75" customHeight="1" x14ac:dyDescent="0.3">
      <c r="A117" s="20" t="s">
        <v>37</v>
      </c>
      <c r="B117" s="27" t="s">
        <v>95</v>
      </c>
      <c r="C117" s="58" t="s">
        <v>96</v>
      </c>
      <c r="D117" s="59"/>
      <c r="E117" s="16">
        <v>1</v>
      </c>
      <c r="F117" s="16">
        <v>1</v>
      </c>
      <c r="G117" s="16">
        <v>2</v>
      </c>
      <c r="H117" s="16">
        <v>0</v>
      </c>
      <c r="I117" s="16">
        <v>2</v>
      </c>
      <c r="J117" s="16">
        <v>5</v>
      </c>
      <c r="K117" s="16">
        <v>2</v>
      </c>
      <c r="L117" s="16">
        <v>2</v>
      </c>
      <c r="M117" s="16">
        <v>1</v>
      </c>
      <c r="N117" s="16">
        <v>1</v>
      </c>
      <c r="O117" s="16">
        <v>0</v>
      </c>
      <c r="P117" s="16">
        <v>1</v>
      </c>
      <c r="Q117" s="16">
        <v>1</v>
      </c>
      <c r="R117" s="16">
        <v>0</v>
      </c>
      <c r="S117" s="16">
        <v>0</v>
      </c>
      <c r="T117" s="16">
        <v>1</v>
      </c>
      <c r="U117" s="16">
        <v>2</v>
      </c>
      <c r="V117" s="16">
        <v>1</v>
      </c>
      <c r="W117" s="16">
        <v>3</v>
      </c>
      <c r="X117" s="16">
        <v>2</v>
      </c>
      <c r="Y117" s="16">
        <v>1</v>
      </c>
      <c r="Z117" s="16">
        <v>6</v>
      </c>
      <c r="AA117" s="16">
        <v>3</v>
      </c>
      <c r="AB117" s="16">
        <v>4</v>
      </c>
      <c r="AC117" s="16">
        <v>0</v>
      </c>
      <c r="AD117" s="16">
        <v>0</v>
      </c>
      <c r="AE117" s="16">
        <v>1</v>
      </c>
      <c r="AF117" s="16">
        <v>3</v>
      </c>
      <c r="AG117" s="13">
        <f t="shared" ref="AG117:AG122" si="160">SUM(E117:AF117)</f>
        <v>46</v>
      </c>
      <c r="AH117" s="5"/>
      <c r="AI117" s="5"/>
    </row>
    <row r="118" spans="1:35" ht="12.75" customHeight="1" x14ac:dyDescent="0.3">
      <c r="A118" s="20" t="s">
        <v>39</v>
      </c>
      <c r="B118" s="34"/>
      <c r="C118" s="29" t="s">
        <v>97</v>
      </c>
      <c r="D118" s="36"/>
      <c r="E118" s="16">
        <v>1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1</v>
      </c>
      <c r="Y118" s="16">
        <v>0</v>
      </c>
      <c r="Z118" s="16">
        <v>0</v>
      </c>
      <c r="AA118" s="16">
        <v>0</v>
      </c>
      <c r="AB118" s="16">
        <v>2</v>
      </c>
      <c r="AC118" s="16">
        <v>1</v>
      </c>
      <c r="AD118" s="16">
        <v>0</v>
      </c>
      <c r="AE118" s="16">
        <v>0</v>
      </c>
      <c r="AF118" s="16">
        <v>0</v>
      </c>
      <c r="AG118" s="13">
        <f t="shared" si="160"/>
        <v>6</v>
      </c>
      <c r="AH118" s="5"/>
      <c r="AI118" s="5"/>
    </row>
    <row r="119" spans="1:35" ht="12.75" customHeight="1" x14ac:dyDescent="0.3">
      <c r="A119" s="15"/>
      <c r="B119" s="34"/>
      <c r="C119" s="29" t="s">
        <v>98</v>
      </c>
      <c r="D119" s="36"/>
      <c r="E119" s="16">
        <v>0</v>
      </c>
      <c r="F119" s="16">
        <v>1</v>
      </c>
      <c r="G119" s="16">
        <v>0</v>
      </c>
      <c r="H119" s="16">
        <v>1</v>
      </c>
      <c r="I119" s="16">
        <v>0</v>
      </c>
      <c r="J119" s="16">
        <v>0</v>
      </c>
      <c r="K119" s="16">
        <v>1</v>
      </c>
      <c r="L119" s="16">
        <v>0</v>
      </c>
      <c r="M119" s="16">
        <v>1</v>
      </c>
      <c r="N119" s="16">
        <v>0</v>
      </c>
      <c r="O119" s="16">
        <v>0</v>
      </c>
      <c r="P119" s="16">
        <v>0</v>
      </c>
      <c r="Q119" s="16">
        <v>1</v>
      </c>
      <c r="R119" s="16">
        <v>0</v>
      </c>
      <c r="S119" s="16">
        <v>1</v>
      </c>
      <c r="T119" s="16">
        <v>0</v>
      </c>
      <c r="U119" s="16">
        <v>0</v>
      </c>
      <c r="V119" s="16">
        <v>0</v>
      </c>
      <c r="W119" s="16">
        <v>0</v>
      </c>
      <c r="X119" s="16">
        <v>1</v>
      </c>
      <c r="Y119" s="16">
        <v>1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3">
        <f t="shared" si="160"/>
        <v>8</v>
      </c>
      <c r="AH119" s="5"/>
      <c r="AI119" s="5"/>
    </row>
    <row r="120" spans="1:35" ht="12.75" customHeight="1" x14ac:dyDescent="0.3">
      <c r="A120" s="15"/>
      <c r="B120" s="34"/>
      <c r="C120" s="29" t="s">
        <v>99</v>
      </c>
      <c r="D120" s="36"/>
      <c r="E120" s="16">
        <v>0</v>
      </c>
      <c r="F120" s="16">
        <v>0</v>
      </c>
      <c r="G120" s="16">
        <v>0</v>
      </c>
      <c r="H120" s="16">
        <v>1</v>
      </c>
      <c r="I120" s="16">
        <v>1</v>
      </c>
      <c r="J120" s="16">
        <v>1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1</v>
      </c>
      <c r="Q120" s="16">
        <v>1</v>
      </c>
      <c r="R120" s="16">
        <v>0</v>
      </c>
      <c r="S120" s="16">
        <v>0</v>
      </c>
      <c r="T120" s="16">
        <v>0</v>
      </c>
      <c r="U120" s="16">
        <v>1</v>
      </c>
      <c r="V120" s="16">
        <v>0</v>
      </c>
      <c r="W120" s="16">
        <v>1</v>
      </c>
      <c r="X120" s="16">
        <v>0</v>
      </c>
      <c r="Y120" s="16">
        <v>0</v>
      </c>
      <c r="Z120" s="16">
        <v>0</v>
      </c>
      <c r="AA120" s="16">
        <v>0</v>
      </c>
      <c r="AB120" s="16">
        <v>1</v>
      </c>
      <c r="AC120" s="16">
        <v>1</v>
      </c>
      <c r="AD120" s="16">
        <v>0</v>
      </c>
      <c r="AE120" s="16">
        <v>0</v>
      </c>
      <c r="AF120" s="16">
        <v>0</v>
      </c>
      <c r="AG120" s="13">
        <f t="shared" si="160"/>
        <v>9</v>
      </c>
      <c r="AH120" s="5"/>
      <c r="AI120" s="5"/>
    </row>
    <row r="121" spans="1:35" ht="12.75" customHeight="1" x14ac:dyDescent="0.3">
      <c r="A121" s="15"/>
      <c r="B121" s="34"/>
      <c r="C121" s="29" t="s">
        <v>100</v>
      </c>
      <c r="D121" s="36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1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1</v>
      </c>
      <c r="AG121" s="13">
        <f t="shared" si="160"/>
        <v>2</v>
      </c>
      <c r="AH121" s="5"/>
      <c r="AI121" s="5"/>
    </row>
    <row r="122" spans="1:35" ht="12.75" customHeight="1" x14ac:dyDescent="0.3">
      <c r="A122" s="15"/>
      <c r="B122" s="34"/>
      <c r="C122" s="29" t="s">
        <v>101</v>
      </c>
      <c r="D122" s="36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3">
        <f t="shared" si="160"/>
        <v>1</v>
      </c>
      <c r="AH122" s="5"/>
      <c r="AI122" s="5"/>
    </row>
    <row r="123" spans="1:35" ht="12.75" customHeight="1" x14ac:dyDescent="0.3">
      <c r="A123" s="15"/>
      <c r="B123" s="37"/>
      <c r="C123" s="38"/>
      <c r="D123" s="39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56"/>
      <c r="AH123" s="5"/>
      <c r="AI123" s="5"/>
    </row>
    <row r="124" spans="1:35" ht="12.75" customHeight="1" x14ac:dyDescent="0.3">
      <c r="A124" s="15"/>
      <c r="B124" s="37"/>
      <c r="C124" s="38"/>
      <c r="D124" s="39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56"/>
      <c r="AH124" s="5"/>
      <c r="AI124" s="5"/>
    </row>
    <row r="125" spans="1:35" ht="12.75" customHeight="1" x14ac:dyDescent="0.3">
      <c r="A125" s="15"/>
      <c r="B125" s="37"/>
      <c r="C125" s="38"/>
      <c r="D125" s="39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56"/>
      <c r="AH125" s="5"/>
      <c r="AI125" s="5"/>
    </row>
    <row r="126" spans="1:35" ht="12.75" customHeight="1" x14ac:dyDescent="0.3">
      <c r="A126" s="15"/>
      <c r="B126" s="37"/>
      <c r="C126" s="38"/>
      <c r="D126" s="39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56"/>
      <c r="AH126" s="5"/>
      <c r="AI126" s="5"/>
    </row>
    <row r="127" spans="1:35" ht="12.75" customHeight="1" x14ac:dyDescent="0.3">
      <c r="A127" s="16" t="s">
        <v>15</v>
      </c>
      <c r="B127" s="60" t="s">
        <v>49</v>
      </c>
      <c r="C127" s="61"/>
      <c r="D127" s="59"/>
      <c r="E127" s="13">
        <f>SUM(E117:E126)</f>
        <v>2</v>
      </c>
      <c r="F127" s="13">
        <f t="shared" ref="F127" si="161">SUM(F117:F126)</f>
        <v>2</v>
      </c>
      <c r="G127" s="13">
        <f t="shared" ref="G127" si="162">SUM(G117:G126)</f>
        <v>2</v>
      </c>
      <c r="H127" s="13">
        <f t="shared" ref="H127" si="163">SUM(H117:H126)</f>
        <v>2</v>
      </c>
      <c r="I127" s="13">
        <f t="shared" ref="I127" si="164">SUM(I117:I126)</f>
        <v>3</v>
      </c>
      <c r="J127" s="13">
        <f t="shared" ref="J127" si="165">SUM(J117:J126)</f>
        <v>6</v>
      </c>
      <c r="K127" s="13">
        <f t="shared" ref="K127" si="166">SUM(K117:K126)</f>
        <v>3</v>
      </c>
      <c r="L127" s="13">
        <f t="shared" ref="L127" si="167">SUM(L117:L126)</f>
        <v>3</v>
      </c>
      <c r="M127" s="13">
        <f t="shared" ref="M127" si="168">SUM(M117:M126)</f>
        <v>2</v>
      </c>
      <c r="N127" s="13">
        <f t="shared" ref="N127" si="169">SUM(N117:N126)</f>
        <v>1</v>
      </c>
      <c r="O127" s="13">
        <f t="shared" ref="O127" si="170">SUM(O117:O126)</f>
        <v>0</v>
      </c>
      <c r="P127" s="13">
        <f t="shared" ref="P127" si="171">SUM(P117:P126)</f>
        <v>2</v>
      </c>
      <c r="Q127" s="13">
        <f t="shared" ref="Q127" si="172">SUM(Q117:Q126)</f>
        <v>3</v>
      </c>
      <c r="R127" s="13">
        <f t="shared" ref="R127" si="173">SUM(R117:R126)</f>
        <v>1</v>
      </c>
      <c r="S127" s="13">
        <f t="shared" ref="S127" si="174">SUM(S117:S126)</f>
        <v>1</v>
      </c>
      <c r="T127" s="13">
        <f t="shared" ref="T127" si="175">SUM(T117:T126)</f>
        <v>1</v>
      </c>
      <c r="U127" s="13">
        <f t="shared" ref="U127" si="176">SUM(U117:U126)</f>
        <v>3</v>
      </c>
      <c r="V127" s="13">
        <f t="shared" ref="V127" si="177">SUM(V117:V126)</f>
        <v>1</v>
      </c>
      <c r="W127" s="13">
        <f t="shared" ref="W127" si="178">SUM(W117:W126)</f>
        <v>5</v>
      </c>
      <c r="X127" s="13">
        <f t="shared" ref="X127" si="179">SUM(X117:X126)</f>
        <v>4</v>
      </c>
      <c r="Y127" s="13">
        <f t="shared" ref="Y127" si="180">SUM(Y117:Y126)</f>
        <v>2</v>
      </c>
      <c r="Z127" s="13">
        <f t="shared" ref="Z127" si="181">SUM(Z117:Z126)</f>
        <v>6</v>
      </c>
      <c r="AA127" s="13">
        <f t="shared" ref="AA127" si="182">SUM(AA117:AA126)</f>
        <v>3</v>
      </c>
      <c r="AB127" s="13">
        <f t="shared" ref="AB127" si="183">SUM(AB117:AB126)</f>
        <v>7</v>
      </c>
      <c r="AC127" s="13">
        <f t="shared" ref="AC127" si="184">SUM(AC117:AC126)</f>
        <v>2</v>
      </c>
      <c r="AD127" s="13">
        <f t="shared" ref="AD127" si="185">SUM(AD117:AD126)</f>
        <v>0</v>
      </c>
      <c r="AE127" s="13">
        <f t="shared" ref="AE127" si="186">SUM(AE117:AE126)</f>
        <v>1</v>
      </c>
      <c r="AF127" s="13">
        <f t="shared" ref="AF127" si="187">SUM(AF117:AF126)</f>
        <v>4</v>
      </c>
      <c r="AG127" s="13">
        <f t="shared" ref="AG127" si="188">SUM(AG117:AG126)</f>
        <v>72</v>
      </c>
      <c r="AH127" s="5"/>
      <c r="AI127" s="5"/>
    </row>
    <row r="128" spans="1:35" ht="12.75" customHeight="1" x14ac:dyDescent="0.3">
      <c r="A128" s="62"/>
      <c r="B128" s="61"/>
      <c r="C128" s="61"/>
      <c r="D128" s="61"/>
      <c r="E128" s="59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"/>
      <c r="AI128" s="5"/>
    </row>
    <row r="129" spans="1:35" ht="12.75" customHeight="1" x14ac:dyDescent="0.3">
      <c r="A129" s="20" t="s">
        <v>37</v>
      </c>
      <c r="B129" s="27" t="s">
        <v>102</v>
      </c>
      <c r="C129" s="58" t="s">
        <v>103</v>
      </c>
      <c r="D129" s="59"/>
      <c r="E129" s="16">
        <v>0</v>
      </c>
      <c r="F129" s="16">
        <v>1</v>
      </c>
      <c r="G129" s="16">
        <v>4</v>
      </c>
      <c r="H129" s="16">
        <v>2</v>
      </c>
      <c r="I129" s="16">
        <v>1</v>
      </c>
      <c r="J129" s="16">
        <v>0</v>
      </c>
      <c r="K129" s="16">
        <v>0</v>
      </c>
      <c r="L129" s="16">
        <v>2</v>
      </c>
      <c r="M129" s="16">
        <v>2</v>
      </c>
      <c r="N129" s="16">
        <v>0</v>
      </c>
      <c r="O129" s="16">
        <v>1</v>
      </c>
      <c r="P129" s="16">
        <v>1</v>
      </c>
      <c r="Q129" s="16">
        <v>0</v>
      </c>
      <c r="R129" s="16">
        <v>0</v>
      </c>
      <c r="S129" s="16">
        <v>0</v>
      </c>
      <c r="T129" s="16">
        <v>1</v>
      </c>
      <c r="U129" s="16">
        <v>2</v>
      </c>
      <c r="V129" s="16">
        <v>1</v>
      </c>
      <c r="W129" s="16">
        <v>0</v>
      </c>
      <c r="X129" s="16">
        <v>0</v>
      </c>
      <c r="Y129" s="16">
        <v>0</v>
      </c>
      <c r="Z129" s="16">
        <v>1</v>
      </c>
      <c r="AA129" s="16">
        <v>0</v>
      </c>
      <c r="AB129" s="16">
        <v>0</v>
      </c>
      <c r="AC129" s="16">
        <v>1</v>
      </c>
      <c r="AD129" s="16">
        <v>0</v>
      </c>
      <c r="AE129" s="16">
        <v>1</v>
      </c>
      <c r="AF129" s="16">
        <v>0</v>
      </c>
      <c r="AG129" s="13">
        <f t="shared" ref="AG129:AG138" si="189">SUM(E129:AF129)</f>
        <v>21</v>
      </c>
      <c r="AH129" s="5"/>
      <c r="AI129" s="5"/>
    </row>
    <row r="130" spans="1:35" ht="12.75" customHeight="1" x14ac:dyDescent="0.3">
      <c r="A130" s="20" t="s">
        <v>39</v>
      </c>
      <c r="B130" s="34"/>
      <c r="C130" s="29" t="s">
        <v>104</v>
      </c>
      <c r="D130" s="35"/>
      <c r="E130" s="16">
        <v>2</v>
      </c>
      <c r="F130" s="16">
        <v>1</v>
      </c>
      <c r="G130" s="16">
        <v>0</v>
      </c>
      <c r="H130" s="16">
        <v>0</v>
      </c>
      <c r="I130" s="16">
        <v>1</v>
      </c>
      <c r="J130" s="16">
        <v>1</v>
      </c>
      <c r="K130" s="16">
        <v>3</v>
      </c>
      <c r="L130" s="16">
        <v>0</v>
      </c>
      <c r="M130" s="16">
        <v>0</v>
      </c>
      <c r="N130" s="16">
        <v>0</v>
      </c>
      <c r="O130" s="16">
        <v>0</v>
      </c>
      <c r="P130" s="16">
        <v>1</v>
      </c>
      <c r="Q130" s="16">
        <v>0</v>
      </c>
      <c r="R130" s="16">
        <v>0</v>
      </c>
      <c r="S130" s="16">
        <v>1</v>
      </c>
      <c r="T130" s="16">
        <v>1</v>
      </c>
      <c r="U130" s="16">
        <v>4</v>
      </c>
      <c r="V130" s="16">
        <v>0</v>
      </c>
      <c r="W130" s="16">
        <v>1</v>
      </c>
      <c r="X130" s="16">
        <v>0</v>
      </c>
      <c r="Y130" s="16">
        <v>0</v>
      </c>
      <c r="Z130" s="16">
        <v>0</v>
      </c>
      <c r="AA130" s="16">
        <v>2</v>
      </c>
      <c r="AB130" s="16">
        <v>0</v>
      </c>
      <c r="AC130" s="16">
        <v>1</v>
      </c>
      <c r="AD130" s="16">
        <v>0</v>
      </c>
      <c r="AE130" s="16">
        <v>3</v>
      </c>
      <c r="AF130" s="16">
        <v>0</v>
      </c>
      <c r="AG130" s="13">
        <f t="shared" si="189"/>
        <v>22</v>
      </c>
      <c r="AH130" s="1"/>
      <c r="AI130" s="1"/>
    </row>
    <row r="131" spans="1:35" ht="12.75" customHeight="1" x14ac:dyDescent="0.3">
      <c r="A131" s="15"/>
      <c r="B131" s="34"/>
      <c r="C131" s="29" t="s">
        <v>105</v>
      </c>
      <c r="D131" s="35"/>
      <c r="E131" s="16">
        <v>0</v>
      </c>
      <c r="F131" s="16">
        <v>0</v>
      </c>
      <c r="G131" s="16">
        <v>0</v>
      </c>
      <c r="H131" s="16">
        <v>1</v>
      </c>
      <c r="I131" s="16">
        <v>1</v>
      </c>
      <c r="J131" s="16">
        <v>1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1</v>
      </c>
      <c r="Q131" s="16">
        <v>0</v>
      </c>
      <c r="R131" s="16">
        <v>0</v>
      </c>
      <c r="S131" s="16">
        <v>0</v>
      </c>
      <c r="T131" s="16">
        <v>0</v>
      </c>
      <c r="U131" s="16">
        <v>1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1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3">
        <f t="shared" si="189"/>
        <v>6</v>
      </c>
      <c r="AH131" s="31"/>
      <c r="AI131" s="31"/>
    </row>
    <row r="132" spans="1:35" ht="12.75" customHeight="1" x14ac:dyDescent="0.3">
      <c r="A132" s="15"/>
      <c r="B132" s="34"/>
      <c r="C132" s="29" t="s">
        <v>106</v>
      </c>
      <c r="D132" s="35"/>
      <c r="E132" s="16">
        <v>1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1</v>
      </c>
      <c r="Q132" s="16">
        <v>0</v>
      </c>
      <c r="R132" s="16">
        <v>2</v>
      </c>
      <c r="S132" s="16">
        <v>0</v>
      </c>
      <c r="T132" s="16">
        <v>0</v>
      </c>
      <c r="U132" s="16">
        <v>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1</v>
      </c>
      <c r="AB132" s="16">
        <v>0</v>
      </c>
      <c r="AC132" s="16">
        <v>0</v>
      </c>
      <c r="AD132" s="16">
        <v>1</v>
      </c>
      <c r="AE132" s="16">
        <v>2</v>
      </c>
      <c r="AF132" s="16">
        <v>0</v>
      </c>
      <c r="AG132" s="13">
        <f t="shared" si="189"/>
        <v>9</v>
      </c>
      <c r="AH132" s="5"/>
      <c r="AI132" s="5"/>
    </row>
    <row r="133" spans="1:35" ht="12.75" customHeight="1" x14ac:dyDescent="0.3">
      <c r="A133" s="15"/>
      <c r="B133" s="34"/>
      <c r="C133" s="29" t="s">
        <v>107</v>
      </c>
      <c r="D133" s="3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3">
        <f t="shared" si="189"/>
        <v>0</v>
      </c>
      <c r="AH133" s="5"/>
      <c r="AI133" s="5"/>
    </row>
    <row r="134" spans="1:35" ht="12.75" customHeight="1" x14ac:dyDescent="0.3">
      <c r="A134" s="15"/>
      <c r="B134" s="34"/>
      <c r="C134" s="29" t="s">
        <v>108</v>
      </c>
      <c r="D134" s="35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1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3">
        <f t="shared" si="189"/>
        <v>1</v>
      </c>
      <c r="AH134" s="5"/>
      <c r="AI134" s="5"/>
    </row>
    <row r="135" spans="1:35" ht="12.75" customHeight="1" x14ac:dyDescent="0.3">
      <c r="A135" s="15"/>
      <c r="B135" s="34"/>
      <c r="C135" s="29" t="s">
        <v>109</v>
      </c>
      <c r="D135" s="36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1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3">
        <f t="shared" si="189"/>
        <v>1</v>
      </c>
      <c r="AH135" s="5"/>
      <c r="AI135" s="5"/>
    </row>
    <row r="136" spans="1:35" ht="12.75" customHeight="1" x14ac:dyDescent="0.3">
      <c r="A136" s="15"/>
      <c r="B136" s="34"/>
      <c r="C136" s="29" t="s">
        <v>110</v>
      </c>
      <c r="D136" s="35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1</v>
      </c>
      <c r="L136" s="16">
        <v>0</v>
      </c>
      <c r="M136" s="16">
        <v>0</v>
      </c>
      <c r="N136" s="16">
        <v>1</v>
      </c>
      <c r="O136" s="16">
        <v>2</v>
      </c>
      <c r="P136" s="16">
        <v>0</v>
      </c>
      <c r="Q136" s="16">
        <v>3</v>
      </c>
      <c r="R136" s="16">
        <v>0</v>
      </c>
      <c r="S136" s="16">
        <v>0</v>
      </c>
      <c r="T136" s="16">
        <v>3</v>
      </c>
      <c r="U136" s="16">
        <v>24</v>
      </c>
      <c r="V136" s="16">
        <v>0</v>
      </c>
      <c r="W136" s="16">
        <v>4</v>
      </c>
      <c r="X136" s="16">
        <v>0</v>
      </c>
      <c r="Y136" s="16">
        <v>1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3">
        <f t="shared" si="189"/>
        <v>39</v>
      </c>
      <c r="AH136" s="5"/>
      <c r="AI136" s="5"/>
    </row>
    <row r="137" spans="1:35" ht="12.75" customHeight="1" x14ac:dyDescent="0.3">
      <c r="A137" s="15"/>
      <c r="B137" s="34"/>
      <c r="C137" s="29" t="s">
        <v>111</v>
      </c>
      <c r="D137" s="35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1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3">
        <f t="shared" si="189"/>
        <v>2</v>
      </c>
      <c r="AH137" s="5"/>
      <c r="AI137" s="5"/>
    </row>
    <row r="138" spans="1:35" ht="12.75" customHeight="1" x14ac:dyDescent="0.3">
      <c r="A138" s="15"/>
      <c r="B138" s="34"/>
      <c r="C138" s="29" t="s">
        <v>112</v>
      </c>
      <c r="D138" s="35"/>
      <c r="E138" s="16">
        <v>1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1</v>
      </c>
      <c r="AE138" s="16">
        <v>0</v>
      </c>
      <c r="AF138" s="16">
        <v>0</v>
      </c>
      <c r="AG138" s="13">
        <f t="shared" si="189"/>
        <v>2</v>
      </c>
      <c r="AH138" s="5"/>
      <c r="AI138" s="5"/>
    </row>
    <row r="139" spans="1:35" ht="12.75" customHeight="1" x14ac:dyDescent="0.3">
      <c r="A139" s="16" t="s">
        <v>15</v>
      </c>
      <c r="B139" s="60" t="s">
        <v>49</v>
      </c>
      <c r="C139" s="61"/>
      <c r="D139" s="59"/>
      <c r="E139" s="13">
        <f>SUM(E129:E138)</f>
        <v>4</v>
      </c>
      <c r="F139" s="13">
        <f t="shared" ref="F139" si="190">SUM(F129:F138)</f>
        <v>2</v>
      </c>
      <c r="G139" s="13">
        <f t="shared" ref="G139" si="191">SUM(G129:G138)</f>
        <v>4</v>
      </c>
      <c r="H139" s="13">
        <f t="shared" ref="H139" si="192">SUM(H129:H138)</f>
        <v>3</v>
      </c>
      <c r="I139" s="13">
        <f t="shared" ref="I139" si="193">SUM(I129:I138)</f>
        <v>3</v>
      </c>
      <c r="J139" s="13">
        <f t="shared" ref="J139" si="194">SUM(J129:J138)</f>
        <v>2</v>
      </c>
      <c r="K139" s="13">
        <f t="shared" ref="K139" si="195">SUM(K129:K138)</f>
        <v>4</v>
      </c>
      <c r="L139" s="13">
        <f t="shared" ref="L139" si="196">SUM(L129:L138)</f>
        <v>2</v>
      </c>
      <c r="M139" s="13">
        <f t="shared" ref="M139" si="197">SUM(M129:M138)</f>
        <v>4</v>
      </c>
      <c r="N139" s="13">
        <f t="shared" ref="N139" si="198">SUM(N129:N138)</f>
        <v>1</v>
      </c>
      <c r="O139" s="13">
        <f t="shared" ref="O139" si="199">SUM(O129:O138)</f>
        <v>3</v>
      </c>
      <c r="P139" s="13">
        <f t="shared" ref="P139" si="200">SUM(P129:P138)</f>
        <v>4</v>
      </c>
      <c r="Q139" s="13">
        <f t="shared" ref="Q139" si="201">SUM(Q129:Q138)</f>
        <v>3</v>
      </c>
      <c r="R139" s="13">
        <f t="shared" ref="R139" si="202">SUM(R129:R138)</f>
        <v>2</v>
      </c>
      <c r="S139" s="13">
        <f t="shared" ref="S139" si="203">SUM(S129:S138)</f>
        <v>1</v>
      </c>
      <c r="T139" s="13">
        <f t="shared" ref="T139" si="204">SUM(T129:T138)</f>
        <v>5</v>
      </c>
      <c r="U139" s="13">
        <f t="shared" ref="U139" si="205">SUM(U129:U138)</f>
        <v>32</v>
      </c>
      <c r="V139" s="13">
        <f t="shared" ref="V139" si="206">SUM(V129:V138)</f>
        <v>1</v>
      </c>
      <c r="W139" s="13">
        <f t="shared" ref="W139" si="207">SUM(W129:W138)</f>
        <v>5</v>
      </c>
      <c r="X139" s="13">
        <f t="shared" ref="X139" si="208">SUM(X129:X138)</f>
        <v>0</v>
      </c>
      <c r="Y139" s="13">
        <f t="shared" ref="Y139" si="209">SUM(Y129:Y138)</f>
        <v>1</v>
      </c>
      <c r="Z139" s="13">
        <f t="shared" ref="Z139" si="210">SUM(Z129:Z138)</f>
        <v>1</v>
      </c>
      <c r="AA139" s="13">
        <f t="shared" ref="AA139" si="211">SUM(AA129:AA138)</f>
        <v>6</v>
      </c>
      <c r="AB139" s="13">
        <f t="shared" ref="AB139" si="212">SUM(AB129:AB138)</f>
        <v>0</v>
      </c>
      <c r="AC139" s="13">
        <f t="shared" ref="AC139" si="213">SUM(AC129:AC138)</f>
        <v>2</v>
      </c>
      <c r="AD139" s="13">
        <f t="shared" ref="AD139" si="214">SUM(AD129:AD138)</f>
        <v>2</v>
      </c>
      <c r="AE139" s="13">
        <f t="shared" ref="AE139" si="215">SUM(AE129:AE138)</f>
        <v>6</v>
      </c>
      <c r="AF139" s="13">
        <f t="shared" ref="AF139" si="216">SUM(AF129:AF138)</f>
        <v>0</v>
      </c>
      <c r="AG139" s="13">
        <f t="shared" ref="AG139" si="217">SUM(AG129:AG138)</f>
        <v>103</v>
      </c>
      <c r="AH139" s="5"/>
      <c r="AI139" s="5"/>
    </row>
    <row r="140" spans="1:35" ht="12.75" customHeight="1" x14ac:dyDescent="0.3">
      <c r="A140" s="62"/>
      <c r="B140" s="61"/>
      <c r="C140" s="61"/>
      <c r="D140" s="61"/>
      <c r="E140" s="59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"/>
      <c r="AI140" s="5"/>
    </row>
    <row r="141" spans="1:35" ht="12.75" customHeight="1" x14ac:dyDescent="0.3">
      <c r="A141" s="20" t="s">
        <v>37</v>
      </c>
      <c r="B141" s="27" t="s">
        <v>113</v>
      </c>
      <c r="C141" s="58" t="s">
        <v>114</v>
      </c>
      <c r="D141" s="59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1</v>
      </c>
      <c r="K141" s="16">
        <v>0</v>
      </c>
      <c r="L141" s="16">
        <v>1</v>
      </c>
      <c r="M141" s="16">
        <v>0</v>
      </c>
      <c r="N141" s="16">
        <v>1</v>
      </c>
      <c r="O141" s="16">
        <v>0</v>
      </c>
      <c r="P141" s="16">
        <v>1</v>
      </c>
      <c r="Q141" s="16">
        <v>1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1</v>
      </c>
      <c r="AB141" s="16">
        <v>0</v>
      </c>
      <c r="AC141" s="16">
        <v>2</v>
      </c>
      <c r="AD141" s="16">
        <v>2</v>
      </c>
      <c r="AE141" s="16">
        <v>3</v>
      </c>
      <c r="AF141" s="16">
        <v>0</v>
      </c>
      <c r="AG141" s="13">
        <f t="shared" ref="AG141:AG144" si="218">SUM(E141:AF141)</f>
        <v>13</v>
      </c>
      <c r="AH141" s="1"/>
      <c r="AI141" s="1"/>
    </row>
    <row r="142" spans="1:35" ht="12.75" customHeight="1" x14ac:dyDescent="0.3">
      <c r="A142" s="20" t="s">
        <v>39</v>
      </c>
      <c r="B142" s="34"/>
      <c r="C142" s="29" t="s">
        <v>115</v>
      </c>
      <c r="D142" s="36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1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1</v>
      </c>
      <c r="AA142" s="16">
        <v>3</v>
      </c>
      <c r="AB142" s="16">
        <v>0</v>
      </c>
      <c r="AC142" s="16">
        <v>1</v>
      </c>
      <c r="AD142" s="16">
        <v>0</v>
      </c>
      <c r="AE142" s="16">
        <v>2</v>
      </c>
      <c r="AF142" s="16">
        <v>0</v>
      </c>
      <c r="AG142" s="13">
        <f t="shared" si="218"/>
        <v>8</v>
      </c>
      <c r="AH142" s="31"/>
      <c r="AI142" s="31"/>
    </row>
    <row r="143" spans="1:35" ht="12.75" customHeight="1" x14ac:dyDescent="0.3">
      <c r="A143" s="15"/>
      <c r="B143" s="34"/>
      <c r="C143" s="29" t="s">
        <v>116</v>
      </c>
      <c r="D143" s="36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1</v>
      </c>
      <c r="AF143" s="16">
        <v>0</v>
      </c>
      <c r="AG143" s="13">
        <f t="shared" si="218"/>
        <v>1</v>
      </c>
      <c r="AH143" s="5"/>
      <c r="AI143" s="5"/>
    </row>
    <row r="144" spans="1:35" ht="12.75" customHeight="1" x14ac:dyDescent="0.3">
      <c r="A144" s="15"/>
      <c r="B144" s="34"/>
      <c r="C144" s="29" t="s">
        <v>117</v>
      </c>
      <c r="D144" s="36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1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3">
        <f t="shared" si="218"/>
        <v>1</v>
      </c>
      <c r="AH144" s="5"/>
      <c r="AI144" s="5"/>
    </row>
    <row r="145" spans="1:35" ht="12.75" customHeight="1" x14ac:dyDescent="0.3">
      <c r="A145" s="15"/>
      <c r="B145" s="37"/>
      <c r="C145" s="38"/>
      <c r="D145" s="3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56"/>
      <c r="AH145" s="5"/>
      <c r="AI145" s="5"/>
    </row>
    <row r="146" spans="1:35" ht="12.75" customHeight="1" x14ac:dyDescent="0.3">
      <c r="A146" s="15"/>
      <c r="B146" s="37"/>
      <c r="C146" s="38"/>
      <c r="D146" s="3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56"/>
      <c r="AH146" s="5"/>
      <c r="AI146" s="5"/>
    </row>
    <row r="147" spans="1:35" ht="12.75" customHeight="1" x14ac:dyDescent="0.3">
      <c r="A147" s="15"/>
      <c r="B147" s="37"/>
      <c r="C147" s="38"/>
      <c r="D147" s="3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56"/>
      <c r="AH147" s="5"/>
      <c r="AI147" s="5"/>
    </row>
    <row r="148" spans="1:35" ht="12.75" customHeight="1" x14ac:dyDescent="0.3">
      <c r="A148" s="15"/>
      <c r="B148" s="37"/>
      <c r="C148" s="38"/>
      <c r="D148" s="3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56"/>
      <c r="AH148" s="5"/>
      <c r="AI148" s="5"/>
    </row>
    <row r="149" spans="1:35" ht="12.75" customHeight="1" x14ac:dyDescent="0.3">
      <c r="A149" s="15"/>
      <c r="B149" s="37"/>
      <c r="C149" s="38"/>
      <c r="D149" s="3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56"/>
      <c r="AH149" s="5"/>
      <c r="AI149" s="5"/>
    </row>
    <row r="150" spans="1:35" ht="12.75" customHeight="1" x14ac:dyDescent="0.3">
      <c r="A150" s="15"/>
      <c r="B150" s="37"/>
      <c r="C150" s="38"/>
      <c r="D150" s="3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56"/>
      <c r="AH150" s="5"/>
      <c r="AI150" s="5"/>
    </row>
    <row r="151" spans="1:35" ht="12.75" customHeight="1" x14ac:dyDescent="0.3">
      <c r="A151" s="16" t="s">
        <v>15</v>
      </c>
      <c r="B151" s="60" t="s">
        <v>49</v>
      </c>
      <c r="C151" s="61"/>
      <c r="D151" s="59"/>
      <c r="E151" s="13">
        <f>SUM(E141:E150)</f>
        <v>0</v>
      </c>
      <c r="F151" s="13">
        <f t="shared" ref="F151" si="219">SUM(F141:F150)</f>
        <v>0</v>
      </c>
      <c r="G151" s="13">
        <f t="shared" ref="G151" si="220">SUM(G141:G150)</f>
        <v>0</v>
      </c>
      <c r="H151" s="13">
        <f t="shared" ref="H151" si="221">SUM(H141:H150)</f>
        <v>0</v>
      </c>
      <c r="I151" s="13">
        <f t="shared" ref="I151" si="222">SUM(I141:I150)</f>
        <v>0</v>
      </c>
      <c r="J151" s="13">
        <f t="shared" ref="J151" si="223">SUM(J141:J150)</f>
        <v>1</v>
      </c>
      <c r="K151" s="13">
        <f t="shared" ref="K151" si="224">SUM(K141:K150)</f>
        <v>0</v>
      </c>
      <c r="L151" s="13">
        <f t="shared" ref="L151" si="225">SUM(L141:L150)</f>
        <v>2</v>
      </c>
      <c r="M151" s="13">
        <f t="shared" ref="M151" si="226">SUM(M141:M150)</f>
        <v>0</v>
      </c>
      <c r="N151" s="13">
        <f t="shared" ref="N151" si="227">SUM(N141:N150)</f>
        <v>1</v>
      </c>
      <c r="O151" s="13">
        <f t="shared" ref="O151" si="228">SUM(O141:O150)</f>
        <v>0</v>
      </c>
      <c r="P151" s="13">
        <f t="shared" ref="P151" si="229">SUM(P141:P150)</f>
        <v>1</v>
      </c>
      <c r="Q151" s="13">
        <f t="shared" ref="Q151" si="230">SUM(Q141:Q150)</f>
        <v>2</v>
      </c>
      <c r="R151" s="13">
        <f t="shared" ref="R151" si="231">SUM(R141:R150)</f>
        <v>0</v>
      </c>
      <c r="S151" s="13">
        <f t="shared" ref="S151" si="232">SUM(S141:S150)</f>
        <v>0</v>
      </c>
      <c r="T151" s="13">
        <f t="shared" ref="T151" si="233">SUM(T141:T150)</f>
        <v>0</v>
      </c>
      <c r="U151" s="13">
        <f t="shared" ref="U151" si="234">SUM(U141:U150)</f>
        <v>0</v>
      </c>
      <c r="V151" s="13">
        <f t="shared" ref="V151" si="235">SUM(V141:V150)</f>
        <v>0</v>
      </c>
      <c r="W151" s="13">
        <f t="shared" ref="W151" si="236">SUM(W141:W150)</f>
        <v>0</v>
      </c>
      <c r="X151" s="13">
        <f t="shared" ref="X151" si="237">SUM(X141:X150)</f>
        <v>0</v>
      </c>
      <c r="Y151" s="13">
        <f t="shared" ref="Y151" si="238">SUM(Y141:Y150)</f>
        <v>0</v>
      </c>
      <c r="Z151" s="13">
        <f t="shared" ref="Z151" si="239">SUM(Z141:Z150)</f>
        <v>1</v>
      </c>
      <c r="AA151" s="13">
        <f t="shared" ref="AA151" si="240">SUM(AA141:AA150)</f>
        <v>4</v>
      </c>
      <c r="AB151" s="13">
        <f t="shared" ref="AB151" si="241">SUM(AB141:AB150)</f>
        <v>0</v>
      </c>
      <c r="AC151" s="13">
        <f t="shared" ref="AC151" si="242">SUM(AC141:AC150)</f>
        <v>3</v>
      </c>
      <c r="AD151" s="13">
        <f t="shared" ref="AD151" si="243">SUM(AD141:AD150)</f>
        <v>2</v>
      </c>
      <c r="AE151" s="13">
        <f t="shared" ref="AE151" si="244">SUM(AE141:AE150)</f>
        <v>6</v>
      </c>
      <c r="AF151" s="13">
        <f t="shared" ref="AF151" si="245">SUM(AF141:AF150)</f>
        <v>0</v>
      </c>
      <c r="AG151" s="13">
        <f t="shared" ref="AG151" si="246">SUM(AG141:AG150)</f>
        <v>23</v>
      </c>
      <c r="AH151" s="1"/>
      <c r="AI151" s="1"/>
    </row>
    <row r="152" spans="1:35" ht="12.75" customHeight="1" x14ac:dyDescent="0.3">
      <c r="A152" s="62"/>
      <c r="B152" s="61"/>
      <c r="C152" s="61"/>
      <c r="D152" s="61"/>
      <c r="E152" s="59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13"/>
      <c r="AH152" s="31"/>
      <c r="AI152" s="31"/>
    </row>
    <row r="153" spans="1:35" ht="12.75" customHeight="1" x14ac:dyDescent="0.3">
      <c r="A153" s="20" t="s">
        <v>37</v>
      </c>
      <c r="B153" s="14" t="s">
        <v>118</v>
      </c>
      <c r="C153" s="84" t="s">
        <v>119</v>
      </c>
      <c r="D153" s="67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1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1</v>
      </c>
      <c r="U153" s="16">
        <v>0</v>
      </c>
      <c r="V153" s="16">
        <v>0</v>
      </c>
      <c r="W153" s="16">
        <v>0</v>
      </c>
      <c r="X153" s="16">
        <v>0</v>
      </c>
      <c r="Y153" s="16">
        <v>4</v>
      </c>
      <c r="Z153" s="16">
        <v>6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3">
        <f t="shared" ref="AG153:AG160" si="247">SUM(E153:AF153)</f>
        <v>12</v>
      </c>
      <c r="AH153" s="5"/>
      <c r="AI153" s="5"/>
    </row>
    <row r="154" spans="1:35" ht="12.75" customHeight="1" x14ac:dyDescent="0.3">
      <c r="A154" s="43" t="s">
        <v>39</v>
      </c>
      <c r="B154" s="34"/>
      <c r="C154" s="29" t="s">
        <v>120</v>
      </c>
      <c r="D154" s="36"/>
      <c r="E154" s="57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2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2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1</v>
      </c>
      <c r="AE154" s="16">
        <v>0</v>
      </c>
      <c r="AF154" s="16">
        <v>1</v>
      </c>
      <c r="AG154" s="13">
        <f t="shared" si="247"/>
        <v>6</v>
      </c>
      <c r="AH154" s="5"/>
      <c r="AI154" s="5"/>
    </row>
    <row r="155" spans="1:35" ht="12.75" customHeight="1" x14ac:dyDescent="0.3">
      <c r="A155" s="15"/>
      <c r="B155" s="34"/>
      <c r="C155" s="29" t="s">
        <v>121</v>
      </c>
      <c r="D155" s="36"/>
      <c r="E155" s="57">
        <v>0</v>
      </c>
      <c r="F155" s="16">
        <v>1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1</v>
      </c>
      <c r="AG155" s="13">
        <f t="shared" si="247"/>
        <v>2</v>
      </c>
      <c r="AH155" s="5"/>
      <c r="AI155" s="5"/>
    </row>
    <row r="156" spans="1:35" ht="12.75" customHeight="1" x14ac:dyDescent="0.3">
      <c r="A156" s="15"/>
      <c r="B156" s="34"/>
      <c r="C156" s="29" t="s">
        <v>122</v>
      </c>
      <c r="D156" s="36"/>
      <c r="E156" s="57">
        <v>1</v>
      </c>
      <c r="F156" s="16">
        <v>0</v>
      </c>
      <c r="G156" s="16">
        <v>0</v>
      </c>
      <c r="H156" s="16">
        <v>0</v>
      </c>
      <c r="I156" s="16">
        <v>0</v>
      </c>
      <c r="J156" s="16">
        <v>1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1</v>
      </c>
      <c r="Q156" s="16">
        <v>0</v>
      </c>
      <c r="R156" s="16">
        <v>0</v>
      </c>
      <c r="S156" s="16">
        <v>0</v>
      </c>
      <c r="T156" s="16">
        <v>0</v>
      </c>
      <c r="U156" s="16">
        <v>1</v>
      </c>
      <c r="V156" s="16">
        <v>0</v>
      </c>
      <c r="W156" s="16">
        <v>0</v>
      </c>
      <c r="X156" s="16">
        <v>0</v>
      </c>
      <c r="Y156" s="16">
        <v>1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3">
        <f t="shared" si="247"/>
        <v>5</v>
      </c>
      <c r="AH156" s="5"/>
      <c r="AI156" s="5"/>
    </row>
    <row r="157" spans="1:35" ht="12.75" customHeight="1" x14ac:dyDescent="0.3">
      <c r="A157" s="15"/>
      <c r="B157" s="34"/>
      <c r="C157" s="29" t="s">
        <v>123</v>
      </c>
      <c r="D157" s="36"/>
      <c r="E157" s="57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1</v>
      </c>
      <c r="AG157" s="13">
        <f t="shared" si="247"/>
        <v>2</v>
      </c>
      <c r="AH157" s="5"/>
      <c r="AI157" s="5"/>
    </row>
    <row r="158" spans="1:35" ht="12.75" customHeight="1" x14ac:dyDescent="0.3">
      <c r="A158" s="15"/>
      <c r="B158" s="34"/>
      <c r="C158" s="29" t="s">
        <v>124</v>
      </c>
      <c r="D158" s="36"/>
      <c r="E158" s="57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2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3">
        <f t="shared" si="247"/>
        <v>2</v>
      </c>
      <c r="AH158" s="5"/>
      <c r="AI158" s="5"/>
    </row>
    <row r="159" spans="1:35" ht="12.75" customHeight="1" x14ac:dyDescent="0.3">
      <c r="A159" s="15"/>
      <c r="B159" s="34"/>
      <c r="C159" s="29" t="s">
        <v>125</v>
      </c>
      <c r="D159" s="36"/>
      <c r="E159" s="57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1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2</v>
      </c>
      <c r="AG159" s="13">
        <f t="shared" si="247"/>
        <v>3</v>
      </c>
      <c r="AH159" s="5"/>
      <c r="AI159" s="5"/>
    </row>
    <row r="160" spans="1:35" ht="12.75" customHeight="1" x14ac:dyDescent="0.3">
      <c r="A160" s="15"/>
      <c r="B160" s="34"/>
      <c r="C160" s="29" t="s">
        <v>126</v>
      </c>
      <c r="D160" s="36"/>
      <c r="E160" s="57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1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3">
        <f t="shared" si="247"/>
        <v>1</v>
      </c>
      <c r="AH160" s="5"/>
      <c r="AI160" s="5"/>
    </row>
    <row r="161" spans="1:35" ht="12.75" customHeight="1" x14ac:dyDescent="0.3">
      <c r="A161" s="15"/>
      <c r="B161" s="37"/>
      <c r="C161" s="44"/>
      <c r="D161" s="39"/>
      <c r="E161" s="5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56"/>
      <c r="AH161" s="5"/>
      <c r="AI161" s="5"/>
    </row>
    <row r="162" spans="1:35" ht="12.75" customHeight="1" x14ac:dyDescent="0.3">
      <c r="A162" s="15"/>
      <c r="B162" s="37"/>
      <c r="C162" s="44"/>
      <c r="D162" s="39"/>
      <c r="E162" s="5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56"/>
      <c r="AH162" s="5"/>
      <c r="AI162" s="5"/>
    </row>
    <row r="163" spans="1:35" ht="12.75" customHeight="1" x14ac:dyDescent="0.3">
      <c r="A163" s="16" t="s">
        <v>15</v>
      </c>
      <c r="B163" s="85" t="s">
        <v>49</v>
      </c>
      <c r="C163" s="64"/>
      <c r="D163" s="70"/>
      <c r="E163" s="13">
        <f>SUM(E153:E162)</f>
        <v>1</v>
      </c>
      <c r="F163" s="13">
        <f t="shared" ref="F163" si="248">SUM(F153:F162)</f>
        <v>1</v>
      </c>
      <c r="G163" s="13">
        <f t="shared" ref="G163" si="249">SUM(G153:G162)</f>
        <v>0</v>
      </c>
      <c r="H163" s="13">
        <f t="shared" ref="H163" si="250">SUM(H153:H162)</f>
        <v>0</v>
      </c>
      <c r="I163" s="13">
        <f t="shared" ref="I163" si="251">SUM(I153:I162)</f>
        <v>0</v>
      </c>
      <c r="J163" s="13">
        <f t="shared" ref="J163" si="252">SUM(J153:J162)</f>
        <v>1</v>
      </c>
      <c r="K163" s="13">
        <f t="shared" ref="K163" si="253">SUM(K153:K162)</f>
        <v>0</v>
      </c>
      <c r="L163" s="13">
        <f t="shared" ref="L163" si="254">SUM(L153:L162)</f>
        <v>1</v>
      </c>
      <c r="M163" s="13">
        <f t="shared" ref="M163" si="255">SUM(M153:M162)</f>
        <v>1</v>
      </c>
      <c r="N163" s="13">
        <f t="shared" ref="N163" si="256">SUM(N153:N162)</f>
        <v>4</v>
      </c>
      <c r="O163" s="13">
        <f t="shared" ref="O163" si="257">SUM(O153:O162)</f>
        <v>0</v>
      </c>
      <c r="P163" s="13">
        <f t="shared" ref="P163" si="258">SUM(P153:P162)</f>
        <v>1</v>
      </c>
      <c r="Q163" s="13">
        <f t="shared" ref="Q163" si="259">SUM(Q153:Q162)</f>
        <v>0</v>
      </c>
      <c r="R163" s="13">
        <f t="shared" ref="R163" si="260">SUM(R153:R162)</f>
        <v>0</v>
      </c>
      <c r="S163" s="13">
        <f t="shared" ref="S163" si="261">SUM(S153:S162)</f>
        <v>0</v>
      </c>
      <c r="T163" s="13">
        <f t="shared" ref="T163" si="262">SUM(T153:T162)</f>
        <v>3</v>
      </c>
      <c r="U163" s="13">
        <f t="shared" ref="U163" si="263">SUM(U153:U162)</f>
        <v>2</v>
      </c>
      <c r="V163" s="13">
        <f t="shared" ref="V163" si="264">SUM(V153:V162)</f>
        <v>0</v>
      </c>
      <c r="W163" s="13">
        <f t="shared" ref="W163" si="265">SUM(W153:W162)</f>
        <v>0</v>
      </c>
      <c r="X163" s="13">
        <f t="shared" ref="X163" si="266">SUM(X153:X162)</f>
        <v>0</v>
      </c>
      <c r="Y163" s="13">
        <f t="shared" ref="Y163" si="267">SUM(Y153:Y162)</f>
        <v>6</v>
      </c>
      <c r="Z163" s="13">
        <f t="shared" ref="Z163" si="268">SUM(Z153:Z162)</f>
        <v>6</v>
      </c>
      <c r="AA163" s="13">
        <f t="shared" ref="AA163" si="269">SUM(AA153:AA162)</f>
        <v>0</v>
      </c>
      <c r="AB163" s="13">
        <f t="shared" ref="AB163" si="270">SUM(AB153:AB162)</f>
        <v>0</v>
      </c>
      <c r="AC163" s="13">
        <f t="shared" ref="AC163" si="271">SUM(AC153:AC162)</f>
        <v>0</v>
      </c>
      <c r="AD163" s="13">
        <f t="shared" ref="AD163" si="272">SUM(AD153:AD162)</f>
        <v>1</v>
      </c>
      <c r="AE163" s="13">
        <f t="shared" ref="AE163" si="273">SUM(AE153:AE162)</f>
        <v>0</v>
      </c>
      <c r="AF163" s="13">
        <f t="shared" ref="AF163" si="274">SUM(AF153:AF162)</f>
        <v>5</v>
      </c>
      <c r="AG163" s="13">
        <f t="shared" ref="AG163" si="275">SUM(AG153:AG162)</f>
        <v>33</v>
      </c>
      <c r="AH163" s="5"/>
      <c r="AI163" s="5"/>
    </row>
    <row r="164" spans="1:35" ht="12.75" customHeight="1" x14ac:dyDescent="0.3">
      <c r="A164" s="62"/>
      <c r="B164" s="61"/>
      <c r="C164" s="61"/>
      <c r="D164" s="61"/>
      <c r="E164" s="59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"/>
      <c r="AI164" s="5"/>
    </row>
    <row r="165" spans="1:35" ht="12.75" customHeight="1" x14ac:dyDescent="0.3">
      <c r="A165" s="20" t="s">
        <v>37</v>
      </c>
      <c r="B165" s="27" t="s">
        <v>127</v>
      </c>
      <c r="C165" s="58" t="s">
        <v>128</v>
      </c>
      <c r="D165" s="59"/>
      <c r="E165" s="16">
        <v>0</v>
      </c>
      <c r="F165" s="16">
        <v>1</v>
      </c>
      <c r="G165" s="16">
        <v>0</v>
      </c>
      <c r="H165" s="16">
        <v>0</v>
      </c>
      <c r="I165" s="16">
        <v>1</v>
      </c>
      <c r="J165" s="16">
        <v>1</v>
      </c>
      <c r="K165" s="16">
        <v>1</v>
      </c>
      <c r="L165" s="16">
        <v>1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1</v>
      </c>
      <c r="U165" s="16">
        <v>0</v>
      </c>
      <c r="V165" s="16">
        <v>0</v>
      </c>
      <c r="W165" s="16">
        <v>0</v>
      </c>
      <c r="X165" s="16">
        <v>1</v>
      </c>
      <c r="Y165" s="16">
        <v>0</v>
      </c>
      <c r="Z165" s="16">
        <v>0</v>
      </c>
      <c r="AA165" s="16">
        <v>1</v>
      </c>
      <c r="AB165" s="16">
        <v>0</v>
      </c>
      <c r="AC165" s="16">
        <v>0</v>
      </c>
      <c r="AD165" s="16">
        <v>3</v>
      </c>
      <c r="AE165" s="16">
        <v>0</v>
      </c>
      <c r="AF165" s="16">
        <v>0</v>
      </c>
      <c r="AG165" s="13">
        <f t="shared" ref="AG165:AG166" si="276">SUM(E165:AF165)</f>
        <v>11</v>
      </c>
      <c r="AH165" s="1"/>
      <c r="AI165" s="1"/>
    </row>
    <row r="166" spans="1:35" ht="12.75" customHeight="1" x14ac:dyDescent="0.3">
      <c r="A166" s="20" t="s">
        <v>39</v>
      </c>
      <c r="B166" s="34"/>
      <c r="C166" s="29" t="s">
        <v>129</v>
      </c>
      <c r="D166" s="36"/>
      <c r="E166" s="16">
        <v>0</v>
      </c>
      <c r="F166" s="16">
        <v>1</v>
      </c>
      <c r="G166" s="16">
        <v>0</v>
      </c>
      <c r="H166" s="16">
        <v>1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1</v>
      </c>
      <c r="O166" s="16">
        <v>0</v>
      </c>
      <c r="P166" s="16">
        <v>1</v>
      </c>
      <c r="Q166" s="16">
        <v>0</v>
      </c>
      <c r="R166" s="16">
        <v>0</v>
      </c>
      <c r="S166" s="16">
        <v>0</v>
      </c>
      <c r="T166" s="16">
        <v>1</v>
      </c>
      <c r="U166" s="16">
        <v>0</v>
      </c>
      <c r="V166" s="16">
        <v>0</v>
      </c>
      <c r="W166" s="16">
        <v>2</v>
      </c>
      <c r="X166" s="16">
        <v>0</v>
      </c>
      <c r="Y166" s="16">
        <v>0</v>
      </c>
      <c r="Z166" s="16">
        <v>0</v>
      </c>
      <c r="AA166" s="16">
        <v>3</v>
      </c>
      <c r="AB166" s="16">
        <v>0</v>
      </c>
      <c r="AC166" s="16">
        <v>1</v>
      </c>
      <c r="AD166" s="16">
        <v>1</v>
      </c>
      <c r="AE166" s="16">
        <v>0</v>
      </c>
      <c r="AF166" s="16">
        <v>0</v>
      </c>
      <c r="AG166" s="13">
        <f t="shared" si="276"/>
        <v>12</v>
      </c>
      <c r="AH166" s="31"/>
      <c r="AI166" s="31"/>
    </row>
    <row r="167" spans="1:35" ht="12.75" customHeight="1" x14ac:dyDescent="0.3">
      <c r="A167" s="15"/>
      <c r="B167" s="37"/>
      <c r="C167" s="38"/>
      <c r="D167" s="3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56"/>
      <c r="AH167" s="5"/>
      <c r="AI167" s="5"/>
    </row>
    <row r="168" spans="1:35" ht="12.75" customHeight="1" x14ac:dyDescent="0.3">
      <c r="A168" s="15"/>
      <c r="B168" s="37"/>
      <c r="C168" s="38"/>
      <c r="D168" s="3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56"/>
      <c r="AH168" s="5"/>
      <c r="AI168" s="5"/>
    </row>
    <row r="169" spans="1:35" ht="12.75" customHeight="1" x14ac:dyDescent="0.3">
      <c r="A169" s="15"/>
      <c r="B169" s="37"/>
      <c r="C169" s="38"/>
      <c r="D169" s="3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56"/>
      <c r="AH169" s="5"/>
      <c r="AI169" s="5"/>
    </row>
    <row r="170" spans="1:35" ht="12.75" customHeight="1" x14ac:dyDescent="0.3">
      <c r="A170" s="15"/>
      <c r="B170" s="37"/>
      <c r="C170" s="38"/>
      <c r="D170" s="3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56"/>
      <c r="AH170" s="5"/>
      <c r="AI170" s="5"/>
    </row>
    <row r="171" spans="1:35" ht="12.75" customHeight="1" x14ac:dyDescent="0.3">
      <c r="A171" s="15"/>
      <c r="B171" s="37"/>
      <c r="C171" s="38"/>
      <c r="D171" s="3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56"/>
      <c r="AH171" s="5"/>
      <c r="AI171" s="5"/>
    </row>
    <row r="172" spans="1:35" ht="12.75" customHeight="1" x14ac:dyDescent="0.3">
      <c r="A172" s="15"/>
      <c r="B172" s="37"/>
      <c r="C172" s="38"/>
      <c r="D172" s="3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56"/>
      <c r="AH172" s="5"/>
      <c r="AI172" s="5"/>
    </row>
    <row r="173" spans="1:35" ht="12.75" customHeight="1" x14ac:dyDescent="0.3">
      <c r="A173" s="15"/>
      <c r="B173" s="37"/>
      <c r="C173" s="38"/>
      <c r="D173" s="3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56"/>
      <c r="AH173" s="5"/>
      <c r="AI173" s="5"/>
    </row>
    <row r="174" spans="1:35" ht="12.75" customHeight="1" x14ac:dyDescent="0.3">
      <c r="A174" s="15"/>
      <c r="B174" s="37"/>
      <c r="C174" s="38"/>
      <c r="D174" s="3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56"/>
      <c r="AH174" s="5"/>
      <c r="AI174" s="5"/>
    </row>
    <row r="175" spans="1:35" ht="12.75" customHeight="1" x14ac:dyDescent="0.3">
      <c r="A175" s="16" t="s">
        <v>15</v>
      </c>
      <c r="B175" s="60" t="s">
        <v>49</v>
      </c>
      <c r="C175" s="61"/>
      <c r="D175" s="59"/>
      <c r="E175" s="13">
        <f>SUM(E165:E174)</f>
        <v>0</v>
      </c>
      <c r="F175" s="13">
        <f t="shared" ref="F175" si="277">SUM(F165:F174)</f>
        <v>2</v>
      </c>
      <c r="G175" s="13">
        <f t="shared" ref="G175" si="278">SUM(G165:G174)</f>
        <v>0</v>
      </c>
      <c r="H175" s="13">
        <f t="shared" ref="H175" si="279">SUM(H165:H174)</f>
        <v>1</v>
      </c>
      <c r="I175" s="13">
        <f t="shared" ref="I175" si="280">SUM(I165:I174)</f>
        <v>1</v>
      </c>
      <c r="J175" s="13">
        <f t="shared" ref="J175" si="281">SUM(J165:J174)</f>
        <v>1</v>
      </c>
      <c r="K175" s="13">
        <f t="shared" ref="K175" si="282">SUM(K165:K174)</f>
        <v>1</v>
      </c>
      <c r="L175" s="13">
        <f t="shared" ref="L175" si="283">SUM(L165:L174)</f>
        <v>1</v>
      </c>
      <c r="M175" s="13">
        <f t="shared" ref="M175" si="284">SUM(M165:M174)</f>
        <v>0</v>
      </c>
      <c r="N175" s="13">
        <f t="shared" ref="N175" si="285">SUM(N165:N174)</f>
        <v>1</v>
      </c>
      <c r="O175" s="13">
        <f t="shared" ref="O175" si="286">SUM(O165:O174)</f>
        <v>0</v>
      </c>
      <c r="P175" s="13">
        <f t="shared" ref="P175" si="287">SUM(P165:P174)</f>
        <v>1</v>
      </c>
      <c r="Q175" s="13">
        <f t="shared" ref="Q175" si="288">SUM(Q165:Q174)</f>
        <v>0</v>
      </c>
      <c r="R175" s="13">
        <f t="shared" ref="R175" si="289">SUM(R165:R174)</f>
        <v>0</v>
      </c>
      <c r="S175" s="13">
        <f t="shared" ref="S175" si="290">SUM(S165:S174)</f>
        <v>0</v>
      </c>
      <c r="T175" s="13">
        <f t="shared" ref="T175" si="291">SUM(T165:T174)</f>
        <v>2</v>
      </c>
      <c r="U175" s="13">
        <f t="shared" ref="U175" si="292">SUM(U165:U174)</f>
        <v>0</v>
      </c>
      <c r="V175" s="13">
        <f t="shared" ref="V175" si="293">SUM(V165:V174)</f>
        <v>0</v>
      </c>
      <c r="W175" s="13">
        <f t="shared" ref="W175" si="294">SUM(W165:W174)</f>
        <v>2</v>
      </c>
      <c r="X175" s="13">
        <f t="shared" ref="X175" si="295">SUM(X165:X174)</f>
        <v>1</v>
      </c>
      <c r="Y175" s="13">
        <f t="shared" ref="Y175" si="296">SUM(Y165:Y174)</f>
        <v>0</v>
      </c>
      <c r="Z175" s="13">
        <f t="shared" ref="Z175" si="297">SUM(Z165:Z174)</f>
        <v>0</v>
      </c>
      <c r="AA175" s="13">
        <f t="shared" ref="AA175" si="298">SUM(AA165:AA174)</f>
        <v>4</v>
      </c>
      <c r="AB175" s="13">
        <f t="shared" ref="AB175" si="299">SUM(AB165:AB174)</f>
        <v>0</v>
      </c>
      <c r="AC175" s="13">
        <f t="shared" ref="AC175" si="300">SUM(AC165:AC174)</f>
        <v>1</v>
      </c>
      <c r="AD175" s="13">
        <f t="shared" ref="AD175" si="301">SUM(AD165:AD174)</f>
        <v>4</v>
      </c>
      <c r="AE175" s="13">
        <f t="shared" ref="AE175" si="302">SUM(AE165:AE174)</f>
        <v>0</v>
      </c>
      <c r="AF175" s="13">
        <f t="shared" ref="AF175" si="303">SUM(AF165:AF174)</f>
        <v>0</v>
      </c>
      <c r="AG175" s="13">
        <f t="shared" ref="AG175" si="304">SUM(AG165:AG174)</f>
        <v>23</v>
      </c>
      <c r="AH175" s="5"/>
      <c r="AI175" s="5"/>
    </row>
    <row r="176" spans="1:35" ht="12.75" customHeight="1" x14ac:dyDescent="0.3">
      <c r="A176" s="62"/>
      <c r="B176" s="61"/>
      <c r="C176" s="61"/>
      <c r="D176" s="61"/>
      <c r="E176" s="59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1"/>
      <c r="AI176" s="1"/>
    </row>
    <row r="177" spans="1:35" ht="12.75" customHeight="1" x14ac:dyDescent="0.3">
      <c r="A177" s="20" t="s">
        <v>37</v>
      </c>
      <c r="B177" s="27" t="s">
        <v>130</v>
      </c>
      <c r="C177" s="58" t="s">
        <v>131</v>
      </c>
      <c r="D177" s="59"/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2</v>
      </c>
      <c r="K177" s="16">
        <v>0</v>
      </c>
      <c r="L177" s="16">
        <v>0</v>
      </c>
      <c r="M177" s="16">
        <v>0</v>
      </c>
      <c r="N177" s="16">
        <v>2</v>
      </c>
      <c r="O177" s="16">
        <v>0</v>
      </c>
      <c r="P177" s="16">
        <v>1</v>
      </c>
      <c r="Q177" s="16">
        <v>2</v>
      </c>
      <c r="R177" s="16">
        <v>0</v>
      </c>
      <c r="S177" s="16">
        <v>0</v>
      </c>
      <c r="T177" s="16">
        <v>1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2</v>
      </c>
      <c r="AA177" s="16">
        <v>0</v>
      </c>
      <c r="AB177" s="16">
        <v>1</v>
      </c>
      <c r="AC177" s="16">
        <v>0</v>
      </c>
      <c r="AD177" s="16">
        <v>1</v>
      </c>
      <c r="AE177" s="16">
        <v>0</v>
      </c>
      <c r="AF177" s="16">
        <v>0</v>
      </c>
      <c r="AG177" s="13">
        <f t="shared" ref="AG177:AG186" si="305">SUM(E177:AF177)</f>
        <v>12</v>
      </c>
    </row>
    <row r="178" spans="1:35" ht="12.75" customHeight="1" x14ac:dyDescent="0.3">
      <c r="A178" s="20" t="s">
        <v>39</v>
      </c>
      <c r="B178" s="34"/>
      <c r="C178" s="29" t="s">
        <v>132</v>
      </c>
      <c r="D178" s="36"/>
      <c r="E178" s="16">
        <v>0</v>
      </c>
      <c r="F178" s="16">
        <v>0</v>
      </c>
      <c r="G178" s="16">
        <v>0</v>
      </c>
      <c r="H178" s="16">
        <v>0</v>
      </c>
      <c r="I178" s="16">
        <v>1</v>
      </c>
      <c r="J178" s="16">
        <v>1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1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3">
        <f t="shared" si="305"/>
        <v>3</v>
      </c>
      <c r="AH178" s="5"/>
      <c r="AI178" s="5"/>
    </row>
    <row r="179" spans="1:35" ht="12.75" customHeight="1" x14ac:dyDescent="0.3">
      <c r="A179" s="15"/>
      <c r="B179" s="34"/>
      <c r="C179" s="29" t="s">
        <v>133</v>
      </c>
      <c r="D179" s="36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1</v>
      </c>
      <c r="N179" s="16">
        <v>0</v>
      </c>
      <c r="O179" s="16">
        <v>0</v>
      </c>
      <c r="P179" s="16">
        <v>0</v>
      </c>
      <c r="Q179" s="16">
        <v>1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1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3">
        <f t="shared" si="305"/>
        <v>3</v>
      </c>
      <c r="AH179" s="5"/>
      <c r="AI179" s="5"/>
    </row>
    <row r="180" spans="1:35" ht="12.75" customHeight="1" x14ac:dyDescent="0.3">
      <c r="A180" s="15"/>
      <c r="B180" s="34"/>
      <c r="C180" s="29" t="s">
        <v>134</v>
      </c>
      <c r="D180" s="36"/>
      <c r="E180" s="16">
        <v>1</v>
      </c>
      <c r="F180" s="16">
        <v>2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1</v>
      </c>
      <c r="N180" s="16">
        <v>0</v>
      </c>
      <c r="O180" s="16">
        <v>2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1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2</v>
      </c>
      <c r="AB180" s="16">
        <v>0</v>
      </c>
      <c r="AC180" s="16">
        <v>0</v>
      </c>
      <c r="AD180" s="16">
        <v>1</v>
      </c>
      <c r="AE180" s="16">
        <v>0</v>
      </c>
      <c r="AF180" s="16">
        <v>0</v>
      </c>
      <c r="AG180" s="13">
        <f t="shared" si="305"/>
        <v>10</v>
      </c>
      <c r="AH180" s="5"/>
      <c r="AI180" s="5"/>
    </row>
    <row r="181" spans="1:35" ht="12.75" customHeight="1" x14ac:dyDescent="0.3">
      <c r="A181" s="15"/>
      <c r="B181" s="34"/>
      <c r="C181" s="29" t="s">
        <v>135</v>
      </c>
      <c r="D181" s="36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1</v>
      </c>
      <c r="W181" s="16">
        <v>0</v>
      </c>
      <c r="X181" s="16">
        <v>0</v>
      </c>
      <c r="Y181" s="16">
        <v>0</v>
      </c>
      <c r="Z181" s="16">
        <v>0</v>
      </c>
      <c r="AA181" s="16">
        <v>1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3">
        <f t="shared" si="305"/>
        <v>2</v>
      </c>
      <c r="AH181" s="5"/>
      <c r="AI181" s="5"/>
    </row>
    <row r="182" spans="1:35" ht="12.75" customHeight="1" x14ac:dyDescent="0.3">
      <c r="A182" s="15"/>
      <c r="B182" s="34"/>
      <c r="C182" s="29" t="s">
        <v>136</v>
      </c>
      <c r="D182" s="36"/>
      <c r="E182" s="16">
        <v>0</v>
      </c>
      <c r="F182" s="16">
        <v>0</v>
      </c>
      <c r="G182" s="16">
        <v>0</v>
      </c>
      <c r="H182" s="16">
        <v>0</v>
      </c>
      <c r="I182" s="16">
        <v>3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1</v>
      </c>
      <c r="R182" s="16">
        <v>0</v>
      </c>
      <c r="S182" s="16">
        <v>0</v>
      </c>
      <c r="T182" s="16">
        <v>1</v>
      </c>
      <c r="U182" s="16">
        <v>0</v>
      </c>
      <c r="V182" s="16">
        <v>0</v>
      </c>
      <c r="W182" s="16">
        <v>0</v>
      </c>
      <c r="X182" s="16">
        <v>1</v>
      </c>
      <c r="Y182" s="16">
        <v>0</v>
      </c>
      <c r="Z182" s="16">
        <v>1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3">
        <f t="shared" si="305"/>
        <v>7</v>
      </c>
      <c r="AH182" s="5"/>
      <c r="AI182" s="5"/>
    </row>
    <row r="183" spans="1:35" ht="12.75" customHeight="1" x14ac:dyDescent="0.3">
      <c r="A183" s="15"/>
      <c r="B183" s="34"/>
      <c r="C183" s="29" t="s">
        <v>137</v>
      </c>
      <c r="D183" s="36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1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3">
        <f t="shared" si="305"/>
        <v>1</v>
      </c>
      <c r="AH183" s="5"/>
      <c r="AI183" s="5"/>
    </row>
    <row r="184" spans="1:35" ht="12.75" customHeight="1" x14ac:dyDescent="0.3">
      <c r="A184" s="15"/>
      <c r="B184" s="34"/>
      <c r="C184" s="29" t="s">
        <v>138</v>
      </c>
      <c r="D184" s="36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1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1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3">
        <f t="shared" si="305"/>
        <v>2</v>
      </c>
      <c r="AH184" s="5"/>
      <c r="AI184" s="5"/>
    </row>
    <row r="185" spans="1:35" ht="12.75" customHeight="1" x14ac:dyDescent="0.3">
      <c r="A185" s="15"/>
      <c r="B185" s="34"/>
      <c r="C185" s="29" t="s">
        <v>139</v>
      </c>
      <c r="D185" s="36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1</v>
      </c>
      <c r="M185" s="16">
        <v>0</v>
      </c>
      <c r="N185" s="16">
        <v>0</v>
      </c>
      <c r="O185" s="16">
        <v>0</v>
      </c>
      <c r="P185" s="16">
        <v>0</v>
      </c>
      <c r="Q185" s="16">
        <v>1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3">
        <f t="shared" si="305"/>
        <v>2</v>
      </c>
      <c r="AH185" s="5"/>
      <c r="AI185" s="5"/>
    </row>
    <row r="186" spans="1:35" ht="12.75" customHeight="1" x14ac:dyDescent="0.3">
      <c r="A186" s="15"/>
      <c r="B186" s="34"/>
      <c r="C186" s="29" t="s">
        <v>140</v>
      </c>
      <c r="D186" s="36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3">
        <f t="shared" si="305"/>
        <v>0</v>
      </c>
      <c r="AH186" s="5"/>
      <c r="AI186" s="5"/>
    </row>
    <row r="187" spans="1:35" ht="12.75" customHeight="1" x14ac:dyDescent="0.3">
      <c r="A187" s="16" t="s">
        <v>15</v>
      </c>
      <c r="B187" s="60" t="s">
        <v>49</v>
      </c>
      <c r="C187" s="61"/>
      <c r="D187" s="59"/>
      <c r="E187" s="13">
        <f>SUM(E177:E186)</f>
        <v>1</v>
      </c>
      <c r="F187" s="13">
        <f t="shared" ref="F187" si="306">SUM(F177:F186)</f>
        <v>2</v>
      </c>
      <c r="G187" s="13">
        <f t="shared" ref="G187" si="307">SUM(G177:G186)</f>
        <v>0</v>
      </c>
      <c r="H187" s="13">
        <f t="shared" ref="H187" si="308">SUM(H177:H186)</f>
        <v>0</v>
      </c>
      <c r="I187" s="13">
        <f t="shared" ref="I187" si="309">SUM(I177:I186)</f>
        <v>4</v>
      </c>
      <c r="J187" s="13">
        <f t="shared" ref="J187" si="310">SUM(J177:J186)</f>
        <v>3</v>
      </c>
      <c r="K187" s="13">
        <f t="shared" ref="K187" si="311">SUM(K177:K186)</f>
        <v>0</v>
      </c>
      <c r="L187" s="13">
        <f t="shared" ref="L187" si="312">SUM(L177:L186)</f>
        <v>2</v>
      </c>
      <c r="M187" s="13">
        <f t="shared" ref="M187" si="313">SUM(M177:M186)</f>
        <v>2</v>
      </c>
      <c r="N187" s="13">
        <f t="shared" ref="N187" si="314">SUM(N177:N186)</f>
        <v>3</v>
      </c>
      <c r="O187" s="13">
        <f t="shared" ref="O187" si="315">SUM(O177:O186)</f>
        <v>2</v>
      </c>
      <c r="P187" s="13">
        <f t="shared" ref="P187" si="316">SUM(P177:P186)</f>
        <v>1</v>
      </c>
      <c r="Q187" s="13">
        <f t="shared" ref="Q187" si="317">SUM(Q177:Q186)</f>
        <v>5</v>
      </c>
      <c r="R187" s="13">
        <f t="shared" ref="R187" si="318">SUM(R177:R186)</f>
        <v>0</v>
      </c>
      <c r="S187" s="13">
        <f t="shared" ref="S187" si="319">SUM(S177:S186)</f>
        <v>0</v>
      </c>
      <c r="T187" s="13">
        <f t="shared" ref="T187" si="320">SUM(T177:T186)</f>
        <v>2</v>
      </c>
      <c r="U187" s="13">
        <f t="shared" ref="U187" si="321">SUM(U177:U186)</f>
        <v>2</v>
      </c>
      <c r="V187" s="13">
        <f t="shared" ref="V187" si="322">SUM(V177:V186)</f>
        <v>1</v>
      </c>
      <c r="W187" s="13">
        <f t="shared" ref="W187" si="323">SUM(W177:W186)</f>
        <v>0</v>
      </c>
      <c r="X187" s="13">
        <f t="shared" ref="X187" si="324">SUM(X177:X186)</f>
        <v>2</v>
      </c>
      <c r="Y187" s="13">
        <f t="shared" ref="Y187" si="325">SUM(Y177:Y186)</f>
        <v>1</v>
      </c>
      <c r="Z187" s="13">
        <f t="shared" ref="Z187" si="326">SUM(Z177:Z186)</f>
        <v>3</v>
      </c>
      <c r="AA187" s="13">
        <f t="shared" ref="AA187" si="327">SUM(AA177:AA186)</f>
        <v>3</v>
      </c>
      <c r="AB187" s="13">
        <f t="shared" ref="AB187" si="328">SUM(AB177:AB186)</f>
        <v>1</v>
      </c>
      <c r="AC187" s="13">
        <f t="shared" ref="AC187" si="329">SUM(AC177:AC186)</f>
        <v>0</v>
      </c>
      <c r="AD187" s="13">
        <f t="shared" ref="AD187" si="330">SUM(AD177:AD186)</f>
        <v>2</v>
      </c>
      <c r="AE187" s="13">
        <f t="shared" ref="AE187" si="331">SUM(AE177:AE186)</f>
        <v>0</v>
      </c>
      <c r="AF187" s="13">
        <f t="shared" ref="AF187" si="332">SUM(AF177:AF186)</f>
        <v>0</v>
      </c>
      <c r="AG187" s="13">
        <f t="shared" ref="AG187" si="333">SUM(AG177:AG186)</f>
        <v>42</v>
      </c>
      <c r="AH187" s="1"/>
      <c r="AI187" s="1"/>
    </row>
    <row r="188" spans="1:35" ht="12.75" customHeight="1" x14ac:dyDescent="0.3">
      <c r="A188" s="62"/>
      <c r="B188" s="61"/>
      <c r="C188" s="61"/>
      <c r="D188" s="61"/>
      <c r="E188" s="59"/>
      <c r="F188" s="54"/>
      <c r="G188" s="54"/>
      <c r="H188" s="54"/>
      <c r="I188" s="54"/>
      <c r="J188" s="54"/>
      <c r="K188" s="54"/>
      <c r="L188" s="54"/>
      <c r="M188" s="54"/>
      <c r="N188" s="54"/>
      <c r="AG188" s="13"/>
    </row>
    <row r="189" spans="1:35" ht="12.75" customHeight="1" x14ac:dyDescent="0.3">
      <c r="A189" s="20" t="s">
        <v>37</v>
      </c>
      <c r="B189" s="27" t="s">
        <v>141</v>
      </c>
      <c r="C189" s="58" t="s">
        <v>142</v>
      </c>
      <c r="D189" s="59"/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1</v>
      </c>
      <c r="P189" s="16">
        <v>0</v>
      </c>
      <c r="Q189" s="16">
        <v>0</v>
      </c>
      <c r="R189" s="16">
        <v>1</v>
      </c>
      <c r="S189" s="16">
        <v>1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3">
        <f t="shared" ref="AG189:AG198" si="334">SUM(E189:AF189)</f>
        <v>3</v>
      </c>
      <c r="AH189" s="5"/>
      <c r="AI189" s="5"/>
    </row>
    <row r="190" spans="1:35" ht="12.75" customHeight="1" x14ac:dyDescent="0.3">
      <c r="A190" s="20" t="s">
        <v>39</v>
      </c>
      <c r="B190" s="34"/>
      <c r="C190" s="29" t="s">
        <v>143</v>
      </c>
      <c r="D190" s="36"/>
      <c r="E190" s="16">
        <v>0</v>
      </c>
      <c r="F190" s="16">
        <v>1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1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1</v>
      </c>
      <c r="AD190" s="16">
        <v>0</v>
      </c>
      <c r="AE190" s="16">
        <v>0</v>
      </c>
      <c r="AF190" s="16">
        <v>1</v>
      </c>
      <c r="AG190" s="13">
        <f t="shared" si="334"/>
        <v>4</v>
      </c>
      <c r="AH190" s="5"/>
      <c r="AI190" s="5"/>
    </row>
    <row r="191" spans="1:35" ht="12.75" customHeight="1" x14ac:dyDescent="0.3">
      <c r="A191" s="15"/>
      <c r="B191" s="34"/>
      <c r="C191" s="29" t="s">
        <v>144</v>
      </c>
      <c r="D191" s="36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3">
        <f t="shared" si="334"/>
        <v>0</v>
      </c>
      <c r="AH191" s="5"/>
      <c r="AI191" s="5"/>
    </row>
    <row r="192" spans="1:35" ht="12.75" customHeight="1" x14ac:dyDescent="0.3">
      <c r="A192" s="15"/>
      <c r="B192" s="34"/>
      <c r="C192" s="29" t="s">
        <v>145</v>
      </c>
      <c r="D192" s="36"/>
      <c r="E192" s="16">
        <v>0</v>
      </c>
      <c r="F192" s="16">
        <v>0</v>
      </c>
      <c r="G192" s="16">
        <v>0</v>
      </c>
      <c r="H192" s="16">
        <v>1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3">
        <f t="shared" si="334"/>
        <v>1</v>
      </c>
      <c r="AH192" s="5"/>
      <c r="AI192" s="5"/>
    </row>
    <row r="193" spans="1:35" ht="12.75" customHeight="1" x14ac:dyDescent="0.3">
      <c r="A193" s="15"/>
      <c r="B193" s="34"/>
      <c r="C193" s="29" t="s">
        <v>146</v>
      </c>
      <c r="D193" s="36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1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3">
        <f t="shared" si="334"/>
        <v>1</v>
      </c>
      <c r="AH193" s="5"/>
      <c r="AI193" s="5"/>
    </row>
    <row r="194" spans="1:35" ht="12.75" customHeight="1" x14ac:dyDescent="0.3">
      <c r="A194" s="15"/>
      <c r="B194" s="34"/>
      <c r="C194" s="29" t="s">
        <v>147</v>
      </c>
      <c r="D194" s="36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1</v>
      </c>
      <c r="W194" s="16">
        <v>0</v>
      </c>
      <c r="X194" s="16">
        <v>1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3">
        <f t="shared" si="334"/>
        <v>2</v>
      </c>
      <c r="AH194" s="5"/>
      <c r="AI194" s="5"/>
    </row>
    <row r="195" spans="1:35" ht="12.75" customHeight="1" x14ac:dyDescent="0.3">
      <c r="A195" s="15"/>
      <c r="B195" s="34"/>
      <c r="C195" s="29" t="s">
        <v>148</v>
      </c>
      <c r="D195" s="36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1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3">
        <f t="shared" si="334"/>
        <v>1</v>
      </c>
      <c r="AH195" s="5"/>
      <c r="AI195" s="5"/>
    </row>
    <row r="196" spans="1:35" ht="12.75" customHeight="1" x14ac:dyDescent="0.3">
      <c r="A196" s="15"/>
      <c r="B196" s="34"/>
      <c r="C196" s="29" t="s">
        <v>149</v>
      </c>
      <c r="D196" s="36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3">
        <f t="shared" si="334"/>
        <v>0</v>
      </c>
      <c r="AH196" s="1"/>
      <c r="AI196" s="1"/>
    </row>
    <row r="197" spans="1:35" ht="12.75" customHeight="1" x14ac:dyDescent="0.3">
      <c r="A197" s="15"/>
      <c r="B197" s="34"/>
      <c r="C197" s="29" t="s">
        <v>150</v>
      </c>
      <c r="D197" s="36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3">
        <f t="shared" si="334"/>
        <v>0</v>
      </c>
      <c r="AH197" s="1"/>
      <c r="AI197" s="1"/>
    </row>
    <row r="198" spans="1:35" ht="12.75" customHeight="1" x14ac:dyDescent="0.3">
      <c r="A198" s="15"/>
      <c r="B198" s="34"/>
      <c r="C198" s="29" t="s">
        <v>151</v>
      </c>
      <c r="D198" s="36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1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3">
        <f t="shared" si="334"/>
        <v>1</v>
      </c>
      <c r="AH198" s="1"/>
      <c r="AI198" s="1"/>
    </row>
    <row r="199" spans="1:35" ht="12.75" customHeight="1" x14ac:dyDescent="0.3">
      <c r="A199" s="16" t="s">
        <v>15</v>
      </c>
      <c r="B199" s="60" t="s">
        <v>49</v>
      </c>
      <c r="C199" s="61"/>
      <c r="D199" s="59"/>
      <c r="E199" s="13">
        <f>SUM(E189:E198)</f>
        <v>0</v>
      </c>
      <c r="F199" s="13">
        <f t="shared" ref="F199" si="335">SUM(F189:F198)</f>
        <v>1</v>
      </c>
      <c r="G199" s="13">
        <f t="shared" ref="G199" si="336">SUM(G189:G198)</f>
        <v>0</v>
      </c>
      <c r="H199" s="13">
        <f t="shared" ref="H199" si="337">SUM(H189:H198)</f>
        <v>1</v>
      </c>
      <c r="I199" s="13">
        <f t="shared" ref="I199" si="338">SUM(I189:I198)</f>
        <v>0</v>
      </c>
      <c r="J199" s="13">
        <f t="shared" ref="J199" si="339">SUM(J189:J198)</f>
        <v>0</v>
      </c>
      <c r="K199" s="13">
        <f t="shared" ref="K199" si="340">SUM(K189:K198)</f>
        <v>0</v>
      </c>
      <c r="L199" s="13">
        <f t="shared" ref="L199" si="341">SUM(L189:L198)</f>
        <v>1</v>
      </c>
      <c r="M199" s="13">
        <f t="shared" ref="M199" si="342">SUM(M189:M198)</f>
        <v>0</v>
      </c>
      <c r="N199" s="13">
        <f t="shared" ref="N199" si="343">SUM(N189:N198)</f>
        <v>1</v>
      </c>
      <c r="O199" s="13">
        <f t="shared" ref="O199" si="344">SUM(O189:O198)</f>
        <v>1</v>
      </c>
      <c r="P199" s="13">
        <f t="shared" ref="P199" si="345">SUM(P189:P198)</f>
        <v>0</v>
      </c>
      <c r="Q199" s="13">
        <f t="shared" ref="Q199" si="346">SUM(Q189:Q198)</f>
        <v>0</v>
      </c>
      <c r="R199" s="13">
        <f t="shared" ref="R199" si="347">SUM(R189:R198)</f>
        <v>1</v>
      </c>
      <c r="S199" s="13">
        <f t="shared" ref="S199" si="348">SUM(S189:S198)</f>
        <v>1</v>
      </c>
      <c r="T199" s="13">
        <f t="shared" ref="T199" si="349">SUM(T189:T198)</f>
        <v>0</v>
      </c>
      <c r="U199" s="13">
        <f t="shared" ref="U199" si="350">SUM(U189:U198)</f>
        <v>2</v>
      </c>
      <c r="V199" s="13">
        <f t="shared" ref="V199" si="351">SUM(V189:V198)</f>
        <v>1</v>
      </c>
      <c r="W199" s="13">
        <f t="shared" ref="W199" si="352">SUM(W189:W198)</f>
        <v>0</v>
      </c>
      <c r="X199" s="13">
        <f t="shared" ref="X199" si="353">SUM(X189:X198)</f>
        <v>1</v>
      </c>
      <c r="Y199" s="13">
        <f t="shared" ref="Y199" si="354">SUM(Y189:Y198)</f>
        <v>0</v>
      </c>
      <c r="Z199" s="13">
        <f t="shared" ref="Z199" si="355">SUM(Z189:Z198)</f>
        <v>0</v>
      </c>
      <c r="AA199" s="13">
        <f t="shared" ref="AA199" si="356">SUM(AA189:AA198)</f>
        <v>0</v>
      </c>
      <c r="AB199" s="13">
        <f t="shared" ref="AB199" si="357">SUM(AB189:AB198)</f>
        <v>0</v>
      </c>
      <c r="AC199" s="13">
        <f t="shared" ref="AC199" si="358">SUM(AC189:AC198)</f>
        <v>1</v>
      </c>
      <c r="AD199" s="13">
        <f t="shared" ref="AD199" si="359">SUM(AD189:AD198)</f>
        <v>0</v>
      </c>
      <c r="AE199" s="13">
        <f t="shared" ref="AE199" si="360">SUM(AE189:AE198)</f>
        <v>0</v>
      </c>
      <c r="AF199" s="13">
        <f t="shared" ref="AF199" si="361">SUM(AF189:AF198)</f>
        <v>1</v>
      </c>
      <c r="AG199" s="13">
        <f t="shared" ref="AG199" si="362">SUM(AG189:AG198)</f>
        <v>13</v>
      </c>
      <c r="AH199" s="31"/>
      <c r="AI199" s="31"/>
    </row>
    <row r="200" spans="1:35" ht="12.75" customHeight="1" x14ac:dyDescent="0.3">
      <c r="A200" s="62"/>
      <c r="B200" s="61"/>
      <c r="C200" s="61"/>
      <c r="D200" s="61"/>
      <c r="E200" s="59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"/>
      <c r="AI200" s="5"/>
    </row>
    <row r="201" spans="1:35" ht="12.75" customHeight="1" x14ac:dyDescent="0.3">
      <c r="A201" s="20" t="s">
        <v>37</v>
      </c>
      <c r="B201" s="27" t="s">
        <v>152</v>
      </c>
      <c r="C201" s="58" t="s">
        <v>153</v>
      </c>
      <c r="D201" s="59"/>
      <c r="E201" s="16">
        <v>8</v>
      </c>
      <c r="F201" s="16">
        <v>3</v>
      </c>
      <c r="G201" s="16">
        <v>3</v>
      </c>
      <c r="H201" s="16">
        <v>5</v>
      </c>
      <c r="I201" s="16">
        <v>3</v>
      </c>
      <c r="J201" s="16">
        <v>4</v>
      </c>
      <c r="K201" s="16">
        <v>4</v>
      </c>
      <c r="L201" s="16">
        <v>3</v>
      </c>
      <c r="M201" s="16">
        <v>3</v>
      </c>
      <c r="N201" s="16">
        <v>7</v>
      </c>
      <c r="O201" s="16">
        <v>4</v>
      </c>
      <c r="P201" s="16">
        <v>3</v>
      </c>
      <c r="Q201" s="16">
        <v>5</v>
      </c>
      <c r="R201" s="16">
        <v>9</v>
      </c>
      <c r="S201" s="16">
        <v>4</v>
      </c>
      <c r="T201" s="16">
        <v>4</v>
      </c>
      <c r="U201" s="16">
        <v>1</v>
      </c>
      <c r="V201" s="16">
        <v>2</v>
      </c>
      <c r="W201" s="16">
        <v>3</v>
      </c>
      <c r="X201" s="16">
        <v>2</v>
      </c>
      <c r="Y201" s="16">
        <v>4</v>
      </c>
      <c r="Z201" s="16">
        <v>5</v>
      </c>
      <c r="AA201" s="16">
        <v>3</v>
      </c>
      <c r="AB201" s="16">
        <v>1</v>
      </c>
      <c r="AC201" s="16">
        <v>2</v>
      </c>
      <c r="AD201" s="16">
        <v>2</v>
      </c>
      <c r="AE201" s="16">
        <v>1</v>
      </c>
      <c r="AF201" s="16">
        <v>5</v>
      </c>
      <c r="AG201" s="13">
        <f t="shared" ref="AG201:AG210" si="363">SUM(E201:AF201)</f>
        <v>103</v>
      </c>
      <c r="AH201" s="5"/>
      <c r="AI201" s="5"/>
    </row>
    <row r="202" spans="1:35" ht="12.75" customHeight="1" x14ac:dyDescent="0.3">
      <c r="A202" s="20" t="s">
        <v>39</v>
      </c>
      <c r="B202" s="34"/>
      <c r="C202" s="29" t="s">
        <v>154</v>
      </c>
      <c r="D202" s="36"/>
      <c r="E202" s="16">
        <v>98</v>
      </c>
      <c r="F202" s="16">
        <v>107</v>
      </c>
      <c r="G202" s="16">
        <v>64</v>
      </c>
      <c r="H202" s="16">
        <v>43</v>
      </c>
      <c r="I202" s="16">
        <v>22</v>
      </c>
      <c r="J202" s="16">
        <v>27</v>
      </c>
      <c r="K202" s="16">
        <v>2</v>
      </c>
      <c r="L202" s="16">
        <v>31</v>
      </c>
      <c r="M202" s="16">
        <v>2</v>
      </c>
      <c r="N202" s="16">
        <v>5</v>
      </c>
      <c r="O202" s="16">
        <v>6</v>
      </c>
      <c r="P202" s="16">
        <v>6</v>
      </c>
      <c r="Q202" s="16">
        <v>21</v>
      </c>
      <c r="R202" s="16">
        <v>11</v>
      </c>
      <c r="S202" s="16">
        <v>11</v>
      </c>
      <c r="T202" s="16">
        <v>8</v>
      </c>
      <c r="U202" s="16">
        <v>10</v>
      </c>
      <c r="V202" s="16">
        <v>14</v>
      </c>
      <c r="W202" s="16">
        <v>9</v>
      </c>
      <c r="X202" s="16">
        <v>2</v>
      </c>
      <c r="Y202" s="16">
        <v>7</v>
      </c>
      <c r="Z202" s="16">
        <v>8</v>
      </c>
      <c r="AA202" s="16">
        <v>8</v>
      </c>
      <c r="AB202" s="16">
        <v>7</v>
      </c>
      <c r="AC202" s="16">
        <v>3</v>
      </c>
      <c r="AD202" s="16">
        <v>3</v>
      </c>
      <c r="AE202" s="16">
        <v>6</v>
      </c>
      <c r="AF202" s="16">
        <v>5</v>
      </c>
      <c r="AG202" s="13">
        <f t="shared" si="363"/>
        <v>546</v>
      </c>
      <c r="AH202" s="5"/>
      <c r="AI202" s="5"/>
    </row>
    <row r="203" spans="1:35" ht="12.75" customHeight="1" x14ac:dyDescent="0.3">
      <c r="A203" s="15"/>
      <c r="B203" s="34"/>
      <c r="C203" s="29" t="s">
        <v>155</v>
      </c>
      <c r="D203" s="36"/>
      <c r="E203" s="16">
        <v>1</v>
      </c>
      <c r="F203" s="16">
        <v>1</v>
      </c>
      <c r="G203" s="16">
        <v>0</v>
      </c>
      <c r="H203" s="16">
        <v>3</v>
      </c>
      <c r="I203" s="16">
        <v>0</v>
      </c>
      <c r="J203" s="16">
        <v>0</v>
      </c>
      <c r="K203" s="16">
        <v>0</v>
      </c>
      <c r="L203" s="16">
        <v>2</v>
      </c>
      <c r="M203" s="16">
        <v>4</v>
      </c>
      <c r="N203" s="16">
        <v>2</v>
      </c>
      <c r="O203" s="16">
        <v>0</v>
      </c>
      <c r="P203" s="16">
        <v>1</v>
      </c>
      <c r="Q203" s="16">
        <v>3</v>
      </c>
      <c r="R203" s="16">
        <v>3</v>
      </c>
      <c r="S203" s="16">
        <v>1</v>
      </c>
      <c r="T203" s="16">
        <v>1</v>
      </c>
      <c r="U203" s="16">
        <v>0</v>
      </c>
      <c r="V203" s="16">
        <v>2</v>
      </c>
      <c r="W203" s="16">
        <v>1</v>
      </c>
      <c r="X203" s="16">
        <v>0</v>
      </c>
      <c r="Y203" s="16">
        <v>1</v>
      </c>
      <c r="Z203" s="16">
        <v>2</v>
      </c>
      <c r="AA203" s="16">
        <v>0</v>
      </c>
      <c r="AB203" s="16">
        <v>1</v>
      </c>
      <c r="AC203" s="16">
        <v>0</v>
      </c>
      <c r="AD203" s="16">
        <v>0</v>
      </c>
      <c r="AE203" s="16">
        <v>0</v>
      </c>
      <c r="AF203" s="16">
        <v>1</v>
      </c>
      <c r="AG203" s="13">
        <f t="shared" si="363"/>
        <v>30</v>
      </c>
      <c r="AH203" s="5"/>
      <c r="AI203" s="5"/>
    </row>
    <row r="204" spans="1:35" ht="12.75" customHeight="1" x14ac:dyDescent="0.3">
      <c r="A204" s="15"/>
      <c r="B204" s="34"/>
      <c r="C204" s="29" t="s">
        <v>156</v>
      </c>
      <c r="D204" s="36"/>
      <c r="E204" s="16">
        <v>0</v>
      </c>
      <c r="F204" s="16">
        <v>0</v>
      </c>
      <c r="G204" s="16">
        <v>3</v>
      </c>
      <c r="H204" s="16">
        <v>1</v>
      </c>
      <c r="I204" s="16">
        <v>0</v>
      </c>
      <c r="J204" s="16">
        <v>1</v>
      </c>
      <c r="K204" s="16">
        <v>0</v>
      </c>
      <c r="L204" s="16">
        <v>2</v>
      </c>
      <c r="M204" s="16">
        <v>1</v>
      </c>
      <c r="N204" s="16">
        <v>1</v>
      </c>
      <c r="O204" s="16">
        <v>0</v>
      </c>
      <c r="P204" s="16">
        <v>0</v>
      </c>
      <c r="Q204" s="16">
        <v>0</v>
      </c>
      <c r="R204" s="16">
        <v>2</v>
      </c>
      <c r="S204" s="16">
        <v>1</v>
      </c>
      <c r="T204" s="16">
        <v>0</v>
      </c>
      <c r="U204" s="16">
        <v>0</v>
      </c>
      <c r="V204" s="16">
        <v>0</v>
      </c>
      <c r="W204" s="16">
        <v>1</v>
      </c>
      <c r="X204" s="16">
        <v>1</v>
      </c>
      <c r="Y204" s="16">
        <v>0</v>
      </c>
      <c r="Z204" s="16">
        <v>1</v>
      </c>
      <c r="AA204" s="16">
        <v>0</v>
      </c>
      <c r="AB204" s="16">
        <v>1</v>
      </c>
      <c r="AC204" s="16">
        <v>0</v>
      </c>
      <c r="AD204" s="16">
        <v>0</v>
      </c>
      <c r="AE204" s="16">
        <v>0</v>
      </c>
      <c r="AF204" s="16">
        <v>1</v>
      </c>
      <c r="AG204" s="13">
        <f t="shared" si="363"/>
        <v>17</v>
      </c>
      <c r="AH204" s="5"/>
      <c r="AI204" s="5"/>
    </row>
    <row r="205" spans="1:35" ht="12.75" customHeight="1" x14ac:dyDescent="0.3">
      <c r="A205" s="15"/>
      <c r="B205" s="34"/>
      <c r="C205" s="29" t="s">
        <v>157</v>
      </c>
      <c r="D205" s="36"/>
      <c r="E205" s="16">
        <v>0</v>
      </c>
      <c r="F205" s="16">
        <v>0</v>
      </c>
      <c r="G205" s="16">
        <v>0</v>
      </c>
      <c r="H205" s="16">
        <v>2</v>
      </c>
      <c r="I205" s="16">
        <v>1</v>
      </c>
      <c r="J205" s="16">
        <v>0</v>
      </c>
      <c r="K205" s="16">
        <v>1</v>
      </c>
      <c r="L205" s="16">
        <v>0</v>
      </c>
      <c r="M205" s="16">
        <v>0</v>
      </c>
      <c r="N205" s="16">
        <v>1</v>
      </c>
      <c r="O205" s="16">
        <v>2</v>
      </c>
      <c r="P205" s="16">
        <v>0</v>
      </c>
      <c r="Q205" s="16">
        <v>1</v>
      </c>
      <c r="R205" s="16">
        <v>4</v>
      </c>
      <c r="S205" s="16">
        <v>1</v>
      </c>
      <c r="T205" s="16">
        <v>3</v>
      </c>
      <c r="U205" s="16">
        <v>1</v>
      </c>
      <c r="V205" s="16">
        <v>3</v>
      </c>
      <c r="W205" s="16">
        <v>0</v>
      </c>
      <c r="X205" s="16">
        <v>1</v>
      </c>
      <c r="Y205" s="16">
        <v>2</v>
      </c>
      <c r="Z205" s="16">
        <v>0</v>
      </c>
      <c r="AA205" s="16">
        <v>0</v>
      </c>
      <c r="AB205" s="16">
        <v>0</v>
      </c>
      <c r="AC205" s="16">
        <v>0</v>
      </c>
      <c r="AD205" s="16">
        <v>1</v>
      </c>
      <c r="AE205" s="16">
        <v>0</v>
      </c>
      <c r="AF205" s="16">
        <v>0</v>
      </c>
      <c r="AG205" s="13">
        <f t="shared" si="363"/>
        <v>24</v>
      </c>
      <c r="AH205" s="5"/>
      <c r="AI205" s="5"/>
    </row>
    <row r="206" spans="1:35" ht="12.75" customHeight="1" x14ac:dyDescent="0.3">
      <c r="A206" s="15"/>
      <c r="B206" s="34"/>
      <c r="C206" s="29" t="s">
        <v>158</v>
      </c>
      <c r="D206" s="36"/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1</v>
      </c>
      <c r="K206" s="16">
        <v>0</v>
      </c>
      <c r="L206" s="16">
        <v>1</v>
      </c>
      <c r="M206" s="16">
        <v>0</v>
      </c>
      <c r="N206" s="16">
        <v>1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1</v>
      </c>
      <c r="X206" s="16">
        <v>0</v>
      </c>
      <c r="Y206" s="16">
        <v>0</v>
      </c>
      <c r="Z206" s="16">
        <v>2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3">
        <f t="shared" si="363"/>
        <v>6</v>
      </c>
      <c r="AH206" s="5"/>
      <c r="AI206" s="5"/>
    </row>
    <row r="207" spans="1:35" ht="12.75" customHeight="1" x14ac:dyDescent="0.3">
      <c r="A207" s="15"/>
      <c r="B207" s="34"/>
      <c r="C207" s="29" t="s">
        <v>159</v>
      </c>
      <c r="D207" s="36"/>
      <c r="E207" s="16">
        <v>1</v>
      </c>
      <c r="F207" s="16">
        <v>0</v>
      </c>
      <c r="G207" s="16">
        <v>0</v>
      </c>
      <c r="H207" s="16">
        <v>2</v>
      </c>
      <c r="I207" s="16">
        <v>3</v>
      </c>
      <c r="J207" s="16">
        <v>0</v>
      </c>
      <c r="K207" s="16">
        <v>1</v>
      </c>
      <c r="L207" s="16">
        <v>0</v>
      </c>
      <c r="M207" s="16">
        <v>0</v>
      </c>
      <c r="N207" s="16">
        <v>0</v>
      </c>
      <c r="O207" s="16">
        <v>1</v>
      </c>
      <c r="P207" s="16">
        <v>0</v>
      </c>
      <c r="Q207" s="16">
        <v>0</v>
      </c>
      <c r="R207" s="16">
        <v>2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1</v>
      </c>
      <c r="Y207" s="16">
        <v>0</v>
      </c>
      <c r="Z207" s="16">
        <v>1</v>
      </c>
      <c r="AA207" s="16">
        <v>0</v>
      </c>
      <c r="AB207" s="16">
        <v>1</v>
      </c>
      <c r="AC207" s="16">
        <v>0</v>
      </c>
      <c r="AD207" s="16">
        <v>1</v>
      </c>
      <c r="AE207" s="16">
        <v>0</v>
      </c>
      <c r="AF207" s="16">
        <v>0</v>
      </c>
      <c r="AG207" s="13">
        <f t="shared" si="363"/>
        <v>14</v>
      </c>
      <c r="AH207" s="1"/>
      <c r="AI207" s="1"/>
    </row>
    <row r="208" spans="1:35" ht="12.75" customHeight="1" x14ac:dyDescent="0.3">
      <c r="A208" s="15"/>
      <c r="B208" s="34"/>
      <c r="C208" s="29" t="s">
        <v>160</v>
      </c>
      <c r="D208" s="36"/>
      <c r="E208" s="16">
        <v>1</v>
      </c>
      <c r="F208" s="16">
        <v>0</v>
      </c>
      <c r="G208" s="16">
        <v>0</v>
      </c>
      <c r="H208" s="16">
        <v>0</v>
      </c>
      <c r="I208" s="16">
        <v>0</v>
      </c>
      <c r="J208" s="16">
        <v>2</v>
      </c>
      <c r="K208" s="16">
        <v>0</v>
      </c>
      <c r="L208" s="16">
        <v>1</v>
      </c>
      <c r="M208" s="16">
        <v>0</v>
      </c>
      <c r="N208" s="16">
        <v>1</v>
      </c>
      <c r="O208" s="16">
        <v>1</v>
      </c>
      <c r="P208" s="16">
        <v>0</v>
      </c>
      <c r="Q208" s="16">
        <v>1</v>
      </c>
      <c r="R208" s="16">
        <v>0</v>
      </c>
      <c r="S208" s="16">
        <v>2</v>
      </c>
      <c r="T208" s="16">
        <v>1</v>
      </c>
      <c r="U208" s="16">
        <v>1</v>
      </c>
      <c r="V208" s="16">
        <v>0</v>
      </c>
      <c r="W208" s="16">
        <v>2</v>
      </c>
      <c r="X208" s="16">
        <v>1</v>
      </c>
      <c r="Y208" s="16">
        <v>1</v>
      </c>
      <c r="Z208" s="16">
        <v>8</v>
      </c>
      <c r="AA208" s="16">
        <v>2</v>
      </c>
      <c r="AB208" s="16">
        <v>3</v>
      </c>
      <c r="AC208" s="16">
        <v>0</v>
      </c>
      <c r="AD208" s="16">
        <v>1</v>
      </c>
      <c r="AE208" s="16">
        <v>1</v>
      </c>
      <c r="AF208" s="16">
        <v>1</v>
      </c>
      <c r="AG208" s="13">
        <f t="shared" si="363"/>
        <v>31</v>
      </c>
      <c r="AH208" s="31"/>
      <c r="AI208" s="31"/>
    </row>
    <row r="209" spans="1:35" ht="12.75" customHeight="1" x14ac:dyDescent="0.3">
      <c r="A209" s="15"/>
      <c r="B209" s="34"/>
      <c r="C209" s="29" t="s">
        <v>161</v>
      </c>
      <c r="D209" s="36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1</v>
      </c>
      <c r="N209" s="16">
        <v>0</v>
      </c>
      <c r="O209" s="16">
        <v>0</v>
      </c>
      <c r="P209" s="16">
        <v>0</v>
      </c>
      <c r="Q209" s="16">
        <v>0</v>
      </c>
      <c r="R209" s="16">
        <v>1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3">
        <f t="shared" si="363"/>
        <v>2</v>
      </c>
      <c r="AH209" s="31"/>
      <c r="AI209" s="31"/>
    </row>
    <row r="210" spans="1:35" ht="12.75" customHeight="1" x14ac:dyDescent="0.3">
      <c r="A210" s="15"/>
      <c r="B210" s="34"/>
      <c r="C210" s="29" t="s">
        <v>162</v>
      </c>
      <c r="D210" s="36"/>
      <c r="E210" s="16">
        <v>1</v>
      </c>
      <c r="F210" s="16">
        <v>0</v>
      </c>
      <c r="G210" s="16">
        <v>1</v>
      </c>
      <c r="H210" s="16">
        <v>1</v>
      </c>
      <c r="I210" s="16">
        <v>5</v>
      </c>
      <c r="J210" s="16">
        <v>3</v>
      </c>
      <c r="K210" s="16">
        <v>1</v>
      </c>
      <c r="L210" s="16">
        <v>1</v>
      </c>
      <c r="M210" s="16">
        <v>1</v>
      </c>
      <c r="N210" s="16">
        <v>2</v>
      </c>
      <c r="O210" s="16">
        <v>1</v>
      </c>
      <c r="P210" s="16">
        <v>1</v>
      </c>
      <c r="Q210" s="16">
        <v>1</v>
      </c>
      <c r="R210" s="16">
        <v>0</v>
      </c>
      <c r="S210" s="16">
        <v>2</v>
      </c>
      <c r="T210" s="16">
        <v>2</v>
      </c>
      <c r="U210" s="16">
        <v>1</v>
      </c>
      <c r="V210" s="16">
        <v>1</v>
      </c>
      <c r="W210" s="16">
        <v>0</v>
      </c>
      <c r="X210" s="16">
        <v>2</v>
      </c>
      <c r="Y210" s="16">
        <v>3</v>
      </c>
      <c r="Z210" s="16">
        <v>3</v>
      </c>
      <c r="AA210" s="16">
        <v>1</v>
      </c>
      <c r="AB210" s="16">
        <v>3</v>
      </c>
      <c r="AC210" s="16">
        <v>0</v>
      </c>
      <c r="AD210" s="16">
        <v>1</v>
      </c>
      <c r="AE210" s="16">
        <v>0</v>
      </c>
      <c r="AF210" s="16">
        <v>1</v>
      </c>
      <c r="AG210" s="13">
        <f t="shared" si="363"/>
        <v>39</v>
      </c>
      <c r="AH210" s="31"/>
      <c r="AI210" s="31"/>
    </row>
    <row r="211" spans="1:35" ht="12.75" customHeight="1" x14ac:dyDescent="0.3">
      <c r="A211" s="16" t="s">
        <v>15</v>
      </c>
      <c r="B211" s="60" t="s">
        <v>49</v>
      </c>
      <c r="C211" s="61"/>
      <c r="D211" s="59"/>
      <c r="E211" s="13">
        <f>SUM(E201:E210)</f>
        <v>110</v>
      </c>
      <c r="F211" s="13">
        <f t="shared" ref="F211" si="364">SUM(F201:F210)</f>
        <v>111</v>
      </c>
      <c r="G211" s="13">
        <f t="shared" ref="G211" si="365">SUM(G201:G210)</f>
        <v>71</v>
      </c>
      <c r="H211" s="13">
        <f t="shared" ref="H211" si="366">SUM(H201:H210)</f>
        <v>57</v>
      </c>
      <c r="I211" s="13">
        <f t="shared" ref="I211" si="367">SUM(I201:I210)</f>
        <v>34</v>
      </c>
      <c r="J211" s="13">
        <f t="shared" ref="J211" si="368">SUM(J201:J210)</f>
        <v>38</v>
      </c>
      <c r="K211" s="13">
        <f t="shared" ref="K211" si="369">SUM(K201:K210)</f>
        <v>9</v>
      </c>
      <c r="L211" s="13">
        <f t="shared" ref="L211" si="370">SUM(L201:L210)</f>
        <v>41</v>
      </c>
      <c r="M211" s="13">
        <f t="shared" ref="M211" si="371">SUM(M201:M210)</f>
        <v>12</v>
      </c>
      <c r="N211" s="13">
        <f t="shared" ref="N211" si="372">SUM(N201:N210)</f>
        <v>20</v>
      </c>
      <c r="O211" s="13">
        <f t="shared" ref="O211" si="373">SUM(O201:O210)</f>
        <v>15</v>
      </c>
      <c r="P211" s="13">
        <f t="shared" ref="P211" si="374">SUM(P201:P210)</f>
        <v>11</v>
      </c>
      <c r="Q211" s="13">
        <f t="shared" ref="Q211" si="375">SUM(Q201:Q210)</f>
        <v>32</v>
      </c>
      <c r="R211" s="13">
        <f t="shared" ref="R211" si="376">SUM(R201:R210)</f>
        <v>32</v>
      </c>
      <c r="S211" s="13">
        <f t="shared" ref="S211" si="377">SUM(S201:S210)</f>
        <v>22</v>
      </c>
      <c r="T211" s="13">
        <f t="shared" ref="T211" si="378">SUM(T201:T210)</f>
        <v>19</v>
      </c>
      <c r="U211" s="13">
        <f t="shared" ref="U211" si="379">SUM(U201:U210)</f>
        <v>14</v>
      </c>
      <c r="V211" s="13">
        <f t="shared" ref="V211" si="380">SUM(V201:V210)</f>
        <v>22</v>
      </c>
      <c r="W211" s="13">
        <f t="shared" ref="W211" si="381">SUM(W201:W210)</f>
        <v>17</v>
      </c>
      <c r="X211" s="13">
        <f t="shared" ref="X211" si="382">SUM(X201:X210)</f>
        <v>10</v>
      </c>
      <c r="Y211" s="13">
        <f t="shared" ref="Y211" si="383">SUM(Y201:Y210)</f>
        <v>18</v>
      </c>
      <c r="Z211" s="13">
        <f t="shared" ref="Z211" si="384">SUM(Z201:Z210)</f>
        <v>30</v>
      </c>
      <c r="AA211" s="13">
        <f t="shared" ref="AA211" si="385">SUM(AA201:AA210)</f>
        <v>14</v>
      </c>
      <c r="AB211" s="13">
        <f t="shared" ref="AB211" si="386">SUM(AB201:AB210)</f>
        <v>17</v>
      </c>
      <c r="AC211" s="13">
        <f t="shared" ref="AC211" si="387">SUM(AC201:AC210)</f>
        <v>5</v>
      </c>
      <c r="AD211" s="13">
        <f t="shared" ref="AD211" si="388">SUM(AD201:AD210)</f>
        <v>9</v>
      </c>
      <c r="AE211" s="13">
        <f t="shared" ref="AE211" si="389">SUM(AE201:AE210)</f>
        <v>8</v>
      </c>
      <c r="AF211" s="13">
        <f t="shared" ref="AF211" si="390">SUM(AF201:AF210)</f>
        <v>14</v>
      </c>
      <c r="AG211" s="13">
        <f t="shared" ref="AG211" si="391">SUM(AG201:AG210)</f>
        <v>812</v>
      </c>
      <c r="AH211" s="5"/>
      <c r="AI211" s="5"/>
    </row>
    <row r="212" spans="1:35" ht="12.75" customHeight="1" x14ac:dyDescent="0.3">
      <c r="A212" s="62"/>
      <c r="B212" s="61"/>
      <c r="C212" s="61"/>
      <c r="D212" s="61"/>
      <c r="E212" s="59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"/>
      <c r="AI212" s="5"/>
    </row>
    <row r="213" spans="1:35" ht="12.75" customHeight="1" x14ac:dyDescent="0.3">
      <c r="A213" s="20" t="s">
        <v>37</v>
      </c>
      <c r="B213" s="27" t="s">
        <v>163</v>
      </c>
      <c r="C213" s="58" t="s">
        <v>164</v>
      </c>
      <c r="D213" s="59"/>
      <c r="E213" s="16">
        <v>0</v>
      </c>
      <c r="F213" s="16">
        <v>2</v>
      </c>
      <c r="G213" s="16">
        <v>1</v>
      </c>
      <c r="H213" s="16">
        <v>2</v>
      </c>
      <c r="I213" s="16">
        <v>1</v>
      </c>
      <c r="J213" s="16">
        <v>0</v>
      </c>
      <c r="K213" s="16">
        <v>1</v>
      </c>
      <c r="L213" s="16">
        <v>6</v>
      </c>
      <c r="M213" s="16">
        <v>1</v>
      </c>
      <c r="N213" s="16">
        <v>2</v>
      </c>
      <c r="O213" s="16">
        <v>2</v>
      </c>
      <c r="P213" s="16">
        <v>3</v>
      </c>
      <c r="Q213" s="16">
        <v>3</v>
      </c>
      <c r="R213" s="16">
        <v>4</v>
      </c>
      <c r="S213" s="16">
        <v>1</v>
      </c>
      <c r="T213" s="16">
        <v>2</v>
      </c>
      <c r="U213" s="16">
        <v>1</v>
      </c>
      <c r="V213" s="16">
        <v>3</v>
      </c>
      <c r="W213" s="16">
        <v>2</v>
      </c>
      <c r="X213" s="16">
        <v>2</v>
      </c>
      <c r="Y213" s="16">
        <v>1</v>
      </c>
      <c r="Z213" s="16">
        <v>1</v>
      </c>
      <c r="AA213" s="16">
        <v>1</v>
      </c>
      <c r="AB213" s="16">
        <v>1</v>
      </c>
      <c r="AC213" s="16">
        <v>3</v>
      </c>
      <c r="AD213" s="16">
        <v>2</v>
      </c>
      <c r="AE213" s="16">
        <v>1</v>
      </c>
      <c r="AF213" s="16">
        <v>1</v>
      </c>
      <c r="AG213" s="13">
        <f t="shared" ref="AG213:AG216" si="392">SUM(E213:AF213)</f>
        <v>50</v>
      </c>
      <c r="AH213" s="5"/>
      <c r="AI213" s="5"/>
    </row>
    <row r="214" spans="1:35" ht="12.75" customHeight="1" x14ac:dyDescent="0.3">
      <c r="A214" s="20" t="s">
        <v>39</v>
      </c>
      <c r="B214" s="34"/>
      <c r="C214" s="29" t="s">
        <v>165</v>
      </c>
      <c r="D214" s="35"/>
      <c r="E214" s="16">
        <v>0</v>
      </c>
      <c r="F214" s="16">
        <v>0</v>
      </c>
      <c r="G214" s="16">
        <v>0</v>
      </c>
      <c r="H214" s="16">
        <v>2</v>
      </c>
      <c r="I214" s="16">
        <v>1</v>
      </c>
      <c r="J214" s="16">
        <v>2</v>
      </c>
      <c r="K214" s="16">
        <v>0</v>
      </c>
      <c r="L214" s="16">
        <v>2</v>
      </c>
      <c r="M214" s="16">
        <v>0</v>
      </c>
      <c r="N214" s="16">
        <v>1</v>
      </c>
      <c r="O214" s="16">
        <v>1</v>
      </c>
      <c r="P214" s="16">
        <v>1</v>
      </c>
      <c r="Q214" s="16">
        <v>2</v>
      </c>
      <c r="R214" s="16">
        <v>2</v>
      </c>
      <c r="S214" s="16">
        <v>2</v>
      </c>
      <c r="T214" s="16">
        <v>0</v>
      </c>
      <c r="U214" s="16">
        <v>0</v>
      </c>
      <c r="V214" s="16">
        <v>0</v>
      </c>
      <c r="W214" s="16">
        <v>0</v>
      </c>
      <c r="X214" s="16">
        <v>2</v>
      </c>
      <c r="Y214" s="16">
        <v>1</v>
      </c>
      <c r="Z214" s="16">
        <v>0</v>
      </c>
      <c r="AA214" s="16">
        <v>2</v>
      </c>
      <c r="AB214" s="16">
        <v>1</v>
      </c>
      <c r="AC214" s="16">
        <v>1</v>
      </c>
      <c r="AD214" s="16">
        <v>0</v>
      </c>
      <c r="AE214" s="16">
        <v>1</v>
      </c>
      <c r="AF214" s="16">
        <v>0</v>
      </c>
      <c r="AG214" s="13">
        <f t="shared" si="392"/>
        <v>24</v>
      </c>
      <c r="AH214" s="5"/>
      <c r="AI214" s="5"/>
    </row>
    <row r="215" spans="1:35" ht="12.75" customHeight="1" x14ac:dyDescent="0.3">
      <c r="A215" s="15"/>
      <c r="B215" s="34"/>
      <c r="C215" s="29" t="s">
        <v>166</v>
      </c>
      <c r="D215" s="35"/>
      <c r="E215" s="16">
        <v>0</v>
      </c>
      <c r="F215" s="16">
        <v>1</v>
      </c>
      <c r="G215" s="16">
        <v>1</v>
      </c>
      <c r="H215" s="16">
        <v>0</v>
      </c>
      <c r="I215" s="16">
        <v>1</v>
      </c>
      <c r="J215" s="16">
        <v>0</v>
      </c>
      <c r="K215" s="16">
        <v>1</v>
      </c>
      <c r="L215" s="16">
        <v>2</v>
      </c>
      <c r="M215" s="16">
        <v>1</v>
      </c>
      <c r="N215" s="16">
        <v>0</v>
      </c>
      <c r="O215" s="16">
        <v>4</v>
      </c>
      <c r="P215" s="16">
        <v>1</v>
      </c>
      <c r="Q215" s="16">
        <v>2</v>
      </c>
      <c r="R215" s="16">
        <v>0</v>
      </c>
      <c r="S215" s="16">
        <v>2</v>
      </c>
      <c r="T215" s="16">
        <v>1</v>
      </c>
      <c r="U215" s="16">
        <v>1</v>
      </c>
      <c r="V215" s="16">
        <v>1</v>
      </c>
      <c r="W215" s="16">
        <v>1</v>
      </c>
      <c r="X215" s="16">
        <v>1</v>
      </c>
      <c r="Y215" s="16">
        <v>0</v>
      </c>
      <c r="Z215" s="16">
        <v>0</v>
      </c>
      <c r="AA215" s="16">
        <v>0</v>
      </c>
      <c r="AB215" s="16">
        <v>1</v>
      </c>
      <c r="AC215" s="16">
        <v>1</v>
      </c>
      <c r="AD215" s="16">
        <v>0</v>
      </c>
      <c r="AE215" s="16">
        <v>2</v>
      </c>
      <c r="AF215" s="16">
        <v>2</v>
      </c>
      <c r="AG215" s="13">
        <f t="shared" si="392"/>
        <v>27</v>
      </c>
      <c r="AH215" s="5"/>
      <c r="AI215" s="5"/>
    </row>
    <row r="216" spans="1:35" ht="12.75" customHeight="1" x14ac:dyDescent="0.3">
      <c r="A216" s="15"/>
      <c r="B216" s="34"/>
      <c r="C216" s="29" t="s">
        <v>167</v>
      </c>
      <c r="D216" s="45"/>
      <c r="E216" s="16">
        <v>1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2</v>
      </c>
      <c r="M216" s="16">
        <v>0</v>
      </c>
      <c r="N216" s="16">
        <v>0</v>
      </c>
      <c r="O216" s="16">
        <v>1</v>
      </c>
      <c r="P216" s="16">
        <v>1</v>
      </c>
      <c r="Q216" s="16">
        <v>1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1</v>
      </c>
      <c r="Y216" s="16">
        <v>2</v>
      </c>
      <c r="Z216" s="16">
        <v>0</v>
      </c>
      <c r="AA216" s="16">
        <v>0</v>
      </c>
      <c r="AB216" s="16">
        <v>0</v>
      </c>
      <c r="AC216" s="16">
        <v>2</v>
      </c>
      <c r="AD216" s="16">
        <v>0</v>
      </c>
      <c r="AE216" s="16">
        <v>0</v>
      </c>
      <c r="AF216" s="16">
        <v>1</v>
      </c>
      <c r="AG216" s="13">
        <f t="shared" si="392"/>
        <v>12</v>
      </c>
      <c r="AH216" s="5"/>
      <c r="AI216" s="5"/>
    </row>
    <row r="217" spans="1:35" ht="12.75" customHeight="1" x14ac:dyDescent="0.3">
      <c r="A217" s="15"/>
      <c r="B217" s="37"/>
      <c r="C217" s="38"/>
      <c r="D217" s="4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56"/>
      <c r="AH217" s="5"/>
      <c r="AI217" s="5"/>
    </row>
    <row r="218" spans="1:35" ht="12.75" customHeight="1" x14ac:dyDescent="0.3">
      <c r="A218" s="15"/>
      <c r="B218" s="37"/>
      <c r="C218" s="38"/>
      <c r="D218" s="4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56"/>
      <c r="AH218" s="1"/>
      <c r="AI218" s="1"/>
    </row>
    <row r="219" spans="1:35" ht="12.75" customHeight="1" x14ac:dyDescent="0.3">
      <c r="A219" s="15"/>
      <c r="B219" s="37"/>
      <c r="C219" s="38"/>
      <c r="D219" s="4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56"/>
      <c r="AH219" s="31"/>
      <c r="AI219" s="31"/>
    </row>
    <row r="220" spans="1:35" ht="12.75" customHeight="1" x14ac:dyDescent="0.3">
      <c r="A220" s="15"/>
      <c r="B220" s="37"/>
      <c r="C220" s="38"/>
      <c r="D220" s="4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56"/>
      <c r="AH220" s="5"/>
      <c r="AI220" s="5"/>
    </row>
    <row r="221" spans="1:35" ht="12.75" customHeight="1" x14ac:dyDescent="0.3">
      <c r="A221" s="15"/>
      <c r="B221" s="37"/>
      <c r="C221" s="38"/>
      <c r="D221" s="4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56"/>
      <c r="AH221" s="5"/>
      <c r="AI221" s="5"/>
    </row>
    <row r="222" spans="1:35" ht="12.75" customHeight="1" x14ac:dyDescent="0.3">
      <c r="A222" s="15"/>
      <c r="B222" s="37"/>
      <c r="C222" s="38"/>
      <c r="D222" s="4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56"/>
      <c r="AH222" s="5"/>
      <c r="AI222" s="5"/>
    </row>
    <row r="223" spans="1:35" ht="12.75" customHeight="1" x14ac:dyDescent="0.3">
      <c r="A223" s="16" t="s">
        <v>15</v>
      </c>
      <c r="B223" s="60" t="s">
        <v>49</v>
      </c>
      <c r="C223" s="61"/>
      <c r="D223" s="59"/>
      <c r="E223" s="13">
        <f>SUM(E213:E222)</f>
        <v>1</v>
      </c>
      <c r="F223" s="13">
        <f t="shared" ref="F223" si="393">SUM(F213:F222)</f>
        <v>3</v>
      </c>
      <c r="G223" s="13">
        <f t="shared" ref="G223" si="394">SUM(G213:G222)</f>
        <v>2</v>
      </c>
      <c r="H223" s="13">
        <f t="shared" ref="H223" si="395">SUM(H213:H222)</f>
        <v>4</v>
      </c>
      <c r="I223" s="13">
        <f t="shared" ref="I223" si="396">SUM(I213:I222)</f>
        <v>3</v>
      </c>
      <c r="J223" s="13">
        <f t="shared" ref="J223" si="397">SUM(J213:J222)</f>
        <v>2</v>
      </c>
      <c r="K223" s="13">
        <f t="shared" ref="K223" si="398">SUM(K213:K222)</f>
        <v>2</v>
      </c>
      <c r="L223" s="13">
        <f t="shared" ref="L223" si="399">SUM(L213:L222)</f>
        <v>12</v>
      </c>
      <c r="M223" s="13">
        <f t="shared" ref="M223" si="400">SUM(M213:M222)</f>
        <v>2</v>
      </c>
      <c r="N223" s="13">
        <f t="shared" ref="N223" si="401">SUM(N213:N222)</f>
        <v>3</v>
      </c>
      <c r="O223" s="13">
        <f t="shared" ref="O223" si="402">SUM(O213:O222)</f>
        <v>8</v>
      </c>
      <c r="P223" s="13">
        <f t="shared" ref="P223" si="403">SUM(P213:P222)</f>
        <v>6</v>
      </c>
      <c r="Q223" s="13">
        <f t="shared" ref="Q223" si="404">SUM(Q213:Q222)</f>
        <v>8</v>
      </c>
      <c r="R223" s="13">
        <f t="shared" ref="R223" si="405">SUM(R213:R222)</f>
        <v>6</v>
      </c>
      <c r="S223" s="13">
        <f t="shared" ref="S223" si="406">SUM(S213:S222)</f>
        <v>5</v>
      </c>
      <c r="T223" s="13">
        <f t="shared" ref="T223" si="407">SUM(T213:T222)</f>
        <v>3</v>
      </c>
      <c r="U223" s="13">
        <f t="shared" ref="U223" si="408">SUM(U213:U222)</f>
        <v>2</v>
      </c>
      <c r="V223" s="13">
        <f t="shared" ref="V223" si="409">SUM(V213:V222)</f>
        <v>4</v>
      </c>
      <c r="W223" s="13">
        <f t="shared" ref="W223" si="410">SUM(W213:W222)</f>
        <v>3</v>
      </c>
      <c r="X223" s="13">
        <f t="shared" ref="X223" si="411">SUM(X213:X222)</f>
        <v>6</v>
      </c>
      <c r="Y223" s="13">
        <f t="shared" ref="Y223" si="412">SUM(Y213:Y222)</f>
        <v>4</v>
      </c>
      <c r="Z223" s="13">
        <f t="shared" ref="Z223" si="413">SUM(Z213:Z222)</f>
        <v>1</v>
      </c>
      <c r="AA223" s="13">
        <f t="shared" ref="AA223" si="414">SUM(AA213:AA222)</f>
        <v>3</v>
      </c>
      <c r="AB223" s="13">
        <f t="shared" ref="AB223" si="415">SUM(AB213:AB222)</f>
        <v>3</v>
      </c>
      <c r="AC223" s="13">
        <f t="shared" ref="AC223" si="416">SUM(AC213:AC222)</f>
        <v>7</v>
      </c>
      <c r="AD223" s="13">
        <f t="shared" ref="AD223" si="417">SUM(AD213:AD222)</f>
        <v>2</v>
      </c>
      <c r="AE223" s="13">
        <f t="shared" ref="AE223" si="418">SUM(AE213:AE222)</f>
        <v>4</v>
      </c>
      <c r="AF223" s="13">
        <f t="shared" ref="AF223" si="419">SUM(AF213:AF222)</f>
        <v>4</v>
      </c>
      <c r="AG223" s="13">
        <f t="shared" ref="AG223" si="420">SUM(AG213:AG222)</f>
        <v>113</v>
      </c>
      <c r="AH223" s="5"/>
      <c r="AI223" s="5"/>
    </row>
    <row r="224" spans="1:35" ht="12.75" customHeight="1" x14ac:dyDescent="0.3">
      <c r="A224" s="62"/>
      <c r="B224" s="61"/>
      <c r="C224" s="61"/>
      <c r="D224" s="61"/>
      <c r="E224" s="59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"/>
      <c r="AI224" s="5"/>
    </row>
    <row r="225" spans="1:35" ht="12.75" customHeight="1" x14ac:dyDescent="0.3">
      <c r="A225" s="20" t="s">
        <v>37</v>
      </c>
      <c r="B225" s="27" t="s">
        <v>168</v>
      </c>
      <c r="C225" s="58" t="s">
        <v>169</v>
      </c>
      <c r="D225" s="59"/>
      <c r="E225" s="16">
        <v>0</v>
      </c>
      <c r="F225" s="16">
        <v>0</v>
      </c>
      <c r="G225" s="16">
        <v>1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1</v>
      </c>
      <c r="R225" s="16">
        <v>0</v>
      </c>
      <c r="S225" s="16">
        <v>2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1</v>
      </c>
      <c r="AD225" s="16">
        <v>1</v>
      </c>
      <c r="AE225" s="16">
        <v>0</v>
      </c>
      <c r="AF225" s="16">
        <v>0</v>
      </c>
      <c r="AG225" s="13">
        <f t="shared" ref="AG225:AG229" si="421">SUM(E225:AF225)</f>
        <v>6</v>
      </c>
      <c r="AH225" s="5"/>
      <c r="AI225" s="5"/>
    </row>
    <row r="226" spans="1:35" ht="12.75" customHeight="1" x14ac:dyDescent="0.3">
      <c r="A226" s="20" t="s">
        <v>39</v>
      </c>
      <c r="B226" s="34"/>
      <c r="C226" s="29" t="s">
        <v>170</v>
      </c>
      <c r="D226" s="36"/>
      <c r="E226" s="16">
        <v>0</v>
      </c>
      <c r="F226" s="16">
        <v>0</v>
      </c>
      <c r="G226" s="16">
        <v>2</v>
      </c>
      <c r="H226" s="16">
        <v>1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1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1</v>
      </c>
      <c r="V226" s="16">
        <v>0</v>
      </c>
      <c r="W226" s="16">
        <v>6</v>
      </c>
      <c r="X226" s="16">
        <v>1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1</v>
      </c>
      <c r="AE226" s="16">
        <v>0</v>
      </c>
      <c r="AF226" s="16">
        <v>0</v>
      </c>
      <c r="AG226" s="13">
        <f t="shared" si="421"/>
        <v>13</v>
      </c>
      <c r="AH226" s="5"/>
      <c r="AI226" s="5"/>
    </row>
    <row r="227" spans="1:35" ht="12.75" customHeight="1" x14ac:dyDescent="0.3">
      <c r="A227" s="15"/>
      <c r="B227" s="34"/>
      <c r="C227" s="29" t="s">
        <v>171</v>
      </c>
      <c r="D227" s="36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1</v>
      </c>
      <c r="X227" s="16">
        <v>0</v>
      </c>
      <c r="Y227" s="16">
        <v>0</v>
      </c>
      <c r="Z227" s="16">
        <v>0</v>
      </c>
      <c r="AA227" s="16">
        <v>1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3">
        <f t="shared" si="421"/>
        <v>2</v>
      </c>
      <c r="AH227" s="5"/>
      <c r="AI227" s="5"/>
    </row>
    <row r="228" spans="1:35" ht="12.75" customHeight="1" x14ac:dyDescent="0.3">
      <c r="A228" s="15"/>
      <c r="B228" s="34"/>
      <c r="C228" s="29" t="s">
        <v>172</v>
      </c>
      <c r="D228" s="36"/>
      <c r="E228" s="16">
        <v>0</v>
      </c>
      <c r="F228" s="16">
        <v>0</v>
      </c>
      <c r="G228" s="16">
        <v>1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1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1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3">
        <f t="shared" si="421"/>
        <v>3</v>
      </c>
      <c r="AH228" s="5"/>
      <c r="AI228" s="5"/>
    </row>
    <row r="229" spans="1:35" ht="12.75" customHeight="1" x14ac:dyDescent="0.3">
      <c r="A229" s="15"/>
      <c r="B229" s="34"/>
      <c r="C229" s="29" t="s">
        <v>173</v>
      </c>
      <c r="D229" s="36"/>
      <c r="E229" s="16">
        <v>0</v>
      </c>
      <c r="F229" s="16">
        <v>0</v>
      </c>
      <c r="G229" s="16">
        <v>0</v>
      </c>
      <c r="H229" s="16">
        <v>0</v>
      </c>
      <c r="I229" s="16">
        <v>2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1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1</v>
      </c>
      <c r="Z229" s="16">
        <v>0</v>
      </c>
      <c r="AA229" s="16">
        <v>0</v>
      </c>
      <c r="AB229" s="16">
        <v>1</v>
      </c>
      <c r="AC229" s="16">
        <v>0</v>
      </c>
      <c r="AD229" s="16">
        <v>0</v>
      </c>
      <c r="AE229" s="16">
        <v>0</v>
      </c>
      <c r="AF229" s="16">
        <v>0</v>
      </c>
      <c r="AG229" s="13">
        <f t="shared" si="421"/>
        <v>5</v>
      </c>
      <c r="AH229" s="1"/>
      <c r="AI229" s="1"/>
    </row>
    <row r="230" spans="1:35" ht="12.75" customHeight="1" x14ac:dyDescent="0.3">
      <c r="A230" s="15"/>
      <c r="B230" s="37"/>
      <c r="C230" s="38"/>
      <c r="D230" s="39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56"/>
      <c r="AH230" s="31"/>
      <c r="AI230" s="31"/>
    </row>
    <row r="231" spans="1:35" ht="12.75" customHeight="1" x14ac:dyDescent="0.3">
      <c r="A231" s="15"/>
      <c r="B231" s="37"/>
      <c r="C231" s="38"/>
      <c r="D231" s="39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56"/>
      <c r="AH231" s="5"/>
      <c r="AI231" s="5"/>
    </row>
    <row r="232" spans="1:35" ht="12.75" customHeight="1" x14ac:dyDescent="0.3">
      <c r="A232" s="15"/>
      <c r="B232" s="37"/>
      <c r="C232" s="38"/>
      <c r="D232" s="39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56"/>
      <c r="AH232" s="5"/>
      <c r="AI232" s="5"/>
    </row>
    <row r="233" spans="1:35" ht="12.75" customHeight="1" x14ac:dyDescent="0.3">
      <c r="A233" s="15"/>
      <c r="B233" s="37"/>
      <c r="C233" s="38"/>
      <c r="D233" s="39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56"/>
      <c r="AH233" s="5"/>
      <c r="AI233" s="5"/>
    </row>
    <row r="234" spans="1:35" ht="12.75" customHeight="1" x14ac:dyDescent="0.3">
      <c r="A234" s="15"/>
      <c r="B234" s="37"/>
      <c r="C234" s="38"/>
      <c r="D234" s="39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56"/>
      <c r="AH234" s="5"/>
      <c r="AI234" s="5"/>
    </row>
    <row r="235" spans="1:35" ht="12.75" customHeight="1" x14ac:dyDescent="0.3">
      <c r="A235" s="16" t="s">
        <v>15</v>
      </c>
      <c r="B235" s="60" t="s">
        <v>49</v>
      </c>
      <c r="C235" s="61"/>
      <c r="D235" s="59"/>
      <c r="E235" s="13">
        <f>SUM(E225:E234)</f>
        <v>0</v>
      </c>
      <c r="F235" s="13">
        <f t="shared" ref="F235" si="422">SUM(F225:F234)</f>
        <v>0</v>
      </c>
      <c r="G235" s="13">
        <f t="shared" ref="G235" si="423">SUM(G225:G234)</f>
        <v>4</v>
      </c>
      <c r="H235" s="13">
        <f t="shared" ref="H235" si="424">SUM(H225:H234)</f>
        <v>1</v>
      </c>
      <c r="I235" s="13">
        <f t="shared" ref="I235" si="425">SUM(I225:I234)</f>
        <v>2</v>
      </c>
      <c r="J235" s="13">
        <f t="shared" ref="J235" si="426">SUM(J225:J234)</f>
        <v>0</v>
      </c>
      <c r="K235" s="13">
        <f t="shared" ref="K235" si="427">SUM(K225:K234)</f>
        <v>0</v>
      </c>
      <c r="L235" s="13">
        <f t="shared" ref="L235" si="428">SUM(L225:L234)</f>
        <v>0</v>
      </c>
      <c r="M235" s="13">
        <f t="shared" ref="M235" si="429">SUM(M225:M234)</f>
        <v>0</v>
      </c>
      <c r="N235" s="13">
        <f t="shared" ref="N235" si="430">SUM(N225:N234)</f>
        <v>1</v>
      </c>
      <c r="O235" s="13">
        <f t="shared" ref="O235" si="431">SUM(O225:O234)</f>
        <v>1</v>
      </c>
      <c r="P235" s="13">
        <f t="shared" ref="P235" si="432">SUM(P225:P234)</f>
        <v>0</v>
      </c>
      <c r="Q235" s="13">
        <f t="shared" ref="Q235" si="433">SUM(Q225:Q234)</f>
        <v>2</v>
      </c>
      <c r="R235" s="13">
        <f t="shared" ref="R235" si="434">SUM(R225:R234)</f>
        <v>0</v>
      </c>
      <c r="S235" s="13">
        <f t="shared" ref="S235" si="435">SUM(S225:S234)</f>
        <v>2</v>
      </c>
      <c r="T235" s="13">
        <f t="shared" ref="T235" si="436">SUM(T225:T234)</f>
        <v>0</v>
      </c>
      <c r="U235" s="13">
        <f t="shared" ref="U235" si="437">SUM(U225:U234)</f>
        <v>1</v>
      </c>
      <c r="V235" s="13">
        <f t="shared" ref="V235" si="438">SUM(V225:V234)</f>
        <v>1</v>
      </c>
      <c r="W235" s="13">
        <f t="shared" ref="W235" si="439">SUM(W225:W234)</f>
        <v>7</v>
      </c>
      <c r="X235" s="13">
        <f t="shared" ref="X235" si="440">SUM(X225:X234)</f>
        <v>1</v>
      </c>
      <c r="Y235" s="13">
        <f t="shared" ref="Y235" si="441">SUM(Y225:Y234)</f>
        <v>1</v>
      </c>
      <c r="Z235" s="13">
        <f t="shared" ref="Z235" si="442">SUM(Z225:Z234)</f>
        <v>0</v>
      </c>
      <c r="AA235" s="13">
        <f t="shared" ref="AA235" si="443">SUM(AA225:AA234)</f>
        <v>1</v>
      </c>
      <c r="AB235" s="13">
        <f t="shared" ref="AB235" si="444">SUM(AB225:AB234)</f>
        <v>1</v>
      </c>
      <c r="AC235" s="13">
        <f t="shared" ref="AC235" si="445">SUM(AC225:AC234)</f>
        <v>1</v>
      </c>
      <c r="AD235" s="13">
        <f t="shared" ref="AD235" si="446">SUM(AD225:AD234)</f>
        <v>2</v>
      </c>
      <c r="AE235" s="13">
        <f t="shared" ref="AE235" si="447">SUM(AE225:AE234)</f>
        <v>0</v>
      </c>
      <c r="AF235" s="13">
        <f t="shared" ref="AF235" si="448">SUM(AF225:AF234)</f>
        <v>0</v>
      </c>
      <c r="AG235" s="13">
        <f t="shared" ref="AG235" si="449">SUM(AG225:AG234)</f>
        <v>29</v>
      </c>
      <c r="AH235" s="5"/>
      <c r="AI235" s="5"/>
    </row>
    <row r="236" spans="1:35" ht="12.75" customHeight="1" x14ac:dyDescent="0.3">
      <c r="A236" s="62"/>
      <c r="B236" s="61"/>
      <c r="C236" s="61"/>
      <c r="D236" s="61"/>
      <c r="E236" s="59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"/>
      <c r="AI236" s="5"/>
    </row>
    <row r="237" spans="1:35" ht="12.75" customHeight="1" x14ac:dyDescent="0.3">
      <c r="A237" s="20" t="s">
        <v>37</v>
      </c>
      <c r="B237" s="27" t="s">
        <v>174</v>
      </c>
      <c r="C237" s="58" t="s">
        <v>175</v>
      </c>
      <c r="D237" s="59"/>
      <c r="E237" s="16">
        <v>1</v>
      </c>
      <c r="F237" s="16">
        <v>1</v>
      </c>
      <c r="G237" s="16">
        <v>1</v>
      </c>
      <c r="H237" s="16">
        <v>1</v>
      </c>
      <c r="I237" s="16">
        <v>1</v>
      </c>
      <c r="J237" s="16">
        <v>1</v>
      </c>
      <c r="K237" s="16">
        <v>0</v>
      </c>
      <c r="L237" s="16">
        <v>1</v>
      </c>
      <c r="M237" s="16">
        <v>1</v>
      </c>
      <c r="N237" s="16">
        <v>2</v>
      </c>
      <c r="O237" s="16">
        <v>1</v>
      </c>
      <c r="P237" s="16">
        <v>2</v>
      </c>
      <c r="Q237" s="16">
        <v>0</v>
      </c>
      <c r="R237" s="16">
        <v>1</v>
      </c>
      <c r="S237" s="16">
        <v>0</v>
      </c>
      <c r="T237" s="16">
        <v>1</v>
      </c>
      <c r="U237" s="16">
        <v>1</v>
      </c>
      <c r="V237" s="16">
        <v>0</v>
      </c>
      <c r="W237" s="16">
        <v>2</v>
      </c>
      <c r="X237" s="16">
        <v>0</v>
      </c>
      <c r="Y237" s="16">
        <v>0</v>
      </c>
      <c r="Z237" s="16">
        <v>0</v>
      </c>
      <c r="AA237" s="16">
        <v>1</v>
      </c>
      <c r="AB237" s="16">
        <v>0</v>
      </c>
      <c r="AC237" s="16">
        <v>1</v>
      </c>
      <c r="AD237" s="16">
        <v>0</v>
      </c>
      <c r="AE237" s="16">
        <v>0</v>
      </c>
      <c r="AF237" s="16">
        <v>1</v>
      </c>
      <c r="AG237" s="13">
        <f t="shared" ref="AG237:AG246" si="450">SUM(E237:AF237)</f>
        <v>21</v>
      </c>
      <c r="AH237" s="5"/>
      <c r="AI237" s="5"/>
    </row>
    <row r="238" spans="1:35" ht="12.75" customHeight="1" x14ac:dyDescent="0.3">
      <c r="A238" s="20" t="s">
        <v>39</v>
      </c>
      <c r="B238" s="34"/>
      <c r="C238" s="29" t="s">
        <v>176</v>
      </c>
      <c r="D238" s="36"/>
      <c r="E238" s="16">
        <v>0</v>
      </c>
      <c r="F238" s="16">
        <v>0</v>
      </c>
      <c r="G238" s="16">
        <v>0</v>
      </c>
      <c r="H238" s="16">
        <v>0</v>
      </c>
      <c r="I238" s="16">
        <v>2</v>
      </c>
      <c r="J238" s="16">
        <v>0</v>
      </c>
      <c r="K238" s="16">
        <v>0</v>
      </c>
      <c r="L238" s="16">
        <v>0</v>
      </c>
      <c r="M238" s="16">
        <v>0</v>
      </c>
      <c r="N238" s="16">
        <v>2</v>
      </c>
      <c r="O238" s="16">
        <v>1</v>
      </c>
      <c r="P238" s="16">
        <v>0</v>
      </c>
      <c r="Q238" s="16">
        <v>0</v>
      </c>
      <c r="R238" s="16">
        <v>1</v>
      </c>
      <c r="S238" s="16">
        <v>0</v>
      </c>
      <c r="T238" s="16">
        <v>1</v>
      </c>
      <c r="U238" s="16">
        <v>0</v>
      </c>
      <c r="V238" s="16">
        <v>1</v>
      </c>
      <c r="W238" s="16">
        <v>1</v>
      </c>
      <c r="X238" s="16">
        <v>1</v>
      </c>
      <c r="Y238" s="16">
        <v>1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2</v>
      </c>
      <c r="AG238" s="13">
        <f t="shared" si="450"/>
        <v>13</v>
      </c>
      <c r="AH238" s="5"/>
      <c r="AI238" s="5"/>
    </row>
    <row r="239" spans="1:35" ht="12.75" customHeight="1" x14ac:dyDescent="0.3">
      <c r="A239" s="15"/>
      <c r="B239" s="34"/>
      <c r="C239" s="29" t="s">
        <v>177</v>
      </c>
      <c r="D239" s="36"/>
      <c r="E239" s="16">
        <v>0</v>
      </c>
      <c r="F239" s="16">
        <v>1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2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1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10</v>
      </c>
      <c r="AD239" s="16">
        <v>0</v>
      </c>
      <c r="AE239" s="16">
        <v>0</v>
      </c>
      <c r="AF239" s="16">
        <v>0</v>
      </c>
      <c r="AG239" s="13">
        <f t="shared" si="450"/>
        <v>14</v>
      </c>
      <c r="AH239" s="5"/>
      <c r="AI239" s="5"/>
    </row>
    <row r="240" spans="1:35" ht="12.75" customHeight="1" x14ac:dyDescent="0.3">
      <c r="A240" s="15"/>
      <c r="B240" s="34"/>
      <c r="C240" s="29" t="s">
        <v>178</v>
      </c>
      <c r="D240" s="36"/>
      <c r="E240" s="16">
        <v>1</v>
      </c>
      <c r="F240" s="16">
        <v>1</v>
      </c>
      <c r="G240" s="16">
        <v>1</v>
      </c>
      <c r="H240" s="16">
        <v>0</v>
      </c>
      <c r="I240" s="16">
        <v>1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1</v>
      </c>
      <c r="P240" s="16">
        <v>0</v>
      </c>
      <c r="Q240" s="16">
        <v>0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3">
        <f t="shared" si="450"/>
        <v>6</v>
      </c>
      <c r="AH240" s="1"/>
      <c r="AI240" s="1"/>
    </row>
    <row r="241" spans="1:33" ht="12.75" customHeight="1" x14ac:dyDescent="0.3">
      <c r="A241" s="15"/>
      <c r="B241" s="34"/>
      <c r="C241" s="29" t="s">
        <v>179</v>
      </c>
      <c r="D241" s="36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1</v>
      </c>
      <c r="K241" s="16">
        <v>1</v>
      </c>
      <c r="L241" s="16">
        <v>0</v>
      </c>
      <c r="M241" s="16">
        <v>0</v>
      </c>
      <c r="N241" s="16">
        <v>0</v>
      </c>
      <c r="O241" s="16">
        <v>1</v>
      </c>
      <c r="P241" s="16">
        <v>1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3">
        <f t="shared" si="450"/>
        <v>4</v>
      </c>
    </row>
    <row r="242" spans="1:33" ht="12.75" customHeight="1" x14ac:dyDescent="0.3">
      <c r="A242" s="15"/>
      <c r="B242" s="34"/>
      <c r="C242" s="29" t="s">
        <v>180</v>
      </c>
      <c r="D242" s="36"/>
      <c r="E242" s="16">
        <v>0</v>
      </c>
      <c r="F242" s="16">
        <v>0</v>
      </c>
      <c r="G242" s="16">
        <v>0</v>
      </c>
      <c r="H242" s="16">
        <v>2</v>
      </c>
      <c r="I242" s="16">
        <v>1</v>
      </c>
      <c r="J242" s="16">
        <v>2</v>
      </c>
      <c r="K242" s="16">
        <v>0</v>
      </c>
      <c r="L242" s="16">
        <v>0</v>
      </c>
      <c r="M242" s="16">
        <v>0</v>
      </c>
      <c r="N242" s="16">
        <v>0</v>
      </c>
      <c r="O242" s="16">
        <v>2</v>
      </c>
      <c r="P242" s="16">
        <v>0</v>
      </c>
      <c r="Q242" s="16">
        <v>1</v>
      </c>
      <c r="R242" s="16">
        <v>1</v>
      </c>
      <c r="S242" s="16">
        <v>1</v>
      </c>
      <c r="T242" s="16">
        <v>0</v>
      </c>
      <c r="U242" s="16">
        <v>1</v>
      </c>
      <c r="V242" s="16">
        <v>0</v>
      </c>
      <c r="W242" s="16">
        <v>0</v>
      </c>
      <c r="X242" s="16">
        <v>1</v>
      </c>
      <c r="Y242" s="16">
        <v>5</v>
      </c>
      <c r="Z242" s="16">
        <v>1</v>
      </c>
      <c r="AA242" s="16">
        <v>2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3">
        <f t="shared" si="450"/>
        <v>20</v>
      </c>
    </row>
    <row r="243" spans="1:33" ht="12.75" customHeight="1" x14ac:dyDescent="0.3">
      <c r="A243" s="15"/>
      <c r="B243" s="34"/>
      <c r="C243" s="29" t="s">
        <v>181</v>
      </c>
      <c r="D243" s="36"/>
      <c r="E243" s="16">
        <v>1</v>
      </c>
      <c r="F243" s="16">
        <v>0</v>
      </c>
      <c r="G243" s="16">
        <v>0</v>
      </c>
      <c r="H243" s="16">
        <v>1</v>
      </c>
      <c r="I243" s="16">
        <v>0</v>
      </c>
      <c r="J243" s="16">
        <v>0</v>
      </c>
      <c r="K243" s="16">
        <v>0</v>
      </c>
      <c r="L243" s="16">
        <v>1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1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3">
        <f t="shared" si="450"/>
        <v>4</v>
      </c>
    </row>
    <row r="244" spans="1:33" ht="12.75" customHeight="1" x14ac:dyDescent="0.3">
      <c r="A244" s="15"/>
      <c r="B244" s="34"/>
      <c r="C244" s="29" t="s">
        <v>182</v>
      </c>
      <c r="D244" s="36"/>
      <c r="E244" s="16">
        <v>0</v>
      </c>
      <c r="F244" s="16">
        <v>1</v>
      </c>
      <c r="G244" s="16">
        <v>0</v>
      </c>
      <c r="H244" s="16">
        <v>0</v>
      </c>
      <c r="I244" s="16">
        <v>0</v>
      </c>
      <c r="J244" s="16">
        <v>2</v>
      </c>
      <c r="K244" s="16">
        <v>0</v>
      </c>
      <c r="L244" s="16">
        <v>0</v>
      </c>
      <c r="M244" s="16">
        <v>0</v>
      </c>
      <c r="N244" s="16">
        <v>1</v>
      </c>
      <c r="O244" s="16">
        <v>1</v>
      </c>
      <c r="P244" s="16">
        <v>2</v>
      </c>
      <c r="Q244" s="16">
        <v>0</v>
      </c>
      <c r="R244" s="16">
        <v>0</v>
      </c>
      <c r="S244" s="16">
        <v>0</v>
      </c>
      <c r="T244" s="16">
        <v>1</v>
      </c>
      <c r="U244" s="16">
        <v>2</v>
      </c>
      <c r="V244" s="16">
        <v>0</v>
      </c>
      <c r="W244" s="16">
        <v>0</v>
      </c>
      <c r="X244" s="16">
        <v>0</v>
      </c>
      <c r="Y244" s="16">
        <v>3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3">
        <f t="shared" si="450"/>
        <v>13</v>
      </c>
    </row>
    <row r="245" spans="1:33" ht="12.75" customHeight="1" x14ac:dyDescent="0.3">
      <c r="A245" s="15"/>
      <c r="B245" s="34"/>
      <c r="C245" s="29" t="s">
        <v>183</v>
      </c>
      <c r="D245" s="36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3">
        <f t="shared" si="450"/>
        <v>0</v>
      </c>
    </row>
    <row r="246" spans="1:33" ht="12.75" customHeight="1" x14ac:dyDescent="0.3">
      <c r="A246" s="15"/>
      <c r="B246" s="34"/>
      <c r="C246" s="29" t="s">
        <v>184</v>
      </c>
      <c r="D246" s="36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2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3">
        <f t="shared" si="450"/>
        <v>2</v>
      </c>
    </row>
    <row r="247" spans="1:33" ht="12.75" customHeight="1" x14ac:dyDescent="0.3">
      <c r="A247" s="16" t="s">
        <v>15</v>
      </c>
      <c r="B247" s="60" t="s">
        <v>49</v>
      </c>
      <c r="C247" s="61"/>
      <c r="D247" s="59"/>
      <c r="E247" s="13">
        <f>SUM(E237:E246)</f>
        <v>3</v>
      </c>
      <c r="F247" s="13">
        <f t="shared" ref="F247" si="451">SUM(F237:F246)</f>
        <v>4</v>
      </c>
      <c r="G247" s="13">
        <f t="shared" ref="G247" si="452">SUM(G237:G246)</f>
        <v>2</v>
      </c>
      <c r="H247" s="13">
        <f t="shared" ref="H247" si="453">SUM(H237:H246)</f>
        <v>4</v>
      </c>
      <c r="I247" s="13">
        <f t="shared" ref="I247" si="454">SUM(I237:I246)</f>
        <v>5</v>
      </c>
      <c r="J247" s="13">
        <f t="shared" ref="J247" si="455">SUM(J237:J246)</f>
        <v>6</v>
      </c>
      <c r="K247" s="13">
        <f t="shared" ref="K247" si="456">SUM(K237:K246)</f>
        <v>1</v>
      </c>
      <c r="L247" s="13">
        <f t="shared" ref="L247" si="457">SUM(L237:L246)</f>
        <v>2</v>
      </c>
      <c r="M247" s="13">
        <f t="shared" ref="M247" si="458">SUM(M237:M246)</f>
        <v>3</v>
      </c>
      <c r="N247" s="13">
        <f t="shared" ref="N247" si="459">SUM(N237:N246)</f>
        <v>5</v>
      </c>
      <c r="O247" s="13">
        <f t="shared" ref="O247" si="460">SUM(O237:O246)</f>
        <v>7</v>
      </c>
      <c r="P247" s="13">
        <f t="shared" ref="P247" si="461">SUM(P237:P246)</f>
        <v>5</v>
      </c>
      <c r="Q247" s="13">
        <f t="shared" ref="Q247" si="462">SUM(Q237:Q246)</f>
        <v>1</v>
      </c>
      <c r="R247" s="13">
        <f t="shared" ref="R247" si="463">SUM(R237:R246)</f>
        <v>3</v>
      </c>
      <c r="S247" s="13">
        <f t="shared" ref="S247" si="464">SUM(S237:S246)</f>
        <v>2</v>
      </c>
      <c r="T247" s="13">
        <f t="shared" ref="T247" si="465">SUM(T237:T246)</f>
        <v>5</v>
      </c>
      <c r="U247" s="13">
        <f t="shared" ref="U247" si="466">SUM(U237:U246)</f>
        <v>5</v>
      </c>
      <c r="V247" s="13">
        <f t="shared" ref="V247" si="467">SUM(V237:V246)</f>
        <v>1</v>
      </c>
      <c r="W247" s="13">
        <f t="shared" ref="W247" si="468">SUM(W237:W246)</f>
        <v>4</v>
      </c>
      <c r="X247" s="13">
        <f t="shared" ref="X247" si="469">SUM(X237:X246)</f>
        <v>2</v>
      </c>
      <c r="Y247" s="13">
        <f t="shared" ref="Y247" si="470">SUM(Y237:Y246)</f>
        <v>9</v>
      </c>
      <c r="Z247" s="13">
        <f t="shared" ref="Z247" si="471">SUM(Z237:Z246)</f>
        <v>1</v>
      </c>
      <c r="AA247" s="13">
        <f t="shared" ref="AA247" si="472">SUM(AA237:AA246)</f>
        <v>3</v>
      </c>
      <c r="AB247" s="13">
        <f t="shared" ref="AB247" si="473">SUM(AB237:AB246)</f>
        <v>0</v>
      </c>
      <c r="AC247" s="13">
        <f t="shared" ref="AC247" si="474">SUM(AC237:AC246)</f>
        <v>11</v>
      </c>
      <c r="AD247" s="13">
        <f t="shared" ref="AD247" si="475">SUM(AD237:AD246)</f>
        <v>0</v>
      </c>
      <c r="AE247" s="13">
        <f t="shared" ref="AE247" si="476">SUM(AE237:AE246)</f>
        <v>0</v>
      </c>
      <c r="AF247" s="13">
        <f t="shared" ref="AF247" si="477">SUM(AF237:AF246)</f>
        <v>3</v>
      </c>
      <c r="AG247" s="13">
        <f t="shared" ref="AG247" si="478">SUM(AG237:AG246)</f>
        <v>97</v>
      </c>
    </row>
    <row r="248" spans="1:33" ht="12.75" customHeight="1" x14ac:dyDescent="0.3">
      <c r="A248" s="62"/>
      <c r="B248" s="61"/>
      <c r="C248" s="61"/>
      <c r="D248" s="61"/>
      <c r="E248" s="59"/>
    </row>
    <row r="249" spans="1:33" ht="12.75" customHeight="1" x14ac:dyDescent="0.3">
      <c r="A249" s="20" t="s">
        <v>37</v>
      </c>
      <c r="B249" s="27" t="s">
        <v>185</v>
      </c>
      <c r="C249" s="58" t="s">
        <v>186</v>
      </c>
      <c r="D249" s="59"/>
      <c r="E249" s="16">
        <v>0</v>
      </c>
      <c r="F249" s="16">
        <v>0</v>
      </c>
      <c r="G249" s="16">
        <v>1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1</v>
      </c>
      <c r="O249" s="16">
        <v>0</v>
      </c>
      <c r="P249" s="16">
        <v>0</v>
      </c>
      <c r="Q249" s="16">
        <v>1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1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3">
        <f t="shared" ref="AG249:AG252" si="479">SUM(E249:AF249)</f>
        <v>4</v>
      </c>
    </row>
    <row r="250" spans="1:33" ht="12.75" customHeight="1" x14ac:dyDescent="0.3">
      <c r="A250" s="20" t="s">
        <v>39</v>
      </c>
      <c r="B250" s="34"/>
      <c r="C250" s="29" t="s">
        <v>187</v>
      </c>
      <c r="D250" s="36"/>
      <c r="E250" s="16">
        <v>0</v>
      </c>
      <c r="F250" s="16">
        <v>1</v>
      </c>
      <c r="G250" s="16">
        <v>1</v>
      </c>
      <c r="H250" s="16">
        <v>0</v>
      </c>
      <c r="I250" s="16">
        <v>2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4</v>
      </c>
      <c r="Q250" s="16">
        <v>2</v>
      </c>
      <c r="R250" s="16">
        <v>0</v>
      </c>
      <c r="S250" s="16">
        <v>0</v>
      </c>
      <c r="T250" s="16">
        <v>3</v>
      </c>
      <c r="U250" s="16">
        <v>4</v>
      </c>
      <c r="V250" s="16">
        <v>0</v>
      </c>
      <c r="W250" s="16">
        <v>1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3">
        <f t="shared" si="479"/>
        <v>18</v>
      </c>
    </row>
    <row r="251" spans="1:33" ht="12.75" customHeight="1" x14ac:dyDescent="0.3">
      <c r="A251" s="15"/>
      <c r="B251" s="34"/>
      <c r="C251" s="29" t="s">
        <v>188</v>
      </c>
      <c r="D251" s="36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3">
        <f t="shared" si="479"/>
        <v>0</v>
      </c>
    </row>
    <row r="252" spans="1:33" ht="12.75" customHeight="1" x14ac:dyDescent="0.3">
      <c r="A252" s="15"/>
      <c r="B252" s="34"/>
      <c r="C252" s="29" t="s">
        <v>189</v>
      </c>
      <c r="D252" s="36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3">
        <f t="shared" si="479"/>
        <v>0</v>
      </c>
    </row>
    <row r="253" spans="1:33" ht="12.75" customHeight="1" x14ac:dyDescent="0.3">
      <c r="A253" s="15"/>
      <c r="B253" s="37"/>
      <c r="C253" s="44"/>
      <c r="D253" s="39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56"/>
    </row>
    <row r="254" spans="1:33" ht="12.75" customHeight="1" x14ac:dyDescent="0.3">
      <c r="A254" s="15"/>
      <c r="B254" s="37"/>
      <c r="C254" s="44"/>
      <c r="D254" s="39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56"/>
    </row>
    <row r="255" spans="1:33" ht="12.75" customHeight="1" x14ac:dyDescent="0.3">
      <c r="A255" s="15"/>
      <c r="B255" s="37"/>
      <c r="C255" s="44"/>
      <c r="D255" s="39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56"/>
    </row>
    <row r="256" spans="1:33" ht="12.75" customHeight="1" x14ac:dyDescent="0.3">
      <c r="A256" s="15"/>
      <c r="B256" s="37"/>
      <c r="C256" s="44"/>
      <c r="D256" s="39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56"/>
    </row>
    <row r="257" spans="1:33" ht="12.75" customHeight="1" x14ac:dyDescent="0.3">
      <c r="A257" s="15"/>
      <c r="B257" s="37"/>
      <c r="C257" s="44"/>
      <c r="D257" s="39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56"/>
    </row>
    <row r="258" spans="1:33" ht="12.75" customHeight="1" x14ac:dyDescent="0.3">
      <c r="A258" s="15"/>
      <c r="B258" s="37"/>
      <c r="C258" s="44"/>
      <c r="D258" s="3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56"/>
    </row>
    <row r="259" spans="1:33" ht="12.75" customHeight="1" x14ac:dyDescent="0.3">
      <c r="A259" s="16" t="s">
        <v>15</v>
      </c>
      <c r="B259" s="60" t="s">
        <v>49</v>
      </c>
      <c r="C259" s="61"/>
      <c r="D259" s="59"/>
      <c r="E259" s="13">
        <f>SUM(E249:E258)</f>
        <v>0</v>
      </c>
      <c r="F259" s="13">
        <f t="shared" ref="F259" si="480">SUM(F249:F258)</f>
        <v>1</v>
      </c>
      <c r="G259" s="13">
        <f t="shared" ref="G259" si="481">SUM(G249:G258)</f>
        <v>2</v>
      </c>
      <c r="H259" s="13">
        <f t="shared" ref="H259" si="482">SUM(H249:H258)</f>
        <v>0</v>
      </c>
      <c r="I259" s="13">
        <f t="shared" ref="I259" si="483">SUM(I249:I258)</f>
        <v>2</v>
      </c>
      <c r="J259" s="13">
        <f t="shared" ref="J259" si="484">SUM(J249:J258)</f>
        <v>0</v>
      </c>
      <c r="K259" s="13">
        <f t="shared" ref="K259" si="485">SUM(K249:K258)</f>
        <v>0</v>
      </c>
      <c r="L259" s="13">
        <f t="shared" ref="L259" si="486">SUM(L249:L258)</f>
        <v>0</v>
      </c>
      <c r="M259" s="13">
        <f t="shared" ref="M259" si="487">SUM(M249:M258)</f>
        <v>0</v>
      </c>
      <c r="N259" s="13">
        <f t="shared" ref="N259" si="488">SUM(N249:N258)</f>
        <v>1</v>
      </c>
      <c r="O259" s="13">
        <f t="shared" ref="O259" si="489">SUM(O249:O258)</f>
        <v>0</v>
      </c>
      <c r="P259" s="13">
        <f t="shared" ref="P259" si="490">SUM(P249:P258)</f>
        <v>4</v>
      </c>
      <c r="Q259" s="13">
        <f t="shared" ref="Q259" si="491">SUM(Q249:Q258)</f>
        <v>3</v>
      </c>
      <c r="R259" s="13">
        <f t="shared" ref="R259" si="492">SUM(R249:R258)</f>
        <v>0</v>
      </c>
      <c r="S259" s="13">
        <f t="shared" ref="S259" si="493">SUM(S249:S258)</f>
        <v>0</v>
      </c>
      <c r="T259" s="13">
        <f t="shared" ref="T259" si="494">SUM(T249:T258)</f>
        <v>3</v>
      </c>
      <c r="U259" s="13">
        <f t="shared" ref="U259" si="495">SUM(U249:U258)</f>
        <v>4</v>
      </c>
      <c r="V259" s="13">
        <f t="shared" ref="V259" si="496">SUM(V249:V258)</f>
        <v>0</v>
      </c>
      <c r="W259" s="13">
        <f t="shared" ref="W259" si="497">SUM(W249:W258)</f>
        <v>1</v>
      </c>
      <c r="X259" s="13">
        <f t="shared" ref="X259" si="498">SUM(X249:X258)</f>
        <v>0</v>
      </c>
      <c r="Y259" s="13">
        <f t="shared" ref="Y259" si="499">SUM(Y249:Y258)</f>
        <v>0</v>
      </c>
      <c r="Z259" s="13">
        <f t="shared" ref="Z259" si="500">SUM(Z249:Z258)</f>
        <v>1</v>
      </c>
      <c r="AA259" s="13">
        <f t="shared" ref="AA259" si="501">SUM(AA249:AA258)</f>
        <v>0</v>
      </c>
      <c r="AB259" s="13">
        <f t="shared" ref="AB259" si="502">SUM(AB249:AB258)</f>
        <v>0</v>
      </c>
      <c r="AC259" s="13">
        <f t="shared" ref="AC259" si="503">SUM(AC249:AC258)</f>
        <v>0</v>
      </c>
      <c r="AD259" s="13">
        <f t="shared" ref="AD259" si="504">SUM(AD249:AD258)</f>
        <v>0</v>
      </c>
      <c r="AE259" s="13">
        <f t="shared" ref="AE259" si="505">SUM(AE249:AE258)</f>
        <v>0</v>
      </c>
      <c r="AF259" s="13">
        <f t="shared" ref="AF259" si="506">SUM(AF249:AF258)</f>
        <v>0</v>
      </c>
      <c r="AG259" s="13">
        <f t="shared" ref="AG259" si="507">SUM(AG249:AG258)</f>
        <v>22</v>
      </c>
    </row>
    <row r="260" spans="1:33" ht="12.75" customHeight="1" x14ac:dyDescent="0.3"/>
    <row r="261" spans="1:33" ht="12.75" customHeight="1" x14ac:dyDescent="0.3">
      <c r="A261" s="26" t="s">
        <v>190</v>
      </c>
      <c r="B261" s="65" t="s">
        <v>191</v>
      </c>
      <c r="C261" s="61"/>
      <c r="D261" s="59"/>
      <c r="E261" s="13"/>
      <c r="F261" s="13"/>
      <c r="G261" s="13"/>
      <c r="H261" s="13"/>
      <c r="I261" s="13"/>
      <c r="J261" s="13"/>
      <c r="K261" s="13"/>
      <c r="L261" s="13"/>
      <c r="M261" s="13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13"/>
    </row>
    <row r="262" spans="1:33" ht="12.75" customHeight="1" x14ac:dyDescent="0.3">
      <c r="A262" s="26"/>
      <c r="B262" s="47" t="s">
        <v>192</v>
      </c>
      <c r="C262" s="83" t="s">
        <v>193</v>
      </c>
      <c r="D262" s="59"/>
      <c r="E262" s="16">
        <f t="shared" ref="E262:AF262" si="508">E55+E67+E79+E91+E103+E115+E127+E139+E151+E163+E175+E187+E199+E211+E223+E235+E247+E259</f>
        <v>203</v>
      </c>
      <c r="F262" s="16">
        <f t="shared" si="508"/>
        <v>189</v>
      </c>
      <c r="G262" s="16">
        <f t="shared" si="508"/>
        <v>188</v>
      </c>
      <c r="H262" s="16">
        <f t="shared" si="508"/>
        <v>193</v>
      </c>
      <c r="I262" s="16">
        <f t="shared" si="508"/>
        <v>203</v>
      </c>
      <c r="J262" s="16">
        <f t="shared" si="508"/>
        <v>226</v>
      </c>
      <c r="K262" s="16">
        <f t="shared" si="508"/>
        <v>198</v>
      </c>
      <c r="L262" s="16">
        <f t="shared" si="508"/>
        <v>206</v>
      </c>
      <c r="M262" s="16">
        <f t="shared" si="508"/>
        <v>229</v>
      </c>
      <c r="N262" s="16">
        <f t="shared" si="508"/>
        <v>201</v>
      </c>
      <c r="O262" s="16">
        <f t="shared" si="508"/>
        <v>201</v>
      </c>
      <c r="P262" s="16">
        <f t="shared" si="508"/>
        <v>205</v>
      </c>
      <c r="Q262" s="16">
        <f t="shared" si="508"/>
        <v>196</v>
      </c>
      <c r="R262" s="16">
        <f t="shared" si="508"/>
        <v>192</v>
      </c>
      <c r="S262" s="16">
        <f t="shared" si="508"/>
        <v>189</v>
      </c>
      <c r="T262" s="16">
        <f t="shared" si="508"/>
        <v>132</v>
      </c>
      <c r="U262" s="16">
        <f t="shared" si="508"/>
        <v>155</v>
      </c>
      <c r="V262" s="16">
        <f t="shared" si="508"/>
        <v>214</v>
      </c>
      <c r="W262" s="16">
        <f t="shared" si="508"/>
        <v>207</v>
      </c>
      <c r="X262" s="16">
        <f t="shared" si="508"/>
        <v>201</v>
      </c>
      <c r="Y262" s="16">
        <f t="shared" si="508"/>
        <v>112</v>
      </c>
      <c r="Z262" s="16">
        <f t="shared" si="508"/>
        <v>136</v>
      </c>
      <c r="AA262" s="16">
        <f t="shared" si="508"/>
        <v>163</v>
      </c>
      <c r="AB262" s="16">
        <f t="shared" si="508"/>
        <v>157</v>
      </c>
      <c r="AC262" s="16">
        <f t="shared" si="508"/>
        <v>190</v>
      </c>
      <c r="AD262" s="16">
        <f t="shared" si="508"/>
        <v>169</v>
      </c>
      <c r="AE262" s="16">
        <f t="shared" si="508"/>
        <v>120</v>
      </c>
      <c r="AF262" s="16">
        <f t="shared" si="508"/>
        <v>153</v>
      </c>
      <c r="AG262" s="13">
        <f t="shared" ref="AG262:AG264" si="509">SUM(E262:AF262)</f>
        <v>5128</v>
      </c>
    </row>
    <row r="263" spans="1:33" ht="12.75" customHeight="1" x14ac:dyDescent="0.3">
      <c r="A263" s="22"/>
      <c r="B263" s="47" t="s">
        <v>194</v>
      </c>
      <c r="C263" s="83" t="s">
        <v>195</v>
      </c>
      <c r="D263" s="59"/>
      <c r="E263" s="16">
        <v>21</v>
      </c>
      <c r="F263" s="16">
        <v>21</v>
      </c>
      <c r="G263" s="16">
        <v>48</v>
      </c>
      <c r="H263" s="16">
        <v>43</v>
      </c>
      <c r="I263" s="16">
        <v>20</v>
      </c>
      <c r="J263" s="16">
        <v>12</v>
      </c>
      <c r="K263" s="16">
        <v>7</v>
      </c>
      <c r="L263" s="16">
        <v>27</v>
      </c>
      <c r="M263" s="16">
        <v>26</v>
      </c>
      <c r="N263" s="16">
        <v>22</v>
      </c>
      <c r="O263" s="16">
        <v>17</v>
      </c>
      <c r="P263" s="16">
        <v>25</v>
      </c>
      <c r="Q263" s="16">
        <v>54</v>
      </c>
      <c r="R263" s="16">
        <v>38</v>
      </c>
      <c r="S263" s="16">
        <v>37</v>
      </c>
      <c r="T263" s="16">
        <v>43</v>
      </c>
      <c r="U263" s="16">
        <v>20</v>
      </c>
      <c r="V263" s="16">
        <v>28</v>
      </c>
      <c r="W263" s="16">
        <v>23</v>
      </c>
      <c r="X263" s="16">
        <v>31</v>
      </c>
      <c r="Y263" s="16">
        <v>69</v>
      </c>
      <c r="Z263" s="16">
        <v>43</v>
      </c>
      <c r="AA263" s="16">
        <v>18</v>
      </c>
      <c r="AB263" s="16">
        <v>35</v>
      </c>
      <c r="AC263" s="16">
        <v>16</v>
      </c>
      <c r="AD263" s="16">
        <v>10</v>
      </c>
      <c r="AE263" s="16">
        <v>10</v>
      </c>
      <c r="AF263" s="16">
        <v>16</v>
      </c>
      <c r="AG263" s="13">
        <f t="shared" si="509"/>
        <v>780</v>
      </c>
    </row>
    <row r="264" spans="1:33" ht="12.75" customHeight="1" x14ac:dyDescent="0.3">
      <c r="A264" s="25"/>
      <c r="B264" s="47" t="s">
        <v>196</v>
      </c>
      <c r="C264" s="83" t="s">
        <v>197</v>
      </c>
      <c r="D264" s="59"/>
      <c r="E264" s="13">
        <f t="shared" ref="E264:AF264" si="510">SUM(E262:E263)</f>
        <v>224</v>
      </c>
      <c r="F264" s="13">
        <f t="shared" si="510"/>
        <v>210</v>
      </c>
      <c r="G264" s="13">
        <f t="shared" si="510"/>
        <v>236</v>
      </c>
      <c r="H264" s="13">
        <f t="shared" si="510"/>
        <v>236</v>
      </c>
      <c r="I264" s="13">
        <f t="shared" si="510"/>
        <v>223</v>
      </c>
      <c r="J264" s="13">
        <f t="shared" si="510"/>
        <v>238</v>
      </c>
      <c r="K264" s="13">
        <f t="shared" si="510"/>
        <v>205</v>
      </c>
      <c r="L264" s="13">
        <f t="shared" si="510"/>
        <v>233</v>
      </c>
      <c r="M264" s="13">
        <f t="shared" si="510"/>
        <v>255</v>
      </c>
      <c r="N264" s="13">
        <f t="shared" si="510"/>
        <v>223</v>
      </c>
      <c r="O264" s="13">
        <f t="shared" si="510"/>
        <v>218</v>
      </c>
      <c r="P264" s="13">
        <f t="shared" si="510"/>
        <v>230</v>
      </c>
      <c r="Q264" s="13">
        <f t="shared" si="510"/>
        <v>250</v>
      </c>
      <c r="R264" s="13">
        <f t="shared" si="510"/>
        <v>230</v>
      </c>
      <c r="S264" s="13">
        <f t="shared" si="510"/>
        <v>226</v>
      </c>
      <c r="T264" s="13">
        <f t="shared" si="510"/>
        <v>175</v>
      </c>
      <c r="U264" s="13">
        <f t="shared" si="510"/>
        <v>175</v>
      </c>
      <c r="V264" s="13">
        <f t="shared" si="510"/>
        <v>242</v>
      </c>
      <c r="W264" s="13">
        <f t="shared" si="510"/>
        <v>230</v>
      </c>
      <c r="X264" s="13">
        <f t="shared" si="510"/>
        <v>232</v>
      </c>
      <c r="Y264" s="13">
        <f t="shared" si="510"/>
        <v>181</v>
      </c>
      <c r="Z264" s="13">
        <f t="shared" si="510"/>
        <v>179</v>
      </c>
      <c r="AA264" s="13">
        <f t="shared" si="510"/>
        <v>181</v>
      </c>
      <c r="AB264" s="13">
        <f t="shared" si="510"/>
        <v>192</v>
      </c>
      <c r="AC264" s="13">
        <f t="shared" si="510"/>
        <v>206</v>
      </c>
      <c r="AD264" s="13">
        <f t="shared" si="510"/>
        <v>179</v>
      </c>
      <c r="AE264" s="13">
        <f t="shared" si="510"/>
        <v>130</v>
      </c>
      <c r="AF264" s="13">
        <f t="shared" si="510"/>
        <v>169</v>
      </c>
      <c r="AG264" s="13">
        <f t="shared" si="509"/>
        <v>5908</v>
      </c>
    </row>
    <row r="265" spans="1:33" ht="12.75" customHeight="1" x14ac:dyDescent="0.3"/>
    <row r="266" spans="1:33" ht="12.75" customHeight="1" x14ac:dyDescent="0.3"/>
    <row r="267" spans="1:33" ht="12.75" customHeight="1" x14ac:dyDescent="0.3"/>
    <row r="268" spans="1:33" ht="12.75" customHeight="1" x14ac:dyDescent="0.3"/>
    <row r="269" spans="1:33" ht="12.75" customHeight="1" x14ac:dyDescent="0.3"/>
    <row r="270" spans="1:33" ht="12.75" customHeight="1" x14ac:dyDescent="0.3"/>
    <row r="271" spans="1:33" ht="12.75" customHeight="1" x14ac:dyDescent="0.3"/>
    <row r="272" spans="1:33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B151:D151"/>
    <mergeCell ref="B103:D103"/>
    <mergeCell ref="A104:E104"/>
    <mergeCell ref="C105:D105"/>
    <mergeCell ref="B115:D115"/>
    <mergeCell ref="A116:E116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E42:I42"/>
    <mergeCell ref="B43:D43"/>
    <mergeCell ref="B25:B27"/>
    <mergeCell ref="C25:C27"/>
    <mergeCell ref="B28:B30"/>
    <mergeCell ref="A37:D37"/>
    <mergeCell ref="E37:I37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  <mergeCell ref="C117:D117"/>
    <mergeCell ref="B127:D127"/>
    <mergeCell ref="A128:E128"/>
    <mergeCell ref="C129:D129"/>
    <mergeCell ref="A80:E80"/>
    <mergeCell ref="C81:D81"/>
    <mergeCell ref="B91:D91"/>
    <mergeCell ref="A92:E92"/>
    <mergeCell ref="C93:D93"/>
  </mergeCells>
  <conditionalFormatting sqref="E34:T34">
    <cfRule type="expression" dxfId="202" priority="1">
      <formula>E34&lt;&gt;E64</formula>
    </cfRule>
  </conditionalFormatting>
  <conditionalFormatting sqref="E14:AF15">
    <cfRule type="containsBlanks" dxfId="201" priority="2">
      <formula>LEN(TRIM(E14))=0</formula>
    </cfRule>
  </conditionalFormatting>
  <conditionalFormatting sqref="E19:AF20">
    <cfRule type="containsBlanks" dxfId="200" priority="3">
      <formula>LEN(TRIM(E19))=0</formula>
    </cfRule>
  </conditionalFormatting>
  <conditionalFormatting sqref="E22:AF23 E25:AF26 E33:AF33 E35:AF35 E39:AF40">
    <cfRule type="containsBlanks" dxfId="199" priority="4">
      <formula>LEN(TRIM(E22))=0</formula>
    </cfRule>
  </conditionalFormatting>
  <conditionalFormatting sqref="E30:AF30">
    <cfRule type="expression" dxfId="198" priority="5">
      <formula>E30&lt;&gt;E47</formula>
    </cfRule>
    <cfRule type="expression" dxfId="197" priority="6">
      <formula>E30&lt;&gt;E34</formula>
    </cfRule>
  </conditionalFormatting>
  <conditionalFormatting sqref="E34:AF34">
    <cfRule type="expression" dxfId="196" priority="7">
      <formula>E30&lt;&gt;E34</formula>
    </cfRule>
    <cfRule type="expression" dxfId="195" priority="8">
      <formula>E30=E34</formula>
    </cfRule>
    <cfRule type="expression" dxfId="194" priority="9">
      <formula>E34&lt;&gt;E30</formula>
    </cfRule>
  </conditionalFormatting>
  <conditionalFormatting sqref="E45:AF54">
    <cfRule type="containsBlanks" dxfId="193" priority="10">
      <formula>LEN(TRIM(E45))=0</formula>
    </cfRule>
  </conditionalFormatting>
  <conditionalFormatting sqref="E57:AF66">
    <cfRule type="containsBlanks" dxfId="192" priority="11">
      <formula>LEN(TRIM(E57))=0</formula>
    </cfRule>
  </conditionalFormatting>
  <conditionalFormatting sqref="E69:AF78">
    <cfRule type="containsBlanks" dxfId="191" priority="12">
      <formula>LEN(TRIM(E69))=0</formula>
    </cfRule>
  </conditionalFormatting>
  <conditionalFormatting sqref="E81:AF90">
    <cfRule type="containsBlanks" dxfId="190" priority="13">
      <formula>LEN(TRIM(E81))=0</formula>
    </cfRule>
  </conditionalFormatting>
  <conditionalFormatting sqref="E93:AF102">
    <cfRule type="containsBlanks" dxfId="189" priority="14">
      <formula>LEN(TRIM(E93))=0</formula>
    </cfRule>
  </conditionalFormatting>
  <conditionalFormatting sqref="E105:AF114">
    <cfRule type="containsBlanks" dxfId="188" priority="15">
      <formula>LEN(TRIM(E105))=0</formula>
    </cfRule>
  </conditionalFormatting>
  <conditionalFormatting sqref="E117:AF126">
    <cfRule type="containsBlanks" dxfId="187" priority="16">
      <formula>LEN(TRIM(E117))=0</formula>
    </cfRule>
  </conditionalFormatting>
  <conditionalFormatting sqref="E129:AF138">
    <cfRule type="containsBlanks" dxfId="186" priority="17">
      <formula>LEN(TRIM(E129))=0</formula>
    </cfRule>
  </conditionalFormatting>
  <conditionalFormatting sqref="E141:AF150">
    <cfRule type="containsBlanks" dxfId="185" priority="18">
      <formula>LEN(TRIM(E141))=0</formula>
    </cfRule>
  </conditionalFormatting>
  <conditionalFormatting sqref="E153:AF162">
    <cfRule type="containsBlanks" dxfId="184" priority="19">
      <formula>LEN(TRIM(E153))=0</formula>
    </cfRule>
  </conditionalFormatting>
  <conditionalFormatting sqref="E165:AF174">
    <cfRule type="containsBlanks" dxfId="183" priority="20">
      <formula>LEN(TRIM(E165))=0</formula>
    </cfRule>
  </conditionalFormatting>
  <conditionalFormatting sqref="E177:AF186">
    <cfRule type="containsBlanks" dxfId="182" priority="21">
      <formula>LEN(TRIM(E177))=0</formula>
    </cfRule>
  </conditionalFormatting>
  <conditionalFormatting sqref="E189:AF198">
    <cfRule type="containsBlanks" dxfId="181" priority="22">
      <formula>LEN(TRIM(E189))=0</formula>
    </cfRule>
  </conditionalFormatting>
  <conditionalFormatting sqref="E201:AF210">
    <cfRule type="containsBlanks" dxfId="180" priority="23">
      <formula>LEN(TRIM(E201))=0</formula>
    </cfRule>
  </conditionalFormatting>
  <conditionalFormatting sqref="E213:AF222">
    <cfRule type="containsBlanks" dxfId="179" priority="24">
      <formula>LEN(TRIM(E213))=0</formula>
    </cfRule>
  </conditionalFormatting>
  <conditionalFormatting sqref="E225:AF234">
    <cfRule type="containsBlanks" dxfId="178" priority="25">
      <formula>LEN(TRIM(E225))=0</formula>
    </cfRule>
  </conditionalFormatting>
  <conditionalFormatting sqref="E237:AF246">
    <cfRule type="containsBlanks" dxfId="177" priority="26">
      <formula>LEN(TRIM(E237))=0</formula>
    </cfRule>
  </conditionalFormatting>
  <conditionalFormatting sqref="E249:AF258">
    <cfRule type="containsBlanks" dxfId="176" priority="27">
      <formula>LEN(TRIM(E249))=0</formula>
    </cfRule>
  </conditionalFormatting>
  <conditionalFormatting sqref="E262:AF263">
    <cfRule type="containsBlanks" dxfId="175" priority="28">
      <formula>LEN(TRIM(E262))=0</formula>
    </cfRule>
  </conditionalFormatting>
  <conditionalFormatting sqref="U34:AF34">
    <cfRule type="expression" dxfId="174" priority="29">
      <formula>U34&lt;&gt;U47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J1000"/>
  <sheetViews>
    <sheetView topLeftCell="F243" zoomScale="70" zoomScaleNormal="70" workbookViewId="0">
      <selection activeCell="AH263" sqref="AH263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33" width="8.69921875" customWidth="1"/>
    <col min="34" max="34" width="13.296875" customWidth="1"/>
    <col min="35" max="36" width="8.69921875" customWidth="1"/>
  </cols>
  <sheetData>
    <row r="1" spans="1:34" ht="12.75" customHeight="1" x14ac:dyDescent="0.3"/>
    <row r="2" spans="1:34" ht="12.75" customHeight="1" x14ac:dyDescent="0.3">
      <c r="C2" s="8" t="s">
        <v>0</v>
      </c>
      <c r="D2" s="8" t="s">
        <v>1</v>
      </c>
    </row>
    <row r="3" spans="1:34" ht="12.75" customHeight="1" x14ac:dyDescent="0.3">
      <c r="C3" s="8" t="s">
        <v>2</v>
      </c>
      <c r="D3" s="8" t="s">
        <v>3</v>
      </c>
    </row>
    <row r="4" spans="1:34" ht="12.75" customHeight="1" x14ac:dyDescent="0.3">
      <c r="C4" s="8" t="s">
        <v>4</v>
      </c>
      <c r="D4" s="8" t="s">
        <v>5</v>
      </c>
    </row>
    <row r="5" spans="1:34" ht="12.75" customHeight="1" x14ac:dyDescent="0.3">
      <c r="C5" s="8"/>
      <c r="D5" s="8"/>
    </row>
    <row r="6" spans="1:34" ht="12.75" customHeight="1" x14ac:dyDescent="0.3">
      <c r="C6" s="8"/>
      <c r="D6" s="8"/>
    </row>
    <row r="7" spans="1:34" ht="12.75" customHeight="1" x14ac:dyDescent="0.3">
      <c r="C7" s="8"/>
      <c r="D7" s="8"/>
    </row>
    <row r="8" spans="1:34" ht="12.75" customHeight="1" x14ac:dyDescent="0.3">
      <c r="C8" s="8"/>
      <c r="D8" s="8"/>
    </row>
    <row r="9" spans="1:34" ht="12.75" customHeight="1" x14ac:dyDescent="0.3">
      <c r="C9" s="8" t="s">
        <v>198</v>
      </c>
      <c r="D9" s="8" t="s">
        <v>227</v>
      </c>
    </row>
    <row r="10" spans="1:34" ht="12.75" customHeight="1" x14ac:dyDescent="0.3"/>
    <row r="11" spans="1:34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34" ht="12.75" customHeight="1" x14ac:dyDescent="0.3">
      <c r="A12" s="13" t="s">
        <v>6</v>
      </c>
      <c r="B12" s="65" t="s">
        <v>7</v>
      </c>
      <c r="C12" s="61"/>
      <c r="D12" s="59"/>
      <c r="E12" s="86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87" t="s">
        <v>8</v>
      </c>
    </row>
    <row r="13" spans="1:34" ht="12.75" customHeight="1" x14ac:dyDescent="0.3">
      <c r="A13" s="16" t="s">
        <v>9</v>
      </c>
      <c r="B13" s="72" t="s">
        <v>10</v>
      </c>
      <c r="C13" s="61"/>
      <c r="D13" s="59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13" t="s">
        <v>228</v>
      </c>
      <c r="AH13" s="76"/>
    </row>
    <row r="14" spans="1:34" ht="12.75" customHeight="1" x14ac:dyDescent="0.3">
      <c r="A14" s="15"/>
      <c r="B14" s="81" t="s">
        <v>11</v>
      </c>
      <c r="C14" s="67"/>
      <c r="D14" s="16" t="s">
        <v>12</v>
      </c>
      <c r="E14" s="16">
        <v>137</v>
      </c>
      <c r="F14" s="16">
        <v>124</v>
      </c>
      <c r="G14" s="16">
        <v>141</v>
      </c>
      <c r="H14" s="16">
        <v>143</v>
      </c>
      <c r="I14" s="16">
        <v>136</v>
      </c>
      <c r="J14" s="16">
        <v>145</v>
      </c>
      <c r="K14" s="16">
        <v>145</v>
      </c>
      <c r="L14" s="16">
        <v>145</v>
      </c>
      <c r="M14" s="16">
        <v>134</v>
      </c>
      <c r="N14" s="16">
        <v>123</v>
      </c>
      <c r="O14" s="16">
        <v>138</v>
      </c>
      <c r="P14" s="16">
        <v>130</v>
      </c>
      <c r="Q14" s="16">
        <v>139</v>
      </c>
      <c r="R14" s="16">
        <v>135</v>
      </c>
      <c r="S14" s="16">
        <v>136</v>
      </c>
      <c r="T14" s="16">
        <v>142</v>
      </c>
      <c r="U14" s="16">
        <v>127</v>
      </c>
      <c r="V14" s="16">
        <v>143</v>
      </c>
      <c r="W14" s="16">
        <v>134</v>
      </c>
      <c r="X14" s="16">
        <v>138</v>
      </c>
      <c r="Y14" s="16">
        <v>147</v>
      </c>
      <c r="Z14" s="16">
        <v>145</v>
      </c>
      <c r="AA14" s="16">
        <v>144</v>
      </c>
      <c r="AB14" s="16">
        <v>114</v>
      </c>
      <c r="AC14" s="16">
        <v>130</v>
      </c>
      <c r="AD14" s="16">
        <v>127</v>
      </c>
      <c r="AE14" s="16">
        <v>130</v>
      </c>
      <c r="AF14" s="16">
        <v>85</v>
      </c>
      <c r="AG14" s="16">
        <v>141</v>
      </c>
      <c r="AH14" s="13">
        <f>SUM(E14:AG14)</f>
        <v>3898</v>
      </c>
    </row>
    <row r="15" spans="1:34" ht="12.75" customHeight="1" x14ac:dyDescent="0.3">
      <c r="A15" s="15"/>
      <c r="B15" s="82"/>
      <c r="C15" s="69"/>
      <c r="D15" s="16" t="s">
        <v>13</v>
      </c>
      <c r="E15" s="16">
        <v>125</v>
      </c>
      <c r="F15" s="16">
        <v>152</v>
      </c>
      <c r="G15" s="16">
        <v>151</v>
      </c>
      <c r="H15" s="16">
        <v>149</v>
      </c>
      <c r="I15" s="16">
        <v>138</v>
      </c>
      <c r="J15" s="16">
        <v>125</v>
      </c>
      <c r="K15" s="16">
        <v>154</v>
      </c>
      <c r="L15" s="16">
        <v>144</v>
      </c>
      <c r="M15" s="16">
        <v>136</v>
      </c>
      <c r="N15" s="16">
        <v>122</v>
      </c>
      <c r="O15" s="16">
        <v>138</v>
      </c>
      <c r="P15" s="16">
        <v>138</v>
      </c>
      <c r="Q15" s="16">
        <v>153</v>
      </c>
      <c r="R15" s="16">
        <v>138</v>
      </c>
      <c r="S15" s="16">
        <v>145</v>
      </c>
      <c r="T15" s="16">
        <v>151</v>
      </c>
      <c r="U15" s="16">
        <v>127</v>
      </c>
      <c r="V15" s="16">
        <v>135</v>
      </c>
      <c r="W15" s="16">
        <v>132</v>
      </c>
      <c r="X15" s="16">
        <v>137</v>
      </c>
      <c r="Y15" s="16">
        <v>129</v>
      </c>
      <c r="Z15" s="16">
        <v>150</v>
      </c>
      <c r="AA15" s="16">
        <v>145</v>
      </c>
      <c r="AB15" s="16">
        <v>123</v>
      </c>
      <c r="AC15" s="16">
        <v>138</v>
      </c>
      <c r="AD15" s="16">
        <v>142</v>
      </c>
      <c r="AE15" s="16">
        <v>145</v>
      </c>
      <c r="AF15" s="16">
        <v>100</v>
      </c>
      <c r="AG15" s="16">
        <v>128</v>
      </c>
      <c r="AH15" s="13">
        <f t="shared" ref="AH15:AH16" si="0">SUM(E15:AG15)</f>
        <v>3990</v>
      </c>
    </row>
    <row r="16" spans="1:34" ht="12.75" customHeight="1" x14ac:dyDescent="0.3">
      <c r="A16" s="18"/>
      <c r="B16" s="80"/>
      <c r="C16" s="70"/>
      <c r="D16" s="13" t="s">
        <v>14</v>
      </c>
      <c r="E16" s="13">
        <f t="shared" ref="E16:AG16" si="1">SUM(E14:E15)</f>
        <v>262</v>
      </c>
      <c r="F16" s="13">
        <f t="shared" si="1"/>
        <v>276</v>
      </c>
      <c r="G16" s="13">
        <f t="shared" si="1"/>
        <v>292</v>
      </c>
      <c r="H16" s="13">
        <f t="shared" si="1"/>
        <v>292</v>
      </c>
      <c r="I16" s="13">
        <f t="shared" si="1"/>
        <v>274</v>
      </c>
      <c r="J16" s="13">
        <f t="shared" si="1"/>
        <v>270</v>
      </c>
      <c r="K16" s="13">
        <f t="shared" si="1"/>
        <v>299</v>
      </c>
      <c r="L16" s="13">
        <f t="shared" si="1"/>
        <v>289</v>
      </c>
      <c r="M16" s="13">
        <f t="shared" si="1"/>
        <v>270</v>
      </c>
      <c r="N16" s="13">
        <f t="shared" si="1"/>
        <v>245</v>
      </c>
      <c r="O16" s="13">
        <f t="shared" si="1"/>
        <v>276</v>
      </c>
      <c r="P16" s="13">
        <f t="shared" si="1"/>
        <v>268</v>
      </c>
      <c r="Q16" s="13">
        <f t="shared" si="1"/>
        <v>292</v>
      </c>
      <c r="R16" s="13">
        <f t="shared" si="1"/>
        <v>273</v>
      </c>
      <c r="S16" s="13">
        <f t="shared" si="1"/>
        <v>281</v>
      </c>
      <c r="T16" s="13">
        <f t="shared" si="1"/>
        <v>293</v>
      </c>
      <c r="U16" s="13">
        <f t="shared" si="1"/>
        <v>254</v>
      </c>
      <c r="V16" s="13">
        <f t="shared" si="1"/>
        <v>278</v>
      </c>
      <c r="W16" s="13">
        <f t="shared" si="1"/>
        <v>266</v>
      </c>
      <c r="X16" s="13">
        <f t="shared" si="1"/>
        <v>275</v>
      </c>
      <c r="Y16" s="13">
        <f t="shared" si="1"/>
        <v>276</v>
      </c>
      <c r="Z16" s="13">
        <f t="shared" si="1"/>
        <v>295</v>
      </c>
      <c r="AA16" s="13">
        <f t="shared" si="1"/>
        <v>289</v>
      </c>
      <c r="AB16" s="13">
        <f t="shared" si="1"/>
        <v>237</v>
      </c>
      <c r="AC16" s="13">
        <f t="shared" si="1"/>
        <v>268</v>
      </c>
      <c r="AD16" s="13">
        <f t="shared" si="1"/>
        <v>269</v>
      </c>
      <c r="AE16" s="13">
        <f t="shared" si="1"/>
        <v>275</v>
      </c>
      <c r="AF16" s="13">
        <f t="shared" si="1"/>
        <v>185</v>
      </c>
      <c r="AG16" s="13">
        <f t="shared" si="1"/>
        <v>269</v>
      </c>
      <c r="AH16" s="13">
        <f t="shared" si="0"/>
        <v>7888</v>
      </c>
    </row>
    <row r="17" spans="1:34" ht="12.75" customHeight="1" x14ac:dyDescent="0.3">
      <c r="A17" s="62"/>
      <c r="B17" s="61"/>
      <c r="C17" s="61"/>
      <c r="D17" s="59"/>
      <c r="E17" s="16"/>
      <c r="F17" s="16"/>
      <c r="G17" s="16"/>
      <c r="H17" s="16"/>
      <c r="I17" s="16"/>
      <c r="J17" s="16"/>
      <c r="K17" s="16"/>
      <c r="L17" s="16"/>
      <c r="M17" s="16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1"/>
    </row>
    <row r="18" spans="1:34" ht="12.75" customHeight="1" x14ac:dyDescent="0.3">
      <c r="A18" s="20" t="s">
        <v>15</v>
      </c>
      <c r="B18" s="72" t="s">
        <v>16</v>
      </c>
      <c r="C18" s="61"/>
      <c r="D18" s="59"/>
      <c r="E18" s="16"/>
      <c r="F18" s="16"/>
      <c r="G18" s="16"/>
      <c r="H18" s="16"/>
      <c r="I18" s="16"/>
      <c r="J18" s="16"/>
      <c r="K18" s="16"/>
      <c r="L18" s="16"/>
      <c r="M18" s="16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1"/>
    </row>
    <row r="19" spans="1:34" ht="12.75" customHeight="1" x14ac:dyDescent="0.3">
      <c r="A19" s="20"/>
      <c r="B19" s="73" t="s">
        <v>17</v>
      </c>
      <c r="C19" s="74" t="s">
        <v>18</v>
      </c>
      <c r="D19" s="16" t="s">
        <v>12</v>
      </c>
      <c r="E19" s="16">
        <v>89</v>
      </c>
      <c r="F19" s="16">
        <v>90</v>
      </c>
      <c r="G19" s="16">
        <v>90</v>
      </c>
      <c r="H19" s="16">
        <v>87</v>
      </c>
      <c r="I19" s="16">
        <v>103</v>
      </c>
      <c r="J19" s="16">
        <v>110</v>
      </c>
      <c r="K19" s="16">
        <v>88</v>
      </c>
      <c r="L19" s="16">
        <v>104</v>
      </c>
      <c r="M19" s="16">
        <v>100</v>
      </c>
      <c r="N19" s="16">
        <v>87</v>
      </c>
      <c r="O19" s="16">
        <v>101</v>
      </c>
      <c r="P19" s="16">
        <v>85</v>
      </c>
      <c r="Q19" s="16">
        <v>93</v>
      </c>
      <c r="R19" s="16">
        <v>97</v>
      </c>
      <c r="S19" s="16">
        <v>96</v>
      </c>
      <c r="T19" s="16">
        <v>100</v>
      </c>
      <c r="U19" s="16">
        <v>94</v>
      </c>
      <c r="V19" s="16">
        <v>107</v>
      </c>
      <c r="W19" s="16">
        <v>109</v>
      </c>
      <c r="X19" s="16">
        <v>110</v>
      </c>
      <c r="Y19" s="16">
        <v>108</v>
      </c>
      <c r="Z19" s="16">
        <v>89</v>
      </c>
      <c r="AA19" s="16">
        <v>93</v>
      </c>
      <c r="AB19" s="16">
        <v>89</v>
      </c>
      <c r="AC19" s="16">
        <v>92</v>
      </c>
      <c r="AD19" s="16">
        <v>90</v>
      </c>
      <c r="AE19" s="16">
        <v>102</v>
      </c>
      <c r="AF19" s="16">
        <v>65</v>
      </c>
      <c r="AG19" s="16">
        <v>107</v>
      </c>
      <c r="AH19" s="13">
        <f t="shared" ref="AH19:AH30" si="2">SUM(E19:AG19)</f>
        <v>2775</v>
      </c>
    </row>
    <row r="20" spans="1:34" ht="12.75" customHeight="1" x14ac:dyDescent="0.3">
      <c r="A20" s="21"/>
      <c r="B20" s="69"/>
      <c r="C20" s="75"/>
      <c r="D20" s="16" t="s">
        <v>13</v>
      </c>
      <c r="E20" s="16">
        <v>88</v>
      </c>
      <c r="F20" s="16">
        <v>100</v>
      </c>
      <c r="G20" s="16">
        <v>109</v>
      </c>
      <c r="H20" s="16">
        <v>115</v>
      </c>
      <c r="I20" s="16">
        <v>102</v>
      </c>
      <c r="J20" s="16">
        <v>102</v>
      </c>
      <c r="K20" s="16">
        <v>95</v>
      </c>
      <c r="L20" s="16">
        <v>113</v>
      </c>
      <c r="M20" s="16">
        <v>101</v>
      </c>
      <c r="N20" s="16">
        <v>99</v>
      </c>
      <c r="O20" s="16">
        <v>104</v>
      </c>
      <c r="P20" s="16">
        <v>91</v>
      </c>
      <c r="Q20" s="16">
        <v>103</v>
      </c>
      <c r="R20" s="16">
        <v>97</v>
      </c>
      <c r="S20" s="16">
        <v>87</v>
      </c>
      <c r="T20" s="16">
        <v>102</v>
      </c>
      <c r="U20" s="16">
        <v>99</v>
      </c>
      <c r="V20" s="16">
        <v>107</v>
      </c>
      <c r="W20" s="16">
        <v>120</v>
      </c>
      <c r="X20" s="16">
        <v>110</v>
      </c>
      <c r="Y20" s="16">
        <v>99</v>
      </c>
      <c r="Z20" s="16">
        <v>110</v>
      </c>
      <c r="AA20" s="16">
        <v>110</v>
      </c>
      <c r="AB20" s="16">
        <v>103</v>
      </c>
      <c r="AC20" s="16">
        <v>106</v>
      </c>
      <c r="AD20" s="16">
        <v>96</v>
      </c>
      <c r="AE20" s="16">
        <v>115</v>
      </c>
      <c r="AF20" s="16">
        <v>77</v>
      </c>
      <c r="AG20" s="16">
        <v>102</v>
      </c>
      <c r="AH20" s="13">
        <f t="shared" si="2"/>
        <v>2962</v>
      </c>
    </row>
    <row r="21" spans="1:34" ht="12.75" customHeight="1" x14ac:dyDescent="0.3">
      <c r="A21" s="22"/>
      <c r="B21" s="70"/>
      <c r="C21" s="76"/>
      <c r="D21" s="13" t="s">
        <v>14</v>
      </c>
      <c r="E21" s="13">
        <f t="shared" ref="E21:AG21" si="3">SUM(E19:E20)</f>
        <v>177</v>
      </c>
      <c r="F21" s="13">
        <f t="shared" si="3"/>
        <v>190</v>
      </c>
      <c r="G21" s="13">
        <f t="shared" si="3"/>
        <v>199</v>
      </c>
      <c r="H21" s="13">
        <f t="shared" si="3"/>
        <v>202</v>
      </c>
      <c r="I21" s="13">
        <f t="shared" si="3"/>
        <v>205</v>
      </c>
      <c r="J21" s="13">
        <f t="shared" si="3"/>
        <v>212</v>
      </c>
      <c r="K21" s="13">
        <f t="shared" si="3"/>
        <v>183</v>
      </c>
      <c r="L21" s="13">
        <f t="shared" si="3"/>
        <v>217</v>
      </c>
      <c r="M21" s="13">
        <f t="shared" si="3"/>
        <v>201</v>
      </c>
      <c r="N21" s="13">
        <f t="shared" si="3"/>
        <v>186</v>
      </c>
      <c r="O21" s="13">
        <f t="shared" si="3"/>
        <v>205</v>
      </c>
      <c r="P21" s="13">
        <f t="shared" si="3"/>
        <v>176</v>
      </c>
      <c r="Q21" s="13">
        <f t="shared" si="3"/>
        <v>196</v>
      </c>
      <c r="R21" s="13">
        <f t="shared" si="3"/>
        <v>194</v>
      </c>
      <c r="S21" s="13">
        <f t="shared" si="3"/>
        <v>183</v>
      </c>
      <c r="T21" s="13">
        <f t="shared" si="3"/>
        <v>202</v>
      </c>
      <c r="U21" s="13">
        <f t="shared" si="3"/>
        <v>193</v>
      </c>
      <c r="V21" s="13">
        <f t="shared" si="3"/>
        <v>214</v>
      </c>
      <c r="W21" s="13">
        <f t="shared" si="3"/>
        <v>229</v>
      </c>
      <c r="X21" s="13">
        <f t="shared" si="3"/>
        <v>220</v>
      </c>
      <c r="Y21" s="13">
        <f t="shared" si="3"/>
        <v>207</v>
      </c>
      <c r="Z21" s="13">
        <f t="shared" si="3"/>
        <v>199</v>
      </c>
      <c r="AA21" s="13">
        <f t="shared" si="3"/>
        <v>203</v>
      </c>
      <c r="AB21" s="13">
        <f t="shared" si="3"/>
        <v>192</v>
      </c>
      <c r="AC21" s="13">
        <f t="shared" si="3"/>
        <v>198</v>
      </c>
      <c r="AD21" s="13">
        <f t="shared" si="3"/>
        <v>186</v>
      </c>
      <c r="AE21" s="13">
        <f t="shared" si="3"/>
        <v>217</v>
      </c>
      <c r="AF21" s="13">
        <f t="shared" si="3"/>
        <v>142</v>
      </c>
      <c r="AG21" s="13">
        <f t="shared" si="3"/>
        <v>209</v>
      </c>
      <c r="AH21" s="13">
        <f t="shared" si="2"/>
        <v>5737</v>
      </c>
    </row>
    <row r="22" spans="1:34" ht="12.75" customHeight="1" x14ac:dyDescent="0.3">
      <c r="A22" s="21"/>
      <c r="B22" s="73" t="s">
        <v>19</v>
      </c>
      <c r="C22" s="74" t="s">
        <v>20</v>
      </c>
      <c r="D22" s="16" t="s">
        <v>12</v>
      </c>
      <c r="E22" s="16">
        <v>0</v>
      </c>
      <c r="F22" s="16">
        <v>0</v>
      </c>
      <c r="G22" s="16">
        <v>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1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3">
        <f t="shared" si="2"/>
        <v>4</v>
      </c>
    </row>
    <row r="23" spans="1:34" ht="12.75" customHeight="1" x14ac:dyDescent="0.3">
      <c r="A23" s="21"/>
      <c r="B23" s="69"/>
      <c r="C23" s="75"/>
      <c r="D23" s="16" t="s">
        <v>13</v>
      </c>
      <c r="E23" s="16">
        <v>3</v>
      </c>
      <c r="F23" s="16">
        <v>0</v>
      </c>
      <c r="G23" s="16">
        <v>5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1</v>
      </c>
      <c r="N23" s="16">
        <v>2</v>
      </c>
      <c r="O23" s="16">
        <v>0</v>
      </c>
      <c r="P23" s="16">
        <v>0</v>
      </c>
      <c r="Q23" s="16">
        <v>0</v>
      </c>
      <c r="R23" s="16">
        <v>2</v>
      </c>
      <c r="S23" s="16">
        <v>0</v>
      </c>
      <c r="T23" s="16">
        <v>0</v>
      </c>
      <c r="U23" s="16">
        <v>1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3">
        <f t="shared" si="2"/>
        <v>14</v>
      </c>
    </row>
    <row r="24" spans="1:34" ht="12.75" customHeight="1" x14ac:dyDescent="0.3">
      <c r="A24" s="22"/>
      <c r="B24" s="70"/>
      <c r="C24" s="76"/>
      <c r="D24" s="13" t="s">
        <v>14</v>
      </c>
      <c r="E24" s="13">
        <f t="shared" ref="E24:AG24" si="4">SUM(E22:E23)</f>
        <v>3</v>
      </c>
      <c r="F24" s="13">
        <f t="shared" si="4"/>
        <v>0</v>
      </c>
      <c r="G24" s="13">
        <f t="shared" si="4"/>
        <v>8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1</v>
      </c>
      <c r="N24" s="13">
        <f t="shared" si="4"/>
        <v>2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2</v>
      </c>
      <c r="S24" s="13">
        <f t="shared" si="4"/>
        <v>0</v>
      </c>
      <c r="T24" s="13">
        <f t="shared" si="4"/>
        <v>0</v>
      </c>
      <c r="U24" s="13">
        <f t="shared" si="4"/>
        <v>2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0</v>
      </c>
      <c r="AG24" s="13">
        <f t="shared" si="4"/>
        <v>0</v>
      </c>
      <c r="AH24" s="13">
        <f t="shared" si="2"/>
        <v>18</v>
      </c>
    </row>
    <row r="25" spans="1:34" ht="12.75" customHeight="1" x14ac:dyDescent="0.3">
      <c r="A25" s="21"/>
      <c r="B25" s="73" t="s">
        <v>21</v>
      </c>
      <c r="C25" s="74" t="s">
        <v>22</v>
      </c>
      <c r="D25" s="16" t="s">
        <v>12</v>
      </c>
      <c r="E25" s="16">
        <v>0</v>
      </c>
      <c r="F25" s="16">
        <v>0</v>
      </c>
      <c r="G25" s="16">
        <v>3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2</v>
      </c>
      <c r="U25" s="16">
        <v>2</v>
      </c>
      <c r="V25" s="16">
        <v>1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4</v>
      </c>
      <c r="AD25" s="16">
        <v>0</v>
      </c>
      <c r="AE25" s="16">
        <v>0</v>
      </c>
      <c r="AF25" s="16">
        <v>1</v>
      </c>
      <c r="AG25" s="16">
        <v>0</v>
      </c>
      <c r="AH25" s="13">
        <f t="shared" si="2"/>
        <v>13</v>
      </c>
    </row>
    <row r="26" spans="1:34" ht="12.75" customHeight="1" x14ac:dyDescent="0.3">
      <c r="A26" s="21"/>
      <c r="B26" s="69"/>
      <c r="C26" s="75"/>
      <c r="D26" s="16" t="s">
        <v>13</v>
      </c>
      <c r="E26" s="16">
        <v>3</v>
      </c>
      <c r="F26" s="16">
        <v>0</v>
      </c>
      <c r="G26" s="16">
        <v>5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1</v>
      </c>
      <c r="N26" s="16">
        <v>2</v>
      </c>
      <c r="O26" s="16">
        <v>0</v>
      </c>
      <c r="P26" s="16">
        <v>0</v>
      </c>
      <c r="Q26" s="16">
        <v>0</v>
      </c>
      <c r="R26" s="16">
        <v>2</v>
      </c>
      <c r="S26" s="16">
        <v>0</v>
      </c>
      <c r="T26" s="16">
        <v>3</v>
      </c>
      <c r="U26" s="16">
        <v>2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1</v>
      </c>
      <c r="AD26" s="16">
        <v>0</v>
      </c>
      <c r="AE26" s="16">
        <v>0</v>
      </c>
      <c r="AF26" s="16">
        <v>1</v>
      </c>
      <c r="AG26" s="16">
        <v>0</v>
      </c>
      <c r="AH26" s="13">
        <f t="shared" si="2"/>
        <v>20</v>
      </c>
    </row>
    <row r="27" spans="1:34" ht="12.75" customHeight="1" x14ac:dyDescent="0.3">
      <c r="A27" s="22"/>
      <c r="B27" s="70"/>
      <c r="C27" s="76"/>
      <c r="D27" s="13" t="s">
        <v>14</v>
      </c>
      <c r="E27" s="13">
        <f t="shared" ref="E27:AG27" si="5">SUM(E25:E26)</f>
        <v>3</v>
      </c>
      <c r="F27" s="13">
        <f t="shared" si="5"/>
        <v>0</v>
      </c>
      <c r="G27" s="13">
        <f t="shared" si="5"/>
        <v>8</v>
      </c>
      <c r="H27" s="13">
        <f t="shared" si="5"/>
        <v>0</v>
      </c>
      <c r="I27" s="13">
        <f t="shared" si="5"/>
        <v>0</v>
      </c>
      <c r="J27" s="13">
        <f t="shared" si="5"/>
        <v>0</v>
      </c>
      <c r="K27" s="13">
        <f t="shared" si="5"/>
        <v>0</v>
      </c>
      <c r="L27" s="13">
        <f t="shared" si="5"/>
        <v>0</v>
      </c>
      <c r="M27" s="13">
        <f t="shared" si="5"/>
        <v>1</v>
      </c>
      <c r="N27" s="13">
        <f t="shared" si="5"/>
        <v>2</v>
      </c>
      <c r="O27" s="13">
        <f t="shared" si="5"/>
        <v>0</v>
      </c>
      <c r="P27" s="13">
        <f t="shared" si="5"/>
        <v>0</v>
      </c>
      <c r="Q27" s="13">
        <f t="shared" si="5"/>
        <v>0</v>
      </c>
      <c r="R27" s="13">
        <f t="shared" si="5"/>
        <v>2</v>
      </c>
      <c r="S27" s="13">
        <f t="shared" si="5"/>
        <v>0</v>
      </c>
      <c r="T27" s="13">
        <f t="shared" si="5"/>
        <v>5</v>
      </c>
      <c r="U27" s="13">
        <f t="shared" si="5"/>
        <v>4</v>
      </c>
      <c r="V27" s="13">
        <f t="shared" si="5"/>
        <v>1</v>
      </c>
      <c r="W27" s="13">
        <f t="shared" si="5"/>
        <v>0</v>
      </c>
      <c r="X27" s="13">
        <f t="shared" si="5"/>
        <v>0</v>
      </c>
      <c r="Y27" s="13">
        <f t="shared" si="5"/>
        <v>0</v>
      </c>
      <c r="Z27" s="13">
        <f t="shared" si="5"/>
        <v>0</v>
      </c>
      <c r="AA27" s="13">
        <f t="shared" si="5"/>
        <v>0</v>
      </c>
      <c r="AB27" s="13">
        <f t="shared" si="5"/>
        <v>0</v>
      </c>
      <c r="AC27" s="13">
        <f t="shared" si="5"/>
        <v>5</v>
      </c>
      <c r="AD27" s="13">
        <f t="shared" si="5"/>
        <v>0</v>
      </c>
      <c r="AE27" s="13">
        <f t="shared" si="5"/>
        <v>0</v>
      </c>
      <c r="AF27" s="13">
        <f t="shared" si="5"/>
        <v>2</v>
      </c>
      <c r="AG27" s="13">
        <f t="shared" si="5"/>
        <v>0</v>
      </c>
      <c r="AH27" s="13">
        <f t="shared" si="2"/>
        <v>33</v>
      </c>
    </row>
    <row r="28" spans="1:34" ht="12.75" customHeight="1" x14ac:dyDescent="0.3">
      <c r="A28" s="22"/>
      <c r="B28" s="77" t="s">
        <v>23</v>
      </c>
      <c r="C28" s="78" t="s">
        <v>24</v>
      </c>
      <c r="D28" s="13" t="s">
        <v>12</v>
      </c>
      <c r="E28" s="13">
        <f t="shared" ref="E28:AG28" si="6">SUM(E19,E22,E25)</f>
        <v>89</v>
      </c>
      <c r="F28" s="13">
        <f t="shared" si="6"/>
        <v>90</v>
      </c>
      <c r="G28" s="13">
        <f t="shared" si="6"/>
        <v>96</v>
      </c>
      <c r="H28" s="13">
        <f t="shared" si="6"/>
        <v>87</v>
      </c>
      <c r="I28" s="13">
        <f t="shared" si="6"/>
        <v>103</v>
      </c>
      <c r="J28" s="13">
        <f t="shared" si="6"/>
        <v>110</v>
      </c>
      <c r="K28" s="13">
        <f t="shared" si="6"/>
        <v>88</v>
      </c>
      <c r="L28" s="13">
        <f t="shared" si="6"/>
        <v>104</v>
      </c>
      <c r="M28" s="13">
        <f t="shared" si="6"/>
        <v>100</v>
      </c>
      <c r="N28" s="13">
        <f t="shared" si="6"/>
        <v>87</v>
      </c>
      <c r="O28" s="13">
        <f t="shared" si="6"/>
        <v>101</v>
      </c>
      <c r="P28" s="13">
        <f t="shared" si="6"/>
        <v>85</v>
      </c>
      <c r="Q28" s="13">
        <f t="shared" si="6"/>
        <v>93</v>
      </c>
      <c r="R28" s="13">
        <f t="shared" si="6"/>
        <v>97</v>
      </c>
      <c r="S28" s="13">
        <f t="shared" si="6"/>
        <v>96</v>
      </c>
      <c r="T28" s="13">
        <f t="shared" si="6"/>
        <v>102</v>
      </c>
      <c r="U28" s="13">
        <f t="shared" si="6"/>
        <v>97</v>
      </c>
      <c r="V28" s="13">
        <f t="shared" si="6"/>
        <v>108</v>
      </c>
      <c r="W28" s="13">
        <f t="shared" si="6"/>
        <v>109</v>
      </c>
      <c r="X28" s="13">
        <f t="shared" si="6"/>
        <v>110</v>
      </c>
      <c r="Y28" s="13">
        <f t="shared" si="6"/>
        <v>108</v>
      </c>
      <c r="Z28" s="13">
        <f t="shared" si="6"/>
        <v>89</v>
      </c>
      <c r="AA28" s="13">
        <f t="shared" si="6"/>
        <v>93</v>
      </c>
      <c r="AB28" s="13">
        <f t="shared" si="6"/>
        <v>89</v>
      </c>
      <c r="AC28" s="13">
        <f t="shared" si="6"/>
        <v>96</v>
      </c>
      <c r="AD28" s="13">
        <f t="shared" si="6"/>
        <v>90</v>
      </c>
      <c r="AE28" s="13">
        <f t="shared" si="6"/>
        <v>102</v>
      </c>
      <c r="AF28" s="13">
        <f t="shared" si="6"/>
        <v>66</v>
      </c>
      <c r="AG28" s="13">
        <f t="shared" si="6"/>
        <v>107</v>
      </c>
      <c r="AH28" s="13">
        <f t="shared" si="2"/>
        <v>2792</v>
      </c>
    </row>
    <row r="29" spans="1:34" ht="12.75" customHeight="1" x14ac:dyDescent="0.3">
      <c r="A29" s="22"/>
      <c r="B29" s="69"/>
      <c r="C29" s="75"/>
      <c r="D29" s="13" t="s">
        <v>13</v>
      </c>
      <c r="E29" s="13">
        <f t="shared" ref="E29:AG29" si="7">SUM(E20,E23,E26)</f>
        <v>94</v>
      </c>
      <c r="F29" s="13">
        <f t="shared" si="7"/>
        <v>100</v>
      </c>
      <c r="G29" s="13">
        <f t="shared" si="7"/>
        <v>119</v>
      </c>
      <c r="H29" s="13">
        <f t="shared" si="7"/>
        <v>115</v>
      </c>
      <c r="I29" s="13">
        <f t="shared" si="7"/>
        <v>102</v>
      </c>
      <c r="J29" s="13">
        <f t="shared" si="7"/>
        <v>102</v>
      </c>
      <c r="K29" s="13">
        <f t="shared" si="7"/>
        <v>95</v>
      </c>
      <c r="L29" s="13">
        <f t="shared" si="7"/>
        <v>113</v>
      </c>
      <c r="M29" s="13">
        <f t="shared" si="7"/>
        <v>103</v>
      </c>
      <c r="N29" s="13">
        <f t="shared" si="7"/>
        <v>103</v>
      </c>
      <c r="O29" s="13">
        <f t="shared" si="7"/>
        <v>104</v>
      </c>
      <c r="P29" s="13">
        <f t="shared" si="7"/>
        <v>91</v>
      </c>
      <c r="Q29" s="13">
        <f t="shared" si="7"/>
        <v>103</v>
      </c>
      <c r="R29" s="13">
        <f t="shared" si="7"/>
        <v>101</v>
      </c>
      <c r="S29" s="13">
        <f t="shared" si="7"/>
        <v>87</v>
      </c>
      <c r="T29" s="13">
        <f t="shared" si="7"/>
        <v>105</v>
      </c>
      <c r="U29" s="13">
        <f t="shared" si="7"/>
        <v>102</v>
      </c>
      <c r="V29" s="13">
        <f t="shared" si="7"/>
        <v>107</v>
      </c>
      <c r="W29" s="13">
        <f t="shared" si="7"/>
        <v>120</v>
      </c>
      <c r="X29" s="13">
        <f t="shared" si="7"/>
        <v>110</v>
      </c>
      <c r="Y29" s="13">
        <f t="shared" si="7"/>
        <v>99</v>
      </c>
      <c r="Z29" s="13">
        <f t="shared" si="7"/>
        <v>110</v>
      </c>
      <c r="AA29" s="13">
        <f t="shared" si="7"/>
        <v>110</v>
      </c>
      <c r="AB29" s="13">
        <f t="shared" si="7"/>
        <v>103</v>
      </c>
      <c r="AC29" s="13">
        <f t="shared" si="7"/>
        <v>107</v>
      </c>
      <c r="AD29" s="13">
        <f t="shared" si="7"/>
        <v>96</v>
      </c>
      <c r="AE29" s="13">
        <f t="shared" si="7"/>
        <v>115</v>
      </c>
      <c r="AF29" s="13">
        <f t="shared" si="7"/>
        <v>78</v>
      </c>
      <c r="AG29" s="13">
        <f t="shared" si="7"/>
        <v>102</v>
      </c>
      <c r="AH29" s="13">
        <f t="shared" si="2"/>
        <v>2996</v>
      </c>
    </row>
    <row r="30" spans="1:34" ht="12.75" customHeight="1" x14ac:dyDescent="0.3">
      <c r="A30" s="22"/>
      <c r="B30" s="70"/>
      <c r="C30" s="76"/>
      <c r="D30" s="13" t="s">
        <v>14</v>
      </c>
      <c r="E30" s="13">
        <f t="shared" ref="E30:AG30" si="8">SUM(E28:E29)</f>
        <v>183</v>
      </c>
      <c r="F30" s="13">
        <f t="shared" si="8"/>
        <v>190</v>
      </c>
      <c r="G30" s="13">
        <f t="shared" si="8"/>
        <v>215</v>
      </c>
      <c r="H30" s="13">
        <f t="shared" si="8"/>
        <v>202</v>
      </c>
      <c r="I30" s="13">
        <f t="shared" si="8"/>
        <v>205</v>
      </c>
      <c r="J30" s="13">
        <f t="shared" si="8"/>
        <v>212</v>
      </c>
      <c r="K30" s="13">
        <f t="shared" si="8"/>
        <v>183</v>
      </c>
      <c r="L30" s="13">
        <f t="shared" si="8"/>
        <v>217</v>
      </c>
      <c r="M30" s="13">
        <f t="shared" si="8"/>
        <v>203</v>
      </c>
      <c r="N30" s="13">
        <f t="shared" si="8"/>
        <v>190</v>
      </c>
      <c r="O30" s="13">
        <f t="shared" si="8"/>
        <v>205</v>
      </c>
      <c r="P30" s="13">
        <f t="shared" si="8"/>
        <v>176</v>
      </c>
      <c r="Q30" s="13">
        <f t="shared" si="8"/>
        <v>196</v>
      </c>
      <c r="R30" s="13">
        <f t="shared" si="8"/>
        <v>198</v>
      </c>
      <c r="S30" s="13">
        <f t="shared" si="8"/>
        <v>183</v>
      </c>
      <c r="T30" s="13">
        <f t="shared" si="8"/>
        <v>207</v>
      </c>
      <c r="U30" s="13">
        <f t="shared" si="8"/>
        <v>199</v>
      </c>
      <c r="V30" s="13">
        <f t="shared" si="8"/>
        <v>215</v>
      </c>
      <c r="W30" s="13">
        <f t="shared" si="8"/>
        <v>229</v>
      </c>
      <c r="X30" s="13">
        <f t="shared" si="8"/>
        <v>220</v>
      </c>
      <c r="Y30" s="13">
        <f t="shared" si="8"/>
        <v>207</v>
      </c>
      <c r="Z30" s="13">
        <f t="shared" si="8"/>
        <v>199</v>
      </c>
      <c r="AA30" s="13">
        <f t="shared" si="8"/>
        <v>203</v>
      </c>
      <c r="AB30" s="13">
        <f t="shared" si="8"/>
        <v>192</v>
      </c>
      <c r="AC30" s="13">
        <f t="shared" si="8"/>
        <v>203</v>
      </c>
      <c r="AD30" s="13">
        <f t="shared" si="8"/>
        <v>186</v>
      </c>
      <c r="AE30" s="13">
        <f t="shared" si="8"/>
        <v>217</v>
      </c>
      <c r="AF30" s="13">
        <f t="shared" si="8"/>
        <v>144</v>
      </c>
      <c r="AG30" s="13">
        <f t="shared" si="8"/>
        <v>209</v>
      </c>
      <c r="AH30" s="13">
        <f t="shared" si="2"/>
        <v>5788</v>
      </c>
    </row>
    <row r="31" spans="1:34" ht="12.75" customHeight="1" x14ac:dyDescent="0.3">
      <c r="A31" s="62"/>
      <c r="B31" s="61"/>
      <c r="C31" s="61"/>
      <c r="D31" s="59"/>
      <c r="E31" s="16"/>
      <c r="F31" s="16"/>
      <c r="G31" s="16"/>
      <c r="H31" s="16"/>
      <c r="I31" s="16"/>
      <c r="J31" s="16"/>
      <c r="K31" s="16"/>
      <c r="L31" s="16"/>
      <c r="M31" s="16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1"/>
    </row>
    <row r="32" spans="1:34" ht="12.75" customHeight="1" x14ac:dyDescent="0.3">
      <c r="A32" s="25" t="s">
        <v>25</v>
      </c>
      <c r="B32" s="65" t="s">
        <v>26</v>
      </c>
      <c r="C32" s="61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1"/>
    </row>
    <row r="33" spans="1:34" ht="12.75" customHeight="1" x14ac:dyDescent="0.3">
      <c r="A33" s="16">
        <v>1</v>
      </c>
      <c r="B33" s="72" t="s">
        <v>27</v>
      </c>
      <c r="C33" s="61"/>
      <c r="D33" s="59"/>
      <c r="E33" s="16">
        <v>268</v>
      </c>
      <c r="F33" s="16">
        <v>291</v>
      </c>
      <c r="G33" s="16">
        <v>298</v>
      </c>
      <c r="H33" s="16">
        <v>298</v>
      </c>
      <c r="I33" s="16">
        <v>280</v>
      </c>
      <c r="J33" s="16">
        <v>276</v>
      </c>
      <c r="K33" s="16">
        <v>301</v>
      </c>
      <c r="L33" s="16">
        <v>295</v>
      </c>
      <c r="M33" s="16">
        <v>276</v>
      </c>
      <c r="N33" s="16">
        <v>250</v>
      </c>
      <c r="O33" s="16">
        <v>282</v>
      </c>
      <c r="P33" s="16">
        <v>272</v>
      </c>
      <c r="Q33" s="16">
        <v>298</v>
      </c>
      <c r="R33" s="16">
        <v>279</v>
      </c>
      <c r="S33" s="16">
        <v>287</v>
      </c>
      <c r="T33" s="16">
        <v>299</v>
      </c>
      <c r="U33" s="16">
        <v>260</v>
      </c>
      <c r="V33" s="16">
        <v>291</v>
      </c>
      <c r="W33" s="16">
        <v>272</v>
      </c>
      <c r="X33" s="16">
        <v>281</v>
      </c>
      <c r="Y33" s="16">
        <v>282</v>
      </c>
      <c r="Z33" s="16">
        <v>301</v>
      </c>
      <c r="AA33" s="16">
        <v>295</v>
      </c>
      <c r="AB33" s="16">
        <v>242</v>
      </c>
      <c r="AC33" s="16">
        <v>274</v>
      </c>
      <c r="AD33" s="16">
        <v>275</v>
      </c>
      <c r="AE33" s="16">
        <v>281</v>
      </c>
      <c r="AF33" s="16">
        <v>188</v>
      </c>
      <c r="AG33" s="16">
        <v>275</v>
      </c>
      <c r="AH33" s="13">
        <f t="shared" ref="AH33:AH36" si="9">SUM(E33:AG33)</f>
        <v>8067</v>
      </c>
    </row>
    <row r="34" spans="1:34" ht="12.75" customHeight="1" x14ac:dyDescent="0.3">
      <c r="A34" s="16">
        <v>2</v>
      </c>
      <c r="B34" s="72" t="s">
        <v>28</v>
      </c>
      <c r="C34" s="61"/>
      <c r="D34" s="59"/>
      <c r="E34" s="13">
        <v>180</v>
      </c>
      <c r="F34" s="13">
        <v>190</v>
      </c>
      <c r="G34" s="13">
        <v>207</v>
      </c>
      <c r="H34" s="13">
        <v>202</v>
      </c>
      <c r="I34" s="13">
        <v>205</v>
      </c>
      <c r="J34" s="13">
        <v>212</v>
      </c>
      <c r="K34" s="13">
        <v>183</v>
      </c>
      <c r="L34" s="13">
        <v>217</v>
      </c>
      <c r="M34" s="13">
        <v>202</v>
      </c>
      <c r="N34" s="13">
        <v>188</v>
      </c>
      <c r="O34" s="13">
        <v>205</v>
      </c>
      <c r="P34" s="13">
        <v>176</v>
      </c>
      <c r="Q34" s="13">
        <v>196</v>
      </c>
      <c r="R34" s="13">
        <v>196</v>
      </c>
      <c r="S34" s="13">
        <v>183</v>
      </c>
      <c r="T34" s="13">
        <v>207</v>
      </c>
      <c r="U34" s="13">
        <v>199</v>
      </c>
      <c r="V34" s="13">
        <v>215</v>
      </c>
      <c r="W34" s="13">
        <v>229</v>
      </c>
      <c r="X34" s="13">
        <v>220</v>
      </c>
      <c r="Y34" s="13">
        <v>207</v>
      </c>
      <c r="Z34" s="13">
        <v>199</v>
      </c>
      <c r="AA34" s="13">
        <v>203</v>
      </c>
      <c r="AB34" s="13">
        <v>192</v>
      </c>
      <c r="AC34" s="13">
        <v>203</v>
      </c>
      <c r="AD34" s="13">
        <v>186</v>
      </c>
      <c r="AE34" s="13">
        <v>217</v>
      </c>
      <c r="AF34" s="13">
        <v>144</v>
      </c>
      <c r="AG34" s="13">
        <v>209</v>
      </c>
      <c r="AH34" s="13">
        <f t="shared" si="9"/>
        <v>5772</v>
      </c>
    </row>
    <row r="35" spans="1:34" ht="12.75" customHeight="1" x14ac:dyDescent="0.3">
      <c r="A35" s="16">
        <v>3</v>
      </c>
      <c r="B35" s="72" t="s">
        <v>29</v>
      </c>
      <c r="C35" s="61"/>
      <c r="D35" s="59"/>
      <c r="E35" s="16">
        <v>0</v>
      </c>
      <c r="F35" s="16">
        <v>0</v>
      </c>
      <c r="G35" s="16">
        <v>0</v>
      </c>
      <c r="H35" s="16">
        <v>0</v>
      </c>
      <c r="I35" s="16">
        <v>1</v>
      </c>
      <c r="J35" s="16">
        <v>0</v>
      </c>
      <c r="K35" s="16">
        <v>0</v>
      </c>
      <c r="L35" s="16">
        <v>0</v>
      </c>
      <c r="M35" s="16">
        <v>0</v>
      </c>
      <c r="N35" s="16">
        <v>1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2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3">
        <f t="shared" si="9"/>
        <v>4</v>
      </c>
    </row>
    <row r="36" spans="1:34" ht="12.75" customHeight="1" x14ac:dyDescent="0.3">
      <c r="A36" s="16">
        <v>4</v>
      </c>
      <c r="B36" s="72" t="s">
        <v>30</v>
      </c>
      <c r="C36" s="61"/>
      <c r="D36" s="59"/>
      <c r="E36" s="13">
        <f t="shared" ref="E36:AG36" si="10">E33-(E34+E35)</f>
        <v>88</v>
      </c>
      <c r="F36" s="13">
        <f t="shared" si="10"/>
        <v>101</v>
      </c>
      <c r="G36" s="13">
        <f t="shared" si="10"/>
        <v>91</v>
      </c>
      <c r="H36" s="13">
        <f t="shared" si="10"/>
        <v>96</v>
      </c>
      <c r="I36" s="13">
        <f t="shared" si="10"/>
        <v>74</v>
      </c>
      <c r="J36" s="13">
        <f t="shared" si="10"/>
        <v>64</v>
      </c>
      <c r="K36" s="13">
        <f t="shared" si="10"/>
        <v>118</v>
      </c>
      <c r="L36" s="13">
        <f t="shared" si="10"/>
        <v>78</v>
      </c>
      <c r="M36" s="13">
        <f t="shared" si="10"/>
        <v>74</v>
      </c>
      <c r="N36" s="13">
        <f t="shared" si="10"/>
        <v>61</v>
      </c>
      <c r="O36" s="13">
        <f t="shared" si="10"/>
        <v>77</v>
      </c>
      <c r="P36" s="13">
        <f t="shared" si="10"/>
        <v>96</v>
      </c>
      <c r="Q36" s="13">
        <f t="shared" si="10"/>
        <v>102</v>
      </c>
      <c r="R36" s="13">
        <f t="shared" si="10"/>
        <v>83</v>
      </c>
      <c r="S36" s="13">
        <f t="shared" si="10"/>
        <v>104</v>
      </c>
      <c r="T36" s="13">
        <f t="shared" si="10"/>
        <v>92</v>
      </c>
      <c r="U36" s="13">
        <f t="shared" si="10"/>
        <v>61</v>
      </c>
      <c r="V36" s="13">
        <f t="shared" si="10"/>
        <v>76</v>
      </c>
      <c r="W36" s="13">
        <f t="shared" si="10"/>
        <v>43</v>
      </c>
      <c r="X36" s="13">
        <f t="shared" si="10"/>
        <v>61</v>
      </c>
      <c r="Y36" s="13">
        <f t="shared" si="10"/>
        <v>75</v>
      </c>
      <c r="Z36" s="13">
        <f t="shared" si="10"/>
        <v>102</v>
      </c>
      <c r="AA36" s="13">
        <f t="shared" si="10"/>
        <v>90</v>
      </c>
      <c r="AB36" s="13">
        <f t="shared" si="10"/>
        <v>50</v>
      </c>
      <c r="AC36" s="13">
        <f t="shared" si="10"/>
        <v>71</v>
      </c>
      <c r="AD36" s="13">
        <f t="shared" si="10"/>
        <v>89</v>
      </c>
      <c r="AE36" s="13">
        <f t="shared" si="10"/>
        <v>64</v>
      </c>
      <c r="AF36" s="13">
        <f t="shared" si="10"/>
        <v>44</v>
      </c>
      <c r="AG36" s="13">
        <f t="shared" si="10"/>
        <v>66</v>
      </c>
      <c r="AH36" s="13">
        <f t="shared" si="9"/>
        <v>2291</v>
      </c>
    </row>
    <row r="37" spans="1:34" ht="12.75" customHeight="1" x14ac:dyDescent="0.3">
      <c r="A37" s="62"/>
      <c r="B37" s="61"/>
      <c r="C37" s="61"/>
      <c r="D37" s="61"/>
      <c r="E37" s="62"/>
      <c r="F37" s="61"/>
      <c r="G37" s="61"/>
      <c r="H37" s="61"/>
      <c r="I37" s="59"/>
      <c r="J37" s="16"/>
      <c r="K37" s="16"/>
      <c r="L37" s="16"/>
      <c r="M37" s="16"/>
      <c r="N37" s="50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1"/>
    </row>
    <row r="38" spans="1:34" ht="12.75" customHeight="1" x14ac:dyDescent="0.3">
      <c r="A38" s="26" t="s">
        <v>31</v>
      </c>
      <c r="B38" s="65" t="s">
        <v>32</v>
      </c>
      <c r="C38" s="61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1"/>
    </row>
    <row r="39" spans="1:34" ht="12.75" customHeight="1" x14ac:dyDescent="0.3">
      <c r="A39" s="20"/>
      <c r="B39" s="66" t="s">
        <v>33</v>
      </c>
      <c r="C39" s="67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3</v>
      </c>
      <c r="L39" s="16">
        <v>3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1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2</v>
      </c>
      <c r="AD39" s="16">
        <v>0</v>
      </c>
      <c r="AE39" s="16">
        <v>0</v>
      </c>
      <c r="AF39" s="16">
        <v>0</v>
      </c>
      <c r="AG39" s="16">
        <v>1</v>
      </c>
      <c r="AH39" s="13">
        <f t="shared" ref="AH39:AH41" si="11">SUM(E39:AG39)</f>
        <v>10</v>
      </c>
    </row>
    <row r="40" spans="1:34" ht="12.75" customHeight="1" x14ac:dyDescent="0.3">
      <c r="A40" s="21"/>
      <c r="B40" s="68"/>
      <c r="C40" s="69"/>
      <c r="D40" s="16" t="s">
        <v>13</v>
      </c>
      <c r="E40" s="16">
        <v>0</v>
      </c>
      <c r="F40" s="16">
        <v>0</v>
      </c>
      <c r="G40" s="16">
        <v>0</v>
      </c>
      <c r="H40" s="16">
        <v>0</v>
      </c>
      <c r="I40" s="16">
        <v>2</v>
      </c>
      <c r="J40" s="16">
        <v>0</v>
      </c>
      <c r="K40" s="16">
        <v>3</v>
      </c>
      <c r="L40" s="16">
        <v>7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1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1</v>
      </c>
      <c r="AH40" s="13">
        <f t="shared" si="11"/>
        <v>14</v>
      </c>
    </row>
    <row r="41" spans="1:34" ht="12.75" customHeight="1" x14ac:dyDescent="0.3">
      <c r="A41" s="25"/>
      <c r="B41" s="64"/>
      <c r="C41" s="70"/>
      <c r="D41" s="13" t="s">
        <v>14</v>
      </c>
      <c r="E41" s="13">
        <f t="shared" ref="E41:AG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2</v>
      </c>
      <c r="J41" s="13">
        <f t="shared" si="12"/>
        <v>0</v>
      </c>
      <c r="K41" s="13">
        <f t="shared" si="12"/>
        <v>6</v>
      </c>
      <c r="L41" s="13">
        <f t="shared" si="12"/>
        <v>10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2</v>
      </c>
      <c r="V41" s="13">
        <f t="shared" si="12"/>
        <v>0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2"/>
        <v>0</v>
      </c>
      <c r="AC41" s="13">
        <f t="shared" si="12"/>
        <v>2</v>
      </c>
      <c r="AD41" s="13">
        <f t="shared" si="12"/>
        <v>0</v>
      </c>
      <c r="AE41" s="13">
        <f t="shared" si="12"/>
        <v>0</v>
      </c>
      <c r="AF41" s="13">
        <f t="shared" si="12"/>
        <v>0</v>
      </c>
      <c r="AG41" s="13">
        <f t="shared" si="12"/>
        <v>2</v>
      </c>
      <c r="AH41" s="13">
        <f t="shared" si="11"/>
        <v>24</v>
      </c>
    </row>
    <row r="42" spans="1:34" ht="12.75" customHeight="1" x14ac:dyDescent="0.3">
      <c r="A42" s="63"/>
      <c r="B42" s="64"/>
      <c r="C42" s="64"/>
      <c r="D42" s="70"/>
      <c r="E42" s="62"/>
      <c r="F42" s="61"/>
      <c r="G42" s="61"/>
      <c r="H42" s="61"/>
      <c r="I42" s="59"/>
      <c r="J42" s="16"/>
      <c r="K42" s="16"/>
      <c r="L42" s="16"/>
      <c r="M42" s="16"/>
      <c r="N42" s="50"/>
      <c r="O42" s="16"/>
      <c r="P42" s="50"/>
      <c r="Q42" s="16"/>
      <c r="R42" s="50"/>
      <c r="S42" s="16"/>
      <c r="T42" s="50"/>
      <c r="U42" s="16"/>
      <c r="V42" s="50"/>
      <c r="W42" s="16"/>
      <c r="X42" s="50"/>
      <c r="Y42" s="16"/>
      <c r="Z42" s="50"/>
      <c r="AA42" s="16"/>
      <c r="AB42" s="50"/>
      <c r="AC42" s="16"/>
      <c r="AD42" s="50"/>
      <c r="AE42" s="16"/>
      <c r="AF42" s="50"/>
      <c r="AG42" s="16"/>
      <c r="AH42" s="13"/>
    </row>
    <row r="43" spans="1:34" ht="12.75" customHeight="1" x14ac:dyDescent="0.3">
      <c r="A43" s="26" t="s">
        <v>34</v>
      </c>
      <c r="B43" s="65" t="s">
        <v>35</v>
      </c>
      <c r="C43" s="61"/>
      <c r="D43" s="59"/>
      <c r="E43" s="19"/>
      <c r="F43" s="13"/>
      <c r="G43" s="13"/>
      <c r="H43" s="13"/>
      <c r="I43" s="13"/>
      <c r="J43" s="13"/>
      <c r="K43" s="13"/>
      <c r="L43" s="13"/>
      <c r="M43" s="13"/>
      <c r="N43" s="52"/>
      <c r="O43" s="13"/>
      <c r="P43" s="52"/>
      <c r="Q43" s="13"/>
      <c r="R43" s="52"/>
      <c r="S43" s="13"/>
      <c r="T43" s="52"/>
      <c r="U43" s="13"/>
      <c r="V43" s="52"/>
      <c r="W43" s="13"/>
      <c r="X43" s="52"/>
      <c r="Y43" s="13"/>
      <c r="Z43" s="52"/>
      <c r="AA43" s="13"/>
      <c r="AB43" s="52"/>
      <c r="AC43" s="13"/>
      <c r="AD43" s="52"/>
      <c r="AE43" s="13"/>
      <c r="AF43" s="52"/>
      <c r="AG43" s="13"/>
      <c r="AH43" s="13"/>
    </row>
    <row r="44" spans="1:34" ht="12.75" customHeight="1" x14ac:dyDescent="0.3">
      <c r="A44" s="66" t="s">
        <v>36</v>
      </c>
      <c r="B44" s="71"/>
      <c r="C44" s="71"/>
      <c r="D44" s="67"/>
      <c r="E44" s="17"/>
      <c r="F44" s="16"/>
      <c r="G44" s="16"/>
      <c r="H44" s="16"/>
      <c r="I44" s="16"/>
      <c r="J44" s="16"/>
      <c r="K44" s="16"/>
      <c r="L44" s="16"/>
      <c r="M44" s="16"/>
      <c r="N44" s="50"/>
      <c r="O44" s="16"/>
      <c r="P44" s="50"/>
      <c r="Q44" s="16"/>
      <c r="R44" s="50"/>
      <c r="S44" s="16"/>
      <c r="T44" s="50"/>
      <c r="U44" s="16"/>
      <c r="V44" s="50"/>
      <c r="W44" s="16"/>
      <c r="X44" s="50"/>
      <c r="Y44" s="16"/>
      <c r="Z44" s="50"/>
      <c r="AA44" s="16"/>
      <c r="AB44" s="50"/>
      <c r="AC44" s="16"/>
      <c r="AD44" s="50"/>
      <c r="AE44" s="16"/>
      <c r="AF44" s="50"/>
      <c r="AG44" s="16"/>
      <c r="AH44" s="13"/>
    </row>
    <row r="45" spans="1:34" ht="12.75" customHeight="1" x14ac:dyDescent="0.3">
      <c r="A45" s="20" t="s">
        <v>37</v>
      </c>
      <c r="B45" s="27" t="s">
        <v>17</v>
      </c>
      <c r="C45" s="58" t="s">
        <v>38</v>
      </c>
      <c r="D45" s="59"/>
      <c r="E45" s="16">
        <v>7</v>
      </c>
      <c r="F45" s="16">
        <v>4</v>
      </c>
      <c r="G45" s="16">
        <v>2</v>
      </c>
      <c r="H45" s="16">
        <v>2</v>
      </c>
      <c r="I45" s="16">
        <v>11</v>
      </c>
      <c r="J45" s="16">
        <v>3</v>
      </c>
      <c r="K45" s="16">
        <v>5</v>
      </c>
      <c r="L45" s="16">
        <v>3</v>
      </c>
      <c r="M45" s="16">
        <v>2</v>
      </c>
      <c r="N45" s="16">
        <v>3</v>
      </c>
      <c r="O45" s="16">
        <v>3</v>
      </c>
      <c r="P45" s="16">
        <v>1</v>
      </c>
      <c r="Q45" s="16">
        <v>4</v>
      </c>
      <c r="R45" s="16">
        <v>3</v>
      </c>
      <c r="S45" s="16">
        <v>7</v>
      </c>
      <c r="T45" s="16">
        <v>1</v>
      </c>
      <c r="U45" s="16">
        <v>6</v>
      </c>
      <c r="V45" s="16">
        <v>3</v>
      </c>
      <c r="W45" s="16">
        <v>1</v>
      </c>
      <c r="X45" s="16">
        <v>6</v>
      </c>
      <c r="Y45" s="16">
        <v>4</v>
      </c>
      <c r="Z45" s="16">
        <v>6</v>
      </c>
      <c r="AA45" s="16">
        <v>4</v>
      </c>
      <c r="AB45" s="16">
        <v>2</v>
      </c>
      <c r="AC45" s="16">
        <v>8</v>
      </c>
      <c r="AD45" s="16">
        <v>8</v>
      </c>
      <c r="AE45" s="16">
        <v>2</v>
      </c>
      <c r="AF45" s="16">
        <v>1</v>
      </c>
      <c r="AG45" s="16">
        <v>8</v>
      </c>
      <c r="AH45" s="13">
        <f t="shared" ref="AH45:AH54" si="13">SUM(E45:AG45)</f>
        <v>120</v>
      </c>
    </row>
    <row r="46" spans="1:34" ht="12.75" customHeight="1" x14ac:dyDescent="0.3">
      <c r="A46" s="20" t="s">
        <v>39</v>
      </c>
      <c r="B46" s="28"/>
      <c r="C46" s="29" t="s">
        <v>40</v>
      </c>
      <c r="D46" s="29"/>
      <c r="E46" s="16">
        <v>9</v>
      </c>
      <c r="F46" s="16">
        <v>4</v>
      </c>
      <c r="G46" s="16">
        <v>4</v>
      </c>
      <c r="H46" s="16">
        <v>7</v>
      </c>
      <c r="I46" s="16">
        <v>28</v>
      </c>
      <c r="J46" s="16">
        <v>20</v>
      </c>
      <c r="K46" s="16">
        <v>5</v>
      </c>
      <c r="L46" s="16">
        <v>12</v>
      </c>
      <c r="M46" s="16">
        <v>25</v>
      </c>
      <c r="N46" s="16">
        <v>13</v>
      </c>
      <c r="O46" s="16">
        <v>5</v>
      </c>
      <c r="P46" s="16">
        <v>4</v>
      </c>
      <c r="Q46" s="16">
        <v>2</v>
      </c>
      <c r="R46" s="16">
        <v>8</v>
      </c>
      <c r="S46" s="16">
        <v>9</v>
      </c>
      <c r="T46" s="16">
        <v>1</v>
      </c>
      <c r="U46" s="16">
        <v>6</v>
      </c>
      <c r="V46" s="16">
        <v>8</v>
      </c>
      <c r="W46" s="16">
        <v>1</v>
      </c>
      <c r="X46" s="16">
        <v>2</v>
      </c>
      <c r="Y46" s="16">
        <v>8</v>
      </c>
      <c r="Z46" s="16">
        <v>5</v>
      </c>
      <c r="AA46" s="16">
        <v>3</v>
      </c>
      <c r="AB46" s="16">
        <v>7</v>
      </c>
      <c r="AC46" s="16">
        <v>5</v>
      </c>
      <c r="AD46" s="16">
        <v>9</v>
      </c>
      <c r="AE46" s="16">
        <v>4</v>
      </c>
      <c r="AF46" s="16">
        <v>1</v>
      </c>
      <c r="AG46" s="16">
        <v>4</v>
      </c>
      <c r="AH46" s="13">
        <f t="shared" si="13"/>
        <v>219</v>
      </c>
    </row>
    <row r="47" spans="1:34" ht="12.75" customHeight="1" x14ac:dyDescent="0.3">
      <c r="A47" s="15"/>
      <c r="B47" s="34"/>
      <c r="C47" s="29" t="s">
        <v>41</v>
      </c>
      <c r="D47" s="29"/>
      <c r="E47" s="16">
        <v>1</v>
      </c>
      <c r="F47" s="16">
        <v>0</v>
      </c>
      <c r="G47" s="16">
        <v>1</v>
      </c>
      <c r="H47" s="16">
        <v>4</v>
      </c>
      <c r="I47" s="16">
        <v>2</v>
      </c>
      <c r="J47" s="16">
        <v>7</v>
      </c>
      <c r="K47" s="16">
        <v>1</v>
      </c>
      <c r="L47" s="16">
        <v>5</v>
      </c>
      <c r="M47" s="16">
        <v>19</v>
      </c>
      <c r="N47" s="16">
        <v>30</v>
      </c>
      <c r="O47" s="16">
        <v>0</v>
      </c>
      <c r="P47" s="16">
        <v>1</v>
      </c>
      <c r="Q47" s="16">
        <v>0</v>
      </c>
      <c r="R47" s="16">
        <v>1</v>
      </c>
      <c r="S47" s="16">
        <v>0</v>
      </c>
      <c r="T47" s="16">
        <v>0</v>
      </c>
      <c r="U47" s="16">
        <v>1</v>
      </c>
      <c r="V47" s="16">
        <v>1</v>
      </c>
      <c r="W47" s="16">
        <v>2</v>
      </c>
      <c r="X47" s="16">
        <v>0</v>
      </c>
      <c r="Y47" s="16">
        <v>1</v>
      </c>
      <c r="Z47" s="16">
        <v>0</v>
      </c>
      <c r="AA47" s="16">
        <v>4</v>
      </c>
      <c r="AB47" s="16">
        <v>0</v>
      </c>
      <c r="AC47" s="16">
        <v>0</v>
      </c>
      <c r="AD47" s="16">
        <v>1</v>
      </c>
      <c r="AE47" s="16">
        <v>0</v>
      </c>
      <c r="AF47" s="16">
        <v>0</v>
      </c>
      <c r="AG47" s="16">
        <v>2</v>
      </c>
      <c r="AH47" s="13">
        <f t="shared" si="13"/>
        <v>84</v>
      </c>
    </row>
    <row r="48" spans="1:34" ht="12.75" customHeight="1" x14ac:dyDescent="0.3">
      <c r="A48" s="15"/>
      <c r="B48" s="34"/>
      <c r="C48" s="29" t="s">
        <v>42</v>
      </c>
      <c r="D48" s="29"/>
      <c r="E48" s="16">
        <v>1</v>
      </c>
      <c r="F48" s="16">
        <v>0</v>
      </c>
      <c r="G48" s="16">
        <v>0</v>
      </c>
      <c r="H48" s="16">
        <v>0</v>
      </c>
      <c r="I48" s="16">
        <v>0</v>
      </c>
      <c r="J48" s="16">
        <v>1</v>
      </c>
      <c r="K48" s="16">
        <v>0</v>
      </c>
      <c r="L48" s="16">
        <v>0</v>
      </c>
      <c r="M48" s="16">
        <v>1</v>
      </c>
      <c r="N48" s="16">
        <v>1</v>
      </c>
      <c r="O48" s="16">
        <v>0</v>
      </c>
      <c r="P48" s="16">
        <v>1</v>
      </c>
      <c r="Q48" s="16">
        <v>1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1</v>
      </c>
      <c r="AB48" s="16">
        <v>0</v>
      </c>
      <c r="AC48" s="16">
        <v>0</v>
      </c>
      <c r="AD48" s="16">
        <v>2</v>
      </c>
      <c r="AE48" s="16">
        <v>0</v>
      </c>
      <c r="AF48" s="16">
        <v>0</v>
      </c>
      <c r="AG48" s="16">
        <v>2</v>
      </c>
      <c r="AH48" s="13">
        <f t="shared" si="13"/>
        <v>11</v>
      </c>
    </row>
    <row r="49" spans="1:34" ht="12.75" customHeight="1" x14ac:dyDescent="0.3">
      <c r="A49" s="15"/>
      <c r="B49" s="34"/>
      <c r="C49" s="29" t="s">
        <v>43</v>
      </c>
      <c r="D49" s="29"/>
      <c r="E49" s="16">
        <v>0</v>
      </c>
      <c r="F49" s="16">
        <v>0</v>
      </c>
      <c r="G49" s="16">
        <v>0</v>
      </c>
      <c r="H49" s="16">
        <v>1</v>
      </c>
      <c r="I49" s="16">
        <v>3</v>
      </c>
      <c r="J49" s="16">
        <v>1</v>
      </c>
      <c r="K49" s="16">
        <v>1</v>
      </c>
      <c r="L49" s="16">
        <v>1</v>
      </c>
      <c r="M49" s="16">
        <v>3</v>
      </c>
      <c r="N49" s="16">
        <v>2</v>
      </c>
      <c r="O49" s="16">
        <v>1</v>
      </c>
      <c r="P49" s="16">
        <v>0</v>
      </c>
      <c r="Q49" s="16">
        <v>0</v>
      </c>
      <c r="R49" s="16">
        <v>0</v>
      </c>
      <c r="S49" s="16">
        <v>0</v>
      </c>
      <c r="T49" s="16">
        <v>1</v>
      </c>
      <c r="U49" s="16">
        <v>1</v>
      </c>
      <c r="V49" s="16">
        <v>0</v>
      </c>
      <c r="W49" s="16">
        <v>0</v>
      </c>
      <c r="X49" s="16">
        <v>0</v>
      </c>
      <c r="Y49" s="16">
        <v>2</v>
      </c>
      <c r="Z49" s="16">
        <v>3</v>
      </c>
      <c r="AA49" s="16">
        <v>2</v>
      </c>
      <c r="AB49" s="16">
        <v>0</v>
      </c>
      <c r="AC49" s="16">
        <v>0</v>
      </c>
      <c r="AD49" s="16">
        <v>1</v>
      </c>
      <c r="AE49" s="16">
        <v>2</v>
      </c>
      <c r="AF49" s="16">
        <v>0</v>
      </c>
      <c r="AG49" s="16">
        <v>0</v>
      </c>
      <c r="AH49" s="13">
        <f t="shared" si="13"/>
        <v>25</v>
      </c>
    </row>
    <row r="50" spans="1:34" ht="12.75" customHeight="1" x14ac:dyDescent="0.3">
      <c r="A50" s="15"/>
      <c r="B50" s="34"/>
      <c r="C50" s="29" t="s">
        <v>44</v>
      </c>
      <c r="D50" s="29"/>
      <c r="E50" s="16">
        <v>0</v>
      </c>
      <c r="F50" s="16">
        <v>1</v>
      </c>
      <c r="G50" s="16">
        <v>0</v>
      </c>
      <c r="H50" s="16">
        <v>3</v>
      </c>
      <c r="I50" s="16">
        <v>0</v>
      </c>
      <c r="J50" s="16">
        <v>0</v>
      </c>
      <c r="K50" s="16">
        <v>1</v>
      </c>
      <c r="L50" s="16">
        <v>0</v>
      </c>
      <c r="M50" s="16">
        <v>0</v>
      </c>
      <c r="N50" s="16">
        <v>0</v>
      </c>
      <c r="O50" s="16">
        <v>2</v>
      </c>
      <c r="P50" s="16">
        <v>1</v>
      </c>
      <c r="Q50" s="16">
        <v>0</v>
      </c>
      <c r="R50" s="16">
        <v>2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2</v>
      </c>
      <c r="Z50" s="16">
        <v>0</v>
      </c>
      <c r="AA50" s="16">
        <v>0</v>
      </c>
      <c r="AB50" s="16">
        <v>0</v>
      </c>
      <c r="AC50" s="16">
        <v>1</v>
      </c>
      <c r="AD50" s="16">
        <v>0</v>
      </c>
      <c r="AE50" s="16">
        <v>1</v>
      </c>
      <c r="AF50" s="16">
        <v>0</v>
      </c>
      <c r="AG50" s="16">
        <v>0</v>
      </c>
      <c r="AH50" s="13">
        <f t="shared" si="13"/>
        <v>14</v>
      </c>
    </row>
    <row r="51" spans="1:34" ht="12.75" customHeight="1" x14ac:dyDescent="0.3">
      <c r="A51" s="15"/>
      <c r="B51" s="34"/>
      <c r="C51" s="29" t="s">
        <v>45</v>
      </c>
      <c r="D51" s="29"/>
      <c r="E51" s="16">
        <v>2</v>
      </c>
      <c r="F51" s="16">
        <v>0</v>
      </c>
      <c r="G51" s="16">
        <v>0</v>
      </c>
      <c r="H51" s="16">
        <v>1</v>
      </c>
      <c r="I51" s="16">
        <v>0</v>
      </c>
      <c r="J51" s="16">
        <v>1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1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1</v>
      </c>
      <c r="AH51" s="13">
        <f t="shared" si="13"/>
        <v>6</v>
      </c>
    </row>
    <row r="52" spans="1:34" ht="12.75" customHeight="1" x14ac:dyDescent="0.3">
      <c r="A52" s="15"/>
      <c r="B52" s="34"/>
      <c r="C52" s="29" t="s">
        <v>46</v>
      </c>
      <c r="D52" s="29"/>
      <c r="E52" s="16">
        <v>1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1</v>
      </c>
      <c r="M52" s="16">
        <v>0</v>
      </c>
      <c r="N52" s="16">
        <v>0</v>
      </c>
      <c r="O52" s="16">
        <v>1</v>
      </c>
      <c r="P52" s="16">
        <v>0</v>
      </c>
      <c r="Q52" s="16">
        <v>0</v>
      </c>
      <c r="R52" s="16">
        <v>1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1</v>
      </c>
      <c r="Y52" s="16">
        <v>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</v>
      </c>
      <c r="AF52" s="16">
        <v>0</v>
      </c>
      <c r="AG52" s="16">
        <v>0</v>
      </c>
      <c r="AH52" s="13">
        <f t="shared" si="13"/>
        <v>8</v>
      </c>
    </row>
    <row r="53" spans="1:34" ht="12.75" customHeight="1" x14ac:dyDescent="0.3">
      <c r="A53" s="15"/>
      <c r="B53" s="34"/>
      <c r="C53" s="29" t="s">
        <v>47</v>
      </c>
      <c r="D53" s="29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1</v>
      </c>
      <c r="M53" s="16">
        <v>0</v>
      </c>
      <c r="N53" s="16">
        <v>0</v>
      </c>
      <c r="O53" s="16">
        <v>0</v>
      </c>
      <c r="P53" s="16">
        <v>1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1</v>
      </c>
      <c r="AE53" s="16">
        <v>0</v>
      </c>
      <c r="AF53" s="16">
        <v>0</v>
      </c>
      <c r="AG53" s="16">
        <v>0</v>
      </c>
      <c r="AH53" s="13">
        <f t="shared" si="13"/>
        <v>3</v>
      </c>
    </row>
    <row r="54" spans="1:34" ht="12.75" customHeight="1" x14ac:dyDescent="0.3">
      <c r="A54" s="15"/>
      <c r="B54" s="34"/>
      <c r="C54" s="29" t="s">
        <v>48</v>
      </c>
      <c r="D54" s="29"/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1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2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2</v>
      </c>
      <c r="X54" s="16">
        <v>0</v>
      </c>
      <c r="Y54" s="16">
        <v>0</v>
      </c>
      <c r="Z54" s="16">
        <v>0</v>
      </c>
      <c r="AA54" s="16">
        <v>1</v>
      </c>
      <c r="AB54" s="16">
        <v>1</v>
      </c>
      <c r="AC54" s="16">
        <v>0</v>
      </c>
      <c r="AD54" s="16">
        <v>0</v>
      </c>
      <c r="AE54" s="16">
        <v>0</v>
      </c>
      <c r="AF54" s="16">
        <v>0</v>
      </c>
      <c r="AG54" s="16">
        <v>1</v>
      </c>
      <c r="AH54" s="13">
        <f t="shared" si="13"/>
        <v>8</v>
      </c>
    </row>
    <row r="55" spans="1:34" ht="12.75" customHeight="1" x14ac:dyDescent="0.3">
      <c r="A55" s="16" t="s">
        <v>15</v>
      </c>
      <c r="B55" s="60" t="s">
        <v>49</v>
      </c>
      <c r="C55" s="61"/>
      <c r="D55" s="59"/>
      <c r="E55" s="13">
        <f>SUM(E45:E54)</f>
        <v>21</v>
      </c>
      <c r="F55" s="13">
        <f t="shared" ref="F55:AH55" si="14">SUM(F45:F54)</f>
        <v>9</v>
      </c>
      <c r="G55" s="13">
        <f t="shared" si="14"/>
        <v>7</v>
      </c>
      <c r="H55" s="13">
        <f t="shared" si="14"/>
        <v>18</v>
      </c>
      <c r="I55" s="13">
        <f t="shared" si="14"/>
        <v>44</v>
      </c>
      <c r="J55" s="13">
        <f t="shared" si="14"/>
        <v>34</v>
      </c>
      <c r="K55" s="13">
        <f t="shared" si="14"/>
        <v>13</v>
      </c>
      <c r="L55" s="13">
        <f t="shared" si="14"/>
        <v>23</v>
      </c>
      <c r="M55" s="13">
        <f t="shared" si="14"/>
        <v>50</v>
      </c>
      <c r="N55" s="13">
        <f t="shared" si="14"/>
        <v>49</v>
      </c>
      <c r="O55" s="13">
        <f t="shared" si="14"/>
        <v>12</v>
      </c>
      <c r="P55" s="13">
        <f t="shared" si="14"/>
        <v>9</v>
      </c>
      <c r="Q55" s="13">
        <f t="shared" si="14"/>
        <v>9</v>
      </c>
      <c r="R55" s="13">
        <f t="shared" si="14"/>
        <v>15</v>
      </c>
      <c r="S55" s="13">
        <f t="shared" si="14"/>
        <v>16</v>
      </c>
      <c r="T55" s="13">
        <f t="shared" si="14"/>
        <v>3</v>
      </c>
      <c r="U55" s="13">
        <f t="shared" si="14"/>
        <v>14</v>
      </c>
      <c r="V55" s="13">
        <f t="shared" si="14"/>
        <v>12</v>
      </c>
      <c r="W55" s="13">
        <f t="shared" si="14"/>
        <v>7</v>
      </c>
      <c r="X55" s="13">
        <f t="shared" si="14"/>
        <v>9</v>
      </c>
      <c r="Y55" s="13">
        <f t="shared" si="14"/>
        <v>18</v>
      </c>
      <c r="Z55" s="13">
        <f t="shared" si="14"/>
        <v>14</v>
      </c>
      <c r="AA55" s="13">
        <f t="shared" si="14"/>
        <v>15</v>
      </c>
      <c r="AB55" s="13">
        <f t="shared" si="14"/>
        <v>10</v>
      </c>
      <c r="AC55" s="13">
        <f t="shared" si="14"/>
        <v>14</v>
      </c>
      <c r="AD55" s="13">
        <f t="shared" si="14"/>
        <v>22</v>
      </c>
      <c r="AE55" s="13">
        <f t="shared" si="14"/>
        <v>11</v>
      </c>
      <c r="AF55" s="13">
        <f t="shared" si="14"/>
        <v>2</v>
      </c>
      <c r="AG55" s="13">
        <f t="shared" si="14"/>
        <v>18</v>
      </c>
      <c r="AH55" s="13">
        <f t="shared" si="14"/>
        <v>498</v>
      </c>
    </row>
    <row r="56" spans="1:34" ht="12.75" customHeight="1" x14ac:dyDescent="0.3">
      <c r="A56" s="63"/>
      <c r="B56" s="64"/>
      <c r="C56" s="64"/>
      <c r="D56" s="64"/>
      <c r="E56" s="64"/>
      <c r="AH56" s="13"/>
    </row>
    <row r="57" spans="1:34" ht="12.75" customHeight="1" x14ac:dyDescent="0.3">
      <c r="A57" s="20" t="s">
        <v>37</v>
      </c>
      <c r="B57" s="27" t="s">
        <v>19</v>
      </c>
      <c r="C57" s="58" t="s">
        <v>50</v>
      </c>
      <c r="D57" s="59"/>
      <c r="E57" s="16">
        <v>9</v>
      </c>
      <c r="F57" s="16">
        <v>17</v>
      </c>
      <c r="G57" s="16">
        <v>14</v>
      </c>
      <c r="H57" s="16">
        <v>15</v>
      </c>
      <c r="I57" s="16">
        <v>9</v>
      </c>
      <c r="J57" s="16">
        <v>3</v>
      </c>
      <c r="K57" s="16">
        <v>9</v>
      </c>
      <c r="L57" s="16">
        <v>20</v>
      </c>
      <c r="M57" s="16">
        <v>12</v>
      </c>
      <c r="N57" s="16">
        <v>5</v>
      </c>
      <c r="O57" s="16">
        <v>16</v>
      </c>
      <c r="P57" s="16">
        <v>7</v>
      </c>
      <c r="Q57" s="16">
        <v>18</v>
      </c>
      <c r="R57" s="16">
        <v>8</v>
      </c>
      <c r="S57" s="16">
        <v>13</v>
      </c>
      <c r="T57" s="16">
        <v>14</v>
      </c>
      <c r="U57" s="16">
        <v>7</v>
      </c>
      <c r="V57" s="16">
        <v>2</v>
      </c>
      <c r="W57" s="16">
        <v>4</v>
      </c>
      <c r="X57" s="16">
        <v>12</v>
      </c>
      <c r="Y57" s="16">
        <v>13</v>
      </c>
      <c r="Z57" s="16">
        <v>18</v>
      </c>
      <c r="AA57" s="16">
        <v>14</v>
      </c>
      <c r="AB57" s="16">
        <v>14</v>
      </c>
      <c r="AC57" s="16">
        <v>6</v>
      </c>
      <c r="AD57" s="16">
        <v>13</v>
      </c>
      <c r="AE57" s="16">
        <v>20</v>
      </c>
      <c r="AF57" s="16">
        <v>11</v>
      </c>
      <c r="AG57" s="16">
        <v>16</v>
      </c>
      <c r="AH57" s="13">
        <f t="shared" ref="AH57:AH66" si="15">SUM(E57:AG57)</f>
        <v>339</v>
      </c>
    </row>
    <row r="58" spans="1:34" ht="12.75" customHeight="1" x14ac:dyDescent="0.3">
      <c r="A58" s="20" t="s">
        <v>39</v>
      </c>
      <c r="B58" s="34"/>
      <c r="C58" s="29" t="s">
        <v>51</v>
      </c>
      <c r="D58" s="35"/>
      <c r="E58" s="16">
        <v>7</v>
      </c>
      <c r="F58" s="16">
        <v>37</v>
      </c>
      <c r="G58" s="16">
        <v>38</v>
      </c>
      <c r="H58" s="16">
        <v>20</v>
      </c>
      <c r="I58" s="16">
        <v>27</v>
      </c>
      <c r="J58" s="16">
        <v>24</v>
      </c>
      <c r="K58" s="16">
        <v>14</v>
      </c>
      <c r="L58" s="16">
        <v>58</v>
      </c>
      <c r="M58" s="16">
        <v>24</v>
      </c>
      <c r="N58" s="16">
        <v>13</v>
      </c>
      <c r="O58" s="16">
        <v>30</v>
      </c>
      <c r="P58" s="16">
        <v>8</v>
      </c>
      <c r="Q58" s="16">
        <v>11</v>
      </c>
      <c r="R58" s="16">
        <v>40</v>
      </c>
      <c r="S58" s="16">
        <v>15</v>
      </c>
      <c r="T58" s="16">
        <v>14</v>
      </c>
      <c r="U58" s="16">
        <v>11</v>
      </c>
      <c r="V58" s="16">
        <v>11</v>
      </c>
      <c r="W58" s="16">
        <v>6</v>
      </c>
      <c r="X58" s="16">
        <v>67</v>
      </c>
      <c r="Y58" s="16">
        <v>45</v>
      </c>
      <c r="Z58" s="16">
        <v>29</v>
      </c>
      <c r="AA58" s="16">
        <v>42</v>
      </c>
      <c r="AB58" s="16">
        <v>10</v>
      </c>
      <c r="AC58" s="16">
        <v>46</v>
      </c>
      <c r="AD58" s="16">
        <v>19</v>
      </c>
      <c r="AE58" s="16">
        <v>20</v>
      </c>
      <c r="AF58" s="16">
        <v>6</v>
      </c>
      <c r="AG58" s="16">
        <v>18</v>
      </c>
      <c r="AH58" s="13">
        <f t="shared" si="15"/>
        <v>710</v>
      </c>
    </row>
    <row r="59" spans="1:34" ht="12.75" customHeight="1" x14ac:dyDescent="0.3">
      <c r="A59" s="15"/>
      <c r="B59" s="34"/>
      <c r="C59" s="29" t="s">
        <v>52</v>
      </c>
      <c r="D59" s="35"/>
      <c r="E59" s="16">
        <v>8</v>
      </c>
      <c r="F59" s="16">
        <v>18</v>
      </c>
      <c r="G59" s="16">
        <v>39</v>
      </c>
      <c r="H59" s="16">
        <v>22</v>
      </c>
      <c r="I59" s="16">
        <v>6</v>
      </c>
      <c r="J59" s="16">
        <v>17</v>
      </c>
      <c r="K59" s="16">
        <v>26</v>
      </c>
      <c r="L59" s="16">
        <v>15</v>
      </c>
      <c r="M59" s="16">
        <v>13</v>
      </c>
      <c r="N59" s="16">
        <v>10</v>
      </c>
      <c r="O59" s="16">
        <v>14</v>
      </c>
      <c r="P59" s="16">
        <v>5</v>
      </c>
      <c r="Q59" s="16">
        <v>6</v>
      </c>
      <c r="R59" s="16">
        <v>6</v>
      </c>
      <c r="S59" s="16">
        <v>10</v>
      </c>
      <c r="T59" s="16">
        <v>1</v>
      </c>
      <c r="U59" s="16">
        <v>1</v>
      </c>
      <c r="V59" s="16">
        <v>1</v>
      </c>
      <c r="W59" s="16">
        <v>2</v>
      </c>
      <c r="X59" s="16">
        <v>5</v>
      </c>
      <c r="Y59" s="16">
        <v>4</v>
      </c>
      <c r="Z59" s="16">
        <v>7</v>
      </c>
      <c r="AA59" s="16">
        <v>0</v>
      </c>
      <c r="AB59" s="16">
        <v>3</v>
      </c>
      <c r="AC59" s="16">
        <v>5</v>
      </c>
      <c r="AD59" s="16">
        <v>9</v>
      </c>
      <c r="AE59" s="16">
        <v>13</v>
      </c>
      <c r="AF59" s="16">
        <v>5</v>
      </c>
      <c r="AG59" s="16">
        <v>37</v>
      </c>
      <c r="AH59" s="13">
        <f t="shared" si="15"/>
        <v>308</v>
      </c>
    </row>
    <row r="60" spans="1:34" ht="12.75" customHeight="1" x14ac:dyDescent="0.3">
      <c r="A60" s="15"/>
      <c r="B60" s="34"/>
      <c r="C60" s="29" t="s">
        <v>53</v>
      </c>
      <c r="D60" s="35"/>
      <c r="E60" s="16">
        <v>0</v>
      </c>
      <c r="F60" s="16">
        <v>5</v>
      </c>
      <c r="G60" s="16">
        <v>3</v>
      </c>
      <c r="H60" s="16">
        <v>0</v>
      </c>
      <c r="I60" s="16">
        <v>3</v>
      </c>
      <c r="J60" s="16">
        <v>1</v>
      </c>
      <c r="K60" s="16">
        <v>3</v>
      </c>
      <c r="L60" s="16">
        <v>0</v>
      </c>
      <c r="M60" s="16">
        <v>1</v>
      </c>
      <c r="N60" s="16">
        <v>1</v>
      </c>
      <c r="O60" s="16">
        <v>0</v>
      </c>
      <c r="P60" s="16">
        <v>3</v>
      </c>
      <c r="Q60" s="16">
        <v>1</v>
      </c>
      <c r="R60" s="16">
        <v>1</v>
      </c>
      <c r="S60" s="16">
        <v>2</v>
      </c>
      <c r="T60" s="16">
        <v>0</v>
      </c>
      <c r="U60" s="16">
        <v>0</v>
      </c>
      <c r="V60" s="16">
        <v>1</v>
      </c>
      <c r="W60" s="16">
        <v>3</v>
      </c>
      <c r="X60" s="16">
        <v>0</v>
      </c>
      <c r="Y60" s="16">
        <v>0</v>
      </c>
      <c r="Z60" s="16">
        <v>1</v>
      </c>
      <c r="AA60" s="16">
        <v>4</v>
      </c>
      <c r="AB60" s="16">
        <v>3</v>
      </c>
      <c r="AC60" s="16">
        <v>1</v>
      </c>
      <c r="AD60" s="16">
        <v>4</v>
      </c>
      <c r="AE60" s="16">
        <v>3</v>
      </c>
      <c r="AF60" s="16">
        <v>3</v>
      </c>
      <c r="AG60" s="16">
        <v>1</v>
      </c>
      <c r="AH60" s="13">
        <f t="shared" si="15"/>
        <v>48</v>
      </c>
    </row>
    <row r="61" spans="1:34" ht="12.75" customHeight="1" x14ac:dyDescent="0.3">
      <c r="A61" s="15"/>
      <c r="B61" s="34"/>
      <c r="C61" s="29" t="s">
        <v>54</v>
      </c>
      <c r="D61" s="35"/>
      <c r="E61" s="16">
        <v>4</v>
      </c>
      <c r="F61" s="16">
        <v>1</v>
      </c>
      <c r="G61" s="16">
        <v>1</v>
      </c>
      <c r="H61" s="16">
        <v>2</v>
      </c>
      <c r="I61" s="16">
        <v>4</v>
      </c>
      <c r="J61" s="16">
        <v>6</v>
      </c>
      <c r="K61" s="16">
        <v>3</v>
      </c>
      <c r="L61" s="16">
        <v>4</v>
      </c>
      <c r="M61" s="16">
        <v>5</v>
      </c>
      <c r="N61" s="16">
        <v>5</v>
      </c>
      <c r="O61" s="16">
        <v>32</v>
      </c>
      <c r="P61" s="16">
        <v>21</v>
      </c>
      <c r="Q61" s="16">
        <v>44</v>
      </c>
      <c r="R61" s="16">
        <v>1</v>
      </c>
      <c r="S61" s="16">
        <v>5</v>
      </c>
      <c r="T61" s="16">
        <v>3</v>
      </c>
      <c r="U61" s="16">
        <v>1</v>
      </c>
      <c r="V61" s="16">
        <v>3</v>
      </c>
      <c r="W61" s="16">
        <v>2</v>
      </c>
      <c r="X61" s="16">
        <v>27</v>
      </c>
      <c r="Y61" s="16">
        <v>18</v>
      </c>
      <c r="Z61" s="16">
        <v>13</v>
      </c>
      <c r="AA61" s="16">
        <v>1</v>
      </c>
      <c r="AB61" s="16">
        <v>15</v>
      </c>
      <c r="AC61" s="16">
        <v>2</v>
      </c>
      <c r="AD61" s="16">
        <v>7</v>
      </c>
      <c r="AE61" s="16">
        <v>56</v>
      </c>
      <c r="AF61" s="16">
        <v>57</v>
      </c>
      <c r="AG61" s="16">
        <v>12</v>
      </c>
      <c r="AH61" s="13">
        <f t="shared" si="15"/>
        <v>355</v>
      </c>
    </row>
    <row r="62" spans="1:34" ht="12.75" customHeight="1" x14ac:dyDescent="0.3">
      <c r="A62" s="15"/>
      <c r="B62" s="34"/>
      <c r="C62" s="29" t="s">
        <v>55</v>
      </c>
      <c r="D62" s="35"/>
      <c r="E62" s="16">
        <v>1</v>
      </c>
      <c r="F62" s="16">
        <v>1</v>
      </c>
      <c r="G62" s="16">
        <v>1</v>
      </c>
      <c r="H62" s="16">
        <v>0</v>
      </c>
      <c r="I62" s="16">
        <v>1</v>
      </c>
      <c r="J62" s="16">
        <v>0</v>
      </c>
      <c r="K62" s="16">
        <v>1</v>
      </c>
      <c r="L62" s="16">
        <v>1</v>
      </c>
      <c r="M62" s="16">
        <v>0</v>
      </c>
      <c r="N62" s="16">
        <v>1</v>
      </c>
      <c r="O62" s="16">
        <v>0</v>
      </c>
      <c r="P62" s="16">
        <v>2</v>
      </c>
      <c r="Q62" s="16">
        <v>1</v>
      </c>
      <c r="R62" s="16">
        <v>1</v>
      </c>
      <c r="S62" s="16">
        <v>1</v>
      </c>
      <c r="T62" s="16">
        <v>1</v>
      </c>
      <c r="U62" s="16">
        <v>0</v>
      </c>
      <c r="V62" s="16">
        <v>0</v>
      </c>
      <c r="W62" s="16">
        <v>3</v>
      </c>
      <c r="X62" s="16">
        <v>0</v>
      </c>
      <c r="Y62" s="16">
        <v>1</v>
      </c>
      <c r="Z62" s="16">
        <v>0</v>
      </c>
      <c r="AA62" s="16">
        <v>0</v>
      </c>
      <c r="AB62" s="16">
        <v>2</v>
      </c>
      <c r="AC62" s="16">
        <v>1</v>
      </c>
      <c r="AD62" s="16">
        <v>1</v>
      </c>
      <c r="AE62" s="16">
        <v>2</v>
      </c>
      <c r="AF62" s="16">
        <v>1</v>
      </c>
      <c r="AG62" s="16">
        <v>1</v>
      </c>
      <c r="AH62" s="13">
        <f t="shared" si="15"/>
        <v>25</v>
      </c>
    </row>
    <row r="63" spans="1:34" ht="12.75" customHeight="1" x14ac:dyDescent="0.3">
      <c r="A63" s="15"/>
      <c r="B63" s="34"/>
      <c r="C63" s="29" t="s">
        <v>56</v>
      </c>
      <c r="D63" s="36"/>
      <c r="E63" s="16">
        <v>1</v>
      </c>
      <c r="F63" s="16">
        <v>0</v>
      </c>
      <c r="G63" s="16">
        <v>0</v>
      </c>
      <c r="H63" s="16">
        <v>0</v>
      </c>
      <c r="I63" s="16">
        <v>1</v>
      </c>
      <c r="J63" s="16">
        <v>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2</v>
      </c>
      <c r="S63" s="16">
        <v>0</v>
      </c>
      <c r="T63" s="16">
        <v>0</v>
      </c>
      <c r="U63" s="16">
        <v>0</v>
      </c>
      <c r="V63" s="16">
        <v>1</v>
      </c>
      <c r="W63" s="16">
        <v>0</v>
      </c>
      <c r="X63" s="16">
        <v>0</v>
      </c>
      <c r="Y63" s="16">
        <v>1</v>
      </c>
      <c r="Z63" s="16">
        <v>0</v>
      </c>
      <c r="AA63" s="16">
        <v>0</v>
      </c>
      <c r="AB63" s="16">
        <v>0</v>
      </c>
      <c r="AC63" s="16">
        <v>0</v>
      </c>
      <c r="AD63" s="16">
        <v>1</v>
      </c>
      <c r="AE63" s="16">
        <v>0</v>
      </c>
      <c r="AF63" s="16">
        <v>1</v>
      </c>
      <c r="AG63" s="16">
        <v>2</v>
      </c>
      <c r="AH63" s="13">
        <f t="shared" si="15"/>
        <v>11</v>
      </c>
    </row>
    <row r="64" spans="1:34" ht="12.75" customHeight="1" x14ac:dyDescent="0.3">
      <c r="A64" s="15"/>
      <c r="B64" s="34"/>
      <c r="C64" s="29" t="s">
        <v>57</v>
      </c>
      <c r="D64" s="35"/>
      <c r="E64" s="16">
        <v>1</v>
      </c>
      <c r="F64" s="16">
        <v>0</v>
      </c>
      <c r="G64" s="16">
        <v>1</v>
      </c>
      <c r="H64" s="16">
        <v>1</v>
      </c>
      <c r="I64" s="16">
        <v>0</v>
      </c>
      <c r="J64" s="16">
        <v>0</v>
      </c>
      <c r="K64" s="16">
        <v>3</v>
      </c>
      <c r="L64" s="16">
        <v>0</v>
      </c>
      <c r="M64" s="16">
        <v>1</v>
      </c>
      <c r="N64" s="16">
        <v>0</v>
      </c>
      <c r="O64" s="16">
        <v>0</v>
      </c>
      <c r="P64" s="16">
        <v>1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1</v>
      </c>
      <c r="Z64" s="16">
        <v>0</v>
      </c>
      <c r="AA64" s="16">
        <v>0</v>
      </c>
      <c r="AB64" s="16">
        <v>0</v>
      </c>
      <c r="AC64" s="16">
        <v>0</v>
      </c>
      <c r="AD64" s="16">
        <v>1</v>
      </c>
      <c r="AE64" s="16">
        <v>0</v>
      </c>
      <c r="AF64" s="16">
        <v>0</v>
      </c>
      <c r="AG64" s="16">
        <v>0</v>
      </c>
      <c r="AH64" s="13">
        <f t="shared" si="15"/>
        <v>10</v>
      </c>
    </row>
    <row r="65" spans="1:34" ht="12.75" customHeight="1" x14ac:dyDescent="0.3">
      <c r="A65" s="15"/>
      <c r="B65" s="34"/>
      <c r="C65" s="29" t="s">
        <v>58</v>
      </c>
      <c r="D65" s="35"/>
      <c r="E65" s="16">
        <v>2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1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3">
        <f t="shared" si="15"/>
        <v>3</v>
      </c>
    </row>
    <row r="66" spans="1:34" ht="12.75" customHeight="1" x14ac:dyDescent="0.3">
      <c r="A66" s="15"/>
      <c r="B66" s="34"/>
      <c r="C66" s="29" t="s">
        <v>59</v>
      </c>
      <c r="D66" s="35"/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1</v>
      </c>
      <c r="M66" s="16">
        <v>0</v>
      </c>
      <c r="N66" s="16">
        <v>0</v>
      </c>
      <c r="O66" s="16">
        <v>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1</v>
      </c>
      <c r="X66" s="16">
        <v>0</v>
      </c>
      <c r="Y66" s="16">
        <v>0</v>
      </c>
      <c r="Z66" s="16">
        <v>1</v>
      </c>
      <c r="AA66" s="16">
        <v>0</v>
      </c>
      <c r="AB66" s="16">
        <v>0</v>
      </c>
      <c r="AC66" s="16">
        <v>1</v>
      </c>
      <c r="AD66" s="16">
        <v>1</v>
      </c>
      <c r="AE66" s="16">
        <v>0</v>
      </c>
      <c r="AF66" s="16">
        <v>0</v>
      </c>
      <c r="AG66" s="16">
        <v>0</v>
      </c>
      <c r="AH66" s="13">
        <f t="shared" si="15"/>
        <v>6</v>
      </c>
    </row>
    <row r="67" spans="1:34" ht="12.75" customHeight="1" x14ac:dyDescent="0.3">
      <c r="A67" s="16" t="s">
        <v>15</v>
      </c>
      <c r="B67" s="60" t="s">
        <v>49</v>
      </c>
      <c r="C67" s="61"/>
      <c r="D67" s="59"/>
      <c r="E67" s="13">
        <f>SUM(E57:E66)</f>
        <v>33</v>
      </c>
      <c r="F67" s="13">
        <f t="shared" ref="F67" si="16">SUM(F57:F66)</f>
        <v>79</v>
      </c>
      <c r="G67" s="13">
        <f t="shared" ref="G67" si="17">SUM(G57:G66)</f>
        <v>97</v>
      </c>
      <c r="H67" s="13">
        <f t="shared" ref="H67" si="18">SUM(H57:H66)</f>
        <v>60</v>
      </c>
      <c r="I67" s="13">
        <f t="shared" ref="I67" si="19">SUM(I57:I66)</f>
        <v>51</v>
      </c>
      <c r="J67" s="13">
        <f t="shared" ref="J67" si="20">SUM(J57:J66)</f>
        <v>52</v>
      </c>
      <c r="K67" s="13">
        <f t="shared" ref="K67" si="21">SUM(K57:K66)</f>
        <v>59</v>
      </c>
      <c r="L67" s="13">
        <f t="shared" ref="L67" si="22">SUM(L57:L66)</f>
        <v>99</v>
      </c>
      <c r="M67" s="13">
        <f t="shared" ref="M67" si="23">SUM(M57:M66)</f>
        <v>56</v>
      </c>
      <c r="N67" s="13">
        <f t="shared" ref="N67" si="24">SUM(N57:N66)</f>
        <v>35</v>
      </c>
      <c r="O67" s="13">
        <f t="shared" ref="O67" si="25">SUM(O57:O66)</f>
        <v>93</v>
      </c>
      <c r="P67" s="13">
        <f t="shared" ref="P67" si="26">SUM(P57:P66)</f>
        <v>47</v>
      </c>
      <c r="Q67" s="13">
        <f t="shared" ref="Q67" si="27">SUM(Q57:Q66)</f>
        <v>81</v>
      </c>
      <c r="R67" s="13">
        <f t="shared" ref="R67" si="28">SUM(R57:R66)</f>
        <v>59</v>
      </c>
      <c r="S67" s="13">
        <f t="shared" ref="S67" si="29">SUM(S57:S66)</f>
        <v>46</v>
      </c>
      <c r="T67" s="13">
        <f t="shared" ref="T67" si="30">SUM(T57:T66)</f>
        <v>33</v>
      </c>
      <c r="U67" s="13">
        <f t="shared" ref="U67" si="31">SUM(U57:U66)</f>
        <v>20</v>
      </c>
      <c r="V67" s="13">
        <f t="shared" ref="V67" si="32">SUM(V57:V66)</f>
        <v>19</v>
      </c>
      <c r="W67" s="13">
        <f t="shared" ref="W67" si="33">SUM(W57:W66)</f>
        <v>21</v>
      </c>
      <c r="X67" s="13">
        <f t="shared" ref="X67" si="34">SUM(X57:X66)</f>
        <v>111</v>
      </c>
      <c r="Y67" s="13">
        <f t="shared" ref="Y67" si="35">SUM(Y57:Y66)</f>
        <v>83</v>
      </c>
      <c r="Z67" s="13">
        <f t="shared" ref="Z67" si="36">SUM(Z57:Z66)</f>
        <v>69</v>
      </c>
      <c r="AA67" s="13">
        <f t="shared" ref="AA67" si="37">SUM(AA57:AA66)</f>
        <v>62</v>
      </c>
      <c r="AB67" s="13">
        <f t="shared" ref="AB67" si="38">SUM(AB57:AB66)</f>
        <v>47</v>
      </c>
      <c r="AC67" s="13">
        <f t="shared" ref="AC67" si="39">SUM(AC57:AC66)</f>
        <v>62</v>
      </c>
      <c r="AD67" s="13">
        <f t="shared" ref="AD67" si="40">SUM(AD57:AD66)</f>
        <v>56</v>
      </c>
      <c r="AE67" s="13">
        <f t="shared" ref="AE67" si="41">SUM(AE57:AE66)</f>
        <v>114</v>
      </c>
      <c r="AF67" s="13">
        <f t="shared" ref="AF67" si="42">SUM(AF57:AF66)</f>
        <v>84</v>
      </c>
      <c r="AG67" s="13">
        <f t="shared" ref="AG67" si="43">SUM(AG57:AG66)</f>
        <v>87</v>
      </c>
      <c r="AH67" s="13">
        <f t="shared" ref="AH67" si="44">SUM(AH57:AH66)</f>
        <v>1815</v>
      </c>
    </row>
    <row r="68" spans="1:34" ht="12.75" customHeight="1" x14ac:dyDescent="0.3">
      <c r="A68" s="63"/>
      <c r="B68" s="64"/>
      <c r="C68" s="64"/>
      <c r="D68" s="64"/>
      <c r="E68" s="64"/>
    </row>
    <row r="69" spans="1:34" ht="12.75" customHeight="1" x14ac:dyDescent="0.3">
      <c r="A69" s="20" t="s">
        <v>37</v>
      </c>
      <c r="B69" s="27" t="s">
        <v>21</v>
      </c>
      <c r="C69" s="58" t="s">
        <v>60</v>
      </c>
      <c r="D69" s="59"/>
      <c r="E69" s="16">
        <v>14</v>
      </c>
      <c r="F69" s="16">
        <v>14</v>
      </c>
      <c r="G69" s="16">
        <v>6</v>
      </c>
      <c r="H69" s="16">
        <v>4</v>
      </c>
      <c r="I69" s="16">
        <v>5</v>
      </c>
      <c r="J69" s="16">
        <v>7</v>
      </c>
      <c r="K69" s="16">
        <v>8</v>
      </c>
      <c r="L69" s="16">
        <v>3</v>
      </c>
      <c r="M69" s="16">
        <v>5</v>
      </c>
      <c r="N69" s="16">
        <v>7</v>
      </c>
      <c r="O69" s="16">
        <v>9</v>
      </c>
      <c r="P69" s="16">
        <v>2</v>
      </c>
      <c r="Q69" s="16">
        <v>12</v>
      </c>
      <c r="R69" s="16">
        <v>5</v>
      </c>
      <c r="S69" s="16">
        <v>5</v>
      </c>
      <c r="T69" s="16">
        <v>7</v>
      </c>
      <c r="U69" s="16">
        <v>18</v>
      </c>
      <c r="V69" s="16">
        <v>5</v>
      </c>
      <c r="W69" s="16">
        <v>4</v>
      </c>
      <c r="X69" s="16">
        <v>6</v>
      </c>
      <c r="Y69" s="16">
        <v>6</v>
      </c>
      <c r="Z69" s="16">
        <v>10</v>
      </c>
      <c r="AA69" s="16">
        <v>9</v>
      </c>
      <c r="AB69" s="16">
        <v>6</v>
      </c>
      <c r="AC69" s="16">
        <v>9</v>
      </c>
      <c r="AD69" s="16">
        <v>11</v>
      </c>
      <c r="AE69" s="16">
        <v>10</v>
      </c>
      <c r="AF69" s="16">
        <v>4</v>
      </c>
      <c r="AG69" s="16">
        <v>14</v>
      </c>
      <c r="AH69" s="13">
        <f t="shared" ref="AH69:AH78" si="45">SUM(E69:AG69)</f>
        <v>225</v>
      </c>
    </row>
    <row r="70" spans="1:34" ht="12.75" customHeight="1" x14ac:dyDescent="0.3">
      <c r="A70" s="20" t="s">
        <v>39</v>
      </c>
      <c r="B70" s="34"/>
      <c r="C70" s="29" t="s">
        <v>61</v>
      </c>
      <c r="D70" s="36"/>
      <c r="E70" s="16">
        <v>3</v>
      </c>
      <c r="F70" s="16">
        <v>3</v>
      </c>
      <c r="G70" s="16">
        <v>2</v>
      </c>
      <c r="H70" s="16">
        <v>3</v>
      </c>
      <c r="I70" s="16">
        <v>3</v>
      </c>
      <c r="J70" s="16">
        <v>4</v>
      </c>
      <c r="K70" s="16">
        <v>4</v>
      </c>
      <c r="L70" s="16">
        <v>2</v>
      </c>
      <c r="M70" s="16">
        <v>1</v>
      </c>
      <c r="N70" s="16">
        <v>2</v>
      </c>
      <c r="O70" s="16">
        <v>2</v>
      </c>
      <c r="P70" s="16">
        <v>3</v>
      </c>
      <c r="Q70" s="16">
        <v>4</v>
      </c>
      <c r="R70" s="16">
        <v>3</v>
      </c>
      <c r="S70" s="16">
        <v>3</v>
      </c>
      <c r="T70" s="16">
        <v>11</v>
      </c>
      <c r="U70" s="16">
        <v>25</v>
      </c>
      <c r="V70" s="16">
        <v>2</v>
      </c>
      <c r="W70" s="16">
        <v>3</v>
      </c>
      <c r="X70" s="16">
        <v>5</v>
      </c>
      <c r="Y70" s="16">
        <v>5</v>
      </c>
      <c r="Z70" s="16">
        <v>3</v>
      </c>
      <c r="AA70" s="16">
        <v>12</v>
      </c>
      <c r="AB70" s="16">
        <v>7</v>
      </c>
      <c r="AC70" s="16">
        <v>5</v>
      </c>
      <c r="AD70" s="16">
        <v>5</v>
      </c>
      <c r="AE70" s="16">
        <v>5</v>
      </c>
      <c r="AF70" s="16">
        <v>4</v>
      </c>
      <c r="AG70" s="16">
        <v>6</v>
      </c>
      <c r="AH70" s="13">
        <f t="shared" si="45"/>
        <v>140</v>
      </c>
    </row>
    <row r="71" spans="1:34" ht="12.75" customHeight="1" x14ac:dyDescent="0.3">
      <c r="A71" s="15"/>
      <c r="B71" s="34"/>
      <c r="C71" s="29" t="s">
        <v>62</v>
      </c>
      <c r="D71" s="36"/>
      <c r="E71" s="16">
        <v>3</v>
      </c>
      <c r="F71" s="16">
        <v>3</v>
      </c>
      <c r="G71" s="16">
        <v>1</v>
      </c>
      <c r="H71" s="16">
        <v>2</v>
      </c>
      <c r="I71" s="16">
        <v>4</v>
      </c>
      <c r="J71" s="16">
        <v>2</v>
      </c>
      <c r="K71" s="16">
        <v>3</v>
      </c>
      <c r="L71" s="16">
        <v>1</v>
      </c>
      <c r="M71" s="16">
        <v>2</v>
      </c>
      <c r="N71" s="16">
        <v>2</v>
      </c>
      <c r="O71" s="16">
        <v>2</v>
      </c>
      <c r="P71" s="16">
        <v>1</v>
      </c>
      <c r="Q71" s="16">
        <v>4</v>
      </c>
      <c r="R71" s="16">
        <v>1</v>
      </c>
      <c r="S71" s="16">
        <v>3</v>
      </c>
      <c r="T71" s="16">
        <v>2</v>
      </c>
      <c r="U71" s="16">
        <v>5</v>
      </c>
      <c r="V71" s="16">
        <v>1</v>
      </c>
      <c r="W71" s="16">
        <v>2</v>
      </c>
      <c r="X71" s="16">
        <v>2</v>
      </c>
      <c r="Y71" s="16">
        <v>1</v>
      </c>
      <c r="Z71" s="16">
        <v>0</v>
      </c>
      <c r="AA71" s="16">
        <v>2</v>
      </c>
      <c r="AB71" s="16">
        <v>9</v>
      </c>
      <c r="AC71" s="16">
        <v>1</v>
      </c>
      <c r="AD71" s="16">
        <v>4</v>
      </c>
      <c r="AE71" s="16">
        <v>2</v>
      </c>
      <c r="AF71" s="16">
        <v>1</v>
      </c>
      <c r="AG71" s="16">
        <v>3</v>
      </c>
      <c r="AH71" s="13">
        <f t="shared" si="45"/>
        <v>69</v>
      </c>
    </row>
    <row r="72" spans="1:34" ht="12.75" customHeight="1" x14ac:dyDescent="0.3">
      <c r="A72" s="15"/>
      <c r="B72" s="34"/>
      <c r="C72" s="29" t="s">
        <v>63</v>
      </c>
      <c r="D72" s="36"/>
      <c r="E72" s="16">
        <v>4</v>
      </c>
      <c r="F72" s="16">
        <v>2</v>
      </c>
      <c r="G72" s="16">
        <v>2</v>
      </c>
      <c r="H72" s="16">
        <v>4</v>
      </c>
      <c r="I72" s="16">
        <v>2</v>
      </c>
      <c r="J72" s="16">
        <v>2</v>
      </c>
      <c r="K72" s="16">
        <v>3</v>
      </c>
      <c r="L72" s="16">
        <v>3</v>
      </c>
      <c r="M72" s="16">
        <v>3</v>
      </c>
      <c r="N72" s="16">
        <v>2</v>
      </c>
      <c r="O72" s="16">
        <v>4</v>
      </c>
      <c r="P72" s="16">
        <v>3</v>
      </c>
      <c r="Q72" s="16">
        <v>1</v>
      </c>
      <c r="R72" s="16">
        <v>3</v>
      </c>
      <c r="S72" s="16">
        <v>0</v>
      </c>
      <c r="T72" s="16">
        <v>1</v>
      </c>
      <c r="U72" s="16">
        <v>0</v>
      </c>
      <c r="V72" s="16">
        <v>1</v>
      </c>
      <c r="W72" s="16">
        <v>4</v>
      </c>
      <c r="X72" s="16">
        <v>2</v>
      </c>
      <c r="Y72" s="16">
        <v>4</v>
      </c>
      <c r="Z72" s="16">
        <v>2</v>
      </c>
      <c r="AA72" s="16">
        <v>1</v>
      </c>
      <c r="AB72" s="16">
        <v>5</v>
      </c>
      <c r="AC72" s="16">
        <v>1</v>
      </c>
      <c r="AD72" s="16">
        <v>2</v>
      </c>
      <c r="AE72" s="16">
        <v>2</v>
      </c>
      <c r="AF72" s="16">
        <v>0</v>
      </c>
      <c r="AG72" s="16">
        <v>4</v>
      </c>
      <c r="AH72" s="13">
        <f t="shared" si="45"/>
        <v>67</v>
      </c>
    </row>
    <row r="73" spans="1:34" ht="12.75" customHeight="1" x14ac:dyDescent="0.3">
      <c r="A73" s="15"/>
      <c r="B73" s="34"/>
      <c r="C73" s="29" t="s">
        <v>64</v>
      </c>
      <c r="D73" s="36"/>
      <c r="E73" s="16">
        <v>1</v>
      </c>
      <c r="F73" s="16">
        <v>0</v>
      </c>
      <c r="G73" s="16">
        <v>4</v>
      </c>
      <c r="H73" s="16">
        <v>0</v>
      </c>
      <c r="I73" s="16">
        <v>1</v>
      </c>
      <c r="J73" s="16">
        <v>7</v>
      </c>
      <c r="K73" s="16">
        <v>2</v>
      </c>
      <c r="L73" s="16">
        <v>11</v>
      </c>
      <c r="M73" s="16">
        <v>1</v>
      </c>
      <c r="N73" s="16">
        <v>4</v>
      </c>
      <c r="O73" s="16">
        <v>3</v>
      </c>
      <c r="P73" s="16">
        <v>2</v>
      </c>
      <c r="Q73" s="16">
        <v>0</v>
      </c>
      <c r="R73" s="16">
        <v>0</v>
      </c>
      <c r="S73" s="16">
        <v>1</v>
      </c>
      <c r="T73" s="16">
        <v>7</v>
      </c>
      <c r="U73" s="16">
        <v>16</v>
      </c>
      <c r="V73" s="16">
        <v>0</v>
      </c>
      <c r="W73" s="16">
        <v>3</v>
      </c>
      <c r="X73" s="16">
        <v>1</v>
      </c>
      <c r="Y73" s="16">
        <v>2</v>
      </c>
      <c r="Z73" s="16">
        <v>2</v>
      </c>
      <c r="AA73" s="16">
        <v>2</v>
      </c>
      <c r="AB73" s="16">
        <v>1</v>
      </c>
      <c r="AC73" s="16">
        <v>4</v>
      </c>
      <c r="AD73" s="16">
        <v>6</v>
      </c>
      <c r="AE73" s="16">
        <v>0</v>
      </c>
      <c r="AF73" s="16">
        <v>2</v>
      </c>
      <c r="AG73" s="16">
        <v>3</v>
      </c>
      <c r="AH73" s="13">
        <f t="shared" si="45"/>
        <v>86</v>
      </c>
    </row>
    <row r="74" spans="1:34" ht="12.75" customHeight="1" x14ac:dyDescent="0.3">
      <c r="A74" s="15"/>
      <c r="B74" s="34"/>
      <c r="C74" s="29" t="s">
        <v>65</v>
      </c>
      <c r="D74" s="36"/>
      <c r="E74" s="16">
        <v>3</v>
      </c>
      <c r="F74" s="16">
        <v>1</v>
      </c>
      <c r="G74" s="16">
        <v>1</v>
      </c>
      <c r="H74" s="16">
        <v>0</v>
      </c>
      <c r="I74" s="16">
        <v>0</v>
      </c>
      <c r="J74" s="16">
        <v>0</v>
      </c>
      <c r="K74" s="16">
        <v>2</v>
      </c>
      <c r="L74" s="16">
        <v>0</v>
      </c>
      <c r="M74" s="16">
        <v>0</v>
      </c>
      <c r="N74" s="16">
        <v>0</v>
      </c>
      <c r="O74" s="16">
        <v>1</v>
      </c>
      <c r="P74" s="16">
        <v>0</v>
      </c>
      <c r="Q74" s="16">
        <v>0</v>
      </c>
      <c r="R74" s="16">
        <v>0</v>
      </c>
      <c r="S74" s="16">
        <v>1</v>
      </c>
      <c r="T74" s="16">
        <v>0</v>
      </c>
      <c r="U74" s="16">
        <v>1</v>
      </c>
      <c r="V74" s="16">
        <v>0</v>
      </c>
      <c r="W74" s="16">
        <v>2</v>
      </c>
      <c r="X74" s="16">
        <v>0</v>
      </c>
      <c r="Y74" s="16">
        <v>0</v>
      </c>
      <c r="Z74" s="16">
        <v>0</v>
      </c>
      <c r="AA74" s="16">
        <v>0</v>
      </c>
      <c r="AB74" s="16">
        <v>2</v>
      </c>
      <c r="AC74" s="16">
        <v>1</v>
      </c>
      <c r="AD74" s="16">
        <v>4</v>
      </c>
      <c r="AE74" s="16">
        <v>1</v>
      </c>
      <c r="AF74" s="16">
        <v>0</v>
      </c>
      <c r="AG74" s="16">
        <v>3</v>
      </c>
      <c r="AH74" s="13">
        <f t="shared" si="45"/>
        <v>23</v>
      </c>
    </row>
    <row r="75" spans="1:34" ht="12.75" customHeight="1" x14ac:dyDescent="0.3">
      <c r="A75" s="15"/>
      <c r="B75" s="34"/>
      <c r="C75" s="29" t="s">
        <v>66</v>
      </c>
      <c r="D75" s="36"/>
      <c r="E75" s="16">
        <v>1</v>
      </c>
      <c r="F75" s="16">
        <v>2</v>
      </c>
      <c r="G75" s="16">
        <v>2</v>
      </c>
      <c r="H75" s="16">
        <v>0</v>
      </c>
      <c r="I75" s="16">
        <v>1</v>
      </c>
      <c r="J75" s="16">
        <v>2</v>
      </c>
      <c r="K75" s="16">
        <v>0</v>
      </c>
      <c r="L75" s="16">
        <v>0</v>
      </c>
      <c r="M75" s="16">
        <v>0</v>
      </c>
      <c r="N75" s="16">
        <v>0</v>
      </c>
      <c r="O75" s="16">
        <v>2</v>
      </c>
      <c r="P75" s="16">
        <v>2</v>
      </c>
      <c r="Q75" s="16">
        <v>1</v>
      </c>
      <c r="R75" s="16">
        <v>0</v>
      </c>
      <c r="S75" s="16">
        <v>0</v>
      </c>
      <c r="T75" s="16">
        <v>0</v>
      </c>
      <c r="U75" s="16">
        <v>1</v>
      </c>
      <c r="V75" s="16">
        <v>1</v>
      </c>
      <c r="W75" s="16">
        <v>0</v>
      </c>
      <c r="X75" s="16">
        <v>0</v>
      </c>
      <c r="Y75" s="16">
        <v>1</v>
      </c>
      <c r="Z75" s="16">
        <v>0</v>
      </c>
      <c r="AA75" s="16">
        <v>0</v>
      </c>
      <c r="AB75" s="16">
        <v>2</v>
      </c>
      <c r="AC75" s="16">
        <v>0</v>
      </c>
      <c r="AD75" s="16">
        <v>1</v>
      </c>
      <c r="AE75" s="16">
        <v>0</v>
      </c>
      <c r="AF75" s="16">
        <v>0</v>
      </c>
      <c r="AG75" s="16">
        <v>1</v>
      </c>
      <c r="AH75" s="13">
        <f t="shared" si="45"/>
        <v>20</v>
      </c>
    </row>
    <row r="76" spans="1:34" ht="12.75" customHeight="1" x14ac:dyDescent="0.3">
      <c r="A76" s="15"/>
      <c r="B76" s="34"/>
      <c r="C76" s="29" t="s">
        <v>67</v>
      </c>
      <c r="D76" s="36"/>
      <c r="E76" s="16">
        <v>3</v>
      </c>
      <c r="F76" s="16">
        <v>3</v>
      </c>
      <c r="G76" s="16">
        <v>0</v>
      </c>
      <c r="H76" s="16">
        <v>1</v>
      </c>
      <c r="I76" s="16">
        <v>3</v>
      </c>
      <c r="J76" s="16">
        <v>2</v>
      </c>
      <c r="K76" s="16">
        <v>2</v>
      </c>
      <c r="L76" s="16">
        <v>1</v>
      </c>
      <c r="M76" s="16">
        <v>0</v>
      </c>
      <c r="N76" s="16">
        <v>0</v>
      </c>
      <c r="O76" s="16">
        <v>0</v>
      </c>
      <c r="P76" s="16">
        <v>2</v>
      </c>
      <c r="Q76" s="16">
        <v>0</v>
      </c>
      <c r="R76" s="16">
        <v>0</v>
      </c>
      <c r="S76" s="16">
        <v>1</v>
      </c>
      <c r="T76" s="16">
        <v>1</v>
      </c>
      <c r="U76" s="16">
        <v>0</v>
      </c>
      <c r="V76" s="16">
        <v>0</v>
      </c>
      <c r="W76" s="16">
        <v>5</v>
      </c>
      <c r="X76" s="16">
        <v>0</v>
      </c>
      <c r="Y76" s="16">
        <v>1</v>
      </c>
      <c r="Z76" s="16">
        <v>0</v>
      </c>
      <c r="AA76" s="16">
        <v>0</v>
      </c>
      <c r="AB76" s="16">
        <v>2</v>
      </c>
      <c r="AC76" s="16">
        <v>6</v>
      </c>
      <c r="AD76" s="16">
        <v>3</v>
      </c>
      <c r="AE76" s="16">
        <v>0</v>
      </c>
      <c r="AF76" s="16">
        <v>0</v>
      </c>
      <c r="AG76" s="16">
        <v>1</v>
      </c>
      <c r="AH76" s="13">
        <f t="shared" si="45"/>
        <v>37</v>
      </c>
    </row>
    <row r="77" spans="1:34" ht="12.75" customHeight="1" x14ac:dyDescent="0.3">
      <c r="A77" s="15"/>
      <c r="B77" s="34"/>
      <c r="C77" s="29" t="s">
        <v>68</v>
      </c>
      <c r="D77" s="36"/>
      <c r="E77" s="16">
        <v>0</v>
      </c>
      <c r="F77" s="16">
        <v>0</v>
      </c>
      <c r="G77" s="16">
        <v>1</v>
      </c>
      <c r="H77" s="16">
        <v>0</v>
      </c>
      <c r="I77" s="16">
        <v>0</v>
      </c>
      <c r="J77" s="16">
        <v>1</v>
      </c>
      <c r="K77" s="16">
        <v>1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1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2</v>
      </c>
      <c r="X77" s="16">
        <v>0</v>
      </c>
      <c r="Y77" s="16">
        <v>1</v>
      </c>
      <c r="Z77" s="16">
        <v>0</v>
      </c>
      <c r="AA77" s="16">
        <v>0</v>
      </c>
      <c r="AB77" s="16">
        <v>1</v>
      </c>
      <c r="AC77" s="16">
        <v>0</v>
      </c>
      <c r="AD77" s="16">
        <v>2</v>
      </c>
      <c r="AE77" s="16">
        <v>2</v>
      </c>
      <c r="AF77" s="16">
        <v>0</v>
      </c>
      <c r="AG77" s="16">
        <v>0</v>
      </c>
      <c r="AH77" s="13">
        <f t="shared" si="45"/>
        <v>12</v>
      </c>
    </row>
    <row r="78" spans="1:34" ht="12.75" customHeight="1" x14ac:dyDescent="0.3">
      <c r="A78" s="15"/>
      <c r="B78" s="34"/>
      <c r="C78" s="29" t="s">
        <v>69</v>
      </c>
      <c r="D78" s="36"/>
      <c r="E78" s="16">
        <v>1</v>
      </c>
      <c r="F78" s="16">
        <v>1</v>
      </c>
      <c r="G78" s="16">
        <v>0</v>
      </c>
      <c r="H78" s="16">
        <v>1</v>
      </c>
      <c r="I78" s="16">
        <v>1</v>
      </c>
      <c r="J78" s="16">
        <v>1</v>
      </c>
      <c r="K78" s="16">
        <v>0</v>
      </c>
      <c r="L78" s="16">
        <v>1</v>
      </c>
      <c r="M78" s="16">
        <v>0</v>
      </c>
      <c r="N78" s="16">
        <v>0</v>
      </c>
      <c r="O78" s="16">
        <v>0</v>
      </c>
      <c r="P78" s="16">
        <v>2</v>
      </c>
      <c r="Q78" s="16">
        <v>1</v>
      </c>
      <c r="R78" s="16">
        <v>2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2</v>
      </c>
      <c r="Y78" s="16">
        <v>0</v>
      </c>
      <c r="Z78" s="16">
        <v>1</v>
      </c>
      <c r="AA78" s="16">
        <v>2</v>
      </c>
      <c r="AB78" s="16">
        <v>2</v>
      </c>
      <c r="AC78" s="16">
        <v>7</v>
      </c>
      <c r="AD78" s="16">
        <v>3</v>
      </c>
      <c r="AE78" s="16">
        <v>0</v>
      </c>
      <c r="AF78" s="16">
        <v>0</v>
      </c>
      <c r="AG78" s="16">
        <v>0</v>
      </c>
      <c r="AH78" s="13">
        <f t="shared" si="45"/>
        <v>28</v>
      </c>
    </row>
    <row r="79" spans="1:34" ht="12.75" customHeight="1" x14ac:dyDescent="0.3">
      <c r="A79" s="16" t="s">
        <v>15</v>
      </c>
      <c r="B79" s="60" t="s">
        <v>49</v>
      </c>
      <c r="C79" s="61"/>
      <c r="D79" s="59"/>
      <c r="E79" s="13">
        <f>SUM(E69:E78)</f>
        <v>33</v>
      </c>
      <c r="F79" s="13">
        <f t="shared" ref="F79" si="46">SUM(F69:F78)</f>
        <v>29</v>
      </c>
      <c r="G79" s="13">
        <f t="shared" ref="G79" si="47">SUM(G69:G78)</f>
        <v>19</v>
      </c>
      <c r="H79" s="13">
        <f t="shared" ref="H79" si="48">SUM(H69:H78)</f>
        <v>15</v>
      </c>
      <c r="I79" s="13">
        <f t="shared" ref="I79" si="49">SUM(I69:I78)</f>
        <v>20</v>
      </c>
      <c r="J79" s="13">
        <f t="shared" ref="J79" si="50">SUM(J69:J78)</f>
        <v>28</v>
      </c>
      <c r="K79" s="13">
        <f t="shared" ref="K79" si="51">SUM(K69:K78)</f>
        <v>25</v>
      </c>
      <c r="L79" s="13">
        <f t="shared" ref="L79" si="52">SUM(L69:L78)</f>
        <v>22</v>
      </c>
      <c r="M79" s="13">
        <f t="shared" ref="M79" si="53">SUM(M69:M78)</f>
        <v>12</v>
      </c>
      <c r="N79" s="13">
        <f t="shared" ref="N79" si="54">SUM(N69:N78)</f>
        <v>17</v>
      </c>
      <c r="O79" s="13">
        <f t="shared" ref="O79" si="55">SUM(O69:O78)</f>
        <v>23</v>
      </c>
      <c r="P79" s="13">
        <f t="shared" ref="P79" si="56">SUM(P69:P78)</f>
        <v>17</v>
      </c>
      <c r="Q79" s="13">
        <f t="shared" ref="Q79" si="57">SUM(Q69:Q78)</f>
        <v>24</v>
      </c>
      <c r="R79" s="13">
        <f t="shared" ref="R79" si="58">SUM(R69:R78)</f>
        <v>14</v>
      </c>
      <c r="S79" s="13">
        <f t="shared" ref="S79" si="59">SUM(S69:S78)</f>
        <v>14</v>
      </c>
      <c r="T79" s="13">
        <f t="shared" ref="T79" si="60">SUM(T69:T78)</f>
        <v>29</v>
      </c>
      <c r="U79" s="13">
        <f t="shared" ref="U79" si="61">SUM(U69:U78)</f>
        <v>66</v>
      </c>
      <c r="V79" s="13">
        <f t="shared" ref="V79" si="62">SUM(V69:V78)</f>
        <v>10</v>
      </c>
      <c r="W79" s="13">
        <f t="shared" ref="W79" si="63">SUM(W69:W78)</f>
        <v>25</v>
      </c>
      <c r="X79" s="13">
        <f t="shared" ref="X79" si="64">SUM(X69:X78)</f>
        <v>18</v>
      </c>
      <c r="Y79" s="13">
        <f t="shared" ref="Y79" si="65">SUM(Y69:Y78)</f>
        <v>21</v>
      </c>
      <c r="Z79" s="13">
        <f t="shared" ref="Z79" si="66">SUM(Z69:Z78)</f>
        <v>18</v>
      </c>
      <c r="AA79" s="13">
        <f t="shared" ref="AA79" si="67">SUM(AA69:AA78)</f>
        <v>28</v>
      </c>
      <c r="AB79" s="13">
        <f t="shared" ref="AB79" si="68">SUM(AB69:AB78)</f>
        <v>37</v>
      </c>
      <c r="AC79" s="13">
        <f t="shared" ref="AC79" si="69">SUM(AC69:AC78)</f>
        <v>34</v>
      </c>
      <c r="AD79" s="13">
        <f t="shared" ref="AD79" si="70">SUM(AD69:AD78)</f>
        <v>41</v>
      </c>
      <c r="AE79" s="13">
        <f t="shared" ref="AE79" si="71">SUM(AE69:AE78)</f>
        <v>22</v>
      </c>
      <c r="AF79" s="13">
        <f t="shared" ref="AF79" si="72">SUM(AF69:AF78)</f>
        <v>11</v>
      </c>
      <c r="AG79" s="13">
        <f t="shared" ref="AG79" si="73">SUM(AG69:AG78)</f>
        <v>35</v>
      </c>
      <c r="AH79" s="13">
        <f t="shared" ref="AH79" si="74">SUM(AH69:AH78)</f>
        <v>707</v>
      </c>
    </row>
    <row r="80" spans="1:34" ht="12.75" customHeight="1" x14ac:dyDescent="0.3">
      <c r="A80" s="63"/>
      <c r="B80" s="64"/>
      <c r="C80" s="64"/>
      <c r="D80" s="64"/>
      <c r="E80" s="64"/>
    </row>
    <row r="81" spans="1:34" ht="12.75" customHeight="1" x14ac:dyDescent="0.3">
      <c r="A81" s="20" t="s">
        <v>37</v>
      </c>
      <c r="B81" s="27" t="s">
        <v>23</v>
      </c>
      <c r="C81" s="58" t="s">
        <v>70</v>
      </c>
      <c r="D81" s="59"/>
      <c r="E81" s="16">
        <v>11</v>
      </c>
      <c r="F81" s="16">
        <v>8</v>
      </c>
      <c r="G81" s="16">
        <v>7</v>
      </c>
      <c r="H81" s="16">
        <v>11</v>
      </c>
      <c r="I81" s="16">
        <v>10</v>
      </c>
      <c r="J81" s="16">
        <v>11</v>
      </c>
      <c r="K81" s="16">
        <v>1</v>
      </c>
      <c r="L81" s="16">
        <v>14</v>
      </c>
      <c r="M81" s="16">
        <v>0</v>
      </c>
      <c r="N81" s="16">
        <v>3</v>
      </c>
      <c r="O81" s="16">
        <v>8</v>
      </c>
      <c r="P81" s="16">
        <v>7</v>
      </c>
      <c r="Q81" s="16">
        <v>16</v>
      </c>
      <c r="R81" s="16">
        <v>6</v>
      </c>
      <c r="S81" s="16">
        <v>10</v>
      </c>
      <c r="T81" s="16">
        <v>15</v>
      </c>
      <c r="U81" s="16">
        <v>3</v>
      </c>
      <c r="V81" s="16">
        <v>7</v>
      </c>
      <c r="W81" s="16">
        <v>7</v>
      </c>
      <c r="X81" s="16">
        <v>14</v>
      </c>
      <c r="Y81" s="16">
        <v>9</v>
      </c>
      <c r="Z81" s="16">
        <v>3</v>
      </c>
      <c r="AA81" s="16">
        <v>13</v>
      </c>
      <c r="AB81" s="16">
        <v>18</v>
      </c>
      <c r="AC81" s="16">
        <v>5</v>
      </c>
      <c r="AD81" s="16">
        <v>6</v>
      </c>
      <c r="AE81" s="16">
        <v>9</v>
      </c>
      <c r="AF81" s="16">
        <v>9</v>
      </c>
      <c r="AG81" s="16">
        <v>11</v>
      </c>
      <c r="AH81" s="13">
        <f t="shared" ref="AH81:AH90" si="75">SUM(E81:AG81)</f>
        <v>252</v>
      </c>
    </row>
    <row r="82" spans="1:34" ht="12.75" customHeight="1" x14ac:dyDescent="0.3">
      <c r="A82" s="20" t="s">
        <v>39</v>
      </c>
      <c r="B82" s="34"/>
      <c r="C82" s="29" t="s">
        <v>71</v>
      </c>
      <c r="D82" s="36"/>
      <c r="E82" s="16">
        <v>7</v>
      </c>
      <c r="F82" s="16">
        <v>6</v>
      </c>
      <c r="G82" s="16">
        <v>12</v>
      </c>
      <c r="H82" s="16">
        <v>8</v>
      </c>
      <c r="I82" s="16">
        <v>10</v>
      </c>
      <c r="J82" s="16">
        <v>3</v>
      </c>
      <c r="K82" s="16">
        <v>12</v>
      </c>
      <c r="L82" s="16">
        <v>2</v>
      </c>
      <c r="M82" s="16">
        <v>9</v>
      </c>
      <c r="N82" s="16">
        <v>9</v>
      </c>
      <c r="O82" s="16">
        <v>4</v>
      </c>
      <c r="P82" s="16">
        <v>2</v>
      </c>
      <c r="Q82" s="16">
        <v>4</v>
      </c>
      <c r="R82" s="16">
        <v>5</v>
      </c>
      <c r="S82" s="16">
        <v>18</v>
      </c>
      <c r="T82" s="16">
        <v>82</v>
      </c>
      <c r="U82" s="16">
        <v>28</v>
      </c>
      <c r="V82" s="16">
        <v>6</v>
      </c>
      <c r="W82" s="16">
        <v>20</v>
      </c>
      <c r="X82" s="16">
        <v>14</v>
      </c>
      <c r="Y82" s="16">
        <v>13</v>
      </c>
      <c r="Z82" s="16">
        <v>4</v>
      </c>
      <c r="AA82" s="16">
        <v>6</v>
      </c>
      <c r="AB82" s="16">
        <v>19</v>
      </c>
      <c r="AC82" s="16">
        <v>5</v>
      </c>
      <c r="AD82" s="16">
        <v>6</v>
      </c>
      <c r="AE82" s="16">
        <v>14</v>
      </c>
      <c r="AF82" s="16">
        <v>3</v>
      </c>
      <c r="AG82" s="16">
        <v>2</v>
      </c>
      <c r="AH82" s="13">
        <f t="shared" si="75"/>
        <v>333</v>
      </c>
    </row>
    <row r="83" spans="1:34" ht="12.75" customHeight="1" x14ac:dyDescent="0.3">
      <c r="A83" s="15"/>
      <c r="B83" s="34"/>
      <c r="C83" s="29" t="s">
        <v>72</v>
      </c>
      <c r="D83" s="36"/>
      <c r="E83" s="16">
        <v>2</v>
      </c>
      <c r="F83" s="16">
        <v>4</v>
      </c>
      <c r="G83" s="16">
        <v>2</v>
      </c>
      <c r="H83" s="16">
        <v>5</v>
      </c>
      <c r="I83" s="16">
        <v>2</v>
      </c>
      <c r="J83" s="16">
        <v>2</v>
      </c>
      <c r="K83" s="16">
        <v>7</v>
      </c>
      <c r="L83" s="16">
        <v>3</v>
      </c>
      <c r="M83" s="16">
        <v>2</v>
      </c>
      <c r="N83" s="16">
        <v>0</v>
      </c>
      <c r="O83" s="16">
        <v>0</v>
      </c>
      <c r="P83" s="16">
        <v>0</v>
      </c>
      <c r="Q83" s="16">
        <v>1</v>
      </c>
      <c r="R83" s="16">
        <v>2</v>
      </c>
      <c r="S83" s="16">
        <v>4</v>
      </c>
      <c r="T83" s="16">
        <v>3</v>
      </c>
      <c r="U83" s="16">
        <v>0</v>
      </c>
      <c r="V83" s="16">
        <v>3</v>
      </c>
      <c r="W83" s="16">
        <v>1</v>
      </c>
      <c r="X83" s="16">
        <v>3</v>
      </c>
      <c r="Y83" s="16">
        <v>4</v>
      </c>
      <c r="Z83" s="16">
        <v>2</v>
      </c>
      <c r="AA83" s="16">
        <v>2</v>
      </c>
      <c r="AB83" s="16">
        <v>1</v>
      </c>
      <c r="AC83" s="16">
        <v>0</v>
      </c>
      <c r="AD83" s="16">
        <v>0</v>
      </c>
      <c r="AE83" s="16">
        <v>4</v>
      </c>
      <c r="AF83" s="16">
        <v>0</v>
      </c>
      <c r="AG83" s="16">
        <v>4</v>
      </c>
      <c r="AH83" s="13">
        <f t="shared" si="75"/>
        <v>63</v>
      </c>
    </row>
    <row r="84" spans="1:34" ht="12.75" customHeight="1" x14ac:dyDescent="0.3">
      <c r="A84" s="15"/>
      <c r="B84" s="34"/>
      <c r="C84" s="29" t="s">
        <v>73</v>
      </c>
      <c r="D84" s="36"/>
      <c r="E84" s="16">
        <v>1</v>
      </c>
      <c r="F84" s="16">
        <v>2</v>
      </c>
      <c r="G84" s="16">
        <v>1</v>
      </c>
      <c r="H84" s="16">
        <v>2</v>
      </c>
      <c r="I84" s="16">
        <v>2</v>
      </c>
      <c r="J84" s="16">
        <v>0</v>
      </c>
      <c r="K84" s="16">
        <v>1</v>
      </c>
      <c r="L84" s="16">
        <v>1</v>
      </c>
      <c r="M84" s="16">
        <v>1</v>
      </c>
      <c r="N84" s="16">
        <v>1</v>
      </c>
      <c r="O84" s="16">
        <v>0</v>
      </c>
      <c r="P84" s="16">
        <v>0</v>
      </c>
      <c r="Q84" s="16">
        <v>2</v>
      </c>
      <c r="R84" s="16">
        <v>1</v>
      </c>
      <c r="S84" s="16">
        <v>2</v>
      </c>
      <c r="T84" s="16">
        <v>0</v>
      </c>
      <c r="U84" s="16">
        <v>0</v>
      </c>
      <c r="V84" s="16">
        <v>3</v>
      </c>
      <c r="W84" s="16">
        <v>1</v>
      </c>
      <c r="X84" s="16">
        <v>0</v>
      </c>
      <c r="Y84" s="16">
        <v>1</v>
      </c>
      <c r="Z84" s="16">
        <v>1</v>
      </c>
      <c r="AA84" s="16">
        <v>0</v>
      </c>
      <c r="AB84" s="16">
        <v>2</v>
      </c>
      <c r="AC84" s="16">
        <v>1</v>
      </c>
      <c r="AD84" s="16">
        <v>1</v>
      </c>
      <c r="AE84" s="16">
        <v>0</v>
      </c>
      <c r="AF84" s="16">
        <v>1</v>
      </c>
      <c r="AG84" s="16">
        <v>4</v>
      </c>
      <c r="AH84" s="13">
        <f t="shared" si="75"/>
        <v>32</v>
      </c>
    </row>
    <row r="85" spans="1:34" ht="12.75" customHeight="1" x14ac:dyDescent="0.3">
      <c r="A85" s="15"/>
      <c r="B85" s="34"/>
      <c r="C85" s="29" t="s">
        <v>74</v>
      </c>
      <c r="D85" s="36"/>
      <c r="E85" s="16">
        <v>1</v>
      </c>
      <c r="F85" s="16">
        <v>1</v>
      </c>
      <c r="G85" s="16">
        <v>2</v>
      </c>
      <c r="H85" s="16">
        <v>4</v>
      </c>
      <c r="I85" s="16">
        <v>4</v>
      </c>
      <c r="J85" s="16">
        <v>1</v>
      </c>
      <c r="K85" s="16">
        <v>2</v>
      </c>
      <c r="L85" s="16">
        <v>2</v>
      </c>
      <c r="M85" s="16">
        <v>0</v>
      </c>
      <c r="N85" s="16">
        <v>2</v>
      </c>
      <c r="O85" s="16">
        <v>0</v>
      </c>
      <c r="P85" s="16">
        <v>4</v>
      </c>
      <c r="Q85" s="16">
        <v>2</v>
      </c>
      <c r="R85" s="16">
        <v>0</v>
      </c>
      <c r="S85" s="16">
        <v>4</v>
      </c>
      <c r="T85" s="16">
        <v>0</v>
      </c>
      <c r="U85" s="16">
        <v>0</v>
      </c>
      <c r="V85" s="16">
        <v>4</v>
      </c>
      <c r="W85" s="16">
        <v>0</v>
      </c>
      <c r="X85" s="16">
        <v>1</v>
      </c>
      <c r="Y85" s="16">
        <v>1</v>
      </c>
      <c r="Z85" s="16">
        <v>1</v>
      </c>
      <c r="AA85" s="16">
        <v>2</v>
      </c>
      <c r="AB85" s="16">
        <v>1</v>
      </c>
      <c r="AC85" s="16">
        <v>0</v>
      </c>
      <c r="AD85" s="16">
        <v>1</v>
      </c>
      <c r="AE85" s="16">
        <v>3</v>
      </c>
      <c r="AF85" s="16">
        <v>1</v>
      </c>
      <c r="AG85" s="16">
        <v>4</v>
      </c>
      <c r="AH85" s="13">
        <f t="shared" si="75"/>
        <v>48</v>
      </c>
    </row>
    <row r="86" spans="1:34" ht="12.75" customHeight="1" x14ac:dyDescent="0.3">
      <c r="A86" s="15"/>
      <c r="B86" s="34"/>
      <c r="C86" s="29" t="s">
        <v>75</v>
      </c>
      <c r="D86" s="36"/>
      <c r="E86" s="16">
        <v>0</v>
      </c>
      <c r="F86" s="16">
        <v>0</v>
      </c>
      <c r="G86" s="16">
        <v>1</v>
      </c>
      <c r="H86" s="16">
        <v>1</v>
      </c>
      <c r="I86" s="16">
        <v>0</v>
      </c>
      <c r="J86" s="16">
        <v>0</v>
      </c>
      <c r="K86" s="16">
        <v>0</v>
      </c>
      <c r="L86" s="16">
        <v>1</v>
      </c>
      <c r="M86" s="16">
        <v>0</v>
      </c>
      <c r="N86" s="16">
        <v>1</v>
      </c>
      <c r="O86" s="16">
        <v>0</v>
      </c>
      <c r="P86" s="16">
        <v>2</v>
      </c>
      <c r="Q86" s="16">
        <v>0</v>
      </c>
      <c r="R86" s="16">
        <v>0</v>
      </c>
      <c r="S86" s="16">
        <v>0</v>
      </c>
      <c r="T86" s="16">
        <v>2</v>
      </c>
      <c r="U86" s="16">
        <v>0</v>
      </c>
      <c r="V86" s="16">
        <v>50</v>
      </c>
      <c r="W86" s="16">
        <v>34</v>
      </c>
      <c r="X86" s="16">
        <v>1</v>
      </c>
      <c r="Y86" s="16">
        <v>2</v>
      </c>
      <c r="Z86" s="16">
        <v>0</v>
      </c>
      <c r="AA86" s="16">
        <v>0</v>
      </c>
      <c r="AB86" s="16">
        <v>1</v>
      </c>
      <c r="AC86" s="16">
        <v>0</v>
      </c>
      <c r="AD86" s="16">
        <v>3</v>
      </c>
      <c r="AE86" s="16">
        <v>1</v>
      </c>
      <c r="AF86" s="16">
        <v>0</v>
      </c>
      <c r="AG86" s="16">
        <v>2</v>
      </c>
      <c r="AH86" s="13">
        <f t="shared" si="75"/>
        <v>102</v>
      </c>
    </row>
    <row r="87" spans="1:34" ht="12.75" customHeight="1" x14ac:dyDescent="0.3">
      <c r="A87" s="15"/>
      <c r="B87" s="34"/>
      <c r="C87" s="29" t="s">
        <v>76</v>
      </c>
      <c r="D87" s="36"/>
      <c r="E87" s="16">
        <v>0</v>
      </c>
      <c r="F87" s="16">
        <v>0</v>
      </c>
      <c r="G87" s="16">
        <v>0</v>
      </c>
      <c r="H87" s="16">
        <v>2</v>
      </c>
      <c r="I87" s="16">
        <v>0</v>
      </c>
      <c r="J87" s="16">
        <v>1</v>
      </c>
      <c r="K87" s="16">
        <v>0</v>
      </c>
      <c r="L87" s="16">
        <v>0</v>
      </c>
      <c r="M87" s="16">
        <v>0</v>
      </c>
      <c r="N87" s="16">
        <v>1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1</v>
      </c>
      <c r="Y87" s="16">
        <v>0</v>
      </c>
      <c r="Z87" s="16">
        <v>0</v>
      </c>
      <c r="AA87" s="16">
        <v>1</v>
      </c>
      <c r="AB87" s="16">
        <v>1</v>
      </c>
      <c r="AC87" s="16">
        <v>0</v>
      </c>
      <c r="AD87" s="16">
        <v>0</v>
      </c>
      <c r="AE87" s="16">
        <v>0</v>
      </c>
      <c r="AF87" s="16">
        <v>0</v>
      </c>
      <c r="AG87" s="16">
        <v>1</v>
      </c>
      <c r="AH87" s="13">
        <f t="shared" si="75"/>
        <v>8</v>
      </c>
    </row>
    <row r="88" spans="1:34" ht="12.75" customHeight="1" x14ac:dyDescent="0.3">
      <c r="A88" s="15"/>
      <c r="B88" s="34"/>
      <c r="C88" s="29" t="s">
        <v>77</v>
      </c>
      <c r="D88" s="36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3">
        <f t="shared" si="75"/>
        <v>0</v>
      </c>
    </row>
    <row r="89" spans="1:34" ht="12.75" customHeight="1" x14ac:dyDescent="0.3">
      <c r="A89" s="15"/>
      <c r="B89" s="34"/>
      <c r="C89" s="29" t="s">
        <v>78</v>
      </c>
      <c r="D89" s="36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1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3">
        <f t="shared" si="75"/>
        <v>1</v>
      </c>
    </row>
    <row r="90" spans="1:34" ht="12.75" customHeight="1" x14ac:dyDescent="0.3">
      <c r="A90" s="15"/>
      <c r="B90" s="34"/>
      <c r="C90" s="29" t="s">
        <v>79</v>
      </c>
      <c r="D90" s="36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1</v>
      </c>
      <c r="O90" s="16">
        <v>0</v>
      </c>
      <c r="P90" s="16">
        <v>0</v>
      </c>
      <c r="Q90" s="16">
        <v>0</v>
      </c>
      <c r="R90" s="16">
        <v>0</v>
      </c>
      <c r="S90" s="16">
        <v>1</v>
      </c>
      <c r="T90" s="16">
        <v>0</v>
      </c>
      <c r="U90" s="16">
        <v>0</v>
      </c>
      <c r="V90" s="16">
        <v>2</v>
      </c>
      <c r="W90" s="16">
        <v>1</v>
      </c>
      <c r="X90" s="16">
        <v>0</v>
      </c>
      <c r="Y90" s="16">
        <v>2</v>
      </c>
      <c r="Z90" s="16">
        <v>0</v>
      </c>
      <c r="AA90" s="16">
        <v>0</v>
      </c>
      <c r="AB90" s="16">
        <v>1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3">
        <f t="shared" si="75"/>
        <v>8</v>
      </c>
    </row>
    <row r="91" spans="1:34" ht="12.75" customHeight="1" x14ac:dyDescent="0.3">
      <c r="A91" s="16" t="s">
        <v>15</v>
      </c>
      <c r="B91" s="60" t="s">
        <v>49</v>
      </c>
      <c r="C91" s="61"/>
      <c r="D91" s="59"/>
      <c r="E91" s="13">
        <f>SUM(E81:E90)</f>
        <v>22</v>
      </c>
      <c r="F91" s="13">
        <f t="shared" ref="F91" si="76">SUM(F81:F90)</f>
        <v>21</v>
      </c>
      <c r="G91" s="13">
        <f t="shared" ref="G91" si="77">SUM(G81:G90)</f>
        <v>25</v>
      </c>
      <c r="H91" s="13">
        <f t="shared" ref="H91" si="78">SUM(H81:H90)</f>
        <v>33</v>
      </c>
      <c r="I91" s="13">
        <f t="shared" ref="I91" si="79">SUM(I81:I90)</f>
        <v>28</v>
      </c>
      <c r="J91" s="13">
        <f t="shared" ref="J91" si="80">SUM(J81:J90)</f>
        <v>18</v>
      </c>
      <c r="K91" s="13">
        <f t="shared" ref="K91" si="81">SUM(K81:K90)</f>
        <v>24</v>
      </c>
      <c r="L91" s="13">
        <f t="shared" ref="L91" si="82">SUM(L81:L90)</f>
        <v>23</v>
      </c>
      <c r="M91" s="13">
        <f t="shared" ref="M91" si="83">SUM(M81:M90)</f>
        <v>12</v>
      </c>
      <c r="N91" s="13">
        <f t="shared" ref="N91" si="84">SUM(N81:N90)</f>
        <v>18</v>
      </c>
      <c r="O91" s="13">
        <f t="shared" ref="O91" si="85">SUM(O81:O90)</f>
        <v>12</v>
      </c>
      <c r="P91" s="13">
        <f t="shared" ref="P91" si="86">SUM(P81:P90)</f>
        <v>15</v>
      </c>
      <c r="Q91" s="13">
        <f t="shared" ref="Q91" si="87">SUM(Q81:Q90)</f>
        <v>25</v>
      </c>
      <c r="R91" s="13">
        <f t="shared" ref="R91" si="88">SUM(R81:R90)</f>
        <v>14</v>
      </c>
      <c r="S91" s="13">
        <f t="shared" ref="S91" si="89">SUM(S81:S90)</f>
        <v>39</v>
      </c>
      <c r="T91" s="13">
        <f t="shared" ref="T91" si="90">SUM(T81:T90)</f>
        <v>102</v>
      </c>
      <c r="U91" s="13">
        <f t="shared" ref="U91" si="91">SUM(U81:U90)</f>
        <v>31</v>
      </c>
      <c r="V91" s="13">
        <f t="shared" ref="V91" si="92">SUM(V81:V90)</f>
        <v>75</v>
      </c>
      <c r="W91" s="13">
        <f t="shared" ref="W91" si="93">SUM(W81:W90)</f>
        <v>64</v>
      </c>
      <c r="X91" s="13">
        <f t="shared" ref="X91" si="94">SUM(X81:X90)</f>
        <v>34</v>
      </c>
      <c r="Y91" s="13">
        <f t="shared" ref="Y91" si="95">SUM(Y81:Y90)</f>
        <v>32</v>
      </c>
      <c r="Z91" s="13">
        <f t="shared" ref="Z91" si="96">SUM(Z81:Z90)</f>
        <v>11</v>
      </c>
      <c r="AA91" s="13">
        <f t="shared" ref="AA91" si="97">SUM(AA81:AA90)</f>
        <v>24</v>
      </c>
      <c r="AB91" s="13">
        <f t="shared" ref="AB91" si="98">SUM(AB81:AB90)</f>
        <v>44</v>
      </c>
      <c r="AC91" s="13">
        <f t="shared" ref="AC91" si="99">SUM(AC81:AC90)</f>
        <v>11</v>
      </c>
      <c r="AD91" s="13">
        <f t="shared" ref="AD91" si="100">SUM(AD81:AD90)</f>
        <v>17</v>
      </c>
      <c r="AE91" s="13">
        <f t="shared" ref="AE91" si="101">SUM(AE81:AE90)</f>
        <v>31</v>
      </c>
      <c r="AF91" s="13">
        <f t="shared" ref="AF91" si="102">SUM(AF81:AF90)</f>
        <v>14</v>
      </c>
      <c r="AG91" s="13">
        <f t="shared" ref="AG91" si="103">SUM(AG81:AG90)</f>
        <v>28</v>
      </c>
      <c r="AH91" s="13">
        <f t="shared" ref="AH91" si="104">SUM(AH81:AH90)</f>
        <v>847</v>
      </c>
    </row>
    <row r="92" spans="1:34" ht="12.75" customHeight="1" x14ac:dyDescent="0.3">
      <c r="A92" s="63"/>
      <c r="B92" s="64"/>
      <c r="C92" s="64"/>
      <c r="D92" s="64"/>
      <c r="E92" s="64"/>
    </row>
    <row r="93" spans="1:34" ht="12.75" customHeight="1" x14ac:dyDescent="0.3">
      <c r="A93" s="20" t="s">
        <v>37</v>
      </c>
      <c r="B93" s="27" t="s">
        <v>80</v>
      </c>
      <c r="C93" s="58" t="s">
        <v>81</v>
      </c>
      <c r="D93" s="59"/>
      <c r="E93" s="16">
        <v>2</v>
      </c>
      <c r="F93" s="16">
        <v>7</v>
      </c>
      <c r="G93" s="16">
        <v>1</v>
      </c>
      <c r="H93" s="16">
        <v>0</v>
      </c>
      <c r="I93" s="16">
        <v>1</v>
      </c>
      <c r="J93" s="16">
        <v>1</v>
      </c>
      <c r="K93" s="16">
        <v>2</v>
      </c>
      <c r="L93" s="16">
        <v>0</v>
      </c>
      <c r="M93" s="16">
        <v>0</v>
      </c>
      <c r="N93" s="16">
        <v>2</v>
      </c>
      <c r="O93" s="16">
        <v>2</v>
      </c>
      <c r="P93" s="16">
        <v>0</v>
      </c>
      <c r="Q93" s="16">
        <v>2</v>
      </c>
      <c r="R93" s="16">
        <v>2</v>
      </c>
      <c r="S93" s="16">
        <v>0</v>
      </c>
      <c r="T93" s="16">
        <v>0</v>
      </c>
      <c r="U93" s="16">
        <v>0</v>
      </c>
      <c r="V93" s="16">
        <v>1</v>
      </c>
      <c r="W93" s="16">
        <v>4</v>
      </c>
      <c r="X93" s="16">
        <v>0</v>
      </c>
      <c r="Y93" s="16">
        <v>1</v>
      </c>
      <c r="Z93" s="16">
        <v>0</v>
      </c>
      <c r="AA93" s="16">
        <v>1</v>
      </c>
      <c r="AB93" s="16">
        <v>0</v>
      </c>
      <c r="AC93" s="16">
        <v>0</v>
      </c>
      <c r="AD93" s="16">
        <v>3</v>
      </c>
      <c r="AE93" s="16">
        <v>0</v>
      </c>
      <c r="AF93" s="16">
        <v>0</v>
      </c>
      <c r="AG93" s="16">
        <v>2</v>
      </c>
      <c r="AH93" s="13">
        <f t="shared" ref="AH93:AH102" si="105">SUM(E93:AG93)</f>
        <v>34</v>
      </c>
    </row>
    <row r="94" spans="1:34" ht="12.75" customHeight="1" x14ac:dyDescent="0.3">
      <c r="A94" s="20" t="s">
        <v>39</v>
      </c>
      <c r="B94" s="34"/>
      <c r="C94" s="29" t="s">
        <v>82</v>
      </c>
      <c r="D94" s="36"/>
      <c r="E94" s="16">
        <v>4</v>
      </c>
      <c r="F94" s="16">
        <v>3</v>
      </c>
      <c r="G94" s="16">
        <v>4</v>
      </c>
      <c r="H94" s="16">
        <v>1</v>
      </c>
      <c r="I94" s="16">
        <v>5</v>
      </c>
      <c r="J94" s="16">
        <v>1</v>
      </c>
      <c r="K94" s="16">
        <v>1</v>
      </c>
      <c r="L94" s="16">
        <v>0</v>
      </c>
      <c r="M94" s="16">
        <v>1</v>
      </c>
      <c r="N94" s="16">
        <v>1</v>
      </c>
      <c r="O94" s="16">
        <v>6</v>
      </c>
      <c r="P94" s="16">
        <v>0</v>
      </c>
      <c r="Q94" s="16">
        <v>3</v>
      </c>
      <c r="R94" s="16">
        <v>22</v>
      </c>
      <c r="S94" s="16">
        <v>4</v>
      </c>
      <c r="T94" s="16">
        <v>0</v>
      </c>
      <c r="U94" s="16">
        <v>0</v>
      </c>
      <c r="V94" s="16">
        <v>1</v>
      </c>
      <c r="W94" s="16">
        <v>2</v>
      </c>
      <c r="X94" s="16">
        <v>0</v>
      </c>
      <c r="Y94" s="16">
        <v>1</v>
      </c>
      <c r="Z94" s="16">
        <v>0</v>
      </c>
      <c r="AA94" s="16">
        <v>3</v>
      </c>
      <c r="AB94" s="16">
        <v>0</v>
      </c>
      <c r="AC94" s="16">
        <v>2</v>
      </c>
      <c r="AD94" s="16">
        <v>5</v>
      </c>
      <c r="AE94" s="16">
        <v>2</v>
      </c>
      <c r="AF94" s="16">
        <v>4</v>
      </c>
      <c r="AG94" s="16">
        <v>3</v>
      </c>
      <c r="AH94" s="13">
        <f t="shared" si="105"/>
        <v>79</v>
      </c>
    </row>
    <row r="95" spans="1:34" ht="12.75" customHeight="1" x14ac:dyDescent="0.3">
      <c r="A95" s="15"/>
      <c r="B95" s="34"/>
      <c r="C95" s="29" t="s">
        <v>83</v>
      </c>
      <c r="D95" s="36"/>
      <c r="E95" s="16">
        <v>0</v>
      </c>
      <c r="F95" s="16">
        <v>0</v>
      </c>
      <c r="G95" s="16">
        <v>0</v>
      </c>
      <c r="H95" s="16">
        <v>0</v>
      </c>
      <c r="I95" s="16">
        <v>1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1</v>
      </c>
      <c r="P95" s="16">
        <v>0</v>
      </c>
      <c r="Q95" s="16">
        <v>1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3">
        <f t="shared" si="105"/>
        <v>3</v>
      </c>
    </row>
    <row r="96" spans="1:34" ht="12.75" customHeight="1" x14ac:dyDescent="0.3">
      <c r="A96" s="15"/>
      <c r="B96" s="34"/>
      <c r="C96" s="29" t="s">
        <v>84</v>
      </c>
      <c r="D96" s="36"/>
      <c r="E96" s="16">
        <v>0</v>
      </c>
      <c r="F96" s="16">
        <v>1</v>
      </c>
      <c r="G96" s="16">
        <v>1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1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1</v>
      </c>
      <c r="AE96" s="16">
        <v>0</v>
      </c>
      <c r="AF96" s="16">
        <v>0</v>
      </c>
      <c r="AG96" s="16">
        <v>0</v>
      </c>
      <c r="AH96" s="13">
        <f t="shared" si="105"/>
        <v>4</v>
      </c>
    </row>
    <row r="97" spans="1:34" ht="12.75" customHeight="1" x14ac:dyDescent="0.3">
      <c r="A97" s="15"/>
      <c r="B97" s="34"/>
      <c r="C97" s="29" t="s">
        <v>85</v>
      </c>
      <c r="D97" s="36"/>
      <c r="E97" s="16">
        <v>0</v>
      </c>
      <c r="F97" s="16">
        <v>0</v>
      </c>
      <c r="G97" s="16">
        <v>0</v>
      </c>
      <c r="H97" s="16">
        <v>1</v>
      </c>
      <c r="I97" s="16">
        <v>0</v>
      </c>
      <c r="J97" s="16">
        <v>1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1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1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3">
        <f t="shared" si="105"/>
        <v>4</v>
      </c>
    </row>
    <row r="98" spans="1:34" ht="12.75" customHeight="1" x14ac:dyDescent="0.3">
      <c r="A98" s="15"/>
      <c r="B98" s="34"/>
      <c r="C98" s="29" t="s">
        <v>86</v>
      </c>
      <c r="D98" s="36"/>
      <c r="E98" s="16">
        <v>1</v>
      </c>
      <c r="F98" s="16">
        <v>2</v>
      </c>
      <c r="G98" s="16">
        <v>0</v>
      </c>
      <c r="H98" s="16">
        <v>1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1</v>
      </c>
      <c r="T98" s="16">
        <v>0</v>
      </c>
      <c r="U98" s="16">
        <v>0</v>
      </c>
      <c r="V98" s="16">
        <v>0</v>
      </c>
      <c r="W98" s="16">
        <v>2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2</v>
      </c>
      <c r="AD98" s="16">
        <v>0</v>
      </c>
      <c r="AE98" s="16">
        <v>0</v>
      </c>
      <c r="AF98" s="16">
        <v>0</v>
      </c>
      <c r="AG98" s="16">
        <v>0</v>
      </c>
      <c r="AH98" s="13">
        <f t="shared" si="105"/>
        <v>9</v>
      </c>
    </row>
    <row r="99" spans="1:34" ht="12.75" customHeight="1" x14ac:dyDescent="0.3">
      <c r="A99" s="15"/>
      <c r="B99" s="34"/>
      <c r="C99" s="29" t="s">
        <v>87</v>
      </c>
      <c r="D99" s="36"/>
      <c r="E99" s="16">
        <v>2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1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1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3">
        <f t="shared" si="105"/>
        <v>4</v>
      </c>
    </row>
    <row r="100" spans="1:34" ht="12.75" customHeight="1" x14ac:dyDescent="0.3">
      <c r="A100" s="15"/>
      <c r="B100" s="34"/>
      <c r="C100" s="29" t="s">
        <v>88</v>
      </c>
      <c r="D100" s="36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</v>
      </c>
      <c r="P100" s="16">
        <v>0</v>
      </c>
      <c r="Q100" s="16">
        <v>0</v>
      </c>
      <c r="R100" s="16">
        <v>0</v>
      </c>
      <c r="S100" s="16">
        <v>1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3">
        <f t="shared" si="105"/>
        <v>2</v>
      </c>
    </row>
    <row r="101" spans="1:34" ht="12.75" customHeight="1" x14ac:dyDescent="0.3">
      <c r="A101" s="15"/>
      <c r="B101" s="34"/>
      <c r="C101" s="29" t="s">
        <v>89</v>
      </c>
      <c r="D101" s="36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3">
        <f t="shared" si="105"/>
        <v>1</v>
      </c>
    </row>
    <row r="102" spans="1:34" ht="12.75" customHeight="1" x14ac:dyDescent="0.3">
      <c r="A102" s="15"/>
      <c r="B102" s="34"/>
      <c r="C102" s="29" t="s">
        <v>90</v>
      </c>
      <c r="D102" s="36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3">
        <f t="shared" si="105"/>
        <v>0</v>
      </c>
    </row>
    <row r="103" spans="1:34" ht="12.75" customHeight="1" x14ac:dyDescent="0.3">
      <c r="A103" s="16" t="s">
        <v>15</v>
      </c>
      <c r="B103" s="60" t="s">
        <v>49</v>
      </c>
      <c r="C103" s="61"/>
      <c r="D103" s="59"/>
      <c r="E103" s="13">
        <f>SUM(E93:E102)</f>
        <v>9</v>
      </c>
      <c r="F103" s="13">
        <f t="shared" ref="F103" si="106">SUM(F93:F102)</f>
        <v>13</v>
      </c>
      <c r="G103" s="13">
        <f t="shared" ref="G103" si="107">SUM(G93:G102)</f>
        <v>6</v>
      </c>
      <c r="H103" s="13">
        <f t="shared" ref="H103" si="108">SUM(H93:H102)</f>
        <v>3</v>
      </c>
      <c r="I103" s="13">
        <f t="shared" ref="I103" si="109">SUM(I93:I102)</f>
        <v>7</v>
      </c>
      <c r="J103" s="13">
        <f t="shared" ref="J103" si="110">SUM(J93:J102)</f>
        <v>3</v>
      </c>
      <c r="K103" s="13">
        <f t="shared" ref="K103" si="111">SUM(K93:K102)</f>
        <v>3</v>
      </c>
      <c r="L103" s="13">
        <f t="shared" ref="L103" si="112">SUM(L93:L102)</f>
        <v>0</v>
      </c>
      <c r="M103" s="13">
        <f t="shared" ref="M103" si="113">SUM(M93:M102)</f>
        <v>1</v>
      </c>
      <c r="N103" s="13">
        <f t="shared" ref="N103" si="114">SUM(N93:N102)</f>
        <v>3</v>
      </c>
      <c r="O103" s="13">
        <f t="shared" ref="O103" si="115">SUM(O93:O102)</f>
        <v>11</v>
      </c>
      <c r="P103" s="13">
        <f t="shared" ref="P103" si="116">SUM(P93:P102)</f>
        <v>0</v>
      </c>
      <c r="Q103" s="13">
        <f t="shared" ref="Q103" si="117">SUM(Q93:Q102)</f>
        <v>7</v>
      </c>
      <c r="R103" s="13">
        <f t="shared" ref="R103" si="118">SUM(R93:R102)</f>
        <v>25</v>
      </c>
      <c r="S103" s="13">
        <f t="shared" ref="S103" si="119">SUM(S93:S102)</f>
        <v>6</v>
      </c>
      <c r="T103" s="13">
        <f t="shared" ref="T103" si="120">SUM(T93:T102)</f>
        <v>0</v>
      </c>
      <c r="U103" s="13">
        <f t="shared" ref="U103" si="121">SUM(U93:U102)</f>
        <v>0</v>
      </c>
      <c r="V103" s="13">
        <f t="shared" ref="V103" si="122">SUM(V93:V102)</f>
        <v>2</v>
      </c>
      <c r="W103" s="13">
        <f t="shared" ref="W103" si="123">SUM(W93:W102)</f>
        <v>9</v>
      </c>
      <c r="X103" s="13">
        <f t="shared" ref="X103" si="124">SUM(X93:X102)</f>
        <v>1</v>
      </c>
      <c r="Y103" s="13">
        <f t="shared" ref="Y103" si="125">SUM(Y93:Y102)</f>
        <v>2</v>
      </c>
      <c r="Z103" s="13">
        <f t="shared" ref="Z103" si="126">SUM(Z93:Z102)</f>
        <v>0</v>
      </c>
      <c r="AA103" s="13">
        <f t="shared" ref="AA103" si="127">SUM(AA93:AA102)</f>
        <v>4</v>
      </c>
      <c r="AB103" s="13">
        <f t="shared" ref="AB103" si="128">SUM(AB93:AB102)</f>
        <v>1</v>
      </c>
      <c r="AC103" s="13">
        <f t="shared" ref="AC103" si="129">SUM(AC93:AC102)</f>
        <v>4</v>
      </c>
      <c r="AD103" s="13">
        <f t="shared" ref="AD103" si="130">SUM(AD93:AD102)</f>
        <v>9</v>
      </c>
      <c r="AE103" s="13">
        <f t="shared" ref="AE103" si="131">SUM(AE93:AE102)</f>
        <v>2</v>
      </c>
      <c r="AF103" s="13">
        <f t="shared" ref="AF103" si="132">SUM(AF93:AF102)</f>
        <v>4</v>
      </c>
      <c r="AG103" s="13">
        <f t="shared" ref="AG103" si="133">SUM(AG93:AG102)</f>
        <v>5</v>
      </c>
      <c r="AH103" s="13">
        <f t="shared" ref="AH103" si="134">SUM(AH93:AH102)</f>
        <v>140</v>
      </c>
    </row>
    <row r="104" spans="1:34" ht="12.75" customHeight="1" x14ac:dyDescent="0.3">
      <c r="A104" s="63"/>
      <c r="B104" s="64"/>
      <c r="C104" s="64"/>
      <c r="D104" s="64"/>
      <c r="E104" s="6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</row>
    <row r="105" spans="1:34" ht="12.75" customHeight="1" x14ac:dyDescent="0.3">
      <c r="A105" s="20" t="s">
        <v>37</v>
      </c>
      <c r="B105" s="27" t="s">
        <v>91</v>
      </c>
      <c r="C105" s="58" t="s">
        <v>92</v>
      </c>
      <c r="D105" s="59"/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1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1</v>
      </c>
      <c r="AF105" s="16">
        <v>0</v>
      </c>
      <c r="AG105" s="16">
        <v>0</v>
      </c>
      <c r="AH105" s="13">
        <f t="shared" ref="AH105:AH107" si="135">SUM(E105:AG105)</f>
        <v>2</v>
      </c>
    </row>
    <row r="106" spans="1:34" ht="12.75" customHeight="1" x14ac:dyDescent="0.3">
      <c r="A106" s="20" t="s">
        <v>39</v>
      </c>
      <c r="B106" s="34"/>
      <c r="C106" s="29" t="s">
        <v>93</v>
      </c>
      <c r="D106" s="36"/>
      <c r="E106" s="16">
        <v>0</v>
      </c>
      <c r="F106" s="16">
        <v>0</v>
      </c>
      <c r="G106" s="16">
        <v>2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1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2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2</v>
      </c>
      <c r="AB106" s="16">
        <v>0</v>
      </c>
      <c r="AC106" s="16">
        <v>1</v>
      </c>
      <c r="AD106" s="16">
        <v>0</v>
      </c>
      <c r="AE106" s="16">
        <v>0</v>
      </c>
      <c r="AF106" s="16">
        <v>1</v>
      </c>
      <c r="AG106" s="16">
        <v>0</v>
      </c>
      <c r="AH106" s="13">
        <f t="shared" si="135"/>
        <v>9</v>
      </c>
    </row>
    <row r="107" spans="1:34" ht="12.75" customHeight="1" x14ac:dyDescent="0.3">
      <c r="A107" s="15"/>
      <c r="B107" s="34"/>
      <c r="C107" s="29" t="s">
        <v>94</v>
      </c>
      <c r="D107" s="36"/>
      <c r="E107" s="16">
        <v>0</v>
      </c>
      <c r="F107" s="16">
        <v>0</v>
      </c>
      <c r="G107" s="16">
        <v>0</v>
      </c>
      <c r="H107" s="16">
        <v>1</v>
      </c>
      <c r="I107" s="16">
        <v>0</v>
      </c>
      <c r="J107" s="16">
        <v>0</v>
      </c>
      <c r="K107" s="16">
        <v>0</v>
      </c>
      <c r="L107" s="16">
        <v>1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3">
        <f t="shared" si="135"/>
        <v>2</v>
      </c>
    </row>
    <row r="108" spans="1:34" ht="12.75" customHeight="1" x14ac:dyDescent="0.3">
      <c r="A108" s="15"/>
      <c r="B108" s="37"/>
      <c r="C108" s="38"/>
      <c r="D108" s="39"/>
      <c r="E108" s="5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56"/>
    </row>
    <row r="109" spans="1:34" ht="12.75" customHeight="1" x14ac:dyDescent="0.3">
      <c r="A109" s="15"/>
      <c r="B109" s="37"/>
      <c r="C109" s="38"/>
      <c r="D109" s="39"/>
      <c r="E109" s="5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56"/>
    </row>
    <row r="110" spans="1:34" ht="12.75" customHeight="1" x14ac:dyDescent="0.3">
      <c r="A110" s="15"/>
      <c r="B110" s="37"/>
      <c r="C110" s="38"/>
      <c r="D110" s="39"/>
      <c r="E110" s="5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56"/>
    </row>
    <row r="111" spans="1:34" ht="12.75" customHeight="1" x14ac:dyDescent="0.3">
      <c r="A111" s="15"/>
      <c r="B111" s="37"/>
      <c r="C111" s="38"/>
      <c r="D111" s="39"/>
      <c r="E111" s="5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56"/>
    </row>
    <row r="112" spans="1:34" ht="12.75" customHeight="1" x14ac:dyDescent="0.3">
      <c r="A112" s="15"/>
      <c r="B112" s="37"/>
      <c r="C112" s="38"/>
      <c r="D112" s="39"/>
      <c r="E112" s="5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56"/>
    </row>
    <row r="113" spans="1:36" ht="12.75" customHeight="1" x14ac:dyDescent="0.3">
      <c r="A113" s="15"/>
      <c r="B113" s="37"/>
      <c r="C113" s="38"/>
      <c r="D113" s="39"/>
      <c r="E113" s="5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56"/>
    </row>
    <row r="114" spans="1:36" ht="12.75" customHeight="1" x14ac:dyDescent="0.3">
      <c r="A114" s="15"/>
      <c r="B114" s="37"/>
      <c r="C114" s="38"/>
      <c r="D114" s="39"/>
      <c r="E114" s="5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56"/>
    </row>
    <row r="115" spans="1:36" ht="12.75" customHeight="1" x14ac:dyDescent="0.3">
      <c r="A115" s="16" t="s">
        <v>15</v>
      </c>
      <c r="B115" s="60" t="s">
        <v>49</v>
      </c>
      <c r="C115" s="61"/>
      <c r="D115" s="59"/>
      <c r="E115" s="13">
        <f>SUM(E105:E114)</f>
        <v>0</v>
      </c>
      <c r="F115" s="13">
        <f t="shared" ref="F115" si="136">SUM(F105:F114)</f>
        <v>0</v>
      </c>
      <c r="G115" s="13">
        <f t="shared" ref="G115" si="137">SUM(G105:G114)</f>
        <v>2</v>
      </c>
      <c r="H115" s="13">
        <f t="shared" ref="H115" si="138">SUM(H105:H114)</f>
        <v>1</v>
      </c>
      <c r="I115" s="13">
        <f t="shared" ref="I115" si="139">SUM(I105:I114)</f>
        <v>0</v>
      </c>
      <c r="J115" s="13">
        <f t="shared" ref="J115" si="140">SUM(J105:J114)</f>
        <v>0</v>
      </c>
      <c r="K115" s="13">
        <f t="shared" ref="K115" si="141">SUM(K105:K114)</f>
        <v>0</v>
      </c>
      <c r="L115" s="13">
        <f t="shared" ref="L115" si="142">SUM(L105:L114)</f>
        <v>1</v>
      </c>
      <c r="M115" s="13">
        <f t="shared" ref="M115" si="143">SUM(M105:M114)</f>
        <v>1</v>
      </c>
      <c r="N115" s="13">
        <f t="shared" ref="N115" si="144">SUM(N105:N114)</f>
        <v>0</v>
      </c>
      <c r="O115" s="13">
        <f t="shared" ref="O115" si="145">SUM(O105:O114)</f>
        <v>0</v>
      </c>
      <c r="P115" s="13">
        <f t="shared" ref="P115" si="146">SUM(P105:P114)</f>
        <v>0</v>
      </c>
      <c r="Q115" s="13">
        <f t="shared" ref="Q115" si="147">SUM(Q105:Q114)</f>
        <v>0</v>
      </c>
      <c r="R115" s="13">
        <f t="shared" ref="R115" si="148">SUM(R105:R114)</f>
        <v>0</v>
      </c>
      <c r="S115" s="13">
        <f t="shared" ref="S115" si="149">SUM(S105:S114)</f>
        <v>3</v>
      </c>
      <c r="T115" s="13">
        <f t="shared" ref="T115" si="150">SUM(T105:T114)</f>
        <v>0</v>
      </c>
      <c r="U115" s="13">
        <f t="shared" ref="U115" si="151">SUM(U105:U114)</f>
        <v>0</v>
      </c>
      <c r="V115" s="13">
        <f t="shared" ref="V115" si="152">SUM(V105:V114)</f>
        <v>0</v>
      </c>
      <c r="W115" s="13">
        <f t="shared" ref="W115" si="153">SUM(W105:W114)</f>
        <v>0</v>
      </c>
      <c r="X115" s="13">
        <f t="shared" ref="X115" si="154">SUM(X105:X114)</f>
        <v>0</v>
      </c>
      <c r="Y115" s="13">
        <f t="shared" ref="Y115" si="155">SUM(Y105:Y114)</f>
        <v>0</v>
      </c>
      <c r="Z115" s="13">
        <f t="shared" ref="Z115" si="156">SUM(Z105:Z114)</f>
        <v>0</v>
      </c>
      <c r="AA115" s="13">
        <f t="shared" ref="AA115" si="157">SUM(AA105:AA114)</f>
        <v>2</v>
      </c>
      <c r="AB115" s="13">
        <f t="shared" ref="AB115" si="158">SUM(AB105:AB114)</f>
        <v>0</v>
      </c>
      <c r="AC115" s="13">
        <f t="shared" ref="AC115" si="159">SUM(AC105:AC114)</f>
        <v>1</v>
      </c>
      <c r="AD115" s="13">
        <f t="shared" ref="AD115" si="160">SUM(AD105:AD114)</f>
        <v>0</v>
      </c>
      <c r="AE115" s="13">
        <f t="shared" ref="AE115" si="161">SUM(AE105:AE114)</f>
        <v>1</v>
      </c>
      <c r="AF115" s="13">
        <f t="shared" ref="AF115" si="162">SUM(AF105:AF114)</f>
        <v>1</v>
      </c>
      <c r="AG115" s="13">
        <f t="shared" ref="AG115" si="163">SUM(AG105:AG114)</f>
        <v>0</v>
      </c>
      <c r="AH115" s="13">
        <f t="shared" ref="AH115" si="164">SUM(AH105:AH114)</f>
        <v>13</v>
      </c>
    </row>
    <row r="116" spans="1:36" ht="12.75" customHeight="1" x14ac:dyDescent="0.3">
      <c r="A116" s="62"/>
      <c r="B116" s="61"/>
      <c r="C116" s="61"/>
      <c r="D116" s="61"/>
      <c r="E116" s="59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AH116" s="13"/>
    </row>
    <row r="117" spans="1:36" ht="12.75" customHeight="1" x14ac:dyDescent="0.3">
      <c r="A117" s="20" t="s">
        <v>37</v>
      </c>
      <c r="B117" s="27" t="s">
        <v>95</v>
      </c>
      <c r="C117" s="58" t="s">
        <v>96</v>
      </c>
      <c r="D117" s="59"/>
      <c r="E117" s="16">
        <v>5</v>
      </c>
      <c r="F117" s="16">
        <v>0</v>
      </c>
      <c r="G117" s="16">
        <v>1</v>
      </c>
      <c r="H117" s="16">
        <v>0</v>
      </c>
      <c r="I117" s="16">
        <v>1</v>
      </c>
      <c r="J117" s="16">
        <v>0</v>
      </c>
      <c r="K117" s="16">
        <v>1</v>
      </c>
      <c r="L117" s="16">
        <v>0</v>
      </c>
      <c r="M117" s="16">
        <v>0</v>
      </c>
      <c r="N117" s="16">
        <v>0</v>
      </c>
      <c r="O117" s="16">
        <v>0</v>
      </c>
      <c r="P117" s="16">
        <v>3</v>
      </c>
      <c r="Q117" s="16">
        <v>0</v>
      </c>
      <c r="R117" s="16">
        <v>2</v>
      </c>
      <c r="S117" s="16">
        <v>1</v>
      </c>
      <c r="T117" s="16">
        <v>2</v>
      </c>
      <c r="U117" s="16">
        <v>1</v>
      </c>
      <c r="V117" s="16">
        <v>3</v>
      </c>
      <c r="W117" s="16">
        <v>1</v>
      </c>
      <c r="X117" s="16">
        <v>0</v>
      </c>
      <c r="Y117" s="16">
        <v>2</v>
      </c>
      <c r="Z117" s="16">
        <v>4</v>
      </c>
      <c r="AA117" s="16">
        <v>1</v>
      </c>
      <c r="AB117" s="16">
        <v>1</v>
      </c>
      <c r="AC117" s="16">
        <v>1</v>
      </c>
      <c r="AD117" s="16">
        <v>3</v>
      </c>
      <c r="AE117" s="16">
        <v>0</v>
      </c>
      <c r="AF117" s="16">
        <v>0</v>
      </c>
      <c r="AG117" s="16">
        <v>3</v>
      </c>
      <c r="AH117" s="13">
        <f t="shared" ref="AH117:AH122" si="165">SUM(E117:AG117)</f>
        <v>36</v>
      </c>
      <c r="AI117" s="5"/>
      <c r="AJ117" s="5"/>
    </row>
    <row r="118" spans="1:36" ht="12.75" customHeight="1" x14ac:dyDescent="0.3">
      <c r="A118" s="20" t="s">
        <v>39</v>
      </c>
      <c r="B118" s="34"/>
      <c r="C118" s="29" t="s">
        <v>97</v>
      </c>
      <c r="D118" s="36"/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1</v>
      </c>
      <c r="K118" s="16">
        <v>1</v>
      </c>
      <c r="L118" s="16">
        <v>0</v>
      </c>
      <c r="M118" s="16">
        <v>0</v>
      </c>
      <c r="N118" s="16">
        <v>2</v>
      </c>
      <c r="O118" s="16">
        <v>2</v>
      </c>
      <c r="P118" s="16">
        <v>0</v>
      </c>
      <c r="Q118" s="16">
        <v>0</v>
      </c>
      <c r="R118" s="16">
        <v>0</v>
      </c>
      <c r="S118" s="16">
        <v>1</v>
      </c>
      <c r="T118" s="16">
        <v>0</v>
      </c>
      <c r="U118" s="16">
        <v>0</v>
      </c>
      <c r="V118" s="16">
        <v>0</v>
      </c>
      <c r="W118" s="16">
        <v>1</v>
      </c>
      <c r="X118" s="16">
        <v>0</v>
      </c>
      <c r="Y118" s="16">
        <v>0</v>
      </c>
      <c r="Z118" s="16">
        <v>1</v>
      </c>
      <c r="AA118" s="16">
        <v>0</v>
      </c>
      <c r="AB118" s="16">
        <v>0</v>
      </c>
      <c r="AC118" s="16">
        <v>0</v>
      </c>
      <c r="AD118" s="16">
        <v>1</v>
      </c>
      <c r="AE118" s="16">
        <v>0</v>
      </c>
      <c r="AF118" s="16">
        <v>0</v>
      </c>
      <c r="AG118" s="16">
        <v>0</v>
      </c>
      <c r="AH118" s="13">
        <f t="shared" si="165"/>
        <v>10</v>
      </c>
      <c r="AI118" s="5"/>
      <c r="AJ118" s="5"/>
    </row>
    <row r="119" spans="1:36" ht="12.75" customHeight="1" x14ac:dyDescent="0.3">
      <c r="A119" s="15"/>
      <c r="B119" s="34"/>
      <c r="C119" s="29" t="s">
        <v>98</v>
      </c>
      <c r="D119" s="36"/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1</v>
      </c>
      <c r="AA119" s="16">
        <v>0</v>
      </c>
      <c r="AB119" s="16">
        <v>0</v>
      </c>
      <c r="AC119" s="16">
        <v>1</v>
      </c>
      <c r="AD119" s="16">
        <v>0</v>
      </c>
      <c r="AE119" s="16">
        <v>0</v>
      </c>
      <c r="AF119" s="16">
        <v>0</v>
      </c>
      <c r="AG119" s="16">
        <v>1</v>
      </c>
      <c r="AH119" s="13">
        <f t="shared" si="165"/>
        <v>4</v>
      </c>
      <c r="AI119" s="5"/>
      <c r="AJ119" s="5"/>
    </row>
    <row r="120" spans="1:36" ht="12.75" customHeight="1" x14ac:dyDescent="0.3">
      <c r="A120" s="15"/>
      <c r="B120" s="34"/>
      <c r="C120" s="29" t="s">
        <v>99</v>
      </c>
      <c r="D120" s="36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1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3">
        <f t="shared" si="165"/>
        <v>2</v>
      </c>
      <c r="AI120" s="5"/>
      <c r="AJ120" s="5"/>
    </row>
    <row r="121" spans="1:36" ht="12.75" customHeight="1" x14ac:dyDescent="0.3">
      <c r="A121" s="15"/>
      <c r="B121" s="34"/>
      <c r="C121" s="29" t="s">
        <v>100</v>
      </c>
      <c r="D121" s="36"/>
      <c r="E121" s="16">
        <v>0</v>
      </c>
      <c r="F121" s="16">
        <v>1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1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3">
        <f t="shared" si="165"/>
        <v>2</v>
      </c>
      <c r="AI121" s="5"/>
      <c r="AJ121" s="5"/>
    </row>
    <row r="122" spans="1:36" ht="12.75" customHeight="1" x14ac:dyDescent="0.3">
      <c r="A122" s="15"/>
      <c r="B122" s="34"/>
      <c r="C122" s="29" t="s">
        <v>101</v>
      </c>
      <c r="D122" s="36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1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3">
        <f t="shared" si="165"/>
        <v>1</v>
      </c>
      <c r="AI122" s="5"/>
      <c r="AJ122" s="5"/>
    </row>
    <row r="123" spans="1:36" ht="12.75" customHeight="1" x14ac:dyDescent="0.3">
      <c r="A123" s="15"/>
      <c r="B123" s="37"/>
      <c r="C123" s="38"/>
      <c r="D123" s="39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56"/>
      <c r="AI123" s="5"/>
      <c r="AJ123" s="5"/>
    </row>
    <row r="124" spans="1:36" ht="12.75" customHeight="1" x14ac:dyDescent="0.3">
      <c r="A124" s="15"/>
      <c r="B124" s="37"/>
      <c r="C124" s="38"/>
      <c r="D124" s="39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56"/>
      <c r="AI124" s="5"/>
      <c r="AJ124" s="5"/>
    </row>
    <row r="125" spans="1:36" ht="12.75" customHeight="1" x14ac:dyDescent="0.3">
      <c r="A125" s="15"/>
      <c r="B125" s="37"/>
      <c r="C125" s="38"/>
      <c r="D125" s="39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56"/>
      <c r="AI125" s="5"/>
      <c r="AJ125" s="5"/>
    </row>
    <row r="126" spans="1:36" ht="12.75" customHeight="1" x14ac:dyDescent="0.3">
      <c r="A126" s="15"/>
      <c r="B126" s="37"/>
      <c r="C126" s="38"/>
      <c r="D126" s="39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56"/>
      <c r="AI126" s="5"/>
      <c r="AJ126" s="5"/>
    </row>
    <row r="127" spans="1:36" ht="12.75" customHeight="1" x14ac:dyDescent="0.3">
      <c r="A127" s="16" t="s">
        <v>15</v>
      </c>
      <c r="B127" s="60" t="s">
        <v>49</v>
      </c>
      <c r="C127" s="61"/>
      <c r="D127" s="59"/>
      <c r="E127" s="13">
        <f>SUM(E117:E126)</f>
        <v>5</v>
      </c>
      <c r="F127" s="13">
        <f t="shared" ref="F127" si="166">SUM(F117:F126)</f>
        <v>1</v>
      </c>
      <c r="G127" s="13">
        <f t="shared" ref="G127" si="167">SUM(G117:G126)</f>
        <v>1</v>
      </c>
      <c r="H127" s="13">
        <f t="shared" ref="H127" si="168">SUM(H117:H126)</f>
        <v>0</v>
      </c>
      <c r="I127" s="13">
        <f t="shared" ref="I127" si="169">SUM(I117:I126)</f>
        <v>1</v>
      </c>
      <c r="J127" s="13">
        <f t="shared" ref="J127" si="170">SUM(J117:J126)</f>
        <v>1</v>
      </c>
      <c r="K127" s="13">
        <f t="shared" ref="K127" si="171">SUM(K117:K126)</f>
        <v>2</v>
      </c>
      <c r="L127" s="13">
        <f t="shared" ref="L127" si="172">SUM(L117:L126)</f>
        <v>1</v>
      </c>
      <c r="M127" s="13">
        <f t="shared" ref="M127" si="173">SUM(M117:M126)</f>
        <v>0</v>
      </c>
      <c r="N127" s="13">
        <f t="shared" ref="N127" si="174">SUM(N117:N126)</f>
        <v>2</v>
      </c>
      <c r="O127" s="13">
        <f t="shared" ref="O127" si="175">SUM(O117:O126)</f>
        <v>2</v>
      </c>
      <c r="P127" s="13">
        <f t="shared" ref="P127" si="176">SUM(P117:P126)</f>
        <v>4</v>
      </c>
      <c r="Q127" s="13">
        <f t="shared" ref="Q127" si="177">SUM(Q117:Q126)</f>
        <v>0</v>
      </c>
      <c r="R127" s="13">
        <f t="shared" ref="R127" si="178">SUM(R117:R126)</f>
        <v>3</v>
      </c>
      <c r="S127" s="13">
        <f t="shared" ref="S127" si="179">SUM(S117:S126)</f>
        <v>2</v>
      </c>
      <c r="T127" s="13">
        <f t="shared" ref="T127" si="180">SUM(T117:T126)</f>
        <v>3</v>
      </c>
      <c r="U127" s="13">
        <f t="shared" ref="U127" si="181">SUM(U117:U126)</f>
        <v>1</v>
      </c>
      <c r="V127" s="13">
        <f t="shared" ref="V127" si="182">SUM(V117:V126)</f>
        <v>3</v>
      </c>
      <c r="W127" s="13">
        <f t="shared" ref="W127" si="183">SUM(W117:W126)</f>
        <v>2</v>
      </c>
      <c r="X127" s="13">
        <f t="shared" ref="X127" si="184">SUM(X117:X126)</f>
        <v>0</v>
      </c>
      <c r="Y127" s="13">
        <f t="shared" ref="Y127" si="185">SUM(Y117:Y126)</f>
        <v>2</v>
      </c>
      <c r="Z127" s="13">
        <f t="shared" ref="Z127" si="186">SUM(Z117:Z126)</f>
        <v>7</v>
      </c>
      <c r="AA127" s="13">
        <f t="shared" ref="AA127" si="187">SUM(AA117:AA126)</f>
        <v>1</v>
      </c>
      <c r="AB127" s="13">
        <f t="shared" ref="AB127" si="188">SUM(AB117:AB126)</f>
        <v>1</v>
      </c>
      <c r="AC127" s="13">
        <f t="shared" ref="AC127" si="189">SUM(AC117:AC126)</f>
        <v>2</v>
      </c>
      <c r="AD127" s="13">
        <f t="shared" ref="AD127" si="190">SUM(AD117:AD126)</f>
        <v>4</v>
      </c>
      <c r="AE127" s="13">
        <f t="shared" ref="AE127" si="191">SUM(AE117:AE126)</f>
        <v>0</v>
      </c>
      <c r="AF127" s="13">
        <f t="shared" ref="AF127" si="192">SUM(AF117:AF126)</f>
        <v>0</v>
      </c>
      <c r="AG127" s="13">
        <f t="shared" ref="AG127" si="193">SUM(AG117:AG126)</f>
        <v>4</v>
      </c>
      <c r="AH127" s="13">
        <f t="shared" ref="AH127" si="194">SUM(AH117:AH126)</f>
        <v>55</v>
      </c>
      <c r="AI127" s="5"/>
      <c r="AJ127" s="5"/>
    </row>
    <row r="128" spans="1:36" ht="12.75" customHeight="1" x14ac:dyDescent="0.3">
      <c r="A128" s="62"/>
      <c r="B128" s="61"/>
      <c r="C128" s="61"/>
      <c r="D128" s="61"/>
      <c r="E128" s="59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"/>
      <c r="AJ128" s="5"/>
    </row>
    <row r="129" spans="1:36" ht="12.75" customHeight="1" x14ac:dyDescent="0.3">
      <c r="A129" s="20" t="s">
        <v>37</v>
      </c>
      <c r="B129" s="27" t="s">
        <v>102</v>
      </c>
      <c r="C129" s="58" t="s">
        <v>103</v>
      </c>
      <c r="D129" s="59"/>
      <c r="E129" s="16">
        <v>0</v>
      </c>
      <c r="F129" s="16">
        <v>0</v>
      </c>
      <c r="G129" s="16">
        <v>0</v>
      </c>
      <c r="H129" s="16">
        <v>2</v>
      </c>
      <c r="I129" s="16">
        <v>1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1</v>
      </c>
      <c r="AD129" s="16">
        <v>1</v>
      </c>
      <c r="AE129" s="16">
        <v>0</v>
      </c>
      <c r="AF129" s="16">
        <v>0</v>
      </c>
      <c r="AG129" s="16">
        <v>2</v>
      </c>
      <c r="AH129" s="13">
        <f t="shared" ref="AH129:AH138" si="195">SUM(E129:AG129)</f>
        <v>7</v>
      </c>
      <c r="AI129" s="5"/>
      <c r="AJ129" s="5"/>
    </row>
    <row r="130" spans="1:36" ht="12.75" customHeight="1" x14ac:dyDescent="0.3">
      <c r="A130" s="20" t="s">
        <v>39</v>
      </c>
      <c r="B130" s="34"/>
      <c r="C130" s="29" t="s">
        <v>104</v>
      </c>
      <c r="D130" s="35"/>
      <c r="E130" s="16">
        <v>1</v>
      </c>
      <c r="F130" s="16">
        <v>2</v>
      </c>
      <c r="G130" s="16">
        <v>0</v>
      </c>
      <c r="H130" s="16">
        <v>0</v>
      </c>
      <c r="I130" s="16">
        <v>2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2</v>
      </c>
      <c r="Y130" s="16">
        <v>8</v>
      </c>
      <c r="Z130" s="16">
        <v>2</v>
      </c>
      <c r="AA130" s="16">
        <v>0</v>
      </c>
      <c r="AB130" s="16">
        <v>0</v>
      </c>
      <c r="AC130" s="16">
        <v>0</v>
      </c>
      <c r="AD130" s="16">
        <v>1</v>
      </c>
      <c r="AE130" s="16">
        <v>2</v>
      </c>
      <c r="AF130" s="16">
        <v>0</v>
      </c>
      <c r="AG130" s="16">
        <v>0</v>
      </c>
      <c r="AH130" s="13">
        <f t="shared" si="195"/>
        <v>20</v>
      </c>
      <c r="AI130" s="1"/>
      <c r="AJ130" s="1"/>
    </row>
    <row r="131" spans="1:36" ht="12.75" customHeight="1" x14ac:dyDescent="0.3">
      <c r="A131" s="15"/>
      <c r="B131" s="34"/>
      <c r="C131" s="29" t="s">
        <v>105</v>
      </c>
      <c r="D131" s="35"/>
      <c r="E131" s="16">
        <v>0</v>
      </c>
      <c r="F131" s="16">
        <v>0</v>
      </c>
      <c r="G131" s="16">
        <v>0</v>
      </c>
      <c r="H131" s="16">
        <v>2</v>
      </c>
      <c r="I131" s="16">
        <v>0</v>
      </c>
      <c r="J131" s="16">
        <v>0</v>
      </c>
      <c r="K131" s="16">
        <v>1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1</v>
      </c>
      <c r="W131" s="16">
        <v>0</v>
      </c>
      <c r="X131" s="16">
        <v>0</v>
      </c>
      <c r="Y131" s="16">
        <v>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3">
        <f t="shared" si="195"/>
        <v>5</v>
      </c>
      <c r="AI131" s="31"/>
      <c r="AJ131" s="31"/>
    </row>
    <row r="132" spans="1:36" ht="12.75" customHeight="1" x14ac:dyDescent="0.3">
      <c r="A132" s="15"/>
      <c r="B132" s="34"/>
      <c r="C132" s="29" t="s">
        <v>106</v>
      </c>
      <c r="D132" s="35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3">
        <f t="shared" si="195"/>
        <v>0</v>
      </c>
      <c r="AI132" s="5"/>
      <c r="AJ132" s="5"/>
    </row>
    <row r="133" spans="1:36" ht="12.75" customHeight="1" x14ac:dyDescent="0.3">
      <c r="A133" s="15"/>
      <c r="B133" s="34"/>
      <c r="C133" s="29" t="s">
        <v>107</v>
      </c>
      <c r="D133" s="3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1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3">
        <f t="shared" si="195"/>
        <v>1</v>
      </c>
      <c r="AI133" s="5"/>
      <c r="AJ133" s="5"/>
    </row>
    <row r="134" spans="1:36" ht="12.75" customHeight="1" x14ac:dyDescent="0.3">
      <c r="A134" s="15"/>
      <c r="B134" s="34"/>
      <c r="C134" s="29" t="s">
        <v>108</v>
      </c>
      <c r="D134" s="35"/>
      <c r="E134" s="16">
        <v>0</v>
      </c>
      <c r="F134" s="16">
        <v>0</v>
      </c>
      <c r="G134" s="16">
        <v>0</v>
      </c>
      <c r="H134" s="16">
        <v>3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3">
        <f t="shared" si="195"/>
        <v>3</v>
      </c>
      <c r="AI134" s="5"/>
      <c r="AJ134" s="5"/>
    </row>
    <row r="135" spans="1:36" ht="12.75" customHeight="1" x14ac:dyDescent="0.3">
      <c r="A135" s="15"/>
      <c r="B135" s="34"/>
      <c r="C135" s="29" t="s">
        <v>109</v>
      </c>
      <c r="D135" s="36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1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3">
        <f t="shared" si="195"/>
        <v>1</v>
      </c>
      <c r="AI135" s="5"/>
      <c r="AJ135" s="5"/>
    </row>
    <row r="136" spans="1:36" ht="12.75" customHeight="1" x14ac:dyDescent="0.3">
      <c r="A136" s="15"/>
      <c r="B136" s="34"/>
      <c r="C136" s="29" t="s">
        <v>110</v>
      </c>
      <c r="D136" s="35"/>
      <c r="E136" s="16">
        <v>0</v>
      </c>
      <c r="F136" s="16">
        <v>2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1</v>
      </c>
      <c r="Z136" s="16">
        <v>0</v>
      </c>
      <c r="AA136" s="16">
        <v>0</v>
      </c>
      <c r="AB136" s="16">
        <v>3</v>
      </c>
      <c r="AC136" s="16">
        <v>28</v>
      </c>
      <c r="AD136" s="16">
        <v>2</v>
      </c>
      <c r="AE136" s="16">
        <v>0</v>
      </c>
      <c r="AF136" s="16">
        <v>0</v>
      </c>
      <c r="AG136" s="16">
        <v>0</v>
      </c>
      <c r="AH136" s="13">
        <f t="shared" si="195"/>
        <v>36</v>
      </c>
      <c r="AI136" s="5"/>
      <c r="AJ136" s="5"/>
    </row>
    <row r="137" spans="1:36" ht="12.75" customHeight="1" x14ac:dyDescent="0.3">
      <c r="A137" s="15"/>
      <c r="B137" s="34"/>
      <c r="C137" s="29" t="s">
        <v>111</v>
      </c>
      <c r="D137" s="35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3">
        <f t="shared" si="195"/>
        <v>0</v>
      </c>
      <c r="AI137" s="5"/>
      <c r="AJ137" s="5"/>
    </row>
    <row r="138" spans="1:36" ht="12.75" customHeight="1" x14ac:dyDescent="0.3">
      <c r="A138" s="15"/>
      <c r="B138" s="34"/>
      <c r="C138" s="29" t="s">
        <v>112</v>
      </c>
      <c r="D138" s="35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1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3">
        <f t="shared" si="195"/>
        <v>1</v>
      </c>
      <c r="AI138" s="5"/>
      <c r="AJ138" s="5"/>
    </row>
    <row r="139" spans="1:36" ht="12.75" customHeight="1" x14ac:dyDescent="0.3">
      <c r="A139" s="16" t="s">
        <v>15</v>
      </c>
      <c r="B139" s="60" t="s">
        <v>49</v>
      </c>
      <c r="C139" s="61"/>
      <c r="D139" s="59"/>
      <c r="E139" s="13">
        <f>SUM(E129:E138)</f>
        <v>1</v>
      </c>
      <c r="F139" s="13">
        <f t="shared" ref="F139" si="196">SUM(F129:F138)</f>
        <v>4</v>
      </c>
      <c r="G139" s="13">
        <f t="shared" ref="G139" si="197">SUM(G129:G138)</f>
        <v>0</v>
      </c>
      <c r="H139" s="13">
        <f t="shared" ref="H139" si="198">SUM(H129:H138)</f>
        <v>7</v>
      </c>
      <c r="I139" s="13">
        <f t="shared" ref="I139" si="199">SUM(I129:I138)</f>
        <v>3</v>
      </c>
      <c r="J139" s="13">
        <f t="shared" ref="J139" si="200">SUM(J129:J138)</f>
        <v>0</v>
      </c>
      <c r="K139" s="13">
        <f t="shared" ref="K139" si="201">SUM(K129:K138)</f>
        <v>1</v>
      </c>
      <c r="L139" s="13">
        <f t="shared" ref="L139" si="202">SUM(L129:L138)</f>
        <v>0</v>
      </c>
      <c r="M139" s="13">
        <f t="shared" ref="M139" si="203">SUM(M129:M138)</f>
        <v>0</v>
      </c>
      <c r="N139" s="13">
        <f t="shared" ref="N139" si="204">SUM(N129:N138)</f>
        <v>1</v>
      </c>
      <c r="O139" s="13">
        <f t="shared" ref="O139" si="205">SUM(O129:O138)</f>
        <v>1</v>
      </c>
      <c r="P139" s="13">
        <f t="shared" ref="P139" si="206">SUM(P129:P138)</f>
        <v>0</v>
      </c>
      <c r="Q139" s="13">
        <f t="shared" ref="Q139" si="207">SUM(Q129:Q138)</f>
        <v>0</v>
      </c>
      <c r="R139" s="13">
        <f t="shared" ref="R139" si="208">SUM(R129:R138)</f>
        <v>0</v>
      </c>
      <c r="S139" s="13">
        <f t="shared" ref="S139" si="209">SUM(S129:S138)</f>
        <v>0</v>
      </c>
      <c r="T139" s="13">
        <f t="shared" ref="T139" si="210">SUM(T129:T138)</f>
        <v>0</v>
      </c>
      <c r="U139" s="13">
        <f t="shared" ref="U139" si="211">SUM(U129:U138)</f>
        <v>0</v>
      </c>
      <c r="V139" s="13">
        <f t="shared" ref="V139" si="212">SUM(V129:V138)</f>
        <v>1</v>
      </c>
      <c r="W139" s="13">
        <f t="shared" ref="W139" si="213">SUM(W129:W138)</f>
        <v>1</v>
      </c>
      <c r="X139" s="13">
        <f t="shared" ref="X139" si="214">SUM(X129:X138)</f>
        <v>2</v>
      </c>
      <c r="Y139" s="13">
        <f t="shared" ref="Y139" si="215">SUM(Y129:Y138)</f>
        <v>10</v>
      </c>
      <c r="Z139" s="13">
        <f t="shared" ref="Z139" si="216">SUM(Z129:Z138)</f>
        <v>2</v>
      </c>
      <c r="AA139" s="13">
        <f t="shared" ref="AA139" si="217">SUM(AA129:AA138)</f>
        <v>0</v>
      </c>
      <c r="AB139" s="13">
        <f t="shared" ref="AB139" si="218">SUM(AB129:AB138)</f>
        <v>3</v>
      </c>
      <c r="AC139" s="13">
        <f t="shared" ref="AC139" si="219">SUM(AC129:AC138)</f>
        <v>29</v>
      </c>
      <c r="AD139" s="13">
        <f t="shared" ref="AD139" si="220">SUM(AD129:AD138)</f>
        <v>4</v>
      </c>
      <c r="AE139" s="13">
        <f t="shared" ref="AE139" si="221">SUM(AE129:AE138)</f>
        <v>2</v>
      </c>
      <c r="AF139" s="13">
        <f t="shared" ref="AF139" si="222">SUM(AF129:AF138)</f>
        <v>0</v>
      </c>
      <c r="AG139" s="13">
        <f t="shared" ref="AG139" si="223">SUM(AG129:AG138)</f>
        <v>2</v>
      </c>
      <c r="AH139" s="13">
        <f t="shared" ref="AH139" si="224">SUM(AH129:AH138)</f>
        <v>74</v>
      </c>
      <c r="AI139" s="5"/>
      <c r="AJ139" s="5"/>
    </row>
    <row r="140" spans="1:36" ht="12.75" customHeight="1" x14ac:dyDescent="0.3">
      <c r="A140" s="62"/>
      <c r="B140" s="61"/>
      <c r="C140" s="61"/>
      <c r="D140" s="61"/>
      <c r="E140" s="59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"/>
      <c r="AJ140" s="5"/>
    </row>
    <row r="141" spans="1:36" ht="12.75" customHeight="1" x14ac:dyDescent="0.3">
      <c r="A141" s="20" t="s">
        <v>37</v>
      </c>
      <c r="B141" s="27" t="s">
        <v>113</v>
      </c>
      <c r="C141" s="58" t="s">
        <v>114</v>
      </c>
      <c r="D141" s="59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1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3</v>
      </c>
      <c r="AH141" s="13">
        <f t="shared" ref="AH141:AH144" si="225">SUM(E141:AG141)</f>
        <v>4</v>
      </c>
      <c r="AI141" s="1"/>
      <c r="AJ141" s="1"/>
    </row>
    <row r="142" spans="1:36" ht="12.75" customHeight="1" x14ac:dyDescent="0.3">
      <c r="A142" s="20" t="s">
        <v>39</v>
      </c>
      <c r="B142" s="34"/>
      <c r="C142" s="29" t="s">
        <v>115</v>
      </c>
      <c r="D142" s="36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1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3">
        <f t="shared" si="225"/>
        <v>1</v>
      </c>
      <c r="AI142" s="31"/>
      <c r="AJ142" s="31"/>
    </row>
    <row r="143" spans="1:36" ht="12.75" customHeight="1" x14ac:dyDescent="0.3">
      <c r="A143" s="15"/>
      <c r="B143" s="34"/>
      <c r="C143" s="29" t="s">
        <v>116</v>
      </c>
      <c r="D143" s="36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3">
        <f t="shared" si="225"/>
        <v>0</v>
      </c>
      <c r="AI143" s="5"/>
      <c r="AJ143" s="5"/>
    </row>
    <row r="144" spans="1:36" ht="12.75" customHeight="1" x14ac:dyDescent="0.3">
      <c r="A144" s="15"/>
      <c r="B144" s="34"/>
      <c r="C144" s="29" t="s">
        <v>117</v>
      </c>
      <c r="D144" s="36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1</v>
      </c>
      <c r="AH144" s="13">
        <f t="shared" si="225"/>
        <v>1</v>
      </c>
      <c r="AI144" s="5"/>
      <c r="AJ144" s="5"/>
    </row>
    <row r="145" spans="1:36" ht="12.75" customHeight="1" x14ac:dyDescent="0.3">
      <c r="A145" s="15"/>
      <c r="B145" s="37"/>
      <c r="C145" s="38"/>
      <c r="D145" s="3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56"/>
      <c r="AI145" s="5"/>
      <c r="AJ145" s="5"/>
    </row>
    <row r="146" spans="1:36" ht="12.75" customHeight="1" x14ac:dyDescent="0.3">
      <c r="A146" s="15"/>
      <c r="B146" s="37"/>
      <c r="C146" s="38"/>
      <c r="D146" s="3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56"/>
      <c r="AI146" s="5"/>
      <c r="AJ146" s="5"/>
    </row>
    <row r="147" spans="1:36" ht="12.75" customHeight="1" x14ac:dyDescent="0.3">
      <c r="A147" s="15"/>
      <c r="B147" s="37"/>
      <c r="C147" s="38"/>
      <c r="D147" s="3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56"/>
      <c r="AI147" s="5"/>
      <c r="AJ147" s="5"/>
    </row>
    <row r="148" spans="1:36" ht="12.75" customHeight="1" x14ac:dyDescent="0.3">
      <c r="A148" s="15"/>
      <c r="B148" s="37"/>
      <c r="C148" s="38"/>
      <c r="D148" s="3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56"/>
      <c r="AI148" s="5"/>
      <c r="AJ148" s="5"/>
    </row>
    <row r="149" spans="1:36" ht="12.75" customHeight="1" x14ac:dyDescent="0.3">
      <c r="A149" s="15"/>
      <c r="B149" s="37"/>
      <c r="C149" s="38"/>
      <c r="D149" s="3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56"/>
      <c r="AI149" s="5"/>
      <c r="AJ149" s="5"/>
    </row>
    <row r="150" spans="1:36" ht="12.75" customHeight="1" x14ac:dyDescent="0.3">
      <c r="A150" s="15"/>
      <c r="B150" s="37"/>
      <c r="C150" s="38"/>
      <c r="D150" s="3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56"/>
      <c r="AI150" s="5"/>
      <c r="AJ150" s="5"/>
    </row>
    <row r="151" spans="1:36" ht="12.75" customHeight="1" x14ac:dyDescent="0.3">
      <c r="A151" s="16" t="s">
        <v>15</v>
      </c>
      <c r="B151" s="60" t="s">
        <v>49</v>
      </c>
      <c r="C151" s="61"/>
      <c r="D151" s="59"/>
      <c r="E151" s="13">
        <f>SUM(E141:E150)</f>
        <v>0</v>
      </c>
      <c r="F151" s="13">
        <f t="shared" ref="F151" si="226">SUM(F141:F150)</f>
        <v>0</v>
      </c>
      <c r="G151" s="13">
        <f t="shared" ref="G151" si="227">SUM(G141:G150)</f>
        <v>0</v>
      </c>
      <c r="H151" s="13">
        <f t="shared" ref="H151" si="228">SUM(H141:H150)</f>
        <v>0</v>
      </c>
      <c r="I151" s="13">
        <f t="shared" ref="I151" si="229">SUM(I141:I150)</f>
        <v>0</v>
      </c>
      <c r="J151" s="13">
        <f t="shared" ref="J151" si="230">SUM(J141:J150)</f>
        <v>0</v>
      </c>
      <c r="K151" s="13">
        <f t="shared" ref="K151" si="231">SUM(K141:K150)</f>
        <v>0</v>
      </c>
      <c r="L151" s="13">
        <f t="shared" ref="L151" si="232">SUM(L141:L150)</f>
        <v>1</v>
      </c>
      <c r="M151" s="13">
        <f t="shared" ref="M151" si="233">SUM(M141:M150)</f>
        <v>0</v>
      </c>
      <c r="N151" s="13">
        <f t="shared" ref="N151" si="234">SUM(N141:N150)</f>
        <v>0</v>
      </c>
      <c r="O151" s="13">
        <f t="shared" ref="O151" si="235">SUM(O141:O150)</f>
        <v>0</v>
      </c>
      <c r="P151" s="13">
        <f t="shared" ref="P151" si="236">SUM(P141:P150)</f>
        <v>0</v>
      </c>
      <c r="Q151" s="13">
        <f t="shared" ref="Q151" si="237">SUM(Q141:Q150)</f>
        <v>0</v>
      </c>
      <c r="R151" s="13">
        <f t="shared" ref="R151" si="238">SUM(R141:R150)</f>
        <v>0</v>
      </c>
      <c r="S151" s="13">
        <f t="shared" ref="S151" si="239">SUM(S141:S150)</f>
        <v>0</v>
      </c>
      <c r="T151" s="13">
        <f t="shared" ref="T151" si="240">SUM(T141:T150)</f>
        <v>0</v>
      </c>
      <c r="U151" s="13">
        <f t="shared" ref="U151" si="241">SUM(U141:U150)</f>
        <v>0</v>
      </c>
      <c r="V151" s="13">
        <f t="shared" ref="V151" si="242">SUM(V141:V150)</f>
        <v>0</v>
      </c>
      <c r="W151" s="13">
        <f t="shared" ref="W151" si="243">SUM(W141:W150)</f>
        <v>1</v>
      </c>
      <c r="X151" s="13">
        <f t="shared" ref="X151" si="244">SUM(X141:X150)</f>
        <v>0</v>
      </c>
      <c r="Y151" s="13">
        <f t="shared" ref="Y151" si="245">SUM(Y141:Y150)</f>
        <v>0</v>
      </c>
      <c r="Z151" s="13">
        <f t="shared" ref="Z151" si="246">SUM(Z141:Z150)</f>
        <v>0</v>
      </c>
      <c r="AA151" s="13">
        <f t="shared" ref="AA151" si="247">SUM(AA141:AA150)</f>
        <v>0</v>
      </c>
      <c r="AB151" s="13">
        <f t="shared" ref="AB151" si="248">SUM(AB141:AB150)</f>
        <v>0</v>
      </c>
      <c r="AC151" s="13">
        <f t="shared" ref="AC151" si="249">SUM(AC141:AC150)</f>
        <v>0</v>
      </c>
      <c r="AD151" s="13">
        <f t="shared" ref="AD151" si="250">SUM(AD141:AD150)</f>
        <v>0</v>
      </c>
      <c r="AE151" s="13">
        <f t="shared" ref="AE151" si="251">SUM(AE141:AE150)</f>
        <v>0</v>
      </c>
      <c r="AF151" s="13">
        <f t="shared" ref="AF151" si="252">SUM(AF141:AF150)</f>
        <v>0</v>
      </c>
      <c r="AG151" s="13">
        <f t="shared" ref="AG151" si="253">SUM(AG141:AG150)</f>
        <v>4</v>
      </c>
      <c r="AH151" s="13">
        <f t="shared" ref="AH151" si="254">SUM(AH141:AH150)</f>
        <v>6</v>
      </c>
      <c r="AI151" s="1"/>
      <c r="AJ151" s="1"/>
    </row>
    <row r="152" spans="1:36" ht="12.75" customHeight="1" x14ac:dyDescent="0.3">
      <c r="A152" s="62"/>
      <c r="B152" s="61"/>
      <c r="C152" s="61"/>
      <c r="D152" s="61"/>
      <c r="E152" s="59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13"/>
      <c r="AI152" s="31"/>
      <c r="AJ152" s="31"/>
    </row>
    <row r="153" spans="1:36" ht="12.75" customHeight="1" x14ac:dyDescent="0.3">
      <c r="A153" s="20" t="s">
        <v>37</v>
      </c>
      <c r="B153" s="14" t="s">
        <v>118</v>
      </c>
      <c r="C153" s="84" t="s">
        <v>119</v>
      </c>
      <c r="D153" s="67"/>
      <c r="E153" s="16">
        <v>0</v>
      </c>
      <c r="F153" s="16">
        <v>0</v>
      </c>
      <c r="G153" s="16">
        <v>1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1</v>
      </c>
      <c r="AH153" s="13">
        <f t="shared" ref="AH153:AH160" si="255">SUM(E153:AG153)</f>
        <v>2</v>
      </c>
      <c r="AI153" s="5"/>
      <c r="AJ153" s="5"/>
    </row>
    <row r="154" spans="1:36" ht="12.75" customHeight="1" x14ac:dyDescent="0.3">
      <c r="A154" s="43" t="s">
        <v>39</v>
      </c>
      <c r="B154" s="34"/>
      <c r="C154" s="29" t="s">
        <v>120</v>
      </c>
      <c r="D154" s="36"/>
      <c r="E154" s="57">
        <v>0</v>
      </c>
      <c r="F154" s="16">
        <v>0</v>
      </c>
      <c r="G154" s="16">
        <v>1</v>
      </c>
      <c r="H154" s="16">
        <v>0</v>
      </c>
      <c r="I154" s="16">
        <v>0</v>
      </c>
      <c r="J154" s="16">
        <v>0</v>
      </c>
      <c r="K154" s="16">
        <v>1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1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3">
        <f t="shared" si="255"/>
        <v>3</v>
      </c>
      <c r="AI154" s="5"/>
      <c r="AJ154" s="5"/>
    </row>
    <row r="155" spans="1:36" ht="12.75" customHeight="1" x14ac:dyDescent="0.3">
      <c r="A155" s="15"/>
      <c r="B155" s="34"/>
      <c r="C155" s="29" t="s">
        <v>121</v>
      </c>
      <c r="D155" s="36"/>
      <c r="E155" s="57">
        <v>0</v>
      </c>
      <c r="F155" s="16">
        <v>0</v>
      </c>
      <c r="G155" s="16">
        <v>0</v>
      </c>
      <c r="H155" s="16">
        <v>1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1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3">
        <f t="shared" si="255"/>
        <v>2</v>
      </c>
      <c r="AI155" s="5"/>
      <c r="AJ155" s="5"/>
    </row>
    <row r="156" spans="1:36" ht="12.75" customHeight="1" x14ac:dyDescent="0.3">
      <c r="A156" s="15"/>
      <c r="B156" s="34"/>
      <c r="C156" s="29" t="s">
        <v>122</v>
      </c>
      <c r="D156" s="36"/>
      <c r="E156" s="57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3">
        <f t="shared" si="255"/>
        <v>1</v>
      </c>
      <c r="AI156" s="5"/>
      <c r="AJ156" s="5"/>
    </row>
    <row r="157" spans="1:36" ht="12.75" customHeight="1" x14ac:dyDescent="0.3">
      <c r="A157" s="15"/>
      <c r="B157" s="34"/>
      <c r="C157" s="29" t="s">
        <v>123</v>
      </c>
      <c r="D157" s="36"/>
      <c r="E157" s="57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1</v>
      </c>
      <c r="AF157" s="16">
        <v>0</v>
      </c>
      <c r="AG157" s="16">
        <v>0</v>
      </c>
      <c r="AH157" s="13">
        <f t="shared" si="255"/>
        <v>1</v>
      </c>
      <c r="AI157" s="5"/>
      <c r="AJ157" s="5"/>
    </row>
    <row r="158" spans="1:36" ht="12.75" customHeight="1" x14ac:dyDescent="0.3">
      <c r="A158" s="15"/>
      <c r="B158" s="34"/>
      <c r="C158" s="29" t="s">
        <v>124</v>
      </c>
      <c r="D158" s="36"/>
      <c r="E158" s="57">
        <v>0</v>
      </c>
      <c r="F158" s="16">
        <v>1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3">
        <f t="shared" si="255"/>
        <v>1</v>
      </c>
      <c r="AI158" s="5"/>
      <c r="AJ158" s="5"/>
    </row>
    <row r="159" spans="1:36" ht="12.75" customHeight="1" x14ac:dyDescent="0.3">
      <c r="A159" s="15"/>
      <c r="B159" s="34"/>
      <c r="C159" s="29" t="s">
        <v>125</v>
      </c>
      <c r="D159" s="36"/>
      <c r="E159" s="57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3">
        <f t="shared" si="255"/>
        <v>0</v>
      </c>
      <c r="AI159" s="5"/>
      <c r="AJ159" s="5"/>
    </row>
    <row r="160" spans="1:36" ht="12.75" customHeight="1" x14ac:dyDescent="0.3">
      <c r="A160" s="15"/>
      <c r="B160" s="34"/>
      <c r="C160" s="29" t="s">
        <v>126</v>
      </c>
      <c r="D160" s="36"/>
      <c r="E160" s="57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3">
        <f t="shared" si="255"/>
        <v>0</v>
      </c>
      <c r="AI160" s="5"/>
      <c r="AJ160" s="5"/>
    </row>
    <row r="161" spans="1:36" ht="12.75" customHeight="1" x14ac:dyDescent="0.3">
      <c r="A161" s="15"/>
      <c r="B161" s="37"/>
      <c r="C161" s="44"/>
      <c r="D161" s="39"/>
      <c r="E161" s="5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56"/>
      <c r="AI161" s="5"/>
      <c r="AJ161" s="5"/>
    </row>
    <row r="162" spans="1:36" ht="12.75" customHeight="1" x14ac:dyDescent="0.3">
      <c r="A162" s="15"/>
      <c r="B162" s="37"/>
      <c r="C162" s="44"/>
      <c r="D162" s="39"/>
      <c r="E162" s="5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56"/>
      <c r="AI162" s="5"/>
      <c r="AJ162" s="5"/>
    </row>
    <row r="163" spans="1:36" ht="12.75" customHeight="1" x14ac:dyDescent="0.3">
      <c r="A163" s="16" t="s">
        <v>15</v>
      </c>
      <c r="B163" s="85" t="s">
        <v>49</v>
      </c>
      <c r="C163" s="64"/>
      <c r="D163" s="70"/>
      <c r="E163" s="13">
        <f>SUM(E153:E162)</f>
        <v>0</v>
      </c>
      <c r="F163" s="13">
        <f t="shared" ref="F163" si="256">SUM(F153:F162)</f>
        <v>1</v>
      </c>
      <c r="G163" s="13">
        <f t="shared" ref="G163" si="257">SUM(G153:G162)</f>
        <v>2</v>
      </c>
      <c r="H163" s="13">
        <f t="shared" ref="H163" si="258">SUM(H153:H162)</f>
        <v>1</v>
      </c>
      <c r="I163" s="13">
        <f t="shared" ref="I163" si="259">SUM(I153:I162)</f>
        <v>0</v>
      </c>
      <c r="J163" s="13">
        <f t="shared" ref="J163" si="260">SUM(J153:J162)</f>
        <v>0</v>
      </c>
      <c r="K163" s="13">
        <f t="shared" ref="K163" si="261">SUM(K153:K162)</f>
        <v>1</v>
      </c>
      <c r="L163" s="13">
        <f t="shared" ref="L163" si="262">SUM(L153:L162)</f>
        <v>0</v>
      </c>
      <c r="M163" s="13">
        <f t="shared" ref="M163" si="263">SUM(M153:M162)</f>
        <v>0</v>
      </c>
      <c r="N163" s="13">
        <f t="shared" ref="N163" si="264">SUM(N153:N162)</f>
        <v>0</v>
      </c>
      <c r="O163" s="13">
        <f t="shared" ref="O163" si="265">SUM(O153:O162)</f>
        <v>0</v>
      </c>
      <c r="P163" s="13">
        <f t="shared" ref="P163" si="266">SUM(P153:P162)</f>
        <v>0</v>
      </c>
      <c r="Q163" s="13">
        <f t="shared" ref="Q163" si="267">SUM(Q153:Q162)</f>
        <v>1</v>
      </c>
      <c r="R163" s="13">
        <f t="shared" ref="R163" si="268">SUM(R153:R162)</f>
        <v>0</v>
      </c>
      <c r="S163" s="13">
        <f t="shared" ref="S163" si="269">SUM(S153:S162)</f>
        <v>0</v>
      </c>
      <c r="T163" s="13">
        <f t="shared" ref="T163" si="270">SUM(T153:T162)</f>
        <v>0</v>
      </c>
      <c r="U163" s="13">
        <f t="shared" ref="U163" si="271">SUM(U153:U162)</f>
        <v>0</v>
      </c>
      <c r="V163" s="13">
        <f t="shared" ref="V163" si="272">SUM(V153:V162)</f>
        <v>0</v>
      </c>
      <c r="W163" s="13">
        <f t="shared" ref="W163" si="273">SUM(W153:W162)</f>
        <v>0</v>
      </c>
      <c r="X163" s="13">
        <f t="shared" ref="X163" si="274">SUM(X153:X162)</f>
        <v>0</v>
      </c>
      <c r="Y163" s="13">
        <f t="shared" ref="Y163" si="275">SUM(Y153:Y162)</f>
        <v>0</v>
      </c>
      <c r="Z163" s="13">
        <f t="shared" ref="Z163" si="276">SUM(Z153:Z162)</f>
        <v>1</v>
      </c>
      <c r="AA163" s="13">
        <f t="shared" ref="AA163" si="277">SUM(AA153:AA162)</f>
        <v>0</v>
      </c>
      <c r="AB163" s="13">
        <f t="shared" ref="AB163" si="278">SUM(AB153:AB162)</f>
        <v>1</v>
      </c>
      <c r="AC163" s="13">
        <f t="shared" ref="AC163" si="279">SUM(AC153:AC162)</f>
        <v>0</v>
      </c>
      <c r="AD163" s="13">
        <f t="shared" ref="AD163" si="280">SUM(AD153:AD162)</f>
        <v>0</v>
      </c>
      <c r="AE163" s="13">
        <f t="shared" ref="AE163" si="281">SUM(AE153:AE162)</f>
        <v>1</v>
      </c>
      <c r="AF163" s="13">
        <f t="shared" ref="AF163" si="282">SUM(AF153:AF162)</f>
        <v>0</v>
      </c>
      <c r="AG163" s="13">
        <f t="shared" ref="AG163" si="283">SUM(AG153:AG162)</f>
        <v>1</v>
      </c>
      <c r="AH163" s="13">
        <f t="shared" ref="AH163" si="284">SUM(AH153:AH162)</f>
        <v>10</v>
      </c>
      <c r="AI163" s="5"/>
      <c r="AJ163" s="5"/>
    </row>
    <row r="164" spans="1:36" ht="12.75" customHeight="1" x14ac:dyDescent="0.3">
      <c r="A164" s="62"/>
      <c r="B164" s="61"/>
      <c r="C164" s="61"/>
      <c r="D164" s="61"/>
      <c r="E164" s="59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"/>
      <c r="AJ164" s="5"/>
    </row>
    <row r="165" spans="1:36" ht="12.75" customHeight="1" x14ac:dyDescent="0.3">
      <c r="A165" s="20" t="s">
        <v>37</v>
      </c>
      <c r="B165" s="27" t="s">
        <v>127</v>
      </c>
      <c r="C165" s="58" t="s">
        <v>128</v>
      </c>
      <c r="D165" s="59"/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1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3">
        <f t="shared" ref="AH165:AH166" si="285">SUM(E165:AG165)</f>
        <v>1</v>
      </c>
      <c r="AI165" s="1"/>
      <c r="AJ165" s="1"/>
    </row>
    <row r="166" spans="1:36" ht="12.75" customHeight="1" x14ac:dyDescent="0.3">
      <c r="A166" s="20" t="s">
        <v>39</v>
      </c>
      <c r="B166" s="34"/>
      <c r="C166" s="29" t="s">
        <v>129</v>
      </c>
      <c r="D166" s="36"/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</v>
      </c>
      <c r="M166" s="16">
        <v>1</v>
      </c>
      <c r="N166" s="16">
        <v>0</v>
      </c>
      <c r="O166" s="16">
        <v>1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2</v>
      </c>
      <c r="X166" s="16">
        <v>1</v>
      </c>
      <c r="Y166" s="16">
        <v>1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1</v>
      </c>
      <c r="AH166" s="13">
        <f t="shared" si="285"/>
        <v>8</v>
      </c>
      <c r="AI166" s="31"/>
      <c r="AJ166" s="31"/>
    </row>
    <row r="167" spans="1:36" ht="12.75" customHeight="1" x14ac:dyDescent="0.3">
      <c r="A167" s="15"/>
      <c r="B167" s="37"/>
      <c r="C167" s="38"/>
      <c r="D167" s="3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56"/>
      <c r="AI167" s="5"/>
      <c r="AJ167" s="5"/>
    </row>
    <row r="168" spans="1:36" ht="12.75" customHeight="1" x14ac:dyDescent="0.3">
      <c r="A168" s="15"/>
      <c r="B168" s="37"/>
      <c r="C168" s="38"/>
      <c r="D168" s="3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56"/>
      <c r="AI168" s="5"/>
      <c r="AJ168" s="5"/>
    </row>
    <row r="169" spans="1:36" ht="12.75" customHeight="1" x14ac:dyDescent="0.3">
      <c r="A169" s="15"/>
      <c r="B169" s="37"/>
      <c r="C169" s="38"/>
      <c r="D169" s="3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56"/>
      <c r="AI169" s="5"/>
      <c r="AJ169" s="5"/>
    </row>
    <row r="170" spans="1:36" ht="12.75" customHeight="1" x14ac:dyDescent="0.3">
      <c r="A170" s="15"/>
      <c r="B170" s="37"/>
      <c r="C170" s="38"/>
      <c r="D170" s="3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56"/>
      <c r="AI170" s="5"/>
      <c r="AJ170" s="5"/>
    </row>
    <row r="171" spans="1:36" ht="12.75" customHeight="1" x14ac:dyDescent="0.3">
      <c r="A171" s="15"/>
      <c r="B171" s="37"/>
      <c r="C171" s="38"/>
      <c r="D171" s="3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56"/>
      <c r="AI171" s="5"/>
      <c r="AJ171" s="5"/>
    </row>
    <row r="172" spans="1:36" ht="12.75" customHeight="1" x14ac:dyDescent="0.3">
      <c r="A172" s="15"/>
      <c r="B172" s="37"/>
      <c r="C172" s="38"/>
      <c r="D172" s="3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56"/>
      <c r="AI172" s="5"/>
      <c r="AJ172" s="5"/>
    </row>
    <row r="173" spans="1:36" ht="12.75" customHeight="1" x14ac:dyDescent="0.3">
      <c r="A173" s="15"/>
      <c r="B173" s="37"/>
      <c r="C173" s="38"/>
      <c r="D173" s="3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56"/>
      <c r="AI173" s="5"/>
      <c r="AJ173" s="5"/>
    </row>
    <row r="174" spans="1:36" ht="12.75" customHeight="1" x14ac:dyDescent="0.3">
      <c r="A174" s="15"/>
      <c r="B174" s="37"/>
      <c r="C174" s="38"/>
      <c r="D174" s="3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56"/>
      <c r="AI174" s="5"/>
      <c r="AJ174" s="5"/>
    </row>
    <row r="175" spans="1:36" ht="12.75" customHeight="1" x14ac:dyDescent="0.3">
      <c r="A175" s="16" t="s">
        <v>15</v>
      </c>
      <c r="B175" s="60" t="s">
        <v>49</v>
      </c>
      <c r="C175" s="61"/>
      <c r="D175" s="59"/>
      <c r="E175" s="13">
        <f>SUM(E165:E174)</f>
        <v>0</v>
      </c>
      <c r="F175" s="13">
        <f t="shared" ref="F175" si="286">SUM(F165:F174)</f>
        <v>0</v>
      </c>
      <c r="G175" s="13">
        <f t="shared" ref="G175" si="287">SUM(G165:G174)</f>
        <v>0</v>
      </c>
      <c r="H175" s="13">
        <f t="shared" ref="H175" si="288">SUM(H165:H174)</f>
        <v>0</v>
      </c>
      <c r="I175" s="13">
        <f t="shared" ref="I175" si="289">SUM(I165:I174)</f>
        <v>0</v>
      </c>
      <c r="J175" s="13">
        <f t="shared" ref="J175" si="290">SUM(J165:J174)</f>
        <v>0</v>
      </c>
      <c r="K175" s="13">
        <f t="shared" ref="K175" si="291">SUM(K165:K174)</f>
        <v>0</v>
      </c>
      <c r="L175" s="13">
        <f t="shared" ref="L175" si="292">SUM(L165:L174)</f>
        <v>1</v>
      </c>
      <c r="M175" s="13">
        <f t="shared" ref="M175" si="293">SUM(M165:M174)</f>
        <v>1</v>
      </c>
      <c r="N175" s="13">
        <f t="shared" ref="N175" si="294">SUM(N165:N174)</f>
        <v>0</v>
      </c>
      <c r="O175" s="13">
        <f t="shared" ref="O175" si="295">SUM(O165:O174)</f>
        <v>1</v>
      </c>
      <c r="P175" s="13">
        <f t="shared" ref="P175" si="296">SUM(P165:P174)</f>
        <v>1</v>
      </c>
      <c r="Q175" s="13">
        <f t="shared" ref="Q175" si="297">SUM(Q165:Q174)</f>
        <v>0</v>
      </c>
      <c r="R175" s="13">
        <f t="shared" ref="R175" si="298">SUM(R165:R174)</f>
        <v>0</v>
      </c>
      <c r="S175" s="13">
        <f t="shared" ref="S175" si="299">SUM(S165:S174)</f>
        <v>0</v>
      </c>
      <c r="T175" s="13">
        <f t="shared" ref="T175" si="300">SUM(T165:T174)</f>
        <v>0</v>
      </c>
      <c r="U175" s="13">
        <f t="shared" ref="U175" si="301">SUM(U165:U174)</f>
        <v>0</v>
      </c>
      <c r="V175" s="13">
        <f t="shared" ref="V175" si="302">SUM(V165:V174)</f>
        <v>0</v>
      </c>
      <c r="W175" s="13">
        <f t="shared" ref="W175" si="303">SUM(W165:W174)</f>
        <v>2</v>
      </c>
      <c r="X175" s="13">
        <f t="shared" ref="X175" si="304">SUM(X165:X174)</f>
        <v>1</v>
      </c>
      <c r="Y175" s="13">
        <f t="shared" ref="Y175" si="305">SUM(Y165:Y174)</f>
        <v>1</v>
      </c>
      <c r="Z175" s="13">
        <f t="shared" ref="Z175" si="306">SUM(Z165:Z174)</f>
        <v>0</v>
      </c>
      <c r="AA175" s="13">
        <f t="shared" ref="AA175" si="307">SUM(AA165:AA174)</f>
        <v>0</v>
      </c>
      <c r="AB175" s="13">
        <f t="shared" ref="AB175" si="308">SUM(AB165:AB174)</f>
        <v>0</v>
      </c>
      <c r="AC175" s="13">
        <f t="shared" ref="AC175" si="309">SUM(AC165:AC174)</f>
        <v>0</v>
      </c>
      <c r="AD175" s="13">
        <f t="shared" ref="AD175" si="310">SUM(AD165:AD174)</f>
        <v>0</v>
      </c>
      <c r="AE175" s="13">
        <f t="shared" ref="AE175" si="311">SUM(AE165:AE174)</f>
        <v>0</v>
      </c>
      <c r="AF175" s="13">
        <f t="shared" ref="AF175" si="312">SUM(AF165:AF174)</f>
        <v>0</v>
      </c>
      <c r="AG175" s="13">
        <f t="shared" ref="AG175" si="313">SUM(AG165:AG174)</f>
        <v>1</v>
      </c>
      <c r="AH175" s="13">
        <f t="shared" ref="AH175" si="314">SUM(AH165:AH174)</f>
        <v>9</v>
      </c>
      <c r="AI175" s="5"/>
      <c r="AJ175" s="5"/>
    </row>
    <row r="176" spans="1:36" ht="12.75" customHeight="1" x14ac:dyDescent="0.3">
      <c r="A176" s="62"/>
      <c r="B176" s="61"/>
      <c r="C176" s="61"/>
      <c r="D176" s="61"/>
      <c r="E176" s="59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1"/>
      <c r="AJ176" s="1"/>
    </row>
    <row r="177" spans="1:36" ht="12.75" customHeight="1" x14ac:dyDescent="0.3">
      <c r="A177" s="20" t="s">
        <v>37</v>
      </c>
      <c r="B177" s="27" t="s">
        <v>130</v>
      </c>
      <c r="C177" s="58" t="s">
        <v>131</v>
      </c>
      <c r="D177" s="59"/>
      <c r="E177" s="16">
        <v>1</v>
      </c>
      <c r="F177" s="16">
        <v>0</v>
      </c>
      <c r="G177" s="16">
        <v>1</v>
      </c>
      <c r="H177" s="16">
        <v>0</v>
      </c>
      <c r="I177" s="16">
        <v>1</v>
      </c>
      <c r="J177" s="16">
        <v>0</v>
      </c>
      <c r="K177" s="16">
        <v>0</v>
      </c>
      <c r="L177" s="16">
        <v>1</v>
      </c>
      <c r="M177" s="16">
        <v>0</v>
      </c>
      <c r="N177" s="16">
        <v>0</v>
      </c>
      <c r="O177" s="16">
        <v>0</v>
      </c>
      <c r="P177" s="16">
        <v>2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1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2</v>
      </c>
      <c r="AD177" s="16">
        <v>0</v>
      </c>
      <c r="AE177" s="16">
        <v>0</v>
      </c>
      <c r="AF177" s="16">
        <v>0</v>
      </c>
      <c r="AG177" s="16">
        <v>0</v>
      </c>
      <c r="AH177" s="13">
        <f t="shared" ref="AH177:AH186" si="315">SUM(E177:AG177)</f>
        <v>9</v>
      </c>
    </row>
    <row r="178" spans="1:36" ht="12.75" customHeight="1" x14ac:dyDescent="0.3">
      <c r="A178" s="20" t="s">
        <v>39</v>
      </c>
      <c r="B178" s="34"/>
      <c r="C178" s="29" t="s">
        <v>132</v>
      </c>
      <c r="D178" s="36"/>
      <c r="E178" s="16">
        <v>2</v>
      </c>
      <c r="F178" s="16">
        <v>0</v>
      </c>
      <c r="G178" s="16">
        <v>0</v>
      </c>
      <c r="H178" s="16">
        <v>0</v>
      </c>
      <c r="I178" s="16">
        <v>0</v>
      </c>
      <c r="J178" s="16">
        <v>1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</v>
      </c>
      <c r="T178" s="16">
        <v>0</v>
      </c>
      <c r="U178" s="16">
        <v>2</v>
      </c>
      <c r="V178" s="16">
        <v>2</v>
      </c>
      <c r="W178" s="16">
        <v>0</v>
      </c>
      <c r="X178" s="16">
        <v>0</v>
      </c>
      <c r="Y178" s="16">
        <v>1</v>
      </c>
      <c r="Z178" s="16">
        <v>0</v>
      </c>
      <c r="AA178" s="16">
        <v>0</v>
      </c>
      <c r="AB178" s="16">
        <v>0</v>
      </c>
      <c r="AC178" s="16">
        <v>1</v>
      </c>
      <c r="AD178" s="16">
        <v>0</v>
      </c>
      <c r="AE178" s="16">
        <v>0</v>
      </c>
      <c r="AF178" s="16">
        <v>0</v>
      </c>
      <c r="AG178" s="16">
        <v>1</v>
      </c>
      <c r="AH178" s="13">
        <f t="shared" si="315"/>
        <v>11</v>
      </c>
      <c r="AI178" s="5"/>
      <c r="AJ178" s="5"/>
    </row>
    <row r="179" spans="1:36" ht="12.75" customHeight="1" x14ac:dyDescent="0.3">
      <c r="A179" s="15"/>
      <c r="B179" s="34"/>
      <c r="C179" s="29" t="s">
        <v>133</v>
      </c>
      <c r="D179" s="36"/>
      <c r="E179" s="16">
        <v>0</v>
      </c>
      <c r="F179" s="16">
        <v>0</v>
      </c>
      <c r="G179" s="16">
        <v>0</v>
      </c>
      <c r="H179" s="16">
        <v>1</v>
      </c>
      <c r="I179" s="16">
        <v>0</v>
      </c>
      <c r="J179" s="16">
        <v>0</v>
      </c>
      <c r="K179" s="16">
        <v>0</v>
      </c>
      <c r="L179" s="16">
        <v>0</v>
      </c>
      <c r="M179" s="16">
        <v>1</v>
      </c>
      <c r="N179" s="16">
        <v>0</v>
      </c>
      <c r="O179" s="16">
        <v>0</v>
      </c>
      <c r="P179" s="16">
        <v>0</v>
      </c>
      <c r="Q179" s="16">
        <v>0</v>
      </c>
      <c r="R179" s="16">
        <v>2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1</v>
      </c>
      <c r="AH179" s="13">
        <f t="shared" si="315"/>
        <v>5</v>
      </c>
      <c r="AI179" s="5"/>
      <c r="AJ179" s="5"/>
    </row>
    <row r="180" spans="1:36" ht="12.75" customHeight="1" x14ac:dyDescent="0.3">
      <c r="A180" s="15"/>
      <c r="B180" s="34"/>
      <c r="C180" s="29" t="s">
        <v>134</v>
      </c>
      <c r="D180" s="36"/>
      <c r="E180" s="16">
        <v>0</v>
      </c>
      <c r="F180" s="16">
        <v>0</v>
      </c>
      <c r="G180" s="16">
        <v>1</v>
      </c>
      <c r="H180" s="16">
        <v>2</v>
      </c>
      <c r="I180" s="16">
        <v>0</v>
      </c>
      <c r="J180" s="16">
        <v>0</v>
      </c>
      <c r="K180" s="16">
        <v>0</v>
      </c>
      <c r="L180" s="16">
        <v>0</v>
      </c>
      <c r="M180" s="16">
        <v>2</v>
      </c>
      <c r="N180" s="16">
        <v>0</v>
      </c>
      <c r="O180" s="16">
        <v>0</v>
      </c>
      <c r="P180" s="16">
        <v>0</v>
      </c>
      <c r="Q180" s="16">
        <v>0</v>
      </c>
      <c r="R180" s="16">
        <v>1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1</v>
      </c>
      <c r="Z180" s="16">
        <v>1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1</v>
      </c>
      <c r="AH180" s="13">
        <f t="shared" si="315"/>
        <v>9</v>
      </c>
      <c r="AI180" s="5"/>
      <c r="AJ180" s="5"/>
    </row>
    <row r="181" spans="1:36" ht="12.75" customHeight="1" x14ac:dyDescent="0.3">
      <c r="A181" s="15"/>
      <c r="B181" s="34"/>
      <c r="C181" s="29" t="s">
        <v>135</v>
      </c>
      <c r="D181" s="36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1</v>
      </c>
      <c r="AD181" s="16">
        <v>0</v>
      </c>
      <c r="AE181" s="16">
        <v>1</v>
      </c>
      <c r="AF181" s="16">
        <v>0</v>
      </c>
      <c r="AG181" s="16">
        <v>0</v>
      </c>
      <c r="AH181" s="13">
        <f t="shared" si="315"/>
        <v>2</v>
      </c>
      <c r="AI181" s="5"/>
      <c r="AJ181" s="5"/>
    </row>
    <row r="182" spans="1:36" ht="12.75" customHeight="1" x14ac:dyDescent="0.3">
      <c r="A182" s="15"/>
      <c r="B182" s="34"/>
      <c r="C182" s="29" t="s">
        <v>136</v>
      </c>
      <c r="D182" s="36"/>
      <c r="E182" s="16">
        <v>0</v>
      </c>
      <c r="F182" s="16">
        <v>0</v>
      </c>
      <c r="G182" s="16">
        <v>1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1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3">
        <f t="shared" si="315"/>
        <v>2</v>
      </c>
      <c r="AI182" s="5"/>
      <c r="AJ182" s="5"/>
    </row>
    <row r="183" spans="1:36" ht="12.75" customHeight="1" x14ac:dyDescent="0.3">
      <c r="A183" s="15"/>
      <c r="B183" s="34"/>
      <c r="C183" s="29" t="s">
        <v>137</v>
      </c>
      <c r="D183" s="36"/>
      <c r="E183" s="16">
        <v>0</v>
      </c>
      <c r="F183" s="16">
        <v>0</v>
      </c>
      <c r="G183" s="16">
        <v>1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1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3">
        <f t="shared" si="315"/>
        <v>2</v>
      </c>
      <c r="AI183" s="5"/>
      <c r="AJ183" s="5"/>
    </row>
    <row r="184" spans="1:36" ht="12.75" customHeight="1" x14ac:dyDescent="0.3">
      <c r="A184" s="15"/>
      <c r="B184" s="34"/>
      <c r="C184" s="29" t="s">
        <v>138</v>
      </c>
      <c r="D184" s="36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1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1</v>
      </c>
      <c r="AH184" s="13">
        <f t="shared" si="315"/>
        <v>2</v>
      </c>
      <c r="AI184" s="5"/>
      <c r="AJ184" s="5"/>
    </row>
    <row r="185" spans="1:36" ht="12.75" customHeight="1" x14ac:dyDescent="0.3">
      <c r="A185" s="15"/>
      <c r="B185" s="34"/>
      <c r="C185" s="29" t="s">
        <v>139</v>
      </c>
      <c r="D185" s="36"/>
      <c r="E185" s="16">
        <v>0</v>
      </c>
      <c r="F185" s="16">
        <v>1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3">
        <f t="shared" si="315"/>
        <v>1</v>
      </c>
      <c r="AI185" s="5"/>
      <c r="AJ185" s="5"/>
    </row>
    <row r="186" spans="1:36" ht="12.75" customHeight="1" x14ac:dyDescent="0.3">
      <c r="A186" s="15"/>
      <c r="B186" s="34"/>
      <c r="C186" s="29" t="s">
        <v>140</v>
      </c>
      <c r="D186" s="36"/>
      <c r="E186" s="16">
        <v>0</v>
      </c>
      <c r="F186" s="16">
        <v>1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1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3">
        <f t="shared" si="315"/>
        <v>2</v>
      </c>
      <c r="AI186" s="5"/>
      <c r="AJ186" s="5"/>
    </row>
    <row r="187" spans="1:36" ht="12.75" customHeight="1" x14ac:dyDescent="0.3">
      <c r="A187" s="16" t="s">
        <v>15</v>
      </c>
      <c r="B187" s="60" t="s">
        <v>49</v>
      </c>
      <c r="C187" s="61"/>
      <c r="D187" s="59"/>
      <c r="E187" s="13">
        <f>SUM(E177:E186)</f>
        <v>3</v>
      </c>
      <c r="F187" s="13">
        <f t="shared" ref="F187" si="316">SUM(F177:F186)</f>
        <v>2</v>
      </c>
      <c r="G187" s="13">
        <f t="shared" ref="G187" si="317">SUM(G177:G186)</f>
        <v>4</v>
      </c>
      <c r="H187" s="13">
        <f t="shared" ref="H187" si="318">SUM(H177:H186)</f>
        <v>3</v>
      </c>
      <c r="I187" s="13">
        <f t="shared" ref="I187" si="319">SUM(I177:I186)</f>
        <v>1</v>
      </c>
      <c r="J187" s="13">
        <f t="shared" ref="J187" si="320">SUM(J177:J186)</f>
        <v>1</v>
      </c>
      <c r="K187" s="13">
        <f t="shared" ref="K187" si="321">SUM(K177:K186)</f>
        <v>0</v>
      </c>
      <c r="L187" s="13">
        <f t="shared" ref="L187" si="322">SUM(L177:L186)</f>
        <v>1</v>
      </c>
      <c r="M187" s="13">
        <f t="shared" ref="M187" si="323">SUM(M177:M186)</f>
        <v>3</v>
      </c>
      <c r="N187" s="13">
        <f t="shared" ref="N187" si="324">SUM(N177:N186)</f>
        <v>0</v>
      </c>
      <c r="O187" s="13">
        <f t="shared" ref="O187" si="325">SUM(O177:O186)</f>
        <v>0</v>
      </c>
      <c r="P187" s="13">
        <f t="shared" ref="P187" si="326">SUM(P177:P186)</f>
        <v>3</v>
      </c>
      <c r="Q187" s="13">
        <f t="shared" ref="Q187" si="327">SUM(Q177:Q186)</f>
        <v>1</v>
      </c>
      <c r="R187" s="13">
        <f t="shared" ref="R187" si="328">SUM(R177:R186)</f>
        <v>3</v>
      </c>
      <c r="S187" s="13">
        <f t="shared" ref="S187" si="329">SUM(S177:S186)</f>
        <v>1</v>
      </c>
      <c r="T187" s="13">
        <f t="shared" ref="T187" si="330">SUM(T177:T186)</f>
        <v>0</v>
      </c>
      <c r="U187" s="13">
        <f t="shared" ref="U187" si="331">SUM(U177:U186)</f>
        <v>3</v>
      </c>
      <c r="V187" s="13">
        <f t="shared" ref="V187" si="332">SUM(V177:V186)</f>
        <v>2</v>
      </c>
      <c r="W187" s="13">
        <f t="shared" ref="W187" si="333">SUM(W177:W186)</f>
        <v>1</v>
      </c>
      <c r="X187" s="13">
        <f t="shared" ref="X187" si="334">SUM(X177:X186)</f>
        <v>1</v>
      </c>
      <c r="Y187" s="13">
        <f t="shared" ref="Y187" si="335">SUM(Y177:Y186)</f>
        <v>2</v>
      </c>
      <c r="Z187" s="13">
        <f t="shared" ref="Z187" si="336">SUM(Z177:Z186)</f>
        <v>1</v>
      </c>
      <c r="AA187" s="13">
        <f t="shared" ref="AA187" si="337">SUM(AA177:AA186)</f>
        <v>0</v>
      </c>
      <c r="AB187" s="13">
        <f t="shared" ref="AB187" si="338">SUM(AB177:AB186)</f>
        <v>0</v>
      </c>
      <c r="AC187" s="13">
        <f t="shared" ref="AC187" si="339">SUM(AC177:AC186)</f>
        <v>4</v>
      </c>
      <c r="AD187" s="13">
        <f t="shared" ref="AD187" si="340">SUM(AD177:AD186)</f>
        <v>0</v>
      </c>
      <c r="AE187" s="13">
        <f t="shared" ref="AE187" si="341">SUM(AE177:AE186)</f>
        <v>1</v>
      </c>
      <c r="AF187" s="13">
        <f t="shared" ref="AF187" si="342">SUM(AF177:AF186)</f>
        <v>0</v>
      </c>
      <c r="AG187" s="13">
        <f t="shared" ref="AG187" si="343">SUM(AG177:AG186)</f>
        <v>4</v>
      </c>
      <c r="AH187" s="13">
        <f t="shared" ref="AH187" si="344">SUM(AH177:AH186)</f>
        <v>45</v>
      </c>
      <c r="AI187" s="1"/>
      <c r="AJ187" s="1"/>
    </row>
    <row r="188" spans="1:36" ht="12.75" customHeight="1" x14ac:dyDescent="0.3">
      <c r="A188" s="62"/>
      <c r="B188" s="61"/>
      <c r="C188" s="61"/>
      <c r="D188" s="61"/>
      <c r="E188" s="59"/>
      <c r="F188" s="54"/>
      <c r="G188" s="54"/>
      <c r="H188" s="54"/>
      <c r="I188" s="54"/>
      <c r="J188" s="54"/>
      <c r="K188" s="54"/>
      <c r="L188" s="54"/>
      <c r="M188" s="54"/>
      <c r="N188" s="54"/>
      <c r="AH188" s="13"/>
    </row>
    <row r="189" spans="1:36" ht="12.75" customHeight="1" x14ac:dyDescent="0.3">
      <c r="A189" s="20" t="s">
        <v>37</v>
      </c>
      <c r="B189" s="27" t="s">
        <v>141</v>
      </c>
      <c r="C189" s="58" t="s">
        <v>142</v>
      </c>
      <c r="D189" s="59"/>
      <c r="E189" s="16">
        <v>0</v>
      </c>
      <c r="F189" s="16">
        <v>1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1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3">
        <f t="shared" ref="AH189:AH198" si="345">SUM(E189:AG189)</f>
        <v>2</v>
      </c>
      <c r="AI189" s="5"/>
      <c r="AJ189" s="5"/>
    </row>
    <row r="190" spans="1:36" ht="12.75" customHeight="1" x14ac:dyDescent="0.3">
      <c r="A190" s="20" t="s">
        <v>39</v>
      </c>
      <c r="B190" s="34"/>
      <c r="C190" s="29" t="s">
        <v>143</v>
      </c>
      <c r="D190" s="36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1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1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3">
        <f t="shared" si="345"/>
        <v>2</v>
      </c>
      <c r="AI190" s="5"/>
      <c r="AJ190" s="5"/>
    </row>
    <row r="191" spans="1:36" ht="12.75" customHeight="1" x14ac:dyDescent="0.3">
      <c r="A191" s="15"/>
      <c r="B191" s="34"/>
      <c r="C191" s="29" t="s">
        <v>144</v>
      </c>
      <c r="D191" s="36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3">
        <f t="shared" si="345"/>
        <v>1</v>
      </c>
      <c r="AI191" s="5"/>
      <c r="AJ191" s="5"/>
    </row>
    <row r="192" spans="1:36" ht="12.75" customHeight="1" x14ac:dyDescent="0.3">
      <c r="A192" s="15"/>
      <c r="B192" s="34"/>
      <c r="C192" s="29" t="s">
        <v>145</v>
      </c>
      <c r="D192" s="36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3">
        <f t="shared" si="345"/>
        <v>0</v>
      </c>
      <c r="AI192" s="5"/>
      <c r="AJ192" s="5"/>
    </row>
    <row r="193" spans="1:36" ht="12.75" customHeight="1" x14ac:dyDescent="0.3">
      <c r="A193" s="15"/>
      <c r="B193" s="34"/>
      <c r="C193" s="29" t="s">
        <v>146</v>
      </c>
      <c r="D193" s="36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3">
        <f t="shared" si="345"/>
        <v>0</v>
      </c>
      <c r="AI193" s="5"/>
      <c r="AJ193" s="5"/>
    </row>
    <row r="194" spans="1:36" ht="12.75" customHeight="1" x14ac:dyDescent="0.3">
      <c r="A194" s="15"/>
      <c r="B194" s="34"/>
      <c r="C194" s="29" t="s">
        <v>147</v>
      </c>
      <c r="D194" s="36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3">
        <f t="shared" si="345"/>
        <v>0</v>
      </c>
      <c r="AI194" s="5"/>
      <c r="AJ194" s="5"/>
    </row>
    <row r="195" spans="1:36" ht="12.75" customHeight="1" x14ac:dyDescent="0.3">
      <c r="A195" s="15"/>
      <c r="B195" s="34"/>
      <c r="C195" s="29" t="s">
        <v>148</v>
      </c>
      <c r="D195" s="36"/>
      <c r="E195" s="16">
        <v>0</v>
      </c>
      <c r="F195" s="16">
        <v>1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3">
        <f t="shared" si="345"/>
        <v>1</v>
      </c>
      <c r="AI195" s="5"/>
      <c r="AJ195" s="5"/>
    </row>
    <row r="196" spans="1:36" ht="12.75" customHeight="1" x14ac:dyDescent="0.3">
      <c r="A196" s="15"/>
      <c r="B196" s="34"/>
      <c r="C196" s="29" t="s">
        <v>149</v>
      </c>
      <c r="D196" s="36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3">
        <f t="shared" si="345"/>
        <v>0</v>
      </c>
      <c r="AI196" s="1"/>
      <c r="AJ196" s="1"/>
    </row>
    <row r="197" spans="1:36" ht="12.75" customHeight="1" x14ac:dyDescent="0.3">
      <c r="A197" s="15"/>
      <c r="B197" s="34"/>
      <c r="C197" s="29" t="s">
        <v>150</v>
      </c>
      <c r="D197" s="36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3">
        <f t="shared" si="345"/>
        <v>0</v>
      </c>
      <c r="AI197" s="1"/>
      <c r="AJ197" s="1"/>
    </row>
    <row r="198" spans="1:36" ht="12.75" customHeight="1" x14ac:dyDescent="0.3">
      <c r="A198" s="15"/>
      <c r="B198" s="34"/>
      <c r="C198" s="29" t="s">
        <v>151</v>
      </c>
      <c r="D198" s="36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3">
        <f t="shared" si="345"/>
        <v>0</v>
      </c>
      <c r="AI198" s="1"/>
      <c r="AJ198" s="1"/>
    </row>
    <row r="199" spans="1:36" ht="12.75" customHeight="1" x14ac:dyDescent="0.3">
      <c r="A199" s="16" t="s">
        <v>15</v>
      </c>
      <c r="B199" s="60" t="s">
        <v>49</v>
      </c>
      <c r="C199" s="61"/>
      <c r="D199" s="59"/>
      <c r="E199" s="13">
        <f>SUM(E189:E198)</f>
        <v>0</v>
      </c>
      <c r="F199" s="13">
        <f t="shared" ref="F199" si="346">SUM(F189:F198)</f>
        <v>2</v>
      </c>
      <c r="G199" s="13">
        <f t="shared" ref="G199" si="347">SUM(G189:G198)</f>
        <v>0</v>
      </c>
      <c r="H199" s="13">
        <f t="shared" ref="H199" si="348">SUM(H189:H198)</f>
        <v>0</v>
      </c>
      <c r="I199" s="13">
        <f t="shared" ref="I199" si="349">SUM(I189:I198)</f>
        <v>0</v>
      </c>
      <c r="J199" s="13">
        <f t="shared" ref="J199" si="350">SUM(J189:J198)</f>
        <v>0</v>
      </c>
      <c r="K199" s="13">
        <f t="shared" ref="K199" si="351">SUM(K189:K198)</f>
        <v>0</v>
      </c>
      <c r="L199" s="13">
        <f t="shared" ref="L199" si="352">SUM(L189:L198)</f>
        <v>1</v>
      </c>
      <c r="M199" s="13">
        <f t="shared" ref="M199" si="353">SUM(M189:M198)</f>
        <v>0</v>
      </c>
      <c r="N199" s="13">
        <f t="shared" ref="N199" si="354">SUM(N189:N198)</f>
        <v>0</v>
      </c>
      <c r="O199" s="13">
        <f t="shared" ref="O199" si="355">SUM(O189:O198)</f>
        <v>0</v>
      </c>
      <c r="P199" s="13">
        <f t="shared" ref="P199" si="356">SUM(P189:P198)</f>
        <v>0</v>
      </c>
      <c r="Q199" s="13">
        <f t="shared" ref="Q199" si="357">SUM(Q189:Q198)</f>
        <v>1</v>
      </c>
      <c r="R199" s="13">
        <f t="shared" ref="R199" si="358">SUM(R189:R198)</f>
        <v>0</v>
      </c>
      <c r="S199" s="13">
        <f t="shared" ref="S199" si="359">SUM(S189:S198)</f>
        <v>0</v>
      </c>
      <c r="T199" s="13">
        <f t="shared" ref="T199" si="360">SUM(T189:T198)</f>
        <v>0</v>
      </c>
      <c r="U199" s="13">
        <f t="shared" ref="U199" si="361">SUM(U189:U198)</f>
        <v>0</v>
      </c>
      <c r="V199" s="13">
        <f t="shared" ref="V199" si="362">SUM(V189:V198)</f>
        <v>0</v>
      </c>
      <c r="W199" s="13">
        <f t="shared" ref="W199" si="363">SUM(W189:W198)</f>
        <v>1</v>
      </c>
      <c r="X199" s="13">
        <f t="shared" ref="X199" si="364">SUM(X189:X198)</f>
        <v>0</v>
      </c>
      <c r="Y199" s="13">
        <f t="shared" ref="Y199" si="365">SUM(Y189:Y198)</f>
        <v>0</v>
      </c>
      <c r="Z199" s="13">
        <f t="shared" ref="Z199" si="366">SUM(Z189:Z198)</f>
        <v>0</v>
      </c>
      <c r="AA199" s="13">
        <f t="shared" ref="AA199" si="367">SUM(AA189:AA198)</f>
        <v>0</v>
      </c>
      <c r="AB199" s="13">
        <f t="shared" ref="AB199" si="368">SUM(AB189:AB198)</f>
        <v>1</v>
      </c>
      <c r="AC199" s="13">
        <f t="shared" ref="AC199" si="369">SUM(AC189:AC198)</f>
        <v>0</v>
      </c>
      <c r="AD199" s="13">
        <f t="shared" ref="AD199" si="370">SUM(AD189:AD198)</f>
        <v>0</v>
      </c>
      <c r="AE199" s="13">
        <f t="shared" ref="AE199" si="371">SUM(AE189:AE198)</f>
        <v>0</v>
      </c>
      <c r="AF199" s="13">
        <f t="shared" ref="AF199" si="372">SUM(AF189:AF198)</f>
        <v>0</v>
      </c>
      <c r="AG199" s="13">
        <f t="shared" ref="AG199" si="373">SUM(AG189:AG198)</f>
        <v>0</v>
      </c>
      <c r="AH199" s="13">
        <f t="shared" ref="AH199" si="374">SUM(AH189:AH198)</f>
        <v>6</v>
      </c>
      <c r="AI199" s="31"/>
      <c r="AJ199" s="31"/>
    </row>
    <row r="200" spans="1:36" ht="12.75" customHeight="1" x14ac:dyDescent="0.3">
      <c r="A200" s="62"/>
      <c r="B200" s="61"/>
      <c r="C200" s="61"/>
      <c r="D200" s="61"/>
      <c r="E200" s="59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"/>
      <c r="AJ200" s="5"/>
    </row>
    <row r="201" spans="1:36" ht="12.75" customHeight="1" x14ac:dyDescent="0.3">
      <c r="A201" s="20" t="s">
        <v>37</v>
      </c>
      <c r="B201" s="27" t="s">
        <v>152</v>
      </c>
      <c r="C201" s="58" t="s">
        <v>153</v>
      </c>
      <c r="D201" s="59"/>
      <c r="E201" s="16">
        <v>8</v>
      </c>
      <c r="F201" s="16">
        <v>2</v>
      </c>
      <c r="G201" s="16">
        <v>1</v>
      </c>
      <c r="H201" s="16">
        <v>3</v>
      </c>
      <c r="I201" s="16">
        <v>6</v>
      </c>
      <c r="J201" s="16">
        <v>15</v>
      </c>
      <c r="K201" s="16">
        <v>3</v>
      </c>
      <c r="L201" s="16">
        <v>6</v>
      </c>
      <c r="M201" s="16">
        <v>10</v>
      </c>
      <c r="N201" s="16">
        <v>4</v>
      </c>
      <c r="O201" s="16">
        <v>3</v>
      </c>
      <c r="P201" s="16">
        <v>9</v>
      </c>
      <c r="Q201" s="16">
        <v>1</v>
      </c>
      <c r="R201" s="16">
        <v>4</v>
      </c>
      <c r="S201" s="16">
        <v>2</v>
      </c>
      <c r="T201" s="16">
        <v>2</v>
      </c>
      <c r="U201" s="16">
        <v>5</v>
      </c>
      <c r="V201" s="16">
        <v>11</v>
      </c>
      <c r="W201" s="16">
        <v>7</v>
      </c>
      <c r="X201" s="16">
        <v>7</v>
      </c>
      <c r="Y201" s="16">
        <v>5</v>
      </c>
      <c r="Z201" s="16">
        <v>4</v>
      </c>
      <c r="AA201" s="16">
        <v>2</v>
      </c>
      <c r="AB201" s="16">
        <v>3</v>
      </c>
      <c r="AC201" s="16">
        <v>1</v>
      </c>
      <c r="AD201" s="16">
        <v>2</v>
      </c>
      <c r="AE201" s="16">
        <v>1</v>
      </c>
      <c r="AF201" s="16">
        <v>2</v>
      </c>
      <c r="AG201" s="16">
        <v>1</v>
      </c>
      <c r="AH201" s="13">
        <f t="shared" ref="AH201:AH210" si="375">SUM(E201:AG201)</f>
        <v>130</v>
      </c>
      <c r="AI201" s="5"/>
      <c r="AJ201" s="5"/>
    </row>
    <row r="202" spans="1:36" ht="12.75" customHeight="1" x14ac:dyDescent="0.3">
      <c r="A202" s="20" t="s">
        <v>39</v>
      </c>
      <c r="B202" s="34"/>
      <c r="C202" s="29" t="s">
        <v>154</v>
      </c>
      <c r="D202" s="36"/>
      <c r="E202" s="16">
        <v>6</v>
      </c>
      <c r="F202" s="16">
        <v>5</v>
      </c>
      <c r="G202" s="16">
        <v>8</v>
      </c>
      <c r="H202" s="16">
        <v>7</v>
      </c>
      <c r="I202" s="16">
        <v>3</v>
      </c>
      <c r="J202" s="16">
        <v>13</v>
      </c>
      <c r="K202" s="16">
        <v>7</v>
      </c>
      <c r="L202" s="16">
        <v>7</v>
      </c>
      <c r="M202" s="16">
        <v>13</v>
      </c>
      <c r="N202" s="16">
        <v>6</v>
      </c>
      <c r="O202" s="16">
        <v>8</v>
      </c>
      <c r="P202" s="16">
        <v>1</v>
      </c>
      <c r="Q202" s="16">
        <v>7</v>
      </c>
      <c r="R202" s="16">
        <v>10</v>
      </c>
      <c r="S202" s="16">
        <v>8</v>
      </c>
      <c r="T202" s="16">
        <v>11</v>
      </c>
      <c r="U202" s="16">
        <v>5</v>
      </c>
      <c r="V202" s="16">
        <v>19</v>
      </c>
      <c r="W202" s="16">
        <v>19</v>
      </c>
      <c r="X202" s="16">
        <v>7</v>
      </c>
      <c r="Y202" s="16">
        <v>5</v>
      </c>
      <c r="Z202" s="16">
        <v>11</v>
      </c>
      <c r="AA202" s="16">
        <v>4</v>
      </c>
      <c r="AB202" s="16">
        <v>2</v>
      </c>
      <c r="AC202" s="16">
        <v>2</v>
      </c>
      <c r="AD202" s="16">
        <v>8</v>
      </c>
      <c r="AE202" s="16">
        <v>6</v>
      </c>
      <c r="AF202" s="16">
        <v>6</v>
      </c>
      <c r="AG202" s="16">
        <v>3</v>
      </c>
      <c r="AH202" s="13">
        <f t="shared" si="375"/>
        <v>217</v>
      </c>
      <c r="AI202" s="5"/>
      <c r="AJ202" s="5"/>
    </row>
    <row r="203" spans="1:36" ht="12.75" customHeight="1" x14ac:dyDescent="0.3">
      <c r="A203" s="15"/>
      <c r="B203" s="34"/>
      <c r="C203" s="29" t="s">
        <v>155</v>
      </c>
      <c r="D203" s="36"/>
      <c r="E203" s="16">
        <v>1</v>
      </c>
      <c r="F203" s="16">
        <v>3</v>
      </c>
      <c r="G203" s="16">
        <v>1</v>
      </c>
      <c r="H203" s="16">
        <v>5</v>
      </c>
      <c r="I203" s="16">
        <v>7</v>
      </c>
      <c r="J203" s="16">
        <v>18</v>
      </c>
      <c r="K203" s="16">
        <v>0</v>
      </c>
      <c r="L203" s="16">
        <v>0</v>
      </c>
      <c r="M203" s="16">
        <v>25</v>
      </c>
      <c r="N203" s="16">
        <v>15</v>
      </c>
      <c r="O203" s="16">
        <v>3</v>
      </c>
      <c r="P203" s="16">
        <v>2</v>
      </c>
      <c r="Q203" s="16">
        <v>1</v>
      </c>
      <c r="R203" s="16">
        <v>2</v>
      </c>
      <c r="S203" s="16">
        <v>0</v>
      </c>
      <c r="T203" s="16">
        <v>0</v>
      </c>
      <c r="U203" s="16">
        <v>1</v>
      </c>
      <c r="V203" s="16">
        <v>4</v>
      </c>
      <c r="W203" s="16">
        <v>6</v>
      </c>
      <c r="X203" s="16">
        <v>1</v>
      </c>
      <c r="Y203" s="16">
        <v>0</v>
      </c>
      <c r="Z203" s="16">
        <v>0</v>
      </c>
      <c r="AA203" s="16">
        <v>1</v>
      </c>
      <c r="AB203" s="16">
        <v>1</v>
      </c>
      <c r="AC203" s="16">
        <v>3</v>
      </c>
      <c r="AD203" s="16">
        <v>1</v>
      </c>
      <c r="AE203" s="16">
        <v>0</v>
      </c>
      <c r="AF203" s="16">
        <v>1</v>
      </c>
      <c r="AG203" s="16">
        <v>1</v>
      </c>
      <c r="AH203" s="13">
        <f t="shared" si="375"/>
        <v>103</v>
      </c>
      <c r="AI203" s="5"/>
      <c r="AJ203" s="5"/>
    </row>
    <row r="204" spans="1:36" ht="12.75" customHeight="1" x14ac:dyDescent="0.3">
      <c r="A204" s="15"/>
      <c r="B204" s="34"/>
      <c r="C204" s="29" t="s">
        <v>156</v>
      </c>
      <c r="D204" s="36"/>
      <c r="E204" s="16">
        <v>1</v>
      </c>
      <c r="F204" s="16">
        <v>1</v>
      </c>
      <c r="G204" s="16">
        <v>0</v>
      </c>
      <c r="H204" s="16">
        <v>1</v>
      </c>
      <c r="I204" s="16">
        <v>1</v>
      </c>
      <c r="J204" s="16">
        <v>2</v>
      </c>
      <c r="K204" s="16">
        <v>0</v>
      </c>
      <c r="L204" s="16">
        <v>2</v>
      </c>
      <c r="M204" s="16">
        <v>1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2</v>
      </c>
      <c r="W204" s="16">
        <v>4</v>
      </c>
      <c r="X204" s="16">
        <v>0</v>
      </c>
      <c r="Y204" s="16">
        <v>1</v>
      </c>
      <c r="Z204" s="16">
        <v>0</v>
      </c>
      <c r="AA204" s="16">
        <v>1</v>
      </c>
      <c r="AB204" s="16">
        <v>0</v>
      </c>
      <c r="AC204" s="16">
        <v>1</v>
      </c>
      <c r="AD204" s="16">
        <v>0</v>
      </c>
      <c r="AE204" s="16">
        <v>0</v>
      </c>
      <c r="AF204" s="16">
        <v>0</v>
      </c>
      <c r="AG204" s="16">
        <v>0</v>
      </c>
      <c r="AH204" s="13">
        <f t="shared" si="375"/>
        <v>18</v>
      </c>
      <c r="AI204" s="5"/>
      <c r="AJ204" s="5"/>
    </row>
    <row r="205" spans="1:36" ht="12.75" customHeight="1" x14ac:dyDescent="0.3">
      <c r="A205" s="15"/>
      <c r="B205" s="34"/>
      <c r="C205" s="29" t="s">
        <v>157</v>
      </c>
      <c r="D205" s="36"/>
      <c r="E205" s="16">
        <v>0</v>
      </c>
      <c r="F205" s="16">
        <v>0</v>
      </c>
      <c r="G205" s="16">
        <v>0</v>
      </c>
      <c r="H205" s="16">
        <v>1</v>
      </c>
      <c r="I205" s="16">
        <v>0</v>
      </c>
      <c r="J205" s="16">
        <v>0</v>
      </c>
      <c r="K205" s="16">
        <v>0</v>
      </c>
      <c r="L205" s="16">
        <v>0</v>
      </c>
      <c r="M205" s="16">
        <v>2</v>
      </c>
      <c r="N205" s="16">
        <v>0</v>
      </c>
      <c r="O205" s="16">
        <v>1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3</v>
      </c>
      <c r="AA205" s="16">
        <v>1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3">
        <f t="shared" si="375"/>
        <v>8</v>
      </c>
      <c r="AI205" s="5"/>
      <c r="AJ205" s="5"/>
    </row>
    <row r="206" spans="1:36" ht="12.75" customHeight="1" x14ac:dyDescent="0.3">
      <c r="A206" s="15"/>
      <c r="B206" s="34"/>
      <c r="C206" s="29" t="s">
        <v>158</v>
      </c>
      <c r="D206" s="36"/>
      <c r="E206" s="16">
        <v>0</v>
      </c>
      <c r="F206" s="16">
        <v>0</v>
      </c>
      <c r="G206" s="16">
        <v>0</v>
      </c>
      <c r="H206" s="16">
        <v>0</v>
      </c>
      <c r="I206" s="16">
        <v>1</v>
      </c>
      <c r="J206" s="16">
        <v>1</v>
      </c>
      <c r="K206" s="16">
        <v>0</v>
      </c>
      <c r="L206" s="16">
        <v>0</v>
      </c>
      <c r="M206" s="16">
        <v>0</v>
      </c>
      <c r="N206" s="16">
        <v>0</v>
      </c>
      <c r="O206" s="16">
        <v>1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1</v>
      </c>
      <c r="W206" s="16">
        <v>1</v>
      </c>
      <c r="X206" s="16">
        <v>0</v>
      </c>
      <c r="Y206" s="16">
        <v>2</v>
      </c>
      <c r="Z206" s="16">
        <v>1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3">
        <f t="shared" si="375"/>
        <v>8</v>
      </c>
      <c r="AI206" s="5"/>
      <c r="AJ206" s="5"/>
    </row>
    <row r="207" spans="1:36" ht="12.75" customHeight="1" x14ac:dyDescent="0.3">
      <c r="A207" s="15"/>
      <c r="B207" s="34"/>
      <c r="C207" s="29" t="s">
        <v>159</v>
      </c>
      <c r="D207" s="36"/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1</v>
      </c>
      <c r="U207" s="16">
        <v>0</v>
      </c>
      <c r="V207" s="16">
        <v>0</v>
      </c>
      <c r="W207" s="16">
        <v>1</v>
      </c>
      <c r="X207" s="16">
        <v>0</v>
      </c>
      <c r="Y207" s="16">
        <v>1</v>
      </c>
      <c r="Z207" s="16">
        <v>0</v>
      </c>
      <c r="AA207" s="16">
        <v>1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3">
        <f t="shared" si="375"/>
        <v>4</v>
      </c>
      <c r="AI207" s="1"/>
      <c r="AJ207" s="1"/>
    </row>
    <row r="208" spans="1:36" ht="12.75" customHeight="1" x14ac:dyDescent="0.3">
      <c r="A208" s="15"/>
      <c r="B208" s="34"/>
      <c r="C208" s="29" t="s">
        <v>160</v>
      </c>
      <c r="D208" s="36"/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1</v>
      </c>
      <c r="L208" s="16">
        <v>1</v>
      </c>
      <c r="M208" s="16">
        <v>1</v>
      </c>
      <c r="N208" s="16">
        <v>0</v>
      </c>
      <c r="O208" s="16">
        <v>5</v>
      </c>
      <c r="P208" s="16">
        <v>4</v>
      </c>
      <c r="Q208" s="16">
        <v>1</v>
      </c>
      <c r="R208" s="16">
        <v>0</v>
      </c>
      <c r="S208" s="16">
        <v>0</v>
      </c>
      <c r="T208" s="16">
        <v>0</v>
      </c>
      <c r="U208" s="16">
        <v>4</v>
      </c>
      <c r="V208" s="16">
        <v>0</v>
      </c>
      <c r="W208" s="16">
        <v>4</v>
      </c>
      <c r="X208" s="16">
        <v>1</v>
      </c>
      <c r="Y208" s="16">
        <v>0</v>
      </c>
      <c r="Z208" s="16">
        <v>2</v>
      </c>
      <c r="AA208" s="16">
        <v>2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3">
        <f t="shared" si="375"/>
        <v>26</v>
      </c>
      <c r="AI208" s="31"/>
      <c r="AJ208" s="31"/>
    </row>
    <row r="209" spans="1:36" ht="12.75" customHeight="1" x14ac:dyDescent="0.3">
      <c r="A209" s="15"/>
      <c r="B209" s="34"/>
      <c r="C209" s="29" t="s">
        <v>161</v>
      </c>
      <c r="D209" s="36"/>
      <c r="E209" s="16">
        <v>1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1</v>
      </c>
      <c r="W209" s="16">
        <v>1</v>
      </c>
      <c r="X209" s="16">
        <v>0</v>
      </c>
      <c r="Y209" s="16">
        <v>0</v>
      </c>
      <c r="Z209" s="16">
        <v>1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3">
        <f t="shared" si="375"/>
        <v>4</v>
      </c>
      <c r="AI209" s="31"/>
      <c r="AJ209" s="31"/>
    </row>
    <row r="210" spans="1:36" ht="12.75" customHeight="1" x14ac:dyDescent="0.3">
      <c r="A210" s="15"/>
      <c r="B210" s="34"/>
      <c r="C210" s="29" t="s">
        <v>162</v>
      </c>
      <c r="D210" s="36"/>
      <c r="E210" s="16">
        <v>0</v>
      </c>
      <c r="F210" s="16">
        <v>1</v>
      </c>
      <c r="G210" s="16">
        <v>1</v>
      </c>
      <c r="H210" s="16">
        <v>1</v>
      </c>
      <c r="I210" s="16">
        <v>0</v>
      </c>
      <c r="J210" s="16">
        <v>0</v>
      </c>
      <c r="K210" s="16">
        <v>0</v>
      </c>
      <c r="L210" s="16">
        <v>0</v>
      </c>
      <c r="M210" s="16">
        <v>3</v>
      </c>
      <c r="N210" s="16">
        <v>1</v>
      </c>
      <c r="O210" s="16">
        <v>1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2</v>
      </c>
      <c r="V210" s="16">
        <v>2</v>
      </c>
      <c r="W210" s="16">
        <v>6</v>
      </c>
      <c r="X210" s="16">
        <v>0</v>
      </c>
      <c r="Y210" s="16">
        <v>3</v>
      </c>
      <c r="Z210" s="16">
        <v>1</v>
      </c>
      <c r="AA210" s="16">
        <v>1</v>
      </c>
      <c r="AB210" s="16">
        <v>0</v>
      </c>
      <c r="AC210" s="16">
        <v>1</v>
      </c>
      <c r="AD210" s="16">
        <v>0</v>
      </c>
      <c r="AE210" s="16">
        <v>0</v>
      </c>
      <c r="AF210" s="16">
        <v>0</v>
      </c>
      <c r="AG210" s="16">
        <v>0</v>
      </c>
      <c r="AH210" s="13">
        <f t="shared" si="375"/>
        <v>24</v>
      </c>
      <c r="AI210" s="31"/>
      <c r="AJ210" s="31"/>
    </row>
    <row r="211" spans="1:36" ht="12.75" customHeight="1" x14ac:dyDescent="0.3">
      <c r="A211" s="16" t="s">
        <v>15</v>
      </c>
      <c r="B211" s="60" t="s">
        <v>49</v>
      </c>
      <c r="C211" s="61"/>
      <c r="D211" s="59"/>
      <c r="E211" s="13">
        <f>SUM(E201:E210)</f>
        <v>17</v>
      </c>
      <c r="F211" s="13">
        <f t="shared" ref="F211" si="376">SUM(F201:F210)</f>
        <v>12</v>
      </c>
      <c r="G211" s="13">
        <f t="shared" ref="G211" si="377">SUM(G201:G210)</f>
        <v>11</v>
      </c>
      <c r="H211" s="13">
        <f t="shared" ref="H211" si="378">SUM(H201:H210)</f>
        <v>18</v>
      </c>
      <c r="I211" s="13">
        <f t="shared" ref="I211" si="379">SUM(I201:I210)</f>
        <v>18</v>
      </c>
      <c r="J211" s="13">
        <f t="shared" ref="J211" si="380">SUM(J201:J210)</f>
        <v>49</v>
      </c>
      <c r="K211" s="13">
        <f t="shared" ref="K211" si="381">SUM(K201:K210)</f>
        <v>11</v>
      </c>
      <c r="L211" s="13">
        <f t="shared" ref="L211" si="382">SUM(L201:L210)</f>
        <v>16</v>
      </c>
      <c r="M211" s="13">
        <f t="shared" ref="M211" si="383">SUM(M201:M210)</f>
        <v>55</v>
      </c>
      <c r="N211" s="13">
        <f t="shared" ref="N211" si="384">SUM(N201:N210)</f>
        <v>26</v>
      </c>
      <c r="O211" s="13">
        <f t="shared" ref="O211" si="385">SUM(O201:O210)</f>
        <v>22</v>
      </c>
      <c r="P211" s="13">
        <f t="shared" ref="P211" si="386">SUM(P201:P210)</f>
        <v>16</v>
      </c>
      <c r="Q211" s="13">
        <f t="shared" ref="Q211" si="387">SUM(Q201:Q210)</f>
        <v>10</v>
      </c>
      <c r="R211" s="13">
        <f t="shared" ref="R211" si="388">SUM(R201:R210)</f>
        <v>16</v>
      </c>
      <c r="S211" s="13">
        <f t="shared" ref="S211" si="389">SUM(S201:S210)</f>
        <v>10</v>
      </c>
      <c r="T211" s="13">
        <f t="shared" ref="T211" si="390">SUM(T201:T210)</f>
        <v>14</v>
      </c>
      <c r="U211" s="13">
        <f t="shared" ref="U211" si="391">SUM(U201:U210)</f>
        <v>17</v>
      </c>
      <c r="V211" s="13">
        <f t="shared" ref="V211" si="392">SUM(V201:V210)</f>
        <v>40</v>
      </c>
      <c r="W211" s="13">
        <f t="shared" ref="W211" si="393">SUM(W201:W210)</f>
        <v>49</v>
      </c>
      <c r="X211" s="13">
        <f t="shared" ref="X211" si="394">SUM(X201:X210)</f>
        <v>16</v>
      </c>
      <c r="Y211" s="13">
        <f t="shared" ref="Y211" si="395">SUM(Y201:Y210)</f>
        <v>17</v>
      </c>
      <c r="Z211" s="13">
        <f t="shared" ref="Z211" si="396">SUM(Z201:Z210)</f>
        <v>23</v>
      </c>
      <c r="AA211" s="13">
        <f t="shared" ref="AA211" si="397">SUM(AA201:AA210)</f>
        <v>13</v>
      </c>
      <c r="AB211" s="13">
        <f t="shared" ref="AB211" si="398">SUM(AB201:AB210)</f>
        <v>6</v>
      </c>
      <c r="AC211" s="13">
        <f t="shared" ref="AC211" si="399">SUM(AC201:AC210)</f>
        <v>8</v>
      </c>
      <c r="AD211" s="13">
        <f t="shared" ref="AD211" si="400">SUM(AD201:AD210)</f>
        <v>11</v>
      </c>
      <c r="AE211" s="13">
        <f t="shared" ref="AE211" si="401">SUM(AE201:AE210)</f>
        <v>7</v>
      </c>
      <c r="AF211" s="13">
        <f t="shared" ref="AF211" si="402">SUM(AF201:AF210)</f>
        <v>9</v>
      </c>
      <c r="AG211" s="13">
        <f t="shared" ref="AG211" si="403">SUM(AG201:AG210)</f>
        <v>5</v>
      </c>
      <c r="AH211" s="13">
        <f t="shared" ref="AH211" si="404">SUM(AH201:AH210)</f>
        <v>542</v>
      </c>
      <c r="AI211" s="5"/>
      <c r="AJ211" s="5"/>
    </row>
    <row r="212" spans="1:36" ht="12.75" customHeight="1" x14ac:dyDescent="0.3">
      <c r="A212" s="62"/>
      <c r="B212" s="61"/>
      <c r="C212" s="61"/>
      <c r="D212" s="61"/>
      <c r="E212" s="59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"/>
      <c r="AJ212" s="5"/>
    </row>
    <row r="213" spans="1:36" ht="12.75" customHeight="1" x14ac:dyDescent="0.3">
      <c r="A213" s="20" t="s">
        <v>37</v>
      </c>
      <c r="B213" s="27" t="s">
        <v>163</v>
      </c>
      <c r="C213" s="58" t="s">
        <v>164</v>
      </c>
      <c r="D213" s="59"/>
      <c r="E213" s="16">
        <v>3</v>
      </c>
      <c r="F213" s="16">
        <v>1</v>
      </c>
      <c r="G213" s="16">
        <v>0</v>
      </c>
      <c r="H213" s="16">
        <v>1</v>
      </c>
      <c r="I213" s="16">
        <v>2</v>
      </c>
      <c r="J213" s="16">
        <v>2</v>
      </c>
      <c r="K213" s="16">
        <v>5</v>
      </c>
      <c r="L213" s="16">
        <v>0</v>
      </c>
      <c r="M213" s="16">
        <v>1</v>
      </c>
      <c r="N213" s="16">
        <v>2</v>
      </c>
      <c r="O213" s="16">
        <v>3</v>
      </c>
      <c r="P213" s="16">
        <v>1</v>
      </c>
      <c r="Q213" s="16">
        <v>2</v>
      </c>
      <c r="R213" s="16">
        <v>0</v>
      </c>
      <c r="S213" s="16">
        <v>3</v>
      </c>
      <c r="T213" s="16">
        <v>1</v>
      </c>
      <c r="U213" s="16">
        <v>3</v>
      </c>
      <c r="V213" s="16">
        <v>3</v>
      </c>
      <c r="W213" s="16">
        <v>0</v>
      </c>
      <c r="X213" s="16">
        <v>3</v>
      </c>
      <c r="Y213" s="16">
        <v>0</v>
      </c>
      <c r="Z213" s="16">
        <v>3</v>
      </c>
      <c r="AA213" s="16">
        <v>0</v>
      </c>
      <c r="AB213" s="16">
        <v>0</v>
      </c>
      <c r="AC213" s="16">
        <v>2</v>
      </c>
      <c r="AD213" s="16">
        <v>2</v>
      </c>
      <c r="AE213" s="16">
        <v>0</v>
      </c>
      <c r="AF213" s="16">
        <v>2</v>
      </c>
      <c r="AG213" s="16">
        <v>0</v>
      </c>
      <c r="AH213" s="13">
        <f t="shared" ref="AH213:AH216" si="405">SUM(E213:AG213)</f>
        <v>45</v>
      </c>
      <c r="AI213" s="5"/>
      <c r="AJ213" s="5"/>
    </row>
    <row r="214" spans="1:36" ht="12.75" customHeight="1" x14ac:dyDescent="0.3">
      <c r="A214" s="20" t="s">
        <v>39</v>
      </c>
      <c r="B214" s="34"/>
      <c r="C214" s="29" t="s">
        <v>165</v>
      </c>
      <c r="D214" s="35"/>
      <c r="E214" s="16">
        <v>1</v>
      </c>
      <c r="F214" s="16">
        <v>2</v>
      </c>
      <c r="G214" s="16">
        <v>3</v>
      </c>
      <c r="H214" s="16">
        <v>0</v>
      </c>
      <c r="I214" s="16">
        <v>1</v>
      </c>
      <c r="J214" s="16">
        <v>1</v>
      </c>
      <c r="K214" s="16">
        <v>5</v>
      </c>
      <c r="L214" s="16">
        <v>0</v>
      </c>
      <c r="M214" s="16">
        <v>0</v>
      </c>
      <c r="N214" s="16">
        <v>1</v>
      </c>
      <c r="O214" s="16">
        <v>0</v>
      </c>
      <c r="P214" s="16">
        <v>2</v>
      </c>
      <c r="Q214" s="16">
        <v>1</v>
      </c>
      <c r="R214" s="16">
        <v>0</v>
      </c>
      <c r="S214" s="16">
        <v>1</v>
      </c>
      <c r="T214" s="16">
        <v>2</v>
      </c>
      <c r="U214" s="16">
        <v>1</v>
      </c>
      <c r="V214" s="16">
        <v>2</v>
      </c>
      <c r="W214" s="16">
        <v>2</v>
      </c>
      <c r="X214" s="16">
        <v>0</v>
      </c>
      <c r="Y214" s="16">
        <v>1</v>
      </c>
      <c r="Z214" s="16">
        <v>3</v>
      </c>
      <c r="AA214" s="16">
        <v>2</v>
      </c>
      <c r="AB214" s="16">
        <v>0</v>
      </c>
      <c r="AC214" s="16">
        <v>0</v>
      </c>
      <c r="AD214" s="16">
        <v>0</v>
      </c>
      <c r="AE214" s="16">
        <v>0</v>
      </c>
      <c r="AF214" s="16">
        <v>5</v>
      </c>
      <c r="AG214" s="16">
        <v>2</v>
      </c>
      <c r="AH214" s="13">
        <f t="shared" si="405"/>
        <v>38</v>
      </c>
      <c r="AI214" s="5"/>
      <c r="AJ214" s="5"/>
    </row>
    <row r="215" spans="1:36" ht="12.75" customHeight="1" x14ac:dyDescent="0.3">
      <c r="A215" s="15"/>
      <c r="B215" s="34"/>
      <c r="C215" s="29" t="s">
        <v>166</v>
      </c>
      <c r="D215" s="35"/>
      <c r="E215" s="16">
        <v>0</v>
      </c>
      <c r="F215" s="16">
        <v>0</v>
      </c>
      <c r="G215" s="16">
        <v>2</v>
      </c>
      <c r="H215" s="16">
        <v>0</v>
      </c>
      <c r="I215" s="16">
        <v>0</v>
      </c>
      <c r="J215" s="16">
        <v>1</v>
      </c>
      <c r="K215" s="16">
        <v>3</v>
      </c>
      <c r="L215" s="16">
        <v>1</v>
      </c>
      <c r="M215" s="16">
        <v>0</v>
      </c>
      <c r="N215" s="16">
        <v>0</v>
      </c>
      <c r="O215" s="16">
        <v>0</v>
      </c>
      <c r="P215" s="16">
        <v>0</v>
      </c>
      <c r="Q215" s="16">
        <v>2</v>
      </c>
      <c r="R215" s="16">
        <v>0</v>
      </c>
      <c r="S215" s="16">
        <v>3</v>
      </c>
      <c r="T215" s="16">
        <v>0</v>
      </c>
      <c r="U215" s="16">
        <v>2</v>
      </c>
      <c r="V215" s="16">
        <v>1</v>
      </c>
      <c r="W215" s="16">
        <v>3</v>
      </c>
      <c r="X215" s="16">
        <v>1</v>
      </c>
      <c r="Y215" s="16">
        <v>0</v>
      </c>
      <c r="Z215" s="16">
        <v>3</v>
      </c>
      <c r="AA215" s="16">
        <v>2</v>
      </c>
      <c r="AB215" s="16">
        <v>0</v>
      </c>
      <c r="AC215" s="16">
        <v>3</v>
      </c>
      <c r="AD215" s="16">
        <v>2</v>
      </c>
      <c r="AE215" s="16">
        <v>0</v>
      </c>
      <c r="AF215" s="16">
        <v>1</v>
      </c>
      <c r="AG215" s="16">
        <v>1</v>
      </c>
      <c r="AH215" s="13">
        <f t="shared" si="405"/>
        <v>31</v>
      </c>
      <c r="AI215" s="5"/>
      <c r="AJ215" s="5"/>
    </row>
    <row r="216" spans="1:36" ht="12.75" customHeight="1" x14ac:dyDescent="0.3">
      <c r="A216" s="15"/>
      <c r="B216" s="34"/>
      <c r="C216" s="29" t="s">
        <v>167</v>
      </c>
      <c r="D216" s="45"/>
      <c r="E216" s="16">
        <v>1</v>
      </c>
      <c r="F216" s="16">
        <v>0</v>
      </c>
      <c r="G216" s="16">
        <v>0</v>
      </c>
      <c r="H216" s="16">
        <v>0</v>
      </c>
      <c r="I216" s="16">
        <v>0</v>
      </c>
      <c r="J216" s="16">
        <v>1</v>
      </c>
      <c r="K216" s="16">
        <v>0</v>
      </c>
      <c r="L216" s="16">
        <v>2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2</v>
      </c>
      <c r="X216" s="16">
        <v>1</v>
      </c>
      <c r="Y216" s="16">
        <v>0</v>
      </c>
      <c r="Z216" s="16">
        <v>0</v>
      </c>
      <c r="AA216" s="16">
        <v>1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0</v>
      </c>
      <c r="AH216" s="13">
        <f t="shared" si="405"/>
        <v>8</v>
      </c>
      <c r="AI216" s="5"/>
      <c r="AJ216" s="5"/>
    </row>
    <row r="217" spans="1:36" ht="12.75" customHeight="1" x14ac:dyDescent="0.3">
      <c r="A217" s="15"/>
      <c r="B217" s="37"/>
      <c r="C217" s="38"/>
      <c r="D217" s="4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56"/>
      <c r="AI217" s="5"/>
      <c r="AJ217" s="5"/>
    </row>
    <row r="218" spans="1:36" ht="12.75" customHeight="1" x14ac:dyDescent="0.3">
      <c r="A218" s="15"/>
      <c r="B218" s="37"/>
      <c r="C218" s="38"/>
      <c r="D218" s="4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56"/>
      <c r="AI218" s="1"/>
      <c r="AJ218" s="1"/>
    </row>
    <row r="219" spans="1:36" ht="12.75" customHeight="1" x14ac:dyDescent="0.3">
      <c r="A219" s="15"/>
      <c r="B219" s="37"/>
      <c r="C219" s="38"/>
      <c r="D219" s="4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56"/>
      <c r="AI219" s="31"/>
      <c r="AJ219" s="31"/>
    </row>
    <row r="220" spans="1:36" ht="12.75" customHeight="1" x14ac:dyDescent="0.3">
      <c r="A220" s="15"/>
      <c r="B220" s="37"/>
      <c r="C220" s="38"/>
      <c r="D220" s="4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56"/>
      <c r="AI220" s="5"/>
      <c r="AJ220" s="5"/>
    </row>
    <row r="221" spans="1:36" ht="12.75" customHeight="1" x14ac:dyDescent="0.3">
      <c r="A221" s="15"/>
      <c r="B221" s="37"/>
      <c r="C221" s="38"/>
      <c r="D221" s="4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56"/>
      <c r="AI221" s="5"/>
      <c r="AJ221" s="5"/>
    </row>
    <row r="222" spans="1:36" ht="12.75" customHeight="1" x14ac:dyDescent="0.3">
      <c r="A222" s="15"/>
      <c r="B222" s="37"/>
      <c r="C222" s="38"/>
      <c r="D222" s="4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56"/>
      <c r="AI222" s="5"/>
      <c r="AJ222" s="5"/>
    </row>
    <row r="223" spans="1:36" ht="12.75" customHeight="1" x14ac:dyDescent="0.3">
      <c r="A223" s="16" t="s">
        <v>15</v>
      </c>
      <c r="B223" s="60" t="s">
        <v>49</v>
      </c>
      <c r="C223" s="61"/>
      <c r="D223" s="59"/>
      <c r="E223" s="13">
        <f>SUM(E213:E222)</f>
        <v>5</v>
      </c>
      <c r="F223" s="13">
        <f t="shared" ref="F223" si="406">SUM(F213:F222)</f>
        <v>3</v>
      </c>
      <c r="G223" s="13">
        <f t="shared" ref="G223" si="407">SUM(G213:G222)</f>
        <v>5</v>
      </c>
      <c r="H223" s="13">
        <f t="shared" ref="H223" si="408">SUM(H213:H222)</f>
        <v>1</v>
      </c>
      <c r="I223" s="13">
        <f t="shared" ref="I223" si="409">SUM(I213:I222)</f>
        <v>3</v>
      </c>
      <c r="J223" s="13">
        <f t="shared" ref="J223" si="410">SUM(J213:J222)</f>
        <v>5</v>
      </c>
      <c r="K223" s="13">
        <f t="shared" ref="K223" si="411">SUM(K213:K222)</f>
        <v>13</v>
      </c>
      <c r="L223" s="13">
        <f t="shared" ref="L223" si="412">SUM(L213:L222)</f>
        <v>3</v>
      </c>
      <c r="M223" s="13">
        <f t="shared" ref="M223" si="413">SUM(M213:M222)</f>
        <v>1</v>
      </c>
      <c r="N223" s="13">
        <f t="shared" ref="N223" si="414">SUM(N213:N222)</f>
        <v>3</v>
      </c>
      <c r="O223" s="13">
        <f t="shared" ref="O223" si="415">SUM(O213:O222)</f>
        <v>3</v>
      </c>
      <c r="P223" s="13">
        <f t="shared" ref="P223" si="416">SUM(P213:P222)</f>
        <v>3</v>
      </c>
      <c r="Q223" s="13">
        <f t="shared" ref="Q223" si="417">SUM(Q213:Q222)</f>
        <v>5</v>
      </c>
      <c r="R223" s="13">
        <f t="shared" ref="R223" si="418">SUM(R213:R222)</f>
        <v>0</v>
      </c>
      <c r="S223" s="13">
        <f t="shared" ref="S223" si="419">SUM(S213:S222)</f>
        <v>7</v>
      </c>
      <c r="T223" s="13">
        <f t="shared" ref="T223" si="420">SUM(T213:T222)</f>
        <v>3</v>
      </c>
      <c r="U223" s="13">
        <f t="shared" ref="U223" si="421">SUM(U213:U222)</f>
        <v>6</v>
      </c>
      <c r="V223" s="13">
        <f t="shared" ref="V223" si="422">SUM(V213:V222)</f>
        <v>6</v>
      </c>
      <c r="W223" s="13">
        <f t="shared" ref="W223" si="423">SUM(W213:W222)</f>
        <v>7</v>
      </c>
      <c r="X223" s="13">
        <f t="shared" ref="X223" si="424">SUM(X213:X222)</f>
        <v>5</v>
      </c>
      <c r="Y223" s="13">
        <f t="shared" ref="Y223" si="425">SUM(Y213:Y222)</f>
        <v>1</v>
      </c>
      <c r="Z223" s="13">
        <f t="shared" ref="Z223" si="426">SUM(Z213:Z222)</f>
        <v>9</v>
      </c>
      <c r="AA223" s="13">
        <f t="shared" ref="AA223" si="427">SUM(AA213:AA222)</f>
        <v>5</v>
      </c>
      <c r="AB223" s="13">
        <f t="shared" ref="AB223" si="428">SUM(AB213:AB222)</f>
        <v>0</v>
      </c>
      <c r="AC223" s="13">
        <f t="shared" ref="AC223" si="429">SUM(AC213:AC222)</f>
        <v>5</v>
      </c>
      <c r="AD223" s="13">
        <f t="shared" ref="AD223" si="430">SUM(AD213:AD222)</f>
        <v>4</v>
      </c>
      <c r="AE223" s="13">
        <f t="shared" ref="AE223" si="431">SUM(AE213:AE222)</f>
        <v>0</v>
      </c>
      <c r="AF223" s="13">
        <f t="shared" ref="AF223" si="432">SUM(AF213:AF222)</f>
        <v>8</v>
      </c>
      <c r="AG223" s="13">
        <f t="shared" ref="AG223" si="433">SUM(AG213:AG222)</f>
        <v>3</v>
      </c>
      <c r="AH223" s="13">
        <f t="shared" ref="AH223" si="434">SUM(AH213:AH222)</f>
        <v>122</v>
      </c>
      <c r="AI223" s="5"/>
      <c r="AJ223" s="5"/>
    </row>
    <row r="224" spans="1:36" ht="12.75" customHeight="1" x14ac:dyDescent="0.3">
      <c r="A224" s="62"/>
      <c r="B224" s="61"/>
      <c r="C224" s="61"/>
      <c r="D224" s="61"/>
      <c r="E224" s="59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"/>
      <c r="AJ224" s="5"/>
    </row>
    <row r="225" spans="1:36" ht="12.75" customHeight="1" x14ac:dyDescent="0.3">
      <c r="A225" s="20" t="s">
        <v>37</v>
      </c>
      <c r="B225" s="27" t="s">
        <v>168</v>
      </c>
      <c r="C225" s="58" t="s">
        <v>169</v>
      </c>
      <c r="D225" s="59"/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1</v>
      </c>
      <c r="Q225" s="16">
        <v>1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1</v>
      </c>
      <c r="AD225" s="16">
        <v>0</v>
      </c>
      <c r="AE225" s="16">
        <v>0</v>
      </c>
      <c r="AF225" s="16">
        <v>0</v>
      </c>
      <c r="AG225" s="16">
        <v>0</v>
      </c>
      <c r="AH225" s="13">
        <f t="shared" ref="AH225:AH229" si="435">SUM(E225:AG225)</f>
        <v>3</v>
      </c>
      <c r="AI225" s="5"/>
      <c r="AJ225" s="5"/>
    </row>
    <row r="226" spans="1:36" ht="12.75" customHeight="1" x14ac:dyDescent="0.3">
      <c r="A226" s="20" t="s">
        <v>39</v>
      </c>
      <c r="B226" s="34"/>
      <c r="C226" s="29" t="s">
        <v>170</v>
      </c>
      <c r="D226" s="36"/>
      <c r="E226" s="16">
        <v>5</v>
      </c>
      <c r="F226" s="16">
        <v>0</v>
      </c>
      <c r="G226" s="16">
        <v>0</v>
      </c>
      <c r="H226" s="16">
        <v>2</v>
      </c>
      <c r="I226" s="16">
        <v>0</v>
      </c>
      <c r="J226" s="16">
        <v>0</v>
      </c>
      <c r="K226" s="16">
        <v>0</v>
      </c>
      <c r="L226" s="16">
        <v>1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2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4</v>
      </c>
      <c r="AD226" s="16">
        <v>0</v>
      </c>
      <c r="AE226" s="16">
        <v>0</v>
      </c>
      <c r="AF226" s="16">
        <v>0</v>
      </c>
      <c r="AG226" s="16">
        <v>0</v>
      </c>
      <c r="AH226" s="13">
        <f t="shared" si="435"/>
        <v>14</v>
      </c>
      <c r="AI226" s="5"/>
      <c r="AJ226" s="5"/>
    </row>
    <row r="227" spans="1:36" ht="12.75" customHeight="1" x14ac:dyDescent="0.3">
      <c r="A227" s="15"/>
      <c r="B227" s="34"/>
      <c r="C227" s="29" t="s">
        <v>171</v>
      </c>
      <c r="D227" s="36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1</v>
      </c>
      <c r="V227" s="16">
        <v>0</v>
      </c>
      <c r="W227" s="16">
        <v>0</v>
      </c>
      <c r="X227" s="16">
        <v>0</v>
      </c>
      <c r="Y227" s="16">
        <v>0</v>
      </c>
      <c r="Z227" s="16">
        <v>1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3">
        <f t="shared" si="435"/>
        <v>2</v>
      </c>
      <c r="AI227" s="5"/>
      <c r="AJ227" s="5"/>
    </row>
    <row r="228" spans="1:36" ht="12.75" customHeight="1" x14ac:dyDescent="0.3">
      <c r="A228" s="15"/>
      <c r="B228" s="34"/>
      <c r="C228" s="29" t="s">
        <v>172</v>
      </c>
      <c r="D228" s="36"/>
      <c r="E228" s="16">
        <v>1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1</v>
      </c>
      <c r="AE228" s="16">
        <v>0</v>
      </c>
      <c r="AF228" s="16">
        <v>0</v>
      </c>
      <c r="AG228" s="16">
        <v>0</v>
      </c>
      <c r="AH228" s="13">
        <f t="shared" si="435"/>
        <v>2</v>
      </c>
      <c r="AI228" s="5"/>
      <c r="AJ228" s="5"/>
    </row>
    <row r="229" spans="1:36" ht="12.75" customHeight="1" x14ac:dyDescent="0.3">
      <c r="A229" s="15"/>
      <c r="B229" s="34"/>
      <c r="C229" s="29" t="s">
        <v>173</v>
      </c>
      <c r="D229" s="36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3">
        <f t="shared" si="435"/>
        <v>0</v>
      </c>
      <c r="AI229" s="1"/>
      <c r="AJ229" s="1"/>
    </row>
    <row r="230" spans="1:36" ht="12.75" customHeight="1" x14ac:dyDescent="0.3">
      <c r="A230" s="15"/>
      <c r="B230" s="37"/>
      <c r="C230" s="38"/>
      <c r="D230" s="39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56"/>
      <c r="AI230" s="31"/>
      <c r="AJ230" s="31"/>
    </row>
    <row r="231" spans="1:36" ht="12.75" customHeight="1" x14ac:dyDescent="0.3">
      <c r="A231" s="15"/>
      <c r="B231" s="37"/>
      <c r="C231" s="38"/>
      <c r="D231" s="39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56"/>
      <c r="AI231" s="5"/>
      <c r="AJ231" s="5"/>
    </row>
    <row r="232" spans="1:36" ht="12.75" customHeight="1" x14ac:dyDescent="0.3">
      <c r="A232" s="15"/>
      <c r="B232" s="37"/>
      <c r="C232" s="38"/>
      <c r="D232" s="39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56"/>
      <c r="AI232" s="5"/>
      <c r="AJ232" s="5"/>
    </row>
    <row r="233" spans="1:36" ht="12.75" customHeight="1" x14ac:dyDescent="0.3">
      <c r="A233" s="15"/>
      <c r="B233" s="37"/>
      <c r="C233" s="38"/>
      <c r="D233" s="39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56"/>
      <c r="AI233" s="5"/>
      <c r="AJ233" s="5"/>
    </row>
    <row r="234" spans="1:36" ht="12.75" customHeight="1" x14ac:dyDescent="0.3">
      <c r="A234" s="15"/>
      <c r="B234" s="37"/>
      <c r="C234" s="38"/>
      <c r="D234" s="39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56"/>
      <c r="AI234" s="5"/>
      <c r="AJ234" s="5"/>
    </row>
    <row r="235" spans="1:36" ht="12.75" customHeight="1" x14ac:dyDescent="0.3">
      <c r="A235" s="16" t="s">
        <v>15</v>
      </c>
      <c r="B235" s="60" t="s">
        <v>49</v>
      </c>
      <c r="C235" s="61"/>
      <c r="D235" s="59"/>
      <c r="E235" s="13">
        <f>SUM(E225:E234)</f>
        <v>6</v>
      </c>
      <c r="F235" s="13">
        <f t="shared" ref="F235" si="436">SUM(F225:F234)</f>
        <v>0</v>
      </c>
      <c r="G235" s="13">
        <f t="shared" ref="G235" si="437">SUM(G225:G234)</f>
        <v>0</v>
      </c>
      <c r="H235" s="13">
        <f t="shared" ref="H235" si="438">SUM(H225:H234)</f>
        <v>2</v>
      </c>
      <c r="I235" s="13">
        <f t="shared" ref="I235" si="439">SUM(I225:I234)</f>
        <v>0</v>
      </c>
      <c r="J235" s="13">
        <f t="shared" ref="J235" si="440">SUM(J225:J234)</f>
        <v>0</v>
      </c>
      <c r="K235" s="13">
        <f t="shared" ref="K235" si="441">SUM(K225:K234)</f>
        <v>0</v>
      </c>
      <c r="L235" s="13">
        <f t="shared" ref="L235" si="442">SUM(L225:L234)</f>
        <v>1</v>
      </c>
      <c r="M235" s="13">
        <f t="shared" ref="M235" si="443">SUM(M225:M234)</f>
        <v>0</v>
      </c>
      <c r="N235" s="13">
        <f t="shared" ref="N235" si="444">SUM(N225:N234)</f>
        <v>0</v>
      </c>
      <c r="O235" s="13">
        <f t="shared" ref="O235" si="445">SUM(O225:O234)</f>
        <v>0</v>
      </c>
      <c r="P235" s="13">
        <f t="shared" ref="P235" si="446">SUM(P225:P234)</f>
        <v>1</v>
      </c>
      <c r="Q235" s="13">
        <f t="shared" ref="Q235" si="447">SUM(Q225:Q234)</f>
        <v>1</v>
      </c>
      <c r="R235" s="13">
        <f t="shared" ref="R235" si="448">SUM(R225:R234)</f>
        <v>0</v>
      </c>
      <c r="S235" s="13">
        <f t="shared" ref="S235" si="449">SUM(S225:S234)</f>
        <v>0</v>
      </c>
      <c r="T235" s="13">
        <f t="shared" ref="T235" si="450">SUM(T225:T234)</f>
        <v>0</v>
      </c>
      <c r="U235" s="13">
        <f t="shared" ref="U235" si="451">SUM(U225:U234)</f>
        <v>1</v>
      </c>
      <c r="V235" s="13">
        <f t="shared" ref="V235" si="452">SUM(V225:V234)</f>
        <v>2</v>
      </c>
      <c r="W235" s="13">
        <f t="shared" ref="W235" si="453">SUM(W225:W234)</f>
        <v>0</v>
      </c>
      <c r="X235" s="13">
        <f t="shared" ref="X235" si="454">SUM(X225:X234)</f>
        <v>0</v>
      </c>
      <c r="Y235" s="13">
        <f t="shared" ref="Y235" si="455">SUM(Y225:Y234)</f>
        <v>0</v>
      </c>
      <c r="Z235" s="13">
        <f t="shared" ref="Z235" si="456">SUM(Z225:Z234)</f>
        <v>1</v>
      </c>
      <c r="AA235" s="13">
        <f t="shared" ref="AA235" si="457">SUM(AA225:AA234)</f>
        <v>0</v>
      </c>
      <c r="AB235" s="13">
        <f t="shared" ref="AB235" si="458">SUM(AB225:AB234)</f>
        <v>0</v>
      </c>
      <c r="AC235" s="13">
        <f t="shared" ref="AC235" si="459">SUM(AC225:AC234)</f>
        <v>5</v>
      </c>
      <c r="AD235" s="13">
        <f t="shared" ref="AD235" si="460">SUM(AD225:AD234)</f>
        <v>1</v>
      </c>
      <c r="AE235" s="13">
        <f t="shared" ref="AE235" si="461">SUM(AE225:AE234)</f>
        <v>0</v>
      </c>
      <c r="AF235" s="13">
        <f t="shared" ref="AF235" si="462">SUM(AF225:AF234)</f>
        <v>0</v>
      </c>
      <c r="AG235" s="13">
        <f t="shared" ref="AG235" si="463">SUM(AG225:AG234)</f>
        <v>0</v>
      </c>
      <c r="AH235" s="13">
        <f t="shared" ref="AH235" si="464">SUM(AH225:AH234)</f>
        <v>21</v>
      </c>
      <c r="AI235" s="5"/>
      <c r="AJ235" s="5"/>
    </row>
    <row r="236" spans="1:36" ht="12.75" customHeight="1" x14ac:dyDescent="0.3">
      <c r="A236" s="62"/>
      <c r="B236" s="61"/>
      <c r="C236" s="61"/>
      <c r="D236" s="61"/>
      <c r="E236" s="59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"/>
      <c r="AJ236" s="5"/>
    </row>
    <row r="237" spans="1:36" ht="12.75" customHeight="1" x14ac:dyDescent="0.3">
      <c r="A237" s="20" t="s">
        <v>37</v>
      </c>
      <c r="B237" s="27" t="s">
        <v>174</v>
      </c>
      <c r="C237" s="58" t="s">
        <v>175</v>
      </c>
      <c r="D237" s="59"/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2</v>
      </c>
      <c r="K237" s="16">
        <v>1</v>
      </c>
      <c r="L237" s="16">
        <v>0</v>
      </c>
      <c r="M237" s="16">
        <v>1</v>
      </c>
      <c r="N237" s="16">
        <v>1</v>
      </c>
      <c r="O237" s="16">
        <v>0</v>
      </c>
      <c r="P237" s="16">
        <v>0</v>
      </c>
      <c r="Q237" s="16">
        <v>2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1</v>
      </c>
      <c r="Z237" s="16">
        <v>1</v>
      </c>
      <c r="AA237" s="16">
        <v>0</v>
      </c>
      <c r="AB237" s="16">
        <v>0</v>
      </c>
      <c r="AC237" s="16">
        <v>0</v>
      </c>
      <c r="AD237" s="16">
        <v>1</v>
      </c>
      <c r="AE237" s="16">
        <v>0</v>
      </c>
      <c r="AF237" s="16">
        <v>0</v>
      </c>
      <c r="AG237" s="16">
        <v>0</v>
      </c>
      <c r="AH237" s="13">
        <f t="shared" ref="AH237:AH246" si="465">SUM(E237:AG237)</f>
        <v>10</v>
      </c>
      <c r="AI237" s="5"/>
      <c r="AJ237" s="5"/>
    </row>
    <row r="238" spans="1:36" ht="12.75" customHeight="1" x14ac:dyDescent="0.3">
      <c r="A238" s="20" t="s">
        <v>39</v>
      </c>
      <c r="B238" s="34"/>
      <c r="C238" s="29" t="s">
        <v>176</v>
      </c>
      <c r="D238" s="36"/>
      <c r="E238" s="16">
        <v>0</v>
      </c>
      <c r="F238" s="16">
        <v>0</v>
      </c>
      <c r="G238" s="16">
        <v>1</v>
      </c>
      <c r="H238" s="16">
        <v>0</v>
      </c>
      <c r="I238" s="16">
        <v>1</v>
      </c>
      <c r="J238" s="16">
        <v>2</v>
      </c>
      <c r="K238" s="16">
        <v>0</v>
      </c>
      <c r="L238" s="16">
        <v>0</v>
      </c>
      <c r="M238" s="16">
        <v>0</v>
      </c>
      <c r="N238" s="16">
        <v>1</v>
      </c>
      <c r="O238" s="16">
        <v>2</v>
      </c>
      <c r="P238" s="16">
        <v>0</v>
      </c>
      <c r="Q238" s="16">
        <v>2</v>
      </c>
      <c r="R238" s="16">
        <v>4</v>
      </c>
      <c r="S238" s="16">
        <v>0</v>
      </c>
      <c r="T238" s="16">
        <v>0</v>
      </c>
      <c r="U238" s="16">
        <v>0</v>
      </c>
      <c r="V238" s="16">
        <v>1</v>
      </c>
      <c r="W238" s="16">
        <v>0</v>
      </c>
      <c r="X238" s="16">
        <v>1</v>
      </c>
      <c r="Y238" s="16">
        <v>1</v>
      </c>
      <c r="Z238" s="16">
        <v>1</v>
      </c>
      <c r="AA238" s="16">
        <v>1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1</v>
      </c>
      <c r="AH238" s="13">
        <f t="shared" si="465"/>
        <v>19</v>
      </c>
      <c r="AI238" s="5"/>
      <c r="AJ238" s="5"/>
    </row>
    <row r="239" spans="1:36" ht="12.75" customHeight="1" x14ac:dyDescent="0.3">
      <c r="A239" s="15"/>
      <c r="B239" s="34"/>
      <c r="C239" s="29" t="s">
        <v>177</v>
      </c>
      <c r="D239" s="36"/>
      <c r="E239" s="16">
        <v>0</v>
      </c>
      <c r="F239" s="16">
        <v>1</v>
      </c>
      <c r="G239" s="16">
        <v>2</v>
      </c>
      <c r="H239" s="16">
        <v>0</v>
      </c>
      <c r="I239" s="16">
        <v>0</v>
      </c>
      <c r="J239" s="16">
        <v>1</v>
      </c>
      <c r="K239" s="16">
        <v>0</v>
      </c>
      <c r="L239" s="16">
        <v>0</v>
      </c>
      <c r="M239" s="16">
        <v>0</v>
      </c>
      <c r="N239" s="16">
        <v>0</v>
      </c>
      <c r="O239" s="16">
        <v>2</v>
      </c>
      <c r="P239" s="16">
        <v>3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1</v>
      </c>
      <c r="X239" s="16">
        <v>0</v>
      </c>
      <c r="Y239" s="16">
        <v>0</v>
      </c>
      <c r="Z239" s="16">
        <v>1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0</v>
      </c>
      <c r="AH239" s="13">
        <f t="shared" si="465"/>
        <v>11</v>
      </c>
      <c r="AI239" s="5"/>
      <c r="AJ239" s="5"/>
    </row>
    <row r="240" spans="1:36" ht="12.75" customHeight="1" x14ac:dyDescent="0.3">
      <c r="A240" s="15"/>
      <c r="B240" s="34"/>
      <c r="C240" s="29" t="s">
        <v>178</v>
      </c>
      <c r="D240" s="36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3">
        <f t="shared" si="465"/>
        <v>0</v>
      </c>
      <c r="AI240" s="1"/>
      <c r="AJ240" s="1"/>
    </row>
    <row r="241" spans="1:34" ht="12.75" customHeight="1" x14ac:dyDescent="0.3">
      <c r="A241" s="15"/>
      <c r="B241" s="34"/>
      <c r="C241" s="29" t="s">
        <v>179</v>
      </c>
      <c r="D241" s="36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1</v>
      </c>
      <c r="AF241" s="16">
        <v>0</v>
      </c>
      <c r="AG241" s="16">
        <v>0</v>
      </c>
      <c r="AH241" s="13">
        <f t="shared" si="465"/>
        <v>2</v>
      </c>
    </row>
    <row r="242" spans="1:34" ht="12.75" customHeight="1" x14ac:dyDescent="0.3">
      <c r="A242" s="15"/>
      <c r="B242" s="34"/>
      <c r="C242" s="29" t="s">
        <v>180</v>
      </c>
      <c r="D242" s="36"/>
      <c r="E242" s="16">
        <v>0</v>
      </c>
      <c r="F242" s="16">
        <v>0</v>
      </c>
      <c r="G242" s="16">
        <v>1</v>
      </c>
      <c r="H242" s="16">
        <v>0</v>
      </c>
      <c r="I242" s="16">
        <v>2</v>
      </c>
      <c r="J242" s="16">
        <v>4</v>
      </c>
      <c r="K242" s="16">
        <v>0</v>
      </c>
      <c r="L242" s="16">
        <v>0</v>
      </c>
      <c r="M242" s="16">
        <v>0</v>
      </c>
      <c r="N242" s="16">
        <v>0</v>
      </c>
      <c r="O242" s="16">
        <v>0</v>
      </c>
      <c r="P242" s="16">
        <v>1</v>
      </c>
      <c r="Q242" s="16">
        <v>0</v>
      </c>
      <c r="R242" s="16">
        <v>2</v>
      </c>
      <c r="S242" s="16">
        <v>1</v>
      </c>
      <c r="T242" s="16">
        <v>0</v>
      </c>
      <c r="U242" s="16">
        <v>0</v>
      </c>
      <c r="V242" s="16">
        <v>0</v>
      </c>
      <c r="W242" s="16">
        <v>0</v>
      </c>
      <c r="X242" s="16">
        <v>2</v>
      </c>
      <c r="Y242" s="16">
        <v>2</v>
      </c>
      <c r="Z242" s="16">
        <v>2</v>
      </c>
      <c r="AA242" s="16">
        <v>0</v>
      </c>
      <c r="AB242" s="16">
        <v>0</v>
      </c>
      <c r="AC242" s="16">
        <v>0</v>
      </c>
      <c r="AD242" s="16">
        <v>1</v>
      </c>
      <c r="AE242" s="16">
        <v>1</v>
      </c>
      <c r="AF242" s="16">
        <v>0</v>
      </c>
      <c r="AG242" s="16">
        <v>0</v>
      </c>
      <c r="AH242" s="13">
        <f t="shared" si="465"/>
        <v>19</v>
      </c>
    </row>
    <row r="243" spans="1:34" ht="12.75" customHeight="1" x14ac:dyDescent="0.3">
      <c r="A243" s="15"/>
      <c r="B243" s="34"/>
      <c r="C243" s="29" t="s">
        <v>181</v>
      </c>
      <c r="D243" s="36"/>
      <c r="E243" s="16">
        <v>0</v>
      </c>
      <c r="F243" s="16">
        <v>1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3">
        <f t="shared" si="465"/>
        <v>1</v>
      </c>
    </row>
    <row r="244" spans="1:34" ht="12.75" customHeight="1" x14ac:dyDescent="0.3">
      <c r="A244" s="15"/>
      <c r="B244" s="34"/>
      <c r="C244" s="29" t="s">
        <v>182</v>
      </c>
      <c r="D244" s="36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1</v>
      </c>
      <c r="M244" s="16">
        <v>0</v>
      </c>
      <c r="N244" s="16">
        <v>0</v>
      </c>
      <c r="O244" s="16">
        <v>0</v>
      </c>
      <c r="P244" s="16">
        <v>1</v>
      </c>
      <c r="Q244" s="16">
        <v>0</v>
      </c>
      <c r="R244" s="16">
        <v>7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1</v>
      </c>
      <c r="Z244" s="16">
        <v>1</v>
      </c>
      <c r="AA244" s="16">
        <v>0</v>
      </c>
      <c r="AB244" s="16">
        <v>0</v>
      </c>
      <c r="AC244" s="16">
        <v>0</v>
      </c>
      <c r="AD244" s="16">
        <v>0</v>
      </c>
      <c r="AE244" s="16">
        <v>2</v>
      </c>
      <c r="AF244" s="16">
        <v>0</v>
      </c>
      <c r="AG244" s="16">
        <v>0</v>
      </c>
      <c r="AH244" s="13">
        <f t="shared" si="465"/>
        <v>13</v>
      </c>
    </row>
    <row r="245" spans="1:34" ht="12.75" customHeight="1" x14ac:dyDescent="0.3">
      <c r="A245" s="15"/>
      <c r="B245" s="34"/>
      <c r="C245" s="29" t="s">
        <v>183</v>
      </c>
      <c r="D245" s="36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1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3">
        <f t="shared" si="465"/>
        <v>1</v>
      </c>
    </row>
    <row r="246" spans="1:34" ht="12.75" customHeight="1" x14ac:dyDescent="0.3">
      <c r="A246" s="15"/>
      <c r="B246" s="34"/>
      <c r="C246" s="29" t="s">
        <v>184</v>
      </c>
      <c r="D246" s="36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2</v>
      </c>
      <c r="S246" s="16">
        <v>0</v>
      </c>
      <c r="T246" s="16">
        <v>0</v>
      </c>
      <c r="U246" s="16">
        <v>0</v>
      </c>
      <c r="V246" s="16">
        <v>1</v>
      </c>
      <c r="W246" s="16">
        <v>0</v>
      </c>
      <c r="X246" s="16">
        <v>1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3">
        <f t="shared" si="465"/>
        <v>4</v>
      </c>
    </row>
    <row r="247" spans="1:34" ht="12.75" customHeight="1" x14ac:dyDescent="0.3">
      <c r="A247" s="16" t="s">
        <v>15</v>
      </c>
      <c r="B247" s="60" t="s">
        <v>49</v>
      </c>
      <c r="C247" s="61"/>
      <c r="D247" s="59"/>
      <c r="E247" s="13">
        <f>SUM(E237:E246)</f>
        <v>0</v>
      </c>
      <c r="F247" s="13">
        <f t="shared" ref="F247" si="466">SUM(F237:F246)</f>
        <v>2</v>
      </c>
      <c r="G247" s="13">
        <f t="shared" ref="G247" si="467">SUM(G237:G246)</f>
        <v>4</v>
      </c>
      <c r="H247" s="13">
        <f t="shared" ref="H247" si="468">SUM(H237:H246)</f>
        <v>0</v>
      </c>
      <c r="I247" s="13">
        <f t="shared" ref="I247" si="469">SUM(I237:I246)</f>
        <v>3</v>
      </c>
      <c r="J247" s="13">
        <f t="shared" ref="J247" si="470">SUM(J237:J246)</f>
        <v>9</v>
      </c>
      <c r="K247" s="13">
        <f t="shared" ref="K247" si="471">SUM(K237:K246)</f>
        <v>1</v>
      </c>
      <c r="L247" s="13">
        <f t="shared" ref="L247" si="472">SUM(L237:L246)</f>
        <v>1</v>
      </c>
      <c r="M247" s="13">
        <f t="shared" ref="M247" si="473">SUM(M237:M246)</f>
        <v>1</v>
      </c>
      <c r="N247" s="13">
        <f t="shared" ref="N247" si="474">SUM(N237:N246)</f>
        <v>2</v>
      </c>
      <c r="O247" s="13">
        <f t="shared" ref="O247" si="475">SUM(O237:O246)</f>
        <v>4</v>
      </c>
      <c r="P247" s="13">
        <f t="shared" ref="P247" si="476">SUM(P237:P246)</f>
        <v>5</v>
      </c>
      <c r="Q247" s="13">
        <f t="shared" ref="Q247" si="477">SUM(Q237:Q246)</f>
        <v>4</v>
      </c>
      <c r="R247" s="13">
        <f t="shared" ref="R247" si="478">SUM(R237:R246)</f>
        <v>16</v>
      </c>
      <c r="S247" s="13">
        <f t="shared" ref="S247" si="479">SUM(S237:S246)</f>
        <v>1</v>
      </c>
      <c r="T247" s="13">
        <f t="shared" ref="T247" si="480">SUM(T237:T246)</f>
        <v>0</v>
      </c>
      <c r="U247" s="13">
        <f t="shared" ref="U247" si="481">SUM(U237:U246)</f>
        <v>0</v>
      </c>
      <c r="V247" s="13">
        <f t="shared" ref="V247" si="482">SUM(V237:V246)</f>
        <v>3</v>
      </c>
      <c r="W247" s="13">
        <f t="shared" ref="W247" si="483">SUM(W237:W246)</f>
        <v>1</v>
      </c>
      <c r="X247" s="13">
        <f t="shared" ref="X247" si="484">SUM(X237:X246)</f>
        <v>4</v>
      </c>
      <c r="Y247" s="13">
        <f t="shared" ref="Y247" si="485">SUM(Y237:Y246)</f>
        <v>5</v>
      </c>
      <c r="Z247" s="13">
        <f t="shared" ref="Z247" si="486">SUM(Z237:Z246)</f>
        <v>6</v>
      </c>
      <c r="AA247" s="13">
        <f t="shared" ref="AA247" si="487">SUM(AA237:AA246)</f>
        <v>1</v>
      </c>
      <c r="AB247" s="13">
        <f t="shared" ref="AB247" si="488">SUM(AB237:AB246)</f>
        <v>0</v>
      </c>
      <c r="AC247" s="13">
        <f t="shared" ref="AC247" si="489">SUM(AC237:AC246)</f>
        <v>0</v>
      </c>
      <c r="AD247" s="13">
        <f t="shared" ref="AD247" si="490">SUM(AD237:AD246)</f>
        <v>2</v>
      </c>
      <c r="AE247" s="13">
        <f t="shared" ref="AE247" si="491">SUM(AE237:AE246)</f>
        <v>4</v>
      </c>
      <c r="AF247" s="13">
        <f t="shared" ref="AF247" si="492">SUM(AF237:AF246)</f>
        <v>0</v>
      </c>
      <c r="AG247" s="13">
        <f t="shared" ref="AG247" si="493">SUM(AG237:AG246)</f>
        <v>1</v>
      </c>
      <c r="AH247" s="13">
        <f t="shared" ref="AH247" si="494">SUM(AH237:AH246)</f>
        <v>80</v>
      </c>
    </row>
    <row r="248" spans="1:34" ht="12.75" customHeight="1" x14ac:dyDescent="0.3">
      <c r="A248" s="62"/>
      <c r="B248" s="61"/>
      <c r="C248" s="61"/>
      <c r="D248" s="61"/>
      <c r="E248" s="59"/>
    </row>
    <row r="249" spans="1:34" ht="12.75" customHeight="1" x14ac:dyDescent="0.3">
      <c r="A249" s="20" t="s">
        <v>37</v>
      </c>
      <c r="B249" s="27" t="s">
        <v>185</v>
      </c>
      <c r="C249" s="58" t="s">
        <v>186</v>
      </c>
      <c r="D249" s="59"/>
      <c r="E249" s="16">
        <v>1</v>
      </c>
      <c r="F249" s="16">
        <v>0</v>
      </c>
      <c r="G249" s="16">
        <v>0</v>
      </c>
      <c r="H249" s="16">
        <v>0</v>
      </c>
      <c r="I249" s="16">
        <v>2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2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1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0</v>
      </c>
      <c r="AH249" s="13">
        <f t="shared" ref="AH249:AH252" si="495">SUM(E249:AG249)</f>
        <v>6</v>
      </c>
    </row>
    <row r="250" spans="1:34" ht="12.75" customHeight="1" x14ac:dyDescent="0.3">
      <c r="A250" s="20" t="s">
        <v>39</v>
      </c>
      <c r="B250" s="34"/>
      <c r="C250" s="29" t="s">
        <v>187</v>
      </c>
      <c r="D250" s="36"/>
      <c r="E250" s="16">
        <v>0</v>
      </c>
      <c r="F250" s="16">
        <v>0</v>
      </c>
      <c r="G250" s="16">
        <v>0</v>
      </c>
      <c r="H250" s="16">
        <v>0</v>
      </c>
      <c r="I250" s="16">
        <v>2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1</v>
      </c>
      <c r="Q250" s="16">
        <v>0</v>
      </c>
      <c r="R250" s="16">
        <v>0</v>
      </c>
      <c r="S250" s="16">
        <v>2</v>
      </c>
      <c r="T250" s="16">
        <v>0</v>
      </c>
      <c r="U250" s="16">
        <v>0</v>
      </c>
      <c r="V250" s="16">
        <v>0</v>
      </c>
      <c r="W250" s="16">
        <v>3</v>
      </c>
      <c r="X250" s="16">
        <v>0</v>
      </c>
      <c r="Y250" s="16">
        <v>0</v>
      </c>
      <c r="Z250" s="16">
        <v>0</v>
      </c>
      <c r="AA250" s="16">
        <v>7</v>
      </c>
      <c r="AB250" s="16">
        <v>2</v>
      </c>
      <c r="AC250" s="16">
        <v>2</v>
      </c>
      <c r="AD250" s="16">
        <v>0</v>
      </c>
      <c r="AE250" s="16">
        <v>0</v>
      </c>
      <c r="AF250" s="16">
        <v>0</v>
      </c>
      <c r="AG250" s="16">
        <v>0</v>
      </c>
      <c r="AH250" s="13">
        <f t="shared" si="495"/>
        <v>19</v>
      </c>
    </row>
    <row r="251" spans="1:34" ht="12.75" customHeight="1" x14ac:dyDescent="0.3">
      <c r="A251" s="15"/>
      <c r="B251" s="34"/>
      <c r="C251" s="29" t="s">
        <v>188</v>
      </c>
      <c r="D251" s="36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1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3">
        <f t="shared" si="495"/>
        <v>1</v>
      </c>
    </row>
    <row r="252" spans="1:34" ht="12.75" customHeight="1" x14ac:dyDescent="0.3">
      <c r="A252" s="15"/>
      <c r="B252" s="34"/>
      <c r="C252" s="29" t="s">
        <v>189</v>
      </c>
      <c r="D252" s="36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1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3">
        <f t="shared" si="495"/>
        <v>1</v>
      </c>
    </row>
    <row r="253" spans="1:34" ht="12.75" customHeight="1" x14ac:dyDescent="0.3">
      <c r="A253" s="15"/>
      <c r="B253" s="37"/>
      <c r="C253" s="44"/>
      <c r="D253" s="39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56"/>
    </row>
    <row r="254" spans="1:34" ht="12.75" customHeight="1" x14ac:dyDescent="0.3">
      <c r="A254" s="15"/>
      <c r="B254" s="37"/>
      <c r="C254" s="44"/>
      <c r="D254" s="39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56"/>
    </row>
    <row r="255" spans="1:34" ht="12.75" customHeight="1" x14ac:dyDescent="0.3">
      <c r="A255" s="15"/>
      <c r="B255" s="37"/>
      <c r="C255" s="44"/>
      <c r="D255" s="39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56"/>
    </row>
    <row r="256" spans="1:34" ht="12.75" customHeight="1" x14ac:dyDescent="0.3">
      <c r="A256" s="15"/>
      <c r="B256" s="37"/>
      <c r="C256" s="44"/>
      <c r="D256" s="39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56"/>
    </row>
    <row r="257" spans="1:34" ht="12.75" customHeight="1" x14ac:dyDescent="0.3">
      <c r="A257" s="15"/>
      <c r="B257" s="37"/>
      <c r="C257" s="44"/>
      <c r="D257" s="39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56"/>
    </row>
    <row r="258" spans="1:34" ht="12.75" customHeight="1" x14ac:dyDescent="0.3">
      <c r="A258" s="15"/>
      <c r="B258" s="37"/>
      <c r="C258" s="44"/>
      <c r="D258" s="3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56"/>
    </row>
    <row r="259" spans="1:34" ht="12.75" customHeight="1" x14ac:dyDescent="0.3">
      <c r="A259" s="16" t="s">
        <v>15</v>
      </c>
      <c r="B259" s="60" t="s">
        <v>49</v>
      </c>
      <c r="C259" s="61"/>
      <c r="D259" s="59"/>
      <c r="E259" s="13">
        <f>SUM(E249:E258)</f>
        <v>1</v>
      </c>
      <c r="F259" s="13">
        <f t="shared" ref="F259" si="496">SUM(F249:F258)</f>
        <v>0</v>
      </c>
      <c r="G259" s="13">
        <f t="shared" ref="G259" si="497">SUM(G249:G258)</f>
        <v>0</v>
      </c>
      <c r="H259" s="13">
        <f t="shared" ref="H259" si="498">SUM(H249:H258)</f>
        <v>0</v>
      </c>
      <c r="I259" s="13">
        <f t="shared" ref="I259" si="499">SUM(I249:I258)</f>
        <v>4</v>
      </c>
      <c r="J259" s="13">
        <f t="shared" ref="J259" si="500">SUM(J249:J258)</f>
        <v>0</v>
      </c>
      <c r="K259" s="13">
        <f t="shared" ref="K259" si="501">SUM(K249:K258)</f>
        <v>1</v>
      </c>
      <c r="L259" s="13">
        <f t="shared" ref="L259" si="502">SUM(L249:L258)</f>
        <v>1</v>
      </c>
      <c r="M259" s="13">
        <f t="shared" ref="M259" si="503">SUM(M249:M258)</f>
        <v>0</v>
      </c>
      <c r="N259" s="13">
        <f t="shared" ref="N259" si="504">SUM(N249:N258)</f>
        <v>0</v>
      </c>
      <c r="O259" s="13">
        <f t="shared" ref="O259" si="505">SUM(O249:O258)</f>
        <v>0</v>
      </c>
      <c r="P259" s="13">
        <f t="shared" ref="P259" si="506">SUM(P249:P258)</f>
        <v>3</v>
      </c>
      <c r="Q259" s="13">
        <f t="shared" ref="Q259" si="507">SUM(Q249:Q258)</f>
        <v>0</v>
      </c>
      <c r="R259" s="13">
        <f t="shared" ref="R259" si="508">SUM(R249:R258)</f>
        <v>0</v>
      </c>
      <c r="S259" s="13">
        <f t="shared" ref="S259" si="509">SUM(S249:S258)</f>
        <v>2</v>
      </c>
      <c r="T259" s="13">
        <f t="shared" ref="T259" si="510">SUM(T249:T258)</f>
        <v>0</v>
      </c>
      <c r="U259" s="13">
        <f t="shared" ref="U259" si="511">SUM(U249:U258)</f>
        <v>0</v>
      </c>
      <c r="V259" s="13">
        <f t="shared" ref="V259" si="512">SUM(V249:V258)</f>
        <v>0</v>
      </c>
      <c r="W259" s="13">
        <f t="shared" ref="W259" si="513">SUM(W249:W258)</f>
        <v>3</v>
      </c>
      <c r="X259" s="13">
        <f t="shared" ref="X259" si="514">SUM(X249:X258)</f>
        <v>1</v>
      </c>
      <c r="Y259" s="13">
        <f t="shared" ref="Y259" si="515">SUM(Y249:Y258)</f>
        <v>0</v>
      </c>
      <c r="Z259" s="13">
        <f t="shared" ref="Z259" si="516">SUM(Z249:Z258)</f>
        <v>0</v>
      </c>
      <c r="AA259" s="13">
        <f t="shared" ref="AA259" si="517">SUM(AA249:AA258)</f>
        <v>7</v>
      </c>
      <c r="AB259" s="13">
        <f t="shared" ref="AB259" si="518">SUM(AB249:AB258)</f>
        <v>2</v>
      </c>
      <c r="AC259" s="13">
        <f t="shared" ref="AC259" si="519">SUM(AC249:AC258)</f>
        <v>2</v>
      </c>
      <c r="AD259" s="13">
        <f t="shared" ref="AD259" si="520">SUM(AD249:AD258)</f>
        <v>0</v>
      </c>
      <c r="AE259" s="13">
        <f t="shared" ref="AE259" si="521">SUM(AE249:AE258)</f>
        <v>0</v>
      </c>
      <c r="AF259" s="13">
        <f t="shared" ref="AF259" si="522">SUM(AF249:AF258)</f>
        <v>0</v>
      </c>
      <c r="AG259" s="13">
        <f t="shared" ref="AG259" si="523">SUM(AG249:AG258)</f>
        <v>0</v>
      </c>
      <c r="AH259" s="13">
        <f t="shared" ref="AH259" si="524">SUM(AH249:AH258)</f>
        <v>27</v>
      </c>
    </row>
    <row r="260" spans="1:34" ht="12.75" customHeight="1" x14ac:dyDescent="0.3"/>
    <row r="261" spans="1:34" ht="12.75" customHeight="1" x14ac:dyDescent="0.3">
      <c r="A261" s="26" t="s">
        <v>190</v>
      </c>
      <c r="B261" s="65" t="s">
        <v>191</v>
      </c>
      <c r="C261" s="61"/>
      <c r="D261" s="59"/>
      <c r="E261" s="13"/>
      <c r="F261" s="13"/>
      <c r="G261" s="13"/>
      <c r="H261" s="13"/>
      <c r="I261" s="13"/>
      <c r="J261" s="13"/>
      <c r="K261" s="13"/>
      <c r="L261" s="13"/>
      <c r="M261" s="13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13"/>
    </row>
    <row r="262" spans="1:34" ht="12.75" customHeight="1" x14ac:dyDescent="0.3">
      <c r="A262" s="26"/>
      <c r="B262" s="47" t="s">
        <v>192</v>
      </c>
      <c r="C262" s="83" t="s">
        <v>193</v>
      </c>
      <c r="D262" s="59"/>
      <c r="E262" s="16">
        <f t="shared" ref="E262:AG262" si="525">E55+E67+E79+E91+E103+E115+E127+E139+E151+E163+E175+E187+E199+E211+E223+E235+E247+E259</f>
        <v>156</v>
      </c>
      <c r="F262" s="16">
        <f t="shared" si="525"/>
        <v>178</v>
      </c>
      <c r="G262" s="16">
        <f t="shared" si="525"/>
        <v>183</v>
      </c>
      <c r="H262" s="16">
        <f t="shared" si="525"/>
        <v>162</v>
      </c>
      <c r="I262" s="16">
        <f t="shared" si="525"/>
        <v>183</v>
      </c>
      <c r="J262" s="16">
        <f t="shared" si="525"/>
        <v>200</v>
      </c>
      <c r="K262" s="16">
        <f t="shared" si="525"/>
        <v>154</v>
      </c>
      <c r="L262" s="16">
        <f t="shared" si="525"/>
        <v>195</v>
      </c>
      <c r="M262" s="16">
        <f t="shared" si="525"/>
        <v>193</v>
      </c>
      <c r="N262" s="16">
        <f t="shared" si="525"/>
        <v>156</v>
      </c>
      <c r="O262" s="16">
        <f t="shared" si="525"/>
        <v>184</v>
      </c>
      <c r="P262" s="16">
        <f t="shared" si="525"/>
        <v>124</v>
      </c>
      <c r="Q262" s="16">
        <f t="shared" si="525"/>
        <v>169</v>
      </c>
      <c r="R262" s="16">
        <f t="shared" si="525"/>
        <v>165</v>
      </c>
      <c r="S262" s="16">
        <f t="shared" si="525"/>
        <v>147</v>
      </c>
      <c r="T262" s="16">
        <f t="shared" si="525"/>
        <v>187</v>
      </c>
      <c r="U262" s="16">
        <f t="shared" si="525"/>
        <v>159</v>
      </c>
      <c r="V262" s="16">
        <f t="shared" si="525"/>
        <v>175</v>
      </c>
      <c r="W262" s="16">
        <f t="shared" si="525"/>
        <v>194</v>
      </c>
      <c r="X262" s="16">
        <f t="shared" si="525"/>
        <v>203</v>
      </c>
      <c r="Y262" s="16">
        <f t="shared" si="525"/>
        <v>194</v>
      </c>
      <c r="Z262" s="16">
        <f t="shared" si="525"/>
        <v>162</v>
      </c>
      <c r="AA262" s="16">
        <f t="shared" si="525"/>
        <v>162</v>
      </c>
      <c r="AB262" s="16">
        <f t="shared" si="525"/>
        <v>153</v>
      </c>
      <c r="AC262" s="16">
        <f t="shared" si="525"/>
        <v>181</v>
      </c>
      <c r="AD262" s="16">
        <f t="shared" si="525"/>
        <v>171</v>
      </c>
      <c r="AE262" s="16">
        <f t="shared" si="525"/>
        <v>196</v>
      </c>
      <c r="AF262" s="16">
        <f t="shared" si="525"/>
        <v>133</v>
      </c>
      <c r="AG262" s="16">
        <f t="shared" si="525"/>
        <v>198</v>
      </c>
      <c r="AH262" s="13">
        <f t="shared" ref="AH262:AH264" si="526">SUM(E262:AG262)</f>
        <v>5017</v>
      </c>
    </row>
    <row r="263" spans="1:34" ht="12.75" customHeight="1" x14ac:dyDescent="0.3">
      <c r="A263" s="22"/>
      <c r="B263" s="47" t="s">
        <v>194</v>
      </c>
      <c r="C263" s="83" t="s">
        <v>195</v>
      </c>
      <c r="D263" s="59"/>
      <c r="E263" s="16">
        <v>24</v>
      </c>
      <c r="F263" s="16">
        <v>12</v>
      </c>
      <c r="G263" s="16">
        <v>24</v>
      </c>
      <c r="H263" s="16">
        <v>40</v>
      </c>
      <c r="I263" s="16">
        <v>22</v>
      </c>
      <c r="J263" s="16">
        <v>12</v>
      </c>
      <c r="K263" s="16">
        <v>29</v>
      </c>
      <c r="L263" s="16">
        <v>22</v>
      </c>
      <c r="M263" s="16">
        <v>9</v>
      </c>
      <c r="N263" s="16">
        <v>32</v>
      </c>
      <c r="O263" s="16">
        <v>21</v>
      </c>
      <c r="P263" s="16">
        <v>52</v>
      </c>
      <c r="Q263" s="16">
        <v>27</v>
      </c>
      <c r="R263" s="16">
        <v>31</v>
      </c>
      <c r="S263" s="16">
        <v>36</v>
      </c>
      <c r="T263" s="16">
        <v>20</v>
      </c>
      <c r="U263" s="16">
        <v>40</v>
      </c>
      <c r="V263" s="16">
        <v>40</v>
      </c>
      <c r="W263" s="16">
        <v>35</v>
      </c>
      <c r="X263" s="16">
        <v>17</v>
      </c>
      <c r="Y263" s="16">
        <v>13</v>
      </c>
      <c r="Z263" s="16">
        <v>37</v>
      </c>
      <c r="AA263" s="16">
        <v>41</v>
      </c>
      <c r="AB263" s="16">
        <v>39</v>
      </c>
      <c r="AC263" s="16">
        <v>22</v>
      </c>
      <c r="AD263" s="16">
        <v>15</v>
      </c>
      <c r="AE263" s="16">
        <v>21</v>
      </c>
      <c r="AF263" s="16">
        <v>11</v>
      </c>
      <c r="AG263" s="16">
        <v>11</v>
      </c>
      <c r="AH263" s="13">
        <f t="shared" si="526"/>
        <v>755</v>
      </c>
    </row>
    <row r="264" spans="1:34" ht="12.75" customHeight="1" x14ac:dyDescent="0.3">
      <c r="A264" s="25"/>
      <c r="B264" s="47" t="s">
        <v>196</v>
      </c>
      <c r="C264" s="83" t="s">
        <v>197</v>
      </c>
      <c r="D264" s="59"/>
      <c r="E264" s="13">
        <f t="shared" ref="E264:AG264" si="527">SUM(E262:E263)</f>
        <v>180</v>
      </c>
      <c r="F264" s="13">
        <f t="shared" si="527"/>
        <v>190</v>
      </c>
      <c r="G264" s="13">
        <f t="shared" si="527"/>
        <v>207</v>
      </c>
      <c r="H264" s="13">
        <f t="shared" si="527"/>
        <v>202</v>
      </c>
      <c r="I264" s="13">
        <f t="shared" si="527"/>
        <v>205</v>
      </c>
      <c r="J264" s="13">
        <f t="shared" si="527"/>
        <v>212</v>
      </c>
      <c r="K264" s="13">
        <f t="shared" si="527"/>
        <v>183</v>
      </c>
      <c r="L264" s="13">
        <f t="shared" si="527"/>
        <v>217</v>
      </c>
      <c r="M264" s="13">
        <f t="shared" si="527"/>
        <v>202</v>
      </c>
      <c r="N264" s="13">
        <f t="shared" si="527"/>
        <v>188</v>
      </c>
      <c r="O264" s="13">
        <f t="shared" si="527"/>
        <v>205</v>
      </c>
      <c r="P264" s="13">
        <f t="shared" si="527"/>
        <v>176</v>
      </c>
      <c r="Q264" s="13">
        <f t="shared" si="527"/>
        <v>196</v>
      </c>
      <c r="R264" s="13">
        <f t="shared" si="527"/>
        <v>196</v>
      </c>
      <c r="S264" s="13">
        <f t="shared" si="527"/>
        <v>183</v>
      </c>
      <c r="T264" s="13">
        <f t="shared" si="527"/>
        <v>207</v>
      </c>
      <c r="U264" s="13">
        <f t="shared" si="527"/>
        <v>199</v>
      </c>
      <c r="V264" s="13">
        <f t="shared" si="527"/>
        <v>215</v>
      </c>
      <c r="W264" s="13">
        <f t="shared" si="527"/>
        <v>229</v>
      </c>
      <c r="X264" s="13">
        <f t="shared" si="527"/>
        <v>220</v>
      </c>
      <c r="Y264" s="13">
        <f t="shared" si="527"/>
        <v>207</v>
      </c>
      <c r="Z264" s="13">
        <f t="shared" si="527"/>
        <v>199</v>
      </c>
      <c r="AA264" s="13">
        <f t="shared" si="527"/>
        <v>203</v>
      </c>
      <c r="AB264" s="13">
        <f t="shared" si="527"/>
        <v>192</v>
      </c>
      <c r="AC264" s="13">
        <f t="shared" si="527"/>
        <v>203</v>
      </c>
      <c r="AD264" s="13">
        <f t="shared" si="527"/>
        <v>186</v>
      </c>
      <c r="AE264" s="13">
        <f t="shared" si="527"/>
        <v>217</v>
      </c>
      <c r="AF264" s="13">
        <f t="shared" si="527"/>
        <v>144</v>
      </c>
      <c r="AG264" s="13">
        <f t="shared" si="527"/>
        <v>209</v>
      </c>
      <c r="AH264" s="13">
        <f t="shared" si="526"/>
        <v>5772</v>
      </c>
    </row>
    <row r="265" spans="1:34" ht="12.75" customHeight="1" x14ac:dyDescent="0.3"/>
    <row r="266" spans="1:34" ht="12.75" customHeight="1" x14ac:dyDescent="0.3"/>
    <row r="267" spans="1:34" ht="12.75" customHeight="1" x14ac:dyDescent="0.3"/>
    <row r="268" spans="1:34" ht="12.75" customHeight="1" x14ac:dyDescent="0.3"/>
    <row r="269" spans="1:34" ht="12.75" customHeight="1" x14ac:dyDescent="0.3"/>
    <row r="270" spans="1:34" ht="12.75" customHeight="1" x14ac:dyDescent="0.3"/>
    <row r="271" spans="1:34" ht="12.75" customHeight="1" x14ac:dyDescent="0.3"/>
    <row r="272" spans="1:34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B151:D151"/>
    <mergeCell ref="B103:D103"/>
    <mergeCell ref="A104:E104"/>
    <mergeCell ref="C105:D105"/>
    <mergeCell ref="B115:D115"/>
    <mergeCell ref="A116:E116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E42:I42"/>
    <mergeCell ref="B43:D43"/>
    <mergeCell ref="B25:B27"/>
    <mergeCell ref="C25:C27"/>
    <mergeCell ref="B28:B30"/>
    <mergeCell ref="A37:D37"/>
    <mergeCell ref="E37:I37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  <mergeCell ref="C117:D117"/>
    <mergeCell ref="B127:D127"/>
    <mergeCell ref="A128:E128"/>
    <mergeCell ref="C129:D129"/>
    <mergeCell ref="A80:E80"/>
    <mergeCell ref="C81:D81"/>
    <mergeCell ref="B91:D91"/>
    <mergeCell ref="A92:E92"/>
    <mergeCell ref="C93:D93"/>
  </mergeCells>
  <conditionalFormatting sqref="E34:T34">
    <cfRule type="expression" dxfId="173" priority="1">
      <formula>E34&lt;&gt;E64</formula>
    </cfRule>
  </conditionalFormatting>
  <conditionalFormatting sqref="E14:AG15">
    <cfRule type="containsBlanks" dxfId="172" priority="2">
      <formula>LEN(TRIM(E14))=0</formula>
    </cfRule>
  </conditionalFormatting>
  <conditionalFormatting sqref="E19:AG20">
    <cfRule type="containsBlanks" dxfId="171" priority="3">
      <formula>LEN(TRIM(E19))=0</formula>
    </cfRule>
  </conditionalFormatting>
  <conditionalFormatting sqref="E22:AG23 E25:AG26 E33:AG33 E35:AG35 E39:AG40">
    <cfRule type="containsBlanks" dxfId="170" priority="4">
      <formula>LEN(TRIM(E22))=0</formula>
    </cfRule>
  </conditionalFormatting>
  <conditionalFormatting sqref="E30:AG30">
    <cfRule type="expression" dxfId="169" priority="5">
      <formula>E30&lt;&gt;E47</formula>
    </cfRule>
    <cfRule type="expression" dxfId="168" priority="6">
      <formula>E30&lt;&gt;E34</formula>
    </cfRule>
  </conditionalFormatting>
  <conditionalFormatting sqref="E34:AG34">
    <cfRule type="expression" dxfId="167" priority="7">
      <formula>E30&lt;&gt;E34</formula>
    </cfRule>
    <cfRule type="expression" dxfId="166" priority="8">
      <formula>E30=E34</formula>
    </cfRule>
    <cfRule type="expression" dxfId="165" priority="9">
      <formula>E34&lt;&gt;E30</formula>
    </cfRule>
  </conditionalFormatting>
  <conditionalFormatting sqref="E45:AG54">
    <cfRule type="containsBlanks" dxfId="164" priority="10">
      <formula>LEN(TRIM(E45))=0</formula>
    </cfRule>
  </conditionalFormatting>
  <conditionalFormatting sqref="E57:AG66">
    <cfRule type="containsBlanks" dxfId="163" priority="11">
      <formula>LEN(TRIM(E57))=0</formula>
    </cfRule>
  </conditionalFormatting>
  <conditionalFormatting sqref="E69:AG78">
    <cfRule type="containsBlanks" dxfId="162" priority="12">
      <formula>LEN(TRIM(E69))=0</formula>
    </cfRule>
  </conditionalFormatting>
  <conditionalFormatting sqref="E81:AG90">
    <cfRule type="containsBlanks" dxfId="161" priority="13">
      <formula>LEN(TRIM(E81))=0</formula>
    </cfRule>
  </conditionalFormatting>
  <conditionalFormatting sqref="E93:AG102">
    <cfRule type="containsBlanks" dxfId="160" priority="14">
      <formula>LEN(TRIM(E93))=0</formula>
    </cfRule>
  </conditionalFormatting>
  <conditionalFormatting sqref="E105:AG114">
    <cfRule type="containsBlanks" dxfId="159" priority="15">
      <formula>LEN(TRIM(E105))=0</formula>
    </cfRule>
  </conditionalFormatting>
  <conditionalFormatting sqref="E117:AG126">
    <cfRule type="containsBlanks" dxfId="158" priority="16">
      <formula>LEN(TRIM(E117))=0</formula>
    </cfRule>
  </conditionalFormatting>
  <conditionalFormatting sqref="E129:AG138">
    <cfRule type="containsBlanks" dxfId="157" priority="17">
      <formula>LEN(TRIM(E129))=0</formula>
    </cfRule>
  </conditionalFormatting>
  <conditionalFormatting sqref="E141:AG150">
    <cfRule type="containsBlanks" dxfId="156" priority="18">
      <formula>LEN(TRIM(E141))=0</formula>
    </cfRule>
  </conditionalFormatting>
  <conditionalFormatting sqref="E153:AG162">
    <cfRule type="containsBlanks" dxfId="155" priority="19">
      <formula>LEN(TRIM(E153))=0</formula>
    </cfRule>
  </conditionalFormatting>
  <conditionalFormatting sqref="E165:AG174">
    <cfRule type="containsBlanks" dxfId="154" priority="20">
      <formula>LEN(TRIM(E165))=0</formula>
    </cfRule>
  </conditionalFormatting>
  <conditionalFormatting sqref="E177:AG186">
    <cfRule type="containsBlanks" dxfId="153" priority="21">
      <formula>LEN(TRIM(E177))=0</formula>
    </cfRule>
  </conditionalFormatting>
  <conditionalFormatting sqref="E189:AG198">
    <cfRule type="containsBlanks" dxfId="152" priority="22">
      <formula>LEN(TRIM(E189))=0</formula>
    </cfRule>
  </conditionalFormatting>
  <conditionalFormatting sqref="E201:AG210">
    <cfRule type="containsBlanks" dxfId="151" priority="23">
      <formula>LEN(TRIM(E201))=0</formula>
    </cfRule>
  </conditionalFormatting>
  <conditionalFormatting sqref="E213:AG222">
    <cfRule type="containsBlanks" dxfId="150" priority="24">
      <formula>LEN(TRIM(E213))=0</formula>
    </cfRule>
  </conditionalFormatting>
  <conditionalFormatting sqref="E225:AG234">
    <cfRule type="containsBlanks" dxfId="149" priority="25">
      <formula>LEN(TRIM(E225))=0</formula>
    </cfRule>
  </conditionalFormatting>
  <conditionalFormatting sqref="E237:AG246">
    <cfRule type="containsBlanks" dxfId="148" priority="26">
      <formula>LEN(TRIM(E237))=0</formula>
    </cfRule>
  </conditionalFormatting>
  <conditionalFormatting sqref="E249:AG258">
    <cfRule type="containsBlanks" dxfId="147" priority="27">
      <formula>LEN(TRIM(E249))=0</formula>
    </cfRule>
  </conditionalFormatting>
  <conditionalFormatting sqref="E262:AG263">
    <cfRule type="containsBlanks" dxfId="146" priority="28">
      <formula>LEN(TRIM(E262))=0</formula>
    </cfRule>
  </conditionalFormatting>
  <conditionalFormatting sqref="U34:AG34">
    <cfRule type="expression" dxfId="145" priority="29">
      <formula>U34&lt;&gt;U47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B1000"/>
  <sheetViews>
    <sheetView tabSelected="1" topLeftCell="A242" zoomScale="80" zoomScaleNormal="80" workbookViewId="0">
      <selection activeCell="Z263" sqref="Z263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25" width="8.69921875" customWidth="1"/>
    <col min="26" max="26" width="13.296875" customWidth="1"/>
    <col min="27" max="28" width="8.69921875" customWidth="1"/>
  </cols>
  <sheetData>
    <row r="1" spans="1:26" ht="12.75" customHeight="1" x14ac:dyDescent="0.3"/>
    <row r="2" spans="1:26" ht="12.75" customHeight="1" x14ac:dyDescent="0.3">
      <c r="C2" s="8" t="s">
        <v>0</v>
      </c>
      <c r="D2" s="8" t="s">
        <v>1</v>
      </c>
    </row>
    <row r="3" spans="1:26" ht="12.75" customHeight="1" x14ac:dyDescent="0.3">
      <c r="C3" s="8" t="s">
        <v>2</v>
      </c>
      <c r="D3" s="8" t="s">
        <v>3</v>
      </c>
    </row>
    <row r="4" spans="1:26" ht="12.75" customHeight="1" x14ac:dyDescent="0.3">
      <c r="C4" s="8" t="s">
        <v>4</v>
      </c>
      <c r="D4" s="8" t="s">
        <v>5</v>
      </c>
    </row>
    <row r="5" spans="1:26" ht="12.75" customHeight="1" x14ac:dyDescent="0.3">
      <c r="C5" s="8"/>
      <c r="D5" s="8"/>
    </row>
    <row r="6" spans="1:26" ht="12.75" customHeight="1" x14ac:dyDescent="0.3">
      <c r="C6" s="8"/>
      <c r="D6" s="8"/>
    </row>
    <row r="7" spans="1:26" ht="12.75" customHeight="1" x14ac:dyDescent="0.3">
      <c r="C7" s="8"/>
      <c r="D7" s="8"/>
    </row>
    <row r="8" spans="1:26" ht="12.75" customHeight="1" x14ac:dyDescent="0.3">
      <c r="C8" s="8"/>
      <c r="D8" s="8"/>
    </row>
    <row r="9" spans="1:26" ht="12.75" customHeight="1" x14ac:dyDescent="0.3">
      <c r="C9" s="8" t="s">
        <v>198</v>
      </c>
      <c r="D9" s="8" t="s">
        <v>229</v>
      </c>
    </row>
    <row r="10" spans="1:26" ht="12.75" customHeight="1" x14ac:dyDescent="0.3"/>
    <row r="11" spans="1:26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6" ht="12.75" customHeight="1" x14ac:dyDescent="0.3">
      <c r="A12" s="13" t="s">
        <v>6</v>
      </c>
      <c r="B12" s="65" t="s">
        <v>7</v>
      </c>
      <c r="C12" s="61"/>
      <c r="D12" s="59"/>
      <c r="E12" s="86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87" t="s">
        <v>8</v>
      </c>
    </row>
    <row r="13" spans="1:26" ht="12.75" customHeight="1" x14ac:dyDescent="0.3">
      <c r="A13" s="16" t="s">
        <v>9</v>
      </c>
      <c r="B13" s="72" t="s">
        <v>10</v>
      </c>
      <c r="C13" s="61"/>
      <c r="D13" s="59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76"/>
    </row>
    <row r="14" spans="1:26" ht="12.75" customHeight="1" x14ac:dyDescent="0.3">
      <c r="A14" s="15"/>
      <c r="B14" s="81" t="s">
        <v>11</v>
      </c>
      <c r="C14" s="67"/>
      <c r="D14" s="16" t="s">
        <v>12</v>
      </c>
      <c r="E14" s="16">
        <v>140</v>
      </c>
      <c r="F14" s="16">
        <v>148</v>
      </c>
      <c r="G14" s="16">
        <v>109</v>
      </c>
      <c r="H14" s="16">
        <v>139</v>
      </c>
      <c r="I14" s="16">
        <v>147</v>
      </c>
      <c r="J14" s="16">
        <v>152</v>
      </c>
      <c r="K14" s="16">
        <v>104</v>
      </c>
      <c r="L14" s="16">
        <v>135</v>
      </c>
      <c r="M14" s="16">
        <v>146</v>
      </c>
      <c r="N14" s="16">
        <v>145</v>
      </c>
      <c r="O14" s="16">
        <v>142</v>
      </c>
      <c r="P14" s="16">
        <v>146</v>
      </c>
      <c r="Q14" s="16">
        <v>154</v>
      </c>
      <c r="R14" s="16">
        <v>141</v>
      </c>
      <c r="S14" s="16">
        <v>145</v>
      </c>
      <c r="T14" s="16">
        <v>97</v>
      </c>
      <c r="U14" s="16">
        <v>136</v>
      </c>
      <c r="V14" s="16">
        <v>144</v>
      </c>
      <c r="W14" s="16">
        <v>136</v>
      </c>
      <c r="X14" s="16">
        <v>134</v>
      </c>
      <c r="Y14" s="16">
        <v>135</v>
      </c>
      <c r="Z14" s="13">
        <f t="shared" ref="Z14:Z16" si="0">SUM(E14:Y14)</f>
        <v>2875</v>
      </c>
    </row>
    <row r="15" spans="1:26" ht="12.75" customHeight="1" x14ac:dyDescent="0.3">
      <c r="A15" s="15"/>
      <c r="B15" s="82"/>
      <c r="C15" s="69"/>
      <c r="D15" s="16" t="s">
        <v>13</v>
      </c>
      <c r="E15" s="16">
        <v>133</v>
      </c>
      <c r="F15" s="16">
        <v>125</v>
      </c>
      <c r="G15" s="16">
        <v>118</v>
      </c>
      <c r="H15" s="16">
        <v>152</v>
      </c>
      <c r="I15" s="16">
        <v>139</v>
      </c>
      <c r="J15" s="16">
        <v>142</v>
      </c>
      <c r="K15" s="16">
        <v>104</v>
      </c>
      <c r="L15" s="16">
        <v>141</v>
      </c>
      <c r="M15" s="16">
        <v>134</v>
      </c>
      <c r="N15" s="16">
        <v>132</v>
      </c>
      <c r="O15" s="16">
        <v>132</v>
      </c>
      <c r="P15" s="16">
        <v>137</v>
      </c>
      <c r="Q15" s="16">
        <v>135</v>
      </c>
      <c r="R15" s="16">
        <v>140</v>
      </c>
      <c r="S15" s="16">
        <v>143</v>
      </c>
      <c r="T15" s="16">
        <v>100</v>
      </c>
      <c r="U15" s="16">
        <v>143</v>
      </c>
      <c r="V15" s="16">
        <v>131</v>
      </c>
      <c r="W15" s="16">
        <v>123</v>
      </c>
      <c r="X15" s="16">
        <v>148</v>
      </c>
      <c r="Y15" s="16">
        <v>149</v>
      </c>
      <c r="Z15" s="13">
        <f t="shared" si="0"/>
        <v>2801</v>
      </c>
    </row>
    <row r="16" spans="1:26" ht="12.75" customHeight="1" x14ac:dyDescent="0.3">
      <c r="A16" s="18"/>
      <c r="B16" s="80"/>
      <c r="C16" s="70"/>
      <c r="D16" s="13" t="s">
        <v>14</v>
      </c>
      <c r="E16" s="13">
        <f t="shared" ref="E16:Y16" si="1">SUM(E14:E15)</f>
        <v>273</v>
      </c>
      <c r="F16" s="13">
        <f t="shared" si="1"/>
        <v>273</v>
      </c>
      <c r="G16" s="13">
        <f t="shared" si="1"/>
        <v>227</v>
      </c>
      <c r="H16" s="13">
        <f t="shared" si="1"/>
        <v>291</v>
      </c>
      <c r="I16" s="13">
        <f t="shared" si="1"/>
        <v>286</v>
      </c>
      <c r="J16" s="13">
        <f t="shared" si="1"/>
        <v>294</v>
      </c>
      <c r="K16" s="13">
        <f t="shared" si="1"/>
        <v>208</v>
      </c>
      <c r="L16" s="13">
        <f t="shared" si="1"/>
        <v>276</v>
      </c>
      <c r="M16" s="13">
        <f t="shared" si="1"/>
        <v>280</v>
      </c>
      <c r="N16" s="13">
        <f t="shared" si="1"/>
        <v>277</v>
      </c>
      <c r="O16" s="13">
        <f t="shared" si="1"/>
        <v>274</v>
      </c>
      <c r="P16" s="13">
        <f t="shared" si="1"/>
        <v>283</v>
      </c>
      <c r="Q16" s="13">
        <f t="shared" si="1"/>
        <v>289</v>
      </c>
      <c r="R16" s="13">
        <f t="shared" si="1"/>
        <v>281</v>
      </c>
      <c r="S16" s="13">
        <f t="shared" si="1"/>
        <v>288</v>
      </c>
      <c r="T16" s="13">
        <f t="shared" si="1"/>
        <v>197</v>
      </c>
      <c r="U16" s="13">
        <f t="shared" si="1"/>
        <v>279</v>
      </c>
      <c r="V16" s="13">
        <f t="shared" si="1"/>
        <v>275</v>
      </c>
      <c r="W16" s="13">
        <f t="shared" si="1"/>
        <v>259</v>
      </c>
      <c r="X16" s="13">
        <f t="shared" si="1"/>
        <v>282</v>
      </c>
      <c r="Y16" s="13">
        <f t="shared" si="1"/>
        <v>284</v>
      </c>
      <c r="Z16" s="13">
        <f t="shared" si="0"/>
        <v>5676</v>
      </c>
    </row>
    <row r="17" spans="1:26" ht="12.75" customHeight="1" x14ac:dyDescent="0.3">
      <c r="A17" s="62"/>
      <c r="B17" s="61"/>
      <c r="C17" s="61"/>
      <c r="D17" s="59"/>
      <c r="E17" s="16"/>
      <c r="F17" s="16"/>
      <c r="G17" s="16"/>
      <c r="H17" s="16"/>
      <c r="I17" s="16"/>
      <c r="J17" s="16"/>
      <c r="K17" s="16"/>
      <c r="L17" s="16"/>
      <c r="M17" s="16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</row>
    <row r="18" spans="1:26" ht="12.75" customHeight="1" x14ac:dyDescent="0.3">
      <c r="A18" s="20" t="s">
        <v>15</v>
      </c>
      <c r="B18" s="72" t="s">
        <v>16</v>
      </c>
      <c r="C18" s="61"/>
      <c r="D18" s="59"/>
      <c r="E18" s="16"/>
      <c r="F18" s="16"/>
      <c r="G18" s="16"/>
      <c r="H18" s="16"/>
      <c r="I18" s="16"/>
      <c r="J18" s="16"/>
      <c r="K18" s="16"/>
      <c r="L18" s="16"/>
      <c r="M18" s="16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</row>
    <row r="19" spans="1:26" ht="12.75" customHeight="1" x14ac:dyDescent="0.3">
      <c r="A19" s="20"/>
      <c r="B19" s="73" t="s">
        <v>17</v>
      </c>
      <c r="C19" s="74" t="s">
        <v>18</v>
      </c>
      <c r="D19" s="16" t="s">
        <v>12</v>
      </c>
      <c r="E19" s="16">
        <v>98</v>
      </c>
      <c r="F19" s="16">
        <v>103</v>
      </c>
      <c r="G19" s="16">
        <v>75</v>
      </c>
      <c r="H19" s="16">
        <v>123</v>
      </c>
      <c r="I19" s="16">
        <v>98</v>
      </c>
      <c r="J19" s="16">
        <v>116</v>
      </c>
      <c r="K19" s="16">
        <v>70</v>
      </c>
      <c r="L19" s="16">
        <v>99</v>
      </c>
      <c r="M19" s="16">
        <v>97</v>
      </c>
      <c r="N19" s="16">
        <v>106</v>
      </c>
      <c r="O19" s="16">
        <v>101</v>
      </c>
      <c r="P19" s="16">
        <v>108</v>
      </c>
      <c r="Q19" s="16">
        <v>107</v>
      </c>
      <c r="R19" s="16">
        <v>108</v>
      </c>
      <c r="S19" s="16">
        <v>106</v>
      </c>
      <c r="T19" s="16">
        <v>68</v>
      </c>
      <c r="U19" s="16">
        <v>97</v>
      </c>
      <c r="V19" s="16">
        <v>101</v>
      </c>
      <c r="W19" s="16">
        <v>94</v>
      </c>
      <c r="X19" s="16">
        <v>91</v>
      </c>
      <c r="Y19" s="16">
        <v>97</v>
      </c>
      <c r="Z19" s="13">
        <f t="shared" ref="Z19:Z30" si="2">SUM(E19:Y19)</f>
        <v>2063</v>
      </c>
    </row>
    <row r="20" spans="1:26" ht="12.75" customHeight="1" x14ac:dyDescent="0.3">
      <c r="A20" s="21"/>
      <c r="B20" s="69"/>
      <c r="C20" s="75"/>
      <c r="D20" s="16" t="s">
        <v>13</v>
      </c>
      <c r="E20" s="16">
        <v>102</v>
      </c>
      <c r="F20" s="16">
        <v>79</v>
      </c>
      <c r="G20" s="16">
        <v>82</v>
      </c>
      <c r="H20" s="16">
        <v>108</v>
      </c>
      <c r="I20" s="16">
        <v>102</v>
      </c>
      <c r="J20" s="16">
        <v>109</v>
      </c>
      <c r="K20" s="16">
        <v>78</v>
      </c>
      <c r="L20" s="16">
        <v>107</v>
      </c>
      <c r="M20" s="16">
        <v>103</v>
      </c>
      <c r="N20" s="16">
        <v>88</v>
      </c>
      <c r="O20" s="16">
        <v>108</v>
      </c>
      <c r="P20" s="16">
        <v>120</v>
      </c>
      <c r="Q20" s="16">
        <v>102</v>
      </c>
      <c r="R20" s="16">
        <v>109</v>
      </c>
      <c r="S20" s="16">
        <v>115</v>
      </c>
      <c r="T20" s="16">
        <v>71</v>
      </c>
      <c r="U20" s="16">
        <v>101</v>
      </c>
      <c r="V20" s="16">
        <v>96</v>
      </c>
      <c r="W20" s="16">
        <v>102</v>
      </c>
      <c r="X20" s="16">
        <v>110</v>
      </c>
      <c r="Y20" s="16">
        <v>106</v>
      </c>
      <c r="Z20" s="13">
        <f t="shared" si="2"/>
        <v>2098</v>
      </c>
    </row>
    <row r="21" spans="1:26" ht="12.75" customHeight="1" x14ac:dyDescent="0.3">
      <c r="A21" s="22"/>
      <c r="B21" s="70"/>
      <c r="C21" s="76"/>
      <c r="D21" s="13" t="s">
        <v>14</v>
      </c>
      <c r="E21" s="13">
        <f t="shared" ref="E21:Y21" si="3">SUM(E19:E20)</f>
        <v>200</v>
      </c>
      <c r="F21" s="13">
        <f t="shared" si="3"/>
        <v>182</v>
      </c>
      <c r="G21" s="13">
        <f t="shared" si="3"/>
        <v>157</v>
      </c>
      <c r="H21" s="13">
        <f t="shared" si="3"/>
        <v>231</v>
      </c>
      <c r="I21" s="13">
        <f t="shared" si="3"/>
        <v>200</v>
      </c>
      <c r="J21" s="13">
        <f t="shared" si="3"/>
        <v>225</v>
      </c>
      <c r="K21" s="13">
        <f t="shared" si="3"/>
        <v>148</v>
      </c>
      <c r="L21" s="13">
        <f t="shared" si="3"/>
        <v>206</v>
      </c>
      <c r="M21" s="13">
        <f t="shared" si="3"/>
        <v>200</v>
      </c>
      <c r="N21" s="13">
        <f t="shared" si="3"/>
        <v>194</v>
      </c>
      <c r="O21" s="13">
        <f t="shared" si="3"/>
        <v>209</v>
      </c>
      <c r="P21" s="13">
        <f t="shared" si="3"/>
        <v>228</v>
      </c>
      <c r="Q21" s="13">
        <f t="shared" si="3"/>
        <v>209</v>
      </c>
      <c r="R21" s="13">
        <f t="shared" si="3"/>
        <v>217</v>
      </c>
      <c r="S21" s="13">
        <f t="shared" si="3"/>
        <v>221</v>
      </c>
      <c r="T21" s="13">
        <f t="shared" si="3"/>
        <v>139</v>
      </c>
      <c r="U21" s="13">
        <f t="shared" si="3"/>
        <v>198</v>
      </c>
      <c r="V21" s="13">
        <f t="shared" si="3"/>
        <v>197</v>
      </c>
      <c r="W21" s="13">
        <f t="shared" si="3"/>
        <v>196</v>
      </c>
      <c r="X21" s="13">
        <f t="shared" si="3"/>
        <v>201</v>
      </c>
      <c r="Y21" s="13">
        <f t="shared" si="3"/>
        <v>203</v>
      </c>
      <c r="Z21" s="13">
        <f t="shared" si="2"/>
        <v>4161</v>
      </c>
    </row>
    <row r="22" spans="1:26" ht="12.75" customHeight="1" x14ac:dyDescent="0.3">
      <c r="A22" s="21"/>
      <c r="B22" s="73" t="s">
        <v>19</v>
      </c>
      <c r="C22" s="74" t="s">
        <v>20</v>
      </c>
      <c r="D22" s="16" t="s">
        <v>12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1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/>
      <c r="U22" s="16"/>
      <c r="V22" s="16"/>
      <c r="W22" s="16"/>
      <c r="X22" s="16"/>
      <c r="Y22" s="16"/>
      <c r="Z22" s="13">
        <f t="shared" si="2"/>
        <v>1</v>
      </c>
    </row>
    <row r="23" spans="1:26" ht="12.75" customHeight="1" x14ac:dyDescent="0.3">
      <c r="A23" s="21"/>
      <c r="B23" s="69"/>
      <c r="C23" s="75"/>
      <c r="D23" s="16" t="s">
        <v>13</v>
      </c>
      <c r="E23" s="16">
        <v>0</v>
      </c>
      <c r="F23" s="16">
        <v>0</v>
      </c>
      <c r="G23" s="16">
        <v>0</v>
      </c>
      <c r="H23" s="16">
        <v>0</v>
      </c>
      <c r="I23" s="16">
        <v>1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/>
      <c r="U23" s="16"/>
      <c r="V23" s="16"/>
      <c r="W23" s="16"/>
      <c r="X23" s="16"/>
      <c r="Y23" s="16"/>
      <c r="Z23" s="13">
        <f t="shared" si="2"/>
        <v>1</v>
      </c>
    </row>
    <row r="24" spans="1:26" ht="12.75" customHeight="1" x14ac:dyDescent="0.3">
      <c r="A24" s="22"/>
      <c r="B24" s="70"/>
      <c r="C24" s="76"/>
      <c r="D24" s="13" t="s">
        <v>14</v>
      </c>
      <c r="E24" s="13">
        <f t="shared" ref="E24:Y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1</v>
      </c>
      <c r="J24" s="13">
        <f t="shared" si="4"/>
        <v>0</v>
      </c>
      <c r="K24" s="13">
        <f t="shared" si="4"/>
        <v>1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2"/>
        <v>2</v>
      </c>
    </row>
    <row r="25" spans="1:26" ht="12.75" customHeight="1" x14ac:dyDescent="0.3">
      <c r="A25" s="21"/>
      <c r="B25" s="73" t="s">
        <v>21</v>
      </c>
      <c r="C25" s="74" t="s">
        <v>22</v>
      </c>
      <c r="D25" s="16" t="s">
        <v>12</v>
      </c>
      <c r="E25" s="16">
        <v>0</v>
      </c>
      <c r="F25" s="16">
        <v>0</v>
      </c>
      <c r="G25" s="16">
        <v>1</v>
      </c>
      <c r="H25" s="16">
        <v>0</v>
      </c>
      <c r="I25" s="16">
        <v>1</v>
      </c>
      <c r="J25" s="16">
        <v>1</v>
      </c>
      <c r="K25" s="16">
        <v>0</v>
      </c>
      <c r="L25" s="16">
        <v>0</v>
      </c>
      <c r="M25" s="16">
        <v>0</v>
      </c>
      <c r="N25" s="16">
        <v>0</v>
      </c>
      <c r="O25" s="16">
        <v>1</v>
      </c>
      <c r="P25" s="16">
        <v>0</v>
      </c>
      <c r="Q25" s="16">
        <v>0</v>
      </c>
      <c r="R25" s="16">
        <v>2</v>
      </c>
      <c r="S25" s="16">
        <v>1</v>
      </c>
      <c r="T25" s="16">
        <v>0</v>
      </c>
      <c r="U25" s="16">
        <v>3</v>
      </c>
      <c r="V25" s="16">
        <v>0</v>
      </c>
      <c r="W25" s="16">
        <v>1</v>
      </c>
      <c r="X25" s="16">
        <v>3</v>
      </c>
      <c r="Y25" s="16">
        <v>0</v>
      </c>
      <c r="Z25" s="13">
        <f t="shared" si="2"/>
        <v>14</v>
      </c>
    </row>
    <row r="26" spans="1:26" ht="12.75" customHeight="1" x14ac:dyDescent="0.3">
      <c r="A26" s="21"/>
      <c r="B26" s="69"/>
      <c r="C26" s="75"/>
      <c r="D26" s="16" t="s">
        <v>13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3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2</v>
      </c>
      <c r="S26" s="16">
        <v>1</v>
      </c>
      <c r="T26" s="16">
        <v>0</v>
      </c>
      <c r="U26" s="16">
        <v>1</v>
      </c>
      <c r="V26" s="16">
        <v>0</v>
      </c>
      <c r="W26" s="16">
        <v>0</v>
      </c>
      <c r="X26" s="16">
        <v>1</v>
      </c>
      <c r="Y26" s="16">
        <v>0</v>
      </c>
      <c r="Z26" s="13">
        <f t="shared" si="2"/>
        <v>10</v>
      </c>
    </row>
    <row r="27" spans="1:26" ht="12.75" customHeight="1" x14ac:dyDescent="0.3">
      <c r="A27" s="22"/>
      <c r="B27" s="70"/>
      <c r="C27" s="76"/>
      <c r="D27" s="13" t="s">
        <v>14</v>
      </c>
      <c r="E27" s="13">
        <f t="shared" ref="E27:Y27" si="5">SUM(E25:E26)</f>
        <v>0</v>
      </c>
      <c r="F27" s="13">
        <f t="shared" si="5"/>
        <v>0</v>
      </c>
      <c r="G27" s="13">
        <f t="shared" si="5"/>
        <v>1</v>
      </c>
      <c r="H27" s="13">
        <f t="shared" si="5"/>
        <v>0</v>
      </c>
      <c r="I27" s="13">
        <f t="shared" si="5"/>
        <v>1</v>
      </c>
      <c r="J27" s="13">
        <f t="shared" si="5"/>
        <v>4</v>
      </c>
      <c r="K27" s="13">
        <f t="shared" si="5"/>
        <v>1</v>
      </c>
      <c r="L27" s="13">
        <f t="shared" si="5"/>
        <v>0</v>
      </c>
      <c r="M27" s="13">
        <f t="shared" si="5"/>
        <v>0</v>
      </c>
      <c r="N27" s="13">
        <f t="shared" si="5"/>
        <v>1</v>
      </c>
      <c r="O27" s="13">
        <f t="shared" si="5"/>
        <v>1</v>
      </c>
      <c r="P27" s="13">
        <f t="shared" si="5"/>
        <v>0</v>
      </c>
      <c r="Q27" s="13">
        <f t="shared" si="5"/>
        <v>0</v>
      </c>
      <c r="R27" s="13">
        <f t="shared" si="5"/>
        <v>4</v>
      </c>
      <c r="S27" s="13">
        <f t="shared" si="5"/>
        <v>2</v>
      </c>
      <c r="T27" s="13">
        <f t="shared" si="5"/>
        <v>0</v>
      </c>
      <c r="U27" s="13">
        <f t="shared" si="5"/>
        <v>4</v>
      </c>
      <c r="V27" s="13">
        <f t="shared" si="5"/>
        <v>0</v>
      </c>
      <c r="W27" s="13">
        <f t="shared" si="5"/>
        <v>1</v>
      </c>
      <c r="X27" s="13">
        <f t="shared" si="5"/>
        <v>4</v>
      </c>
      <c r="Y27" s="13">
        <f t="shared" si="5"/>
        <v>0</v>
      </c>
      <c r="Z27" s="13">
        <f t="shared" si="2"/>
        <v>24</v>
      </c>
    </row>
    <row r="28" spans="1:26" ht="12.75" customHeight="1" x14ac:dyDescent="0.3">
      <c r="A28" s="22"/>
      <c r="B28" s="77" t="s">
        <v>23</v>
      </c>
      <c r="C28" s="78" t="s">
        <v>24</v>
      </c>
      <c r="D28" s="13" t="s">
        <v>12</v>
      </c>
      <c r="E28" s="13">
        <f t="shared" ref="E28:Y28" si="6">SUM(E19,E22,E25)</f>
        <v>98</v>
      </c>
      <c r="F28" s="13">
        <f t="shared" si="6"/>
        <v>103</v>
      </c>
      <c r="G28" s="13">
        <f t="shared" si="6"/>
        <v>76</v>
      </c>
      <c r="H28" s="13">
        <f t="shared" si="6"/>
        <v>123</v>
      </c>
      <c r="I28" s="13">
        <f t="shared" si="6"/>
        <v>99</v>
      </c>
      <c r="J28" s="13">
        <f t="shared" si="6"/>
        <v>117</v>
      </c>
      <c r="K28" s="13">
        <f t="shared" si="6"/>
        <v>71</v>
      </c>
      <c r="L28" s="13">
        <f t="shared" si="6"/>
        <v>99</v>
      </c>
      <c r="M28" s="13">
        <f t="shared" si="6"/>
        <v>97</v>
      </c>
      <c r="N28" s="13">
        <f t="shared" si="6"/>
        <v>106</v>
      </c>
      <c r="O28" s="13">
        <f t="shared" si="6"/>
        <v>102</v>
      </c>
      <c r="P28" s="13">
        <f t="shared" si="6"/>
        <v>108</v>
      </c>
      <c r="Q28" s="13">
        <f t="shared" si="6"/>
        <v>107</v>
      </c>
      <c r="R28" s="13">
        <f t="shared" si="6"/>
        <v>110</v>
      </c>
      <c r="S28" s="13">
        <f t="shared" si="6"/>
        <v>107</v>
      </c>
      <c r="T28" s="13">
        <f t="shared" si="6"/>
        <v>68</v>
      </c>
      <c r="U28" s="13">
        <f t="shared" si="6"/>
        <v>100</v>
      </c>
      <c r="V28" s="13">
        <f t="shared" si="6"/>
        <v>101</v>
      </c>
      <c r="W28" s="13">
        <f t="shared" si="6"/>
        <v>95</v>
      </c>
      <c r="X28" s="13">
        <f t="shared" si="6"/>
        <v>94</v>
      </c>
      <c r="Y28" s="13">
        <f t="shared" si="6"/>
        <v>97</v>
      </c>
      <c r="Z28" s="13">
        <f t="shared" si="2"/>
        <v>2078</v>
      </c>
    </row>
    <row r="29" spans="1:26" ht="12.75" customHeight="1" x14ac:dyDescent="0.3">
      <c r="A29" s="22"/>
      <c r="B29" s="69"/>
      <c r="C29" s="75"/>
      <c r="D29" s="13" t="s">
        <v>13</v>
      </c>
      <c r="E29" s="13">
        <f t="shared" ref="E29:Y29" si="7">SUM(E20,E23,E26)</f>
        <v>102</v>
      </c>
      <c r="F29" s="13">
        <f t="shared" si="7"/>
        <v>79</v>
      </c>
      <c r="G29" s="13">
        <f t="shared" si="7"/>
        <v>82</v>
      </c>
      <c r="H29" s="13">
        <f t="shared" si="7"/>
        <v>108</v>
      </c>
      <c r="I29" s="13">
        <f t="shared" si="7"/>
        <v>103</v>
      </c>
      <c r="J29" s="13">
        <f t="shared" si="7"/>
        <v>112</v>
      </c>
      <c r="K29" s="13">
        <f t="shared" si="7"/>
        <v>79</v>
      </c>
      <c r="L29" s="13">
        <f t="shared" si="7"/>
        <v>107</v>
      </c>
      <c r="M29" s="13">
        <f t="shared" si="7"/>
        <v>103</v>
      </c>
      <c r="N29" s="13">
        <f t="shared" si="7"/>
        <v>89</v>
      </c>
      <c r="O29" s="13">
        <f t="shared" si="7"/>
        <v>108</v>
      </c>
      <c r="P29" s="13">
        <f t="shared" si="7"/>
        <v>120</v>
      </c>
      <c r="Q29" s="13">
        <f t="shared" si="7"/>
        <v>102</v>
      </c>
      <c r="R29" s="13">
        <f t="shared" si="7"/>
        <v>111</v>
      </c>
      <c r="S29" s="13">
        <f t="shared" si="7"/>
        <v>116</v>
      </c>
      <c r="T29" s="13">
        <f t="shared" si="7"/>
        <v>71</v>
      </c>
      <c r="U29" s="13">
        <f t="shared" si="7"/>
        <v>102</v>
      </c>
      <c r="V29" s="13">
        <f t="shared" si="7"/>
        <v>96</v>
      </c>
      <c r="W29" s="13">
        <f t="shared" si="7"/>
        <v>102</v>
      </c>
      <c r="X29" s="13">
        <f t="shared" si="7"/>
        <v>111</v>
      </c>
      <c r="Y29" s="13">
        <f t="shared" si="7"/>
        <v>106</v>
      </c>
      <c r="Z29" s="13">
        <f t="shared" si="2"/>
        <v>2109</v>
      </c>
    </row>
    <row r="30" spans="1:26" ht="12.75" customHeight="1" x14ac:dyDescent="0.3">
      <c r="A30" s="22"/>
      <c r="B30" s="70"/>
      <c r="C30" s="76"/>
      <c r="D30" s="13" t="s">
        <v>14</v>
      </c>
      <c r="E30" s="13">
        <f t="shared" ref="E30:Y30" si="8">SUM(E28:E29)</f>
        <v>200</v>
      </c>
      <c r="F30" s="13">
        <f t="shared" si="8"/>
        <v>182</v>
      </c>
      <c r="G30" s="13">
        <f t="shared" si="8"/>
        <v>158</v>
      </c>
      <c r="H30" s="13">
        <f t="shared" si="8"/>
        <v>231</v>
      </c>
      <c r="I30" s="13">
        <f t="shared" si="8"/>
        <v>202</v>
      </c>
      <c r="J30" s="13">
        <f t="shared" si="8"/>
        <v>229</v>
      </c>
      <c r="K30" s="13">
        <f t="shared" si="8"/>
        <v>150</v>
      </c>
      <c r="L30" s="13">
        <f t="shared" si="8"/>
        <v>206</v>
      </c>
      <c r="M30" s="13">
        <f t="shared" si="8"/>
        <v>200</v>
      </c>
      <c r="N30" s="13">
        <f t="shared" si="8"/>
        <v>195</v>
      </c>
      <c r="O30" s="13">
        <f t="shared" si="8"/>
        <v>210</v>
      </c>
      <c r="P30" s="13">
        <f t="shared" si="8"/>
        <v>228</v>
      </c>
      <c r="Q30" s="13">
        <f t="shared" si="8"/>
        <v>209</v>
      </c>
      <c r="R30" s="13">
        <f t="shared" si="8"/>
        <v>221</v>
      </c>
      <c r="S30" s="13">
        <f t="shared" si="8"/>
        <v>223</v>
      </c>
      <c r="T30" s="13">
        <f t="shared" si="8"/>
        <v>139</v>
      </c>
      <c r="U30" s="13">
        <f t="shared" si="8"/>
        <v>202</v>
      </c>
      <c r="V30" s="13">
        <f t="shared" si="8"/>
        <v>197</v>
      </c>
      <c r="W30" s="13">
        <f t="shared" si="8"/>
        <v>197</v>
      </c>
      <c r="X30" s="13">
        <f t="shared" si="8"/>
        <v>205</v>
      </c>
      <c r="Y30" s="13">
        <f t="shared" si="8"/>
        <v>203</v>
      </c>
      <c r="Z30" s="13">
        <f t="shared" si="2"/>
        <v>4187</v>
      </c>
    </row>
    <row r="31" spans="1:26" ht="12.75" customHeight="1" x14ac:dyDescent="0.3">
      <c r="A31" s="62"/>
      <c r="B31" s="61"/>
      <c r="C31" s="61"/>
      <c r="D31" s="59"/>
      <c r="E31" s="16"/>
      <c r="F31" s="16"/>
      <c r="G31" s="16"/>
      <c r="H31" s="16"/>
      <c r="I31" s="16"/>
      <c r="J31" s="16"/>
      <c r="K31" s="16"/>
      <c r="L31" s="16"/>
      <c r="M31" s="16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1:26" ht="12.75" customHeight="1" x14ac:dyDescent="0.3">
      <c r="A32" s="25" t="s">
        <v>25</v>
      </c>
      <c r="B32" s="65" t="s">
        <v>26</v>
      </c>
      <c r="C32" s="61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1"/>
    </row>
    <row r="33" spans="1:26" ht="12.75" customHeight="1" x14ac:dyDescent="0.3">
      <c r="A33" s="16">
        <v>1</v>
      </c>
      <c r="B33" s="72" t="s">
        <v>27</v>
      </c>
      <c r="C33" s="61"/>
      <c r="D33" s="59"/>
      <c r="E33" s="16">
        <v>279</v>
      </c>
      <c r="F33" s="16">
        <v>279</v>
      </c>
      <c r="G33" s="16">
        <v>232</v>
      </c>
      <c r="H33" s="16">
        <v>297</v>
      </c>
      <c r="I33" s="16">
        <v>292</v>
      </c>
      <c r="J33" s="16">
        <v>300</v>
      </c>
      <c r="K33" s="16">
        <v>213</v>
      </c>
      <c r="L33" s="16">
        <v>282</v>
      </c>
      <c r="M33" s="16">
        <v>286</v>
      </c>
      <c r="N33" s="16">
        <v>283</v>
      </c>
      <c r="O33" s="16">
        <v>280</v>
      </c>
      <c r="P33" s="16">
        <v>291</v>
      </c>
      <c r="Q33" s="16">
        <v>295</v>
      </c>
      <c r="R33" s="16">
        <v>287</v>
      </c>
      <c r="S33" s="16">
        <v>295</v>
      </c>
      <c r="T33" s="16">
        <v>201</v>
      </c>
      <c r="U33" s="16">
        <v>285</v>
      </c>
      <c r="V33" s="16">
        <v>281</v>
      </c>
      <c r="W33" s="16">
        <v>265</v>
      </c>
      <c r="X33" s="16">
        <v>288</v>
      </c>
      <c r="Y33" s="16">
        <v>290</v>
      </c>
      <c r="Z33" s="13">
        <f t="shared" ref="Z33:Z36" si="9">SUM(E33:Y33)</f>
        <v>5801</v>
      </c>
    </row>
    <row r="34" spans="1:26" ht="12.75" customHeight="1" x14ac:dyDescent="0.3">
      <c r="A34" s="16">
        <v>2</v>
      </c>
      <c r="B34" s="72" t="s">
        <v>28</v>
      </c>
      <c r="C34" s="61"/>
      <c r="D34" s="59"/>
      <c r="E34" s="13">
        <v>200</v>
      </c>
      <c r="F34" s="13">
        <v>182</v>
      </c>
      <c r="G34" s="13">
        <v>158</v>
      </c>
      <c r="H34" s="13">
        <v>231</v>
      </c>
      <c r="I34" s="13">
        <v>202</v>
      </c>
      <c r="J34" s="13">
        <v>229</v>
      </c>
      <c r="K34" s="13">
        <v>150</v>
      </c>
      <c r="L34" s="13">
        <v>206</v>
      </c>
      <c r="M34" s="13">
        <v>200</v>
      </c>
      <c r="N34" s="13">
        <v>195</v>
      </c>
      <c r="O34" s="13">
        <v>210</v>
      </c>
      <c r="P34" s="13">
        <v>228</v>
      </c>
      <c r="Q34" s="13">
        <v>209</v>
      </c>
      <c r="R34" s="13">
        <v>221</v>
      </c>
      <c r="S34" s="13">
        <v>223</v>
      </c>
      <c r="T34" s="13">
        <v>139</v>
      </c>
      <c r="U34" s="13">
        <v>202</v>
      </c>
      <c r="V34" s="13">
        <v>197</v>
      </c>
      <c r="W34" s="13">
        <v>197</v>
      </c>
      <c r="X34" s="13">
        <v>205</v>
      </c>
      <c r="Y34" s="13">
        <v>203</v>
      </c>
      <c r="Z34" s="13">
        <f t="shared" si="9"/>
        <v>4187</v>
      </c>
    </row>
    <row r="35" spans="1:26" ht="12.75" customHeight="1" x14ac:dyDescent="0.3">
      <c r="A35" s="16">
        <v>3</v>
      </c>
      <c r="B35" s="72" t="s">
        <v>29</v>
      </c>
      <c r="C35" s="61"/>
      <c r="D35" s="59"/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1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25</v>
      </c>
      <c r="S35" s="16">
        <v>0</v>
      </c>
      <c r="T35" s="16">
        <v>0</v>
      </c>
      <c r="U35" s="16">
        <v>3</v>
      </c>
      <c r="V35" s="16">
        <v>0</v>
      </c>
      <c r="W35" s="16">
        <v>0</v>
      </c>
      <c r="X35" s="16">
        <v>0</v>
      </c>
      <c r="Y35" s="16">
        <v>1</v>
      </c>
      <c r="Z35" s="13">
        <f t="shared" si="9"/>
        <v>30</v>
      </c>
    </row>
    <row r="36" spans="1:26" ht="12.75" customHeight="1" x14ac:dyDescent="0.3">
      <c r="A36" s="16">
        <v>4</v>
      </c>
      <c r="B36" s="72" t="s">
        <v>30</v>
      </c>
      <c r="C36" s="61"/>
      <c r="D36" s="59"/>
      <c r="E36" s="13">
        <f t="shared" ref="E36:Y36" si="10">E33-(E34+E35)</f>
        <v>79</v>
      </c>
      <c r="F36" s="13">
        <f t="shared" si="10"/>
        <v>97</v>
      </c>
      <c r="G36" s="13">
        <f t="shared" si="10"/>
        <v>74</v>
      </c>
      <c r="H36" s="13">
        <f t="shared" si="10"/>
        <v>66</v>
      </c>
      <c r="I36" s="13">
        <f t="shared" si="10"/>
        <v>90</v>
      </c>
      <c r="J36" s="13">
        <f t="shared" si="10"/>
        <v>70</v>
      </c>
      <c r="K36" s="13">
        <f t="shared" si="10"/>
        <v>63</v>
      </c>
      <c r="L36" s="13">
        <f t="shared" si="10"/>
        <v>76</v>
      </c>
      <c r="M36" s="13">
        <f t="shared" si="10"/>
        <v>86</v>
      </c>
      <c r="N36" s="13">
        <f t="shared" si="10"/>
        <v>88</v>
      </c>
      <c r="O36" s="13">
        <f t="shared" si="10"/>
        <v>70</v>
      </c>
      <c r="P36" s="13">
        <f t="shared" si="10"/>
        <v>63</v>
      </c>
      <c r="Q36" s="13">
        <f t="shared" si="10"/>
        <v>86</v>
      </c>
      <c r="R36" s="13">
        <f t="shared" si="10"/>
        <v>41</v>
      </c>
      <c r="S36" s="13">
        <f t="shared" si="10"/>
        <v>72</v>
      </c>
      <c r="T36" s="13">
        <f t="shared" si="10"/>
        <v>62</v>
      </c>
      <c r="U36" s="13">
        <f t="shared" si="10"/>
        <v>80</v>
      </c>
      <c r="V36" s="13">
        <f t="shared" si="10"/>
        <v>84</v>
      </c>
      <c r="W36" s="13">
        <f t="shared" si="10"/>
        <v>68</v>
      </c>
      <c r="X36" s="13">
        <f t="shared" si="10"/>
        <v>83</v>
      </c>
      <c r="Y36" s="13">
        <f t="shared" si="10"/>
        <v>86</v>
      </c>
      <c r="Z36" s="13">
        <f t="shared" si="9"/>
        <v>1584</v>
      </c>
    </row>
    <row r="37" spans="1:26" ht="12.75" customHeight="1" x14ac:dyDescent="0.3">
      <c r="A37" s="62"/>
      <c r="B37" s="61"/>
      <c r="C37" s="61"/>
      <c r="D37" s="61"/>
      <c r="E37" s="62"/>
      <c r="F37" s="61"/>
      <c r="G37" s="61"/>
      <c r="H37" s="61"/>
      <c r="I37" s="59"/>
      <c r="J37" s="16"/>
      <c r="K37" s="16"/>
      <c r="L37" s="16"/>
      <c r="M37" s="16"/>
      <c r="N37" s="50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1"/>
    </row>
    <row r="38" spans="1:26" ht="12.75" customHeight="1" x14ac:dyDescent="0.3">
      <c r="A38" s="26" t="s">
        <v>31</v>
      </c>
      <c r="B38" s="65" t="s">
        <v>32</v>
      </c>
      <c r="C38" s="61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1"/>
    </row>
    <row r="39" spans="1:26" ht="12.75" customHeight="1" x14ac:dyDescent="0.3">
      <c r="A39" s="20"/>
      <c r="B39" s="66" t="s">
        <v>33</v>
      </c>
      <c r="C39" s="67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1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2</v>
      </c>
      <c r="W39" s="16">
        <v>0</v>
      </c>
      <c r="X39" s="16">
        <v>0</v>
      </c>
      <c r="Y39" s="16">
        <v>0</v>
      </c>
      <c r="Z39" s="13">
        <f t="shared" ref="Z39:Z41" si="11">SUM(E39:Y39)</f>
        <v>3</v>
      </c>
    </row>
    <row r="40" spans="1:26" ht="12.75" customHeight="1" x14ac:dyDescent="0.3">
      <c r="A40" s="21"/>
      <c r="B40" s="68"/>
      <c r="C40" s="69"/>
      <c r="D40" s="16" t="s">
        <v>13</v>
      </c>
      <c r="E40" s="16">
        <v>1</v>
      </c>
      <c r="F40" s="16">
        <v>0</v>
      </c>
      <c r="G40" s="16">
        <v>0</v>
      </c>
      <c r="H40" s="16">
        <v>0</v>
      </c>
      <c r="I40" s="16">
        <v>0</v>
      </c>
      <c r="J40" s="16">
        <v>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3">
        <f t="shared" si="11"/>
        <v>2</v>
      </c>
    </row>
    <row r="41" spans="1:26" ht="12.75" customHeight="1" x14ac:dyDescent="0.3">
      <c r="A41" s="25"/>
      <c r="B41" s="64"/>
      <c r="C41" s="70"/>
      <c r="D41" s="13" t="s">
        <v>14</v>
      </c>
      <c r="E41" s="13">
        <f t="shared" ref="E41:Y41" si="12">SUM(E39:E40)</f>
        <v>1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1</v>
      </c>
      <c r="K41" s="13">
        <f t="shared" si="12"/>
        <v>0</v>
      </c>
      <c r="L41" s="13">
        <f t="shared" si="12"/>
        <v>0</v>
      </c>
      <c r="M41" s="13">
        <f t="shared" si="12"/>
        <v>1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2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1"/>
        <v>5</v>
      </c>
    </row>
    <row r="42" spans="1:26" ht="12.75" customHeight="1" x14ac:dyDescent="0.3">
      <c r="A42" s="63"/>
      <c r="B42" s="64"/>
      <c r="C42" s="64"/>
      <c r="D42" s="70"/>
      <c r="E42" s="62"/>
      <c r="F42" s="61"/>
      <c r="G42" s="61"/>
      <c r="H42" s="61"/>
      <c r="I42" s="59"/>
      <c r="J42" s="16"/>
      <c r="K42" s="16"/>
      <c r="L42" s="16"/>
      <c r="M42" s="16"/>
      <c r="N42" s="50"/>
      <c r="O42" s="16"/>
      <c r="P42" s="50"/>
      <c r="Q42" s="16"/>
      <c r="R42" s="50"/>
      <c r="S42" s="16"/>
      <c r="T42" s="50"/>
      <c r="U42" s="16"/>
      <c r="V42" s="50"/>
      <c r="W42" s="16"/>
      <c r="X42" s="50"/>
      <c r="Y42" s="16"/>
      <c r="Z42" s="13"/>
    </row>
    <row r="43" spans="1:26" ht="12.75" customHeight="1" x14ac:dyDescent="0.3">
      <c r="A43" s="26" t="s">
        <v>34</v>
      </c>
      <c r="B43" s="65" t="s">
        <v>35</v>
      </c>
      <c r="C43" s="61"/>
      <c r="D43" s="59"/>
      <c r="E43" s="19"/>
      <c r="F43" s="13"/>
      <c r="G43" s="13"/>
      <c r="H43" s="13"/>
      <c r="I43" s="13"/>
      <c r="J43" s="13"/>
      <c r="K43" s="13"/>
      <c r="L43" s="13"/>
      <c r="M43" s="13"/>
      <c r="N43" s="52"/>
      <c r="O43" s="13"/>
      <c r="P43" s="52"/>
      <c r="Q43" s="13"/>
      <c r="R43" s="52"/>
      <c r="S43" s="13"/>
      <c r="T43" s="52"/>
      <c r="U43" s="13"/>
      <c r="V43" s="52"/>
      <c r="W43" s="13"/>
      <c r="X43" s="52"/>
      <c r="Y43" s="13"/>
      <c r="Z43" s="13"/>
    </row>
    <row r="44" spans="1:26" ht="12.75" customHeight="1" x14ac:dyDescent="0.3">
      <c r="A44" s="66" t="s">
        <v>36</v>
      </c>
      <c r="B44" s="71"/>
      <c r="C44" s="71"/>
      <c r="D44" s="67"/>
      <c r="E44" s="17"/>
      <c r="F44" s="16"/>
      <c r="G44" s="16"/>
      <c r="H44" s="16"/>
      <c r="I44" s="16"/>
      <c r="J44" s="16"/>
      <c r="K44" s="16"/>
      <c r="L44" s="16"/>
      <c r="M44" s="16"/>
      <c r="N44" s="50"/>
      <c r="O44" s="16"/>
      <c r="P44" s="50"/>
      <c r="Q44" s="16"/>
      <c r="R44" s="50"/>
      <c r="S44" s="16"/>
      <c r="T44" s="50"/>
      <c r="U44" s="16"/>
      <c r="V44" s="50"/>
      <c r="W44" s="16"/>
      <c r="X44" s="50"/>
      <c r="Y44" s="16"/>
      <c r="Z44" s="13"/>
    </row>
    <row r="45" spans="1:26" ht="12.75" customHeight="1" x14ac:dyDescent="0.3">
      <c r="A45" s="20" t="s">
        <v>37</v>
      </c>
      <c r="B45" s="27" t="s">
        <v>17</v>
      </c>
      <c r="C45" s="58" t="s">
        <v>38</v>
      </c>
      <c r="D45" s="59"/>
      <c r="E45" s="16">
        <v>3</v>
      </c>
      <c r="F45" s="16">
        <v>3</v>
      </c>
      <c r="G45" s="16">
        <v>1</v>
      </c>
      <c r="H45" s="16">
        <v>9</v>
      </c>
      <c r="I45" s="16">
        <v>14</v>
      </c>
      <c r="J45" s="16">
        <v>7</v>
      </c>
      <c r="K45" s="16">
        <v>7</v>
      </c>
      <c r="L45" s="16">
        <v>6</v>
      </c>
      <c r="M45" s="16">
        <v>12</v>
      </c>
      <c r="N45" s="16">
        <v>7</v>
      </c>
      <c r="O45" s="16">
        <v>18</v>
      </c>
      <c r="P45" s="16">
        <v>6</v>
      </c>
      <c r="Q45" s="16">
        <v>4</v>
      </c>
      <c r="R45" s="16">
        <v>4</v>
      </c>
      <c r="S45" s="16">
        <v>6</v>
      </c>
      <c r="T45" s="16">
        <v>2</v>
      </c>
      <c r="U45" s="16">
        <v>5</v>
      </c>
      <c r="V45" s="16">
        <v>12</v>
      </c>
      <c r="W45" s="16">
        <v>7</v>
      </c>
      <c r="X45" s="16">
        <v>8</v>
      </c>
      <c r="Y45" s="16">
        <v>3</v>
      </c>
      <c r="Z45" s="13">
        <f t="shared" ref="Z45:Z55" si="13">SUM(E45:Y45)</f>
        <v>144</v>
      </c>
    </row>
    <row r="46" spans="1:26" ht="12.75" customHeight="1" x14ac:dyDescent="0.3">
      <c r="A46" s="20" t="s">
        <v>39</v>
      </c>
      <c r="B46" s="28"/>
      <c r="C46" s="29" t="s">
        <v>40</v>
      </c>
      <c r="D46" s="29"/>
      <c r="E46" s="16">
        <v>14</v>
      </c>
      <c r="F46" s="16">
        <v>3</v>
      </c>
      <c r="G46" s="16">
        <v>6</v>
      </c>
      <c r="H46" s="16">
        <v>14</v>
      </c>
      <c r="I46" s="16">
        <v>12</v>
      </c>
      <c r="J46" s="16">
        <v>18</v>
      </c>
      <c r="K46" s="16">
        <v>5</v>
      </c>
      <c r="L46" s="16">
        <v>21</v>
      </c>
      <c r="M46" s="16">
        <v>25</v>
      </c>
      <c r="N46" s="16">
        <v>24</v>
      </c>
      <c r="O46" s="16">
        <v>65</v>
      </c>
      <c r="P46" s="16">
        <v>18</v>
      </c>
      <c r="Q46" s="16">
        <v>8</v>
      </c>
      <c r="R46" s="16">
        <v>6</v>
      </c>
      <c r="S46" s="16">
        <v>10</v>
      </c>
      <c r="T46" s="16">
        <v>4</v>
      </c>
      <c r="U46" s="16">
        <v>5</v>
      </c>
      <c r="V46" s="16">
        <v>8</v>
      </c>
      <c r="W46" s="16">
        <v>1</v>
      </c>
      <c r="X46" s="16">
        <v>2</v>
      </c>
      <c r="Y46" s="16">
        <v>5</v>
      </c>
      <c r="Z46" s="13">
        <f t="shared" si="13"/>
        <v>274</v>
      </c>
    </row>
    <row r="47" spans="1:26" ht="12.75" customHeight="1" x14ac:dyDescent="0.3">
      <c r="A47" s="15"/>
      <c r="B47" s="34"/>
      <c r="C47" s="29" t="s">
        <v>41</v>
      </c>
      <c r="D47" s="29"/>
      <c r="E47" s="16">
        <v>2</v>
      </c>
      <c r="F47" s="16">
        <v>3</v>
      </c>
      <c r="G47" s="16">
        <v>1</v>
      </c>
      <c r="H47" s="16">
        <v>1</v>
      </c>
      <c r="I47" s="16">
        <v>20</v>
      </c>
      <c r="J47" s="16">
        <v>18</v>
      </c>
      <c r="K47" s="16">
        <v>7</v>
      </c>
      <c r="L47" s="16">
        <v>10</v>
      </c>
      <c r="M47" s="16">
        <v>2</v>
      </c>
      <c r="N47" s="16">
        <v>4</v>
      </c>
      <c r="O47" s="16">
        <v>2</v>
      </c>
      <c r="P47" s="16">
        <v>5</v>
      </c>
      <c r="Q47" s="16">
        <v>2</v>
      </c>
      <c r="R47" s="16">
        <v>0</v>
      </c>
      <c r="S47" s="16">
        <v>3</v>
      </c>
      <c r="T47" s="16">
        <v>0</v>
      </c>
      <c r="U47" s="16">
        <v>0</v>
      </c>
      <c r="V47" s="16">
        <v>1</v>
      </c>
      <c r="W47" s="16">
        <v>0</v>
      </c>
      <c r="X47" s="16">
        <v>0</v>
      </c>
      <c r="Y47" s="16">
        <v>0</v>
      </c>
      <c r="Z47" s="13">
        <f t="shared" si="13"/>
        <v>81</v>
      </c>
    </row>
    <row r="48" spans="1:26" ht="12.75" customHeight="1" x14ac:dyDescent="0.3">
      <c r="A48" s="15"/>
      <c r="B48" s="34"/>
      <c r="C48" s="29" t="s">
        <v>42</v>
      </c>
      <c r="D48" s="29"/>
      <c r="E48" s="16">
        <v>2</v>
      </c>
      <c r="F48" s="16">
        <v>1</v>
      </c>
      <c r="G48" s="16">
        <v>1</v>
      </c>
      <c r="H48" s="16">
        <v>0</v>
      </c>
      <c r="I48" s="16">
        <v>0</v>
      </c>
      <c r="J48" s="16">
        <v>1</v>
      </c>
      <c r="K48" s="16">
        <v>0</v>
      </c>
      <c r="L48" s="16">
        <v>3</v>
      </c>
      <c r="M48" s="16">
        <v>0</v>
      </c>
      <c r="N48" s="16">
        <v>2</v>
      </c>
      <c r="O48" s="16">
        <v>0</v>
      </c>
      <c r="P48" s="16">
        <v>1</v>
      </c>
      <c r="Q48" s="16">
        <v>0</v>
      </c>
      <c r="R48" s="16">
        <v>0</v>
      </c>
      <c r="S48" s="16">
        <v>0</v>
      </c>
      <c r="T48" s="16">
        <v>1</v>
      </c>
      <c r="U48" s="16">
        <v>0</v>
      </c>
      <c r="V48" s="16">
        <v>1</v>
      </c>
      <c r="W48" s="16">
        <v>1</v>
      </c>
      <c r="X48" s="16">
        <v>0</v>
      </c>
      <c r="Y48" s="16">
        <v>0</v>
      </c>
      <c r="Z48" s="13">
        <f t="shared" si="13"/>
        <v>14</v>
      </c>
    </row>
    <row r="49" spans="1:26" ht="12.75" customHeight="1" x14ac:dyDescent="0.3">
      <c r="A49" s="15"/>
      <c r="B49" s="34"/>
      <c r="C49" s="29" t="s">
        <v>43</v>
      </c>
      <c r="D49" s="29"/>
      <c r="E49" s="16">
        <v>1</v>
      </c>
      <c r="F49" s="16">
        <v>0</v>
      </c>
      <c r="G49" s="16">
        <v>1</v>
      </c>
      <c r="H49" s="16">
        <v>5</v>
      </c>
      <c r="I49" s="16">
        <v>1</v>
      </c>
      <c r="J49" s="16">
        <v>3</v>
      </c>
      <c r="K49" s="16">
        <v>4</v>
      </c>
      <c r="L49" s="16">
        <v>5</v>
      </c>
      <c r="M49" s="16">
        <v>1</v>
      </c>
      <c r="N49" s="16">
        <v>5</v>
      </c>
      <c r="O49" s="16">
        <v>0</v>
      </c>
      <c r="P49" s="16">
        <v>6</v>
      </c>
      <c r="Q49" s="16">
        <v>2</v>
      </c>
      <c r="R49" s="16">
        <v>2</v>
      </c>
      <c r="S49" s="16">
        <v>2</v>
      </c>
      <c r="T49" s="16">
        <v>0</v>
      </c>
      <c r="U49" s="16">
        <v>1</v>
      </c>
      <c r="V49" s="16">
        <v>0</v>
      </c>
      <c r="W49" s="16">
        <v>0</v>
      </c>
      <c r="X49" s="16">
        <v>0</v>
      </c>
      <c r="Y49" s="16">
        <v>0</v>
      </c>
      <c r="Z49" s="13">
        <f t="shared" si="13"/>
        <v>39</v>
      </c>
    </row>
    <row r="50" spans="1:26" ht="12.75" customHeight="1" x14ac:dyDescent="0.3">
      <c r="A50" s="15"/>
      <c r="B50" s="34"/>
      <c r="C50" s="29" t="s">
        <v>44</v>
      </c>
      <c r="D50" s="29"/>
      <c r="E50" s="16">
        <v>3</v>
      </c>
      <c r="F50" s="16">
        <v>1</v>
      </c>
      <c r="G50" s="16">
        <v>2</v>
      </c>
      <c r="H50" s="16">
        <v>3</v>
      </c>
      <c r="I50" s="16">
        <v>3</v>
      </c>
      <c r="J50" s="16">
        <v>0</v>
      </c>
      <c r="K50" s="16">
        <v>1</v>
      </c>
      <c r="L50" s="16">
        <v>2</v>
      </c>
      <c r="M50" s="16">
        <v>3</v>
      </c>
      <c r="N50" s="16">
        <v>0</v>
      </c>
      <c r="O50" s="16">
        <v>2</v>
      </c>
      <c r="P50" s="16">
        <v>2</v>
      </c>
      <c r="Q50" s="16">
        <v>0</v>
      </c>
      <c r="R50" s="16">
        <v>1</v>
      </c>
      <c r="S50" s="16">
        <v>4</v>
      </c>
      <c r="T50" s="16">
        <v>0</v>
      </c>
      <c r="U50" s="16">
        <v>0</v>
      </c>
      <c r="V50" s="16">
        <v>1</v>
      </c>
      <c r="W50" s="16">
        <v>0</v>
      </c>
      <c r="X50" s="16">
        <v>0</v>
      </c>
      <c r="Y50" s="16">
        <v>0</v>
      </c>
      <c r="Z50" s="13">
        <f t="shared" si="13"/>
        <v>28</v>
      </c>
    </row>
    <row r="51" spans="1:26" ht="12.75" customHeight="1" x14ac:dyDescent="0.3">
      <c r="A51" s="15"/>
      <c r="B51" s="34"/>
      <c r="C51" s="29" t="s">
        <v>45</v>
      </c>
      <c r="D51" s="29"/>
      <c r="E51" s="16">
        <v>0</v>
      </c>
      <c r="F51" s="16">
        <v>2</v>
      </c>
      <c r="G51" s="16">
        <v>1</v>
      </c>
      <c r="H51" s="16">
        <v>0</v>
      </c>
      <c r="I51" s="16">
        <v>0</v>
      </c>
      <c r="J51" s="16">
        <v>0</v>
      </c>
      <c r="K51" s="16">
        <v>0</v>
      </c>
      <c r="L51" s="16">
        <v>1</v>
      </c>
      <c r="M51" s="16">
        <v>1</v>
      </c>
      <c r="N51" s="16">
        <v>0</v>
      </c>
      <c r="O51" s="16">
        <v>0</v>
      </c>
      <c r="P51" s="16">
        <v>0</v>
      </c>
      <c r="Q51" s="16">
        <v>0</v>
      </c>
      <c r="R51" s="16">
        <v>1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3">
        <f t="shared" si="13"/>
        <v>6</v>
      </c>
    </row>
    <row r="52" spans="1:26" ht="12.75" customHeight="1" x14ac:dyDescent="0.3">
      <c r="A52" s="15"/>
      <c r="B52" s="34"/>
      <c r="C52" s="29" t="s">
        <v>46</v>
      </c>
      <c r="D52" s="29"/>
      <c r="E52" s="16">
        <v>0</v>
      </c>
      <c r="F52" s="16">
        <v>3</v>
      </c>
      <c r="G52" s="16">
        <v>0</v>
      </c>
      <c r="H52" s="16">
        <v>1</v>
      </c>
      <c r="I52" s="16">
        <v>1</v>
      </c>
      <c r="J52" s="16">
        <v>1</v>
      </c>
      <c r="K52" s="16">
        <v>1</v>
      </c>
      <c r="L52" s="16">
        <v>2</v>
      </c>
      <c r="M52" s="16">
        <v>1</v>
      </c>
      <c r="N52" s="16">
        <v>3</v>
      </c>
      <c r="O52" s="16">
        <v>0</v>
      </c>
      <c r="P52" s="16">
        <v>0</v>
      </c>
      <c r="Q52" s="16">
        <v>0</v>
      </c>
      <c r="R52" s="16">
        <v>1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3">
        <f t="shared" si="13"/>
        <v>14</v>
      </c>
    </row>
    <row r="53" spans="1:26" ht="12.75" customHeight="1" x14ac:dyDescent="0.3">
      <c r="A53" s="15"/>
      <c r="B53" s="34"/>
      <c r="C53" s="29" t="s">
        <v>47</v>
      </c>
      <c r="D53" s="29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1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3">
        <f t="shared" si="13"/>
        <v>1</v>
      </c>
    </row>
    <row r="54" spans="1:26" ht="12.75" customHeight="1" x14ac:dyDescent="0.3">
      <c r="A54" s="15"/>
      <c r="B54" s="34"/>
      <c r="C54" s="29" t="s">
        <v>48</v>
      </c>
      <c r="D54" s="29"/>
      <c r="E54" s="16">
        <v>0</v>
      </c>
      <c r="F54" s="16">
        <v>1</v>
      </c>
      <c r="G54" s="16">
        <v>0</v>
      </c>
      <c r="H54" s="16">
        <v>0</v>
      </c>
      <c r="I54" s="16">
        <v>2</v>
      </c>
      <c r="J54" s="16">
        <v>1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2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3">
        <f t="shared" si="13"/>
        <v>6</v>
      </c>
    </row>
    <row r="55" spans="1:26" ht="12.75" customHeight="1" x14ac:dyDescent="0.3">
      <c r="A55" s="16" t="s">
        <v>15</v>
      </c>
      <c r="B55" s="60" t="s">
        <v>49</v>
      </c>
      <c r="C55" s="61"/>
      <c r="D55" s="59"/>
      <c r="E55" s="13">
        <f>SUM(E45:E54)</f>
        <v>25</v>
      </c>
      <c r="F55" s="13">
        <f t="shared" ref="F55:Z55" si="14">SUM(F45:F54)</f>
        <v>17</v>
      </c>
      <c r="G55" s="13">
        <f t="shared" si="14"/>
        <v>13</v>
      </c>
      <c r="H55" s="13">
        <f t="shared" si="14"/>
        <v>33</v>
      </c>
      <c r="I55" s="13">
        <f t="shared" si="14"/>
        <v>53</v>
      </c>
      <c r="J55" s="13">
        <f t="shared" si="14"/>
        <v>49</v>
      </c>
      <c r="K55" s="13">
        <f t="shared" si="14"/>
        <v>25</v>
      </c>
      <c r="L55" s="13">
        <f t="shared" si="14"/>
        <v>51</v>
      </c>
      <c r="M55" s="13">
        <f t="shared" si="14"/>
        <v>45</v>
      </c>
      <c r="N55" s="13">
        <f t="shared" si="14"/>
        <v>45</v>
      </c>
      <c r="O55" s="13">
        <f t="shared" si="14"/>
        <v>87</v>
      </c>
      <c r="P55" s="13">
        <f t="shared" si="14"/>
        <v>40</v>
      </c>
      <c r="Q55" s="13">
        <f t="shared" si="14"/>
        <v>16</v>
      </c>
      <c r="R55" s="13">
        <f t="shared" si="14"/>
        <v>15</v>
      </c>
      <c r="S55" s="13">
        <f t="shared" si="14"/>
        <v>25</v>
      </c>
      <c r="T55" s="13">
        <f t="shared" si="14"/>
        <v>7</v>
      </c>
      <c r="U55" s="13">
        <f t="shared" si="14"/>
        <v>11</v>
      </c>
      <c r="V55" s="13">
        <f t="shared" si="14"/>
        <v>23</v>
      </c>
      <c r="W55" s="13">
        <f t="shared" si="14"/>
        <v>9</v>
      </c>
      <c r="X55" s="13">
        <f t="shared" si="14"/>
        <v>10</v>
      </c>
      <c r="Y55" s="13">
        <f t="shared" si="14"/>
        <v>8</v>
      </c>
      <c r="Z55" s="13">
        <f t="shared" si="14"/>
        <v>607</v>
      </c>
    </row>
    <row r="56" spans="1:26" ht="12.75" customHeight="1" x14ac:dyDescent="0.3">
      <c r="A56" s="63"/>
      <c r="B56" s="64"/>
      <c r="C56" s="64"/>
      <c r="D56" s="64"/>
      <c r="E56" s="64"/>
      <c r="Z56" s="13"/>
    </row>
    <row r="57" spans="1:26" ht="12.75" customHeight="1" x14ac:dyDescent="0.3">
      <c r="A57" s="20" t="s">
        <v>37</v>
      </c>
      <c r="B57" s="27" t="s">
        <v>19</v>
      </c>
      <c r="C57" s="58" t="s">
        <v>50</v>
      </c>
      <c r="D57" s="59"/>
      <c r="E57" s="16">
        <v>4</v>
      </c>
      <c r="F57" s="16">
        <v>12</v>
      </c>
      <c r="G57" s="16">
        <v>14</v>
      </c>
      <c r="H57" s="16">
        <v>9</v>
      </c>
      <c r="I57" s="16">
        <v>22</v>
      </c>
      <c r="J57" s="16">
        <v>14</v>
      </c>
      <c r="K57" s="16">
        <v>10</v>
      </c>
      <c r="L57" s="16">
        <v>15</v>
      </c>
      <c r="M57" s="16">
        <v>12</v>
      </c>
      <c r="N57" s="16">
        <v>11</v>
      </c>
      <c r="O57" s="16">
        <v>15</v>
      </c>
      <c r="P57" s="16">
        <v>6</v>
      </c>
      <c r="Q57" s="16">
        <v>8</v>
      </c>
      <c r="R57" s="16">
        <v>5</v>
      </c>
      <c r="S57" s="16">
        <v>7</v>
      </c>
      <c r="T57" s="16">
        <v>16</v>
      </c>
      <c r="U57" s="16">
        <v>11</v>
      </c>
      <c r="V57" s="16">
        <v>13</v>
      </c>
      <c r="W57" s="16">
        <v>13</v>
      </c>
      <c r="X57" s="16">
        <v>7</v>
      </c>
      <c r="Y57" s="16">
        <v>28</v>
      </c>
      <c r="Z57" s="13">
        <f t="shared" ref="Z57:Z67" si="15">SUM(E57:Y57)</f>
        <v>252</v>
      </c>
    </row>
    <row r="58" spans="1:26" ht="12.75" customHeight="1" x14ac:dyDescent="0.3">
      <c r="A58" s="20" t="s">
        <v>39</v>
      </c>
      <c r="B58" s="34"/>
      <c r="C58" s="29" t="s">
        <v>51</v>
      </c>
      <c r="D58" s="35"/>
      <c r="E58" s="16">
        <v>9</v>
      </c>
      <c r="F58" s="16">
        <v>26</v>
      </c>
      <c r="G58" s="16">
        <v>18</v>
      </c>
      <c r="H58" s="16">
        <v>45</v>
      </c>
      <c r="I58" s="16">
        <v>13</v>
      </c>
      <c r="J58" s="16">
        <v>17</v>
      </c>
      <c r="K58" s="16">
        <v>11</v>
      </c>
      <c r="L58" s="16">
        <v>12</v>
      </c>
      <c r="M58" s="16">
        <v>9</v>
      </c>
      <c r="N58" s="16">
        <v>6</v>
      </c>
      <c r="O58" s="16">
        <v>9</v>
      </c>
      <c r="P58" s="16">
        <v>7</v>
      </c>
      <c r="Q58" s="16">
        <v>8</v>
      </c>
      <c r="R58" s="16">
        <v>6</v>
      </c>
      <c r="S58" s="16">
        <v>21</v>
      </c>
      <c r="T58" s="16">
        <v>19</v>
      </c>
      <c r="U58" s="16">
        <v>124</v>
      </c>
      <c r="V58" s="16">
        <v>24</v>
      </c>
      <c r="W58" s="16">
        <v>62</v>
      </c>
      <c r="X58" s="16">
        <v>31</v>
      </c>
      <c r="Y58" s="16">
        <v>39</v>
      </c>
      <c r="Z58" s="13">
        <f t="shared" si="15"/>
        <v>516</v>
      </c>
    </row>
    <row r="59" spans="1:26" ht="12.75" customHeight="1" x14ac:dyDescent="0.3">
      <c r="A59" s="15"/>
      <c r="B59" s="34"/>
      <c r="C59" s="29" t="s">
        <v>52</v>
      </c>
      <c r="D59" s="35"/>
      <c r="E59" s="16">
        <v>2</v>
      </c>
      <c r="F59" s="16">
        <v>4</v>
      </c>
      <c r="G59" s="16">
        <v>6</v>
      </c>
      <c r="H59" s="16">
        <v>6</v>
      </c>
      <c r="I59" s="16">
        <v>13</v>
      </c>
      <c r="J59" s="16">
        <v>9</v>
      </c>
      <c r="K59" s="16">
        <v>2</v>
      </c>
      <c r="L59" s="16">
        <v>7</v>
      </c>
      <c r="M59" s="16">
        <v>2</v>
      </c>
      <c r="N59" s="16">
        <v>2</v>
      </c>
      <c r="O59" s="16">
        <v>2</v>
      </c>
      <c r="P59" s="16">
        <v>9</v>
      </c>
      <c r="Q59" s="16">
        <v>8</v>
      </c>
      <c r="R59" s="16">
        <v>5</v>
      </c>
      <c r="S59" s="16">
        <v>2</v>
      </c>
      <c r="T59" s="16">
        <v>3</v>
      </c>
      <c r="U59" s="16">
        <v>4</v>
      </c>
      <c r="V59" s="16">
        <v>3</v>
      </c>
      <c r="W59" s="16">
        <v>9</v>
      </c>
      <c r="X59" s="16">
        <v>3</v>
      </c>
      <c r="Y59" s="16">
        <v>24</v>
      </c>
      <c r="Z59" s="13">
        <f t="shared" si="15"/>
        <v>125</v>
      </c>
    </row>
    <row r="60" spans="1:26" ht="12.75" customHeight="1" x14ac:dyDescent="0.3">
      <c r="A60" s="15"/>
      <c r="B60" s="34"/>
      <c r="C60" s="29" t="s">
        <v>53</v>
      </c>
      <c r="D60" s="35"/>
      <c r="E60" s="16">
        <v>1</v>
      </c>
      <c r="F60" s="16">
        <v>4</v>
      </c>
      <c r="G60" s="16">
        <v>0</v>
      </c>
      <c r="H60" s="16">
        <v>4</v>
      </c>
      <c r="I60" s="16">
        <v>2</v>
      </c>
      <c r="J60" s="16">
        <v>0</v>
      </c>
      <c r="K60" s="16">
        <v>2</v>
      </c>
      <c r="L60" s="16">
        <v>3</v>
      </c>
      <c r="M60" s="16">
        <v>1</v>
      </c>
      <c r="N60" s="16">
        <v>1</v>
      </c>
      <c r="O60" s="16">
        <v>2</v>
      </c>
      <c r="P60" s="16">
        <v>0</v>
      </c>
      <c r="Q60" s="16">
        <v>1</v>
      </c>
      <c r="R60" s="16">
        <v>3</v>
      </c>
      <c r="S60" s="16">
        <v>0</v>
      </c>
      <c r="T60" s="16">
        <v>1</v>
      </c>
      <c r="U60" s="16">
        <v>0</v>
      </c>
      <c r="V60" s="16">
        <v>4</v>
      </c>
      <c r="W60" s="16">
        <v>3</v>
      </c>
      <c r="X60" s="16">
        <v>2</v>
      </c>
      <c r="Y60" s="16">
        <v>3</v>
      </c>
      <c r="Z60" s="13">
        <f t="shared" si="15"/>
        <v>37</v>
      </c>
    </row>
    <row r="61" spans="1:26" ht="12.75" customHeight="1" x14ac:dyDescent="0.3">
      <c r="A61" s="15"/>
      <c r="B61" s="34"/>
      <c r="C61" s="29" t="s">
        <v>54</v>
      </c>
      <c r="D61" s="35"/>
      <c r="E61" s="16">
        <v>3</v>
      </c>
      <c r="F61" s="16">
        <v>3</v>
      </c>
      <c r="G61" s="16">
        <v>3</v>
      </c>
      <c r="H61" s="16">
        <v>11</v>
      </c>
      <c r="I61" s="16">
        <v>7</v>
      </c>
      <c r="J61" s="16">
        <v>6</v>
      </c>
      <c r="K61" s="16">
        <v>3</v>
      </c>
      <c r="L61" s="16">
        <v>1</v>
      </c>
      <c r="M61" s="16">
        <v>11</v>
      </c>
      <c r="N61" s="16">
        <v>4</v>
      </c>
      <c r="O61" s="16">
        <v>5</v>
      </c>
      <c r="P61" s="16">
        <v>3</v>
      </c>
      <c r="Q61" s="16">
        <v>9</v>
      </c>
      <c r="R61" s="16">
        <v>17</v>
      </c>
      <c r="S61" s="16">
        <v>22</v>
      </c>
      <c r="T61" s="16">
        <v>1</v>
      </c>
      <c r="U61" s="16">
        <v>1</v>
      </c>
      <c r="V61" s="16">
        <v>2</v>
      </c>
      <c r="W61" s="16">
        <v>0</v>
      </c>
      <c r="X61" s="16">
        <v>2</v>
      </c>
      <c r="Y61" s="16">
        <v>4</v>
      </c>
      <c r="Z61" s="13">
        <f t="shared" si="15"/>
        <v>118</v>
      </c>
    </row>
    <row r="62" spans="1:26" ht="12.75" customHeight="1" x14ac:dyDescent="0.3">
      <c r="A62" s="15"/>
      <c r="B62" s="34"/>
      <c r="C62" s="29" t="s">
        <v>55</v>
      </c>
      <c r="D62" s="35"/>
      <c r="E62" s="16">
        <v>1</v>
      </c>
      <c r="F62" s="16">
        <v>1</v>
      </c>
      <c r="G62" s="16">
        <v>2</v>
      </c>
      <c r="H62" s="16">
        <v>3</v>
      </c>
      <c r="I62" s="16">
        <v>1</v>
      </c>
      <c r="J62" s="16">
        <v>0</v>
      </c>
      <c r="K62" s="16">
        <v>1</v>
      </c>
      <c r="L62" s="16">
        <v>2</v>
      </c>
      <c r="M62" s="16">
        <v>0</v>
      </c>
      <c r="N62" s="16">
        <v>2</v>
      </c>
      <c r="O62" s="16">
        <v>1</v>
      </c>
      <c r="P62" s="16">
        <v>2</v>
      </c>
      <c r="Q62" s="16">
        <v>3</v>
      </c>
      <c r="R62" s="16">
        <v>2</v>
      </c>
      <c r="S62" s="16">
        <v>2</v>
      </c>
      <c r="T62" s="16">
        <v>0</v>
      </c>
      <c r="U62" s="16">
        <v>0</v>
      </c>
      <c r="V62" s="16">
        <v>2</v>
      </c>
      <c r="W62" s="16">
        <v>0</v>
      </c>
      <c r="X62" s="16">
        <v>1</v>
      </c>
      <c r="Y62" s="16">
        <v>0</v>
      </c>
      <c r="Z62" s="13">
        <f t="shared" si="15"/>
        <v>26</v>
      </c>
    </row>
    <row r="63" spans="1:26" ht="12.75" customHeight="1" x14ac:dyDescent="0.3">
      <c r="A63" s="15"/>
      <c r="B63" s="34"/>
      <c r="C63" s="29" t="s">
        <v>56</v>
      </c>
      <c r="D63" s="36"/>
      <c r="E63" s="16">
        <v>0</v>
      </c>
      <c r="F63" s="16">
        <v>0</v>
      </c>
      <c r="G63" s="16">
        <v>0</v>
      </c>
      <c r="H63" s="16">
        <v>0</v>
      </c>
      <c r="I63" s="16">
        <v>2</v>
      </c>
      <c r="J63" s="16">
        <v>1</v>
      </c>
      <c r="K63" s="16">
        <v>1</v>
      </c>
      <c r="L63" s="16">
        <v>1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1</v>
      </c>
      <c r="S63" s="16">
        <v>0</v>
      </c>
      <c r="T63" s="16">
        <v>0</v>
      </c>
      <c r="U63" s="16">
        <v>1</v>
      </c>
      <c r="V63" s="16">
        <v>0</v>
      </c>
      <c r="W63" s="16">
        <v>1</v>
      </c>
      <c r="X63" s="16">
        <v>0</v>
      </c>
      <c r="Y63" s="16">
        <v>0</v>
      </c>
      <c r="Z63" s="13">
        <f t="shared" si="15"/>
        <v>8</v>
      </c>
    </row>
    <row r="64" spans="1:26" ht="12.75" customHeight="1" x14ac:dyDescent="0.3">
      <c r="A64" s="15"/>
      <c r="B64" s="34"/>
      <c r="C64" s="29" t="s">
        <v>57</v>
      </c>
      <c r="D64" s="35"/>
      <c r="E64" s="16">
        <v>0</v>
      </c>
      <c r="F64" s="16">
        <v>2</v>
      </c>
      <c r="G64" s="16">
        <v>0</v>
      </c>
      <c r="H64" s="16">
        <v>0</v>
      </c>
      <c r="I64" s="16">
        <v>0</v>
      </c>
      <c r="J64" s="16">
        <v>0</v>
      </c>
      <c r="K64" s="16">
        <v>1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1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3">
        <f t="shared" si="15"/>
        <v>4</v>
      </c>
    </row>
    <row r="65" spans="1:26" ht="12.75" customHeight="1" x14ac:dyDescent="0.3">
      <c r="A65" s="15"/>
      <c r="B65" s="34"/>
      <c r="C65" s="29" t="s">
        <v>58</v>
      </c>
      <c r="D65" s="35"/>
      <c r="E65" s="16">
        <v>0</v>
      </c>
      <c r="F65" s="16">
        <v>0</v>
      </c>
      <c r="G65" s="16">
        <v>0</v>
      </c>
      <c r="H65" s="16">
        <v>1</v>
      </c>
      <c r="I65" s="16">
        <v>0</v>
      </c>
      <c r="J65" s="16">
        <v>1</v>
      </c>
      <c r="K65" s="16">
        <v>1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1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2</v>
      </c>
      <c r="Y65" s="16">
        <v>0</v>
      </c>
      <c r="Z65" s="13">
        <f t="shared" si="15"/>
        <v>6</v>
      </c>
    </row>
    <row r="66" spans="1:26" ht="12.75" customHeight="1" x14ac:dyDescent="0.3">
      <c r="A66" s="15"/>
      <c r="B66" s="34"/>
      <c r="C66" s="29" t="s">
        <v>59</v>
      </c>
      <c r="D66" s="35"/>
      <c r="E66" s="16">
        <v>0</v>
      </c>
      <c r="F66" s="16">
        <v>0</v>
      </c>
      <c r="G66" s="16">
        <v>0</v>
      </c>
      <c r="H66" s="16">
        <v>0</v>
      </c>
      <c r="I66" s="16">
        <v>2</v>
      </c>
      <c r="J66" s="16">
        <v>0</v>
      </c>
      <c r="K66" s="16">
        <v>1</v>
      </c>
      <c r="L66" s="16">
        <v>1</v>
      </c>
      <c r="M66" s="16">
        <v>1</v>
      </c>
      <c r="N66" s="16">
        <v>0</v>
      </c>
      <c r="O66" s="16">
        <v>0</v>
      </c>
      <c r="P66" s="16">
        <v>0</v>
      </c>
      <c r="Q66" s="16">
        <v>1</v>
      </c>
      <c r="R66" s="16">
        <v>1</v>
      </c>
      <c r="S66" s="16">
        <v>0</v>
      </c>
      <c r="T66" s="16">
        <v>0</v>
      </c>
      <c r="U66" s="16">
        <v>0</v>
      </c>
      <c r="V66" s="16">
        <v>0</v>
      </c>
      <c r="W66" s="16">
        <v>2</v>
      </c>
      <c r="X66" s="16">
        <v>0</v>
      </c>
      <c r="Y66" s="16">
        <v>0</v>
      </c>
      <c r="Z66" s="13">
        <f t="shared" si="15"/>
        <v>9</v>
      </c>
    </row>
    <row r="67" spans="1:26" ht="12.75" customHeight="1" x14ac:dyDescent="0.3">
      <c r="A67" s="16" t="s">
        <v>15</v>
      </c>
      <c r="B67" s="60" t="s">
        <v>49</v>
      </c>
      <c r="C67" s="61"/>
      <c r="D67" s="59"/>
      <c r="E67" s="13">
        <f>SUM(E57:E66)</f>
        <v>20</v>
      </c>
      <c r="F67" s="13">
        <f t="shared" ref="F67" si="16">SUM(F57:F66)</f>
        <v>52</v>
      </c>
      <c r="G67" s="13">
        <f t="shared" ref="G67" si="17">SUM(G57:G66)</f>
        <v>43</v>
      </c>
      <c r="H67" s="13">
        <f t="shared" ref="H67" si="18">SUM(H57:H66)</f>
        <v>79</v>
      </c>
      <c r="I67" s="13">
        <f t="shared" ref="I67" si="19">SUM(I57:I66)</f>
        <v>62</v>
      </c>
      <c r="J67" s="13">
        <f t="shared" ref="J67" si="20">SUM(J57:J66)</f>
        <v>48</v>
      </c>
      <c r="K67" s="13">
        <f t="shared" ref="K67" si="21">SUM(K57:K66)</f>
        <v>33</v>
      </c>
      <c r="L67" s="13">
        <f t="shared" ref="L67" si="22">SUM(L57:L66)</f>
        <v>42</v>
      </c>
      <c r="M67" s="13">
        <f t="shared" ref="M67" si="23">SUM(M57:M66)</f>
        <v>36</v>
      </c>
      <c r="N67" s="13">
        <f t="shared" ref="N67" si="24">SUM(N57:N66)</f>
        <v>26</v>
      </c>
      <c r="O67" s="13">
        <f t="shared" ref="O67" si="25">SUM(O57:O66)</f>
        <v>34</v>
      </c>
      <c r="P67" s="13">
        <f t="shared" ref="P67" si="26">SUM(P57:P66)</f>
        <v>27</v>
      </c>
      <c r="Q67" s="13">
        <f t="shared" ref="Q67" si="27">SUM(Q57:Q66)</f>
        <v>39</v>
      </c>
      <c r="R67" s="13">
        <f t="shared" ref="R67" si="28">SUM(R57:R66)</f>
        <v>40</v>
      </c>
      <c r="S67" s="13">
        <f t="shared" ref="S67" si="29">SUM(S57:S66)</f>
        <v>55</v>
      </c>
      <c r="T67" s="13">
        <f t="shared" ref="T67" si="30">SUM(T57:T66)</f>
        <v>40</v>
      </c>
      <c r="U67" s="13">
        <f t="shared" ref="U67" si="31">SUM(U57:U66)</f>
        <v>141</v>
      </c>
      <c r="V67" s="13">
        <f t="shared" ref="V67" si="32">SUM(V57:V66)</f>
        <v>48</v>
      </c>
      <c r="W67" s="13">
        <f t="shared" ref="W67" si="33">SUM(W57:W66)</f>
        <v>90</v>
      </c>
      <c r="X67" s="13">
        <f t="shared" ref="X67" si="34">SUM(X57:X66)</f>
        <v>48</v>
      </c>
      <c r="Y67" s="13">
        <f t="shared" ref="Y67" si="35">SUM(Y57:Y66)</f>
        <v>98</v>
      </c>
      <c r="Z67" s="13">
        <f t="shared" ref="Z67" si="36">SUM(Z57:Z66)</f>
        <v>1101</v>
      </c>
    </row>
    <row r="68" spans="1:26" ht="12.75" customHeight="1" x14ac:dyDescent="0.3">
      <c r="A68" s="63"/>
      <c r="B68" s="64"/>
      <c r="C68" s="64"/>
      <c r="D68" s="64"/>
      <c r="E68" s="64"/>
    </row>
    <row r="69" spans="1:26" ht="12.75" customHeight="1" x14ac:dyDescent="0.3">
      <c r="A69" s="20" t="s">
        <v>37</v>
      </c>
      <c r="B69" s="27" t="s">
        <v>21</v>
      </c>
      <c r="C69" s="58" t="s">
        <v>60</v>
      </c>
      <c r="D69" s="59"/>
      <c r="E69" s="16">
        <v>11</v>
      </c>
      <c r="F69" s="16">
        <v>8</v>
      </c>
      <c r="G69" s="16">
        <v>6</v>
      </c>
      <c r="H69" s="16">
        <v>8</v>
      </c>
      <c r="I69" s="16">
        <v>5</v>
      </c>
      <c r="J69" s="16">
        <v>7</v>
      </c>
      <c r="K69" s="16">
        <v>5</v>
      </c>
      <c r="L69" s="16">
        <v>7</v>
      </c>
      <c r="M69" s="16">
        <v>8</v>
      </c>
      <c r="N69" s="16">
        <v>6</v>
      </c>
      <c r="O69" s="16">
        <v>10</v>
      </c>
      <c r="P69" s="16">
        <v>7</v>
      </c>
      <c r="Q69" s="16">
        <v>4</v>
      </c>
      <c r="R69" s="16">
        <v>8</v>
      </c>
      <c r="S69" s="16">
        <v>7</v>
      </c>
      <c r="T69" s="16">
        <v>17</v>
      </c>
      <c r="U69" s="16">
        <v>10</v>
      </c>
      <c r="V69" s="16">
        <v>16</v>
      </c>
      <c r="W69" s="16">
        <v>6</v>
      </c>
      <c r="X69" s="16">
        <v>5</v>
      </c>
      <c r="Y69" s="16">
        <v>6</v>
      </c>
      <c r="Z69" s="13">
        <f t="shared" ref="Z69:Z79" si="37">SUM(E69:Y69)</f>
        <v>167</v>
      </c>
    </row>
    <row r="70" spans="1:26" ht="12.75" customHeight="1" x14ac:dyDescent="0.3">
      <c r="A70" s="20" t="s">
        <v>39</v>
      </c>
      <c r="B70" s="34"/>
      <c r="C70" s="29" t="s">
        <v>61</v>
      </c>
      <c r="D70" s="36"/>
      <c r="E70" s="16">
        <v>2</v>
      </c>
      <c r="F70" s="16">
        <v>6</v>
      </c>
      <c r="G70" s="16">
        <v>0</v>
      </c>
      <c r="H70" s="16">
        <v>2</v>
      </c>
      <c r="I70" s="16">
        <v>1</v>
      </c>
      <c r="J70" s="16">
        <v>5</v>
      </c>
      <c r="K70" s="16">
        <v>1</v>
      </c>
      <c r="L70" s="16">
        <v>2</v>
      </c>
      <c r="M70" s="16">
        <v>2</v>
      </c>
      <c r="N70" s="16">
        <v>5</v>
      </c>
      <c r="O70" s="16">
        <v>3</v>
      </c>
      <c r="P70" s="16">
        <v>4</v>
      </c>
      <c r="Q70" s="16">
        <v>6</v>
      </c>
      <c r="R70" s="16">
        <v>4</v>
      </c>
      <c r="S70" s="16">
        <v>2</v>
      </c>
      <c r="T70" s="16">
        <v>3</v>
      </c>
      <c r="U70" s="16">
        <v>5</v>
      </c>
      <c r="V70" s="16">
        <v>9</v>
      </c>
      <c r="W70" s="16">
        <v>0</v>
      </c>
      <c r="X70" s="16">
        <v>12</v>
      </c>
      <c r="Y70" s="16">
        <v>4</v>
      </c>
      <c r="Z70" s="13">
        <f t="shared" si="37"/>
        <v>78</v>
      </c>
    </row>
    <row r="71" spans="1:26" ht="12.75" customHeight="1" x14ac:dyDescent="0.3">
      <c r="A71" s="15"/>
      <c r="B71" s="34"/>
      <c r="C71" s="29" t="s">
        <v>62</v>
      </c>
      <c r="D71" s="36"/>
      <c r="E71" s="16">
        <v>3</v>
      </c>
      <c r="F71" s="16">
        <v>3</v>
      </c>
      <c r="G71" s="16">
        <v>3</v>
      </c>
      <c r="H71" s="16">
        <v>4</v>
      </c>
      <c r="I71" s="16">
        <v>1</v>
      </c>
      <c r="J71" s="16">
        <v>4</v>
      </c>
      <c r="K71" s="16">
        <v>0</v>
      </c>
      <c r="L71" s="16">
        <v>4</v>
      </c>
      <c r="M71" s="16">
        <v>2</v>
      </c>
      <c r="N71" s="16">
        <v>1</v>
      </c>
      <c r="O71" s="16">
        <v>0</v>
      </c>
      <c r="P71" s="16">
        <v>6</v>
      </c>
      <c r="Q71" s="16">
        <v>1</v>
      </c>
      <c r="R71" s="16">
        <v>11</v>
      </c>
      <c r="S71" s="16">
        <v>2</v>
      </c>
      <c r="T71" s="16">
        <v>6</v>
      </c>
      <c r="U71" s="16">
        <v>2</v>
      </c>
      <c r="V71" s="16">
        <v>7</v>
      </c>
      <c r="W71" s="16">
        <v>2</v>
      </c>
      <c r="X71" s="16">
        <v>5</v>
      </c>
      <c r="Y71" s="16">
        <v>1</v>
      </c>
      <c r="Z71" s="13">
        <f t="shared" si="37"/>
        <v>68</v>
      </c>
    </row>
    <row r="72" spans="1:26" ht="12.75" customHeight="1" x14ac:dyDescent="0.3">
      <c r="A72" s="15"/>
      <c r="B72" s="34"/>
      <c r="C72" s="29" t="s">
        <v>63</v>
      </c>
      <c r="D72" s="36"/>
      <c r="E72" s="16">
        <v>2</v>
      </c>
      <c r="F72" s="16">
        <v>2</v>
      </c>
      <c r="G72" s="16">
        <v>3</v>
      </c>
      <c r="H72" s="16">
        <v>0</v>
      </c>
      <c r="I72" s="16">
        <v>2</v>
      </c>
      <c r="J72" s="16">
        <v>2</v>
      </c>
      <c r="K72" s="16">
        <v>0</v>
      </c>
      <c r="L72" s="16">
        <v>0</v>
      </c>
      <c r="M72" s="16">
        <v>4</v>
      </c>
      <c r="N72" s="16">
        <v>1</v>
      </c>
      <c r="O72" s="16">
        <v>1</v>
      </c>
      <c r="P72" s="16">
        <v>2</v>
      </c>
      <c r="Q72" s="16">
        <v>2</v>
      </c>
      <c r="R72" s="16">
        <v>1</v>
      </c>
      <c r="S72" s="16">
        <v>3</v>
      </c>
      <c r="T72" s="16">
        <v>3</v>
      </c>
      <c r="U72" s="16">
        <v>2</v>
      </c>
      <c r="V72" s="16">
        <v>5</v>
      </c>
      <c r="W72" s="16">
        <v>2</v>
      </c>
      <c r="X72" s="16">
        <v>8</v>
      </c>
      <c r="Y72" s="16">
        <v>3</v>
      </c>
      <c r="Z72" s="13">
        <f t="shared" si="37"/>
        <v>48</v>
      </c>
    </row>
    <row r="73" spans="1:26" ht="12.75" customHeight="1" x14ac:dyDescent="0.3">
      <c r="A73" s="15"/>
      <c r="B73" s="34"/>
      <c r="C73" s="29" t="s">
        <v>64</v>
      </c>
      <c r="D73" s="36"/>
      <c r="E73" s="16">
        <v>3</v>
      </c>
      <c r="F73" s="16">
        <v>1</v>
      </c>
      <c r="G73" s="16">
        <v>2</v>
      </c>
      <c r="H73" s="16">
        <v>4</v>
      </c>
      <c r="I73" s="16">
        <v>0</v>
      </c>
      <c r="J73" s="16">
        <v>2</v>
      </c>
      <c r="K73" s="16">
        <v>0</v>
      </c>
      <c r="L73" s="16">
        <v>0</v>
      </c>
      <c r="M73" s="16">
        <v>2</v>
      </c>
      <c r="N73" s="16">
        <v>6</v>
      </c>
      <c r="O73" s="16">
        <v>6</v>
      </c>
      <c r="P73" s="16">
        <v>2</v>
      </c>
      <c r="Q73" s="16">
        <v>2</v>
      </c>
      <c r="R73" s="16">
        <v>5</v>
      </c>
      <c r="S73" s="16">
        <v>0</v>
      </c>
      <c r="T73" s="16">
        <v>2</v>
      </c>
      <c r="U73" s="16">
        <v>1</v>
      </c>
      <c r="V73" s="16">
        <v>4</v>
      </c>
      <c r="W73" s="16">
        <v>1</v>
      </c>
      <c r="X73" s="16">
        <v>5</v>
      </c>
      <c r="Y73" s="16">
        <v>1</v>
      </c>
      <c r="Z73" s="13">
        <f t="shared" si="37"/>
        <v>49</v>
      </c>
    </row>
    <row r="74" spans="1:26" ht="12.75" customHeight="1" x14ac:dyDescent="0.3">
      <c r="A74" s="15"/>
      <c r="B74" s="34"/>
      <c r="C74" s="29" t="s">
        <v>65</v>
      </c>
      <c r="D74" s="36"/>
      <c r="E74" s="16">
        <v>0</v>
      </c>
      <c r="F74" s="16">
        <v>0</v>
      </c>
      <c r="G74" s="16">
        <v>0</v>
      </c>
      <c r="H74" s="16">
        <v>0</v>
      </c>
      <c r="I74" s="16">
        <v>2</v>
      </c>
      <c r="J74" s="16">
        <v>2</v>
      </c>
      <c r="K74" s="16">
        <v>0</v>
      </c>
      <c r="L74" s="16">
        <v>4</v>
      </c>
      <c r="M74" s="16">
        <v>1</v>
      </c>
      <c r="N74" s="16">
        <v>6</v>
      </c>
      <c r="O74" s="16">
        <v>3</v>
      </c>
      <c r="P74" s="16">
        <v>2</v>
      </c>
      <c r="Q74" s="16">
        <v>3</v>
      </c>
      <c r="R74" s="16">
        <v>3</v>
      </c>
      <c r="S74" s="16">
        <v>1</v>
      </c>
      <c r="T74" s="16">
        <v>1</v>
      </c>
      <c r="U74" s="16">
        <v>1</v>
      </c>
      <c r="V74" s="16">
        <v>0</v>
      </c>
      <c r="W74" s="16">
        <v>0</v>
      </c>
      <c r="X74" s="16">
        <v>0</v>
      </c>
      <c r="Y74" s="16">
        <v>0</v>
      </c>
      <c r="Z74" s="13">
        <f t="shared" si="37"/>
        <v>29</v>
      </c>
    </row>
    <row r="75" spans="1:26" ht="12.75" customHeight="1" x14ac:dyDescent="0.3">
      <c r="A75" s="15"/>
      <c r="B75" s="34"/>
      <c r="C75" s="29" t="s">
        <v>66</v>
      </c>
      <c r="D75" s="36"/>
      <c r="E75" s="16">
        <v>0</v>
      </c>
      <c r="F75" s="16">
        <v>1</v>
      </c>
      <c r="G75" s="16">
        <v>1</v>
      </c>
      <c r="H75" s="16">
        <v>0</v>
      </c>
      <c r="I75" s="16">
        <v>0</v>
      </c>
      <c r="J75" s="16">
        <v>0</v>
      </c>
      <c r="K75" s="16">
        <v>1</v>
      </c>
      <c r="L75" s="16">
        <v>0</v>
      </c>
      <c r="M75" s="16">
        <v>1</v>
      </c>
      <c r="N75" s="16">
        <v>1</v>
      </c>
      <c r="O75" s="16">
        <v>0</v>
      </c>
      <c r="P75" s="16">
        <v>1</v>
      </c>
      <c r="Q75" s="16">
        <v>3</v>
      </c>
      <c r="R75" s="16">
        <v>3</v>
      </c>
      <c r="S75" s="16">
        <v>1</v>
      </c>
      <c r="T75" s="16">
        <v>2</v>
      </c>
      <c r="U75" s="16">
        <v>0</v>
      </c>
      <c r="V75" s="16">
        <v>0</v>
      </c>
      <c r="W75" s="16">
        <v>1</v>
      </c>
      <c r="X75" s="16">
        <v>3</v>
      </c>
      <c r="Y75" s="16">
        <v>1</v>
      </c>
      <c r="Z75" s="13">
        <f t="shared" si="37"/>
        <v>20</v>
      </c>
    </row>
    <row r="76" spans="1:26" ht="12.75" customHeight="1" x14ac:dyDescent="0.3">
      <c r="A76" s="15"/>
      <c r="B76" s="34"/>
      <c r="C76" s="29" t="s">
        <v>67</v>
      </c>
      <c r="D76" s="36"/>
      <c r="E76" s="16">
        <v>6</v>
      </c>
      <c r="F76" s="16">
        <v>2</v>
      </c>
      <c r="G76" s="16">
        <v>0</v>
      </c>
      <c r="H76" s="16">
        <v>4</v>
      </c>
      <c r="I76" s="16">
        <v>0</v>
      </c>
      <c r="J76" s="16">
        <v>2</v>
      </c>
      <c r="K76" s="16">
        <v>3</v>
      </c>
      <c r="L76" s="16">
        <v>2</v>
      </c>
      <c r="M76" s="16">
        <v>0</v>
      </c>
      <c r="N76" s="16">
        <v>0</v>
      </c>
      <c r="O76" s="16">
        <v>0</v>
      </c>
      <c r="P76" s="16">
        <v>3</v>
      </c>
      <c r="Q76" s="16">
        <v>1</v>
      </c>
      <c r="R76" s="16">
        <v>0</v>
      </c>
      <c r="S76" s="16">
        <v>1</v>
      </c>
      <c r="T76" s="16">
        <v>0</v>
      </c>
      <c r="U76" s="16">
        <v>0</v>
      </c>
      <c r="V76" s="16">
        <v>1</v>
      </c>
      <c r="W76" s="16">
        <v>1</v>
      </c>
      <c r="X76" s="16">
        <v>3</v>
      </c>
      <c r="Y76" s="16">
        <v>1</v>
      </c>
      <c r="Z76" s="13">
        <f t="shared" si="37"/>
        <v>30</v>
      </c>
    </row>
    <row r="77" spans="1:26" ht="12.75" customHeight="1" x14ac:dyDescent="0.3">
      <c r="A77" s="15"/>
      <c r="B77" s="34"/>
      <c r="C77" s="29" t="s">
        <v>68</v>
      </c>
      <c r="D77" s="36"/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1</v>
      </c>
      <c r="M77" s="16">
        <v>0</v>
      </c>
      <c r="N77" s="16">
        <v>3</v>
      </c>
      <c r="O77" s="16">
        <v>0</v>
      </c>
      <c r="P77" s="16">
        <v>2</v>
      </c>
      <c r="Q77" s="16">
        <v>1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2</v>
      </c>
      <c r="Y77" s="16">
        <v>1</v>
      </c>
      <c r="Z77" s="13">
        <f t="shared" si="37"/>
        <v>10</v>
      </c>
    </row>
    <row r="78" spans="1:26" ht="12.75" customHeight="1" x14ac:dyDescent="0.3">
      <c r="A78" s="15"/>
      <c r="B78" s="34"/>
      <c r="C78" s="29" t="s">
        <v>69</v>
      </c>
      <c r="D78" s="36"/>
      <c r="E78" s="16">
        <v>0</v>
      </c>
      <c r="F78" s="16">
        <v>2</v>
      </c>
      <c r="G78" s="16">
        <v>0</v>
      </c>
      <c r="H78" s="16">
        <v>4</v>
      </c>
      <c r="I78" s="16">
        <v>2</v>
      </c>
      <c r="J78" s="16">
        <v>3</v>
      </c>
      <c r="K78" s="16">
        <v>2</v>
      </c>
      <c r="L78" s="16">
        <v>4</v>
      </c>
      <c r="M78" s="16">
        <v>0</v>
      </c>
      <c r="N78" s="16">
        <v>2</v>
      </c>
      <c r="O78" s="16">
        <v>0</v>
      </c>
      <c r="P78" s="16">
        <v>1</v>
      </c>
      <c r="Q78" s="16">
        <v>1</v>
      </c>
      <c r="R78" s="16">
        <v>3</v>
      </c>
      <c r="S78" s="16">
        <v>1</v>
      </c>
      <c r="T78" s="16">
        <v>1</v>
      </c>
      <c r="U78" s="16">
        <v>0</v>
      </c>
      <c r="V78" s="16">
        <v>0</v>
      </c>
      <c r="W78" s="16">
        <v>0</v>
      </c>
      <c r="X78" s="16">
        <v>2</v>
      </c>
      <c r="Y78" s="16">
        <v>1</v>
      </c>
      <c r="Z78" s="13">
        <f t="shared" si="37"/>
        <v>29</v>
      </c>
    </row>
    <row r="79" spans="1:26" ht="12.75" customHeight="1" x14ac:dyDescent="0.3">
      <c r="A79" s="16" t="s">
        <v>15</v>
      </c>
      <c r="B79" s="60" t="s">
        <v>49</v>
      </c>
      <c r="C79" s="61"/>
      <c r="D79" s="59"/>
      <c r="E79" s="13">
        <f>SUM(E69:E78)</f>
        <v>27</v>
      </c>
      <c r="F79" s="13">
        <f t="shared" ref="F79" si="38">SUM(F69:F78)</f>
        <v>25</v>
      </c>
      <c r="G79" s="13">
        <f t="shared" ref="G79" si="39">SUM(G69:G78)</f>
        <v>15</v>
      </c>
      <c r="H79" s="13">
        <f t="shared" ref="H79" si="40">SUM(H69:H78)</f>
        <v>26</v>
      </c>
      <c r="I79" s="13">
        <f t="shared" ref="I79" si="41">SUM(I69:I78)</f>
        <v>13</v>
      </c>
      <c r="J79" s="13">
        <f t="shared" ref="J79" si="42">SUM(J69:J78)</f>
        <v>27</v>
      </c>
      <c r="K79" s="13">
        <f t="shared" ref="K79" si="43">SUM(K69:K78)</f>
        <v>12</v>
      </c>
      <c r="L79" s="13">
        <f t="shared" ref="L79" si="44">SUM(L69:L78)</f>
        <v>24</v>
      </c>
      <c r="M79" s="13">
        <f t="shared" ref="M79" si="45">SUM(M69:M78)</f>
        <v>20</v>
      </c>
      <c r="N79" s="13">
        <f t="shared" ref="N79" si="46">SUM(N69:N78)</f>
        <v>31</v>
      </c>
      <c r="O79" s="13">
        <f t="shared" ref="O79" si="47">SUM(O69:O78)</f>
        <v>23</v>
      </c>
      <c r="P79" s="13">
        <f t="shared" ref="P79" si="48">SUM(P69:P78)</f>
        <v>30</v>
      </c>
      <c r="Q79" s="13">
        <f t="shared" ref="Q79" si="49">SUM(Q69:Q78)</f>
        <v>24</v>
      </c>
      <c r="R79" s="13">
        <f t="shared" ref="R79" si="50">SUM(R69:R78)</f>
        <v>38</v>
      </c>
      <c r="S79" s="13">
        <f t="shared" ref="S79" si="51">SUM(S69:S78)</f>
        <v>18</v>
      </c>
      <c r="T79" s="13">
        <f t="shared" ref="T79" si="52">SUM(T69:T78)</f>
        <v>35</v>
      </c>
      <c r="U79" s="13">
        <f t="shared" ref="U79" si="53">SUM(U69:U78)</f>
        <v>21</v>
      </c>
      <c r="V79" s="13">
        <f t="shared" ref="V79" si="54">SUM(V69:V78)</f>
        <v>42</v>
      </c>
      <c r="W79" s="13">
        <f t="shared" ref="W79" si="55">SUM(W69:W78)</f>
        <v>13</v>
      </c>
      <c r="X79" s="13">
        <f t="shared" ref="X79" si="56">SUM(X69:X78)</f>
        <v>45</v>
      </c>
      <c r="Y79" s="13">
        <f t="shared" ref="Y79" si="57">SUM(Y69:Y78)</f>
        <v>19</v>
      </c>
      <c r="Z79" s="13">
        <f t="shared" ref="Z79" si="58">SUM(Z69:Z78)</f>
        <v>528</v>
      </c>
    </row>
    <row r="80" spans="1:26" ht="12.75" customHeight="1" x14ac:dyDescent="0.3">
      <c r="A80" s="63"/>
      <c r="B80" s="64"/>
      <c r="C80" s="64"/>
      <c r="D80" s="64"/>
      <c r="E80" s="64"/>
    </row>
    <row r="81" spans="1:26" ht="12.75" customHeight="1" x14ac:dyDescent="0.3">
      <c r="A81" s="20" t="s">
        <v>37</v>
      </c>
      <c r="B81" s="27" t="s">
        <v>23</v>
      </c>
      <c r="C81" s="58" t="s">
        <v>70</v>
      </c>
      <c r="D81" s="59"/>
      <c r="E81" s="16">
        <v>13</v>
      </c>
      <c r="F81" s="16">
        <v>6</v>
      </c>
      <c r="G81" s="16">
        <v>7</v>
      </c>
      <c r="H81" s="16">
        <v>5</v>
      </c>
      <c r="I81" s="16">
        <v>5</v>
      </c>
      <c r="J81" s="16">
        <v>8</v>
      </c>
      <c r="K81" s="16">
        <v>12</v>
      </c>
      <c r="L81" s="16">
        <v>4</v>
      </c>
      <c r="M81" s="16">
        <v>5</v>
      </c>
      <c r="N81" s="16">
        <v>1</v>
      </c>
      <c r="O81" s="16">
        <v>9</v>
      </c>
      <c r="P81" s="16">
        <v>1</v>
      </c>
      <c r="Q81" s="16">
        <v>7</v>
      </c>
      <c r="R81" s="16">
        <v>2</v>
      </c>
      <c r="S81" s="16">
        <v>5</v>
      </c>
      <c r="T81" s="16">
        <v>7</v>
      </c>
      <c r="U81" s="16">
        <v>2</v>
      </c>
      <c r="V81" s="16">
        <v>1</v>
      </c>
      <c r="W81" s="16">
        <v>8</v>
      </c>
      <c r="X81" s="16">
        <v>13</v>
      </c>
      <c r="Y81" s="16">
        <v>8</v>
      </c>
      <c r="Z81" s="13">
        <f t="shared" ref="Z81:Z91" si="59">SUM(E81:Y81)</f>
        <v>129</v>
      </c>
    </row>
    <row r="82" spans="1:26" ht="12.75" customHeight="1" x14ac:dyDescent="0.3">
      <c r="A82" s="20" t="s">
        <v>39</v>
      </c>
      <c r="B82" s="34"/>
      <c r="C82" s="29" t="s">
        <v>71</v>
      </c>
      <c r="D82" s="36"/>
      <c r="E82" s="16">
        <v>20</v>
      </c>
      <c r="F82" s="16">
        <v>12</v>
      </c>
      <c r="G82" s="16">
        <v>7</v>
      </c>
      <c r="H82" s="16">
        <v>5</v>
      </c>
      <c r="I82" s="16">
        <v>4</v>
      </c>
      <c r="J82" s="16">
        <v>4</v>
      </c>
      <c r="K82" s="16">
        <v>1</v>
      </c>
      <c r="L82" s="16">
        <v>2</v>
      </c>
      <c r="M82" s="16">
        <v>2</v>
      </c>
      <c r="N82" s="16">
        <v>2</v>
      </c>
      <c r="O82" s="16">
        <v>9</v>
      </c>
      <c r="P82" s="16">
        <v>5</v>
      </c>
      <c r="Q82" s="16">
        <v>26</v>
      </c>
      <c r="R82" s="16">
        <v>40</v>
      </c>
      <c r="S82" s="16">
        <v>73</v>
      </c>
      <c r="T82" s="16">
        <v>5</v>
      </c>
      <c r="U82" s="16">
        <v>0</v>
      </c>
      <c r="V82" s="16">
        <v>5</v>
      </c>
      <c r="W82" s="16">
        <v>15</v>
      </c>
      <c r="X82" s="16">
        <v>16</v>
      </c>
      <c r="Y82" s="16">
        <v>8</v>
      </c>
      <c r="Z82" s="13">
        <f t="shared" si="59"/>
        <v>261</v>
      </c>
    </row>
    <row r="83" spans="1:26" ht="12.75" customHeight="1" x14ac:dyDescent="0.3">
      <c r="A83" s="15"/>
      <c r="B83" s="34"/>
      <c r="C83" s="29" t="s">
        <v>72</v>
      </c>
      <c r="D83" s="36"/>
      <c r="E83" s="16">
        <v>5</v>
      </c>
      <c r="F83" s="16">
        <v>3</v>
      </c>
      <c r="G83" s="16">
        <v>1</v>
      </c>
      <c r="H83" s="16">
        <v>2</v>
      </c>
      <c r="I83" s="16">
        <v>2</v>
      </c>
      <c r="J83" s="16">
        <v>1</v>
      </c>
      <c r="K83" s="16">
        <v>1</v>
      </c>
      <c r="L83" s="16">
        <v>2</v>
      </c>
      <c r="M83" s="16">
        <v>1</v>
      </c>
      <c r="N83" s="16">
        <v>1</v>
      </c>
      <c r="O83" s="16">
        <v>0</v>
      </c>
      <c r="P83" s="16">
        <v>1</v>
      </c>
      <c r="Q83" s="16">
        <v>2</v>
      </c>
      <c r="R83" s="16">
        <v>2</v>
      </c>
      <c r="S83" s="16">
        <v>1</v>
      </c>
      <c r="T83" s="16">
        <v>0</v>
      </c>
      <c r="U83" s="16">
        <v>1</v>
      </c>
      <c r="V83" s="16">
        <v>0</v>
      </c>
      <c r="W83" s="16">
        <v>3</v>
      </c>
      <c r="X83" s="16">
        <v>2</v>
      </c>
      <c r="Y83" s="16">
        <v>1</v>
      </c>
      <c r="Z83" s="13">
        <f t="shared" si="59"/>
        <v>32</v>
      </c>
    </row>
    <row r="84" spans="1:26" ht="12.75" customHeight="1" x14ac:dyDescent="0.3">
      <c r="A84" s="15"/>
      <c r="B84" s="34"/>
      <c r="C84" s="29" t="s">
        <v>73</v>
      </c>
      <c r="D84" s="36"/>
      <c r="E84" s="16">
        <v>1</v>
      </c>
      <c r="F84" s="16">
        <v>1</v>
      </c>
      <c r="G84" s="16">
        <v>1</v>
      </c>
      <c r="H84" s="16">
        <v>1</v>
      </c>
      <c r="I84" s="16">
        <v>0</v>
      </c>
      <c r="J84" s="16">
        <v>1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1</v>
      </c>
      <c r="Q84" s="16">
        <v>0</v>
      </c>
      <c r="R84" s="16">
        <v>0</v>
      </c>
      <c r="S84" s="16">
        <v>0</v>
      </c>
      <c r="T84" s="16">
        <v>1</v>
      </c>
      <c r="U84" s="16">
        <v>1</v>
      </c>
      <c r="V84" s="16">
        <v>1</v>
      </c>
      <c r="W84" s="16">
        <v>0</v>
      </c>
      <c r="X84" s="16">
        <v>3</v>
      </c>
      <c r="Y84" s="16">
        <v>3</v>
      </c>
      <c r="Z84" s="13">
        <f t="shared" si="59"/>
        <v>15</v>
      </c>
    </row>
    <row r="85" spans="1:26" ht="12.75" customHeight="1" x14ac:dyDescent="0.3">
      <c r="A85" s="15"/>
      <c r="B85" s="34"/>
      <c r="C85" s="29" t="s">
        <v>74</v>
      </c>
      <c r="D85" s="36"/>
      <c r="E85" s="16">
        <v>18</v>
      </c>
      <c r="F85" s="16">
        <v>2</v>
      </c>
      <c r="G85" s="16">
        <v>6</v>
      </c>
      <c r="H85" s="16">
        <v>3</v>
      </c>
      <c r="I85" s="16">
        <v>5</v>
      </c>
      <c r="J85" s="16">
        <v>3</v>
      </c>
      <c r="K85" s="16">
        <v>2</v>
      </c>
      <c r="L85" s="16">
        <v>2</v>
      </c>
      <c r="M85" s="16">
        <v>0</v>
      </c>
      <c r="N85" s="16">
        <v>1</v>
      </c>
      <c r="O85" s="16">
        <v>1</v>
      </c>
      <c r="P85" s="16">
        <v>2</v>
      </c>
      <c r="Q85" s="16">
        <v>2</v>
      </c>
      <c r="R85" s="16">
        <v>1</v>
      </c>
      <c r="S85" s="16">
        <v>1</v>
      </c>
      <c r="T85" s="16">
        <v>0</v>
      </c>
      <c r="U85" s="16">
        <v>0</v>
      </c>
      <c r="V85" s="16">
        <v>0</v>
      </c>
      <c r="W85" s="16">
        <v>0</v>
      </c>
      <c r="X85" s="16">
        <v>6</v>
      </c>
      <c r="Y85" s="16">
        <v>1</v>
      </c>
      <c r="Z85" s="13">
        <f t="shared" si="59"/>
        <v>56</v>
      </c>
    </row>
    <row r="86" spans="1:26" ht="12.75" customHeight="1" x14ac:dyDescent="0.3">
      <c r="A86" s="15"/>
      <c r="B86" s="34"/>
      <c r="C86" s="29" t="s">
        <v>75</v>
      </c>
      <c r="D86" s="36"/>
      <c r="E86" s="16">
        <v>1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1</v>
      </c>
      <c r="L86" s="16">
        <v>0</v>
      </c>
      <c r="M86" s="16">
        <v>0</v>
      </c>
      <c r="N86" s="16">
        <v>0</v>
      </c>
      <c r="O86" s="16">
        <v>0</v>
      </c>
      <c r="P86" s="16">
        <v>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1</v>
      </c>
      <c r="X86" s="16">
        <v>0</v>
      </c>
      <c r="Y86" s="16">
        <v>0</v>
      </c>
      <c r="Z86" s="13">
        <f t="shared" si="59"/>
        <v>4</v>
      </c>
    </row>
    <row r="87" spans="1:26" ht="12.75" customHeight="1" x14ac:dyDescent="0.3">
      <c r="A87" s="15"/>
      <c r="B87" s="34"/>
      <c r="C87" s="29" t="s">
        <v>76</v>
      </c>
      <c r="D87" s="36"/>
      <c r="E87" s="16">
        <v>0</v>
      </c>
      <c r="F87" s="16">
        <v>2</v>
      </c>
      <c r="G87" s="16">
        <v>0</v>
      </c>
      <c r="H87" s="16">
        <v>0</v>
      </c>
      <c r="I87" s="16">
        <v>0</v>
      </c>
      <c r="J87" s="16">
        <v>1</v>
      </c>
      <c r="K87" s="16">
        <v>1</v>
      </c>
      <c r="L87" s="16">
        <v>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1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3">
        <f t="shared" si="59"/>
        <v>7</v>
      </c>
    </row>
    <row r="88" spans="1:26" ht="12.75" customHeight="1" x14ac:dyDescent="0.3">
      <c r="A88" s="15"/>
      <c r="B88" s="34"/>
      <c r="C88" s="29" t="s">
        <v>77</v>
      </c>
      <c r="D88" s="36"/>
      <c r="E88" s="16">
        <v>0</v>
      </c>
      <c r="F88" s="16">
        <v>1</v>
      </c>
      <c r="G88" s="16">
        <v>0</v>
      </c>
      <c r="H88" s="16">
        <v>1</v>
      </c>
      <c r="I88" s="16">
        <v>0</v>
      </c>
      <c r="J88" s="16">
        <v>0</v>
      </c>
      <c r="K88" s="16">
        <v>1</v>
      </c>
      <c r="L88" s="16">
        <v>0</v>
      </c>
      <c r="M88" s="16">
        <v>0</v>
      </c>
      <c r="N88" s="16">
        <v>0</v>
      </c>
      <c r="O88" s="16">
        <v>0</v>
      </c>
      <c r="P88" s="16">
        <v>1</v>
      </c>
      <c r="Q88" s="16">
        <v>0</v>
      </c>
      <c r="R88" s="16">
        <v>0</v>
      </c>
      <c r="S88" s="16">
        <v>1</v>
      </c>
      <c r="T88" s="16">
        <v>0</v>
      </c>
      <c r="U88" s="16">
        <v>0</v>
      </c>
      <c r="V88" s="16">
        <v>1</v>
      </c>
      <c r="W88" s="16">
        <v>1</v>
      </c>
      <c r="X88" s="16">
        <v>0</v>
      </c>
      <c r="Y88" s="16">
        <v>0</v>
      </c>
      <c r="Z88" s="13">
        <f t="shared" si="59"/>
        <v>7</v>
      </c>
    </row>
    <row r="89" spans="1:26" ht="12.75" customHeight="1" x14ac:dyDescent="0.3">
      <c r="A89" s="15"/>
      <c r="B89" s="34"/>
      <c r="C89" s="29" t="s">
        <v>78</v>
      </c>
      <c r="D89" s="36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1</v>
      </c>
      <c r="X89" s="16">
        <v>0</v>
      </c>
      <c r="Y89" s="16">
        <v>0</v>
      </c>
      <c r="Z89" s="13">
        <f t="shared" si="59"/>
        <v>1</v>
      </c>
    </row>
    <row r="90" spans="1:26" ht="12.75" customHeight="1" x14ac:dyDescent="0.3">
      <c r="A90" s="15"/>
      <c r="B90" s="34"/>
      <c r="C90" s="29" t="s">
        <v>79</v>
      </c>
      <c r="D90" s="36"/>
      <c r="E90" s="16">
        <v>1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1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1</v>
      </c>
      <c r="Z90" s="13">
        <f t="shared" si="59"/>
        <v>3</v>
      </c>
    </row>
    <row r="91" spans="1:26" ht="12.75" customHeight="1" x14ac:dyDescent="0.3">
      <c r="A91" s="16" t="s">
        <v>15</v>
      </c>
      <c r="B91" s="60" t="s">
        <v>49</v>
      </c>
      <c r="C91" s="61"/>
      <c r="D91" s="59"/>
      <c r="E91" s="13">
        <f>SUM(E81:E90)</f>
        <v>59</v>
      </c>
      <c r="F91" s="13">
        <f t="shared" ref="F91" si="60">SUM(F81:F90)</f>
        <v>27</v>
      </c>
      <c r="G91" s="13">
        <f t="shared" ref="G91" si="61">SUM(G81:G90)</f>
        <v>22</v>
      </c>
      <c r="H91" s="13">
        <f t="shared" ref="H91" si="62">SUM(H81:H90)</f>
        <v>17</v>
      </c>
      <c r="I91" s="13">
        <f t="shared" ref="I91" si="63">SUM(I81:I90)</f>
        <v>16</v>
      </c>
      <c r="J91" s="13">
        <f t="shared" ref="J91" si="64">SUM(J81:J90)</f>
        <v>18</v>
      </c>
      <c r="K91" s="13">
        <f t="shared" ref="K91" si="65">SUM(K81:K90)</f>
        <v>19</v>
      </c>
      <c r="L91" s="13">
        <f t="shared" ref="L91" si="66">SUM(L81:L90)</f>
        <v>12</v>
      </c>
      <c r="M91" s="13">
        <f t="shared" ref="M91" si="67">SUM(M81:M90)</f>
        <v>8</v>
      </c>
      <c r="N91" s="13">
        <f t="shared" ref="N91" si="68">SUM(N81:N90)</f>
        <v>5</v>
      </c>
      <c r="O91" s="13">
        <f t="shared" ref="O91" si="69">SUM(O81:O90)</f>
        <v>20</v>
      </c>
      <c r="P91" s="13">
        <f t="shared" ref="P91" si="70">SUM(P81:P90)</f>
        <v>12</v>
      </c>
      <c r="Q91" s="13">
        <f t="shared" ref="Q91" si="71">SUM(Q81:Q90)</f>
        <v>37</v>
      </c>
      <c r="R91" s="13">
        <f t="shared" ref="R91" si="72">SUM(R81:R90)</f>
        <v>46</v>
      </c>
      <c r="S91" s="13">
        <f t="shared" ref="S91" si="73">SUM(S81:S90)</f>
        <v>81</v>
      </c>
      <c r="T91" s="13">
        <f t="shared" ref="T91" si="74">SUM(T81:T90)</f>
        <v>13</v>
      </c>
      <c r="U91" s="13">
        <f t="shared" ref="U91" si="75">SUM(U81:U90)</f>
        <v>4</v>
      </c>
      <c r="V91" s="13">
        <f t="shared" ref="V91" si="76">SUM(V81:V90)</f>
        <v>8</v>
      </c>
      <c r="W91" s="13">
        <f t="shared" ref="W91" si="77">SUM(W81:W90)</f>
        <v>29</v>
      </c>
      <c r="X91" s="13">
        <f t="shared" ref="X91" si="78">SUM(X81:X90)</f>
        <v>40</v>
      </c>
      <c r="Y91" s="13">
        <f t="shared" ref="Y91" si="79">SUM(Y81:Y90)</f>
        <v>22</v>
      </c>
      <c r="Z91" s="13">
        <f t="shared" ref="Z91" si="80">SUM(Z81:Z90)</f>
        <v>515</v>
      </c>
    </row>
    <row r="92" spans="1:26" ht="12.75" customHeight="1" x14ac:dyDescent="0.3">
      <c r="A92" s="63"/>
      <c r="B92" s="64"/>
      <c r="C92" s="64"/>
      <c r="D92" s="64"/>
      <c r="E92" s="64"/>
    </row>
    <row r="93" spans="1:26" ht="12.75" customHeight="1" x14ac:dyDescent="0.3">
      <c r="A93" s="20" t="s">
        <v>37</v>
      </c>
      <c r="B93" s="27" t="s">
        <v>80</v>
      </c>
      <c r="C93" s="58" t="s">
        <v>81</v>
      </c>
      <c r="D93" s="59"/>
      <c r="E93" s="16">
        <v>5</v>
      </c>
      <c r="F93" s="16">
        <v>3</v>
      </c>
      <c r="G93" s="16">
        <v>8</v>
      </c>
      <c r="H93" s="16">
        <v>3</v>
      </c>
      <c r="I93" s="16">
        <v>1</v>
      </c>
      <c r="J93" s="16">
        <v>4</v>
      </c>
      <c r="K93" s="16">
        <v>1</v>
      </c>
      <c r="L93" s="16">
        <v>0</v>
      </c>
      <c r="M93" s="16">
        <v>6</v>
      </c>
      <c r="N93" s="16">
        <v>5</v>
      </c>
      <c r="O93" s="16">
        <v>1</v>
      </c>
      <c r="P93" s="16">
        <v>0</v>
      </c>
      <c r="Q93" s="16">
        <v>7</v>
      </c>
      <c r="R93" s="16">
        <v>10</v>
      </c>
      <c r="S93" s="16">
        <v>2</v>
      </c>
      <c r="T93" s="16">
        <v>7</v>
      </c>
      <c r="U93" s="16">
        <v>0</v>
      </c>
      <c r="V93" s="16">
        <v>11</v>
      </c>
      <c r="W93" s="16">
        <v>7</v>
      </c>
      <c r="X93" s="16">
        <v>0</v>
      </c>
      <c r="Y93" s="16">
        <v>4</v>
      </c>
      <c r="Z93" s="13">
        <f t="shared" ref="Z93:Z103" si="81">SUM(E93:Y93)</f>
        <v>85</v>
      </c>
    </row>
    <row r="94" spans="1:26" ht="12.75" customHeight="1" x14ac:dyDescent="0.3">
      <c r="A94" s="20" t="s">
        <v>39</v>
      </c>
      <c r="B94" s="34"/>
      <c r="C94" s="29" t="s">
        <v>82</v>
      </c>
      <c r="D94" s="36"/>
      <c r="E94" s="16">
        <v>2</v>
      </c>
      <c r="F94" s="16">
        <v>0</v>
      </c>
      <c r="G94" s="16">
        <v>3</v>
      </c>
      <c r="H94" s="16">
        <v>2</v>
      </c>
      <c r="I94" s="16">
        <v>3</v>
      </c>
      <c r="J94" s="16">
        <v>7</v>
      </c>
      <c r="K94" s="16">
        <v>2</v>
      </c>
      <c r="L94" s="16">
        <v>0</v>
      </c>
      <c r="M94" s="16">
        <v>5</v>
      </c>
      <c r="N94" s="16">
        <v>4</v>
      </c>
      <c r="O94" s="16">
        <v>3</v>
      </c>
      <c r="P94" s="16">
        <v>5</v>
      </c>
      <c r="Q94" s="16">
        <v>8</v>
      </c>
      <c r="R94" s="16">
        <v>9</v>
      </c>
      <c r="S94" s="16">
        <v>4</v>
      </c>
      <c r="T94" s="16">
        <v>3</v>
      </c>
      <c r="U94" s="16">
        <v>2</v>
      </c>
      <c r="V94" s="16">
        <v>13</v>
      </c>
      <c r="W94" s="16">
        <v>6</v>
      </c>
      <c r="X94" s="16">
        <v>3</v>
      </c>
      <c r="Y94" s="16">
        <v>3</v>
      </c>
      <c r="Z94" s="13">
        <f t="shared" si="81"/>
        <v>87</v>
      </c>
    </row>
    <row r="95" spans="1:26" ht="12.75" customHeight="1" x14ac:dyDescent="0.3">
      <c r="A95" s="15"/>
      <c r="B95" s="34"/>
      <c r="C95" s="29" t="s">
        <v>83</v>
      </c>
      <c r="D95" s="36"/>
      <c r="E95" s="16">
        <v>0</v>
      </c>
      <c r="F95" s="16">
        <v>1</v>
      </c>
      <c r="G95" s="16">
        <v>0</v>
      </c>
      <c r="H95" s="16">
        <v>2</v>
      </c>
      <c r="I95" s="16">
        <v>1</v>
      </c>
      <c r="J95" s="16">
        <v>0</v>
      </c>
      <c r="K95" s="16">
        <v>2</v>
      </c>
      <c r="L95" s="16">
        <v>0</v>
      </c>
      <c r="M95" s="16">
        <v>0</v>
      </c>
      <c r="N95" s="16">
        <v>0</v>
      </c>
      <c r="O95" s="16">
        <v>0</v>
      </c>
      <c r="P95" s="16">
        <v>1</v>
      </c>
      <c r="Q95" s="16">
        <v>0</v>
      </c>
      <c r="R95" s="16">
        <v>2</v>
      </c>
      <c r="S95" s="16">
        <v>3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3">
        <f t="shared" si="81"/>
        <v>12</v>
      </c>
    </row>
    <row r="96" spans="1:26" ht="12.75" customHeight="1" x14ac:dyDescent="0.3">
      <c r="A96" s="15"/>
      <c r="B96" s="34"/>
      <c r="C96" s="29" t="s">
        <v>84</v>
      </c>
      <c r="D96" s="36"/>
      <c r="E96" s="16">
        <v>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1</v>
      </c>
      <c r="L96" s="16">
        <v>1</v>
      </c>
      <c r="M96" s="16">
        <v>0</v>
      </c>
      <c r="N96" s="16">
        <v>0</v>
      </c>
      <c r="O96" s="16">
        <v>2</v>
      </c>
      <c r="P96" s="16">
        <v>0</v>
      </c>
      <c r="Q96" s="16">
        <v>2</v>
      </c>
      <c r="R96" s="16">
        <v>1</v>
      </c>
      <c r="S96" s="16">
        <v>0</v>
      </c>
      <c r="T96" s="16">
        <v>1</v>
      </c>
      <c r="U96" s="16">
        <v>1</v>
      </c>
      <c r="V96" s="16">
        <v>0</v>
      </c>
      <c r="W96" s="16">
        <v>1</v>
      </c>
      <c r="X96" s="16">
        <v>0</v>
      </c>
      <c r="Y96" s="16">
        <v>0</v>
      </c>
      <c r="Z96" s="13">
        <f t="shared" si="81"/>
        <v>11</v>
      </c>
    </row>
    <row r="97" spans="1:26" ht="12.75" customHeight="1" x14ac:dyDescent="0.3">
      <c r="A97" s="15"/>
      <c r="B97" s="34"/>
      <c r="C97" s="29" t="s">
        <v>85</v>
      </c>
      <c r="D97" s="36"/>
      <c r="E97" s="16">
        <v>1</v>
      </c>
      <c r="F97" s="16">
        <v>1</v>
      </c>
      <c r="G97" s="16">
        <v>3</v>
      </c>
      <c r="H97" s="16">
        <v>0</v>
      </c>
      <c r="I97" s="16">
        <v>2</v>
      </c>
      <c r="J97" s="16">
        <v>0</v>
      </c>
      <c r="K97" s="16">
        <v>0</v>
      </c>
      <c r="L97" s="16">
        <v>0</v>
      </c>
      <c r="M97" s="16">
        <v>1</v>
      </c>
      <c r="N97" s="16">
        <v>2</v>
      </c>
      <c r="O97" s="16">
        <v>0</v>
      </c>
      <c r="P97" s="16">
        <v>2</v>
      </c>
      <c r="Q97" s="16">
        <v>1</v>
      </c>
      <c r="R97" s="16">
        <v>1</v>
      </c>
      <c r="S97" s="16">
        <v>0</v>
      </c>
      <c r="T97" s="16">
        <v>1</v>
      </c>
      <c r="U97" s="16">
        <v>0</v>
      </c>
      <c r="V97" s="16">
        <v>1</v>
      </c>
      <c r="W97" s="16">
        <v>1</v>
      </c>
      <c r="X97" s="16">
        <v>0</v>
      </c>
      <c r="Y97" s="16">
        <v>0</v>
      </c>
      <c r="Z97" s="13">
        <f t="shared" si="81"/>
        <v>17</v>
      </c>
    </row>
    <row r="98" spans="1:26" ht="12.75" customHeight="1" x14ac:dyDescent="0.3">
      <c r="A98" s="15"/>
      <c r="B98" s="34"/>
      <c r="C98" s="29" t="s">
        <v>86</v>
      </c>
      <c r="D98" s="36"/>
      <c r="E98" s="16">
        <v>2</v>
      </c>
      <c r="F98" s="16">
        <v>4</v>
      </c>
      <c r="G98" s="16">
        <v>1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1</v>
      </c>
      <c r="S98" s="16">
        <v>3</v>
      </c>
      <c r="T98" s="16">
        <v>0</v>
      </c>
      <c r="U98" s="16">
        <v>1</v>
      </c>
      <c r="V98" s="16">
        <v>2</v>
      </c>
      <c r="W98" s="16">
        <v>0</v>
      </c>
      <c r="X98" s="16">
        <v>0</v>
      </c>
      <c r="Y98" s="16">
        <v>1</v>
      </c>
      <c r="Z98" s="13">
        <f t="shared" si="81"/>
        <v>15</v>
      </c>
    </row>
    <row r="99" spans="1:26" ht="12.75" customHeight="1" x14ac:dyDescent="0.3">
      <c r="A99" s="15"/>
      <c r="B99" s="34"/>
      <c r="C99" s="29" t="s">
        <v>87</v>
      </c>
      <c r="D99" s="36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3">
        <f t="shared" si="81"/>
        <v>0</v>
      </c>
    </row>
    <row r="100" spans="1:26" ht="12.75" customHeight="1" x14ac:dyDescent="0.3">
      <c r="A100" s="15"/>
      <c r="B100" s="34"/>
      <c r="C100" s="29" t="s">
        <v>88</v>
      </c>
      <c r="D100" s="36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3">
        <f t="shared" si="81"/>
        <v>0</v>
      </c>
    </row>
    <row r="101" spans="1:26" ht="12.75" customHeight="1" x14ac:dyDescent="0.3">
      <c r="A101" s="15"/>
      <c r="B101" s="34"/>
      <c r="C101" s="29" t="s">
        <v>89</v>
      </c>
      <c r="D101" s="36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1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3">
        <f t="shared" si="81"/>
        <v>1</v>
      </c>
    </row>
    <row r="102" spans="1:26" ht="12.75" customHeight="1" x14ac:dyDescent="0.3">
      <c r="A102" s="15"/>
      <c r="B102" s="34"/>
      <c r="C102" s="29" t="s">
        <v>90</v>
      </c>
      <c r="D102" s="36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3">
        <f t="shared" si="81"/>
        <v>0</v>
      </c>
    </row>
    <row r="103" spans="1:26" ht="12.75" customHeight="1" x14ac:dyDescent="0.3">
      <c r="A103" s="16" t="s">
        <v>15</v>
      </c>
      <c r="B103" s="60" t="s">
        <v>49</v>
      </c>
      <c r="C103" s="61"/>
      <c r="D103" s="59"/>
      <c r="E103" s="13">
        <f>SUM(E93:E102)</f>
        <v>11</v>
      </c>
      <c r="F103" s="13">
        <f t="shared" ref="F103" si="82">SUM(F93:F102)</f>
        <v>9</v>
      </c>
      <c r="G103" s="13">
        <f t="shared" ref="G103" si="83">SUM(G93:G102)</f>
        <v>15</v>
      </c>
      <c r="H103" s="13">
        <f t="shared" ref="H103" si="84">SUM(H93:H102)</f>
        <v>7</v>
      </c>
      <c r="I103" s="13">
        <f t="shared" ref="I103" si="85">SUM(I93:I102)</f>
        <v>7</v>
      </c>
      <c r="J103" s="13">
        <f t="shared" ref="J103" si="86">SUM(J93:J102)</f>
        <v>11</v>
      </c>
      <c r="K103" s="13">
        <f t="shared" ref="K103" si="87">SUM(K93:K102)</f>
        <v>6</v>
      </c>
      <c r="L103" s="13">
        <f t="shared" ref="L103" si="88">SUM(L93:L102)</f>
        <v>1</v>
      </c>
      <c r="M103" s="13">
        <f t="shared" ref="M103" si="89">SUM(M93:M102)</f>
        <v>12</v>
      </c>
      <c r="N103" s="13">
        <f t="shared" ref="N103" si="90">SUM(N93:N102)</f>
        <v>11</v>
      </c>
      <c r="O103" s="13">
        <f t="shared" ref="O103" si="91">SUM(O93:O102)</f>
        <v>6</v>
      </c>
      <c r="P103" s="13">
        <f t="shared" ref="P103" si="92">SUM(P93:P102)</f>
        <v>9</v>
      </c>
      <c r="Q103" s="13">
        <f t="shared" ref="Q103" si="93">SUM(Q93:Q102)</f>
        <v>18</v>
      </c>
      <c r="R103" s="13">
        <f t="shared" ref="R103" si="94">SUM(R93:R102)</f>
        <v>24</v>
      </c>
      <c r="S103" s="13">
        <f t="shared" ref="S103" si="95">SUM(S93:S102)</f>
        <v>12</v>
      </c>
      <c r="T103" s="13">
        <f t="shared" ref="T103" si="96">SUM(T93:T102)</f>
        <v>12</v>
      </c>
      <c r="U103" s="13">
        <f t="shared" ref="U103" si="97">SUM(U93:U102)</f>
        <v>4</v>
      </c>
      <c r="V103" s="13">
        <f t="shared" ref="V103" si="98">SUM(V93:V102)</f>
        <v>27</v>
      </c>
      <c r="W103" s="13">
        <f t="shared" ref="W103" si="99">SUM(W93:W102)</f>
        <v>15</v>
      </c>
      <c r="X103" s="13">
        <f t="shared" ref="X103" si="100">SUM(X93:X102)</f>
        <v>3</v>
      </c>
      <c r="Y103" s="13">
        <f t="shared" ref="Y103" si="101">SUM(Y93:Y102)</f>
        <v>8</v>
      </c>
      <c r="Z103" s="13">
        <f t="shared" ref="Z103" si="102">SUM(Z93:Z102)</f>
        <v>228</v>
      </c>
    </row>
    <row r="104" spans="1:26" ht="12.75" customHeight="1" x14ac:dyDescent="0.3">
      <c r="A104" s="63"/>
      <c r="B104" s="64"/>
      <c r="C104" s="64"/>
      <c r="D104" s="64"/>
      <c r="E104" s="6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2.75" customHeight="1" x14ac:dyDescent="0.3">
      <c r="A105" s="20" t="s">
        <v>37</v>
      </c>
      <c r="B105" s="27" t="s">
        <v>91</v>
      </c>
      <c r="C105" s="58" t="s">
        <v>92</v>
      </c>
      <c r="D105" s="59"/>
      <c r="E105" s="16">
        <v>0</v>
      </c>
      <c r="F105" s="16">
        <v>0</v>
      </c>
      <c r="G105" s="16">
        <v>1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1</v>
      </c>
      <c r="N105" s="16">
        <v>0</v>
      </c>
      <c r="O105" s="16">
        <v>0</v>
      </c>
      <c r="P105" s="16">
        <v>1</v>
      </c>
      <c r="Q105" s="16">
        <v>2</v>
      </c>
      <c r="R105" s="16">
        <v>0</v>
      </c>
      <c r="S105" s="16">
        <v>0</v>
      </c>
      <c r="T105" s="16">
        <v>0</v>
      </c>
      <c r="U105" s="16">
        <v>0</v>
      </c>
      <c r="V105" s="16">
        <v>1</v>
      </c>
      <c r="W105" s="16">
        <v>0</v>
      </c>
      <c r="X105" s="16">
        <v>1</v>
      </c>
      <c r="Y105" s="16">
        <v>0</v>
      </c>
      <c r="Z105" s="13">
        <f t="shared" ref="Z105:Z107" si="103">SUM(E105:Y105)</f>
        <v>7</v>
      </c>
    </row>
    <row r="106" spans="1:26" ht="12.75" customHeight="1" x14ac:dyDescent="0.3">
      <c r="A106" s="20" t="s">
        <v>39</v>
      </c>
      <c r="B106" s="34"/>
      <c r="C106" s="29" t="s">
        <v>93</v>
      </c>
      <c r="D106" s="36"/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1</v>
      </c>
      <c r="M106" s="16">
        <v>1</v>
      </c>
      <c r="N106" s="16">
        <v>0</v>
      </c>
      <c r="O106" s="16">
        <v>1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1</v>
      </c>
      <c r="W106" s="16">
        <v>0</v>
      </c>
      <c r="X106" s="16">
        <v>0</v>
      </c>
      <c r="Y106" s="16">
        <v>0</v>
      </c>
      <c r="Z106" s="13">
        <f t="shared" si="103"/>
        <v>4</v>
      </c>
    </row>
    <row r="107" spans="1:26" ht="12.75" customHeight="1" x14ac:dyDescent="0.3">
      <c r="A107" s="15"/>
      <c r="B107" s="34"/>
      <c r="C107" s="29" t="s">
        <v>94</v>
      </c>
      <c r="D107" s="36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1</v>
      </c>
      <c r="L107" s="16">
        <v>1</v>
      </c>
      <c r="M107" s="16">
        <v>0</v>
      </c>
      <c r="N107" s="16">
        <v>0</v>
      </c>
      <c r="O107" s="16">
        <v>0</v>
      </c>
      <c r="P107" s="16">
        <v>1</v>
      </c>
      <c r="Q107" s="16">
        <v>0</v>
      </c>
      <c r="R107" s="16">
        <v>0</v>
      </c>
      <c r="S107" s="16">
        <v>0</v>
      </c>
      <c r="T107" s="16">
        <v>1</v>
      </c>
      <c r="U107" s="16">
        <v>0</v>
      </c>
      <c r="V107" s="16">
        <v>0</v>
      </c>
      <c r="W107" s="16">
        <v>1</v>
      </c>
      <c r="X107" s="16">
        <v>1</v>
      </c>
      <c r="Y107" s="16">
        <v>0</v>
      </c>
      <c r="Z107" s="13">
        <f t="shared" si="103"/>
        <v>6</v>
      </c>
    </row>
    <row r="108" spans="1:26" ht="12.75" customHeight="1" x14ac:dyDescent="0.3">
      <c r="A108" s="15"/>
      <c r="B108" s="37"/>
      <c r="C108" s="38"/>
      <c r="D108" s="39"/>
      <c r="E108" s="5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56"/>
    </row>
    <row r="109" spans="1:26" ht="12.75" customHeight="1" x14ac:dyDescent="0.3">
      <c r="A109" s="15"/>
      <c r="B109" s="37"/>
      <c r="C109" s="38"/>
      <c r="D109" s="39"/>
      <c r="E109" s="5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56"/>
    </row>
    <row r="110" spans="1:26" ht="12.75" customHeight="1" x14ac:dyDescent="0.3">
      <c r="A110" s="15"/>
      <c r="B110" s="37"/>
      <c r="C110" s="38"/>
      <c r="D110" s="39"/>
      <c r="E110" s="5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56"/>
    </row>
    <row r="111" spans="1:26" ht="12.75" customHeight="1" x14ac:dyDescent="0.3">
      <c r="A111" s="15"/>
      <c r="B111" s="37"/>
      <c r="C111" s="38"/>
      <c r="D111" s="39"/>
      <c r="E111" s="5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56"/>
    </row>
    <row r="112" spans="1:26" ht="12.75" customHeight="1" x14ac:dyDescent="0.3">
      <c r="A112" s="15"/>
      <c r="B112" s="37"/>
      <c r="C112" s="38"/>
      <c r="D112" s="39"/>
      <c r="E112" s="5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56"/>
    </row>
    <row r="113" spans="1:28" ht="12.75" customHeight="1" x14ac:dyDescent="0.3">
      <c r="A113" s="15"/>
      <c r="B113" s="37"/>
      <c r="C113" s="38"/>
      <c r="D113" s="39"/>
      <c r="E113" s="5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56"/>
    </row>
    <row r="114" spans="1:28" ht="12.75" customHeight="1" x14ac:dyDescent="0.3">
      <c r="A114" s="15"/>
      <c r="B114" s="37"/>
      <c r="C114" s="38"/>
      <c r="D114" s="39"/>
      <c r="E114" s="5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56"/>
    </row>
    <row r="115" spans="1:28" ht="12.75" customHeight="1" x14ac:dyDescent="0.3">
      <c r="A115" s="16" t="s">
        <v>15</v>
      </c>
      <c r="B115" s="60" t="s">
        <v>49</v>
      </c>
      <c r="C115" s="61"/>
      <c r="D115" s="59"/>
      <c r="E115" s="13">
        <f>SUM(E105:E114)</f>
        <v>0</v>
      </c>
      <c r="F115" s="13">
        <f t="shared" ref="F115" si="104">SUM(F105:F114)</f>
        <v>0</v>
      </c>
      <c r="G115" s="13">
        <f t="shared" ref="G115" si="105">SUM(G105:G114)</f>
        <v>1</v>
      </c>
      <c r="H115" s="13">
        <f t="shared" ref="H115" si="106">SUM(H105:H114)</f>
        <v>0</v>
      </c>
      <c r="I115" s="13">
        <f t="shared" ref="I115" si="107">SUM(I105:I114)</f>
        <v>0</v>
      </c>
      <c r="J115" s="13">
        <f t="shared" ref="J115" si="108">SUM(J105:J114)</f>
        <v>0</v>
      </c>
      <c r="K115" s="13">
        <f t="shared" ref="K115" si="109">SUM(K105:K114)</f>
        <v>1</v>
      </c>
      <c r="L115" s="13">
        <f t="shared" ref="L115" si="110">SUM(L105:L114)</f>
        <v>2</v>
      </c>
      <c r="M115" s="13">
        <f t="shared" ref="M115" si="111">SUM(M105:M114)</f>
        <v>2</v>
      </c>
      <c r="N115" s="13">
        <f t="shared" ref="N115" si="112">SUM(N105:N114)</f>
        <v>0</v>
      </c>
      <c r="O115" s="13">
        <f t="shared" ref="O115" si="113">SUM(O105:O114)</f>
        <v>1</v>
      </c>
      <c r="P115" s="13">
        <f t="shared" ref="P115" si="114">SUM(P105:P114)</f>
        <v>2</v>
      </c>
      <c r="Q115" s="13">
        <f t="shared" ref="Q115" si="115">SUM(Q105:Q114)</f>
        <v>2</v>
      </c>
      <c r="R115" s="13">
        <f t="shared" ref="R115" si="116">SUM(R105:R114)</f>
        <v>0</v>
      </c>
      <c r="S115" s="13">
        <f t="shared" ref="S115" si="117">SUM(S105:S114)</f>
        <v>0</v>
      </c>
      <c r="T115" s="13">
        <f t="shared" ref="T115" si="118">SUM(T105:T114)</f>
        <v>1</v>
      </c>
      <c r="U115" s="13">
        <f t="shared" ref="U115" si="119">SUM(U105:U114)</f>
        <v>0</v>
      </c>
      <c r="V115" s="13">
        <f t="shared" ref="V115" si="120">SUM(V105:V114)</f>
        <v>2</v>
      </c>
      <c r="W115" s="13">
        <f t="shared" ref="W115" si="121">SUM(W105:W114)</f>
        <v>1</v>
      </c>
      <c r="X115" s="13">
        <f t="shared" ref="X115" si="122">SUM(X105:X114)</f>
        <v>2</v>
      </c>
      <c r="Y115" s="13">
        <f t="shared" ref="Y115" si="123">SUM(Y105:Y114)</f>
        <v>0</v>
      </c>
      <c r="Z115" s="13">
        <f t="shared" ref="Z115" si="124">SUM(Z105:Z114)</f>
        <v>17</v>
      </c>
    </row>
    <row r="116" spans="1:28" ht="12.75" customHeight="1" x14ac:dyDescent="0.3">
      <c r="A116" s="62"/>
      <c r="B116" s="61"/>
      <c r="C116" s="61"/>
      <c r="D116" s="61"/>
      <c r="E116" s="59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Z116" s="13"/>
    </row>
    <row r="117" spans="1:28" ht="12.75" customHeight="1" x14ac:dyDescent="0.3">
      <c r="A117" s="20" t="s">
        <v>37</v>
      </c>
      <c r="B117" s="27" t="s">
        <v>95</v>
      </c>
      <c r="C117" s="58" t="s">
        <v>96</v>
      </c>
      <c r="D117" s="59"/>
      <c r="E117" s="16">
        <v>2</v>
      </c>
      <c r="F117" s="16">
        <v>0</v>
      </c>
      <c r="G117" s="16">
        <v>1</v>
      </c>
      <c r="H117" s="16">
        <v>1</v>
      </c>
      <c r="I117" s="16">
        <v>2</v>
      </c>
      <c r="J117" s="16">
        <v>5</v>
      </c>
      <c r="K117" s="16">
        <v>0</v>
      </c>
      <c r="L117" s="16">
        <v>0</v>
      </c>
      <c r="M117" s="16">
        <v>2</v>
      </c>
      <c r="N117" s="16">
        <v>1</v>
      </c>
      <c r="O117" s="16">
        <v>0</v>
      </c>
      <c r="P117" s="16">
        <v>1</v>
      </c>
      <c r="Q117" s="16">
        <v>2</v>
      </c>
      <c r="R117" s="16">
        <v>1</v>
      </c>
      <c r="S117" s="16">
        <v>2</v>
      </c>
      <c r="T117" s="16">
        <v>0</v>
      </c>
      <c r="U117" s="16">
        <v>0</v>
      </c>
      <c r="V117" s="16">
        <v>2</v>
      </c>
      <c r="W117" s="16">
        <v>0</v>
      </c>
      <c r="X117" s="16">
        <v>4</v>
      </c>
      <c r="Y117" s="16">
        <v>0</v>
      </c>
      <c r="Z117" s="13">
        <f t="shared" ref="Z117:Z122" si="125">SUM(E117:Y117)</f>
        <v>26</v>
      </c>
      <c r="AA117" s="5"/>
      <c r="AB117" s="5"/>
    </row>
    <row r="118" spans="1:28" ht="12.75" customHeight="1" x14ac:dyDescent="0.3">
      <c r="A118" s="20" t="s">
        <v>39</v>
      </c>
      <c r="B118" s="34"/>
      <c r="C118" s="29" t="s">
        <v>97</v>
      </c>
      <c r="D118" s="36"/>
      <c r="E118" s="16">
        <v>0</v>
      </c>
      <c r="F118" s="16">
        <v>1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1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1</v>
      </c>
      <c r="X118" s="16">
        <v>0</v>
      </c>
      <c r="Y118" s="16">
        <v>0</v>
      </c>
      <c r="Z118" s="13">
        <f t="shared" si="125"/>
        <v>3</v>
      </c>
      <c r="AA118" s="5"/>
      <c r="AB118" s="5"/>
    </row>
    <row r="119" spans="1:28" ht="12.75" customHeight="1" x14ac:dyDescent="0.3">
      <c r="A119" s="15"/>
      <c r="B119" s="34"/>
      <c r="C119" s="29" t="s">
        <v>98</v>
      </c>
      <c r="D119" s="36"/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1</v>
      </c>
      <c r="W119" s="16">
        <v>0</v>
      </c>
      <c r="X119" s="16">
        <v>0</v>
      </c>
      <c r="Y119" s="16">
        <v>0</v>
      </c>
      <c r="Z119" s="13">
        <f t="shared" si="125"/>
        <v>2</v>
      </c>
      <c r="AA119" s="5"/>
      <c r="AB119" s="5"/>
    </row>
    <row r="120" spans="1:28" ht="12.75" customHeight="1" x14ac:dyDescent="0.3">
      <c r="A120" s="15"/>
      <c r="B120" s="34"/>
      <c r="C120" s="29" t="s">
        <v>99</v>
      </c>
      <c r="D120" s="36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1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3">
        <f t="shared" si="125"/>
        <v>1</v>
      </c>
      <c r="AA120" s="5"/>
      <c r="AB120" s="5"/>
    </row>
    <row r="121" spans="1:28" ht="12.75" customHeight="1" x14ac:dyDescent="0.3">
      <c r="A121" s="15"/>
      <c r="B121" s="34"/>
      <c r="C121" s="29" t="s">
        <v>100</v>
      </c>
      <c r="D121" s="36"/>
      <c r="E121" s="16">
        <v>0</v>
      </c>
      <c r="F121" s="16">
        <v>0</v>
      </c>
      <c r="G121" s="16">
        <v>0</v>
      </c>
      <c r="H121" s="16">
        <v>1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3">
        <f t="shared" si="125"/>
        <v>1</v>
      </c>
      <c r="AA121" s="5"/>
      <c r="AB121" s="5"/>
    </row>
    <row r="122" spans="1:28" ht="12.75" customHeight="1" x14ac:dyDescent="0.3">
      <c r="A122" s="15"/>
      <c r="B122" s="34"/>
      <c r="C122" s="29" t="s">
        <v>101</v>
      </c>
      <c r="D122" s="36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3">
        <f t="shared" si="125"/>
        <v>0</v>
      </c>
      <c r="AA122" s="5"/>
      <c r="AB122" s="5"/>
    </row>
    <row r="123" spans="1:28" ht="12.75" customHeight="1" x14ac:dyDescent="0.3">
      <c r="A123" s="15"/>
      <c r="B123" s="37"/>
      <c r="C123" s="38"/>
      <c r="D123" s="39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56"/>
      <c r="AA123" s="5"/>
      <c r="AB123" s="5"/>
    </row>
    <row r="124" spans="1:28" ht="12.75" customHeight="1" x14ac:dyDescent="0.3">
      <c r="A124" s="15"/>
      <c r="B124" s="37"/>
      <c r="C124" s="38"/>
      <c r="D124" s="39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56"/>
      <c r="AA124" s="5"/>
      <c r="AB124" s="5"/>
    </row>
    <row r="125" spans="1:28" ht="12.75" customHeight="1" x14ac:dyDescent="0.3">
      <c r="A125" s="15"/>
      <c r="B125" s="37"/>
      <c r="C125" s="38"/>
      <c r="D125" s="39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56"/>
      <c r="AA125" s="5"/>
      <c r="AB125" s="5"/>
    </row>
    <row r="126" spans="1:28" ht="12.75" customHeight="1" x14ac:dyDescent="0.3">
      <c r="A126" s="15"/>
      <c r="B126" s="37"/>
      <c r="C126" s="38"/>
      <c r="D126" s="39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56"/>
      <c r="AA126" s="5"/>
      <c r="AB126" s="5"/>
    </row>
    <row r="127" spans="1:28" ht="12.75" customHeight="1" x14ac:dyDescent="0.3">
      <c r="A127" s="16" t="s">
        <v>15</v>
      </c>
      <c r="B127" s="60" t="s">
        <v>49</v>
      </c>
      <c r="C127" s="61"/>
      <c r="D127" s="59"/>
      <c r="E127" s="13">
        <f>SUM(E117:E126)</f>
        <v>2</v>
      </c>
      <c r="F127" s="13">
        <f t="shared" ref="F127" si="126">SUM(F117:F126)</f>
        <v>1</v>
      </c>
      <c r="G127" s="13">
        <f t="shared" ref="G127" si="127">SUM(G117:G126)</f>
        <v>1</v>
      </c>
      <c r="H127" s="13">
        <f t="shared" ref="H127" si="128">SUM(H117:H126)</f>
        <v>2</v>
      </c>
      <c r="I127" s="13">
        <f t="shared" ref="I127" si="129">SUM(I117:I126)</f>
        <v>2</v>
      </c>
      <c r="J127" s="13">
        <f t="shared" ref="J127" si="130">SUM(J117:J126)</f>
        <v>6</v>
      </c>
      <c r="K127" s="13">
        <f t="shared" ref="K127" si="131">SUM(K117:K126)</f>
        <v>0</v>
      </c>
      <c r="L127" s="13">
        <f t="shared" ref="L127" si="132">SUM(L117:L126)</f>
        <v>1</v>
      </c>
      <c r="M127" s="13">
        <f t="shared" ref="M127" si="133">SUM(M117:M126)</f>
        <v>3</v>
      </c>
      <c r="N127" s="13">
        <f t="shared" ref="N127" si="134">SUM(N117:N126)</f>
        <v>1</v>
      </c>
      <c r="O127" s="13">
        <f t="shared" ref="O127" si="135">SUM(O117:O126)</f>
        <v>0</v>
      </c>
      <c r="P127" s="13">
        <f t="shared" ref="P127" si="136">SUM(P117:P126)</f>
        <v>1</v>
      </c>
      <c r="Q127" s="13">
        <f t="shared" ref="Q127" si="137">SUM(Q117:Q126)</f>
        <v>2</v>
      </c>
      <c r="R127" s="13">
        <f t="shared" ref="R127" si="138">SUM(R117:R126)</f>
        <v>1</v>
      </c>
      <c r="S127" s="13">
        <f t="shared" ref="S127" si="139">SUM(S117:S126)</f>
        <v>2</v>
      </c>
      <c r="T127" s="13">
        <f t="shared" ref="T127" si="140">SUM(T117:T126)</f>
        <v>0</v>
      </c>
      <c r="U127" s="13">
        <f t="shared" ref="U127" si="141">SUM(U117:U126)</f>
        <v>0</v>
      </c>
      <c r="V127" s="13">
        <f t="shared" ref="V127" si="142">SUM(V117:V126)</f>
        <v>3</v>
      </c>
      <c r="W127" s="13">
        <f t="shared" ref="W127" si="143">SUM(W117:W126)</f>
        <v>1</v>
      </c>
      <c r="X127" s="13">
        <f t="shared" ref="X127" si="144">SUM(X117:X126)</f>
        <v>4</v>
      </c>
      <c r="Y127" s="13">
        <f t="shared" ref="Y127" si="145">SUM(Y117:Y126)</f>
        <v>0</v>
      </c>
      <c r="Z127" s="13">
        <f t="shared" ref="Z127" si="146">SUM(Z117:Z126)</f>
        <v>33</v>
      </c>
      <c r="AA127" s="5"/>
      <c r="AB127" s="5"/>
    </row>
    <row r="128" spans="1:28" ht="12.75" customHeight="1" x14ac:dyDescent="0.3">
      <c r="A128" s="62"/>
      <c r="B128" s="61"/>
      <c r="C128" s="61"/>
      <c r="D128" s="61"/>
      <c r="E128" s="59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"/>
      <c r="AB128" s="5"/>
    </row>
    <row r="129" spans="1:28" ht="12.75" customHeight="1" x14ac:dyDescent="0.3">
      <c r="A129" s="20" t="s">
        <v>37</v>
      </c>
      <c r="B129" s="27" t="s">
        <v>102</v>
      </c>
      <c r="C129" s="58" t="s">
        <v>103</v>
      </c>
      <c r="D129" s="59"/>
      <c r="E129" s="16">
        <v>1</v>
      </c>
      <c r="F129" s="16">
        <v>0</v>
      </c>
      <c r="G129" s="16">
        <v>0</v>
      </c>
      <c r="H129" s="16">
        <v>0</v>
      </c>
      <c r="I129" s="16">
        <v>2</v>
      </c>
      <c r="J129" s="16">
        <v>1</v>
      </c>
      <c r="K129" s="16">
        <v>2</v>
      </c>
      <c r="L129" s="16">
        <v>1</v>
      </c>
      <c r="M129" s="16">
        <v>0</v>
      </c>
      <c r="N129" s="16">
        <v>2</v>
      </c>
      <c r="O129" s="16">
        <v>2</v>
      </c>
      <c r="P129" s="16">
        <v>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1</v>
      </c>
      <c r="Z129" s="13">
        <f t="shared" ref="Z129:Z139" si="147">SUM(E129:Y129)</f>
        <v>13</v>
      </c>
      <c r="AA129" s="5"/>
      <c r="AB129" s="5"/>
    </row>
    <row r="130" spans="1:28" ht="12.75" customHeight="1" x14ac:dyDescent="0.3">
      <c r="A130" s="20" t="s">
        <v>39</v>
      </c>
      <c r="B130" s="34"/>
      <c r="C130" s="29" t="s">
        <v>104</v>
      </c>
      <c r="D130" s="35"/>
      <c r="E130" s="16">
        <v>6</v>
      </c>
      <c r="F130" s="16">
        <v>1</v>
      </c>
      <c r="G130" s="16">
        <v>1</v>
      </c>
      <c r="H130" s="16">
        <v>2</v>
      </c>
      <c r="I130" s="16">
        <v>0</v>
      </c>
      <c r="J130" s="16">
        <v>0</v>
      </c>
      <c r="K130" s="16">
        <v>0</v>
      </c>
      <c r="L130" s="16">
        <v>2</v>
      </c>
      <c r="M130" s="16">
        <v>0</v>
      </c>
      <c r="N130" s="16">
        <v>0</v>
      </c>
      <c r="O130" s="16">
        <v>0</v>
      </c>
      <c r="P130" s="16">
        <v>1</v>
      </c>
      <c r="Q130" s="16">
        <v>2</v>
      </c>
      <c r="R130" s="16">
        <v>1</v>
      </c>
      <c r="S130" s="16">
        <v>1</v>
      </c>
      <c r="T130" s="16">
        <v>0</v>
      </c>
      <c r="U130" s="16">
        <v>0</v>
      </c>
      <c r="V130" s="16">
        <v>1</v>
      </c>
      <c r="W130" s="16">
        <v>0</v>
      </c>
      <c r="X130" s="16">
        <v>0</v>
      </c>
      <c r="Y130" s="16">
        <v>2</v>
      </c>
      <c r="Z130" s="13">
        <f t="shared" si="147"/>
        <v>20</v>
      </c>
      <c r="AA130" s="1"/>
      <c r="AB130" s="1"/>
    </row>
    <row r="131" spans="1:28" ht="12.75" customHeight="1" x14ac:dyDescent="0.3">
      <c r="A131" s="15"/>
      <c r="B131" s="34"/>
      <c r="C131" s="29" t="s">
        <v>105</v>
      </c>
      <c r="D131" s="35"/>
      <c r="E131" s="16">
        <v>1</v>
      </c>
      <c r="F131" s="16">
        <v>0</v>
      </c>
      <c r="G131" s="16">
        <v>2</v>
      </c>
      <c r="H131" s="16">
        <v>1</v>
      </c>
      <c r="I131" s="16">
        <v>0</v>
      </c>
      <c r="J131" s="16">
        <v>2</v>
      </c>
      <c r="K131" s="16">
        <v>0</v>
      </c>
      <c r="L131" s="16">
        <v>0</v>
      </c>
      <c r="M131" s="16">
        <v>1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1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3">
        <f t="shared" si="147"/>
        <v>8</v>
      </c>
      <c r="AA131" s="31"/>
      <c r="AB131" s="31"/>
    </row>
    <row r="132" spans="1:28" ht="12.75" customHeight="1" x14ac:dyDescent="0.3">
      <c r="A132" s="15"/>
      <c r="B132" s="34"/>
      <c r="C132" s="29" t="s">
        <v>106</v>
      </c>
      <c r="D132" s="35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1</v>
      </c>
      <c r="T132" s="16">
        <v>0</v>
      </c>
      <c r="U132" s="16">
        <v>0</v>
      </c>
      <c r="V132" s="16">
        <v>1</v>
      </c>
      <c r="W132" s="16">
        <v>0</v>
      </c>
      <c r="X132" s="16">
        <v>1</v>
      </c>
      <c r="Y132" s="16">
        <v>0</v>
      </c>
      <c r="Z132" s="13">
        <f t="shared" si="147"/>
        <v>3</v>
      </c>
      <c r="AA132" s="5"/>
      <c r="AB132" s="5"/>
    </row>
    <row r="133" spans="1:28" ht="12.75" customHeight="1" x14ac:dyDescent="0.3">
      <c r="A133" s="15"/>
      <c r="B133" s="34"/>
      <c r="C133" s="29" t="s">
        <v>107</v>
      </c>
      <c r="D133" s="35"/>
      <c r="E133" s="16">
        <v>0</v>
      </c>
      <c r="F133" s="16">
        <v>0</v>
      </c>
      <c r="G133" s="16">
        <v>1</v>
      </c>
      <c r="H133" s="16">
        <v>0</v>
      </c>
      <c r="I133" s="16">
        <v>0</v>
      </c>
      <c r="J133" s="16">
        <v>0</v>
      </c>
      <c r="K133" s="16">
        <v>0</v>
      </c>
      <c r="L133" s="16">
        <v>1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1</v>
      </c>
      <c r="Y133" s="16">
        <v>0</v>
      </c>
      <c r="Z133" s="13">
        <f t="shared" si="147"/>
        <v>3</v>
      </c>
      <c r="AA133" s="5"/>
      <c r="AB133" s="5"/>
    </row>
    <row r="134" spans="1:28" ht="12.75" customHeight="1" x14ac:dyDescent="0.3">
      <c r="A134" s="15"/>
      <c r="B134" s="34"/>
      <c r="C134" s="29" t="s">
        <v>108</v>
      </c>
      <c r="D134" s="35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1</v>
      </c>
      <c r="Q134" s="16">
        <v>0</v>
      </c>
      <c r="R134" s="16">
        <v>0</v>
      </c>
      <c r="S134" s="16">
        <v>0</v>
      </c>
      <c r="T134" s="16">
        <v>1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3">
        <f t="shared" si="147"/>
        <v>2</v>
      </c>
      <c r="AA134" s="5"/>
      <c r="AB134" s="5"/>
    </row>
    <row r="135" spans="1:28" ht="12.75" customHeight="1" x14ac:dyDescent="0.3">
      <c r="A135" s="15"/>
      <c r="B135" s="34"/>
      <c r="C135" s="29" t="s">
        <v>109</v>
      </c>
      <c r="D135" s="36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3">
        <f t="shared" si="147"/>
        <v>0</v>
      </c>
      <c r="AA135" s="5"/>
      <c r="AB135" s="5"/>
    </row>
    <row r="136" spans="1:28" ht="12.75" customHeight="1" x14ac:dyDescent="0.3">
      <c r="A136" s="15"/>
      <c r="B136" s="34"/>
      <c r="C136" s="29" t="s">
        <v>110</v>
      </c>
      <c r="D136" s="35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1</v>
      </c>
      <c r="K136" s="16">
        <v>0</v>
      </c>
      <c r="L136" s="16">
        <v>0</v>
      </c>
      <c r="M136" s="16">
        <v>2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1</v>
      </c>
      <c r="Y136" s="16">
        <v>0</v>
      </c>
      <c r="Z136" s="13">
        <f t="shared" si="147"/>
        <v>4</v>
      </c>
      <c r="AA136" s="5"/>
      <c r="AB136" s="5"/>
    </row>
    <row r="137" spans="1:28" ht="12.75" customHeight="1" x14ac:dyDescent="0.3">
      <c r="A137" s="15"/>
      <c r="B137" s="34"/>
      <c r="C137" s="29" t="s">
        <v>111</v>
      </c>
      <c r="D137" s="35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3">
        <f t="shared" si="147"/>
        <v>0</v>
      </c>
      <c r="AA137" s="5"/>
      <c r="AB137" s="5"/>
    </row>
    <row r="138" spans="1:28" ht="12.75" customHeight="1" x14ac:dyDescent="0.3">
      <c r="A138" s="15"/>
      <c r="B138" s="34"/>
      <c r="C138" s="29" t="s">
        <v>112</v>
      </c>
      <c r="D138" s="35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1</v>
      </c>
      <c r="V138" s="16">
        <v>0</v>
      </c>
      <c r="W138" s="16">
        <v>0</v>
      </c>
      <c r="X138" s="16">
        <v>0</v>
      </c>
      <c r="Y138" s="16">
        <v>0</v>
      </c>
      <c r="Z138" s="13">
        <f t="shared" si="147"/>
        <v>1</v>
      </c>
      <c r="AA138" s="5"/>
      <c r="AB138" s="5"/>
    </row>
    <row r="139" spans="1:28" ht="12.75" customHeight="1" x14ac:dyDescent="0.3">
      <c r="A139" s="16" t="s">
        <v>15</v>
      </c>
      <c r="B139" s="60" t="s">
        <v>49</v>
      </c>
      <c r="C139" s="61"/>
      <c r="D139" s="59"/>
      <c r="E139" s="13">
        <f>SUM(E129:E138)</f>
        <v>8</v>
      </c>
      <c r="F139" s="13">
        <f t="shared" ref="F139" si="148">SUM(F129:F138)</f>
        <v>1</v>
      </c>
      <c r="G139" s="13">
        <f t="shared" ref="G139" si="149">SUM(G129:G138)</f>
        <v>4</v>
      </c>
      <c r="H139" s="13">
        <f t="shared" ref="H139" si="150">SUM(H129:H138)</f>
        <v>3</v>
      </c>
      <c r="I139" s="13">
        <f t="shared" ref="I139" si="151">SUM(I129:I138)</f>
        <v>2</v>
      </c>
      <c r="J139" s="13">
        <f t="shared" ref="J139" si="152">SUM(J129:J138)</f>
        <v>4</v>
      </c>
      <c r="K139" s="13">
        <f t="shared" ref="K139" si="153">SUM(K129:K138)</f>
        <v>2</v>
      </c>
      <c r="L139" s="13">
        <f t="shared" ref="L139" si="154">SUM(L129:L138)</f>
        <v>4</v>
      </c>
      <c r="M139" s="13">
        <f t="shared" ref="M139" si="155">SUM(M129:M138)</f>
        <v>3</v>
      </c>
      <c r="N139" s="13">
        <f t="shared" ref="N139" si="156">SUM(N129:N138)</f>
        <v>2</v>
      </c>
      <c r="O139" s="13">
        <f t="shared" ref="O139" si="157">SUM(O129:O138)</f>
        <v>2</v>
      </c>
      <c r="P139" s="13">
        <f t="shared" ref="P139" si="158">SUM(P129:P138)</f>
        <v>3</v>
      </c>
      <c r="Q139" s="13">
        <f t="shared" ref="Q139" si="159">SUM(Q129:Q138)</f>
        <v>2</v>
      </c>
      <c r="R139" s="13">
        <f t="shared" ref="R139" si="160">SUM(R129:R138)</f>
        <v>1</v>
      </c>
      <c r="S139" s="13">
        <f t="shared" ref="S139" si="161">SUM(S129:S138)</f>
        <v>2</v>
      </c>
      <c r="T139" s="13">
        <f t="shared" ref="T139" si="162">SUM(T129:T138)</f>
        <v>2</v>
      </c>
      <c r="U139" s="13">
        <f t="shared" ref="U139" si="163">SUM(U129:U138)</f>
        <v>1</v>
      </c>
      <c r="V139" s="13">
        <f t="shared" ref="V139" si="164">SUM(V129:V138)</f>
        <v>2</v>
      </c>
      <c r="W139" s="13">
        <f t="shared" ref="W139" si="165">SUM(W129:W138)</f>
        <v>0</v>
      </c>
      <c r="X139" s="13">
        <f t="shared" ref="X139" si="166">SUM(X129:X138)</f>
        <v>3</v>
      </c>
      <c r="Y139" s="13">
        <f t="shared" ref="Y139" si="167">SUM(Y129:Y138)</f>
        <v>3</v>
      </c>
      <c r="Z139" s="13">
        <f t="shared" ref="Z139" si="168">SUM(Z129:Z138)</f>
        <v>54</v>
      </c>
      <c r="AA139" s="5"/>
      <c r="AB139" s="5"/>
    </row>
    <row r="140" spans="1:28" ht="12.75" customHeight="1" x14ac:dyDescent="0.3">
      <c r="A140" s="62"/>
      <c r="B140" s="61"/>
      <c r="C140" s="61"/>
      <c r="D140" s="61"/>
      <c r="E140" s="59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"/>
      <c r="AB140" s="5"/>
    </row>
    <row r="141" spans="1:28" ht="12.75" customHeight="1" x14ac:dyDescent="0.3">
      <c r="A141" s="20" t="s">
        <v>37</v>
      </c>
      <c r="B141" s="27" t="s">
        <v>113</v>
      </c>
      <c r="C141" s="58" t="s">
        <v>114</v>
      </c>
      <c r="D141" s="59"/>
      <c r="E141" s="16">
        <v>0</v>
      </c>
      <c r="F141" s="16">
        <v>0</v>
      </c>
      <c r="G141" s="16">
        <v>2</v>
      </c>
      <c r="H141" s="16">
        <v>4</v>
      </c>
      <c r="I141" s="16">
        <v>0</v>
      </c>
      <c r="J141" s="16">
        <v>1</v>
      </c>
      <c r="K141" s="16">
        <v>5</v>
      </c>
      <c r="L141" s="16">
        <v>3</v>
      </c>
      <c r="M141" s="16">
        <v>0</v>
      </c>
      <c r="N141" s="16">
        <v>0</v>
      </c>
      <c r="O141" s="16">
        <v>3</v>
      </c>
      <c r="P141" s="16">
        <v>0</v>
      </c>
      <c r="Q141" s="16">
        <v>0</v>
      </c>
      <c r="R141" s="16">
        <v>0</v>
      </c>
      <c r="S141" s="16">
        <v>1</v>
      </c>
      <c r="T141" s="16">
        <v>1</v>
      </c>
      <c r="U141" s="16">
        <v>0</v>
      </c>
      <c r="V141" s="16">
        <v>0</v>
      </c>
      <c r="W141" s="16">
        <v>1</v>
      </c>
      <c r="X141" s="16">
        <v>0</v>
      </c>
      <c r="Y141" s="16">
        <v>0</v>
      </c>
      <c r="Z141" s="13">
        <f t="shared" ref="Z141:Z144" si="169">SUM(E141:Y141)</f>
        <v>21</v>
      </c>
      <c r="AA141" s="1"/>
      <c r="AB141" s="1"/>
    </row>
    <row r="142" spans="1:28" ht="12.75" customHeight="1" x14ac:dyDescent="0.3">
      <c r="A142" s="20" t="s">
        <v>39</v>
      </c>
      <c r="B142" s="34"/>
      <c r="C142" s="29" t="s">
        <v>115</v>
      </c>
      <c r="D142" s="36"/>
      <c r="E142" s="16">
        <v>0</v>
      </c>
      <c r="F142" s="16">
        <v>0</v>
      </c>
      <c r="G142" s="16">
        <v>3</v>
      </c>
      <c r="H142" s="16">
        <v>1</v>
      </c>
      <c r="I142" s="16">
        <v>0</v>
      </c>
      <c r="J142" s="16">
        <v>0</v>
      </c>
      <c r="K142" s="16">
        <v>1</v>
      </c>
      <c r="L142" s="16">
        <v>1</v>
      </c>
      <c r="M142" s="16">
        <v>0</v>
      </c>
      <c r="N142" s="16">
        <v>0</v>
      </c>
      <c r="O142" s="16">
        <v>0</v>
      </c>
      <c r="P142" s="16">
        <v>0</v>
      </c>
      <c r="Q142" s="16">
        <v>1</v>
      </c>
      <c r="R142" s="16">
        <v>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3">
        <f t="shared" si="169"/>
        <v>8</v>
      </c>
      <c r="AA142" s="31"/>
      <c r="AB142" s="31"/>
    </row>
    <row r="143" spans="1:28" ht="12.75" customHeight="1" x14ac:dyDescent="0.3">
      <c r="A143" s="15"/>
      <c r="B143" s="34"/>
      <c r="C143" s="29" t="s">
        <v>116</v>
      </c>
      <c r="D143" s="36"/>
      <c r="E143" s="16">
        <v>0</v>
      </c>
      <c r="F143" s="16">
        <v>0</v>
      </c>
      <c r="G143" s="16">
        <v>1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3">
        <f t="shared" si="169"/>
        <v>1</v>
      </c>
      <c r="AA143" s="5"/>
      <c r="AB143" s="5"/>
    </row>
    <row r="144" spans="1:28" ht="12.75" customHeight="1" x14ac:dyDescent="0.3">
      <c r="A144" s="15"/>
      <c r="B144" s="34"/>
      <c r="C144" s="29" t="s">
        <v>117</v>
      </c>
      <c r="D144" s="36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1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1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3">
        <f t="shared" si="169"/>
        <v>2</v>
      </c>
      <c r="AA144" s="5"/>
      <c r="AB144" s="5"/>
    </row>
    <row r="145" spans="1:28" ht="12.75" customHeight="1" x14ac:dyDescent="0.3">
      <c r="A145" s="15"/>
      <c r="B145" s="37"/>
      <c r="C145" s="38"/>
      <c r="D145" s="3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56"/>
      <c r="AA145" s="5"/>
      <c r="AB145" s="5"/>
    </row>
    <row r="146" spans="1:28" ht="12.75" customHeight="1" x14ac:dyDescent="0.3">
      <c r="A146" s="15"/>
      <c r="B146" s="37"/>
      <c r="C146" s="38"/>
      <c r="D146" s="3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56"/>
      <c r="AA146" s="5"/>
      <c r="AB146" s="5"/>
    </row>
    <row r="147" spans="1:28" ht="12.75" customHeight="1" x14ac:dyDescent="0.3">
      <c r="A147" s="15"/>
      <c r="B147" s="37"/>
      <c r="C147" s="38"/>
      <c r="D147" s="3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56"/>
      <c r="AA147" s="5"/>
      <c r="AB147" s="5"/>
    </row>
    <row r="148" spans="1:28" ht="12.75" customHeight="1" x14ac:dyDescent="0.3">
      <c r="A148" s="15"/>
      <c r="B148" s="37"/>
      <c r="C148" s="38"/>
      <c r="D148" s="3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56"/>
      <c r="AA148" s="5"/>
      <c r="AB148" s="5"/>
    </row>
    <row r="149" spans="1:28" ht="12.75" customHeight="1" x14ac:dyDescent="0.3">
      <c r="A149" s="15"/>
      <c r="B149" s="37"/>
      <c r="C149" s="38"/>
      <c r="D149" s="3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56"/>
      <c r="AA149" s="5"/>
      <c r="AB149" s="5"/>
    </row>
    <row r="150" spans="1:28" ht="12.75" customHeight="1" x14ac:dyDescent="0.3">
      <c r="A150" s="15"/>
      <c r="B150" s="37"/>
      <c r="C150" s="38"/>
      <c r="D150" s="3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56"/>
      <c r="AA150" s="5"/>
      <c r="AB150" s="5"/>
    </row>
    <row r="151" spans="1:28" ht="12.75" customHeight="1" x14ac:dyDescent="0.3">
      <c r="A151" s="16" t="s">
        <v>15</v>
      </c>
      <c r="B151" s="60" t="s">
        <v>49</v>
      </c>
      <c r="C151" s="61"/>
      <c r="D151" s="59"/>
      <c r="E151" s="13">
        <f>SUM(E141:E150)</f>
        <v>0</v>
      </c>
      <c r="F151" s="13">
        <f t="shared" ref="F151" si="170">SUM(F141:F150)</f>
        <v>0</v>
      </c>
      <c r="G151" s="13">
        <f t="shared" ref="G151" si="171">SUM(G141:G150)</f>
        <v>6</v>
      </c>
      <c r="H151" s="13">
        <f t="shared" ref="H151" si="172">SUM(H141:H150)</f>
        <v>5</v>
      </c>
      <c r="I151" s="13">
        <f t="shared" ref="I151" si="173">SUM(I141:I150)</f>
        <v>0</v>
      </c>
      <c r="J151" s="13">
        <f t="shared" ref="J151" si="174">SUM(J141:J150)</f>
        <v>1</v>
      </c>
      <c r="K151" s="13">
        <f t="shared" ref="K151" si="175">SUM(K141:K150)</f>
        <v>6</v>
      </c>
      <c r="L151" s="13">
        <f t="shared" ref="L151" si="176">SUM(L141:L150)</f>
        <v>4</v>
      </c>
      <c r="M151" s="13">
        <f t="shared" ref="M151" si="177">SUM(M141:M150)</f>
        <v>0</v>
      </c>
      <c r="N151" s="13">
        <f t="shared" ref="N151" si="178">SUM(N141:N150)</f>
        <v>1</v>
      </c>
      <c r="O151" s="13">
        <f t="shared" ref="O151" si="179">SUM(O141:O150)</f>
        <v>3</v>
      </c>
      <c r="P151" s="13">
        <f t="shared" ref="P151" si="180">SUM(P141:P150)</f>
        <v>0</v>
      </c>
      <c r="Q151" s="13">
        <f t="shared" ref="Q151" si="181">SUM(Q141:Q150)</f>
        <v>1</v>
      </c>
      <c r="R151" s="13">
        <f t="shared" ref="R151" si="182">SUM(R141:R150)</f>
        <v>1</v>
      </c>
      <c r="S151" s="13">
        <f t="shared" ref="S151" si="183">SUM(S141:S150)</f>
        <v>1</v>
      </c>
      <c r="T151" s="13">
        <f t="shared" ref="T151" si="184">SUM(T141:T150)</f>
        <v>2</v>
      </c>
      <c r="U151" s="13">
        <f t="shared" ref="U151" si="185">SUM(U141:U150)</f>
        <v>0</v>
      </c>
      <c r="V151" s="13">
        <f t="shared" ref="V151" si="186">SUM(V141:V150)</f>
        <v>0</v>
      </c>
      <c r="W151" s="13">
        <f t="shared" ref="W151" si="187">SUM(W141:W150)</f>
        <v>1</v>
      </c>
      <c r="X151" s="13">
        <f t="shared" ref="X151" si="188">SUM(X141:X150)</f>
        <v>0</v>
      </c>
      <c r="Y151" s="13">
        <f t="shared" ref="Y151" si="189">SUM(Y141:Y150)</f>
        <v>0</v>
      </c>
      <c r="Z151" s="13">
        <f t="shared" ref="Z151" si="190">SUM(Z141:Z150)</f>
        <v>32</v>
      </c>
      <c r="AA151" s="1"/>
      <c r="AB151" s="1"/>
    </row>
    <row r="152" spans="1:28" ht="12.75" customHeight="1" x14ac:dyDescent="0.3">
      <c r="A152" s="62"/>
      <c r="B152" s="61"/>
      <c r="C152" s="61"/>
      <c r="D152" s="61"/>
      <c r="E152" s="59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13"/>
      <c r="AA152" s="31"/>
      <c r="AB152" s="31"/>
    </row>
    <row r="153" spans="1:28" ht="12.75" customHeight="1" x14ac:dyDescent="0.3">
      <c r="A153" s="20" t="s">
        <v>37</v>
      </c>
      <c r="B153" s="14" t="s">
        <v>118</v>
      </c>
      <c r="C153" s="84" t="s">
        <v>119</v>
      </c>
      <c r="D153" s="67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1</v>
      </c>
      <c r="R153" s="16">
        <v>0</v>
      </c>
      <c r="S153" s="16">
        <v>0</v>
      </c>
      <c r="T153" s="16">
        <v>1</v>
      </c>
      <c r="U153" s="16">
        <v>0</v>
      </c>
      <c r="V153" s="16">
        <v>0</v>
      </c>
      <c r="W153" s="16">
        <v>0</v>
      </c>
      <c r="X153" s="16">
        <v>0</v>
      </c>
      <c r="Y153" s="16">
        <v>1</v>
      </c>
      <c r="Z153" s="13">
        <f t="shared" ref="Z153:Z160" si="191">SUM(E153:Y153)</f>
        <v>3</v>
      </c>
      <c r="AA153" s="5"/>
      <c r="AB153" s="5"/>
    </row>
    <row r="154" spans="1:28" ht="12.75" customHeight="1" x14ac:dyDescent="0.3">
      <c r="A154" s="43" t="s">
        <v>39</v>
      </c>
      <c r="B154" s="34"/>
      <c r="C154" s="29" t="s">
        <v>120</v>
      </c>
      <c r="D154" s="36"/>
      <c r="E154" s="57">
        <v>0</v>
      </c>
      <c r="F154" s="16">
        <v>0</v>
      </c>
      <c r="G154" s="16">
        <v>0</v>
      </c>
      <c r="H154" s="16">
        <v>1</v>
      </c>
      <c r="I154" s="16">
        <v>0</v>
      </c>
      <c r="J154" s="16">
        <v>1</v>
      </c>
      <c r="K154" s="16">
        <v>1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1</v>
      </c>
      <c r="X154" s="16">
        <v>0</v>
      </c>
      <c r="Y154" s="16">
        <v>0</v>
      </c>
      <c r="Z154" s="13">
        <f t="shared" si="191"/>
        <v>4</v>
      </c>
      <c r="AA154" s="5"/>
      <c r="AB154" s="5"/>
    </row>
    <row r="155" spans="1:28" ht="12.75" customHeight="1" x14ac:dyDescent="0.3">
      <c r="A155" s="15"/>
      <c r="B155" s="34"/>
      <c r="C155" s="29" t="s">
        <v>121</v>
      </c>
      <c r="D155" s="36"/>
      <c r="E155" s="57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3">
        <f t="shared" si="191"/>
        <v>0</v>
      </c>
      <c r="AA155" s="5"/>
      <c r="AB155" s="5"/>
    </row>
    <row r="156" spans="1:28" ht="12.75" customHeight="1" x14ac:dyDescent="0.3">
      <c r="A156" s="15"/>
      <c r="B156" s="34"/>
      <c r="C156" s="29" t="s">
        <v>122</v>
      </c>
      <c r="D156" s="36"/>
      <c r="E156" s="57">
        <v>0</v>
      </c>
      <c r="F156" s="16">
        <v>2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1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3">
        <f t="shared" si="191"/>
        <v>3</v>
      </c>
      <c r="AA156" s="5"/>
      <c r="AB156" s="5"/>
    </row>
    <row r="157" spans="1:28" ht="12.75" customHeight="1" x14ac:dyDescent="0.3">
      <c r="A157" s="15"/>
      <c r="B157" s="34"/>
      <c r="C157" s="29" t="s">
        <v>123</v>
      </c>
      <c r="D157" s="36"/>
      <c r="E157" s="57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1</v>
      </c>
      <c r="L157" s="16">
        <v>1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3">
        <f t="shared" si="191"/>
        <v>2</v>
      </c>
      <c r="AA157" s="5"/>
      <c r="AB157" s="5"/>
    </row>
    <row r="158" spans="1:28" ht="12.75" customHeight="1" x14ac:dyDescent="0.3">
      <c r="A158" s="15"/>
      <c r="B158" s="34"/>
      <c r="C158" s="29" t="s">
        <v>124</v>
      </c>
      <c r="D158" s="36"/>
      <c r="E158" s="57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2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3">
        <f t="shared" si="191"/>
        <v>2</v>
      </c>
      <c r="AA158" s="5"/>
      <c r="AB158" s="5"/>
    </row>
    <row r="159" spans="1:28" ht="12.75" customHeight="1" x14ac:dyDescent="0.3">
      <c r="A159" s="15"/>
      <c r="B159" s="34"/>
      <c r="C159" s="29" t="s">
        <v>125</v>
      </c>
      <c r="D159" s="36"/>
      <c r="E159" s="57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1</v>
      </c>
      <c r="Z159" s="13">
        <f t="shared" si="191"/>
        <v>1</v>
      </c>
      <c r="AA159" s="5"/>
      <c r="AB159" s="5"/>
    </row>
    <row r="160" spans="1:28" ht="12.75" customHeight="1" x14ac:dyDescent="0.3">
      <c r="A160" s="15"/>
      <c r="B160" s="34"/>
      <c r="C160" s="29" t="s">
        <v>126</v>
      </c>
      <c r="D160" s="36"/>
      <c r="E160" s="57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1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3">
        <f t="shared" si="191"/>
        <v>1</v>
      </c>
      <c r="AA160" s="5"/>
      <c r="AB160" s="5"/>
    </row>
    <row r="161" spans="1:28" ht="12.75" customHeight="1" x14ac:dyDescent="0.3">
      <c r="A161" s="15"/>
      <c r="B161" s="37"/>
      <c r="C161" s="44"/>
      <c r="D161" s="39"/>
      <c r="E161" s="5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56"/>
      <c r="AA161" s="5"/>
      <c r="AB161" s="5"/>
    </row>
    <row r="162" spans="1:28" ht="12.75" customHeight="1" x14ac:dyDescent="0.3">
      <c r="A162" s="15"/>
      <c r="B162" s="37"/>
      <c r="C162" s="44"/>
      <c r="D162" s="39"/>
      <c r="E162" s="5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56"/>
      <c r="AA162" s="5"/>
      <c r="AB162" s="5"/>
    </row>
    <row r="163" spans="1:28" ht="12.75" customHeight="1" x14ac:dyDescent="0.3">
      <c r="A163" s="16" t="s">
        <v>15</v>
      </c>
      <c r="B163" s="85" t="s">
        <v>49</v>
      </c>
      <c r="C163" s="64"/>
      <c r="D163" s="70"/>
      <c r="E163" s="13">
        <f>SUM(E153:E162)</f>
        <v>0</v>
      </c>
      <c r="F163" s="13">
        <f t="shared" ref="F163" si="192">SUM(F153:F162)</f>
        <v>2</v>
      </c>
      <c r="G163" s="13">
        <f t="shared" ref="G163" si="193">SUM(G153:G162)</f>
        <v>0</v>
      </c>
      <c r="H163" s="13">
        <f t="shared" ref="H163" si="194">SUM(H153:H162)</f>
        <v>1</v>
      </c>
      <c r="I163" s="13">
        <f t="shared" ref="I163" si="195">SUM(I153:I162)</f>
        <v>0</v>
      </c>
      <c r="J163" s="13">
        <f t="shared" ref="J163" si="196">SUM(J153:J162)</f>
        <v>1</v>
      </c>
      <c r="K163" s="13">
        <f t="shared" ref="K163" si="197">SUM(K153:K162)</f>
        <v>4</v>
      </c>
      <c r="L163" s="13">
        <f t="shared" ref="L163" si="198">SUM(L153:L162)</f>
        <v>1</v>
      </c>
      <c r="M163" s="13">
        <f t="shared" ref="M163" si="199">SUM(M153:M162)</f>
        <v>1</v>
      </c>
      <c r="N163" s="13">
        <f t="shared" ref="N163" si="200">SUM(N153:N162)</f>
        <v>0</v>
      </c>
      <c r="O163" s="13">
        <f t="shared" ref="O163" si="201">SUM(O153:O162)</f>
        <v>0</v>
      </c>
      <c r="P163" s="13">
        <f t="shared" ref="P163" si="202">SUM(P153:P162)</f>
        <v>0</v>
      </c>
      <c r="Q163" s="13">
        <f t="shared" ref="Q163" si="203">SUM(Q153:Q162)</f>
        <v>1</v>
      </c>
      <c r="R163" s="13">
        <f t="shared" ref="R163" si="204">SUM(R153:R162)</f>
        <v>0</v>
      </c>
      <c r="S163" s="13">
        <f t="shared" ref="S163" si="205">SUM(S153:S162)</f>
        <v>1</v>
      </c>
      <c r="T163" s="13">
        <f t="shared" ref="T163" si="206">SUM(T153:T162)</f>
        <v>1</v>
      </c>
      <c r="U163" s="13">
        <f t="shared" ref="U163" si="207">SUM(U153:U162)</f>
        <v>0</v>
      </c>
      <c r="V163" s="13">
        <f t="shared" ref="V163" si="208">SUM(V153:V162)</f>
        <v>0</v>
      </c>
      <c r="W163" s="13">
        <f t="shared" ref="W163" si="209">SUM(W153:W162)</f>
        <v>1</v>
      </c>
      <c r="X163" s="13">
        <f t="shared" ref="X163" si="210">SUM(X153:X162)</f>
        <v>0</v>
      </c>
      <c r="Y163" s="13">
        <f t="shared" ref="Y163" si="211">SUM(Y153:Y162)</f>
        <v>2</v>
      </c>
      <c r="Z163" s="13">
        <f t="shared" ref="Z163" si="212">SUM(Z153:Z162)</f>
        <v>16</v>
      </c>
      <c r="AA163" s="5"/>
      <c r="AB163" s="5"/>
    </row>
    <row r="164" spans="1:28" ht="12.75" customHeight="1" x14ac:dyDescent="0.3">
      <c r="A164" s="62"/>
      <c r="B164" s="61"/>
      <c r="C164" s="61"/>
      <c r="D164" s="61"/>
      <c r="E164" s="59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"/>
      <c r="AB164" s="5"/>
    </row>
    <row r="165" spans="1:28" ht="12.75" customHeight="1" x14ac:dyDescent="0.3">
      <c r="A165" s="20" t="s">
        <v>37</v>
      </c>
      <c r="B165" s="27" t="s">
        <v>127</v>
      </c>
      <c r="C165" s="58" t="s">
        <v>128</v>
      </c>
      <c r="D165" s="59"/>
      <c r="E165" s="16">
        <v>0</v>
      </c>
      <c r="F165" s="16">
        <v>1</v>
      </c>
      <c r="G165" s="16">
        <v>1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3">
        <f t="shared" ref="Z165:Z166" si="213">SUM(E165:Y165)</f>
        <v>2</v>
      </c>
      <c r="AA165" s="1"/>
      <c r="AB165" s="1"/>
    </row>
    <row r="166" spans="1:28" ht="12.75" customHeight="1" x14ac:dyDescent="0.3">
      <c r="A166" s="20" t="s">
        <v>39</v>
      </c>
      <c r="B166" s="34"/>
      <c r="C166" s="29" t="s">
        <v>129</v>
      </c>
      <c r="D166" s="36"/>
      <c r="E166" s="16">
        <v>0</v>
      </c>
      <c r="F166" s="16">
        <v>0</v>
      </c>
      <c r="G166" s="16">
        <v>1</v>
      </c>
      <c r="H166" s="16">
        <v>0</v>
      </c>
      <c r="I166" s="16">
        <v>0</v>
      </c>
      <c r="J166" s="16">
        <v>1</v>
      </c>
      <c r="K166" s="16">
        <v>0</v>
      </c>
      <c r="L166" s="16">
        <v>3</v>
      </c>
      <c r="M166" s="16">
        <v>0</v>
      </c>
      <c r="N166" s="16">
        <v>0</v>
      </c>
      <c r="O166" s="16">
        <v>0</v>
      </c>
      <c r="P166" s="16">
        <v>1</v>
      </c>
      <c r="Q166" s="16">
        <v>0</v>
      </c>
      <c r="R166" s="16">
        <v>0</v>
      </c>
      <c r="S166" s="16">
        <v>1</v>
      </c>
      <c r="T166" s="16">
        <v>0</v>
      </c>
      <c r="U166" s="16">
        <v>1</v>
      </c>
      <c r="V166" s="16">
        <v>0</v>
      </c>
      <c r="W166" s="16">
        <v>0</v>
      </c>
      <c r="X166" s="16">
        <v>0</v>
      </c>
      <c r="Y166" s="16">
        <v>0</v>
      </c>
      <c r="Z166" s="13">
        <f t="shared" si="213"/>
        <v>8</v>
      </c>
      <c r="AA166" s="31"/>
      <c r="AB166" s="31"/>
    </row>
    <row r="167" spans="1:28" ht="12.75" customHeight="1" x14ac:dyDescent="0.3">
      <c r="A167" s="15"/>
      <c r="B167" s="37"/>
      <c r="C167" s="38"/>
      <c r="D167" s="3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56"/>
      <c r="AA167" s="5"/>
      <c r="AB167" s="5"/>
    </row>
    <row r="168" spans="1:28" ht="12.75" customHeight="1" x14ac:dyDescent="0.3">
      <c r="A168" s="15"/>
      <c r="B168" s="37"/>
      <c r="C168" s="38"/>
      <c r="D168" s="3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56"/>
      <c r="AA168" s="5"/>
      <c r="AB168" s="5"/>
    </row>
    <row r="169" spans="1:28" ht="12.75" customHeight="1" x14ac:dyDescent="0.3">
      <c r="A169" s="15"/>
      <c r="B169" s="37"/>
      <c r="C169" s="38"/>
      <c r="D169" s="3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56"/>
      <c r="AA169" s="5"/>
      <c r="AB169" s="5"/>
    </row>
    <row r="170" spans="1:28" ht="12.75" customHeight="1" x14ac:dyDescent="0.3">
      <c r="A170" s="15"/>
      <c r="B170" s="37"/>
      <c r="C170" s="38"/>
      <c r="D170" s="3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56"/>
      <c r="AA170" s="5"/>
      <c r="AB170" s="5"/>
    </row>
    <row r="171" spans="1:28" ht="12.75" customHeight="1" x14ac:dyDescent="0.3">
      <c r="A171" s="15"/>
      <c r="B171" s="37"/>
      <c r="C171" s="38"/>
      <c r="D171" s="3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56"/>
      <c r="AA171" s="5"/>
      <c r="AB171" s="5"/>
    </row>
    <row r="172" spans="1:28" ht="12.75" customHeight="1" x14ac:dyDescent="0.3">
      <c r="A172" s="15"/>
      <c r="B172" s="37"/>
      <c r="C172" s="38"/>
      <c r="D172" s="3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56"/>
      <c r="AA172" s="5"/>
      <c r="AB172" s="5"/>
    </row>
    <row r="173" spans="1:28" ht="12.75" customHeight="1" x14ac:dyDescent="0.3">
      <c r="A173" s="15"/>
      <c r="B173" s="37"/>
      <c r="C173" s="38"/>
      <c r="D173" s="3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56"/>
      <c r="AA173" s="5"/>
      <c r="AB173" s="5"/>
    </row>
    <row r="174" spans="1:28" ht="12.75" customHeight="1" x14ac:dyDescent="0.3">
      <c r="A174" s="15"/>
      <c r="B174" s="37"/>
      <c r="C174" s="38"/>
      <c r="D174" s="3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56"/>
      <c r="AA174" s="5"/>
      <c r="AB174" s="5"/>
    </row>
    <row r="175" spans="1:28" ht="12.75" customHeight="1" x14ac:dyDescent="0.3">
      <c r="A175" s="16" t="s">
        <v>15</v>
      </c>
      <c r="B175" s="60" t="s">
        <v>49</v>
      </c>
      <c r="C175" s="61"/>
      <c r="D175" s="59"/>
      <c r="E175" s="13">
        <f>SUM(E165:E174)</f>
        <v>0</v>
      </c>
      <c r="F175" s="13">
        <f t="shared" ref="F175" si="214">SUM(F165:F174)</f>
        <v>1</v>
      </c>
      <c r="G175" s="13">
        <f t="shared" ref="G175" si="215">SUM(G165:G174)</f>
        <v>2</v>
      </c>
      <c r="H175" s="13">
        <f t="shared" ref="H175" si="216">SUM(H165:H174)</f>
        <v>0</v>
      </c>
      <c r="I175" s="13">
        <f t="shared" ref="I175" si="217">SUM(I165:I174)</f>
        <v>0</v>
      </c>
      <c r="J175" s="13">
        <f t="shared" ref="J175" si="218">SUM(J165:J174)</f>
        <v>1</v>
      </c>
      <c r="K175" s="13">
        <f t="shared" ref="K175" si="219">SUM(K165:K174)</f>
        <v>0</v>
      </c>
      <c r="L175" s="13">
        <f t="shared" ref="L175" si="220">SUM(L165:L174)</f>
        <v>3</v>
      </c>
      <c r="M175" s="13">
        <f t="shared" ref="M175" si="221">SUM(M165:M174)</f>
        <v>0</v>
      </c>
      <c r="N175" s="13">
        <f t="shared" ref="N175" si="222">SUM(N165:N174)</f>
        <v>0</v>
      </c>
      <c r="O175" s="13">
        <f t="shared" ref="O175" si="223">SUM(O165:O174)</f>
        <v>0</v>
      </c>
      <c r="P175" s="13">
        <f t="shared" ref="P175" si="224">SUM(P165:P174)</f>
        <v>1</v>
      </c>
      <c r="Q175" s="13">
        <f t="shared" ref="Q175" si="225">SUM(Q165:Q174)</f>
        <v>0</v>
      </c>
      <c r="R175" s="13">
        <f t="shared" ref="R175" si="226">SUM(R165:R174)</f>
        <v>0</v>
      </c>
      <c r="S175" s="13">
        <f t="shared" ref="S175" si="227">SUM(S165:S174)</f>
        <v>1</v>
      </c>
      <c r="T175" s="13">
        <f t="shared" ref="T175" si="228">SUM(T165:T174)</f>
        <v>0</v>
      </c>
      <c r="U175" s="13">
        <f t="shared" ref="U175" si="229">SUM(U165:U174)</f>
        <v>1</v>
      </c>
      <c r="V175" s="13">
        <f t="shared" ref="V175" si="230">SUM(V165:V174)</f>
        <v>0</v>
      </c>
      <c r="W175" s="13">
        <f t="shared" ref="W175" si="231">SUM(W165:W174)</f>
        <v>0</v>
      </c>
      <c r="X175" s="13">
        <f t="shared" ref="X175" si="232">SUM(X165:X174)</f>
        <v>0</v>
      </c>
      <c r="Y175" s="13">
        <f t="shared" ref="Y175" si="233">SUM(Y165:Y174)</f>
        <v>0</v>
      </c>
      <c r="Z175" s="13">
        <f t="shared" ref="Z175" si="234">SUM(Z165:Z174)</f>
        <v>10</v>
      </c>
      <c r="AA175" s="5"/>
      <c r="AB175" s="5"/>
    </row>
    <row r="176" spans="1:28" ht="12.75" customHeight="1" x14ac:dyDescent="0.3">
      <c r="A176" s="62"/>
      <c r="B176" s="61"/>
      <c r="C176" s="61"/>
      <c r="D176" s="61"/>
      <c r="E176" s="59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1"/>
      <c r="AB176" s="1"/>
    </row>
    <row r="177" spans="1:28" ht="12.75" customHeight="1" x14ac:dyDescent="0.3">
      <c r="A177" s="20" t="s">
        <v>37</v>
      </c>
      <c r="B177" s="27" t="s">
        <v>130</v>
      </c>
      <c r="C177" s="58" t="s">
        <v>131</v>
      </c>
      <c r="D177" s="59"/>
      <c r="E177" s="16">
        <v>0</v>
      </c>
      <c r="F177" s="16">
        <v>1</v>
      </c>
      <c r="G177" s="16">
        <v>1</v>
      </c>
      <c r="H177" s="16">
        <v>2</v>
      </c>
      <c r="I177" s="16">
        <v>1</v>
      </c>
      <c r="J177" s="16">
        <v>1</v>
      </c>
      <c r="K177" s="16">
        <v>1</v>
      </c>
      <c r="L177" s="16">
        <v>1</v>
      </c>
      <c r="M177" s="16">
        <v>0</v>
      </c>
      <c r="N177" s="16">
        <v>1</v>
      </c>
      <c r="O177" s="16">
        <v>1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1</v>
      </c>
      <c r="W177" s="16">
        <v>1</v>
      </c>
      <c r="X177" s="16">
        <v>1</v>
      </c>
      <c r="Y177" s="16">
        <v>2</v>
      </c>
      <c r="Z177" s="13">
        <f t="shared" ref="Z177:Z187" si="235">SUM(E177:Y177)</f>
        <v>15</v>
      </c>
    </row>
    <row r="178" spans="1:28" ht="12.75" customHeight="1" x14ac:dyDescent="0.3">
      <c r="A178" s="20" t="s">
        <v>39</v>
      </c>
      <c r="B178" s="34"/>
      <c r="C178" s="29" t="s">
        <v>132</v>
      </c>
      <c r="D178" s="36"/>
      <c r="E178" s="16">
        <v>0</v>
      </c>
      <c r="F178" s="16">
        <v>0</v>
      </c>
      <c r="G178" s="16">
        <v>0</v>
      </c>
      <c r="H178" s="16">
        <v>1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2</v>
      </c>
      <c r="O178" s="16">
        <v>0</v>
      </c>
      <c r="P178" s="16">
        <v>0</v>
      </c>
      <c r="Q178" s="16">
        <v>1</v>
      </c>
      <c r="R178" s="16">
        <v>1</v>
      </c>
      <c r="S178" s="16">
        <v>0</v>
      </c>
      <c r="T178" s="16">
        <v>0</v>
      </c>
      <c r="U178" s="16">
        <v>0</v>
      </c>
      <c r="V178" s="16">
        <v>1</v>
      </c>
      <c r="W178" s="16">
        <v>0</v>
      </c>
      <c r="X178" s="16">
        <v>0</v>
      </c>
      <c r="Y178" s="16">
        <v>0</v>
      </c>
      <c r="Z178" s="13">
        <f t="shared" si="235"/>
        <v>6</v>
      </c>
      <c r="AA178" s="5"/>
      <c r="AB178" s="5"/>
    </row>
    <row r="179" spans="1:28" ht="12.75" customHeight="1" x14ac:dyDescent="0.3">
      <c r="A179" s="15"/>
      <c r="B179" s="34"/>
      <c r="C179" s="29" t="s">
        <v>133</v>
      </c>
      <c r="D179" s="36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1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3">
        <f t="shared" si="235"/>
        <v>1</v>
      </c>
      <c r="AA179" s="5"/>
      <c r="AB179" s="5"/>
    </row>
    <row r="180" spans="1:28" ht="12.75" customHeight="1" x14ac:dyDescent="0.3">
      <c r="A180" s="15"/>
      <c r="B180" s="34"/>
      <c r="C180" s="29" t="s">
        <v>134</v>
      </c>
      <c r="D180" s="36"/>
      <c r="E180" s="16">
        <v>0</v>
      </c>
      <c r="F180" s="16">
        <v>0</v>
      </c>
      <c r="G180" s="16">
        <v>1</v>
      </c>
      <c r="H180" s="16">
        <v>1</v>
      </c>
      <c r="I180" s="16">
        <v>0</v>
      </c>
      <c r="J180" s="16">
        <v>2</v>
      </c>
      <c r="K180" s="16">
        <v>1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1</v>
      </c>
      <c r="Z180" s="13">
        <f t="shared" si="235"/>
        <v>6</v>
      </c>
      <c r="AA180" s="5"/>
      <c r="AB180" s="5"/>
    </row>
    <row r="181" spans="1:28" ht="12.75" customHeight="1" x14ac:dyDescent="0.3">
      <c r="A181" s="15"/>
      <c r="B181" s="34"/>
      <c r="C181" s="29" t="s">
        <v>135</v>
      </c>
      <c r="D181" s="36"/>
      <c r="E181" s="16">
        <v>1</v>
      </c>
      <c r="F181" s="16">
        <v>0</v>
      </c>
      <c r="G181" s="16">
        <v>1</v>
      </c>
      <c r="H181" s="16">
        <v>0</v>
      </c>
      <c r="I181" s="16">
        <v>0</v>
      </c>
      <c r="J181" s="16">
        <v>1</v>
      </c>
      <c r="K181" s="16">
        <v>0</v>
      </c>
      <c r="L181" s="16">
        <v>0</v>
      </c>
      <c r="M181" s="16">
        <v>0</v>
      </c>
      <c r="N181" s="16">
        <v>1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1</v>
      </c>
      <c r="Y181" s="16">
        <v>0</v>
      </c>
      <c r="Z181" s="13">
        <f t="shared" si="235"/>
        <v>5</v>
      </c>
      <c r="AA181" s="5"/>
      <c r="AB181" s="5"/>
    </row>
    <row r="182" spans="1:28" ht="12.75" customHeight="1" x14ac:dyDescent="0.3">
      <c r="A182" s="15"/>
      <c r="B182" s="34"/>
      <c r="C182" s="29" t="s">
        <v>136</v>
      </c>
      <c r="D182" s="36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3">
        <f t="shared" si="235"/>
        <v>0</v>
      </c>
      <c r="AA182" s="5"/>
      <c r="AB182" s="5"/>
    </row>
    <row r="183" spans="1:28" ht="12.75" customHeight="1" x14ac:dyDescent="0.3">
      <c r="A183" s="15"/>
      <c r="B183" s="34"/>
      <c r="C183" s="29" t="s">
        <v>137</v>
      </c>
      <c r="D183" s="36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3">
        <f t="shared" si="235"/>
        <v>0</v>
      </c>
      <c r="AA183" s="5"/>
      <c r="AB183" s="5"/>
    </row>
    <row r="184" spans="1:28" ht="12.75" customHeight="1" x14ac:dyDescent="0.3">
      <c r="A184" s="15"/>
      <c r="B184" s="34"/>
      <c r="C184" s="29" t="s">
        <v>138</v>
      </c>
      <c r="D184" s="36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1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3">
        <f t="shared" si="235"/>
        <v>1</v>
      </c>
      <c r="AA184" s="5"/>
      <c r="AB184" s="5"/>
    </row>
    <row r="185" spans="1:28" ht="12.75" customHeight="1" x14ac:dyDescent="0.3">
      <c r="A185" s="15"/>
      <c r="B185" s="34"/>
      <c r="C185" s="29" t="s">
        <v>139</v>
      </c>
      <c r="D185" s="36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3">
        <f t="shared" si="235"/>
        <v>0</v>
      </c>
      <c r="AA185" s="5"/>
      <c r="AB185" s="5"/>
    </row>
    <row r="186" spans="1:28" ht="12.75" customHeight="1" x14ac:dyDescent="0.3">
      <c r="A186" s="15"/>
      <c r="B186" s="34"/>
      <c r="C186" s="29" t="s">
        <v>140</v>
      </c>
      <c r="D186" s="36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1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3">
        <f t="shared" si="235"/>
        <v>1</v>
      </c>
      <c r="AA186" s="5"/>
      <c r="AB186" s="5"/>
    </row>
    <row r="187" spans="1:28" ht="12.75" customHeight="1" x14ac:dyDescent="0.3">
      <c r="A187" s="16" t="s">
        <v>15</v>
      </c>
      <c r="B187" s="60" t="s">
        <v>49</v>
      </c>
      <c r="C187" s="61"/>
      <c r="D187" s="59"/>
      <c r="E187" s="13">
        <f>SUM(E177:E186)</f>
        <v>1</v>
      </c>
      <c r="F187" s="13">
        <f t="shared" ref="F187" si="236">SUM(F177:F186)</f>
        <v>1</v>
      </c>
      <c r="G187" s="13">
        <f t="shared" ref="G187" si="237">SUM(G177:G186)</f>
        <v>3</v>
      </c>
      <c r="H187" s="13">
        <f t="shared" ref="H187" si="238">SUM(H177:H186)</f>
        <v>4</v>
      </c>
      <c r="I187" s="13">
        <f t="shared" ref="I187" si="239">SUM(I177:I186)</f>
        <v>1</v>
      </c>
      <c r="J187" s="13">
        <f t="shared" ref="J187" si="240">SUM(J177:J186)</f>
        <v>4</v>
      </c>
      <c r="K187" s="13">
        <f t="shared" ref="K187" si="241">SUM(K177:K186)</f>
        <v>3</v>
      </c>
      <c r="L187" s="13">
        <f t="shared" ref="L187" si="242">SUM(L177:L186)</f>
        <v>2</v>
      </c>
      <c r="M187" s="13">
        <f t="shared" ref="M187" si="243">SUM(M177:M186)</f>
        <v>1</v>
      </c>
      <c r="N187" s="13">
        <f t="shared" ref="N187" si="244">SUM(N177:N186)</f>
        <v>4</v>
      </c>
      <c r="O187" s="13">
        <f t="shared" ref="O187" si="245">SUM(O177:O186)</f>
        <v>1</v>
      </c>
      <c r="P187" s="13">
        <f t="shared" ref="P187" si="246">SUM(P177:P186)</f>
        <v>0</v>
      </c>
      <c r="Q187" s="13">
        <f t="shared" ref="Q187" si="247">SUM(Q177:Q186)</f>
        <v>1</v>
      </c>
      <c r="R187" s="13">
        <f t="shared" ref="R187" si="248">SUM(R177:R186)</f>
        <v>1</v>
      </c>
      <c r="S187" s="13">
        <f t="shared" ref="S187" si="249">SUM(S177:S186)</f>
        <v>0</v>
      </c>
      <c r="T187" s="13">
        <f t="shared" ref="T187" si="250">SUM(T177:T186)</f>
        <v>0</v>
      </c>
      <c r="U187" s="13">
        <f t="shared" ref="U187" si="251">SUM(U177:U186)</f>
        <v>0</v>
      </c>
      <c r="V187" s="13">
        <f t="shared" ref="V187" si="252">SUM(V177:V186)</f>
        <v>2</v>
      </c>
      <c r="W187" s="13">
        <f t="shared" ref="W187" si="253">SUM(W177:W186)</f>
        <v>1</v>
      </c>
      <c r="X187" s="13">
        <f t="shared" ref="X187" si="254">SUM(X177:X186)</f>
        <v>2</v>
      </c>
      <c r="Y187" s="13">
        <f t="shared" ref="Y187" si="255">SUM(Y177:Y186)</f>
        <v>3</v>
      </c>
      <c r="Z187" s="13">
        <f t="shared" ref="Z187" si="256">SUM(Z177:Z186)</f>
        <v>35</v>
      </c>
      <c r="AA187" s="1"/>
      <c r="AB187" s="1"/>
    </row>
    <row r="188" spans="1:28" ht="12.75" customHeight="1" x14ac:dyDescent="0.3">
      <c r="A188" s="62"/>
      <c r="B188" s="61"/>
      <c r="C188" s="61"/>
      <c r="D188" s="61"/>
      <c r="E188" s="59"/>
      <c r="F188" s="54"/>
      <c r="G188" s="54"/>
      <c r="H188" s="54"/>
      <c r="I188" s="54"/>
      <c r="J188" s="54"/>
      <c r="K188" s="54"/>
      <c r="L188" s="54"/>
      <c r="M188" s="54"/>
      <c r="N188" s="54"/>
      <c r="Z188" s="13"/>
    </row>
    <row r="189" spans="1:28" ht="12.75" customHeight="1" x14ac:dyDescent="0.3">
      <c r="A189" s="20" t="s">
        <v>37</v>
      </c>
      <c r="B189" s="27" t="s">
        <v>141</v>
      </c>
      <c r="C189" s="58" t="s">
        <v>142</v>
      </c>
      <c r="D189" s="59"/>
      <c r="E189" s="16">
        <v>0</v>
      </c>
      <c r="F189" s="16">
        <v>0</v>
      </c>
      <c r="G189" s="16">
        <v>1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1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3">
        <f t="shared" ref="Z189:Z199" si="257">SUM(E189:Y189)</f>
        <v>2</v>
      </c>
      <c r="AA189" s="5"/>
      <c r="AB189" s="5"/>
    </row>
    <row r="190" spans="1:28" ht="12.75" customHeight="1" x14ac:dyDescent="0.3">
      <c r="A190" s="20" t="s">
        <v>39</v>
      </c>
      <c r="B190" s="34"/>
      <c r="C190" s="29" t="s">
        <v>143</v>
      </c>
      <c r="D190" s="36"/>
      <c r="E190" s="16">
        <v>0</v>
      </c>
      <c r="F190" s="16">
        <v>0</v>
      </c>
      <c r="G190" s="16">
        <v>0</v>
      </c>
      <c r="H190" s="16">
        <v>1</v>
      </c>
      <c r="I190" s="16">
        <v>1</v>
      </c>
      <c r="J190" s="16">
        <v>0</v>
      </c>
      <c r="K190" s="16">
        <v>0</v>
      </c>
      <c r="L190" s="16">
        <v>0</v>
      </c>
      <c r="M190" s="16">
        <v>1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1</v>
      </c>
      <c r="W190" s="16">
        <v>0</v>
      </c>
      <c r="X190" s="16">
        <v>0</v>
      </c>
      <c r="Y190" s="16">
        <v>0</v>
      </c>
      <c r="Z190" s="13">
        <f t="shared" si="257"/>
        <v>4</v>
      </c>
      <c r="AA190" s="5"/>
      <c r="AB190" s="5"/>
    </row>
    <row r="191" spans="1:28" ht="12.75" customHeight="1" x14ac:dyDescent="0.3">
      <c r="A191" s="15"/>
      <c r="B191" s="34"/>
      <c r="C191" s="29" t="s">
        <v>144</v>
      </c>
      <c r="D191" s="36"/>
      <c r="E191" s="16">
        <v>0</v>
      </c>
      <c r="F191" s="16">
        <v>1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1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3">
        <f t="shared" si="257"/>
        <v>2</v>
      </c>
      <c r="AA191" s="5"/>
      <c r="AB191" s="5"/>
    </row>
    <row r="192" spans="1:28" ht="12.75" customHeight="1" x14ac:dyDescent="0.3">
      <c r="A192" s="15"/>
      <c r="B192" s="34"/>
      <c r="C192" s="29" t="s">
        <v>145</v>
      </c>
      <c r="D192" s="36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3">
        <f t="shared" si="257"/>
        <v>0</v>
      </c>
      <c r="AA192" s="5"/>
      <c r="AB192" s="5"/>
    </row>
    <row r="193" spans="1:28" ht="12.75" customHeight="1" x14ac:dyDescent="0.3">
      <c r="A193" s="15"/>
      <c r="B193" s="34"/>
      <c r="C193" s="29" t="s">
        <v>146</v>
      </c>
      <c r="D193" s="36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3">
        <f t="shared" si="257"/>
        <v>0</v>
      </c>
      <c r="AA193" s="5"/>
      <c r="AB193" s="5"/>
    </row>
    <row r="194" spans="1:28" ht="12.75" customHeight="1" x14ac:dyDescent="0.3">
      <c r="A194" s="15"/>
      <c r="B194" s="34"/>
      <c r="C194" s="29" t="s">
        <v>147</v>
      </c>
      <c r="D194" s="36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1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3">
        <f t="shared" si="257"/>
        <v>1</v>
      </c>
      <c r="AA194" s="5"/>
      <c r="AB194" s="5"/>
    </row>
    <row r="195" spans="1:28" ht="12.75" customHeight="1" x14ac:dyDescent="0.3">
      <c r="A195" s="15"/>
      <c r="B195" s="34"/>
      <c r="C195" s="29" t="s">
        <v>148</v>
      </c>
      <c r="D195" s="36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3">
        <f t="shared" si="257"/>
        <v>0</v>
      </c>
      <c r="AA195" s="5"/>
      <c r="AB195" s="5"/>
    </row>
    <row r="196" spans="1:28" ht="12.75" customHeight="1" x14ac:dyDescent="0.3">
      <c r="A196" s="15"/>
      <c r="B196" s="34"/>
      <c r="C196" s="29" t="s">
        <v>149</v>
      </c>
      <c r="D196" s="36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3">
        <f t="shared" si="257"/>
        <v>0</v>
      </c>
      <c r="AA196" s="1"/>
      <c r="AB196" s="1"/>
    </row>
    <row r="197" spans="1:28" ht="12.75" customHeight="1" x14ac:dyDescent="0.3">
      <c r="A197" s="15"/>
      <c r="B197" s="34"/>
      <c r="C197" s="29" t="s">
        <v>150</v>
      </c>
      <c r="D197" s="36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1</v>
      </c>
      <c r="X197" s="16">
        <v>0</v>
      </c>
      <c r="Y197" s="16">
        <v>0</v>
      </c>
      <c r="Z197" s="13">
        <f t="shared" si="257"/>
        <v>1</v>
      </c>
      <c r="AA197" s="1"/>
      <c r="AB197" s="1"/>
    </row>
    <row r="198" spans="1:28" ht="12.75" customHeight="1" x14ac:dyDescent="0.3">
      <c r="A198" s="15"/>
      <c r="B198" s="34"/>
      <c r="C198" s="29" t="s">
        <v>151</v>
      </c>
      <c r="D198" s="36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3">
        <f t="shared" si="257"/>
        <v>0</v>
      </c>
      <c r="AA198" s="1"/>
      <c r="AB198" s="1"/>
    </row>
    <row r="199" spans="1:28" ht="12.75" customHeight="1" x14ac:dyDescent="0.3">
      <c r="A199" s="16" t="s">
        <v>15</v>
      </c>
      <c r="B199" s="60" t="s">
        <v>49</v>
      </c>
      <c r="C199" s="61"/>
      <c r="D199" s="59"/>
      <c r="E199" s="13">
        <f>SUM(E189:E198)</f>
        <v>0</v>
      </c>
      <c r="F199" s="13">
        <f t="shared" ref="F199" si="258">SUM(F189:F198)</f>
        <v>1</v>
      </c>
      <c r="G199" s="13">
        <f t="shared" ref="G199" si="259">SUM(G189:G198)</f>
        <v>1</v>
      </c>
      <c r="H199" s="13">
        <f t="shared" ref="H199" si="260">SUM(H189:H198)</f>
        <v>1</v>
      </c>
      <c r="I199" s="13">
        <f t="shared" ref="I199" si="261">SUM(I189:I198)</f>
        <v>1</v>
      </c>
      <c r="J199" s="13">
        <f t="shared" ref="J199" si="262">SUM(J189:J198)</f>
        <v>0</v>
      </c>
      <c r="K199" s="13">
        <f t="shared" ref="K199" si="263">SUM(K189:K198)</f>
        <v>0</v>
      </c>
      <c r="L199" s="13">
        <f t="shared" ref="L199" si="264">SUM(L189:L198)</f>
        <v>1</v>
      </c>
      <c r="M199" s="13">
        <f t="shared" ref="M199" si="265">SUM(M189:M198)</f>
        <v>1</v>
      </c>
      <c r="N199" s="13">
        <f t="shared" ref="N199" si="266">SUM(N189:N198)</f>
        <v>1</v>
      </c>
      <c r="O199" s="13">
        <f t="shared" ref="O199" si="267">SUM(O189:O198)</f>
        <v>0</v>
      </c>
      <c r="P199" s="13">
        <f t="shared" ref="P199" si="268">SUM(P189:P198)</f>
        <v>0</v>
      </c>
      <c r="Q199" s="13">
        <f t="shared" ref="Q199" si="269">SUM(Q189:Q198)</f>
        <v>0</v>
      </c>
      <c r="R199" s="13">
        <f t="shared" ref="R199" si="270">SUM(R189:R198)</f>
        <v>1</v>
      </c>
      <c r="S199" s="13">
        <f t="shared" ref="S199" si="271">SUM(S189:S198)</f>
        <v>0</v>
      </c>
      <c r="T199" s="13">
        <f t="shared" ref="T199" si="272">SUM(T189:T198)</f>
        <v>0</v>
      </c>
      <c r="U199" s="13">
        <f t="shared" ref="U199" si="273">SUM(U189:U198)</f>
        <v>0</v>
      </c>
      <c r="V199" s="13">
        <f t="shared" ref="V199" si="274">SUM(V189:V198)</f>
        <v>1</v>
      </c>
      <c r="W199" s="13">
        <f t="shared" ref="W199" si="275">SUM(W189:W198)</f>
        <v>1</v>
      </c>
      <c r="X199" s="13">
        <f t="shared" ref="X199" si="276">SUM(X189:X198)</f>
        <v>0</v>
      </c>
      <c r="Y199" s="13">
        <f t="shared" ref="Y199" si="277">SUM(Y189:Y198)</f>
        <v>0</v>
      </c>
      <c r="Z199" s="13">
        <f t="shared" ref="Z199" si="278">SUM(Z189:Z198)</f>
        <v>10</v>
      </c>
      <c r="AA199" s="31"/>
      <c r="AB199" s="31"/>
    </row>
    <row r="200" spans="1:28" ht="12.75" customHeight="1" x14ac:dyDescent="0.3">
      <c r="A200" s="62"/>
      <c r="B200" s="61"/>
      <c r="C200" s="61"/>
      <c r="D200" s="61"/>
      <c r="E200" s="59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"/>
      <c r="AB200" s="5"/>
    </row>
    <row r="201" spans="1:28" ht="12.75" customHeight="1" x14ac:dyDescent="0.3">
      <c r="A201" s="20" t="s">
        <v>37</v>
      </c>
      <c r="B201" s="27" t="s">
        <v>152</v>
      </c>
      <c r="C201" s="58" t="s">
        <v>153</v>
      </c>
      <c r="D201" s="59"/>
      <c r="E201" s="16">
        <v>2</v>
      </c>
      <c r="F201" s="16">
        <v>1</v>
      </c>
      <c r="G201" s="16">
        <v>0</v>
      </c>
      <c r="H201" s="16">
        <v>2</v>
      </c>
      <c r="I201" s="16">
        <v>1</v>
      </c>
      <c r="J201" s="16">
        <v>3</v>
      </c>
      <c r="K201" s="16">
        <v>1</v>
      </c>
      <c r="L201" s="16">
        <v>3</v>
      </c>
      <c r="M201" s="16">
        <v>2</v>
      </c>
      <c r="N201" s="16">
        <v>0</v>
      </c>
      <c r="O201" s="16">
        <v>0</v>
      </c>
      <c r="P201" s="16">
        <v>2</v>
      </c>
      <c r="Q201" s="16">
        <v>2</v>
      </c>
      <c r="R201" s="16">
        <v>2</v>
      </c>
      <c r="S201" s="16">
        <v>0</v>
      </c>
      <c r="T201" s="16">
        <v>0</v>
      </c>
      <c r="U201" s="16">
        <v>0</v>
      </c>
      <c r="V201" s="16">
        <v>1</v>
      </c>
      <c r="W201" s="16">
        <v>4</v>
      </c>
      <c r="X201" s="16">
        <v>2</v>
      </c>
      <c r="Y201" s="16">
        <v>4</v>
      </c>
      <c r="Z201" s="13">
        <f t="shared" ref="Z201:Z211" si="279">SUM(E201:Y201)</f>
        <v>32</v>
      </c>
      <c r="AA201" s="5"/>
      <c r="AB201" s="5"/>
    </row>
    <row r="202" spans="1:28" ht="12.75" customHeight="1" x14ac:dyDescent="0.3">
      <c r="A202" s="20" t="s">
        <v>39</v>
      </c>
      <c r="B202" s="34"/>
      <c r="C202" s="29" t="s">
        <v>154</v>
      </c>
      <c r="D202" s="36"/>
      <c r="E202" s="16">
        <v>9</v>
      </c>
      <c r="F202" s="16">
        <v>6</v>
      </c>
      <c r="G202" s="16">
        <v>4</v>
      </c>
      <c r="H202" s="16">
        <v>6</v>
      </c>
      <c r="I202" s="16">
        <v>8</v>
      </c>
      <c r="J202" s="16">
        <v>13</v>
      </c>
      <c r="K202" s="16">
        <v>2</v>
      </c>
      <c r="L202" s="16">
        <v>18</v>
      </c>
      <c r="M202" s="16">
        <v>9</v>
      </c>
      <c r="N202" s="16">
        <v>5</v>
      </c>
      <c r="O202" s="16">
        <v>4</v>
      </c>
      <c r="P202" s="16">
        <v>6</v>
      </c>
      <c r="Q202" s="16">
        <v>15</v>
      </c>
      <c r="R202" s="16">
        <v>4</v>
      </c>
      <c r="S202" s="16">
        <v>4</v>
      </c>
      <c r="T202" s="16">
        <v>5</v>
      </c>
      <c r="U202" s="16">
        <v>2</v>
      </c>
      <c r="V202" s="16">
        <v>8</v>
      </c>
      <c r="W202" s="16">
        <v>7</v>
      </c>
      <c r="X202" s="16">
        <v>8</v>
      </c>
      <c r="Y202" s="16">
        <v>8</v>
      </c>
      <c r="Z202" s="13">
        <f t="shared" si="279"/>
        <v>151</v>
      </c>
      <c r="AA202" s="5"/>
      <c r="AB202" s="5"/>
    </row>
    <row r="203" spans="1:28" ht="12.75" customHeight="1" x14ac:dyDescent="0.3">
      <c r="A203" s="15"/>
      <c r="B203" s="34"/>
      <c r="C203" s="29" t="s">
        <v>155</v>
      </c>
      <c r="D203" s="36"/>
      <c r="E203" s="16">
        <v>4</v>
      </c>
      <c r="F203" s="16">
        <v>0</v>
      </c>
      <c r="G203" s="16">
        <v>0</v>
      </c>
      <c r="H203" s="16">
        <v>4</v>
      </c>
      <c r="I203" s="16">
        <v>2</v>
      </c>
      <c r="J203" s="16">
        <v>2</v>
      </c>
      <c r="K203" s="16">
        <v>0</v>
      </c>
      <c r="L203" s="16">
        <v>0</v>
      </c>
      <c r="M203" s="16">
        <v>0</v>
      </c>
      <c r="N203" s="16">
        <v>0</v>
      </c>
      <c r="O203" s="16">
        <v>1</v>
      </c>
      <c r="P203" s="16">
        <v>2</v>
      </c>
      <c r="Q203" s="16">
        <v>0</v>
      </c>
      <c r="R203" s="16">
        <v>0</v>
      </c>
      <c r="S203" s="16">
        <v>1</v>
      </c>
      <c r="T203" s="16">
        <v>1</v>
      </c>
      <c r="U203" s="16">
        <v>1</v>
      </c>
      <c r="V203" s="16">
        <v>0</v>
      </c>
      <c r="W203" s="16">
        <v>2</v>
      </c>
      <c r="X203" s="16">
        <v>2</v>
      </c>
      <c r="Y203" s="16">
        <v>3</v>
      </c>
      <c r="Z203" s="13">
        <f t="shared" si="279"/>
        <v>25</v>
      </c>
      <c r="AA203" s="5"/>
      <c r="AB203" s="5"/>
    </row>
    <row r="204" spans="1:28" ht="12.75" customHeight="1" x14ac:dyDescent="0.3">
      <c r="A204" s="15"/>
      <c r="B204" s="34"/>
      <c r="C204" s="29" t="s">
        <v>156</v>
      </c>
      <c r="D204" s="36"/>
      <c r="E204" s="16">
        <v>0</v>
      </c>
      <c r="F204" s="16">
        <v>0</v>
      </c>
      <c r="G204" s="16">
        <v>0</v>
      </c>
      <c r="H204" s="16">
        <v>1</v>
      </c>
      <c r="I204" s="16">
        <v>1</v>
      </c>
      <c r="J204" s="16">
        <v>0</v>
      </c>
      <c r="K204" s="16">
        <v>0</v>
      </c>
      <c r="L204" s="16">
        <v>0</v>
      </c>
      <c r="M204" s="16">
        <v>1</v>
      </c>
      <c r="N204" s="16">
        <v>0</v>
      </c>
      <c r="O204" s="16">
        <v>1</v>
      </c>
      <c r="P204" s="16">
        <v>1</v>
      </c>
      <c r="Q204" s="16">
        <v>0</v>
      </c>
      <c r="R204" s="16">
        <v>0</v>
      </c>
      <c r="S204" s="16">
        <v>0</v>
      </c>
      <c r="T204" s="16">
        <v>1</v>
      </c>
      <c r="U204" s="16">
        <v>0</v>
      </c>
      <c r="V204" s="16">
        <v>1</v>
      </c>
      <c r="W204" s="16">
        <v>0</v>
      </c>
      <c r="X204" s="16">
        <v>0</v>
      </c>
      <c r="Y204" s="16">
        <v>0</v>
      </c>
      <c r="Z204" s="13">
        <f t="shared" si="279"/>
        <v>7</v>
      </c>
      <c r="AA204" s="5"/>
      <c r="AB204" s="5"/>
    </row>
    <row r="205" spans="1:28" ht="12.75" customHeight="1" x14ac:dyDescent="0.3">
      <c r="A205" s="15"/>
      <c r="B205" s="34"/>
      <c r="C205" s="29" t="s">
        <v>157</v>
      </c>
      <c r="D205" s="36"/>
      <c r="E205" s="16">
        <v>0</v>
      </c>
      <c r="F205" s="16">
        <v>1</v>
      </c>
      <c r="G205" s="16">
        <v>0</v>
      </c>
      <c r="H205" s="16">
        <v>0</v>
      </c>
      <c r="I205" s="16">
        <v>0</v>
      </c>
      <c r="J205" s="16">
        <v>1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1</v>
      </c>
      <c r="X205" s="16">
        <v>1</v>
      </c>
      <c r="Y205" s="16">
        <v>1</v>
      </c>
      <c r="Z205" s="13">
        <f t="shared" si="279"/>
        <v>5</v>
      </c>
      <c r="AA205" s="5"/>
      <c r="AB205" s="5"/>
    </row>
    <row r="206" spans="1:28" ht="12.75" customHeight="1" x14ac:dyDescent="0.3">
      <c r="A206" s="15"/>
      <c r="B206" s="34"/>
      <c r="C206" s="29" t="s">
        <v>158</v>
      </c>
      <c r="D206" s="36"/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1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3">
        <f t="shared" si="279"/>
        <v>1</v>
      </c>
      <c r="AA206" s="5"/>
      <c r="AB206" s="5"/>
    </row>
    <row r="207" spans="1:28" ht="12.75" customHeight="1" x14ac:dyDescent="0.3">
      <c r="A207" s="15"/>
      <c r="B207" s="34"/>
      <c r="C207" s="29" t="s">
        <v>159</v>
      </c>
      <c r="D207" s="36"/>
      <c r="E207" s="16">
        <v>1</v>
      </c>
      <c r="F207" s="16">
        <v>1</v>
      </c>
      <c r="G207" s="16">
        <v>0</v>
      </c>
      <c r="H207" s="16">
        <v>1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3">
        <f t="shared" si="279"/>
        <v>3</v>
      </c>
      <c r="AA207" s="1"/>
      <c r="AB207" s="1"/>
    </row>
    <row r="208" spans="1:28" ht="12.75" customHeight="1" x14ac:dyDescent="0.3">
      <c r="A208" s="15"/>
      <c r="B208" s="34"/>
      <c r="C208" s="29" t="s">
        <v>160</v>
      </c>
      <c r="D208" s="36"/>
      <c r="E208" s="16">
        <v>2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2</v>
      </c>
      <c r="M208" s="16">
        <v>0</v>
      </c>
      <c r="N208" s="16">
        <v>0</v>
      </c>
      <c r="O208" s="16">
        <v>0</v>
      </c>
      <c r="P208" s="16">
        <v>1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3">
        <f t="shared" si="279"/>
        <v>5</v>
      </c>
      <c r="AA208" s="31"/>
      <c r="AB208" s="31"/>
    </row>
    <row r="209" spans="1:28" ht="12.75" customHeight="1" x14ac:dyDescent="0.3">
      <c r="A209" s="15"/>
      <c r="B209" s="34"/>
      <c r="C209" s="29" t="s">
        <v>161</v>
      </c>
      <c r="D209" s="36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1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3">
        <f t="shared" si="279"/>
        <v>1</v>
      </c>
      <c r="AA209" s="31"/>
      <c r="AB209" s="31"/>
    </row>
    <row r="210" spans="1:28" ht="12.75" customHeight="1" x14ac:dyDescent="0.3">
      <c r="A210" s="15"/>
      <c r="B210" s="34"/>
      <c r="C210" s="29" t="s">
        <v>162</v>
      </c>
      <c r="D210" s="36"/>
      <c r="E210" s="16">
        <v>0</v>
      </c>
      <c r="F210" s="16">
        <v>0</v>
      </c>
      <c r="G210" s="16">
        <v>1</v>
      </c>
      <c r="H210" s="16">
        <v>0</v>
      </c>
      <c r="I210" s="16">
        <v>0</v>
      </c>
      <c r="J210" s="16">
        <v>1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4</v>
      </c>
      <c r="R210" s="16">
        <v>0</v>
      </c>
      <c r="S210" s="16">
        <v>3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3">
        <f t="shared" si="279"/>
        <v>9</v>
      </c>
      <c r="AA210" s="31"/>
      <c r="AB210" s="31"/>
    </row>
    <row r="211" spans="1:28" ht="12.75" customHeight="1" x14ac:dyDescent="0.3">
      <c r="A211" s="16" t="s">
        <v>15</v>
      </c>
      <c r="B211" s="60" t="s">
        <v>49</v>
      </c>
      <c r="C211" s="61"/>
      <c r="D211" s="59"/>
      <c r="E211" s="13">
        <f>SUM(E201:E210)</f>
        <v>18</v>
      </c>
      <c r="F211" s="13">
        <f t="shared" ref="F211" si="280">SUM(F201:F210)</f>
        <v>9</v>
      </c>
      <c r="G211" s="13">
        <f t="shared" ref="G211" si="281">SUM(G201:G210)</f>
        <v>5</v>
      </c>
      <c r="H211" s="13">
        <f t="shared" ref="H211" si="282">SUM(H201:H210)</f>
        <v>14</v>
      </c>
      <c r="I211" s="13">
        <f t="shared" ref="I211" si="283">SUM(I201:I210)</f>
        <v>12</v>
      </c>
      <c r="J211" s="13">
        <f t="shared" ref="J211" si="284">SUM(J201:J210)</f>
        <v>20</v>
      </c>
      <c r="K211" s="13">
        <f t="shared" ref="K211" si="285">SUM(K201:K210)</f>
        <v>4</v>
      </c>
      <c r="L211" s="13">
        <f t="shared" ref="L211" si="286">SUM(L201:L210)</f>
        <v>23</v>
      </c>
      <c r="M211" s="13">
        <f t="shared" ref="M211" si="287">SUM(M201:M210)</f>
        <v>12</v>
      </c>
      <c r="N211" s="13">
        <f t="shared" ref="N211" si="288">SUM(N201:N210)</f>
        <v>5</v>
      </c>
      <c r="O211" s="13">
        <f t="shared" ref="O211" si="289">SUM(O201:O210)</f>
        <v>6</v>
      </c>
      <c r="P211" s="13">
        <f t="shared" ref="P211" si="290">SUM(P201:P210)</f>
        <v>12</v>
      </c>
      <c r="Q211" s="13">
        <f t="shared" ref="Q211" si="291">SUM(Q201:Q210)</f>
        <v>21</v>
      </c>
      <c r="R211" s="13">
        <f t="shared" ref="R211" si="292">SUM(R201:R210)</f>
        <v>6</v>
      </c>
      <c r="S211" s="13">
        <f t="shared" ref="S211" si="293">SUM(S201:S210)</f>
        <v>9</v>
      </c>
      <c r="T211" s="13">
        <f t="shared" ref="T211" si="294">SUM(T201:T210)</f>
        <v>7</v>
      </c>
      <c r="U211" s="13">
        <f t="shared" ref="U211" si="295">SUM(U201:U210)</f>
        <v>3</v>
      </c>
      <c r="V211" s="13">
        <f t="shared" ref="V211" si="296">SUM(V201:V210)</f>
        <v>10</v>
      </c>
      <c r="W211" s="13">
        <f t="shared" ref="W211" si="297">SUM(W201:W210)</f>
        <v>14</v>
      </c>
      <c r="X211" s="13">
        <f t="shared" ref="X211" si="298">SUM(X201:X210)</f>
        <v>13</v>
      </c>
      <c r="Y211" s="13">
        <f t="shared" ref="Y211" si="299">SUM(Y201:Y210)</f>
        <v>16</v>
      </c>
      <c r="Z211" s="13">
        <f t="shared" ref="Z211" si="300">SUM(Z201:Z210)</f>
        <v>239</v>
      </c>
      <c r="AA211" s="5"/>
      <c r="AB211" s="5"/>
    </row>
    <row r="212" spans="1:28" ht="12.75" customHeight="1" x14ac:dyDescent="0.3">
      <c r="A212" s="62"/>
      <c r="B212" s="61"/>
      <c r="C212" s="61"/>
      <c r="D212" s="61"/>
      <c r="E212" s="59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"/>
      <c r="AB212" s="5"/>
    </row>
    <row r="213" spans="1:28" ht="12.75" customHeight="1" x14ac:dyDescent="0.3">
      <c r="A213" s="20" t="s">
        <v>37</v>
      </c>
      <c r="B213" s="27" t="s">
        <v>163</v>
      </c>
      <c r="C213" s="58" t="s">
        <v>164</v>
      </c>
      <c r="D213" s="59"/>
      <c r="E213" s="16">
        <v>0</v>
      </c>
      <c r="F213" s="16">
        <v>4</v>
      </c>
      <c r="G213" s="16">
        <v>2</v>
      </c>
      <c r="H213" s="16">
        <v>3</v>
      </c>
      <c r="I213" s="16">
        <v>2</v>
      </c>
      <c r="J213" s="16">
        <v>2</v>
      </c>
      <c r="K213" s="16">
        <v>3</v>
      </c>
      <c r="L213" s="16">
        <v>1</v>
      </c>
      <c r="M213" s="16">
        <v>6</v>
      </c>
      <c r="N213" s="16">
        <v>0</v>
      </c>
      <c r="O213" s="16">
        <v>0</v>
      </c>
      <c r="P213" s="16">
        <v>3</v>
      </c>
      <c r="Q213" s="16">
        <v>1</v>
      </c>
      <c r="R213" s="16">
        <v>1</v>
      </c>
      <c r="S213" s="16">
        <v>3</v>
      </c>
      <c r="T213" s="16">
        <v>1</v>
      </c>
      <c r="U213" s="16">
        <v>4</v>
      </c>
      <c r="V213" s="16">
        <v>3</v>
      </c>
      <c r="W213" s="16">
        <v>2</v>
      </c>
      <c r="X213" s="16">
        <v>3</v>
      </c>
      <c r="Y213" s="16">
        <v>1</v>
      </c>
      <c r="Z213" s="13">
        <f t="shared" ref="Z213:Z216" si="301">SUM(E213:Y213)</f>
        <v>45</v>
      </c>
      <c r="AA213" s="5"/>
      <c r="AB213" s="5"/>
    </row>
    <row r="214" spans="1:28" ht="12.75" customHeight="1" x14ac:dyDescent="0.3">
      <c r="A214" s="20" t="s">
        <v>39</v>
      </c>
      <c r="B214" s="34"/>
      <c r="C214" s="29" t="s">
        <v>165</v>
      </c>
      <c r="D214" s="35"/>
      <c r="E214" s="16">
        <v>1</v>
      </c>
      <c r="F214" s="16">
        <v>2</v>
      </c>
      <c r="G214" s="16">
        <v>0</v>
      </c>
      <c r="H214" s="16">
        <v>3</v>
      </c>
      <c r="I214" s="16">
        <v>1</v>
      </c>
      <c r="J214" s="16">
        <v>0</v>
      </c>
      <c r="K214" s="16">
        <v>1</v>
      </c>
      <c r="L214" s="16">
        <v>2</v>
      </c>
      <c r="M214" s="16">
        <v>3</v>
      </c>
      <c r="N214" s="16">
        <v>2</v>
      </c>
      <c r="O214" s="16">
        <v>0</v>
      </c>
      <c r="P214" s="16">
        <v>2</v>
      </c>
      <c r="Q214" s="16">
        <v>0</v>
      </c>
      <c r="R214" s="16">
        <v>0</v>
      </c>
      <c r="S214" s="16">
        <v>0</v>
      </c>
      <c r="T214" s="16">
        <v>1</v>
      </c>
      <c r="U214" s="16">
        <v>2</v>
      </c>
      <c r="V214" s="16">
        <v>0</v>
      </c>
      <c r="W214" s="16">
        <v>2</v>
      </c>
      <c r="X214" s="16">
        <v>2</v>
      </c>
      <c r="Y214" s="16">
        <v>1</v>
      </c>
      <c r="Z214" s="13">
        <f t="shared" si="301"/>
        <v>25</v>
      </c>
      <c r="AA214" s="5"/>
      <c r="AB214" s="5"/>
    </row>
    <row r="215" spans="1:28" ht="12.75" customHeight="1" x14ac:dyDescent="0.3">
      <c r="A215" s="15"/>
      <c r="B215" s="34"/>
      <c r="C215" s="29" t="s">
        <v>166</v>
      </c>
      <c r="D215" s="35"/>
      <c r="E215" s="16">
        <v>1</v>
      </c>
      <c r="F215" s="16">
        <v>2</v>
      </c>
      <c r="G215" s="16">
        <v>2</v>
      </c>
      <c r="H215" s="16">
        <v>2</v>
      </c>
      <c r="I215" s="16">
        <v>1</v>
      </c>
      <c r="J215" s="16">
        <v>0</v>
      </c>
      <c r="K215" s="16">
        <v>5</v>
      </c>
      <c r="L215" s="16">
        <v>1</v>
      </c>
      <c r="M215" s="16">
        <v>2</v>
      </c>
      <c r="N215" s="16">
        <v>1</v>
      </c>
      <c r="O215" s="16">
        <v>2</v>
      </c>
      <c r="P215" s="16">
        <v>4</v>
      </c>
      <c r="Q215" s="16">
        <v>1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2</v>
      </c>
      <c r="Y215" s="16">
        <v>2</v>
      </c>
      <c r="Z215" s="13">
        <f t="shared" si="301"/>
        <v>28</v>
      </c>
      <c r="AA215" s="5"/>
      <c r="AB215" s="5"/>
    </row>
    <row r="216" spans="1:28" ht="12.75" customHeight="1" x14ac:dyDescent="0.3">
      <c r="A216" s="15"/>
      <c r="B216" s="34"/>
      <c r="C216" s="29" t="s">
        <v>167</v>
      </c>
      <c r="D216" s="45"/>
      <c r="E216" s="16">
        <v>0</v>
      </c>
      <c r="F216" s="16">
        <v>0</v>
      </c>
      <c r="G216" s="16">
        <v>0</v>
      </c>
      <c r="H216" s="16">
        <v>0</v>
      </c>
      <c r="I216" s="16">
        <v>1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1</v>
      </c>
      <c r="Q216" s="16">
        <v>1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3">
        <f t="shared" si="301"/>
        <v>3</v>
      </c>
      <c r="AA216" s="5"/>
      <c r="AB216" s="5"/>
    </row>
    <row r="217" spans="1:28" ht="12.75" customHeight="1" x14ac:dyDescent="0.3">
      <c r="A217" s="15"/>
      <c r="B217" s="37"/>
      <c r="C217" s="38"/>
      <c r="D217" s="4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56"/>
      <c r="AA217" s="5"/>
      <c r="AB217" s="5"/>
    </row>
    <row r="218" spans="1:28" ht="12.75" customHeight="1" x14ac:dyDescent="0.3">
      <c r="A218" s="15"/>
      <c r="B218" s="37"/>
      <c r="C218" s="38"/>
      <c r="D218" s="4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56"/>
      <c r="AA218" s="1"/>
      <c r="AB218" s="1"/>
    </row>
    <row r="219" spans="1:28" ht="12.75" customHeight="1" x14ac:dyDescent="0.3">
      <c r="A219" s="15"/>
      <c r="B219" s="37"/>
      <c r="C219" s="38"/>
      <c r="D219" s="4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56"/>
      <c r="AA219" s="31"/>
      <c r="AB219" s="31"/>
    </row>
    <row r="220" spans="1:28" ht="12.75" customHeight="1" x14ac:dyDescent="0.3">
      <c r="A220" s="15"/>
      <c r="B220" s="37"/>
      <c r="C220" s="38"/>
      <c r="D220" s="4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56"/>
      <c r="AA220" s="5"/>
      <c r="AB220" s="5"/>
    </row>
    <row r="221" spans="1:28" ht="12.75" customHeight="1" x14ac:dyDescent="0.3">
      <c r="A221" s="15"/>
      <c r="B221" s="37"/>
      <c r="C221" s="38"/>
      <c r="D221" s="4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56"/>
      <c r="AA221" s="5"/>
      <c r="AB221" s="5"/>
    </row>
    <row r="222" spans="1:28" ht="12.75" customHeight="1" x14ac:dyDescent="0.3">
      <c r="A222" s="15"/>
      <c r="B222" s="37"/>
      <c r="C222" s="38"/>
      <c r="D222" s="4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56"/>
      <c r="AA222" s="5"/>
      <c r="AB222" s="5"/>
    </row>
    <row r="223" spans="1:28" ht="12.75" customHeight="1" x14ac:dyDescent="0.3">
      <c r="A223" s="16" t="s">
        <v>15</v>
      </c>
      <c r="B223" s="60" t="s">
        <v>49</v>
      </c>
      <c r="C223" s="61"/>
      <c r="D223" s="59"/>
      <c r="E223" s="13">
        <f>SUM(E213:E222)</f>
        <v>2</v>
      </c>
      <c r="F223" s="13">
        <f t="shared" ref="F223" si="302">SUM(F213:F222)</f>
        <v>8</v>
      </c>
      <c r="G223" s="13">
        <f t="shared" ref="G223" si="303">SUM(G213:G222)</f>
        <v>4</v>
      </c>
      <c r="H223" s="13">
        <f t="shared" ref="H223" si="304">SUM(H213:H222)</f>
        <v>8</v>
      </c>
      <c r="I223" s="13">
        <f t="shared" ref="I223" si="305">SUM(I213:I222)</f>
        <v>5</v>
      </c>
      <c r="J223" s="13">
        <f t="shared" ref="J223" si="306">SUM(J213:J222)</f>
        <v>2</v>
      </c>
      <c r="K223" s="13">
        <f t="shared" ref="K223" si="307">SUM(K213:K222)</f>
        <v>9</v>
      </c>
      <c r="L223" s="13">
        <f t="shared" ref="L223" si="308">SUM(L213:L222)</f>
        <v>4</v>
      </c>
      <c r="M223" s="13">
        <f t="shared" ref="M223" si="309">SUM(M213:M222)</f>
        <v>11</v>
      </c>
      <c r="N223" s="13">
        <f t="shared" ref="N223" si="310">SUM(N213:N222)</f>
        <v>3</v>
      </c>
      <c r="O223" s="13">
        <f t="shared" ref="O223" si="311">SUM(O213:O222)</f>
        <v>2</v>
      </c>
      <c r="P223" s="13">
        <f t="shared" ref="P223" si="312">SUM(P213:P222)</f>
        <v>10</v>
      </c>
      <c r="Q223" s="13">
        <f t="shared" ref="Q223" si="313">SUM(Q213:Q222)</f>
        <v>3</v>
      </c>
      <c r="R223" s="13">
        <f t="shared" ref="R223" si="314">SUM(R213:R222)</f>
        <v>1</v>
      </c>
      <c r="S223" s="13">
        <f t="shared" ref="S223" si="315">SUM(S213:S222)</f>
        <v>3</v>
      </c>
      <c r="T223" s="13">
        <f t="shared" ref="T223" si="316">SUM(T213:T222)</f>
        <v>2</v>
      </c>
      <c r="U223" s="13">
        <f t="shared" ref="U223" si="317">SUM(U213:U222)</f>
        <v>6</v>
      </c>
      <c r="V223" s="13">
        <f t="shared" ref="V223" si="318">SUM(V213:V222)</f>
        <v>3</v>
      </c>
      <c r="W223" s="13">
        <f t="shared" ref="W223" si="319">SUM(W213:W222)</f>
        <v>4</v>
      </c>
      <c r="X223" s="13">
        <f t="shared" ref="X223" si="320">SUM(X213:X222)</f>
        <v>7</v>
      </c>
      <c r="Y223" s="13">
        <f t="shared" ref="Y223" si="321">SUM(Y213:Y222)</f>
        <v>4</v>
      </c>
      <c r="Z223" s="13">
        <f t="shared" ref="Z223" si="322">SUM(Z213:Z222)</f>
        <v>101</v>
      </c>
      <c r="AA223" s="5"/>
      <c r="AB223" s="5"/>
    </row>
    <row r="224" spans="1:28" ht="12.75" customHeight="1" x14ac:dyDescent="0.3">
      <c r="A224" s="62"/>
      <c r="B224" s="61"/>
      <c r="C224" s="61"/>
      <c r="D224" s="61"/>
      <c r="E224" s="59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"/>
      <c r="AB224" s="5"/>
    </row>
    <row r="225" spans="1:28" ht="12.75" customHeight="1" x14ac:dyDescent="0.3">
      <c r="A225" s="20" t="s">
        <v>37</v>
      </c>
      <c r="B225" s="27" t="s">
        <v>168</v>
      </c>
      <c r="C225" s="58" t="s">
        <v>169</v>
      </c>
      <c r="D225" s="59"/>
      <c r="E225" s="16">
        <v>0</v>
      </c>
      <c r="F225" s="16">
        <v>1</v>
      </c>
      <c r="G225" s="16">
        <v>0</v>
      </c>
      <c r="H225" s="16">
        <v>0</v>
      </c>
      <c r="I225" s="16">
        <v>1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1</v>
      </c>
      <c r="Q225" s="16">
        <v>0</v>
      </c>
      <c r="R225" s="16">
        <v>0</v>
      </c>
      <c r="S225" s="16">
        <v>0</v>
      </c>
      <c r="T225" s="16"/>
      <c r="U225" s="16"/>
      <c r="V225" s="16"/>
      <c r="W225" s="16"/>
      <c r="X225" s="16"/>
      <c r="Y225" s="16"/>
      <c r="Z225" s="13">
        <f t="shared" ref="Z225:Z229" si="323">SUM(E225:Y225)</f>
        <v>3</v>
      </c>
      <c r="AA225" s="5"/>
      <c r="AB225" s="5"/>
    </row>
    <row r="226" spans="1:28" ht="12.75" customHeight="1" x14ac:dyDescent="0.3">
      <c r="A226" s="20" t="s">
        <v>39</v>
      </c>
      <c r="B226" s="34"/>
      <c r="C226" s="29" t="s">
        <v>170</v>
      </c>
      <c r="D226" s="36"/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/>
      <c r="U226" s="16"/>
      <c r="V226" s="16"/>
      <c r="W226" s="16"/>
      <c r="X226" s="16"/>
      <c r="Y226" s="16"/>
      <c r="Z226" s="13">
        <f t="shared" si="323"/>
        <v>0</v>
      </c>
      <c r="AA226" s="5"/>
      <c r="AB226" s="5"/>
    </row>
    <row r="227" spans="1:28" ht="12.75" customHeight="1" x14ac:dyDescent="0.3">
      <c r="A227" s="15"/>
      <c r="B227" s="34"/>
      <c r="C227" s="29" t="s">
        <v>171</v>
      </c>
      <c r="D227" s="36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/>
      <c r="U227" s="16"/>
      <c r="V227" s="16"/>
      <c r="W227" s="16"/>
      <c r="X227" s="16"/>
      <c r="Y227" s="16"/>
      <c r="Z227" s="13">
        <f t="shared" si="323"/>
        <v>0</v>
      </c>
      <c r="AA227" s="5"/>
      <c r="AB227" s="5"/>
    </row>
    <row r="228" spans="1:28" ht="12.75" customHeight="1" x14ac:dyDescent="0.3">
      <c r="A228" s="15"/>
      <c r="B228" s="34"/>
      <c r="C228" s="29" t="s">
        <v>172</v>
      </c>
      <c r="D228" s="36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/>
      <c r="U228" s="16"/>
      <c r="V228" s="16"/>
      <c r="W228" s="16"/>
      <c r="X228" s="16"/>
      <c r="Y228" s="16"/>
      <c r="Z228" s="13">
        <f t="shared" si="323"/>
        <v>0</v>
      </c>
      <c r="AA228" s="5"/>
      <c r="AB228" s="5"/>
    </row>
    <row r="229" spans="1:28" ht="12.75" customHeight="1" x14ac:dyDescent="0.3">
      <c r="A229" s="15"/>
      <c r="B229" s="34"/>
      <c r="C229" s="29" t="s">
        <v>173</v>
      </c>
      <c r="D229" s="36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/>
      <c r="U229" s="16"/>
      <c r="V229" s="16"/>
      <c r="W229" s="16"/>
      <c r="X229" s="16"/>
      <c r="Y229" s="16"/>
      <c r="Z229" s="13">
        <f t="shared" si="323"/>
        <v>0</v>
      </c>
      <c r="AA229" s="1"/>
      <c r="AB229" s="1"/>
    </row>
    <row r="230" spans="1:28" ht="12.75" customHeight="1" x14ac:dyDescent="0.3">
      <c r="A230" s="15"/>
      <c r="B230" s="37"/>
      <c r="C230" s="38"/>
      <c r="D230" s="39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56"/>
      <c r="AA230" s="31"/>
      <c r="AB230" s="31"/>
    </row>
    <row r="231" spans="1:28" ht="12.75" customHeight="1" x14ac:dyDescent="0.3">
      <c r="A231" s="15"/>
      <c r="B231" s="37"/>
      <c r="C231" s="38"/>
      <c r="D231" s="39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56"/>
      <c r="AA231" s="5"/>
      <c r="AB231" s="5"/>
    </row>
    <row r="232" spans="1:28" ht="12.75" customHeight="1" x14ac:dyDescent="0.3">
      <c r="A232" s="15"/>
      <c r="B232" s="37"/>
      <c r="C232" s="38"/>
      <c r="D232" s="39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56"/>
      <c r="AA232" s="5"/>
      <c r="AB232" s="5"/>
    </row>
    <row r="233" spans="1:28" ht="12.75" customHeight="1" x14ac:dyDescent="0.3">
      <c r="A233" s="15"/>
      <c r="B233" s="37"/>
      <c r="C233" s="38"/>
      <c r="D233" s="39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56"/>
      <c r="AA233" s="5"/>
      <c r="AB233" s="5"/>
    </row>
    <row r="234" spans="1:28" ht="12.75" customHeight="1" x14ac:dyDescent="0.3">
      <c r="A234" s="15"/>
      <c r="B234" s="37"/>
      <c r="C234" s="38"/>
      <c r="D234" s="39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56"/>
      <c r="AA234" s="5"/>
      <c r="AB234" s="5"/>
    </row>
    <row r="235" spans="1:28" ht="12.75" customHeight="1" x14ac:dyDescent="0.3">
      <c r="A235" s="16" t="s">
        <v>15</v>
      </c>
      <c r="B235" s="60" t="s">
        <v>49</v>
      </c>
      <c r="C235" s="61"/>
      <c r="D235" s="59"/>
      <c r="E235" s="13">
        <f>SUM(E225:E234)</f>
        <v>0</v>
      </c>
      <c r="F235" s="13">
        <f t="shared" ref="F235" si="324">SUM(F225:F234)</f>
        <v>1</v>
      </c>
      <c r="G235" s="13">
        <f t="shared" ref="G235" si="325">SUM(G225:G234)</f>
        <v>0</v>
      </c>
      <c r="H235" s="13">
        <f t="shared" ref="H235" si="326">SUM(H225:H234)</f>
        <v>0</v>
      </c>
      <c r="I235" s="13">
        <f t="shared" ref="I235" si="327">SUM(I225:I234)</f>
        <v>1</v>
      </c>
      <c r="J235" s="13">
        <f t="shared" ref="J235" si="328">SUM(J225:J234)</f>
        <v>0</v>
      </c>
      <c r="K235" s="13">
        <f t="shared" ref="K235" si="329">SUM(K225:K234)</f>
        <v>0</v>
      </c>
      <c r="L235" s="13">
        <f t="shared" ref="L235" si="330">SUM(L225:L234)</f>
        <v>0</v>
      </c>
      <c r="M235" s="13">
        <f t="shared" ref="M235" si="331">SUM(M225:M234)</f>
        <v>0</v>
      </c>
      <c r="N235" s="13">
        <f t="shared" ref="N235" si="332">SUM(N225:N234)</f>
        <v>0</v>
      </c>
      <c r="O235" s="13">
        <f t="shared" ref="O235" si="333">SUM(O225:O234)</f>
        <v>0</v>
      </c>
      <c r="P235" s="13">
        <f t="shared" ref="P235" si="334">SUM(P225:P234)</f>
        <v>1</v>
      </c>
      <c r="Q235" s="13">
        <f t="shared" ref="Q235" si="335">SUM(Q225:Q234)</f>
        <v>0</v>
      </c>
      <c r="R235" s="13">
        <f t="shared" ref="R235" si="336">SUM(R225:R234)</f>
        <v>0</v>
      </c>
      <c r="S235" s="13">
        <f t="shared" ref="S235" si="337">SUM(S225:S234)</f>
        <v>0</v>
      </c>
      <c r="T235" s="13">
        <f t="shared" ref="T235" si="338">SUM(T225:T234)</f>
        <v>0</v>
      </c>
      <c r="U235" s="13">
        <f t="shared" ref="U235" si="339">SUM(U225:U234)</f>
        <v>0</v>
      </c>
      <c r="V235" s="13">
        <f t="shared" ref="V235" si="340">SUM(V225:V234)</f>
        <v>0</v>
      </c>
      <c r="W235" s="13">
        <f t="shared" ref="W235" si="341">SUM(W225:W234)</f>
        <v>0</v>
      </c>
      <c r="X235" s="13">
        <f t="shared" ref="X235" si="342">SUM(X225:X234)</f>
        <v>0</v>
      </c>
      <c r="Y235" s="13">
        <f t="shared" ref="Y235" si="343">SUM(Y225:Y234)</f>
        <v>0</v>
      </c>
      <c r="Z235" s="13">
        <f t="shared" ref="Z235" si="344">SUM(Z225:Z234)</f>
        <v>3</v>
      </c>
      <c r="AA235" s="5"/>
      <c r="AB235" s="5"/>
    </row>
    <row r="236" spans="1:28" ht="12.75" customHeight="1" x14ac:dyDescent="0.3">
      <c r="A236" s="62"/>
      <c r="B236" s="61"/>
      <c r="C236" s="61"/>
      <c r="D236" s="61"/>
      <c r="E236" s="59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"/>
      <c r="AB236" s="5"/>
    </row>
    <row r="237" spans="1:28" ht="12.75" customHeight="1" x14ac:dyDescent="0.3">
      <c r="A237" s="20" t="s">
        <v>37</v>
      </c>
      <c r="B237" s="27" t="s">
        <v>174</v>
      </c>
      <c r="C237" s="58" t="s">
        <v>175</v>
      </c>
      <c r="D237" s="59"/>
      <c r="E237" s="16">
        <v>0</v>
      </c>
      <c r="F237" s="16">
        <v>0</v>
      </c>
      <c r="G237" s="16">
        <v>0</v>
      </c>
      <c r="H237" s="16">
        <v>1</v>
      </c>
      <c r="I237" s="16">
        <v>0</v>
      </c>
      <c r="J237" s="16">
        <v>1</v>
      </c>
      <c r="K237" s="16">
        <v>3</v>
      </c>
      <c r="L237" s="16">
        <v>4</v>
      </c>
      <c r="M237" s="16">
        <v>1</v>
      </c>
      <c r="N237" s="16">
        <v>5</v>
      </c>
      <c r="O237" s="16">
        <v>2</v>
      </c>
      <c r="P237" s="16">
        <v>4</v>
      </c>
      <c r="Q237" s="16">
        <v>2</v>
      </c>
      <c r="R237" s="16">
        <v>2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3">
        <f t="shared" ref="Z237:Z247" si="345">SUM(E237:Y237)</f>
        <v>25</v>
      </c>
      <c r="AA237" s="5"/>
      <c r="AB237" s="5"/>
    </row>
    <row r="238" spans="1:28" ht="12.75" customHeight="1" x14ac:dyDescent="0.3">
      <c r="A238" s="20" t="s">
        <v>39</v>
      </c>
      <c r="B238" s="34"/>
      <c r="C238" s="29" t="s">
        <v>176</v>
      </c>
      <c r="D238" s="36"/>
      <c r="E238" s="16">
        <v>0</v>
      </c>
      <c r="F238" s="16">
        <v>0</v>
      </c>
      <c r="G238" s="16">
        <v>1</v>
      </c>
      <c r="H238" s="16">
        <v>1</v>
      </c>
      <c r="I238" s="16">
        <v>1</v>
      </c>
      <c r="J238" s="16">
        <v>0</v>
      </c>
      <c r="K238" s="16">
        <v>1</v>
      </c>
      <c r="L238" s="16">
        <v>0</v>
      </c>
      <c r="M238" s="16">
        <v>0</v>
      </c>
      <c r="N238" s="16">
        <v>5</v>
      </c>
      <c r="O238" s="16">
        <v>1</v>
      </c>
      <c r="P238" s="16">
        <v>4</v>
      </c>
      <c r="Q238" s="16">
        <v>3</v>
      </c>
      <c r="R238" s="16">
        <v>1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3">
        <f t="shared" si="345"/>
        <v>18</v>
      </c>
      <c r="AA238" s="5"/>
      <c r="AB238" s="5"/>
    </row>
    <row r="239" spans="1:28" ht="12.75" customHeight="1" x14ac:dyDescent="0.3">
      <c r="A239" s="15"/>
      <c r="B239" s="34"/>
      <c r="C239" s="29" t="s">
        <v>177</v>
      </c>
      <c r="D239" s="36"/>
      <c r="E239" s="16">
        <v>0</v>
      </c>
      <c r="F239" s="16">
        <v>1</v>
      </c>
      <c r="G239" s="16">
        <v>1</v>
      </c>
      <c r="H239" s="16">
        <v>4</v>
      </c>
      <c r="I239" s="16">
        <v>1</v>
      </c>
      <c r="J239" s="16">
        <v>4</v>
      </c>
      <c r="K239" s="16">
        <v>6</v>
      </c>
      <c r="L239" s="16">
        <v>2</v>
      </c>
      <c r="M239" s="16">
        <v>3</v>
      </c>
      <c r="N239" s="16">
        <v>16</v>
      </c>
      <c r="O239" s="16">
        <v>9</v>
      </c>
      <c r="P239" s="16">
        <v>49</v>
      </c>
      <c r="Q239" s="16">
        <v>8</v>
      </c>
      <c r="R239" s="16">
        <v>17</v>
      </c>
      <c r="S239" s="16">
        <v>3</v>
      </c>
      <c r="T239" s="16">
        <v>0</v>
      </c>
      <c r="U239" s="16">
        <v>0</v>
      </c>
      <c r="V239" s="16">
        <v>3</v>
      </c>
      <c r="W239" s="16">
        <v>0</v>
      </c>
      <c r="X239" s="16">
        <v>0</v>
      </c>
      <c r="Y239" s="16">
        <v>0</v>
      </c>
      <c r="Z239" s="13">
        <f t="shared" si="345"/>
        <v>127</v>
      </c>
      <c r="AA239" s="5"/>
      <c r="AB239" s="5"/>
    </row>
    <row r="240" spans="1:28" ht="12.75" customHeight="1" x14ac:dyDescent="0.3">
      <c r="A240" s="15"/>
      <c r="B240" s="34"/>
      <c r="C240" s="29" t="s">
        <v>178</v>
      </c>
      <c r="D240" s="36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2</v>
      </c>
      <c r="O240" s="16">
        <v>0</v>
      </c>
      <c r="P240" s="16">
        <v>0</v>
      </c>
      <c r="Q240" s="16">
        <v>0</v>
      </c>
      <c r="R240" s="16">
        <v>1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1</v>
      </c>
      <c r="Y240" s="16">
        <v>0</v>
      </c>
      <c r="Z240" s="13">
        <f t="shared" si="345"/>
        <v>4</v>
      </c>
      <c r="AA240" s="1"/>
      <c r="AB240" s="1"/>
    </row>
    <row r="241" spans="1:26" ht="12.75" customHeight="1" x14ac:dyDescent="0.3">
      <c r="A241" s="15"/>
      <c r="B241" s="34"/>
      <c r="C241" s="29" t="s">
        <v>179</v>
      </c>
      <c r="D241" s="36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1</v>
      </c>
      <c r="K241" s="16">
        <v>0</v>
      </c>
      <c r="L241" s="16">
        <v>1</v>
      </c>
      <c r="M241" s="16">
        <v>0</v>
      </c>
      <c r="N241" s="16">
        <v>1</v>
      </c>
      <c r="O241" s="16">
        <v>0</v>
      </c>
      <c r="P241" s="16">
        <v>1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3">
        <f t="shared" si="345"/>
        <v>4</v>
      </c>
    </row>
    <row r="242" spans="1:26" ht="12.75" customHeight="1" x14ac:dyDescent="0.3">
      <c r="A242" s="15"/>
      <c r="B242" s="34"/>
      <c r="C242" s="29" t="s">
        <v>180</v>
      </c>
      <c r="D242" s="36"/>
      <c r="E242" s="16">
        <v>1</v>
      </c>
      <c r="F242" s="16">
        <v>0</v>
      </c>
      <c r="G242" s="16">
        <v>0</v>
      </c>
      <c r="H242" s="16">
        <v>0</v>
      </c>
      <c r="I242" s="16">
        <v>2</v>
      </c>
      <c r="J242" s="16">
        <v>1</v>
      </c>
      <c r="K242" s="16">
        <v>0</v>
      </c>
      <c r="L242" s="16">
        <v>3</v>
      </c>
      <c r="M242" s="16">
        <v>1</v>
      </c>
      <c r="N242" s="16">
        <v>2</v>
      </c>
      <c r="O242" s="16">
        <v>0</v>
      </c>
      <c r="P242" s="16">
        <v>3</v>
      </c>
      <c r="Q242" s="16">
        <v>0</v>
      </c>
      <c r="R242" s="16">
        <v>1</v>
      </c>
      <c r="S242" s="16">
        <v>0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3">
        <f t="shared" si="345"/>
        <v>14</v>
      </c>
    </row>
    <row r="243" spans="1:26" ht="12.75" customHeight="1" x14ac:dyDescent="0.3">
      <c r="A243" s="15"/>
      <c r="B243" s="34"/>
      <c r="C243" s="29" t="s">
        <v>181</v>
      </c>
      <c r="D243" s="36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1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3">
        <f t="shared" si="345"/>
        <v>1</v>
      </c>
    </row>
    <row r="244" spans="1:26" ht="12.75" customHeight="1" x14ac:dyDescent="0.3">
      <c r="A244" s="15"/>
      <c r="B244" s="34"/>
      <c r="C244" s="29" t="s">
        <v>182</v>
      </c>
      <c r="D244" s="36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1</v>
      </c>
      <c r="K244" s="16">
        <v>0</v>
      </c>
      <c r="L244" s="16">
        <v>1</v>
      </c>
      <c r="M244" s="16">
        <v>0</v>
      </c>
      <c r="N244" s="16">
        <v>1</v>
      </c>
      <c r="O244" s="16">
        <v>0</v>
      </c>
      <c r="P244" s="16">
        <v>0</v>
      </c>
      <c r="Q244" s="16">
        <v>2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3">
        <f t="shared" si="345"/>
        <v>5</v>
      </c>
    </row>
    <row r="245" spans="1:26" ht="12.75" customHeight="1" x14ac:dyDescent="0.3">
      <c r="A245" s="15"/>
      <c r="B245" s="34"/>
      <c r="C245" s="29" t="s">
        <v>183</v>
      </c>
      <c r="D245" s="36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3">
        <f t="shared" si="345"/>
        <v>0</v>
      </c>
    </row>
    <row r="246" spans="1:26" ht="12.75" customHeight="1" x14ac:dyDescent="0.3">
      <c r="A246" s="15"/>
      <c r="B246" s="34"/>
      <c r="C246" s="29" t="s">
        <v>184</v>
      </c>
      <c r="D246" s="36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1</v>
      </c>
      <c r="L246" s="16">
        <v>0</v>
      </c>
      <c r="M246" s="16">
        <v>0</v>
      </c>
      <c r="N246" s="16">
        <v>1</v>
      </c>
      <c r="O246" s="16">
        <v>0</v>
      </c>
      <c r="P246" s="16">
        <v>0</v>
      </c>
      <c r="Q246" s="16">
        <v>1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3">
        <f t="shared" si="345"/>
        <v>3</v>
      </c>
    </row>
    <row r="247" spans="1:26" ht="12.75" customHeight="1" x14ac:dyDescent="0.3">
      <c r="A247" s="16" t="s">
        <v>15</v>
      </c>
      <c r="B247" s="60" t="s">
        <v>49</v>
      </c>
      <c r="C247" s="61"/>
      <c r="D247" s="59"/>
      <c r="E247" s="13">
        <f>SUM(E237:E246)</f>
        <v>1</v>
      </c>
      <c r="F247" s="13">
        <f t="shared" ref="F247" si="346">SUM(F237:F246)</f>
        <v>1</v>
      </c>
      <c r="G247" s="13">
        <f t="shared" ref="G247" si="347">SUM(G237:G246)</f>
        <v>2</v>
      </c>
      <c r="H247" s="13">
        <f t="shared" ref="H247" si="348">SUM(H237:H246)</f>
        <v>6</v>
      </c>
      <c r="I247" s="13">
        <f t="shared" ref="I247" si="349">SUM(I237:I246)</f>
        <v>4</v>
      </c>
      <c r="J247" s="13">
        <f t="shared" ref="J247" si="350">SUM(J237:J246)</f>
        <v>8</v>
      </c>
      <c r="K247" s="13">
        <f t="shared" ref="K247" si="351">SUM(K237:K246)</f>
        <v>11</v>
      </c>
      <c r="L247" s="13">
        <f t="shared" ref="L247" si="352">SUM(L237:L246)</f>
        <v>12</v>
      </c>
      <c r="M247" s="13">
        <f t="shared" ref="M247" si="353">SUM(M237:M246)</f>
        <v>5</v>
      </c>
      <c r="N247" s="13">
        <f t="shared" ref="N247" si="354">SUM(N237:N246)</f>
        <v>33</v>
      </c>
      <c r="O247" s="13">
        <f t="shared" ref="O247" si="355">SUM(O237:O246)</f>
        <v>12</v>
      </c>
      <c r="P247" s="13">
        <f t="shared" ref="P247" si="356">SUM(P237:P246)</f>
        <v>61</v>
      </c>
      <c r="Q247" s="13">
        <f t="shared" ref="Q247" si="357">SUM(Q237:Q246)</f>
        <v>16</v>
      </c>
      <c r="R247" s="13">
        <f t="shared" ref="R247" si="358">SUM(R237:R246)</f>
        <v>22</v>
      </c>
      <c r="S247" s="13">
        <f t="shared" ref="S247" si="359">SUM(S237:S246)</f>
        <v>3</v>
      </c>
      <c r="T247" s="13">
        <f t="shared" ref="T247" si="360">SUM(T237:T246)</f>
        <v>0</v>
      </c>
      <c r="U247" s="13">
        <f t="shared" ref="U247" si="361">SUM(U237:U246)</f>
        <v>0</v>
      </c>
      <c r="V247" s="13">
        <f t="shared" ref="V247" si="362">SUM(V237:V246)</f>
        <v>3</v>
      </c>
      <c r="W247" s="13">
        <f t="shared" ref="W247" si="363">SUM(W237:W246)</f>
        <v>0</v>
      </c>
      <c r="X247" s="13">
        <f t="shared" ref="X247" si="364">SUM(X237:X246)</f>
        <v>1</v>
      </c>
      <c r="Y247" s="13">
        <f t="shared" ref="Y247" si="365">SUM(Y237:Y246)</f>
        <v>0</v>
      </c>
      <c r="Z247" s="13">
        <f t="shared" ref="Z247" si="366">SUM(Z237:Z246)</f>
        <v>201</v>
      </c>
    </row>
    <row r="248" spans="1:26" ht="12.75" customHeight="1" x14ac:dyDescent="0.3">
      <c r="A248" s="62"/>
      <c r="B248" s="61"/>
      <c r="C248" s="61"/>
      <c r="D248" s="61"/>
      <c r="E248" s="59"/>
    </row>
    <row r="249" spans="1:26" ht="12.75" customHeight="1" x14ac:dyDescent="0.3">
      <c r="A249" s="20" t="s">
        <v>37</v>
      </c>
      <c r="B249" s="27" t="s">
        <v>185</v>
      </c>
      <c r="C249" s="58" t="s">
        <v>186</v>
      </c>
      <c r="D249" s="59"/>
      <c r="E249" s="16">
        <v>0</v>
      </c>
      <c r="F249" s="16">
        <v>1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2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1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3">
        <f t="shared" ref="Z249:Z252" si="367">SUM(E249:Y249)</f>
        <v>4</v>
      </c>
    </row>
    <row r="250" spans="1:26" ht="12.75" customHeight="1" x14ac:dyDescent="0.3">
      <c r="A250" s="20" t="s">
        <v>39</v>
      </c>
      <c r="B250" s="34"/>
      <c r="C250" s="29" t="s">
        <v>187</v>
      </c>
      <c r="D250" s="36"/>
      <c r="E250" s="16">
        <v>0</v>
      </c>
      <c r="F250" s="16">
        <v>1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1</v>
      </c>
      <c r="P250" s="16">
        <v>0</v>
      </c>
      <c r="Q250" s="16">
        <v>1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3">
        <f t="shared" si="367"/>
        <v>3</v>
      </c>
    </row>
    <row r="251" spans="1:26" ht="12.75" customHeight="1" x14ac:dyDescent="0.3">
      <c r="A251" s="15"/>
      <c r="B251" s="34"/>
      <c r="C251" s="29" t="s">
        <v>188</v>
      </c>
      <c r="D251" s="36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3">
        <f t="shared" si="367"/>
        <v>0</v>
      </c>
    </row>
    <row r="252" spans="1:26" ht="12.75" customHeight="1" x14ac:dyDescent="0.3">
      <c r="A252" s="15"/>
      <c r="B252" s="34"/>
      <c r="C252" s="29" t="s">
        <v>189</v>
      </c>
      <c r="D252" s="36"/>
      <c r="E252" s="16">
        <v>0</v>
      </c>
      <c r="F252" s="16">
        <v>0</v>
      </c>
      <c r="G252" s="16">
        <v>1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3">
        <f t="shared" si="367"/>
        <v>1</v>
      </c>
    </row>
    <row r="253" spans="1:26" ht="12.75" customHeight="1" x14ac:dyDescent="0.3">
      <c r="A253" s="15"/>
      <c r="B253" s="37"/>
      <c r="C253" s="44"/>
      <c r="D253" s="39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56"/>
    </row>
    <row r="254" spans="1:26" ht="12.75" customHeight="1" x14ac:dyDescent="0.3">
      <c r="A254" s="15"/>
      <c r="B254" s="37"/>
      <c r="C254" s="44"/>
      <c r="D254" s="39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56"/>
    </row>
    <row r="255" spans="1:26" ht="12.75" customHeight="1" x14ac:dyDescent="0.3">
      <c r="A255" s="15"/>
      <c r="B255" s="37"/>
      <c r="C255" s="44"/>
      <c r="D255" s="39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56"/>
    </row>
    <row r="256" spans="1:26" ht="12.75" customHeight="1" x14ac:dyDescent="0.3">
      <c r="A256" s="15"/>
      <c r="B256" s="37"/>
      <c r="C256" s="44"/>
      <c r="D256" s="39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56"/>
    </row>
    <row r="257" spans="1:26" ht="12.75" customHeight="1" x14ac:dyDescent="0.3">
      <c r="A257" s="15"/>
      <c r="B257" s="37"/>
      <c r="C257" s="44"/>
      <c r="D257" s="39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56"/>
    </row>
    <row r="258" spans="1:26" ht="12.75" customHeight="1" x14ac:dyDescent="0.3">
      <c r="A258" s="15"/>
      <c r="B258" s="37"/>
      <c r="C258" s="44"/>
      <c r="D258" s="3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56"/>
    </row>
    <row r="259" spans="1:26" ht="12.75" customHeight="1" x14ac:dyDescent="0.3">
      <c r="A259" s="16" t="s">
        <v>15</v>
      </c>
      <c r="B259" s="60" t="s">
        <v>49</v>
      </c>
      <c r="C259" s="61"/>
      <c r="D259" s="59"/>
      <c r="E259" s="13">
        <f>SUM(E249:E258)</f>
        <v>0</v>
      </c>
      <c r="F259" s="13">
        <f t="shared" ref="F259" si="368">SUM(F249:F258)</f>
        <v>2</v>
      </c>
      <c r="G259" s="13">
        <f t="shared" ref="G259" si="369">SUM(G249:G258)</f>
        <v>1</v>
      </c>
      <c r="H259" s="13">
        <f t="shared" ref="H259" si="370">SUM(H249:H258)</f>
        <v>0</v>
      </c>
      <c r="I259" s="13">
        <f t="shared" ref="I259" si="371">SUM(I249:I258)</f>
        <v>0</v>
      </c>
      <c r="J259" s="13">
        <f t="shared" ref="J259" si="372">SUM(J249:J258)</f>
        <v>0</v>
      </c>
      <c r="K259" s="13">
        <f t="shared" ref="K259" si="373">SUM(K249:K258)</f>
        <v>0</v>
      </c>
      <c r="L259" s="13">
        <f t="shared" ref="L259" si="374">SUM(L249:L258)</f>
        <v>0</v>
      </c>
      <c r="M259" s="13">
        <f t="shared" ref="M259" si="375">SUM(M249:M258)</f>
        <v>2</v>
      </c>
      <c r="N259" s="13">
        <f t="shared" ref="N259" si="376">SUM(N249:N258)</f>
        <v>0</v>
      </c>
      <c r="O259" s="13">
        <f t="shared" ref="O259" si="377">SUM(O249:O258)</f>
        <v>1</v>
      </c>
      <c r="P259" s="13">
        <f t="shared" ref="P259" si="378">SUM(P249:P258)</f>
        <v>0</v>
      </c>
      <c r="Q259" s="13">
        <f t="shared" ref="Q259" si="379">SUM(Q249:Q258)</f>
        <v>1</v>
      </c>
      <c r="R259" s="13">
        <f t="shared" ref="R259" si="380">SUM(R249:R258)</f>
        <v>0</v>
      </c>
      <c r="S259" s="13">
        <f t="shared" ref="S259" si="381">SUM(S249:S258)</f>
        <v>0</v>
      </c>
      <c r="T259" s="13">
        <f t="shared" ref="T259" si="382">SUM(T249:T258)</f>
        <v>1</v>
      </c>
      <c r="U259" s="13">
        <f t="shared" ref="U259" si="383">SUM(U249:U258)</f>
        <v>0</v>
      </c>
      <c r="V259" s="13">
        <f t="shared" ref="V259" si="384">SUM(V249:V258)</f>
        <v>0</v>
      </c>
      <c r="W259" s="13">
        <f t="shared" ref="W259" si="385">SUM(W249:W258)</f>
        <v>0</v>
      </c>
      <c r="X259" s="13">
        <f t="shared" ref="X259" si="386">SUM(X249:X258)</f>
        <v>0</v>
      </c>
      <c r="Y259" s="13">
        <f t="shared" ref="Y259" si="387">SUM(Y249:Y258)</f>
        <v>0</v>
      </c>
      <c r="Z259" s="13">
        <f t="shared" ref="Z259" si="388">SUM(Z249:Z258)</f>
        <v>8</v>
      </c>
    </row>
    <row r="260" spans="1:26" ht="12.75" customHeight="1" x14ac:dyDescent="0.3"/>
    <row r="261" spans="1:26" ht="12.75" customHeight="1" x14ac:dyDescent="0.3">
      <c r="A261" s="26" t="s">
        <v>190</v>
      </c>
      <c r="B261" s="65" t="s">
        <v>191</v>
      </c>
      <c r="C261" s="61"/>
      <c r="D261" s="59"/>
      <c r="E261" s="13"/>
      <c r="F261" s="13"/>
      <c r="G261" s="13"/>
      <c r="H261" s="13"/>
      <c r="I261" s="13"/>
      <c r="J261" s="13"/>
      <c r="K261" s="13"/>
      <c r="L261" s="13"/>
      <c r="M261" s="13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13"/>
    </row>
    <row r="262" spans="1:26" ht="12.75" customHeight="1" x14ac:dyDescent="0.3">
      <c r="A262" s="26"/>
      <c r="B262" s="47" t="s">
        <v>192</v>
      </c>
      <c r="C262" s="83" t="s">
        <v>193</v>
      </c>
      <c r="D262" s="59"/>
      <c r="E262" s="16">
        <f t="shared" ref="E262:Y262" si="389">E55+E67+E79+E91+E103+E115+E127+E139+E151+E163+E175+E187+E199+E211+E223+E235+E247+E259</f>
        <v>174</v>
      </c>
      <c r="F262" s="16">
        <f t="shared" si="389"/>
        <v>158</v>
      </c>
      <c r="G262" s="16">
        <f t="shared" si="389"/>
        <v>138</v>
      </c>
      <c r="H262" s="16">
        <f t="shared" si="389"/>
        <v>206</v>
      </c>
      <c r="I262" s="16">
        <f t="shared" si="389"/>
        <v>179</v>
      </c>
      <c r="J262" s="16">
        <f t="shared" si="389"/>
        <v>200</v>
      </c>
      <c r="K262" s="16">
        <f t="shared" si="389"/>
        <v>135</v>
      </c>
      <c r="L262" s="16">
        <f t="shared" si="389"/>
        <v>187</v>
      </c>
      <c r="M262" s="16">
        <f t="shared" si="389"/>
        <v>162</v>
      </c>
      <c r="N262" s="16">
        <f t="shared" si="389"/>
        <v>168</v>
      </c>
      <c r="O262" s="16">
        <f t="shared" si="389"/>
        <v>198</v>
      </c>
      <c r="P262" s="16">
        <f t="shared" si="389"/>
        <v>209</v>
      </c>
      <c r="Q262" s="16">
        <f t="shared" si="389"/>
        <v>184</v>
      </c>
      <c r="R262" s="16">
        <f t="shared" si="389"/>
        <v>197</v>
      </c>
      <c r="S262" s="16">
        <f t="shared" si="389"/>
        <v>213</v>
      </c>
      <c r="T262" s="16">
        <f t="shared" si="389"/>
        <v>123</v>
      </c>
      <c r="U262" s="16">
        <f t="shared" si="389"/>
        <v>192</v>
      </c>
      <c r="V262" s="16">
        <f t="shared" si="389"/>
        <v>174</v>
      </c>
      <c r="W262" s="16">
        <f t="shared" si="389"/>
        <v>180</v>
      </c>
      <c r="X262" s="16">
        <f t="shared" si="389"/>
        <v>178</v>
      </c>
      <c r="Y262" s="16">
        <f t="shared" si="389"/>
        <v>183</v>
      </c>
      <c r="Z262" s="13">
        <f t="shared" ref="Z262:Z264" si="390">SUM(E262:Y262)</f>
        <v>3738</v>
      </c>
    </row>
    <row r="263" spans="1:26" ht="12.75" customHeight="1" x14ac:dyDescent="0.3">
      <c r="A263" s="22"/>
      <c r="B263" s="47" t="s">
        <v>194</v>
      </c>
      <c r="C263" s="83" t="s">
        <v>195</v>
      </c>
      <c r="D263" s="59"/>
      <c r="E263" s="16">
        <v>26</v>
      </c>
      <c r="F263" s="16">
        <v>24</v>
      </c>
      <c r="G263" s="16">
        <v>20</v>
      </c>
      <c r="H263" s="16">
        <v>25</v>
      </c>
      <c r="I263" s="16">
        <v>23</v>
      </c>
      <c r="J263" s="16">
        <v>29</v>
      </c>
      <c r="K263" s="16">
        <v>15</v>
      </c>
      <c r="L263" s="16">
        <v>19</v>
      </c>
      <c r="M263" s="16">
        <v>38</v>
      </c>
      <c r="N263" s="16">
        <v>27</v>
      </c>
      <c r="O263" s="16">
        <v>12</v>
      </c>
      <c r="P263" s="16">
        <v>19</v>
      </c>
      <c r="Q263" s="16">
        <v>25</v>
      </c>
      <c r="R263" s="16">
        <v>24</v>
      </c>
      <c r="S263" s="16">
        <v>10</v>
      </c>
      <c r="T263" s="16">
        <v>16</v>
      </c>
      <c r="U263" s="16">
        <v>10</v>
      </c>
      <c r="V263" s="16">
        <v>23</v>
      </c>
      <c r="W263" s="16">
        <v>17</v>
      </c>
      <c r="X263" s="16">
        <v>27</v>
      </c>
      <c r="Y263" s="16">
        <v>20</v>
      </c>
      <c r="Z263" s="13">
        <f t="shared" si="390"/>
        <v>449</v>
      </c>
    </row>
    <row r="264" spans="1:26" ht="12.75" customHeight="1" x14ac:dyDescent="0.3">
      <c r="A264" s="25"/>
      <c r="B264" s="47" t="s">
        <v>196</v>
      </c>
      <c r="C264" s="83" t="s">
        <v>197</v>
      </c>
      <c r="D264" s="59"/>
      <c r="E264" s="13">
        <f t="shared" ref="E264:Y264" si="391">SUM(E262:E263)</f>
        <v>200</v>
      </c>
      <c r="F264" s="13">
        <f t="shared" si="391"/>
        <v>182</v>
      </c>
      <c r="G264" s="13">
        <f t="shared" si="391"/>
        <v>158</v>
      </c>
      <c r="H264" s="13">
        <f t="shared" si="391"/>
        <v>231</v>
      </c>
      <c r="I264" s="13">
        <f t="shared" si="391"/>
        <v>202</v>
      </c>
      <c r="J264" s="13">
        <f t="shared" si="391"/>
        <v>229</v>
      </c>
      <c r="K264" s="13">
        <f t="shared" si="391"/>
        <v>150</v>
      </c>
      <c r="L264" s="13">
        <f t="shared" si="391"/>
        <v>206</v>
      </c>
      <c r="M264" s="13">
        <f t="shared" si="391"/>
        <v>200</v>
      </c>
      <c r="N264" s="13">
        <f t="shared" si="391"/>
        <v>195</v>
      </c>
      <c r="O264" s="13">
        <f t="shared" si="391"/>
        <v>210</v>
      </c>
      <c r="P264" s="13">
        <f t="shared" si="391"/>
        <v>228</v>
      </c>
      <c r="Q264" s="13">
        <f t="shared" si="391"/>
        <v>209</v>
      </c>
      <c r="R264" s="13">
        <f t="shared" si="391"/>
        <v>221</v>
      </c>
      <c r="S264" s="13">
        <f t="shared" si="391"/>
        <v>223</v>
      </c>
      <c r="T264" s="13">
        <f t="shared" si="391"/>
        <v>139</v>
      </c>
      <c r="U264" s="13">
        <f t="shared" si="391"/>
        <v>202</v>
      </c>
      <c r="V264" s="13">
        <f t="shared" si="391"/>
        <v>197</v>
      </c>
      <c r="W264" s="13">
        <f t="shared" si="391"/>
        <v>197</v>
      </c>
      <c r="X264" s="13">
        <f t="shared" si="391"/>
        <v>205</v>
      </c>
      <c r="Y264" s="13">
        <f t="shared" si="391"/>
        <v>203</v>
      </c>
      <c r="Z264" s="13">
        <f t="shared" si="390"/>
        <v>4187</v>
      </c>
    </row>
    <row r="265" spans="1:26" ht="12.75" customHeight="1" x14ac:dyDescent="0.3"/>
    <row r="266" spans="1:26" ht="12.75" customHeight="1" x14ac:dyDescent="0.3"/>
    <row r="267" spans="1:26" ht="12.75" customHeight="1" x14ac:dyDescent="0.3"/>
    <row r="268" spans="1:26" ht="12.75" customHeight="1" x14ac:dyDescent="0.3"/>
    <row r="269" spans="1:26" ht="12.75" customHeight="1" x14ac:dyDescent="0.3"/>
    <row r="270" spans="1:26" ht="12.75" customHeight="1" x14ac:dyDescent="0.3"/>
    <row r="271" spans="1:26" ht="12.75" customHeight="1" x14ac:dyDescent="0.3"/>
    <row r="272" spans="1:26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B151:D151"/>
    <mergeCell ref="B103:D103"/>
    <mergeCell ref="A104:E104"/>
    <mergeCell ref="C105:D105"/>
    <mergeCell ref="B115:D115"/>
    <mergeCell ref="A116:E116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E42:I42"/>
    <mergeCell ref="B43:D43"/>
    <mergeCell ref="B25:B27"/>
    <mergeCell ref="C25:C27"/>
    <mergeCell ref="B28:B30"/>
    <mergeCell ref="A37:D37"/>
    <mergeCell ref="E37:I37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  <mergeCell ref="C117:D117"/>
    <mergeCell ref="B127:D127"/>
    <mergeCell ref="A128:E128"/>
    <mergeCell ref="C129:D129"/>
    <mergeCell ref="A80:E80"/>
    <mergeCell ref="C81:D81"/>
    <mergeCell ref="B91:D91"/>
    <mergeCell ref="A92:E92"/>
    <mergeCell ref="C93:D93"/>
  </mergeCells>
  <conditionalFormatting sqref="E34:T34">
    <cfRule type="expression" dxfId="144" priority="1">
      <formula>E34&lt;&gt;E64</formula>
    </cfRule>
  </conditionalFormatting>
  <conditionalFormatting sqref="E14:Y15">
    <cfRule type="containsBlanks" dxfId="143" priority="2">
      <formula>LEN(TRIM(E14))=0</formula>
    </cfRule>
  </conditionalFormatting>
  <conditionalFormatting sqref="E19:Y20">
    <cfRule type="containsBlanks" dxfId="142" priority="3">
      <formula>LEN(TRIM(E19))=0</formula>
    </cfRule>
  </conditionalFormatting>
  <conditionalFormatting sqref="E22:Y23 E25:Y26 E33:Y33 E35:Y35 E39:Y40">
    <cfRule type="containsBlanks" dxfId="141" priority="4">
      <formula>LEN(TRIM(E22))=0</formula>
    </cfRule>
  </conditionalFormatting>
  <conditionalFormatting sqref="E30:Y30">
    <cfRule type="expression" dxfId="140" priority="5">
      <formula>E30&lt;&gt;E47</formula>
    </cfRule>
    <cfRule type="expression" dxfId="139" priority="6">
      <formula>E30&lt;&gt;E34</formula>
    </cfRule>
  </conditionalFormatting>
  <conditionalFormatting sqref="E34:Y34">
    <cfRule type="expression" dxfId="138" priority="7">
      <formula>E30&lt;&gt;E34</formula>
    </cfRule>
    <cfRule type="expression" dxfId="137" priority="8">
      <formula>E30=E34</formula>
    </cfRule>
    <cfRule type="expression" dxfId="136" priority="9">
      <formula>E34&lt;&gt;E30</formula>
    </cfRule>
  </conditionalFormatting>
  <conditionalFormatting sqref="E45:Y54">
    <cfRule type="containsBlanks" dxfId="135" priority="10">
      <formula>LEN(TRIM(E45))=0</formula>
    </cfRule>
  </conditionalFormatting>
  <conditionalFormatting sqref="E57:Y66">
    <cfRule type="containsBlanks" dxfId="134" priority="11">
      <formula>LEN(TRIM(E57))=0</formula>
    </cfRule>
  </conditionalFormatting>
  <conditionalFormatting sqref="E69:Y78">
    <cfRule type="containsBlanks" dxfId="133" priority="12">
      <formula>LEN(TRIM(E69))=0</formula>
    </cfRule>
  </conditionalFormatting>
  <conditionalFormatting sqref="E81:Y90">
    <cfRule type="containsBlanks" dxfId="132" priority="13">
      <formula>LEN(TRIM(E81))=0</formula>
    </cfRule>
  </conditionalFormatting>
  <conditionalFormatting sqref="E93:Y102">
    <cfRule type="containsBlanks" dxfId="131" priority="14">
      <formula>LEN(TRIM(E93))=0</formula>
    </cfRule>
  </conditionalFormatting>
  <conditionalFormatting sqref="E105:Y114">
    <cfRule type="containsBlanks" dxfId="130" priority="15">
      <formula>LEN(TRIM(E105))=0</formula>
    </cfRule>
  </conditionalFormatting>
  <conditionalFormatting sqref="E117:Y126">
    <cfRule type="containsBlanks" dxfId="129" priority="16">
      <formula>LEN(TRIM(E117))=0</formula>
    </cfRule>
  </conditionalFormatting>
  <conditionalFormatting sqref="E129:Y138">
    <cfRule type="containsBlanks" dxfId="128" priority="17">
      <formula>LEN(TRIM(E129))=0</formula>
    </cfRule>
  </conditionalFormatting>
  <conditionalFormatting sqref="E141:Y150">
    <cfRule type="containsBlanks" dxfId="127" priority="18">
      <formula>LEN(TRIM(E141))=0</formula>
    </cfRule>
  </conditionalFormatting>
  <conditionalFormatting sqref="E153:Y162">
    <cfRule type="containsBlanks" dxfId="126" priority="19">
      <formula>LEN(TRIM(E153))=0</formula>
    </cfRule>
  </conditionalFormatting>
  <conditionalFormatting sqref="E165:Y174">
    <cfRule type="containsBlanks" dxfId="125" priority="20">
      <formula>LEN(TRIM(E165))=0</formula>
    </cfRule>
  </conditionalFormatting>
  <conditionalFormatting sqref="E177:Y186">
    <cfRule type="containsBlanks" dxfId="124" priority="21">
      <formula>LEN(TRIM(E177))=0</formula>
    </cfRule>
  </conditionalFormatting>
  <conditionalFormatting sqref="E189:Y198">
    <cfRule type="containsBlanks" dxfId="123" priority="22">
      <formula>LEN(TRIM(E189))=0</formula>
    </cfRule>
  </conditionalFormatting>
  <conditionalFormatting sqref="E201:Y210">
    <cfRule type="containsBlanks" dxfId="122" priority="23">
      <formula>LEN(TRIM(E201))=0</formula>
    </cfRule>
  </conditionalFormatting>
  <conditionalFormatting sqref="E213:Y222">
    <cfRule type="containsBlanks" dxfId="121" priority="24">
      <formula>LEN(TRIM(E213))=0</formula>
    </cfRule>
  </conditionalFormatting>
  <conditionalFormatting sqref="E225:Y234">
    <cfRule type="containsBlanks" dxfId="120" priority="25">
      <formula>LEN(TRIM(E225))=0</formula>
    </cfRule>
  </conditionalFormatting>
  <conditionalFormatting sqref="E237:Y246">
    <cfRule type="containsBlanks" dxfId="119" priority="26">
      <formula>LEN(TRIM(E237))=0</formula>
    </cfRule>
  </conditionalFormatting>
  <conditionalFormatting sqref="E249:Y258">
    <cfRule type="containsBlanks" dxfId="118" priority="27">
      <formula>LEN(TRIM(E249))=0</formula>
    </cfRule>
  </conditionalFormatting>
  <conditionalFormatting sqref="E262:Y263">
    <cfRule type="containsBlanks" dxfId="117" priority="28">
      <formula>LEN(TRIM(E262))=0</formula>
    </cfRule>
  </conditionalFormatting>
  <conditionalFormatting sqref="U34:Y34">
    <cfRule type="expression" dxfId="116" priority="29">
      <formula>U34&lt;&gt;U47</formula>
    </cfRule>
  </conditionalFormatting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H1000"/>
  <sheetViews>
    <sheetView topLeftCell="H242" zoomScale="80" zoomScaleNormal="80" workbookViewId="0">
      <selection activeCell="AF263" sqref="AF263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31" width="8.69921875" customWidth="1"/>
    <col min="32" max="32" width="13.296875" customWidth="1"/>
    <col min="33" max="34" width="8.69921875" customWidth="1"/>
  </cols>
  <sheetData>
    <row r="1" spans="1:32" ht="12.75" customHeight="1" x14ac:dyDescent="0.3"/>
    <row r="2" spans="1:32" ht="12.75" customHeight="1" x14ac:dyDescent="0.3">
      <c r="C2" s="8" t="s">
        <v>0</v>
      </c>
      <c r="D2" s="8" t="s">
        <v>1</v>
      </c>
    </row>
    <row r="3" spans="1:32" ht="12.75" customHeight="1" x14ac:dyDescent="0.3">
      <c r="C3" s="8" t="s">
        <v>2</v>
      </c>
      <c r="D3" s="8" t="s">
        <v>3</v>
      </c>
    </row>
    <row r="4" spans="1:32" ht="12.75" customHeight="1" x14ac:dyDescent="0.3">
      <c r="C4" s="8" t="s">
        <v>4</v>
      </c>
      <c r="D4" s="8" t="s">
        <v>5</v>
      </c>
    </row>
    <row r="5" spans="1:32" ht="12.75" customHeight="1" x14ac:dyDescent="0.3">
      <c r="C5" s="8"/>
      <c r="D5" s="8"/>
    </row>
    <row r="6" spans="1:32" ht="12.75" customHeight="1" x14ac:dyDescent="0.3">
      <c r="C6" s="8"/>
      <c r="D6" s="8"/>
    </row>
    <row r="7" spans="1:32" ht="12.75" customHeight="1" x14ac:dyDescent="0.3">
      <c r="C7" s="8"/>
      <c r="D7" s="8"/>
    </row>
    <row r="8" spans="1:32" ht="12.75" customHeight="1" x14ac:dyDescent="0.3">
      <c r="C8" s="8"/>
      <c r="D8" s="8"/>
    </row>
    <row r="9" spans="1:32" ht="12.75" customHeight="1" x14ac:dyDescent="0.3">
      <c r="C9" s="8" t="s">
        <v>198</v>
      </c>
      <c r="D9" s="8" t="s">
        <v>230</v>
      </c>
    </row>
    <row r="10" spans="1:32" ht="12.75" customHeight="1" x14ac:dyDescent="0.3"/>
    <row r="11" spans="1:32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32" ht="12.75" customHeight="1" x14ac:dyDescent="0.3">
      <c r="A12" s="13" t="s">
        <v>6</v>
      </c>
      <c r="B12" s="65" t="s">
        <v>7</v>
      </c>
      <c r="C12" s="61"/>
      <c r="D12" s="59"/>
      <c r="E12" s="86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87" t="s">
        <v>8</v>
      </c>
    </row>
    <row r="13" spans="1:32" ht="12.75" customHeight="1" x14ac:dyDescent="0.3">
      <c r="A13" s="16" t="s">
        <v>9</v>
      </c>
      <c r="B13" s="72" t="s">
        <v>10</v>
      </c>
      <c r="C13" s="61"/>
      <c r="D13" s="59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76"/>
    </row>
    <row r="14" spans="1:32" ht="12.75" customHeight="1" x14ac:dyDescent="0.3">
      <c r="A14" s="15"/>
      <c r="B14" s="81" t="s">
        <v>11</v>
      </c>
      <c r="C14" s="67"/>
      <c r="D14" s="16" t="s">
        <v>12</v>
      </c>
      <c r="E14" s="16">
        <v>136</v>
      </c>
      <c r="F14" s="16">
        <v>113</v>
      </c>
      <c r="G14" s="16">
        <v>121</v>
      </c>
      <c r="H14" s="16">
        <v>116</v>
      </c>
      <c r="I14" s="16">
        <v>108</v>
      </c>
      <c r="J14" s="16">
        <v>125</v>
      </c>
      <c r="K14" s="16">
        <v>119</v>
      </c>
      <c r="L14" s="16">
        <v>137</v>
      </c>
      <c r="M14" s="16">
        <v>143</v>
      </c>
      <c r="N14" s="16">
        <v>128</v>
      </c>
      <c r="O14" s="16">
        <v>118</v>
      </c>
      <c r="P14" s="16">
        <v>149</v>
      </c>
      <c r="Q14" s="16">
        <v>142</v>
      </c>
      <c r="R14" s="16">
        <v>139</v>
      </c>
      <c r="S14" s="16">
        <v>143</v>
      </c>
      <c r="T14" s="16">
        <v>141</v>
      </c>
      <c r="U14" s="16">
        <v>137</v>
      </c>
      <c r="V14" s="16">
        <v>152</v>
      </c>
      <c r="W14" s="16">
        <v>119</v>
      </c>
      <c r="X14" s="16">
        <v>135</v>
      </c>
      <c r="Y14" s="16">
        <v>141</v>
      </c>
      <c r="Z14" s="16">
        <v>138</v>
      </c>
      <c r="AA14" s="16">
        <v>111</v>
      </c>
      <c r="AB14" s="16">
        <v>135</v>
      </c>
      <c r="AC14" s="16">
        <v>148</v>
      </c>
      <c r="AD14" s="16">
        <v>81</v>
      </c>
      <c r="AE14" s="16">
        <v>93</v>
      </c>
      <c r="AF14" s="13">
        <f>SUM(E14:AE14)</f>
        <v>3468</v>
      </c>
    </row>
    <row r="15" spans="1:32" ht="12.75" customHeight="1" x14ac:dyDescent="0.3">
      <c r="A15" s="15"/>
      <c r="B15" s="82"/>
      <c r="C15" s="69"/>
      <c r="D15" s="16" t="s">
        <v>13</v>
      </c>
      <c r="E15" s="16">
        <v>138</v>
      </c>
      <c r="F15" s="16">
        <v>115</v>
      </c>
      <c r="G15" s="16">
        <v>132</v>
      </c>
      <c r="H15" s="16">
        <v>119</v>
      </c>
      <c r="I15" s="16">
        <v>112</v>
      </c>
      <c r="J15" s="16">
        <v>123</v>
      </c>
      <c r="K15" s="16">
        <v>118</v>
      </c>
      <c r="L15" s="16">
        <v>136</v>
      </c>
      <c r="M15" s="16">
        <v>141</v>
      </c>
      <c r="N15" s="16">
        <v>136</v>
      </c>
      <c r="O15" s="16">
        <v>104</v>
      </c>
      <c r="P15" s="16">
        <v>147</v>
      </c>
      <c r="Q15" s="16">
        <v>149</v>
      </c>
      <c r="R15" s="16">
        <v>155</v>
      </c>
      <c r="S15" s="16">
        <v>147</v>
      </c>
      <c r="T15" s="16">
        <v>125</v>
      </c>
      <c r="U15" s="16">
        <v>148</v>
      </c>
      <c r="V15" s="16">
        <v>145</v>
      </c>
      <c r="W15" s="16">
        <v>117</v>
      </c>
      <c r="X15" s="16">
        <v>157</v>
      </c>
      <c r="Y15" s="16">
        <v>150</v>
      </c>
      <c r="Z15" s="16">
        <v>143</v>
      </c>
      <c r="AA15" s="16">
        <v>117</v>
      </c>
      <c r="AB15" s="16">
        <v>127</v>
      </c>
      <c r="AC15" s="16">
        <v>141</v>
      </c>
      <c r="AD15" s="16">
        <v>81</v>
      </c>
      <c r="AE15" s="16">
        <v>76</v>
      </c>
      <c r="AF15" s="13">
        <f t="shared" ref="AF15:AF16" si="0">SUM(E15:AE15)</f>
        <v>3499</v>
      </c>
    </row>
    <row r="16" spans="1:32" ht="12.75" customHeight="1" x14ac:dyDescent="0.3">
      <c r="A16" s="18"/>
      <c r="B16" s="80"/>
      <c r="C16" s="70"/>
      <c r="D16" s="13" t="s">
        <v>14</v>
      </c>
      <c r="E16" s="13">
        <f t="shared" ref="E16:AE16" si="1">SUM(E14:E15)</f>
        <v>274</v>
      </c>
      <c r="F16" s="13">
        <f t="shared" si="1"/>
        <v>228</v>
      </c>
      <c r="G16" s="13">
        <f t="shared" si="1"/>
        <v>253</v>
      </c>
      <c r="H16" s="13">
        <f t="shared" si="1"/>
        <v>235</v>
      </c>
      <c r="I16" s="13">
        <f t="shared" si="1"/>
        <v>220</v>
      </c>
      <c r="J16" s="13">
        <f t="shared" si="1"/>
        <v>248</v>
      </c>
      <c r="K16" s="13">
        <f t="shared" si="1"/>
        <v>237</v>
      </c>
      <c r="L16" s="13">
        <f t="shared" si="1"/>
        <v>273</v>
      </c>
      <c r="M16" s="13">
        <f t="shared" si="1"/>
        <v>284</v>
      </c>
      <c r="N16" s="13">
        <f t="shared" si="1"/>
        <v>264</v>
      </c>
      <c r="O16" s="13">
        <f t="shared" si="1"/>
        <v>222</v>
      </c>
      <c r="P16" s="13">
        <f t="shared" si="1"/>
        <v>296</v>
      </c>
      <c r="Q16" s="13">
        <f t="shared" si="1"/>
        <v>291</v>
      </c>
      <c r="R16" s="13">
        <f t="shared" si="1"/>
        <v>294</v>
      </c>
      <c r="S16" s="13">
        <f t="shared" si="1"/>
        <v>290</v>
      </c>
      <c r="T16" s="13">
        <f t="shared" si="1"/>
        <v>266</v>
      </c>
      <c r="U16" s="13">
        <f t="shared" si="1"/>
        <v>285</v>
      </c>
      <c r="V16" s="13">
        <f t="shared" si="1"/>
        <v>297</v>
      </c>
      <c r="W16" s="13">
        <f t="shared" si="1"/>
        <v>236</v>
      </c>
      <c r="X16" s="13">
        <f t="shared" si="1"/>
        <v>292</v>
      </c>
      <c r="Y16" s="13">
        <f t="shared" si="1"/>
        <v>291</v>
      </c>
      <c r="Z16" s="13">
        <f t="shared" si="1"/>
        <v>281</v>
      </c>
      <c r="AA16" s="13">
        <f t="shared" si="1"/>
        <v>228</v>
      </c>
      <c r="AB16" s="13">
        <f t="shared" si="1"/>
        <v>262</v>
      </c>
      <c r="AC16" s="13">
        <f t="shared" si="1"/>
        <v>289</v>
      </c>
      <c r="AD16" s="13">
        <f t="shared" si="1"/>
        <v>162</v>
      </c>
      <c r="AE16" s="13">
        <f t="shared" si="1"/>
        <v>169</v>
      </c>
      <c r="AF16" s="13">
        <f t="shared" si="0"/>
        <v>6967</v>
      </c>
    </row>
    <row r="17" spans="1:32" ht="12.75" customHeight="1" x14ac:dyDescent="0.3">
      <c r="A17" s="62"/>
      <c r="B17" s="61"/>
      <c r="C17" s="61"/>
      <c r="D17" s="59"/>
      <c r="E17" s="16"/>
      <c r="F17" s="16"/>
      <c r="G17" s="16"/>
      <c r="H17" s="16"/>
      <c r="I17" s="16"/>
      <c r="J17" s="16"/>
      <c r="K17" s="16"/>
      <c r="L17" s="16"/>
      <c r="M17" s="16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1"/>
    </row>
    <row r="18" spans="1:32" ht="12.75" customHeight="1" x14ac:dyDescent="0.3">
      <c r="A18" s="20" t="s">
        <v>15</v>
      </c>
      <c r="B18" s="72" t="s">
        <v>16</v>
      </c>
      <c r="C18" s="61"/>
      <c r="D18" s="59"/>
      <c r="E18" s="16"/>
      <c r="F18" s="16"/>
      <c r="G18" s="16"/>
      <c r="H18" s="16"/>
      <c r="I18" s="16"/>
      <c r="J18" s="16"/>
      <c r="K18" s="16"/>
      <c r="L18" s="16"/>
      <c r="M18" s="16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1"/>
    </row>
    <row r="19" spans="1:32" ht="12.75" customHeight="1" x14ac:dyDescent="0.3">
      <c r="A19" s="20"/>
      <c r="B19" s="73" t="s">
        <v>17</v>
      </c>
      <c r="C19" s="74" t="s">
        <v>18</v>
      </c>
      <c r="D19" s="16" t="s">
        <v>12</v>
      </c>
      <c r="E19" s="16">
        <v>107</v>
      </c>
      <c r="F19" s="16">
        <v>101</v>
      </c>
      <c r="G19" s="16">
        <v>89</v>
      </c>
      <c r="H19" s="16">
        <v>85</v>
      </c>
      <c r="I19" s="16">
        <v>87</v>
      </c>
      <c r="J19" s="16">
        <v>100</v>
      </c>
      <c r="K19" s="16">
        <v>94</v>
      </c>
      <c r="L19" s="16">
        <v>101</v>
      </c>
      <c r="M19" s="16">
        <v>115</v>
      </c>
      <c r="N19" s="16">
        <v>101</v>
      </c>
      <c r="O19" s="16">
        <v>96</v>
      </c>
      <c r="P19" s="16">
        <v>119</v>
      </c>
      <c r="Q19" s="16">
        <v>105</v>
      </c>
      <c r="R19" s="16">
        <v>111</v>
      </c>
      <c r="S19" s="16">
        <v>113</v>
      </c>
      <c r="T19" s="16">
        <v>104</v>
      </c>
      <c r="U19" s="16">
        <v>101</v>
      </c>
      <c r="V19" s="16">
        <v>109</v>
      </c>
      <c r="W19" s="16">
        <v>96</v>
      </c>
      <c r="X19" s="16">
        <v>105</v>
      </c>
      <c r="Y19" s="16">
        <v>104</v>
      </c>
      <c r="Z19" s="16">
        <v>106</v>
      </c>
      <c r="AA19" s="16">
        <v>85</v>
      </c>
      <c r="AB19" s="16">
        <v>106</v>
      </c>
      <c r="AC19" s="16">
        <v>118</v>
      </c>
      <c r="AD19" s="16">
        <v>71</v>
      </c>
      <c r="AE19" s="16">
        <v>68</v>
      </c>
      <c r="AF19" s="13">
        <f t="shared" ref="AF19:AF30" si="2">SUM(E19:AE19)</f>
        <v>2697</v>
      </c>
    </row>
    <row r="20" spans="1:32" ht="12.75" customHeight="1" x14ac:dyDescent="0.3">
      <c r="A20" s="21"/>
      <c r="B20" s="69"/>
      <c r="C20" s="75"/>
      <c r="D20" s="16" t="s">
        <v>13</v>
      </c>
      <c r="E20" s="16">
        <v>109</v>
      </c>
      <c r="F20" s="16">
        <v>93</v>
      </c>
      <c r="G20" s="16">
        <v>104</v>
      </c>
      <c r="H20" s="16">
        <v>96</v>
      </c>
      <c r="I20" s="16">
        <v>91</v>
      </c>
      <c r="J20" s="16">
        <v>100</v>
      </c>
      <c r="K20" s="16">
        <v>81</v>
      </c>
      <c r="L20" s="16">
        <v>105</v>
      </c>
      <c r="M20" s="16">
        <v>111</v>
      </c>
      <c r="N20" s="16">
        <v>101</v>
      </c>
      <c r="O20" s="16">
        <v>88</v>
      </c>
      <c r="P20" s="16">
        <v>120</v>
      </c>
      <c r="Q20" s="16">
        <v>121</v>
      </c>
      <c r="R20" s="16">
        <v>136</v>
      </c>
      <c r="S20" s="16">
        <v>120</v>
      </c>
      <c r="T20" s="16">
        <v>94</v>
      </c>
      <c r="U20" s="16">
        <v>115</v>
      </c>
      <c r="V20" s="16">
        <v>112</v>
      </c>
      <c r="W20" s="16">
        <v>96</v>
      </c>
      <c r="X20" s="16">
        <v>114</v>
      </c>
      <c r="Y20" s="16">
        <v>119</v>
      </c>
      <c r="Z20" s="16">
        <v>117</v>
      </c>
      <c r="AA20" s="16">
        <v>100</v>
      </c>
      <c r="AB20" s="16">
        <v>105</v>
      </c>
      <c r="AC20" s="16">
        <v>108</v>
      </c>
      <c r="AD20" s="16">
        <v>67</v>
      </c>
      <c r="AE20" s="16">
        <v>65</v>
      </c>
      <c r="AF20" s="13">
        <f t="shared" si="2"/>
        <v>2788</v>
      </c>
    </row>
    <row r="21" spans="1:32" ht="12.75" customHeight="1" x14ac:dyDescent="0.3">
      <c r="A21" s="22"/>
      <c r="B21" s="70"/>
      <c r="C21" s="76"/>
      <c r="D21" s="13" t="s">
        <v>14</v>
      </c>
      <c r="E21" s="13">
        <f t="shared" ref="E21:AE21" si="3">SUM(E19:E20)</f>
        <v>216</v>
      </c>
      <c r="F21" s="13">
        <f t="shared" si="3"/>
        <v>194</v>
      </c>
      <c r="G21" s="13">
        <f t="shared" si="3"/>
        <v>193</v>
      </c>
      <c r="H21" s="13">
        <f t="shared" si="3"/>
        <v>181</v>
      </c>
      <c r="I21" s="13">
        <f t="shared" si="3"/>
        <v>178</v>
      </c>
      <c r="J21" s="13">
        <f t="shared" si="3"/>
        <v>200</v>
      </c>
      <c r="K21" s="13">
        <f t="shared" si="3"/>
        <v>175</v>
      </c>
      <c r="L21" s="13">
        <f t="shared" si="3"/>
        <v>206</v>
      </c>
      <c r="M21" s="13">
        <f t="shared" si="3"/>
        <v>226</v>
      </c>
      <c r="N21" s="13">
        <f t="shared" si="3"/>
        <v>202</v>
      </c>
      <c r="O21" s="13">
        <f t="shared" si="3"/>
        <v>184</v>
      </c>
      <c r="P21" s="13">
        <f t="shared" si="3"/>
        <v>239</v>
      </c>
      <c r="Q21" s="13">
        <f t="shared" si="3"/>
        <v>226</v>
      </c>
      <c r="R21" s="13">
        <f t="shared" si="3"/>
        <v>247</v>
      </c>
      <c r="S21" s="13">
        <f t="shared" si="3"/>
        <v>233</v>
      </c>
      <c r="T21" s="13">
        <f t="shared" si="3"/>
        <v>198</v>
      </c>
      <c r="U21" s="13">
        <f t="shared" si="3"/>
        <v>216</v>
      </c>
      <c r="V21" s="13">
        <f t="shared" si="3"/>
        <v>221</v>
      </c>
      <c r="W21" s="13">
        <f t="shared" si="3"/>
        <v>192</v>
      </c>
      <c r="X21" s="13">
        <f t="shared" si="3"/>
        <v>219</v>
      </c>
      <c r="Y21" s="13">
        <f t="shared" si="3"/>
        <v>223</v>
      </c>
      <c r="Z21" s="13">
        <f t="shared" si="3"/>
        <v>223</v>
      </c>
      <c r="AA21" s="13">
        <f t="shared" si="3"/>
        <v>185</v>
      </c>
      <c r="AB21" s="13">
        <f t="shared" si="3"/>
        <v>211</v>
      </c>
      <c r="AC21" s="13">
        <f t="shared" si="3"/>
        <v>226</v>
      </c>
      <c r="AD21" s="13">
        <f t="shared" si="3"/>
        <v>138</v>
      </c>
      <c r="AE21" s="13">
        <f t="shared" si="3"/>
        <v>133</v>
      </c>
      <c r="AF21" s="13">
        <f t="shared" si="2"/>
        <v>5485</v>
      </c>
    </row>
    <row r="22" spans="1:32" ht="12.75" customHeight="1" x14ac:dyDescent="0.3">
      <c r="A22" s="21"/>
      <c r="B22" s="73" t="s">
        <v>19</v>
      </c>
      <c r="C22" s="74" t="s">
        <v>20</v>
      </c>
      <c r="D22" s="16" t="s">
        <v>12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1</v>
      </c>
      <c r="AE22" s="16">
        <v>0</v>
      </c>
      <c r="AF22" s="13">
        <f t="shared" si="2"/>
        <v>1</v>
      </c>
    </row>
    <row r="23" spans="1:32" ht="12.75" customHeight="1" x14ac:dyDescent="0.3">
      <c r="A23" s="21"/>
      <c r="B23" s="69"/>
      <c r="C23" s="75"/>
      <c r="D23" s="16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3">
        <f t="shared" si="2"/>
        <v>0</v>
      </c>
    </row>
    <row r="24" spans="1:32" ht="12.75" customHeight="1" x14ac:dyDescent="0.3">
      <c r="A24" s="22"/>
      <c r="B24" s="70"/>
      <c r="C24" s="76"/>
      <c r="D24" s="13" t="s">
        <v>14</v>
      </c>
      <c r="E24" s="13">
        <f t="shared" ref="E24:AE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1</v>
      </c>
      <c r="AE24" s="13">
        <f t="shared" si="4"/>
        <v>0</v>
      </c>
      <c r="AF24" s="13">
        <f t="shared" si="2"/>
        <v>1</v>
      </c>
    </row>
    <row r="25" spans="1:32" ht="12.75" customHeight="1" x14ac:dyDescent="0.3">
      <c r="A25" s="21"/>
      <c r="B25" s="73" t="s">
        <v>21</v>
      </c>
      <c r="C25" s="74" t="s">
        <v>22</v>
      </c>
      <c r="D25" s="16" t="s">
        <v>12</v>
      </c>
      <c r="E25" s="16">
        <v>0</v>
      </c>
      <c r="F25" s="16">
        <v>1</v>
      </c>
      <c r="G25" s="16">
        <v>1</v>
      </c>
      <c r="H25" s="16">
        <v>0</v>
      </c>
      <c r="I25" s="16">
        <v>3</v>
      </c>
      <c r="J25" s="16">
        <v>4</v>
      </c>
      <c r="K25" s="16">
        <v>1</v>
      </c>
      <c r="L25" s="16">
        <v>0</v>
      </c>
      <c r="M25" s="16">
        <v>1</v>
      </c>
      <c r="N25" s="16">
        <v>0</v>
      </c>
      <c r="O25" s="16">
        <v>2</v>
      </c>
      <c r="P25" s="16">
        <v>0</v>
      </c>
      <c r="Q25" s="16">
        <v>1</v>
      </c>
      <c r="R25" s="16">
        <v>3</v>
      </c>
      <c r="S25" s="16">
        <v>3</v>
      </c>
      <c r="T25" s="16">
        <v>1</v>
      </c>
      <c r="U25" s="16">
        <v>0</v>
      </c>
      <c r="V25" s="16">
        <v>0</v>
      </c>
      <c r="W25" s="16">
        <v>2</v>
      </c>
      <c r="X25" s="16">
        <v>1</v>
      </c>
      <c r="Y25" s="16">
        <v>0</v>
      </c>
      <c r="Z25" s="16">
        <v>2</v>
      </c>
      <c r="AA25" s="16">
        <v>4</v>
      </c>
      <c r="AB25" s="16">
        <v>0</v>
      </c>
      <c r="AC25" s="16">
        <v>3</v>
      </c>
      <c r="AD25" s="16">
        <v>1</v>
      </c>
      <c r="AE25" s="16">
        <v>3</v>
      </c>
      <c r="AF25" s="13">
        <f t="shared" si="2"/>
        <v>37</v>
      </c>
    </row>
    <row r="26" spans="1:32" ht="12.75" customHeight="1" x14ac:dyDescent="0.3">
      <c r="A26" s="21"/>
      <c r="B26" s="69"/>
      <c r="C26" s="75"/>
      <c r="D26" s="16" t="s">
        <v>13</v>
      </c>
      <c r="E26" s="16">
        <v>0</v>
      </c>
      <c r="F26" s="16">
        <v>3</v>
      </c>
      <c r="G26" s="16">
        <v>2</v>
      </c>
      <c r="H26" s="16">
        <v>4</v>
      </c>
      <c r="I26" s="16">
        <v>3</v>
      </c>
      <c r="J26" s="16">
        <v>2</v>
      </c>
      <c r="K26" s="16">
        <v>2</v>
      </c>
      <c r="L26" s="16">
        <v>2</v>
      </c>
      <c r="M26" s="16">
        <v>3</v>
      </c>
      <c r="N26" s="16">
        <v>1</v>
      </c>
      <c r="O26" s="16">
        <v>0</v>
      </c>
      <c r="P26" s="16">
        <v>1</v>
      </c>
      <c r="Q26" s="16">
        <v>0</v>
      </c>
      <c r="R26" s="16">
        <v>2</v>
      </c>
      <c r="S26" s="16">
        <v>0</v>
      </c>
      <c r="T26" s="16">
        <v>2</v>
      </c>
      <c r="U26" s="16">
        <v>1</v>
      </c>
      <c r="V26" s="16">
        <v>0</v>
      </c>
      <c r="W26" s="16">
        <v>2</v>
      </c>
      <c r="X26" s="16">
        <v>1</v>
      </c>
      <c r="Y26" s="16">
        <v>0</v>
      </c>
      <c r="Z26" s="16">
        <v>0</v>
      </c>
      <c r="AA26" s="16">
        <v>0</v>
      </c>
      <c r="AB26" s="16">
        <v>0</v>
      </c>
      <c r="AC26" s="16">
        <v>2</v>
      </c>
      <c r="AD26" s="16">
        <v>0</v>
      </c>
      <c r="AE26" s="16">
        <v>4</v>
      </c>
      <c r="AF26" s="13">
        <f t="shared" si="2"/>
        <v>37</v>
      </c>
    </row>
    <row r="27" spans="1:32" ht="12.75" customHeight="1" x14ac:dyDescent="0.3">
      <c r="A27" s="22"/>
      <c r="B27" s="70"/>
      <c r="C27" s="76"/>
      <c r="D27" s="13" t="s">
        <v>14</v>
      </c>
      <c r="E27" s="13">
        <f t="shared" ref="E27:AE27" si="5">SUM(E25:E26)</f>
        <v>0</v>
      </c>
      <c r="F27" s="13">
        <f t="shared" si="5"/>
        <v>4</v>
      </c>
      <c r="G27" s="13">
        <f t="shared" si="5"/>
        <v>3</v>
      </c>
      <c r="H27" s="13">
        <f t="shared" si="5"/>
        <v>4</v>
      </c>
      <c r="I27" s="13">
        <f t="shared" si="5"/>
        <v>6</v>
      </c>
      <c r="J27" s="13">
        <f t="shared" si="5"/>
        <v>6</v>
      </c>
      <c r="K27" s="13">
        <f t="shared" si="5"/>
        <v>3</v>
      </c>
      <c r="L27" s="13">
        <f t="shared" si="5"/>
        <v>2</v>
      </c>
      <c r="M27" s="13">
        <f t="shared" si="5"/>
        <v>4</v>
      </c>
      <c r="N27" s="13">
        <f t="shared" si="5"/>
        <v>1</v>
      </c>
      <c r="O27" s="13">
        <f t="shared" si="5"/>
        <v>2</v>
      </c>
      <c r="P27" s="13">
        <f t="shared" si="5"/>
        <v>1</v>
      </c>
      <c r="Q27" s="13">
        <f t="shared" si="5"/>
        <v>1</v>
      </c>
      <c r="R27" s="13">
        <f t="shared" si="5"/>
        <v>5</v>
      </c>
      <c r="S27" s="13">
        <f t="shared" si="5"/>
        <v>3</v>
      </c>
      <c r="T27" s="13">
        <f t="shared" si="5"/>
        <v>3</v>
      </c>
      <c r="U27" s="13">
        <f t="shared" si="5"/>
        <v>1</v>
      </c>
      <c r="V27" s="13">
        <f t="shared" si="5"/>
        <v>0</v>
      </c>
      <c r="W27" s="13">
        <f t="shared" si="5"/>
        <v>4</v>
      </c>
      <c r="X27" s="13">
        <f t="shared" si="5"/>
        <v>2</v>
      </c>
      <c r="Y27" s="13">
        <f t="shared" si="5"/>
        <v>0</v>
      </c>
      <c r="Z27" s="13">
        <f t="shared" si="5"/>
        <v>2</v>
      </c>
      <c r="AA27" s="13">
        <f t="shared" si="5"/>
        <v>4</v>
      </c>
      <c r="AB27" s="13">
        <f t="shared" si="5"/>
        <v>0</v>
      </c>
      <c r="AC27" s="13">
        <f t="shared" si="5"/>
        <v>5</v>
      </c>
      <c r="AD27" s="13">
        <f t="shared" si="5"/>
        <v>1</v>
      </c>
      <c r="AE27" s="13">
        <f t="shared" si="5"/>
        <v>7</v>
      </c>
      <c r="AF27" s="13">
        <f t="shared" si="2"/>
        <v>74</v>
      </c>
    </row>
    <row r="28" spans="1:32" ht="12.75" customHeight="1" x14ac:dyDescent="0.3">
      <c r="A28" s="22"/>
      <c r="B28" s="77" t="s">
        <v>23</v>
      </c>
      <c r="C28" s="78" t="s">
        <v>24</v>
      </c>
      <c r="D28" s="13" t="s">
        <v>12</v>
      </c>
      <c r="E28" s="13">
        <f t="shared" ref="E28:AE28" si="6">SUM(E19,E22,E25)</f>
        <v>107</v>
      </c>
      <c r="F28" s="13">
        <f t="shared" si="6"/>
        <v>102</v>
      </c>
      <c r="G28" s="13">
        <f t="shared" si="6"/>
        <v>90</v>
      </c>
      <c r="H28" s="13">
        <f t="shared" si="6"/>
        <v>85</v>
      </c>
      <c r="I28" s="13">
        <f t="shared" si="6"/>
        <v>90</v>
      </c>
      <c r="J28" s="13">
        <f t="shared" si="6"/>
        <v>104</v>
      </c>
      <c r="K28" s="13">
        <f t="shared" si="6"/>
        <v>95</v>
      </c>
      <c r="L28" s="13">
        <f t="shared" si="6"/>
        <v>101</v>
      </c>
      <c r="M28" s="13">
        <f t="shared" si="6"/>
        <v>116</v>
      </c>
      <c r="N28" s="13">
        <f t="shared" si="6"/>
        <v>101</v>
      </c>
      <c r="O28" s="13">
        <f t="shared" si="6"/>
        <v>98</v>
      </c>
      <c r="P28" s="13">
        <f t="shared" si="6"/>
        <v>119</v>
      </c>
      <c r="Q28" s="13">
        <f t="shared" si="6"/>
        <v>106</v>
      </c>
      <c r="R28" s="13">
        <f t="shared" si="6"/>
        <v>114</v>
      </c>
      <c r="S28" s="13">
        <f t="shared" si="6"/>
        <v>116</v>
      </c>
      <c r="T28" s="13">
        <f t="shared" si="6"/>
        <v>105</v>
      </c>
      <c r="U28" s="13">
        <f t="shared" si="6"/>
        <v>101</v>
      </c>
      <c r="V28" s="13">
        <f t="shared" si="6"/>
        <v>109</v>
      </c>
      <c r="W28" s="13">
        <f t="shared" si="6"/>
        <v>98</v>
      </c>
      <c r="X28" s="13">
        <f t="shared" si="6"/>
        <v>106</v>
      </c>
      <c r="Y28" s="13">
        <f t="shared" si="6"/>
        <v>104</v>
      </c>
      <c r="Z28" s="13">
        <f t="shared" si="6"/>
        <v>108</v>
      </c>
      <c r="AA28" s="13">
        <f t="shared" si="6"/>
        <v>89</v>
      </c>
      <c r="AB28" s="13">
        <f t="shared" si="6"/>
        <v>106</v>
      </c>
      <c r="AC28" s="13">
        <f t="shared" si="6"/>
        <v>121</v>
      </c>
      <c r="AD28" s="13">
        <f t="shared" si="6"/>
        <v>73</v>
      </c>
      <c r="AE28" s="13">
        <f t="shared" si="6"/>
        <v>71</v>
      </c>
      <c r="AF28" s="13">
        <f t="shared" si="2"/>
        <v>2735</v>
      </c>
    </row>
    <row r="29" spans="1:32" ht="12.75" customHeight="1" x14ac:dyDescent="0.3">
      <c r="A29" s="22"/>
      <c r="B29" s="69"/>
      <c r="C29" s="75"/>
      <c r="D29" s="13" t="s">
        <v>13</v>
      </c>
      <c r="E29" s="13">
        <f t="shared" ref="E29:AE29" si="7">SUM(E20,E23,E26)</f>
        <v>109</v>
      </c>
      <c r="F29" s="13">
        <f t="shared" si="7"/>
        <v>96</v>
      </c>
      <c r="G29" s="13">
        <f t="shared" si="7"/>
        <v>106</v>
      </c>
      <c r="H29" s="13">
        <f t="shared" si="7"/>
        <v>100</v>
      </c>
      <c r="I29" s="13">
        <f t="shared" si="7"/>
        <v>94</v>
      </c>
      <c r="J29" s="13">
        <f t="shared" si="7"/>
        <v>102</v>
      </c>
      <c r="K29" s="13">
        <f t="shared" si="7"/>
        <v>83</v>
      </c>
      <c r="L29" s="13">
        <f t="shared" si="7"/>
        <v>107</v>
      </c>
      <c r="M29" s="13">
        <f t="shared" si="7"/>
        <v>114</v>
      </c>
      <c r="N29" s="13">
        <f t="shared" si="7"/>
        <v>102</v>
      </c>
      <c r="O29" s="13">
        <f t="shared" si="7"/>
        <v>88</v>
      </c>
      <c r="P29" s="13">
        <f t="shared" si="7"/>
        <v>121</v>
      </c>
      <c r="Q29" s="13">
        <f t="shared" si="7"/>
        <v>121</v>
      </c>
      <c r="R29" s="13">
        <f t="shared" si="7"/>
        <v>138</v>
      </c>
      <c r="S29" s="13">
        <f t="shared" si="7"/>
        <v>120</v>
      </c>
      <c r="T29" s="13">
        <f t="shared" si="7"/>
        <v>96</v>
      </c>
      <c r="U29" s="13">
        <f t="shared" si="7"/>
        <v>116</v>
      </c>
      <c r="V29" s="13">
        <f t="shared" si="7"/>
        <v>112</v>
      </c>
      <c r="W29" s="13">
        <f t="shared" si="7"/>
        <v>98</v>
      </c>
      <c r="X29" s="13">
        <f t="shared" si="7"/>
        <v>115</v>
      </c>
      <c r="Y29" s="13">
        <f t="shared" si="7"/>
        <v>119</v>
      </c>
      <c r="Z29" s="13">
        <f t="shared" si="7"/>
        <v>117</v>
      </c>
      <c r="AA29" s="13">
        <f t="shared" si="7"/>
        <v>100</v>
      </c>
      <c r="AB29" s="13">
        <f t="shared" si="7"/>
        <v>105</v>
      </c>
      <c r="AC29" s="13">
        <f t="shared" si="7"/>
        <v>110</v>
      </c>
      <c r="AD29" s="13">
        <f t="shared" si="7"/>
        <v>67</v>
      </c>
      <c r="AE29" s="13">
        <f t="shared" si="7"/>
        <v>69</v>
      </c>
      <c r="AF29" s="13">
        <f t="shared" si="2"/>
        <v>2825</v>
      </c>
    </row>
    <row r="30" spans="1:32" ht="12.75" customHeight="1" x14ac:dyDescent="0.3">
      <c r="A30" s="22"/>
      <c r="B30" s="70"/>
      <c r="C30" s="76"/>
      <c r="D30" s="13" t="s">
        <v>14</v>
      </c>
      <c r="E30" s="13">
        <f t="shared" ref="E30:AE30" si="8">SUM(E28:E29)</f>
        <v>216</v>
      </c>
      <c r="F30" s="13">
        <f t="shared" si="8"/>
        <v>198</v>
      </c>
      <c r="G30" s="13">
        <f t="shared" si="8"/>
        <v>196</v>
      </c>
      <c r="H30" s="13">
        <f t="shared" si="8"/>
        <v>185</v>
      </c>
      <c r="I30" s="13">
        <f t="shared" si="8"/>
        <v>184</v>
      </c>
      <c r="J30" s="13">
        <f t="shared" si="8"/>
        <v>206</v>
      </c>
      <c r="K30" s="13">
        <f t="shared" si="8"/>
        <v>178</v>
      </c>
      <c r="L30" s="13">
        <f t="shared" si="8"/>
        <v>208</v>
      </c>
      <c r="M30" s="13">
        <f t="shared" si="8"/>
        <v>230</v>
      </c>
      <c r="N30" s="13">
        <f t="shared" si="8"/>
        <v>203</v>
      </c>
      <c r="O30" s="13">
        <f t="shared" si="8"/>
        <v>186</v>
      </c>
      <c r="P30" s="13">
        <f t="shared" si="8"/>
        <v>240</v>
      </c>
      <c r="Q30" s="13">
        <f t="shared" si="8"/>
        <v>227</v>
      </c>
      <c r="R30" s="13">
        <f t="shared" si="8"/>
        <v>252</v>
      </c>
      <c r="S30" s="13">
        <f t="shared" si="8"/>
        <v>236</v>
      </c>
      <c r="T30" s="13">
        <f t="shared" si="8"/>
        <v>201</v>
      </c>
      <c r="U30" s="13">
        <f t="shared" si="8"/>
        <v>217</v>
      </c>
      <c r="V30" s="13">
        <f t="shared" si="8"/>
        <v>221</v>
      </c>
      <c r="W30" s="13">
        <f t="shared" si="8"/>
        <v>196</v>
      </c>
      <c r="X30" s="13">
        <f t="shared" si="8"/>
        <v>221</v>
      </c>
      <c r="Y30" s="13">
        <f t="shared" si="8"/>
        <v>223</v>
      </c>
      <c r="Z30" s="13">
        <f t="shared" si="8"/>
        <v>225</v>
      </c>
      <c r="AA30" s="13">
        <f t="shared" si="8"/>
        <v>189</v>
      </c>
      <c r="AB30" s="13">
        <f t="shared" si="8"/>
        <v>211</v>
      </c>
      <c r="AC30" s="13">
        <f t="shared" si="8"/>
        <v>231</v>
      </c>
      <c r="AD30" s="13">
        <f t="shared" si="8"/>
        <v>140</v>
      </c>
      <c r="AE30" s="13">
        <f t="shared" si="8"/>
        <v>140</v>
      </c>
      <c r="AF30" s="13">
        <f t="shared" si="2"/>
        <v>5560</v>
      </c>
    </row>
    <row r="31" spans="1:32" ht="12.75" customHeight="1" x14ac:dyDescent="0.3">
      <c r="A31" s="62"/>
      <c r="B31" s="61"/>
      <c r="C31" s="61"/>
      <c r="D31" s="59"/>
      <c r="E31" s="16"/>
      <c r="F31" s="16"/>
      <c r="G31" s="16"/>
      <c r="H31" s="16"/>
      <c r="I31" s="16"/>
      <c r="J31" s="16"/>
      <c r="K31" s="16"/>
      <c r="L31" s="16"/>
      <c r="M31" s="16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1"/>
    </row>
    <row r="32" spans="1:32" ht="12.75" customHeight="1" x14ac:dyDescent="0.3">
      <c r="A32" s="25" t="s">
        <v>25</v>
      </c>
      <c r="B32" s="65" t="s">
        <v>26</v>
      </c>
      <c r="C32" s="61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1"/>
    </row>
    <row r="33" spans="1:32" ht="12.75" customHeight="1" x14ac:dyDescent="0.3">
      <c r="A33" s="16">
        <v>1</v>
      </c>
      <c r="B33" s="72" t="s">
        <v>27</v>
      </c>
      <c r="C33" s="61"/>
      <c r="D33" s="59"/>
      <c r="E33" s="16">
        <v>280</v>
      </c>
      <c r="F33" s="16">
        <v>233</v>
      </c>
      <c r="G33" s="16">
        <v>259</v>
      </c>
      <c r="H33" s="16">
        <v>240</v>
      </c>
      <c r="I33" s="16">
        <v>225</v>
      </c>
      <c r="J33" s="16">
        <v>253</v>
      </c>
      <c r="K33" s="16">
        <v>242</v>
      </c>
      <c r="L33" s="16">
        <v>279</v>
      </c>
      <c r="M33" s="16">
        <v>290</v>
      </c>
      <c r="N33" s="16">
        <v>271</v>
      </c>
      <c r="O33" s="16">
        <v>227</v>
      </c>
      <c r="P33" s="16">
        <v>302</v>
      </c>
      <c r="Q33" s="16">
        <v>297</v>
      </c>
      <c r="R33" s="16">
        <v>300</v>
      </c>
      <c r="S33" s="16">
        <v>296</v>
      </c>
      <c r="T33" s="16">
        <v>272</v>
      </c>
      <c r="U33" s="16">
        <v>292</v>
      </c>
      <c r="V33" s="16">
        <v>303</v>
      </c>
      <c r="W33" s="16">
        <v>241</v>
      </c>
      <c r="X33" s="16">
        <v>298</v>
      </c>
      <c r="Y33" s="16">
        <v>297</v>
      </c>
      <c r="Z33" s="16">
        <v>287</v>
      </c>
      <c r="AA33" s="16">
        <v>233</v>
      </c>
      <c r="AB33" s="16">
        <v>268</v>
      </c>
      <c r="AC33" s="16">
        <v>295</v>
      </c>
      <c r="AD33" s="16">
        <v>166</v>
      </c>
      <c r="AE33" s="16">
        <v>173</v>
      </c>
      <c r="AF33" s="13">
        <f t="shared" ref="AF33:AF36" si="9">SUM(E33:AE33)</f>
        <v>7119</v>
      </c>
    </row>
    <row r="34" spans="1:32" ht="12.75" customHeight="1" x14ac:dyDescent="0.3">
      <c r="A34" s="16">
        <v>2</v>
      </c>
      <c r="B34" s="72" t="s">
        <v>28</v>
      </c>
      <c r="C34" s="61"/>
      <c r="D34" s="59"/>
      <c r="E34" s="13">
        <v>216</v>
      </c>
      <c r="F34" s="13">
        <v>198</v>
      </c>
      <c r="G34" s="13">
        <v>196</v>
      </c>
      <c r="H34" s="13">
        <v>185</v>
      </c>
      <c r="I34" s="13">
        <v>184</v>
      </c>
      <c r="J34" s="13">
        <v>206</v>
      </c>
      <c r="K34" s="13">
        <v>178</v>
      </c>
      <c r="L34" s="13">
        <v>208</v>
      </c>
      <c r="M34" s="13">
        <v>230</v>
      </c>
      <c r="N34" s="13">
        <v>203</v>
      </c>
      <c r="O34" s="13">
        <v>186</v>
      </c>
      <c r="P34" s="13">
        <v>240</v>
      </c>
      <c r="Q34" s="13">
        <v>227</v>
      </c>
      <c r="R34" s="13">
        <v>252</v>
      </c>
      <c r="S34" s="13">
        <v>236</v>
      </c>
      <c r="T34" s="13">
        <v>201</v>
      </c>
      <c r="U34" s="13">
        <v>217</v>
      </c>
      <c r="V34" s="13">
        <v>221</v>
      </c>
      <c r="W34" s="13">
        <v>196</v>
      </c>
      <c r="X34" s="13">
        <v>221</v>
      </c>
      <c r="Y34" s="13">
        <v>223</v>
      </c>
      <c r="Z34" s="13">
        <v>225</v>
      </c>
      <c r="AA34" s="13">
        <v>189</v>
      </c>
      <c r="AB34" s="13">
        <v>211</v>
      </c>
      <c r="AC34" s="13">
        <v>231</v>
      </c>
      <c r="AD34" s="13">
        <v>140</v>
      </c>
      <c r="AE34" s="13">
        <v>140</v>
      </c>
      <c r="AF34" s="13">
        <f t="shared" si="9"/>
        <v>5560</v>
      </c>
    </row>
    <row r="35" spans="1:32" ht="12.75" customHeight="1" x14ac:dyDescent="0.3">
      <c r="A35" s="16">
        <v>3</v>
      </c>
      <c r="B35" s="72" t="s">
        <v>29</v>
      </c>
      <c r="C35" s="61"/>
      <c r="D35" s="59"/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1</v>
      </c>
      <c r="K35" s="16">
        <v>1</v>
      </c>
      <c r="L35" s="16">
        <v>0</v>
      </c>
      <c r="M35" s="16">
        <v>0</v>
      </c>
      <c r="N35" s="16">
        <v>0</v>
      </c>
      <c r="O35" s="16">
        <v>0</v>
      </c>
      <c r="P35" s="16">
        <v>6</v>
      </c>
      <c r="Q35" s="16">
        <v>0</v>
      </c>
      <c r="R35" s="16">
        <v>0</v>
      </c>
      <c r="S35" s="16">
        <v>1</v>
      </c>
      <c r="T35" s="16">
        <v>0</v>
      </c>
      <c r="U35" s="16">
        <v>0</v>
      </c>
      <c r="V35" s="16">
        <v>0</v>
      </c>
      <c r="W35" s="16">
        <v>1</v>
      </c>
      <c r="X35" s="16">
        <v>0</v>
      </c>
      <c r="Y35" s="16">
        <v>1</v>
      </c>
      <c r="Z35" s="16">
        <v>0</v>
      </c>
      <c r="AA35" s="16">
        <v>0</v>
      </c>
      <c r="AB35" s="16">
        <v>0</v>
      </c>
      <c r="AC35" s="16">
        <v>1</v>
      </c>
      <c r="AD35" s="16">
        <v>0</v>
      </c>
      <c r="AE35" s="16">
        <v>0</v>
      </c>
      <c r="AF35" s="13">
        <f t="shared" si="9"/>
        <v>12</v>
      </c>
    </row>
    <row r="36" spans="1:32" ht="12.75" customHeight="1" x14ac:dyDescent="0.3">
      <c r="A36" s="16">
        <v>4</v>
      </c>
      <c r="B36" s="72" t="s">
        <v>30</v>
      </c>
      <c r="C36" s="61"/>
      <c r="D36" s="59"/>
      <c r="E36" s="13">
        <f t="shared" ref="E36:AE36" si="10">E33-(E34+E35)</f>
        <v>64</v>
      </c>
      <c r="F36" s="13">
        <f t="shared" si="10"/>
        <v>35</v>
      </c>
      <c r="G36" s="13">
        <f t="shared" si="10"/>
        <v>63</v>
      </c>
      <c r="H36" s="13">
        <f t="shared" si="10"/>
        <v>55</v>
      </c>
      <c r="I36" s="13">
        <f t="shared" si="10"/>
        <v>41</v>
      </c>
      <c r="J36" s="13">
        <f t="shared" si="10"/>
        <v>46</v>
      </c>
      <c r="K36" s="13">
        <f t="shared" si="10"/>
        <v>63</v>
      </c>
      <c r="L36" s="13">
        <f t="shared" si="10"/>
        <v>71</v>
      </c>
      <c r="M36" s="13">
        <f t="shared" si="10"/>
        <v>60</v>
      </c>
      <c r="N36" s="13">
        <f t="shared" si="10"/>
        <v>68</v>
      </c>
      <c r="O36" s="13">
        <f t="shared" si="10"/>
        <v>41</v>
      </c>
      <c r="P36" s="13">
        <f t="shared" si="10"/>
        <v>56</v>
      </c>
      <c r="Q36" s="13">
        <f t="shared" si="10"/>
        <v>70</v>
      </c>
      <c r="R36" s="13">
        <f t="shared" si="10"/>
        <v>48</v>
      </c>
      <c r="S36" s="13">
        <f t="shared" si="10"/>
        <v>59</v>
      </c>
      <c r="T36" s="13">
        <f t="shared" si="10"/>
        <v>71</v>
      </c>
      <c r="U36" s="13">
        <f t="shared" si="10"/>
        <v>75</v>
      </c>
      <c r="V36" s="13">
        <f t="shared" si="10"/>
        <v>82</v>
      </c>
      <c r="W36" s="13">
        <f t="shared" si="10"/>
        <v>44</v>
      </c>
      <c r="X36" s="13">
        <f t="shared" si="10"/>
        <v>77</v>
      </c>
      <c r="Y36" s="13">
        <f t="shared" si="10"/>
        <v>73</v>
      </c>
      <c r="Z36" s="13">
        <f t="shared" si="10"/>
        <v>62</v>
      </c>
      <c r="AA36" s="13">
        <f t="shared" si="10"/>
        <v>44</v>
      </c>
      <c r="AB36" s="13">
        <f t="shared" si="10"/>
        <v>57</v>
      </c>
      <c r="AC36" s="13">
        <f t="shared" si="10"/>
        <v>63</v>
      </c>
      <c r="AD36" s="13">
        <f t="shared" si="10"/>
        <v>26</v>
      </c>
      <c r="AE36" s="13">
        <f t="shared" si="10"/>
        <v>33</v>
      </c>
      <c r="AF36" s="13">
        <f t="shared" si="9"/>
        <v>1547</v>
      </c>
    </row>
    <row r="37" spans="1:32" ht="12.75" customHeight="1" x14ac:dyDescent="0.3">
      <c r="A37" s="62"/>
      <c r="B37" s="61"/>
      <c r="C37" s="61"/>
      <c r="D37" s="61"/>
      <c r="E37" s="62"/>
      <c r="F37" s="61"/>
      <c r="G37" s="61"/>
      <c r="H37" s="61"/>
      <c r="I37" s="59"/>
      <c r="J37" s="16"/>
      <c r="K37" s="16"/>
      <c r="L37" s="16"/>
      <c r="M37" s="16"/>
      <c r="N37" s="50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1"/>
    </row>
    <row r="38" spans="1:32" ht="12.75" customHeight="1" x14ac:dyDescent="0.3">
      <c r="A38" s="26" t="s">
        <v>31</v>
      </c>
      <c r="B38" s="65" t="s">
        <v>32</v>
      </c>
      <c r="C38" s="61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1"/>
    </row>
    <row r="39" spans="1:32" ht="12.75" customHeight="1" x14ac:dyDescent="0.3">
      <c r="A39" s="20"/>
      <c r="B39" s="66" t="s">
        <v>33</v>
      </c>
      <c r="C39" s="67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2</v>
      </c>
      <c r="K39" s="16">
        <v>1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1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3">
        <f t="shared" ref="AF39:AF41" si="11">SUM(E39:AE39)</f>
        <v>4</v>
      </c>
    </row>
    <row r="40" spans="1:32" ht="12.75" customHeight="1" x14ac:dyDescent="0.3">
      <c r="A40" s="21"/>
      <c r="B40" s="68"/>
      <c r="C40" s="69"/>
      <c r="D40" s="16" t="s">
        <v>13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1</v>
      </c>
      <c r="L40" s="16">
        <v>0</v>
      </c>
      <c r="M40" s="16">
        <v>0</v>
      </c>
      <c r="N40" s="16">
        <v>0</v>
      </c>
      <c r="O40" s="16">
        <v>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1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3">
        <f t="shared" si="11"/>
        <v>3</v>
      </c>
    </row>
    <row r="41" spans="1:32" ht="12.75" customHeight="1" x14ac:dyDescent="0.3">
      <c r="A41" s="25"/>
      <c r="B41" s="64"/>
      <c r="C41" s="70"/>
      <c r="D41" s="13" t="s">
        <v>14</v>
      </c>
      <c r="E41" s="13">
        <f t="shared" ref="E41:AE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2</v>
      </c>
      <c r="K41" s="13">
        <f t="shared" si="12"/>
        <v>2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1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2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1"/>
        <v>7</v>
      </c>
    </row>
    <row r="42" spans="1:32" ht="12.75" customHeight="1" x14ac:dyDescent="0.3">
      <c r="A42" s="63"/>
      <c r="B42" s="64"/>
      <c r="C42" s="64"/>
      <c r="D42" s="70"/>
      <c r="E42" s="62"/>
      <c r="F42" s="61"/>
      <c r="G42" s="61"/>
      <c r="H42" s="61"/>
      <c r="I42" s="59"/>
      <c r="J42" s="16"/>
      <c r="K42" s="16"/>
      <c r="L42" s="16"/>
      <c r="M42" s="16"/>
      <c r="N42" s="50"/>
      <c r="O42" s="16"/>
      <c r="P42" s="50"/>
      <c r="Q42" s="16"/>
      <c r="R42" s="50"/>
      <c r="S42" s="16"/>
      <c r="T42" s="50"/>
      <c r="U42" s="16"/>
      <c r="V42" s="50"/>
      <c r="W42" s="16"/>
      <c r="X42" s="50"/>
      <c r="Y42" s="16"/>
      <c r="Z42" s="50"/>
      <c r="AA42" s="16"/>
      <c r="AB42" s="50"/>
      <c r="AC42" s="16"/>
      <c r="AD42" s="50"/>
      <c r="AE42" s="16"/>
      <c r="AF42" s="13"/>
    </row>
    <row r="43" spans="1:32" ht="12.75" customHeight="1" x14ac:dyDescent="0.3">
      <c r="A43" s="26" t="s">
        <v>34</v>
      </c>
      <c r="B43" s="65" t="s">
        <v>35</v>
      </c>
      <c r="C43" s="61"/>
      <c r="D43" s="59"/>
      <c r="E43" s="19"/>
      <c r="F43" s="13"/>
      <c r="G43" s="13"/>
      <c r="H43" s="13"/>
      <c r="I43" s="13"/>
      <c r="J43" s="13"/>
      <c r="K43" s="13"/>
      <c r="L43" s="13"/>
      <c r="M43" s="13"/>
      <c r="N43" s="52"/>
      <c r="O43" s="13"/>
      <c r="P43" s="52"/>
      <c r="Q43" s="13"/>
      <c r="R43" s="52"/>
      <c r="S43" s="13"/>
      <c r="T43" s="52"/>
      <c r="U43" s="13"/>
      <c r="V43" s="52"/>
      <c r="W43" s="13"/>
      <c r="X43" s="52"/>
      <c r="Y43" s="13"/>
      <c r="Z43" s="52"/>
      <c r="AA43" s="13"/>
      <c r="AB43" s="52"/>
      <c r="AC43" s="13"/>
      <c r="AD43" s="52"/>
      <c r="AE43" s="13"/>
      <c r="AF43" s="13"/>
    </row>
    <row r="44" spans="1:32" ht="12.75" customHeight="1" x14ac:dyDescent="0.3">
      <c r="A44" s="66" t="s">
        <v>36</v>
      </c>
      <c r="B44" s="71"/>
      <c r="C44" s="71"/>
      <c r="D44" s="67"/>
      <c r="E44" s="17"/>
      <c r="F44" s="16"/>
      <c r="G44" s="16"/>
      <c r="H44" s="16"/>
      <c r="I44" s="16"/>
      <c r="J44" s="16"/>
      <c r="K44" s="16"/>
      <c r="L44" s="16"/>
      <c r="M44" s="16"/>
      <c r="N44" s="50"/>
      <c r="O44" s="16"/>
      <c r="P44" s="50"/>
      <c r="Q44" s="16"/>
      <c r="R44" s="50"/>
      <c r="S44" s="16"/>
      <c r="T44" s="50"/>
      <c r="U44" s="16"/>
      <c r="V44" s="50"/>
      <c r="W44" s="16"/>
      <c r="X44" s="50"/>
      <c r="Y44" s="16"/>
      <c r="Z44" s="50"/>
      <c r="AA44" s="16"/>
      <c r="AB44" s="50"/>
      <c r="AC44" s="16"/>
      <c r="AD44" s="50"/>
      <c r="AE44" s="16"/>
      <c r="AF44" s="13"/>
    </row>
    <row r="45" spans="1:32" ht="12.75" customHeight="1" x14ac:dyDescent="0.3">
      <c r="A45" s="20" t="s">
        <v>37</v>
      </c>
      <c r="B45" s="27" t="s">
        <v>17</v>
      </c>
      <c r="C45" s="58" t="s">
        <v>38</v>
      </c>
      <c r="D45" s="59"/>
      <c r="E45" s="16">
        <v>12</v>
      </c>
      <c r="F45" s="16">
        <v>6</v>
      </c>
      <c r="G45" s="16">
        <v>2</v>
      </c>
      <c r="H45" s="16">
        <v>1</v>
      </c>
      <c r="I45" s="16">
        <v>1</v>
      </c>
      <c r="J45" s="16">
        <v>7</v>
      </c>
      <c r="K45" s="16">
        <v>2</v>
      </c>
      <c r="L45" s="16">
        <v>3</v>
      </c>
      <c r="M45" s="16">
        <v>5</v>
      </c>
      <c r="N45" s="16">
        <v>5</v>
      </c>
      <c r="O45" s="16">
        <v>3</v>
      </c>
      <c r="P45" s="16">
        <v>15</v>
      </c>
      <c r="Q45" s="16">
        <v>5</v>
      </c>
      <c r="R45" s="16">
        <v>5</v>
      </c>
      <c r="S45" s="16">
        <v>6</v>
      </c>
      <c r="T45" s="16">
        <v>7</v>
      </c>
      <c r="U45" s="16">
        <v>6</v>
      </c>
      <c r="V45" s="16">
        <v>8</v>
      </c>
      <c r="W45" s="16">
        <v>3</v>
      </c>
      <c r="X45" s="16">
        <v>1</v>
      </c>
      <c r="Y45" s="16">
        <v>5</v>
      </c>
      <c r="Z45" s="16">
        <v>6</v>
      </c>
      <c r="AA45" s="16">
        <v>1</v>
      </c>
      <c r="AB45" s="16">
        <v>6</v>
      </c>
      <c r="AC45" s="16">
        <v>5</v>
      </c>
      <c r="AD45" s="16">
        <v>1</v>
      </c>
      <c r="AE45" s="16">
        <v>1</v>
      </c>
      <c r="AF45" s="13">
        <f t="shared" ref="AF45:AF54" si="13">SUM(E45:AE45)</f>
        <v>128</v>
      </c>
    </row>
    <row r="46" spans="1:32" ht="12.75" customHeight="1" x14ac:dyDescent="0.3">
      <c r="A46" s="20" t="s">
        <v>39</v>
      </c>
      <c r="B46" s="28"/>
      <c r="C46" s="29" t="s">
        <v>40</v>
      </c>
      <c r="D46" s="29"/>
      <c r="E46" s="16">
        <v>12</v>
      </c>
      <c r="F46" s="16">
        <v>5</v>
      </c>
      <c r="G46" s="16">
        <v>5</v>
      </c>
      <c r="H46" s="16">
        <v>13</v>
      </c>
      <c r="I46" s="16">
        <v>5</v>
      </c>
      <c r="J46" s="16">
        <v>11</v>
      </c>
      <c r="K46" s="16">
        <v>2</v>
      </c>
      <c r="L46" s="16">
        <v>19</v>
      </c>
      <c r="M46" s="16">
        <v>16</v>
      </c>
      <c r="N46" s="16">
        <v>35</v>
      </c>
      <c r="O46" s="16">
        <v>15</v>
      </c>
      <c r="P46" s="16">
        <v>78</v>
      </c>
      <c r="Q46" s="16">
        <v>13</v>
      </c>
      <c r="R46" s="16">
        <v>30</v>
      </c>
      <c r="S46" s="16">
        <v>23</v>
      </c>
      <c r="T46" s="16">
        <v>25</v>
      </c>
      <c r="U46" s="16">
        <v>16</v>
      </c>
      <c r="V46" s="16">
        <v>15</v>
      </c>
      <c r="W46" s="16">
        <v>11</v>
      </c>
      <c r="X46" s="16">
        <v>24</v>
      </c>
      <c r="Y46" s="16">
        <v>16</v>
      </c>
      <c r="Z46" s="16">
        <v>11</v>
      </c>
      <c r="AA46" s="16">
        <v>4</v>
      </c>
      <c r="AB46" s="16">
        <v>6</v>
      </c>
      <c r="AC46" s="16">
        <v>7</v>
      </c>
      <c r="AD46" s="16">
        <v>2</v>
      </c>
      <c r="AE46" s="16">
        <v>7</v>
      </c>
      <c r="AF46" s="13">
        <f t="shared" si="13"/>
        <v>426</v>
      </c>
    </row>
    <row r="47" spans="1:32" ht="12.75" customHeight="1" x14ac:dyDescent="0.3">
      <c r="A47" s="15"/>
      <c r="B47" s="34"/>
      <c r="C47" s="29" t="s">
        <v>41</v>
      </c>
      <c r="D47" s="29"/>
      <c r="E47" s="16">
        <v>2</v>
      </c>
      <c r="F47" s="16">
        <v>0</v>
      </c>
      <c r="G47" s="16">
        <v>1</v>
      </c>
      <c r="H47" s="16">
        <v>1</v>
      </c>
      <c r="I47" s="16">
        <v>1</v>
      </c>
      <c r="J47" s="16">
        <v>6</v>
      </c>
      <c r="K47" s="16">
        <v>0</v>
      </c>
      <c r="L47" s="16">
        <v>0</v>
      </c>
      <c r="M47" s="16">
        <v>1</v>
      </c>
      <c r="N47" s="16">
        <v>2</v>
      </c>
      <c r="O47" s="16">
        <v>3</v>
      </c>
      <c r="P47" s="16">
        <v>3</v>
      </c>
      <c r="Q47" s="16">
        <v>3</v>
      </c>
      <c r="R47" s="16">
        <v>3</v>
      </c>
      <c r="S47" s="16">
        <v>3</v>
      </c>
      <c r="T47" s="16">
        <v>4</v>
      </c>
      <c r="U47" s="16">
        <v>1</v>
      </c>
      <c r="V47" s="16">
        <v>2</v>
      </c>
      <c r="W47" s="16">
        <v>0</v>
      </c>
      <c r="X47" s="16">
        <v>1</v>
      </c>
      <c r="Y47" s="16">
        <v>3</v>
      </c>
      <c r="Z47" s="16">
        <v>0</v>
      </c>
      <c r="AA47" s="16">
        <v>0</v>
      </c>
      <c r="AB47" s="16">
        <v>6</v>
      </c>
      <c r="AC47" s="16">
        <v>5</v>
      </c>
      <c r="AD47" s="16">
        <v>0</v>
      </c>
      <c r="AE47" s="16">
        <v>2</v>
      </c>
      <c r="AF47" s="13">
        <f t="shared" si="13"/>
        <v>53</v>
      </c>
    </row>
    <row r="48" spans="1:32" ht="12.75" customHeight="1" x14ac:dyDescent="0.3">
      <c r="A48" s="15"/>
      <c r="B48" s="34"/>
      <c r="C48" s="29" t="s">
        <v>42</v>
      </c>
      <c r="D48" s="29"/>
      <c r="E48" s="16">
        <v>0</v>
      </c>
      <c r="F48" s="16">
        <v>0</v>
      </c>
      <c r="G48" s="16">
        <v>0</v>
      </c>
      <c r="H48" s="16">
        <v>0</v>
      </c>
      <c r="I48" s="16">
        <v>1</v>
      </c>
      <c r="J48" s="16">
        <v>2</v>
      </c>
      <c r="K48" s="16">
        <v>0</v>
      </c>
      <c r="L48" s="16">
        <v>0</v>
      </c>
      <c r="M48" s="16">
        <v>0</v>
      </c>
      <c r="N48" s="16">
        <v>2</v>
      </c>
      <c r="O48" s="16">
        <v>0</v>
      </c>
      <c r="P48" s="16">
        <v>1</v>
      </c>
      <c r="Q48" s="16">
        <v>0</v>
      </c>
      <c r="R48" s="16">
        <v>1</v>
      </c>
      <c r="S48" s="16">
        <v>3</v>
      </c>
      <c r="T48" s="16">
        <v>1</v>
      </c>
      <c r="U48" s="16">
        <v>0</v>
      </c>
      <c r="V48" s="16">
        <v>1</v>
      </c>
      <c r="W48" s="16">
        <v>0</v>
      </c>
      <c r="X48" s="16">
        <v>1</v>
      </c>
      <c r="Y48" s="16">
        <v>0</v>
      </c>
      <c r="Z48" s="16">
        <v>0</v>
      </c>
      <c r="AA48" s="16">
        <v>0</v>
      </c>
      <c r="AB48" s="16">
        <v>0</v>
      </c>
      <c r="AC48" s="16">
        <v>1</v>
      </c>
      <c r="AD48" s="16">
        <v>1</v>
      </c>
      <c r="AE48" s="16">
        <v>0</v>
      </c>
      <c r="AF48" s="13">
        <f t="shared" si="13"/>
        <v>15</v>
      </c>
    </row>
    <row r="49" spans="1:32" ht="12.75" customHeight="1" x14ac:dyDescent="0.3">
      <c r="A49" s="15"/>
      <c r="B49" s="34"/>
      <c r="C49" s="29" t="s">
        <v>43</v>
      </c>
      <c r="D49" s="29"/>
      <c r="E49" s="16">
        <v>0</v>
      </c>
      <c r="F49" s="16">
        <v>0</v>
      </c>
      <c r="G49" s="16">
        <v>1</v>
      </c>
      <c r="H49" s="16">
        <v>1</v>
      </c>
      <c r="I49" s="16">
        <v>1</v>
      </c>
      <c r="J49" s="16">
        <v>1</v>
      </c>
      <c r="K49" s="16">
        <v>2</v>
      </c>
      <c r="L49" s="16">
        <v>1</v>
      </c>
      <c r="M49" s="16">
        <v>2</v>
      </c>
      <c r="N49" s="16">
        <v>4</v>
      </c>
      <c r="O49" s="16">
        <v>0</v>
      </c>
      <c r="P49" s="16">
        <v>3</v>
      </c>
      <c r="Q49" s="16">
        <v>1</v>
      </c>
      <c r="R49" s="16">
        <v>3</v>
      </c>
      <c r="S49" s="16">
        <v>4</v>
      </c>
      <c r="T49" s="16">
        <v>0</v>
      </c>
      <c r="U49" s="16">
        <v>1</v>
      </c>
      <c r="V49" s="16">
        <v>0</v>
      </c>
      <c r="W49" s="16">
        <v>2</v>
      </c>
      <c r="X49" s="16">
        <v>1</v>
      </c>
      <c r="Y49" s="16">
        <v>1</v>
      </c>
      <c r="Z49" s="16">
        <v>1</v>
      </c>
      <c r="AA49" s="16">
        <v>1</v>
      </c>
      <c r="AB49" s="16">
        <v>0</v>
      </c>
      <c r="AC49" s="16">
        <v>1</v>
      </c>
      <c r="AD49" s="16">
        <v>0</v>
      </c>
      <c r="AE49" s="16">
        <v>0</v>
      </c>
      <c r="AF49" s="13">
        <f t="shared" si="13"/>
        <v>32</v>
      </c>
    </row>
    <row r="50" spans="1:32" ht="12.75" customHeight="1" x14ac:dyDescent="0.3">
      <c r="A50" s="15"/>
      <c r="B50" s="34"/>
      <c r="C50" s="29" t="s">
        <v>44</v>
      </c>
      <c r="D50" s="29"/>
      <c r="E50" s="16">
        <v>2</v>
      </c>
      <c r="F50" s="16">
        <v>0</v>
      </c>
      <c r="G50" s="16">
        <v>0</v>
      </c>
      <c r="H50" s="16">
        <v>0</v>
      </c>
      <c r="I50" s="16">
        <v>2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2</v>
      </c>
      <c r="Q50" s="16">
        <v>0</v>
      </c>
      <c r="R50" s="16">
        <v>1</v>
      </c>
      <c r="S50" s="16">
        <v>0</v>
      </c>
      <c r="T50" s="16">
        <v>3</v>
      </c>
      <c r="U50" s="16">
        <v>0</v>
      </c>
      <c r="V50" s="16">
        <v>2</v>
      </c>
      <c r="W50" s="16">
        <v>1</v>
      </c>
      <c r="X50" s="16">
        <v>0</v>
      </c>
      <c r="Y50" s="16">
        <v>1</v>
      </c>
      <c r="Z50" s="16">
        <v>0</v>
      </c>
      <c r="AA50" s="16">
        <v>0</v>
      </c>
      <c r="AB50" s="16">
        <v>0</v>
      </c>
      <c r="AC50" s="16">
        <v>2</v>
      </c>
      <c r="AD50" s="16">
        <v>0</v>
      </c>
      <c r="AE50" s="16">
        <v>1</v>
      </c>
      <c r="AF50" s="13">
        <f t="shared" si="13"/>
        <v>17</v>
      </c>
    </row>
    <row r="51" spans="1:32" ht="12.75" customHeight="1" x14ac:dyDescent="0.3">
      <c r="A51" s="15"/>
      <c r="B51" s="34"/>
      <c r="C51" s="29" t="s">
        <v>45</v>
      </c>
      <c r="D51" s="29"/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2</v>
      </c>
      <c r="M51" s="16">
        <v>0</v>
      </c>
      <c r="N51" s="16">
        <v>1</v>
      </c>
      <c r="O51" s="16">
        <v>1</v>
      </c>
      <c r="P51" s="16">
        <v>0</v>
      </c>
      <c r="Q51" s="16">
        <v>0</v>
      </c>
      <c r="R51" s="16">
        <v>0</v>
      </c>
      <c r="S51" s="16">
        <v>1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1</v>
      </c>
      <c r="AC51" s="16">
        <v>0</v>
      </c>
      <c r="AD51" s="16">
        <v>0</v>
      </c>
      <c r="AE51" s="16">
        <v>2</v>
      </c>
      <c r="AF51" s="13">
        <f t="shared" si="13"/>
        <v>8</v>
      </c>
    </row>
    <row r="52" spans="1:32" ht="12.75" customHeight="1" x14ac:dyDescent="0.3">
      <c r="A52" s="15"/>
      <c r="B52" s="34"/>
      <c r="C52" s="29" t="s">
        <v>46</v>
      </c>
      <c r="D52" s="29"/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3</v>
      </c>
      <c r="M52" s="16">
        <v>1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2</v>
      </c>
      <c r="T52" s="16">
        <v>1</v>
      </c>
      <c r="U52" s="16">
        <v>1</v>
      </c>
      <c r="V52" s="16">
        <v>0</v>
      </c>
      <c r="W52" s="16">
        <v>3</v>
      </c>
      <c r="X52" s="16">
        <v>0</v>
      </c>
      <c r="Y52" s="16">
        <v>1</v>
      </c>
      <c r="Z52" s="16">
        <v>0</v>
      </c>
      <c r="AA52" s="16">
        <v>0</v>
      </c>
      <c r="AB52" s="16">
        <v>1</v>
      </c>
      <c r="AC52" s="16">
        <v>1</v>
      </c>
      <c r="AD52" s="16">
        <v>1</v>
      </c>
      <c r="AE52" s="16">
        <v>0</v>
      </c>
      <c r="AF52" s="13">
        <f t="shared" si="13"/>
        <v>15</v>
      </c>
    </row>
    <row r="53" spans="1:32" ht="12.75" customHeight="1" x14ac:dyDescent="0.3">
      <c r="A53" s="15"/>
      <c r="B53" s="34"/>
      <c r="C53" s="29" t="s">
        <v>47</v>
      </c>
      <c r="D53" s="29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1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1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1</v>
      </c>
      <c r="AE53" s="16">
        <v>0</v>
      </c>
      <c r="AF53" s="13">
        <f t="shared" si="13"/>
        <v>3</v>
      </c>
    </row>
    <row r="54" spans="1:32" ht="12.75" customHeight="1" x14ac:dyDescent="0.3">
      <c r="A54" s="15"/>
      <c r="B54" s="34"/>
      <c r="C54" s="29" t="s">
        <v>48</v>
      </c>
      <c r="D54" s="29"/>
      <c r="E54" s="16">
        <v>0</v>
      </c>
      <c r="F54" s="16">
        <v>1</v>
      </c>
      <c r="G54" s="16">
        <v>0</v>
      </c>
      <c r="H54" s="16">
        <v>0</v>
      </c>
      <c r="I54" s="16">
        <v>0</v>
      </c>
      <c r="J54" s="16">
        <v>0</v>
      </c>
      <c r="K54" s="16">
        <v>1</v>
      </c>
      <c r="L54" s="16">
        <v>1</v>
      </c>
      <c r="M54" s="16">
        <v>1</v>
      </c>
      <c r="N54" s="16">
        <v>0</v>
      </c>
      <c r="O54" s="16">
        <v>2</v>
      </c>
      <c r="P54" s="16">
        <v>0</v>
      </c>
      <c r="Q54" s="16">
        <v>0</v>
      </c>
      <c r="R54" s="16">
        <v>0</v>
      </c>
      <c r="S54" s="16">
        <v>1</v>
      </c>
      <c r="T54" s="16">
        <v>2</v>
      </c>
      <c r="U54" s="16">
        <v>1</v>
      </c>
      <c r="V54" s="16">
        <v>0</v>
      </c>
      <c r="W54" s="16">
        <v>0</v>
      </c>
      <c r="X54" s="16">
        <v>1</v>
      </c>
      <c r="Y54" s="16">
        <v>0</v>
      </c>
      <c r="Z54" s="16">
        <v>0</v>
      </c>
      <c r="AA54" s="16">
        <v>1</v>
      </c>
      <c r="AB54" s="16">
        <v>0</v>
      </c>
      <c r="AC54" s="16">
        <v>3</v>
      </c>
      <c r="AD54" s="16">
        <v>0</v>
      </c>
      <c r="AE54" s="16">
        <v>0</v>
      </c>
      <c r="AF54" s="13">
        <f t="shared" si="13"/>
        <v>15</v>
      </c>
    </row>
    <row r="55" spans="1:32" ht="12.75" customHeight="1" x14ac:dyDescent="0.3">
      <c r="A55" s="16" t="s">
        <v>15</v>
      </c>
      <c r="B55" s="60" t="s">
        <v>49</v>
      </c>
      <c r="C55" s="61"/>
      <c r="D55" s="59"/>
      <c r="E55" s="13">
        <f>SUM(E45:E54)</f>
        <v>28</v>
      </c>
      <c r="F55" s="13">
        <f t="shared" ref="F55:AF55" si="14">SUM(F45:F54)</f>
        <v>12</v>
      </c>
      <c r="G55" s="13">
        <f t="shared" si="14"/>
        <v>9</v>
      </c>
      <c r="H55" s="13">
        <f t="shared" si="14"/>
        <v>16</v>
      </c>
      <c r="I55" s="13">
        <f t="shared" si="14"/>
        <v>11</v>
      </c>
      <c r="J55" s="13">
        <f t="shared" si="14"/>
        <v>27</v>
      </c>
      <c r="K55" s="13">
        <f t="shared" si="14"/>
        <v>7</v>
      </c>
      <c r="L55" s="13">
        <f t="shared" si="14"/>
        <v>29</v>
      </c>
      <c r="M55" s="13">
        <f t="shared" si="14"/>
        <v>26</v>
      </c>
      <c r="N55" s="13">
        <f t="shared" si="14"/>
        <v>49</v>
      </c>
      <c r="O55" s="13">
        <f t="shared" si="14"/>
        <v>24</v>
      </c>
      <c r="P55" s="13">
        <f t="shared" si="14"/>
        <v>102</v>
      </c>
      <c r="Q55" s="13">
        <f t="shared" si="14"/>
        <v>23</v>
      </c>
      <c r="R55" s="13">
        <f t="shared" si="14"/>
        <v>43</v>
      </c>
      <c r="S55" s="13">
        <f t="shared" si="14"/>
        <v>43</v>
      </c>
      <c r="T55" s="13">
        <f t="shared" si="14"/>
        <v>43</v>
      </c>
      <c r="U55" s="13">
        <f t="shared" si="14"/>
        <v>26</v>
      </c>
      <c r="V55" s="13">
        <f t="shared" si="14"/>
        <v>28</v>
      </c>
      <c r="W55" s="13">
        <f t="shared" si="14"/>
        <v>20</v>
      </c>
      <c r="X55" s="13">
        <f t="shared" si="14"/>
        <v>30</v>
      </c>
      <c r="Y55" s="13">
        <f t="shared" si="14"/>
        <v>27</v>
      </c>
      <c r="Z55" s="13">
        <f t="shared" si="14"/>
        <v>18</v>
      </c>
      <c r="AA55" s="13">
        <f t="shared" si="14"/>
        <v>7</v>
      </c>
      <c r="AB55" s="13">
        <f t="shared" si="14"/>
        <v>20</v>
      </c>
      <c r="AC55" s="13">
        <f t="shared" si="14"/>
        <v>25</v>
      </c>
      <c r="AD55" s="13">
        <f t="shared" si="14"/>
        <v>6</v>
      </c>
      <c r="AE55" s="13">
        <f t="shared" si="14"/>
        <v>13</v>
      </c>
      <c r="AF55" s="13">
        <f t="shared" si="14"/>
        <v>712</v>
      </c>
    </row>
    <row r="56" spans="1:32" ht="12.75" customHeight="1" x14ac:dyDescent="0.3">
      <c r="A56" s="63"/>
      <c r="B56" s="64"/>
      <c r="C56" s="64"/>
      <c r="D56" s="64"/>
      <c r="E56" s="64"/>
      <c r="AF56" s="13"/>
    </row>
    <row r="57" spans="1:32" ht="12.75" customHeight="1" x14ac:dyDescent="0.3">
      <c r="A57" s="20" t="s">
        <v>37</v>
      </c>
      <c r="B57" s="27" t="s">
        <v>19</v>
      </c>
      <c r="C57" s="58" t="s">
        <v>50</v>
      </c>
      <c r="D57" s="59"/>
      <c r="E57" s="16">
        <v>6</v>
      </c>
      <c r="F57" s="16">
        <v>3</v>
      </c>
      <c r="G57" s="16">
        <v>1</v>
      </c>
      <c r="H57" s="16">
        <v>9</v>
      </c>
      <c r="I57" s="16">
        <v>6</v>
      </c>
      <c r="J57" s="16">
        <v>1</v>
      </c>
      <c r="K57" s="16">
        <v>5</v>
      </c>
      <c r="L57" s="16">
        <v>7</v>
      </c>
      <c r="M57" s="16">
        <v>9</v>
      </c>
      <c r="N57" s="16">
        <v>9</v>
      </c>
      <c r="O57" s="16">
        <v>5</v>
      </c>
      <c r="P57" s="16">
        <v>6</v>
      </c>
      <c r="Q57" s="16">
        <v>4</v>
      </c>
      <c r="R57" s="16">
        <v>3</v>
      </c>
      <c r="S57" s="16">
        <v>7</v>
      </c>
      <c r="T57" s="16">
        <v>7</v>
      </c>
      <c r="U57" s="16">
        <v>9</v>
      </c>
      <c r="V57" s="16">
        <v>13</v>
      </c>
      <c r="W57" s="16">
        <v>5</v>
      </c>
      <c r="X57" s="16">
        <v>9</v>
      </c>
      <c r="Y57" s="16">
        <v>10</v>
      </c>
      <c r="Z57" s="16">
        <v>4</v>
      </c>
      <c r="AA57" s="16">
        <v>2</v>
      </c>
      <c r="AB57" s="16">
        <v>8</v>
      </c>
      <c r="AC57" s="16">
        <v>9</v>
      </c>
      <c r="AD57" s="16">
        <v>1</v>
      </c>
      <c r="AE57" s="16">
        <v>4</v>
      </c>
      <c r="AF57" s="13">
        <f t="shared" ref="AF57:AF66" si="15">SUM(E57:AE57)</f>
        <v>162</v>
      </c>
    </row>
    <row r="58" spans="1:32" ht="12.75" customHeight="1" x14ac:dyDescent="0.3">
      <c r="A58" s="20" t="s">
        <v>39</v>
      </c>
      <c r="B58" s="34"/>
      <c r="C58" s="29" t="s">
        <v>51</v>
      </c>
      <c r="D58" s="35"/>
      <c r="E58" s="16">
        <v>0</v>
      </c>
      <c r="F58" s="16">
        <v>6</v>
      </c>
      <c r="G58" s="16">
        <v>2</v>
      </c>
      <c r="H58" s="16">
        <v>3</v>
      </c>
      <c r="I58" s="16">
        <v>0</v>
      </c>
      <c r="J58" s="16">
        <v>6</v>
      </c>
      <c r="K58" s="16">
        <v>1</v>
      </c>
      <c r="L58" s="16">
        <v>4</v>
      </c>
      <c r="M58" s="16">
        <v>5</v>
      </c>
      <c r="N58" s="16">
        <v>7</v>
      </c>
      <c r="O58" s="16">
        <v>10</v>
      </c>
      <c r="P58" s="16">
        <v>21</v>
      </c>
      <c r="Q58" s="16">
        <v>26</v>
      </c>
      <c r="R58" s="16">
        <v>25</v>
      </c>
      <c r="S58" s="16">
        <v>9</v>
      </c>
      <c r="T58" s="16">
        <v>7</v>
      </c>
      <c r="U58" s="16">
        <v>8</v>
      </c>
      <c r="V58" s="16">
        <v>10</v>
      </c>
      <c r="W58" s="16">
        <v>2</v>
      </c>
      <c r="X58" s="16">
        <v>5</v>
      </c>
      <c r="Y58" s="16">
        <v>3</v>
      </c>
      <c r="Z58" s="16">
        <v>8</v>
      </c>
      <c r="AA58" s="16">
        <v>23</v>
      </c>
      <c r="AB58" s="16">
        <v>78</v>
      </c>
      <c r="AC58" s="16">
        <v>45</v>
      </c>
      <c r="AD58" s="16">
        <v>3</v>
      </c>
      <c r="AE58" s="16">
        <v>21</v>
      </c>
      <c r="AF58" s="13">
        <f t="shared" si="15"/>
        <v>338</v>
      </c>
    </row>
    <row r="59" spans="1:32" ht="12.75" customHeight="1" x14ac:dyDescent="0.3">
      <c r="A59" s="15"/>
      <c r="B59" s="34"/>
      <c r="C59" s="29" t="s">
        <v>52</v>
      </c>
      <c r="D59" s="35"/>
      <c r="E59" s="16">
        <v>6</v>
      </c>
      <c r="F59" s="16">
        <v>2</v>
      </c>
      <c r="G59" s="16">
        <v>4</v>
      </c>
      <c r="H59" s="16">
        <v>2</v>
      </c>
      <c r="I59" s="16">
        <v>3</v>
      </c>
      <c r="J59" s="16">
        <v>1</v>
      </c>
      <c r="K59" s="16">
        <v>4</v>
      </c>
      <c r="L59" s="16">
        <v>6</v>
      </c>
      <c r="M59" s="16">
        <v>6</v>
      </c>
      <c r="N59" s="16">
        <v>10</v>
      </c>
      <c r="O59" s="16">
        <v>14</v>
      </c>
      <c r="P59" s="16">
        <v>3</v>
      </c>
      <c r="Q59" s="16">
        <v>7</v>
      </c>
      <c r="R59" s="16">
        <v>6</v>
      </c>
      <c r="S59" s="16">
        <v>3</v>
      </c>
      <c r="T59" s="16">
        <v>8</v>
      </c>
      <c r="U59" s="16">
        <v>12</v>
      </c>
      <c r="V59" s="16">
        <v>8</v>
      </c>
      <c r="W59" s="16">
        <v>1</v>
      </c>
      <c r="X59" s="16">
        <v>3</v>
      </c>
      <c r="Y59" s="16">
        <v>5</v>
      </c>
      <c r="Z59" s="16">
        <v>5</v>
      </c>
      <c r="AA59" s="16">
        <v>1</v>
      </c>
      <c r="AB59" s="16">
        <v>0</v>
      </c>
      <c r="AC59" s="16">
        <v>6</v>
      </c>
      <c r="AD59" s="16">
        <v>5</v>
      </c>
      <c r="AE59" s="16">
        <v>12</v>
      </c>
      <c r="AF59" s="13">
        <f t="shared" si="15"/>
        <v>143</v>
      </c>
    </row>
    <row r="60" spans="1:32" ht="12.75" customHeight="1" x14ac:dyDescent="0.3">
      <c r="A60" s="15"/>
      <c r="B60" s="34"/>
      <c r="C60" s="29" t="s">
        <v>53</v>
      </c>
      <c r="D60" s="35"/>
      <c r="E60" s="16">
        <v>2</v>
      </c>
      <c r="F60" s="16">
        <v>1</v>
      </c>
      <c r="G60" s="16">
        <v>1</v>
      </c>
      <c r="H60" s="16">
        <v>1</v>
      </c>
      <c r="I60" s="16">
        <v>0</v>
      </c>
      <c r="J60" s="16">
        <v>0</v>
      </c>
      <c r="K60" s="16">
        <v>1</v>
      </c>
      <c r="L60" s="16">
        <v>3</v>
      </c>
      <c r="M60" s="16">
        <v>0</v>
      </c>
      <c r="N60" s="16">
        <v>0</v>
      </c>
      <c r="O60" s="16">
        <v>2</v>
      </c>
      <c r="P60" s="16">
        <v>1</v>
      </c>
      <c r="Q60" s="16">
        <v>1</v>
      </c>
      <c r="R60" s="16">
        <v>2</v>
      </c>
      <c r="S60" s="16">
        <v>1</v>
      </c>
      <c r="T60" s="16">
        <v>3</v>
      </c>
      <c r="U60" s="16">
        <v>1</v>
      </c>
      <c r="V60" s="16">
        <v>3</v>
      </c>
      <c r="W60" s="16">
        <v>0</v>
      </c>
      <c r="X60" s="16">
        <v>0</v>
      </c>
      <c r="Y60" s="16">
        <v>0</v>
      </c>
      <c r="Z60" s="16">
        <v>1</v>
      </c>
      <c r="AA60" s="16">
        <v>3</v>
      </c>
      <c r="AB60" s="16">
        <v>3</v>
      </c>
      <c r="AC60" s="16">
        <v>2</v>
      </c>
      <c r="AD60" s="16">
        <v>1</v>
      </c>
      <c r="AE60" s="16">
        <v>1</v>
      </c>
      <c r="AF60" s="13">
        <f t="shared" si="15"/>
        <v>34</v>
      </c>
    </row>
    <row r="61" spans="1:32" ht="12.75" customHeight="1" x14ac:dyDescent="0.3">
      <c r="A61" s="15"/>
      <c r="B61" s="34"/>
      <c r="C61" s="29" t="s">
        <v>54</v>
      </c>
      <c r="D61" s="35"/>
      <c r="E61" s="16">
        <v>1</v>
      </c>
      <c r="F61" s="16">
        <v>3</v>
      </c>
      <c r="G61" s="16">
        <v>1</v>
      </c>
      <c r="H61" s="16">
        <v>3</v>
      </c>
      <c r="I61" s="16">
        <v>2</v>
      </c>
      <c r="J61" s="16">
        <v>9</v>
      </c>
      <c r="K61" s="16">
        <v>4</v>
      </c>
      <c r="L61" s="16">
        <v>8</v>
      </c>
      <c r="M61" s="16">
        <v>1</v>
      </c>
      <c r="N61" s="16">
        <v>10</v>
      </c>
      <c r="O61" s="16">
        <v>5</v>
      </c>
      <c r="P61" s="16">
        <v>11</v>
      </c>
      <c r="Q61" s="16">
        <v>6</v>
      </c>
      <c r="R61" s="16">
        <v>5</v>
      </c>
      <c r="S61" s="16">
        <v>7</v>
      </c>
      <c r="T61" s="16">
        <v>7</v>
      </c>
      <c r="U61" s="16">
        <v>9</v>
      </c>
      <c r="V61" s="16">
        <v>11</v>
      </c>
      <c r="W61" s="16">
        <v>5</v>
      </c>
      <c r="X61" s="16">
        <v>4</v>
      </c>
      <c r="Y61" s="16">
        <v>8</v>
      </c>
      <c r="Z61" s="16">
        <v>3</v>
      </c>
      <c r="AA61" s="16">
        <v>2</v>
      </c>
      <c r="AB61" s="16">
        <v>0</v>
      </c>
      <c r="AC61" s="16">
        <v>3</v>
      </c>
      <c r="AD61" s="16">
        <v>0</v>
      </c>
      <c r="AE61" s="16">
        <v>0</v>
      </c>
      <c r="AF61" s="13">
        <f t="shared" si="15"/>
        <v>128</v>
      </c>
    </row>
    <row r="62" spans="1:32" ht="12.75" customHeight="1" x14ac:dyDescent="0.3">
      <c r="A62" s="15"/>
      <c r="B62" s="34"/>
      <c r="C62" s="29" t="s">
        <v>55</v>
      </c>
      <c r="D62" s="35"/>
      <c r="E62" s="16">
        <v>0</v>
      </c>
      <c r="F62" s="16">
        <v>0</v>
      </c>
      <c r="G62" s="16">
        <v>1</v>
      </c>
      <c r="H62" s="16">
        <v>0</v>
      </c>
      <c r="I62" s="16">
        <v>1</v>
      </c>
      <c r="J62" s="16">
        <v>0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2</v>
      </c>
      <c r="R62" s="16">
        <v>0</v>
      </c>
      <c r="S62" s="16">
        <v>2</v>
      </c>
      <c r="T62" s="16">
        <v>4</v>
      </c>
      <c r="U62" s="16">
        <v>2</v>
      </c>
      <c r="V62" s="16">
        <v>1</v>
      </c>
      <c r="W62" s="16">
        <v>1</v>
      </c>
      <c r="X62" s="16">
        <v>2</v>
      </c>
      <c r="Y62" s="16">
        <v>0</v>
      </c>
      <c r="Z62" s="16">
        <v>1</v>
      </c>
      <c r="AA62" s="16">
        <v>2</v>
      </c>
      <c r="AB62" s="16">
        <v>1</v>
      </c>
      <c r="AC62" s="16">
        <v>0</v>
      </c>
      <c r="AD62" s="16">
        <v>1</v>
      </c>
      <c r="AE62" s="16">
        <v>0</v>
      </c>
      <c r="AF62" s="13">
        <f t="shared" si="15"/>
        <v>27</v>
      </c>
    </row>
    <row r="63" spans="1:32" ht="12.75" customHeight="1" x14ac:dyDescent="0.3">
      <c r="A63" s="15"/>
      <c r="B63" s="34"/>
      <c r="C63" s="29" t="s">
        <v>56</v>
      </c>
      <c r="D63" s="36"/>
      <c r="E63" s="16">
        <v>0</v>
      </c>
      <c r="F63" s="16">
        <v>0</v>
      </c>
      <c r="G63" s="16">
        <v>1</v>
      </c>
      <c r="H63" s="16">
        <v>0</v>
      </c>
      <c r="I63" s="16">
        <v>1</v>
      </c>
      <c r="J63" s="16">
        <v>0</v>
      </c>
      <c r="K63" s="16">
        <v>0</v>
      </c>
      <c r="L63" s="16">
        <v>1</v>
      </c>
      <c r="M63" s="16">
        <v>0</v>
      </c>
      <c r="N63" s="16">
        <v>0</v>
      </c>
      <c r="O63" s="16">
        <v>1</v>
      </c>
      <c r="P63" s="16">
        <v>0</v>
      </c>
      <c r="Q63" s="16">
        <v>0</v>
      </c>
      <c r="R63" s="16">
        <v>0</v>
      </c>
      <c r="S63" s="16">
        <v>0</v>
      </c>
      <c r="T63" s="16">
        <v>2</v>
      </c>
      <c r="U63" s="16">
        <v>3</v>
      </c>
      <c r="V63" s="16">
        <v>0</v>
      </c>
      <c r="W63" s="16">
        <v>0</v>
      </c>
      <c r="X63" s="16">
        <v>1</v>
      </c>
      <c r="Y63" s="16">
        <v>0</v>
      </c>
      <c r="Z63" s="16">
        <v>2</v>
      </c>
      <c r="AA63" s="16">
        <v>0</v>
      </c>
      <c r="AB63" s="16">
        <v>0</v>
      </c>
      <c r="AC63" s="16">
        <v>1</v>
      </c>
      <c r="AD63" s="16">
        <v>0</v>
      </c>
      <c r="AE63" s="16">
        <v>0</v>
      </c>
      <c r="AF63" s="13">
        <f t="shared" si="15"/>
        <v>13</v>
      </c>
    </row>
    <row r="64" spans="1:32" ht="12.75" customHeight="1" x14ac:dyDescent="0.3">
      <c r="A64" s="15"/>
      <c r="B64" s="34"/>
      <c r="C64" s="29" t="s">
        <v>57</v>
      </c>
      <c r="D64" s="35"/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1</v>
      </c>
      <c r="L64" s="16">
        <v>1</v>
      </c>
      <c r="M64" s="16">
        <v>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1</v>
      </c>
      <c r="Z64" s="16">
        <v>0</v>
      </c>
      <c r="AA64" s="16">
        <v>1</v>
      </c>
      <c r="AB64" s="16">
        <v>0</v>
      </c>
      <c r="AC64" s="16">
        <v>0</v>
      </c>
      <c r="AD64" s="16">
        <v>0</v>
      </c>
      <c r="AE64" s="16">
        <v>1</v>
      </c>
      <c r="AF64" s="13">
        <f t="shared" si="15"/>
        <v>6</v>
      </c>
    </row>
    <row r="65" spans="1:32" ht="12.75" customHeight="1" x14ac:dyDescent="0.3">
      <c r="A65" s="15"/>
      <c r="B65" s="34"/>
      <c r="C65" s="29" t="s">
        <v>58</v>
      </c>
      <c r="D65" s="35"/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1</v>
      </c>
      <c r="O65" s="16">
        <v>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1</v>
      </c>
      <c r="W65" s="16">
        <v>0</v>
      </c>
      <c r="X65" s="16">
        <v>0</v>
      </c>
      <c r="Y65" s="16">
        <v>1</v>
      </c>
      <c r="Z65" s="16">
        <v>0</v>
      </c>
      <c r="AA65" s="16">
        <v>0</v>
      </c>
      <c r="AB65" s="16">
        <v>1</v>
      </c>
      <c r="AC65" s="16">
        <v>0</v>
      </c>
      <c r="AD65" s="16">
        <v>0</v>
      </c>
      <c r="AE65" s="16">
        <v>0</v>
      </c>
      <c r="AF65" s="13">
        <f t="shared" si="15"/>
        <v>5</v>
      </c>
    </row>
    <row r="66" spans="1:32" ht="12.75" customHeight="1" x14ac:dyDescent="0.3">
      <c r="A66" s="15"/>
      <c r="B66" s="34"/>
      <c r="C66" s="29" t="s">
        <v>59</v>
      </c>
      <c r="D66" s="35"/>
      <c r="E66" s="16">
        <v>1</v>
      </c>
      <c r="F66" s="16">
        <v>0</v>
      </c>
      <c r="G66" s="16">
        <v>0</v>
      </c>
      <c r="H66" s="16">
        <v>1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1</v>
      </c>
      <c r="T66" s="16">
        <v>1</v>
      </c>
      <c r="U66" s="16">
        <v>1</v>
      </c>
      <c r="V66" s="16">
        <v>0</v>
      </c>
      <c r="W66" s="16">
        <v>0</v>
      </c>
      <c r="X66" s="16">
        <v>1</v>
      </c>
      <c r="Y66" s="16">
        <v>0</v>
      </c>
      <c r="Z66" s="16">
        <v>1</v>
      </c>
      <c r="AA66" s="16">
        <v>1</v>
      </c>
      <c r="AB66" s="16">
        <v>1</v>
      </c>
      <c r="AC66" s="16">
        <v>1</v>
      </c>
      <c r="AD66" s="16">
        <v>1</v>
      </c>
      <c r="AE66" s="16">
        <v>0</v>
      </c>
      <c r="AF66" s="13">
        <f t="shared" si="15"/>
        <v>11</v>
      </c>
    </row>
    <row r="67" spans="1:32" ht="12.75" customHeight="1" x14ac:dyDescent="0.3">
      <c r="A67" s="16" t="s">
        <v>15</v>
      </c>
      <c r="B67" s="60" t="s">
        <v>49</v>
      </c>
      <c r="C67" s="61"/>
      <c r="D67" s="59"/>
      <c r="E67" s="13">
        <f>SUM(E57:E66)</f>
        <v>16</v>
      </c>
      <c r="F67" s="13">
        <f t="shared" ref="F67" si="16">SUM(F57:F66)</f>
        <v>15</v>
      </c>
      <c r="G67" s="13">
        <f t="shared" ref="G67" si="17">SUM(G57:G66)</f>
        <v>11</v>
      </c>
      <c r="H67" s="13">
        <f t="shared" ref="H67" si="18">SUM(H57:H66)</f>
        <v>19</v>
      </c>
      <c r="I67" s="13">
        <f t="shared" ref="I67" si="19">SUM(I57:I66)</f>
        <v>13</v>
      </c>
      <c r="J67" s="13">
        <f t="shared" ref="J67" si="20">SUM(J57:J66)</f>
        <v>17</v>
      </c>
      <c r="K67" s="13">
        <f t="shared" ref="K67" si="21">SUM(K57:K66)</f>
        <v>17</v>
      </c>
      <c r="L67" s="13">
        <f t="shared" ref="L67" si="22">SUM(L57:L66)</f>
        <v>31</v>
      </c>
      <c r="M67" s="13">
        <f t="shared" ref="M67" si="23">SUM(M57:M66)</f>
        <v>23</v>
      </c>
      <c r="N67" s="13">
        <f t="shared" ref="N67" si="24">SUM(N57:N66)</f>
        <v>38</v>
      </c>
      <c r="O67" s="13">
        <f t="shared" ref="O67" si="25">SUM(O57:O66)</f>
        <v>39</v>
      </c>
      <c r="P67" s="13">
        <f t="shared" ref="P67" si="26">SUM(P57:P66)</f>
        <v>43</v>
      </c>
      <c r="Q67" s="13">
        <f t="shared" ref="Q67" si="27">SUM(Q57:Q66)</f>
        <v>46</v>
      </c>
      <c r="R67" s="13">
        <f t="shared" ref="R67" si="28">SUM(R57:R66)</f>
        <v>41</v>
      </c>
      <c r="S67" s="13">
        <f t="shared" ref="S67" si="29">SUM(S57:S66)</f>
        <v>30</v>
      </c>
      <c r="T67" s="13">
        <f t="shared" ref="T67" si="30">SUM(T57:T66)</f>
        <v>39</v>
      </c>
      <c r="U67" s="13">
        <f t="shared" ref="U67" si="31">SUM(U57:U66)</f>
        <v>45</v>
      </c>
      <c r="V67" s="13">
        <f t="shared" ref="V67" si="32">SUM(V57:V66)</f>
        <v>47</v>
      </c>
      <c r="W67" s="13">
        <f t="shared" ref="W67" si="33">SUM(W57:W66)</f>
        <v>14</v>
      </c>
      <c r="X67" s="13">
        <f t="shared" ref="X67" si="34">SUM(X57:X66)</f>
        <v>25</v>
      </c>
      <c r="Y67" s="13">
        <f t="shared" ref="Y67" si="35">SUM(Y57:Y66)</f>
        <v>28</v>
      </c>
      <c r="Z67" s="13">
        <f t="shared" ref="Z67" si="36">SUM(Z57:Z66)</f>
        <v>25</v>
      </c>
      <c r="AA67" s="13">
        <f t="shared" ref="AA67" si="37">SUM(AA57:AA66)</f>
        <v>35</v>
      </c>
      <c r="AB67" s="13">
        <f t="shared" ref="AB67" si="38">SUM(AB57:AB66)</f>
        <v>92</v>
      </c>
      <c r="AC67" s="13">
        <f t="shared" ref="AC67" si="39">SUM(AC57:AC66)</f>
        <v>67</v>
      </c>
      <c r="AD67" s="13">
        <f t="shared" ref="AD67" si="40">SUM(AD57:AD66)</f>
        <v>12</v>
      </c>
      <c r="AE67" s="13">
        <f t="shared" ref="AE67" si="41">SUM(AE57:AE66)</f>
        <v>39</v>
      </c>
      <c r="AF67" s="13">
        <f t="shared" ref="AF67" si="42">SUM(AF57:AF66)</f>
        <v>867</v>
      </c>
    </row>
    <row r="68" spans="1:32" ht="12.75" customHeight="1" x14ac:dyDescent="0.3">
      <c r="A68" s="63"/>
      <c r="B68" s="64"/>
      <c r="C68" s="64"/>
      <c r="D68" s="64"/>
      <c r="E68" s="64"/>
    </row>
    <row r="69" spans="1:32" ht="12.75" customHeight="1" x14ac:dyDescent="0.3">
      <c r="A69" s="20" t="s">
        <v>37</v>
      </c>
      <c r="B69" s="27" t="s">
        <v>21</v>
      </c>
      <c r="C69" s="58" t="s">
        <v>60</v>
      </c>
      <c r="D69" s="59"/>
      <c r="E69" s="16">
        <v>5</v>
      </c>
      <c r="F69" s="16">
        <v>3</v>
      </c>
      <c r="G69" s="16">
        <v>6</v>
      </c>
      <c r="H69" s="16">
        <v>11</v>
      </c>
      <c r="I69" s="16">
        <v>4</v>
      </c>
      <c r="J69" s="16">
        <v>1</v>
      </c>
      <c r="K69" s="16">
        <v>8</v>
      </c>
      <c r="L69" s="16">
        <v>14</v>
      </c>
      <c r="M69" s="16">
        <v>5</v>
      </c>
      <c r="N69" s="16">
        <v>7</v>
      </c>
      <c r="O69" s="16">
        <v>13</v>
      </c>
      <c r="P69" s="16">
        <v>8</v>
      </c>
      <c r="Q69" s="16">
        <v>9</v>
      </c>
      <c r="R69" s="16">
        <v>9</v>
      </c>
      <c r="S69" s="16">
        <v>16</v>
      </c>
      <c r="T69" s="16">
        <v>9</v>
      </c>
      <c r="U69" s="16">
        <v>11</v>
      </c>
      <c r="V69" s="16">
        <v>10</v>
      </c>
      <c r="W69" s="16">
        <v>11</v>
      </c>
      <c r="X69" s="16">
        <v>19</v>
      </c>
      <c r="Y69" s="16">
        <v>12</v>
      </c>
      <c r="Z69" s="16">
        <v>11</v>
      </c>
      <c r="AA69" s="16">
        <v>14</v>
      </c>
      <c r="AB69" s="16">
        <v>8</v>
      </c>
      <c r="AC69" s="16">
        <v>6</v>
      </c>
      <c r="AD69" s="16">
        <v>8</v>
      </c>
      <c r="AE69" s="16">
        <v>1</v>
      </c>
      <c r="AF69" s="13">
        <f t="shared" ref="AF69:AF78" si="43">SUM(E69:AE69)</f>
        <v>239</v>
      </c>
    </row>
    <row r="70" spans="1:32" ht="12.75" customHeight="1" x14ac:dyDescent="0.3">
      <c r="A70" s="20" t="s">
        <v>39</v>
      </c>
      <c r="B70" s="34"/>
      <c r="C70" s="29" t="s">
        <v>61</v>
      </c>
      <c r="D70" s="36"/>
      <c r="E70" s="16">
        <v>3</v>
      </c>
      <c r="F70" s="16">
        <v>3</v>
      </c>
      <c r="G70" s="16">
        <v>1</v>
      </c>
      <c r="H70" s="16">
        <v>4</v>
      </c>
      <c r="I70" s="16">
        <v>4</v>
      </c>
      <c r="J70" s="16">
        <v>1</v>
      </c>
      <c r="K70" s="16">
        <v>6</v>
      </c>
      <c r="L70" s="16">
        <v>6</v>
      </c>
      <c r="M70" s="16">
        <v>3</v>
      </c>
      <c r="N70" s="16">
        <v>9</v>
      </c>
      <c r="O70" s="16">
        <v>7</v>
      </c>
      <c r="P70" s="16">
        <v>2</v>
      </c>
      <c r="Q70" s="16">
        <v>7</v>
      </c>
      <c r="R70" s="16">
        <v>4</v>
      </c>
      <c r="S70" s="16">
        <v>1</v>
      </c>
      <c r="T70" s="16">
        <v>3</v>
      </c>
      <c r="U70" s="16">
        <v>6</v>
      </c>
      <c r="V70" s="16">
        <v>6</v>
      </c>
      <c r="W70" s="16">
        <v>3</v>
      </c>
      <c r="X70" s="16">
        <v>5</v>
      </c>
      <c r="Y70" s="16">
        <v>11</v>
      </c>
      <c r="Z70" s="16">
        <v>6</v>
      </c>
      <c r="AA70" s="16">
        <v>5</v>
      </c>
      <c r="AB70" s="16">
        <v>3</v>
      </c>
      <c r="AC70" s="16">
        <v>4</v>
      </c>
      <c r="AD70" s="16">
        <v>2</v>
      </c>
      <c r="AE70" s="16">
        <v>1</v>
      </c>
      <c r="AF70" s="13">
        <f t="shared" si="43"/>
        <v>116</v>
      </c>
    </row>
    <row r="71" spans="1:32" ht="12.75" customHeight="1" x14ac:dyDescent="0.3">
      <c r="A71" s="15"/>
      <c r="B71" s="34"/>
      <c r="C71" s="29" t="s">
        <v>62</v>
      </c>
      <c r="D71" s="36"/>
      <c r="E71" s="16">
        <v>5</v>
      </c>
      <c r="F71" s="16">
        <v>2</v>
      </c>
      <c r="G71" s="16">
        <v>2</v>
      </c>
      <c r="H71" s="16">
        <v>20</v>
      </c>
      <c r="I71" s="16">
        <v>32</v>
      </c>
      <c r="J71" s="16">
        <v>5</v>
      </c>
      <c r="K71" s="16">
        <v>10</v>
      </c>
      <c r="L71" s="16">
        <v>3</v>
      </c>
      <c r="M71" s="16">
        <v>8</v>
      </c>
      <c r="N71" s="16">
        <v>6</v>
      </c>
      <c r="O71" s="16">
        <v>4</v>
      </c>
      <c r="P71" s="16">
        <v>2</v>
      </c>
      <c r="Q71" s="16">
        <v>3</v>
      </c>
      <c r="R71" s="16">
        <v>8</v>
      </c>
      <c r="S71" s="16">
        <v>2</v>
      </c>
      <c r="T71" s="16">
        <v>14</v>
      </c>
      <c r="U71" s="16">
        <v>5</v>
      </c>
      <c r="V71" s="16">
        <v>8</v>
      </c>
      <c r="W71" s="16">
        <v>11</v>
      </c>
      <c r="X71" s="16">
        <v>17</v>
      </c>
      <c r="Y71" s="16">
        <v>19</v>
      </c>
      <c r="Z71" s="16">
        <v>35</v>
      </c>
      <c r="AA71" s="16">
        <v>47</v>
      </c>
      <c r="AB71" s="16">
        <v>13</v>
      </c>
      <c r="AC71" s="16">
        <v>17</v>
      </c>
      <c r="AD71" s="16">
        <v>6</v>
      </c>
      <c r="AE71" s="16">
        <v>3</v>
      </c>
      <c r="AF71" s="13">
        <f t="shared" si="43"/>
        <v>307</v>
      </c>
    </row>
    <row r="72" spans="1:32" ht="12.75" customHeight="1" x14ac:dyDescent="0.3">
      <c r="A72" s="15"/>
      <c r="B72" s="34"/>
      <c r="C72" s="29" t="s">
        <v>63</v>
      </c>
      <c r="D72" s="36"/>
      <c r="E72" s="16">
        <v>2</v>
      </c>
      <c r="F72" s="16">
        <v>6</v>
      </c>
      <c r="G72" s="16">
        <v>1</v>
      </c>
      <c r="H72" s="16">
        <v>8</v>
      </c>
      <c r="I72" s="16">
        <v>1</v>
      </c>
      <c r="J72" s="16">
        <v>1</v>
      </c>
      <c r="K72" s="16">
        <v>3</v>
      </c>
      <c r="L72" s="16">
        <v>5</v>
      </c>
      <c r="M72" s="16">
        <v>3</v>
      </c>
      <c r="N72" s="16">
        <v>8</v>
      </c>
      <c r="O72" s="16">
        <v>8</v>
      </c>
      <c r="P72" s="16">
        <v>4</v>
      </c>
      <c r="Q72" s="16">
        <v>4</v>
      </c>
      <c r="R72" s="16">
        <v>1</v>
      </c>
      <c r="S72" s="16">
        <v>1</v>
      </c>
      <c r="T72" s="16">
        <v>2</v>
      </c>
      <c r="U72" s="16">
        <v>7</v>
      </c>
      <c r="V72" s="16">
        <v>8</v>
      </c>
      <c r="W72" s="16">
        <v>3</v>
      </c>
      <c r="X72" s="16">
        <v>3</v>
      </c>
      <c r="Y72" s="16">
        <v>1</v>
      </c>
      <c r="Z72" s="16">
        <v>4</v>
      </c>
      <c r="AA72" s="16">
        <v>0</v>
      </c>
      <c r="AB72" s="16">
        <v>0</v>
      </c>
      <c r="AC72" s="16">
        <v>3</v>
      </c>
      <c r="AD72" s="16">
        <v>2</v>
      </c>
      <c r="AE72" s="16">
        <v>2</v>
      </c>
      <c r="AF72" s="13">
        <f t="shared" si="43"/>
        <v>91</v>
      </c>
    </row>
    <row r="73" spans="1:32" ht="12.75" customHeight="1" x14ac:dyDescent="0.3">
      <c r="A73" s="15"/>
      <c r="B73" s="34"/>
      <c r="C73" s="29" t="s">
        <v>64</v>
      </c>
      <c r="D73" s="36"/>
      <c r="E73" s="16">
        <v>9</v>
      </c>
      <c r="F73" s="16">
        <v>3</v>
      </c>
      <c r="G73" s="16">
        <v>1</v>
      </c>
      <c r="H73" s="16">
        <v>7</v>
      </c>
      <c r="I73" s="16">
        <v>4</v>
      </c>
      <c r="J73" s="16">
        <v>4</v>
      </c>
      <c r="K73" s="16">
        <v>3</v>
      </c>
      <c r="L73" s="16">
        <v>4</v>
      </c>
      <c r="M73" s="16">
        <v>59</v>
      </c>
      <c r="N73" s="16">
        <v>5</v>
      </c>
      <c r="O73" s="16">
        <v>5</v>
      </c>
      <c r="P73" s="16">
        <v>2</v>
      </c>
      <c r="Q73" s="16">
        <v>4</v>
      </c>
      <c r="R73" s="16">
        <v>7</v>
      </c>
      <c r="S73" s="16">
        <v>7</v>
      </c>
      <c r="T73" s="16">
        <v>10</v>
      </c>
      <c r="U73" s="16">
        <v>8</v>
      </c>
      <c r="V73" s="16">
        <v>4</v>
      </c>
      <c r="W73" s="16">
        <v>3</v>
      </c>
      <c r="X73" s="16">
        <v>10</v>
      </c>
      <c r="Y73" s="16">
        <v>3</v>
      </c>
      <c r="Z73" s="16">
        <v>9</v>
      </c>
      <c r="AA73" s="16">
        <v>6</v>
      </c>
      <c r="AB73" s="16">
        <v>4</v>
      </c>
      <c r="AC73" s="16">
        <v>1</v>
      </c>
      <c r="AD73" s="16">
        <v>1</v>
      </c>
      <c r="AE73" s="16">
        <v>1</v>
      </c>
      <c r="AF73" s="13">
        <f t="shared" si="43"/>
        <v>184</v>
      </c>
    </row>
    <row r="74" spans="1:32" ht="12.75" customHeight="1" x14ac:dyDescent="0.3">
      <c r="A74" s="15"/>
      <c r="B74" s="34"/>
      <c r="C74" s="29" t="s">
        <v>65</v>
      </c>
      <c r="D74" s="36"/>
      <c r="E74" s="16">
        <v>4</v>
      </c>
      <c r="F74" s="16">
        <v>3</v>
      </c>
      <c r="G74" s="16">
        <v>1</v>
      </c>
      <c r="H74" s="16">
        <v>2</v>
      </c>
      <c r="I74" s="16">
        <v>0</v>
      </c>
      <c r="J74" s="16">
        <v>1</v>
      </c>
      <c r="K74" s="16">
        <v>1</v>
      </c>
      <c r="L74" s="16">
        <v>1</v>
      </c>
      <c r="M74" s="16">
        <v>1</v>
      </c>
      <c r="N74" s="16">
        <v>1</v>
      </c>
      <c r="O74" s="16">
        <v>4</v>
      </c>
      <c r="P74" s="16">
        <v>6</v>
      </c>
      <c r="Q74" s="16">
        <v>4</v>
      </c>
      <c r="R74" s="16">
        <v>4</v>
      </c>
      <c r="S74" s="16">
        <v>3</v>
      </c>
      <c r="T74" s="16">
        <v>4</v>
      </c>
      <c r="U74" s="16">
        <v>7</v>
      </c>
      <c r="V74" s="16">
        <v>4</v>
      </c>
      <c r="W74" s="16">
        <v>0</v>
      </c>
      <c r="X74" s="16">
        <v>12</v>
      </c>
      <c r="Y74" s="16">
        <v>4</v>
      </c>
      <c r="Z74" s="16">
        <v>5</v>
      </c>
      <c r="AA74" s="16">
        <v>2</v>
      </c>
      <c r="AB74" s="16">
        <v>3</v>
      </c>
      <c r="AC74" s="16">
        <v>2</v>
      </c>
      <c r="AD74" s="16">
        <v>0</v>
      </c>
      <c r="AE74" s="16">
        <v>0</v>
      </c>
      <c r="AF74" s="13">
        <f t="shared" si="43"/>
        <v>79</v>
      </c>
    </row>
    <row r="75" spans="1:32" ht="12.75" customHeight="1" x14ac:dyDescent="0.3">
      <c r="A75" s="15"/>
      <c r="B75" s="34"/>
      <c r="C75" s="29" t="s">
        <v>66</v>
      </c>
      <c r="D75" s="36"/>
      <c r="E75" s="16">
        <v>0</v>
      </c>
      <c r="F75" s="16">
        <v>1</v>
      </c>
      <c r="G75" s="16">
        <v>0</v>
      </c>
      <c r="H75" s="16">
        <v>1</v>
      </c>
      <c r="I75" s="16">
        <v>2</v>
      </c>
      <c r="J75" s="16">
        <v>2</v>
      </c>
      <c r="K75" s="16">
        <v>3</v>
      </c>
      <c r="L75" s="16">
        <v>0</v>
      </c>
      <c r="M75" s="16">
        <v>0</v>
      </c>
      <c r="N75" s="16">
        <v>3</v>
      </c>
      <c r="O75" s="16">
        <v>0</v>
      </c>
      <c r="P75" s="16">
        <v>1</v>
      </c>
      <c r="Q75" s="16">
        <v>0</v>
      </c>
      <c r="R75" s="16">
        <v>3</v>
      </c>
      <c r="S75" s="16">
        <v>2</v>
      </c>
      <c r="T75" s="16">
        <v>3</v>
      </c>
      <c r="U75" s="16">
        <v>6</v>
      </c>
      <c r="V75" s="16">
        <v>0</v>
      </c>
      <c r="W75" s="16">
        <v>0</v>
      </c>
      <c r="X75" s="16">
        <v>3</v>
      </c>
      <c r="Y75" s="16">
        <v>0</v>
      </c>
      <c r="Z75" s="16">
        <v>2</v>
      </c>
      <c r="AA75" s="16">
        <v>2</v>
      </c>
      <c r="AB75" s="16">
        <v>2</v>
      </c>
      <c r="AC75" s="16">
        <v>0</v>
      </c>
      <c r="AD75" s="16">
        <v>0</v>
      </c>
      <c r="AE75" s="16">
        <v>0</v>
      </c>
      <c r="AF75" s="13">
        <f t="shared" si="43"/>
        <v>36</v>
      </c>
    </row>
    <row r="76" spans="1:32" ht="12.75" customHeight="1" x14ac:dyDescent="0.3">
      <c r="A76" s="15"/>
      <c r="B76" s="34"/>
      <c r="C76" s="29" t="s">
        <v>67</v>
      </c>
      <c r="D76" s="36"/>
      <c r="E76" s="16">
        <v>0</v>
      </c>
      <c r="F76" s="16">
        <v>4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1</v>
      </c>
      <c r="N76" s="16">
        <v>0</v>
      </c>
      <c r="O76" s="16">
        <v>0</v>
      </c>
      <c r="P76" s="16">
        <v>0</v>
      </c>
      <c r="Q76" s="16">
        <v>1</v>
      </c>
      <c r="R76" s="16">
        <v>0</v>
      </c>
      <c r="S76" s="16">
        <v>2</v>
      </c>
      <c r="T76" s="16">
        <v>2</v>
      </c>
      <c r="U76" s="16">
        <v>0</v>
      </c>
      <c r="V76" s="16">
        <v>0</v>
      </c>
      <c r="W76" s="16">
        <v>0</v>
      </c>
      <c r="X76" s="16">
        <v>3</v>
      </c>
      <c r="Y76" s="16">
        <v>2</v>
      </c>
      <c r="Z76" s="16">
        <v>0</v>
      </c>
      <c r="AA76" s="16">
        <v>1</v>
      </c>
      <c r="AB76" s="16">
        <v>1</v>
      </c>
      <c r="AC76" s="16">
        <v>2</v>
      </c>
      <c r="AD76" s="16">
        <v>1</v>
      </c>
      <c r="AE76" s="16">
        <v>2</v>
      </c>
      <c r="AF76" s="13">
        <f t="shared" si="43"/>
        <v>22</v>
      </c>
    </row>
    <row r="77" spans="1:32" ht="12.75" customHeight="1" x14ac:dyDescent="0.3">
      <c r="A77" s="15"/>
      <c r="B77" s="34"/>
      <c r="C77" s="29" t="s">
        <v>68</v>
      </c>
      <c r="D77" s="36"/>
      <c r="E77" s="16">
        <v>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3</v>
      </c>
      <c r="L77" s="16">
        <v>1</v>
      </c>
      <c r="M77" s="16">
        <v>1</v>
      </c>
      <c r="N77" s="16">
        <v>1</v>
      </c>
      <c r="O77" s="16">
        <v>0</v>
      </c>
      <c r="P77" s="16">
        <v>1</v>
      </c>
      <c r="Q77" s="16">
        <v>0</v>
      </c>
      <c r="R77" s="16">
        <v>1</v>
      </c>
      <c r="S77" s="16">
        <v>2</v>
      </c>
      <c r="T77" s="16">
        <v>1</v>
      </c>
      <c r="U77" s="16">
        <v>3</v>
      </c>
      <c r="V77" s="16">
        <v>0</v>
      </c>
      <c r="W77" s="16">
        <v>0</v>
      </c>
      <c r="X77" s="16">
        <v>0</v>
      </c>
      <c r="Y77" s="16">
        <v>1</v>
      </c>
      <c r="Z77" s="16">
        <v>0</v>
      </c>
      <c r="AA77" s="16">
        <v>1</v>
      </c>
      <c r="AB77" s="16">
        <v>0</v>
      </c>
      <c r="AC77" s="16">
        <v>0</v>
      </c>
      <c r="AD77" s="16">
        <v>0</v>
      </c>
      <c r="AE77" s="16">
        <v>0</v>
      </c>
      <c r="AF77" s="13">
        <f t="shared" si="43"/>
        <v>17</v>
      </c>
    </row>
    <row r="78" spans="1:32" ht="12.75" customHeight="1" x14ac:dyDescent="0.3">
      <c r="A78" s="15"/>
      <c r="B78" s="34"/>
      <c r="C78" s="29" t="s">
        <v>69</v>
      </c>
      <c r="D78" s="36"/>
      <c r="E78" s="16">
        <v>2</v>
      </c>
      <c r="F78" s="16">
        <v>3</v>
      </c>
      <c r="G78" s="16">
        <v>3</v>
      </c>
      <c r="H78" s="16">
        <v>5</v>
      </c>
      <c r="I78" s="16">
        <v>5</v>
      </c>
      <c r="J78" s="16">
        <v>8</v>
      </c>
      <c r="K78" s="16">
        <v>4</v>
      </c>
      <c r="L78" s="16">
        <v>4</v>
      </c>
      <c r="M78" s="16">
        <v>7</v>
      </c>
      <c r="N78" s="16">
        <v>0</v>
      </c>
      <c r="O78" s="16">
        <v>5</v>
      </c>
      <c r="P78" s="16">
        <v>1</v>
      </c>
      <c r="Q78" s="16">
        <v>1</v>
      </c>
      <c r="R78" s="16">
        <v>0</v>
      </c>
      <c r="S78" s="16">
        <v>1</v>
      </c>
      <c r="T78" s="16">
        <v>3</v>
      </c>
      <c r="U78" s="16">
        <v>1</v>
      </c>
      <c r="V78" s="16">
        <v>1</v>
      </c>
      <c r="W78" s="16">
        <v>2</v>
      </c>
      <c r="X78" s="16">
        <v>0</v>
      </c>
      <c r="Y78" s="16">
        <v>0</v>
      </c>
      <c r="Z78" s="16">
        <v>4</v>
      </c>
      <c r="AA78" s="16">
        <v>1</v>
      </c>
      <c r="AB78" s="16">
        <v>0</v>
      </c>
      <c r="AC78" s="16">
        <v>3</v>
      </c>
      <c r="AD78" s="16">
        <v>0</v>
      </c>
      <c r="AE78" s="16">
        <v>4</v>
      </c>
      <c r="AF78" s="13">
        <f t="shared" si="43"/>
        <v>68</v>
      </c>
    </row>
    <row r="79" spans="1:32" ht="12.75" customHeight="1" x14ac:dyDescent="0.3">
      <c r="A79" s="16" t="s">
        <v>15</v>
      </c>
      <c r="B79" s="60" t="s">
        <v>49</v>
      </c>
      <c r="C79" s="61"/>
      <c r="D79" s="59"/>
      <c r="E79" s="13">
        <f>SUM(E69:E78)</f>
        <v>31</v>
      </c>
      <c r="F79" s="13">
        <f t="shared" ref="F79" si="44">SUM(F69:F78)</f>
        <v>28</v>
      </c>
      <c r="G79" s="13">
        <f t="shared" ref="G79" si="45">SUM(G69:G78)</f>
        <v>15</v>
      </c>
      <c r="H79" s="13">
        <f t="shared" ref="H79" si="46">SUM(H69:H78)</f>
        <v>58</v>
      </c>
      <c r="I79" s="13">
        <f t="shared" ref="I79" si="47">SUM(I69:I78)</f>
        <v>52</v>
      </c>
      <c r="J79" s="13">
        <f t="shared" ref="J79" si="48">SUM(J69:J78)</f>
        <v>23</v>
      </c>
      <c r="K79" s="13">
        <f t="shared" ref="K79" si="49">SUM(K69:K78)</f>
        <v>41</v>
      </c>
      <c r="L79" s="13">
        <f t="shared" ref="L79" si="50">SUM(L69:L78)</f>
        <v>38</v>
      </c>
      <c r="M79" s="13">
        <f t="shared" ref="M79" si="51">SUM(M69:M78)</f>
        <v>88</v>
      </c>
      <c r="N79" s="13">
        <f t="shared" ref="N79" si="52">SUM(N69:N78)</f>
        <v>40</v>
      </c>
      <c r="O79" s="13">
        <f t="shared" ref="O79" si="53">SUM(O69:O78)</f>
        <v>46</v>
      </c>
      <c r="P79" s="13">
        <f t="shared" ref="P79" si="54">SUM(P69:P78)</f>
        <v>27</v>
      </c>
      <c r="Q79" s="13">
        <f t="shared" ref="Q79" si="55">SUM(Q69:Q78)</f>
        <v>33</v>
      </c>
      <c r="R79" s="13">
        <f t="shared" ref="R79" si="56">SUM(R69:R78)</f>
        <v>37</v>
      </c>
      <c r="S79" s="13">
        <f t="shared" ref="S79" si="57">SUM(S69:S78)</f>
        <v>37</v>
      </c>
      <c r="T79" s="13">
        <f t="shared" ref="T79" si="58">SUM(T69:T78)</f>
        <v>51</v>
      </c>
      <c r="U79" s="13">
        <f t="shared" ref="U79" si="59">SUM(U69:U78)</f>
        <v>54</v>
      </c>
      <c r="V79" s="13">
        <f t="shared" ref="V79" si="60">SUM(V69:V78)</f>
        <v>41</v>
      </c>
      <c r="W79" s="13">
        <f t="shared" ref="W79" si="61">SUM(W69:W78)</f>
        <v>33</v>
      </c>
      <c r="X79" s="13">
        <f t="shared" ref="X79" si="62">SUM(X69:X78)</f>
        <v>72</v>
      </c>
      <c r="Y79" s="13">
        <f t="shared" ref="Y79" si="63">SUM(Y69:Y78)</f>
        <v>53</v>
      </c>
      <c r="Z79" s="13">
        <f t="shared" ref="Z79" si="64">SUM(Z69:Z78)</f>
        <v>76</v>
      </c>
      <c r="AA79" s="13">
        <f t="shared" ref="AA79" si="65">SUM(AA69:AA78)</f>
        <v>79</v>
      </c>
      <c r="AB79" s="13">
        <f t="shared" ref="AB79" si="66">SUM(AB69:AB78)</f>
        <v>34</v>
      </c>
      <c r="AC79" s="13">
        <f t="shared" ref="AC79" si="67">SUM(AC69:AC78)</f>
        <v>38</v>
      </c>
      <c r="AD79" s="13">
        <f t="shared" ref="AD79" si="68">SUM(AD69:AD78)</f>
        <v>20</v>
      </c>
      <c r="AE79" s="13">
        <f t="shared" ref="AE79" si="69">SUM(AE69:AE78)</f>
        <v>14</v>
      </c>
      <c r="AF79" s="13">
        <f t="shared" ref="AF79" si="70">SUM(AF69:AF78)</f>
        <v>1159</v>
      </c>
    </row>
    <row r="80" spans="1:32" ht="12.75" customHeight="1" x14ac:dyDescent="0.3">
      <c r="A80" s="63"/>
      <c r="B80" s="64"/>
      <c r="C80" s="64"/>
      <c r="D80" s="64"/>
      <c r="E80" s="64"/>
    </row>
    <row r="81" spans="1:32" ht="12.75" customHeight="1" x14ac:dyDescent="0.3">
      <c r="A81" s="20" t="s">
        <v>37</v>
      </c>
      <c r="B81" s="27" t="s">
        <v>23</v>
      </c>
      <c r="C81" s="58" t="s">
        <v>70</v>
      </c>
      <c r="D81" s="59"/>
      <c r="E81" s="16">
        <v>3</v>
      </c>
      <c r="F81" s="16">
        <v>8</v>
      </c>
      <c r="G81" s="16">
        <v>5</v>
      </c>
      <c r="H81" s="16">
        <v>2</v>
      </c>
      <c r="I81" s="16">
        <v>2</v>
      </c>
      <c r="J81" s="16">
        <v>2</v>
      </c>
      <c r="K81" s="16">
        <v>2</v>
      </c>
      <c r="L81" s="16">
        <v>5</v>
      </c>
      <c r="M81" s="16">
        <v>1</v>
      </c>
      <c r="N81" s="16">
        <v>1</v>
      </c>
      <c r="O81" s="16">
        <v>2</v>
      </c>
      <c r="P81" s="16">
        <v>0</v>
      </c>
      <c r="Q81" s="16">
        <v>2</v>
      </c>
      <c r="R81" s="16">
        <v>1</v>
      </c>
      <c r="S81" s="16">
        <v>3</v>
      </c>
      <c r="T81" s="16">
        <v>2</v>
      </c>
      <c r="U81" s="16">
        <v>1</v>
      </c>
      <c r="V81" s="16">
        <v>1</v>
      </c>
      <c r="W81" s="16">
        <v>4</v>
      </c>
      <c r="X81" s="16">
        <v>2</v>
      </c>
      <c r="Y81" s="16">
        <v>4</v>
      </c>
      <c r="Z81" s="16">
        <v>4</v>
      </c>
      <c r="AA81" s="16">
        <v>0</v>
      </c>
      <c r="AB81" s="16">
        <v>2</v>
      </c>
      <c r="AC81" s="16">
        <v>0</v>
      </c>
      <c r="AD81" s="16">
        <v>0</v>
      </c>
      <c r="AE81" s="16">
        <v>0</v>
      </c>
      <c r="AF81" s="13">
        <f t="shared" ref="AF81:AF90" si="71">SUM(E81:AE81)</f>
        <v>59</v>
      </c>
    </row>
    <row r="82" spans="1:32" ht="12.75" customHeight="1" x14ac:dyDescent="0.3">
      <c r="A82" s="20" t="s">
        <v>39</v>
      </c>
      <c r="B82" s="34"/>
      <c r="C82" s="29" t="s">
        <v>71</v>
      </c>
      <c r="D82" s="36"/>
      <c r="E82" s="16">
        <v>21</v>
      </c>
      <c r="F82" s="16">
        <v>59</v>
      </c>
      <c r="G82" s="16">
        <v>93</v>
      </c>
      <c r="H82" s="16">
        <v>42</v>
      </c>
      <c r="I82" s="16">
        <v>34</v>
      </c>
      <c r="J82" s="16">
        <v>0</v>
      </c>
      <c r="K82" s="16">
        <v>48</v>
      </c>
      <c r="L82" s="16">
        <v>16</v>
      </c>
      <c r="M82" s="16">
        <v>24</v>
      </c>
      <c r="N82" s="16">
        <v>13</v>
      </c>
      <c r="O82" s="16">
        <v>4</v>
      </c>
      <c r="P82" s="16">
        <v>2</v>
      </c>
      <c r="Q82" s="16">
        <v>15</v>
      </c>
      <c r="R82" s="16">
        <v>11</v>
      </c>
      <c r="S82" s="16">
        <v>25</v>
      </c>
      <c r="T82" s="16">
        <v>0</v>
      </c>
      <c r="U82" s="16">
        <v>5</v>
      </c>
      <c r="V82" s="16">
        <v>0</v>
      </c>
      <c r="W82" s="16">
        <v>3</v>
      </c>
      <c r="X82" s="16">
        <v>15</v>
      </c>
      <c r="Y82" s="16">
        <v>31</v>
      </c>
      <c r="Z82" s="16">
        <v>27</v>
      </c>
      <c r="AA82" s="16">
        <v>4</v>
      </c>
      <c r="AB82" s="16">
        <v>2</v>
      </c>
      <c r="AC82" s="16">
        <v>3</v>
      </c>
      <c r="AD82" s="16">
        <v>0</v>
      </c>
      <c r="AE82" s="16">
        <v>1</v>
      </c>
      <c r="AF82" s="13">
        <f t="shared" si="71"/>
        <v>498</v>
      </c>
    </row>
    <row r="83" spans="1:32" ht="12.75" customHeight="1" x14ac:dyDescent="0.3">
      <c r="A83" s="15"/>
      <c r="B83" s="34"/>
      <c r="C83" s="29" t="s">
        <v>72</v>
      </c>
      <c r="D83" s="36"/>
      <c r="E83" s="16">
        <v>0</v>
      </c>
      <c r="F83" s="16">
        <v>0</v>
      </c>
      <c r="G83" s="16">
        <v>3</v>
      </c>
      <c r="H83" s="16">
        <v>0</v>
      </c>
      <c r="I83" s="16">
        <v>0</v>
      </c>
      <c r="J83" s="16">
        <v>0</v>
      </c>
      <c r="K83" s="16">
        <v>1</v>
      </c>
      <c r="L83" s="16">
        <v>1</v>
      </c>
      <c r="M83" s="16">
        <v>0</v>
      </c>
      <c r="N83" s="16">
        <v>0</v>
      </c>
      <c r="O83" s="16">
        <v>1</v>
      </c>
      <c r="P83" s="16">
        <v>1</v>
      </c>
      <c r="Q83" s="16">
        <v>1</v>
      </c>
      <c r="R83" s="16">
        <v>1</v>
      </c>
      <c r="S83" s="16">
        <v>0</v>
      </c>
      <c r="T83" s="16">
        <v>0</v>
      </c>
      <c r="U83" s="16">
        <v>1</v>
      </c>
      <c r="V83" s="16">
        <v>0</v>
      </c>
      <c r="W83" s="16">
        <v>0</v>
      </c>
      <c r="X83" s="16">
        <v>1</v>
      </c>
      <c r="Y83" s="16">
        <v>0</v>
      </c>
      <c r="Z83" s="16">
        <v>0</v>
      </c>
      <c r="AA83" s="16">
        <v>0</v>
      </c>
      <c r="AB83" s="16">
        <v>0</v>
      </c>
      <c r="AC83" s="16">
        <v>1</v>
      </c>
      <c r="AD83" s="16">
        <v>1</v>
      </c>
      <c r="AE83" s="16">
        <v>0</v>
      </c>
      <c r="AF83" s="13">
        <f t="shared" si="71"/>
        <v>13</v>
      </c>
    </row>
    <row r="84" spans="1:32" ht="12.75" customHeight="1" x14ac:dyDescent="0.3">
      <c r="A84" s="15"/>
      <c r="B84" s="34"/>
      <c r="C84" s="29" t="s">
        <v>73</v>
      </c>
      <c r="D84" s="36"/>
      <c r="E84" s="16">
        <v>0</v>
      </c>
      <c r="F84" s="16">
        <v>1</v>
      </c>
      <c r="G84" s="16">
        <v>0</v>
      </c>
      <c r="H84" s="16">
        <v>1</v>
      </c>
      <c r="I84" s="16">
        <v>1</v>
      </c>
      <c r="J84" s="16">
        <v>0</v>
      </c>
      <c r="K84" s="16">
        <v>0</v>
      </c>
      <c r="L84" s="16">
        <v>2</v>
      </c>
      <c r="M84" s="16">
        <v>0</v>
      </c>
      <c r="N84" s="16">
        <v>0</v>
      </c>
      <c r="O84" s="16">
        <v>0</v>
      </c>
      <c r="P84" s="16">
        <v>2</v>
      </c>
      <c r="Q84" s="16">
        <v>0</v>
      </c>
      <c r="R84" s="16">
        <v>1</v>
      </c>
      <c r="S84" s="16">
        <v>0</v>
      </c>
      <c r="T84" s="16">
        <v>1</v>
      </c>
      <c r="U84" s="16">
        <v>1</v>
      </c>
      <c r="V84" s="16">
        <v>0</v>
      </c>
      <c r="W84" s="16">
        <v>0</v>
      </c>
      <c r="X84" s="16">
        <v>1</v>
      </c>
      <c r="Y84" s="16">
        <v>1</v>
      </c>
      <c r="Z84" s="16">
        <v>1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3">
        <f t="shared" si="71"/>
        <v>13</v>
      </c>
    </row>
    <row r="85" spans="1:32" ht="12.75" customHeight="1" x14ac:dyDescent="0.3">
      <c r="A85" s="15"/>
      <c r="B85" s="34"/>
      <c r="C85" s="29" t="s">
        <v>74</v>
      </c>
      <c r="D85" s="36"/>
      <c r="E85" s="16">
        <v>4</v>
      </c>
      <c r="F85" s="16">
        <v>2</v>
      </c>
      <c r="G85" s="16">
        <v>0</v>
      </c>
      <c r="H85" s="16">
        <v>2</v>
      </c>
      <c r="I85" s="16">
        <v>0</v>
      </c>
      <c r="J85" s="16">
        <v>0</v>
      </c>
      <c r="K85" s="16">
        <v>2</v>
      </c>
      <c r="L85" s="16">
        <v>0</v>
      </c>
      <c r="M85" s="16">
        <v>0</v>
      </c>
      <c r="N85" s="16">
        <v>0</v>
      </c>
      <c r="O85" s="16">
        <v>1</v>
      </c>
      <c r="P85" s="16">
        <v>0</v>
      </c>
      <c r="Q85" s="16">
        <v>1</v>
      </c>
      <c r="R85" s="16">
        <v>1</v>
      </c>
      <c r="S85" s="16">
        <v>0</v>
      </c>
      <c r="T85" s="16">
        <v>0</v>
      </c>
      <c r="U85" s="16">
        <v>2</v>
      </c>
      <c r="V85" s="16">
        <v>0</v>
      </c>
      <c r="W85" s="16">
        <v>0</v>
      </c>
      <c r="X85" s="16">
        <v>2</v>
      </c>
      <c r="Y85" s="16">
        <v>1</v>
      </c>
      <c r="Z85" s="16">
        <v>0</v>
      </c>
      <c r="AA85" s="16">
        <v>1</v>
      </c>
      <c r="AB85" s="16">
        <v>0</v>
      </c>
      <c r="AC85" s="16">
        <v>3</v>
      </c>
      <c r="AD85" s="16">
        <v>0</v>
      </c>
      <c r="AE85" s="16">
        <v>0</v>
      </c>
      <c r="AF85" s="13">
        <f t="shared" si="71"/>
        <v>22</v>
      </c>
    </row>
    <row r="86" spans="1:32" ht="12.75" customHeight="1" x14ac:dyDescent="0.3">
      <c r="A86" s="15"/>
      <c r="B86" s="34"/>
      <c r="C86" s="29" t="s">
        <v>75</v>
      </c>
      <c r="D86" s="36"/>
      <c r="E86" s="16">
        <v>2</v>
      </c>
      <c r="F86" s="16">
        <v>0</v>
      </c>
      <c r="G86" s="16">
        <v>1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1</v>
      </c>
      <c r="P86" s="16">
        <v>2</v>
      </c>
      <c r="Q86" s="16">
        <v>0</v>
      </c>
      <c r="R86" s="16">
        <v>4</v>
      </c>
      <c r="S86" s="16">
        <v>1</v>
      </c>
      <c r="T86" s="16">
        <v>1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3">
        <f t="shared" si="71"/>
        <v>12</v>
      </c>
    </row>
    <row r="87" spans="1:32" ht="12.75" customHeight="1" x14ac:dyDescent="0.3">
      <c r="A87" s="15"/>
      <c r="B87" s="34"/>
      <c r="C87" s="29" t="s">
        <v>76</v>
      </c>
      <c r="D87" s="36"/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1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3">
        <f t="shared" si="71"/>
        <v>1</v>
      </c>
    </row>
    <row r="88" spans="1:32" ht="12.75" customHeight="1" x14ac:dyDescent="0.3">
      <c r="A88" s="15"/>
      <c r="B88" s="34"/>
      <c r="C88" s="29" t="s">
        <v>77</v>
      </c>
      <c r="D88" s="36"/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1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1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3">
        <f t="shared" si="71"/>
        <v>2</v>
      </c>
    </row>
    <row r="89" spans="1:32" ht="12.75" customHeight="1" x14ac:dyDescent="0.3">
      <c r="A89" s="15"/>
      <c r="B89" s="34"/>
      <c r="C89" s="29" t="s">
        <v>78</v>
      </c>
      <c r="D89" s="36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1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1</v>
      </c>
      <c r="AF89" s="13">
        <f t="shared" si="71"/>
        <v>2</v>
      </c>
    </row>
    <row r="90" spans="1:32" ht="12.75" customHeight="1" x14ac:dyDescent="0.3">
      <c r="A90" s="15"/>
      <c r="B90" s="34"/>
      <c r="C90" s="29" t="s">
        <v>79</v>
      </c>
      <c r="D90" s="36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1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1</v>
      </c>
      <c r="V90" s="16">
        <v>0</v>
      </c>
      <c r="W90" s="16">
        <v>0</v>
      </c>
      <c r="X90" s="16">
        <v>0</v>
      </c>
      <c r="Y90" s="16">
        <v>0</v>
      </c>
      <c r="Z90" s="16">
        <v>1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3">
        <f t="shared" si="71"/>
        <v>3</v>
      </c>
    </row>
    <row r="91" spans="1:32" ht="12.75" customHeight="1" x14ac:dyDescent="0.3">
      <c r="A91" s="16" t="s">
        <v>15</v>
      </c>
      <c r="B91" s="60" t="s">
        <v>49</v>
      </c>
      <c r="C91" s="61"/>
      <c r="D91" s="59"/>
      <c r="E91" s="13">
        <f>SUM(E81:E90)</f>
        <v>30</v>
      </c>
      <c r="F91" s="13">
        <f t="shared" ref="F91" si="72">SUM(F81:F90)</f>
        <v>70</v>
      </c>
      <c r="G91" s="13">
        <f t="shared" ref="G91" si="73">SUM(G81:G90)</f>
        <v>102</v>
      </c>
      <c r="H91" s="13">
        <f t="shared" ref="H91" si="74">SUM(H81:H90)</f>
        <v>47</v>
      </c>
      <c r="I91" s="13">
        <f t="shared" ref="I91" si="75">SUM(I81:I90)</f>
        <v>37</v>
      </c>
      <c r="J91" s="13">
        <f t="shared" ref="J91" si="76">SUM(J81:J90)</f>
        <v>2</v>
      </c>
      <c r="K91" s="13">
        <f t="shared" ref="K91" si="77">SUM(K81:K90)</f>
        <v>53</v>
      </c>
      <c r="L91" s="13">
        <f t="shared" ref="L91" si="78">SUM(L81:L90)</f>
        <v>24</v>
      </c>
      <c r="M91" s="13">
        <f t="shared" ref="M91" si="79">SUM(M81:M90)</f>
        <v>26</v>
      </c>
      <c r="N91" s="13">
        <f t="shared" ref="N91" si="80">SUM(N81:N90)</f>
        <v>14</v>
      </c>
      <c r="O91" s="13">
        <f t="shared" ref="O91" si="81">SUM(O81:O90)</f>
        <v>11</v>
      </c>
      <c r="P91" s="13">
        <f t="shared" ref="P91" si="82">SUM(P81:P90)</f>
        <v>7</v>
      </c>
      <c r="Q91" s="13">
        <f t="shared" ref="Q91" si="83">SUM(Q81:Q90)</f>
        <v>19</v>
      </c>
      <c r="R91" s="13">
        <f t="shared" ref="R91" si="84">SUM(R81:R90)</f>
        <v>19</v>
      </c>
      <c r="S91" s="13">
        <f t="shared" ref="S91" si="85">SUM(S81:S90)</f>
        <v>29</v>
      </c>
      <c r="T91" s="13">
        <f t="shared" ref="T91" si="86">SUM(T81:T90)</f>
        <v>4</v>
      </c>
      <c r="U91" s="13">
        <f t="shared" ref="U91" si="87">SUM(U81:U90)</f>
        <v>11</v>
      </c>
      <c r="V91" s="13">
        <f t="shared" ref="V91" si="88">SUM(V81:V90)</f>
        <v>1</v>
      </c>
      <c r="W91" s="13">
        <f t="shared" ref="W91" si="89">SUM(W81:W90)</f>
        <v>7</v>
      </c>
      <c r="X91" s="13">
        <f t="shared" ref="X91" si="90">SUM(X81:X90)</f>
        <v>23</v>
      </c>
      <c r="Y91" s="13">
        <f t="shared" ref="Y91" si="91">SUM(Y81:Y90)</f>
        <v>37</v>
      </c>
      <c r="Z91" s="13">
        <f t="shared" ref="Z91" si="92">SUM(Z81:Z90)</f>
        <v>33</v>
      </c>
      <c r="AA91" s="13">
        <f t="shared" ref="AA91" si="93">SUM(AA81:AA90)</f>
        <v>5</v>
      </c>
      <c r="AB91" s="13">
        <f t="shared" ref="AB91" si="94">SUM(AB81:AB90)</f>
        <v>4</v>
      </c>
      <c r="AC91" s="13">
        <f t="shared" ref="AC91" si="95">SUM(AC81:AC90)</f>
        <v>7</v>
      </c>
      <c r="AD91" s="13">
        <f t="shared" ref="AD91" si="96">SUM(AD81:AD90)</f>
        <v>1</v>
      </c>
      <c r="AE91" s="13">
        <f t="shared" ref="AE91" si="97">SUM(AE81:AE90)</f>
        <v>2</v>
      </c>
      <c r="AF91" s="13">
        <f t="shared" ref="AF91" si="98">SUM(AF81:AF90)</f>
        <v>625</v>
      </c>
    </row>
    <row r="92" spans="1:32" ht="12.75" customHeight="1" x14ac:dyDescent="0.3">
      <c r="A92" s="63"/>
      <c r="B92" s="64"/>
      <c r="C92" s="64"/>
      <c r="D92" s="64"/>
      <c r="E92" s="64"/>
    </row>
    <row r="93" spans="1:32" ht="12.75" customHeight="1" x14ac:dyDescent="0.3">
      <c r="A93" s="20" t="s">
        <v>37</v>
      </c>
      <c r="B93" s="27" t="s">
        <v>80</v>
      </c>
      <c r="C93" s="58" t="s">
        <v>81</v>
      </c>
      <c r="D93" s="59"/>
      <c r="E93" s="16">
        <v>2</v>
      </c>
      <c r="F93" s="16">
        <v>4</v>
      </c>
      <c r="G93" s="16">
        <v>8</v>
      </c>
      <c r="H93" s="16">
        <v>2</v>
      </c>
      <c r="I93" s="16">
        <v>2</v>
      </c>
      <c r="J93" s="16">
        <v>0</v>
      </c>
      <c r="K93" s="16">
        <v>2</v>
      </c>
      <c r="L93" s="16">
        <v>3</v>
      </c>
      <c r="M93" s="16">
        <v>1</v>
      </c>
      <c r="N93" s="16">
        <v>2</v>
      </c>
      <c r="O93" s="16">
        <v>5</v>
      </c>
      <c r="P93" s="16">
        <v>2</v>
      </c>
      <c r="Q93" s="16">
        <v>6</v>
      </c>
      <c r="R93" s="16">
        <v>8</v>
      </c>
      <c r="S93" s="16">
        <v>4</v>
      </c>
      <c r="T93" s="16">
        <v>0</v>
      </c>
      <c r="U93" s="16">
        <v>3</v>
      </c>
      <c r="V93" s="16">
        <v>13</v>
      </c>
      <c r="W93" s="16">
        <v>0</v>
      </c>
      <c r="X93" s="16">
        <v>3</v>
      </c>
      <c r="Y93" s="16">
        <v>8</v>
      </c>
      <c r="Z93" s="16">
        <v>4</v>
      </c>
      <c r="AA93" s="16">
        <v>2</v>
      </c>
      <c r="AB93" s="16">
        <v>6</v>
      </c>
      <c r="AC93" s="16">
        <v>3</v>
      </c>
      <c r="AD93" s="16">
        <v>0</v>
      </c>
      <c r="AE93" s="16">
        <v>1</v>
      </c>
      <c r="AF93" s="13">
        <f t="shared" ref="AF93:AF102" si="99">SUM(E93:AE93)</f>
        <v>94</v>
      </c>
    </row>
    <row r="94" spans="1:32" ht="12.75" customHeight="1" x14ac:dyDescent="0.3">
      <c r="A94" s="20" t="s">
        <v>39</v>
      </c>
      <c r="B94" s="34"/>
      <c r="C94" s="29" t="s">
        <v>82</v>
      </c>
      <c r="D94" s="36"/>
      <c r="E94" s="16">
        <v>2</v>
      </c>
      <c r="F94" s="16">
        <v>0</v>
      </c>
      <c r="G94" s="16">
        <v>2</v>
      </c>
      <c r="H94" s="16">
        <v>0</v>
      </c>
      <c r="I94" s="16">
        <v>0</v>
      </c>
      <c r="J94" s="16">
        <v>0</v>
      </c>
      <c r="K94" s="16">
        <v>1</v>
      </c>
      <c r="L94" s="16">
        <v>1</v>
      </c>
      <c r="M94" s="16">
        <v>0</v>
      </c>
      <c r="N94" s="16">
        <v>1</v>
      </c>
      <c r="O94" s="16">
        <v>1</v>
      </c>
      <c r="P94" s="16">
        <v>1</v>
      </c>
      <c r="Q94" s="16">
        <v>2</v>
      </c>
      <c r="R94" s="16">
        <v>11</v>
      </c>
      <c r="S94" s="16">
        <v>1</v>
      </c>
      <c r="T94" s="16">
        <v>2</v>
      </c>
      <c r="U94" s="16">
        <v>2</v>
      </c>
      <c r="V94" s="16">
        <v>1</v>
      </c>
      <c r="W94" s="16">
        <v>0</v>
      </c>
      <c r="X94" s="16">
        <v>1</v>
      </c>
      <c r="Y94" s="16">
        <v>2</v>
      </c>
      <c r="Z94" s="16">
        <v>5</v>
      </c>
      <c r="AA94" s="16">
        <v>0</v>
      </c>
      <c r="AB94" s="16">
        <v>0</v>
      </c>
      <c r="AC94" s="16">
        <v>1</v>
      </c>
      <c r="AD94" s="16">
        <v>1</v>
      </c>
      <c r="AE94" s="16">
        <v>0</v>
      </c>
      <c r="AF94" s="13">
        <f t="shared" si="99"/>
        <v>38</v>
      </c>
    </row>
    <row r="95" spans="1:32" ht="12.75" customHeight="1" x14ac:dyDescent="0.3">
      <c r="A95" s="15"/>
      <c r="B95" s="34"/>
      <c r="C95" s="29" t="s">
        <v>83</v>
      </c>
      <c r="D95" s="36"/>
      <c r="E95" s="16">
        <v>1</v>
      </c>
      <c r="F95" s="16">
        <v>0</v>
      </c>
      <c r="G95" s="16">
        <v>0</v>
      </c>
      <c r="H95" s="16">
        <v>0</v>
      </c>
      <c r="I95" s="16">
        <v>1</v>
      </c>
      <c r="J95" s="16">
        <v>0</v>
      </c>
      <c r="K95" s="16">
        <v>0</v>
      </c>
      <c r="L95" s="16">
        <v>1</v>
      </c>
      <c r="M95" s="16">
        <v>1</v>
      </c>
      <c r="N95" s="16">
        <v>1</v>
      </c>
      <c r="O95" s="16">
        <v>0</v>
      </c>
      <c r="P95" s="16">
        <v>0</v>
      </c>
      <c r="Q95" s="16">
        <v>2</v>
      </c>
      <c r="R95" s="16">
        <v>1</v>
      </c>
      <c r="S95" s="16">
        <v>0</v>
      </c>
      <c r="T95" s="16">
        <v>0</v>
      </c>
      <c r="U95" s="16">
        <v>1</v>
      </c>
      <c r="V95" s="16">
        <v>0</v>
      </c>
      <c r="W95" s="16">
        <v>0</v>
      </c>
      <c r="X95" s="16">
        <v>0</v>
      </c>
      <c r="Y95" s="16">
        <v>2</v>
      </c>
      <c r="Z95" s="16">
        <v>0</v>
      </c>
      <c r="AA95" s="16">
        <v>1</v>
      </c>
      <c r="AB95" s="16">
        <v>0</v>
      </c>
      <c r="AC95" s="16">
        <v>0</v>
      </c>
      <c r="AD95" s="16">
        <v>0</v>
      </c>
      <c r="AE95" s="16">
        <v>0</v>
      </c>
      <c r="AF95" s="13">
        <f t="shared" si="99"/>
        <v>12</v>
      </c>
    </row>
    <row r="96" spans="1:32" ht="12.75" customHeight="1" x14ac:dyDescent="0.3">
      <c r="A96" s="15"/>
      <c r="B96" s="34"/>
      <c r="C96" s="29" t="s">
        <v>84</v>
      </c>
      <c r="D96" s="36"/>
      <c r="E96" s="16">
        <v>0</v>
      </c>
      <c r="F96" s="16">
        <v>1</v>
      </c>
      <c r="G96" s="16">
        <v>1</v>
      </c>
      <c r="H96" s="16">
        <v>0</v>
      </c>
      <c r="I96" s="16">
        <v>0</v>
      </c>
      <c r="J96" s="16">
        <v>0</v>
      </c>
      <c r="K96" s="16">
        <v>0</v>
      </c>
      <c r="L96" s="16">
        <v>1</v>
      </c>
      <c r="M96" s="16">
        <v>0</v>
      </c>
      <c r="N96" s="16">
        <v>0</v>
      </c>
      <c r="O96" s="16">
        <v>1</v>
      </c>
      <c r="P96" s="16">
        <v>0</v>
      </c>
      <c r="Q96" s="16">
        <v>1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2</v>
      </c>
      <c r="AA96" s="16">
        <v>1</v>
      </c>
      <c r="AB96" s="16">
        <v>0</v>
      </c>
      <c r="AC96" s="16">
        <v>0</v>
      </c>
      <c r="AD96" s="16">
        <v>0</v>
      </c>
      <c r="AE96" s="16">
        <v>0</v>
      </c>
      <c r="AF96" s="13">
        <f t="shared" si="99"/>
        <v>8</v>
      </c>
    </row>
    <row r="97" spans="1:32" ht="12.75" customHeight="1" x14ac:dyDescent="0.3">
      <c r="A97" s="15"/>
      <c r="B97" s="34"/>
      <c r="C97" s="29" t="s">
        <v>85</v>
      </c>
      <c r="D97" s="36"/>
      <c r="E97" s="16">
        <v>2</v>
      </c>
      <c r="F97" s="16">
        <v>1</v>
      </c>
      <c r="G97" s="16">
        <v>2</v>
      </c>
      <c r="H97" s="16">
        <v>1</v>
      </c>
      <c r="I97" s="16">
        <v>1</v>
      </c>
      <c r="J97" s="16">
        <v>0</v>
      </c>
      <c r="K97" s="16">
        <v>1</v>
      </c>
      <c r="L97" s="16">
        <v>1</v>
      </c>
      <c r="M97" s="16">
        <v>1</v>
      </c>
      <c r="N97" s="16">
        <v>0</v>
      </c>
      <c r="O97" s="16">
        <v>4</v>
      </c>
      <c r="P97" s="16">
        <v>2</v>
      </c>
      <c r="Q97" s="16">
        <v>0</v>
      </c>
      <c r="R97" s="16">
        <v>0</v>
      </c>
      <c r="S97" s="16">
        <v>2</v>
      </c>
      <c r="T97" s="16">
        <v>1</v>
      </c>
      <c r="U97" s="16">
        <v>1</v>
      </c>
      <c r="V97" s="16">
        <v>0</v>
      </c>
      <c r="W97" s="16">
        <v>0</v>
      </c>
      <c r="X97" s="16">
        <v>0</v>
      </c>
      <c r="Y97" s="16">
        <v>0</v>
      </c>
      <c r="Z97" s="16">
        <v>1</v>
      </c>
      <c r="AA97" s="16">
        <v>1</v>
      </c>
      <c r="AB97" s="16">
        <v>0</v>
      </c>
      <c r="AC97" s="16">
        <v>0</v>
      </c>
      <c r="AD97" s="16">
        <v>0</v>
      </c>
      <c r="AE97" s="16">
        <v>0</v>
      </c>
      <c r="AF97" s="13">
        <f t="shared" si="99"/>
        <v>22</v>
      </c>
    </row>
    <row r="98" spans="1:32" ht="12.75" customHeight="1" x14ac:dyDescent="0.3">
      <c r="A98" s="15"/>
      <c r="B98" s="34"/>
      <c r="C98" s="29" t="s">
        <v>86</v>
      </c>
      <c r="D98" s="36"/>
      <c r="E98" s="16">
        <v>1</v>
      </c>
      <c r="F98" s="16">
        <v>2</v>
      </c>
      <c r="G98" s="16">
        <v>1</v>
      </c>
      <c r="H98" s="16">
        <v>0</v>
      </c>
      <c r="I98" s="16">
        <v>0</v>
      </c>
      <c r="J98" s="16">
        <v>0</v>
      </c>
      <c r="K98" s="16">
        <v>0</v>
      </c>
      <c r="L98" s="16">
        <v>1</v>
      </c>
      <c r="M98" s="16">
        <v>2</v>
      </c>
      <c r="N98" s="16">
        <v>0</v>
      </c>
      <c r="O98" s="16">
        <v>1</v>
      </c>
      <c r="P98" s="16">
        <v>1</v>
      </c>
      <c r="Q98" s="16">
        <v>1</v>
      </c>
      <c r="R98" s="16">
        <v>0</v>
      </c>
      <c r="S98" s="16">
        <v>1</v>
      </c>
      <c r="T98" s="16">
        <v>0</v>
      </c>
      <c r="U98" s="16">
        <v>0</v>
      </c>
      <c r="V98" s="16">
        <v>1</v>
      </c>
      <c r="W98" s="16">
        <v>0</v>
      </c>
      <c r="X98" s="16">
        <v>2</v>
      </c>
      <c r="Y98" s="16">
        <v>3</v>
      </c>
      <c r="Z98" s="16">
        <v>5</v>
      </c>
      <c r="AA98" s="16">
        <v>1</v>
      </c>
      <c r="AB98" s="16">
        <v>0</v>
      </c>
      <c r="AC98" s="16">
        <v>2</v>
      </c>
      <c r="AD98" s="16">
        <v>0</v>
      </c>
      <c r="AE98" s="16">
        <v>0</v>
      </c>
      <c r="AF98" s="13">
        <f t="shared" si="99"/>
        <v>25</v>
      </c>
    </row>
    <row r="99" spans="1:32" ht="12.75" customHeight="1" x14ac:dyDescent="0.3">
      <c r="A99" s="15"/>
      <c r="B99" s="34"/>
      <c r="C99" s="29" t="s">
        <v>87</v>
      </c>
      <c r="D99" s="36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</v>
      </c>
      <c r="O99" s="16">
        <v>1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1</v>
      </c>
      <c r="V99" s="16">
        <v>0</v>
      </c>
      <c r="W99" s="16">
        <v>0</v>
      </c>
      <c r="X99" s="16">
        <v>0</v>
      </c>
      <c r="Y99" s="16">
        <v>1</v>
      </c>
      <c r="Z99" s="16">
        <v>1</v>
      </c>
      <c r="AA99" s="16">
        <v>0</v>
      </c>
      <c r="AB99" s="16">
        <v>5</v>
      </c>
      <c r="AC99" s="16">
        <v>1</v>
      </c>
      <c r="AD99" s="16">
        <v>0</v>
      </c>
      <c r="AE99" s="16">
        <v>0</v>
      </c>
      <c r="AF99" s="13">
        <f t="shared" si="99"/>
        <v>11</v>
      </c>
    </row>
    <row r="100" spans="1:32" ht="12.75" customHeight="1" x14ac:dyDescent="0.3">
      <c r="A100" s="15"/>
      <c r="B100" s="34"/>
      <c r="C100" s="29" t="s">
        <v>88</v>
      </c>
      <c r="D100" s="36"/>
      <c r="E100" s="16">
        <v>0</v>
      </c>
      <c r="F100" s="16">
        <v>0</v>
      </c>
      <c r="G100" s="16">
        <v>0</v>
      </c>
      <c r="H100" s="16">
        <v>1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1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1</v>
      </c>
      <c r="Z100" s="16">
        <v>0</v>
      </c>
      <c r="AA100" s="16">
        <v>0</v>
      </c>
      <c r="AB100" s="16">
        <v>2</v>
      </c>
      <c r="AC100" s="16">
        <v>0</v>
      </c>
      <c r="AD100" s="16">
        <v>0</v>
      </c>
      <c r="AE100" s="16">
        <v>0</v>
      </c>
      <c r="AF100" s="13">
        <f t="shared" si="99"/>
        <v>5</v>
      </c>
    </row>
    <row r="101" spans="1:32" ht="12.75" customHeight="1" x14ac:dyDescent="0.3">
      <c r="A101" s="15"/>
      <c r="B101" s="34"/>
      <c r="C101" s="29" t="s">
        <v>89</v>
      </c>
      <c r="D101" s="36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1</v>
      </c>
      <c r="W101" s="16">
        <v>0</v>
      </c>
      <c r="X101" s="16">
        <v>0</v>
      </c>
      <c r="Y101" s="16">
        <v>0</v>
      </c>
      <c r="Z101" s="16">
        <v>1</v>
      </c>
      <c r="AA101" s="16">
        <v>0</v>
      </c>
      <c r="AB101" s="16">
        <v>1</v>
      </c>
      <c r="AC101" s="16">
        <v>0</v>
      </c>
      <c r="AD101" s="16">
        <v>0</v>
      </c>
      <c r="AE101" s="16">
        <v>0</v>
      </c>
      <c r="AF101" s="13">
        <f t="shared" si="99"/>
        <v>3</v>
      </c>
    </row>
    <row r="102" spans="1:32" ht="12.75" customHeight="1" x14ac:dyDescent="0.3">
      <c r="A102" s="15"/>
      <c r="B102" s="34"/>
      <c r="C102" s="29" t="s">
        <v>90</v>
      </c>
      <c r="D102" s="36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1</v>
      </c>
      <c r="S102" s="16">
        <v>1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3">
        <f t="shared" si="99"/>
        <v>2</v>
      </c>
    </row>
    <row r="103" spans="1:32" ht="12.75" customHeight="1" x14ac:dyDescent="0.3">
      <c r="A103" s="16" t="s">
        <v>15</v>
      </c>
      <c r="B103" s="60" t="s">
        <v>49</v>
      </c>
      <c r="C103" s="61"/>
      <c r="D103" s="59"/>
      <c r="E103" s="13">
        <f>SUM(E93:E102)</f>
        <v>8</v>
      </c>
      <c r="F103" s="13">
        <f t="shared" ref="F103" si="100">SUM(F93:F102)</f>
        <v>8</v>
      </c>
      <c r="G103" s="13">
        <f t="shared" ref="G103" si="101">SUM(G93:G102)</f>
        <v>14</v>
      </c>
      <c r="H103" s="13">
        <f t="shared" ref="H103" si="102">SUM(H93:H102)</f>
        <v>4</v>
      </c>
      <c r="I103" s="13">
        <f t="shared" ref="I103" si="103">SUM(I93:I102)</f>
        <v>4</v>
      </c>
      <c r="J103" s="13">
        <f t="shared" ref="J103" si="104">SUM(J93:J102)</f>
        <v>0</v>
      </c>
      <c r="K103" s="13">
        <f t="shared" ref="K103" si="105">SUM(K93:K102)</f>
        <v>4</v>
      </c>
      <c r="L103" s="13">
        <f t="shared" ref="L103" si="106">SUM(L93:L102)</f>
        <v>8</v>
      </c>
      <c r="M103" s="13">
        <f t="shared" ref="M103" si="107">SUM(M93:M102)</f>
        <v>5</v>
      </c>
      <c r="N103" s="13">
        <f t="shared" ref="N103" si="108">SUM(N93:N102)</f>
        <v>5</v>
      </c>
      <c r="O103" s="13">
        <f t="shared" ref="O103" si="109">SUM(O93:O102)</f>
        <v>13</v>
      </c>
      <c r="P103" s="13">
        <f t="shared" ref="P103" si="110">SUM(P93:P102)</f>
        <v>6</v>
      </c>
      <c r="Q103" s="13">
        <f t="shared" ref="Q103" si="111">SUM(Q93:Q102)</f>
        <v>13</v>
      </c>
      <c r="R103" s="13">
        <f t="shared" ref="R103" si="112">SUM(R93:R102)</f>
        <v>21</v>
      </c>
      <c r="S103" s="13">
        <f t="shared" ref="S103" si="113">SUM(S93:S102)</f>
        <v>9</v>
      </c>
      <c r="T103" s="13">
        <f t="shared" ref="T103" si="114">SUM(T93:T102)</f>
        <v>3</v>
      </c>
      <c r="U103" s="13">
        <f t="shared" ref="U103" si="115">SUM(U93:U102)</f>
        <v>8</v>
      </c>
      <c r="V103" s="13">
        <f t="shared" ref="V103" si="116">SUM(V93:V102)</f>
        <v>16</v>
      </c>
      <c r="W103" s="13">
        <f t="shared" ref="W103" si="117">SUM(W93:W102)</f>
        <v>0</v>
      </c>
      <c r="X103" s="13">
        <f t="shared" ref="X103" si="118">SUM(X93:X102)</f>
        <v>6</v>
      </c>
      <c r="Y103" s="13">
        <f t="shared" ref="Y103" si="119">SUM(Y93:Y102)</f>
        <v>17</v>
      </c>
      <c r="Z103" s="13">
        <f t="shared" ref="Z103" si="120">SUM(Z93:Z102)</f>
        <v>19</v>
      </c>
      <c r="AA103" s="13">
        <f t="shared" ref="AA103" si="121">SUM(AA93:AA102)</f>
        <v>6</v>
      </c>
      <c r="AB103" s="13">
        <f t="shared" ref="AB103" si="122">SUM(AB93:AB102)</f>
        <v>14</v>
      </c>
      <c r="AC103" s="13">
        <f t="shared" ref="AC103" si="123">SUM(AC93:AC102)</f>
        <v>7</v>
      </c>
      <c r="AD103" s="13">
        <f t="shared" ref="AD103" si="124">SUM(AD93:AD102)</f>
        <v>1</v>
      </c>
      <c r="AE103" s="13">
        <f t="shared" ref="AE103" si="125">SUM(AE93:AE102)</f>
        <v>1</v>
      </c>
      <c r="AF103" s="13">
        <f t="shared" ref="AF103" si="126">SUM(AF93:AF102)</f>
        <v>220</v>
      </c>
    </row>
    <row r="104" spans="1:32" ht="12.75" customHeight="1" x14ac:dyDescent="0.3">
      <c r="A104" s="63"/>
      <c r="B104" s="64"/>
      <c r="C104" s="64"/>
      <c r="D104" s="64"/>
      <c r="E104" s="6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</row>
    <row r="105" spans="1:32" ht="12.75" customHeight="1" x14ac:dyDescent="0.3">
      <c r="A105" s="20" t="s">
        <v>37</v>
      </c>
      <c r="B105" s="27" t="s">
        <v>91</v>
      </c>
      <c r="C105" s="58" t="s">
        <v>92</v>
      </c>
      <c r="D105" s="59"/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2</v>
      </c>
      <c r="P105" s="16">
        <v>1</v>
      </c>
      <c r="Q105" s="16">
        <v>0</v>
      </c>
      <c r="R105" s="16">
        <v>0</v>
      </c>
      <c r="S105" s="16">
        <v>0</v>
      </c>
      <c r="T105" s="16">
        <v>1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1</v>
      </c>
      <c r="AE105" s="16">
        <v>0</v>
      </c>
      <c r="AF105" s="13">
        <f t="shared" ref="AF105:AF107" si="127">SUM(E105:AE105)</f>
        <v>5</v>
      </c>
    </row>
    <row r="106" spans="1:32" ht="12.75" customHeight="1" x14ac:dyDescent="0.3">
      <c r="A106" s="20" t="s">
        <v>39</v>
      </c>
      <c r="B106" s="34"/>
      <c r="C106" s="29" t="s">
        <v>93</v>
      </c>
      <c r="D106" s="36"/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3">
        <f t="shared" si="127"/>
        <v>0</v>
      </c>
    </row>
    <row r="107" spans="1:32" ht="12.75" customHeight="1" x14ac:dyDescent="0.3">
      <c r="A107" s="15"/>
      <c r="B107" s="34"/>
      <c r="C107" s="29" t="s">
        <v>94</v>
      </c>
      <c r="D107" s="36"/>
      <c r="E107" s="16">
        <v>1</v>
      </c>
      <c r="F107" s="16">
        <v>0</v>
      </c>
      <c r="G107" s="16">
        <v>0</v>
      </c>
      <c r="H107" s="16">
        <v>1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</v>
      </c>
      <c r="O107" s="16">
        <v>0</v>
      </c>
      <c r="P107" s="16">
        <v>1</v>
      </c>
      <c r="Q107" s="16">
        <v>1</v>
      </c>
      <c r="R107" s="16">
        <v>0</v>
      </c>
      <c r="S107" s="16">
        <v>0</v>
      </c>
      <c r="T107" s="16">
        <v>1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2</v>
      </c>
      <c r="AD107" s="16">
        <v>0</v>
      </c>
      <c r="AE107" s="16">
        <v>0</v>
      </c>
      <c r="AF107" s="13">
        <f t="shared" si="127"/>
        <v>8</v>
      </c>
    </row>
    <row r="108" spans="1:32" ht="12.75" customHeight="1" x14ac:dyDescent="0.3">
      <c r="A108" s="15"/>
      <c r="B108" s="37"/>
      <c r="C108" s="38"/>
      <c r="D108" s="39"/>
      <c r="E108" s="5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56"/>
    </row>
    <row r="109" spans="1:32" ht="12.75" customHeight="1" x14ac:dyDescent="0.3">
      <c r="A109" s="15"/>
      <c r="B109" s="37"/>
      <c r="C109" s="38"/>
      <c r="D109" s="39"/>
      <c r="E109" s="5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56"/>
    </row>
    <row r="110" spans="1:32" ht="12.75" customHeight="1" x14ac:dyDescent="0.3">
      <c r="A110" s="15"/>
      <c r="B110" s="37"/>
      <c r="C110" s="38"/>
      <c r="D110" s="39"/>
      <c r="E110" s="5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56"/>
    </row>
    <row r="111" spans="1:32" ht="12.75" customHeight="1" x14ac:dyDescent="0.3">
      <c r="A111" s="15"/>
      <c r="B111" s="37"/>
      <c r="C111" s="38"/>
      <c r="D111" s="39"/>
      <c r="E111" s="5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56"/>
    </row>
    <row r="112" spans="1:32" ht="12.75" customHeight="1" x14ac:dyDescent="0.3">
      <c r="A112" s="15"/>
      <c r="B112" s="37"/>
      <c r="C112" s="38"/>
      <c r="D112" s="39"/>
      <c r="E112" s="5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56"/>
    </row>
    <row r="113" spans="1:34" ht="12.75" customHeight="1" x14ac:dyDescent="0.3">
      <c r="A113" s="15"/>
      <c r="B113" s="37"/>
      <c r="C113" s="38"/>
      <c r="D113" s="39"/>
      <c r="E113" s="5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56"/>
    </row>
    <row r="114" spans="1:34" ht="12.75" customHeight="1" x14ac:dyDescent="0.3">
      <c r="A114" s="15"/>
      <c r="B114" s="37"/>
      <c r="C114" s="38"/>
      <c r="D114" s="39"/>
      <c r="E114" s="5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56"/>
    </row>
    <row r="115" spans="1:34" ht="12.75" customHeight="1" x14ac:dyDescent="0.3">
      <c r="A115" s="16" t="s">
        <v>15</v>
      </c>
      <c r="B115" s="60" t="s">
        <v>49</v>
      </c>
      <c r="C115" s="61"/>
      <c r="D115" s="59"/>
      <c r="E115" s="13">
        <f>SUM(E105:E114)</f>
        <v>1</v>
      </c>
      <c r="F115" s="13">
        <f t="shared" ref="F115" si="128">SUM(F105:F114)</f>
        <v>0</v>
      </c>
      <c r="G115" s="13">
        <f t="shared" ref="G115" si="129">SUM(G105:G114)</f>
        <v>0</v>
      </c>
      <c r="H115" s="13">
        <f t="shared" ref="H115" si="130">SUM(H105:H114)</f>
        <v>1</v>
      </c>
      <c r="I115" s="13">
        <f t="shared" ref="I115" si="131">SUM(I105:I114)</f>
        <v>0</v>
      </c>
      <c r="J115" s="13">
        <f t="shared" ref="J115" si="132">SUM(J105:J114)</f>
        <v>0</v>
      </c>
      <c r="K115" s="13">
        <f t="shared" ref="K115" si="133">SUM(K105:K114)</f>
        <v>0</v>
      </c>
      <c r="L115" s="13">
        <f t="shared" ref="L115" si="134">SUM(L105:L114)</f>
        <v>0</v>
      </c>
      <c r="M115" s="13">
        <f t="shared" ref="M115" si="135">SUM(M105:M114)</f>
        <v>0</v>
      </c>
      <c r="N115" s="13">
        <f t="shared" ref="N115" si="136">SUM(N105:N114)</f>
        <v>1</v>
      </c>
      <c r="O115" s="13">
        <f t="shared" ref="O115" si="137">SUM(O105:O114)</f>
        <v>2</v>
      </c>
      <c r="P115" s="13">
        <f t="shared" ref="P115" si="138">SUM(P105:P114)</f>
        <v>2</v>
      </c>
      <c r="Q115" s="13">
        <f t="shared" ref="Q115" si="139">SUM(Q105:Q114)</f>
        <v>1</v>
      </c>
      <c r="R115" s="13">
        <f t="shared" ref="R115" si="140">SUM(R105:R114)</f>
        <v>0</v>
      </c>
      <c r="S115" s="13">
        <f t="shared" ref="S115" si="141">SUM(S105:S114)</f>
        <v>0</v>
      </c>
      <c r="T115" s="13">
        <f t="shared" ref="T115" si="142">SUM(T105:T114)</f>
        <v>2</v>
      </c>
      <c r="U115" s="13">
        <f t="shared" ref="U115" si="143">SUM(U105:U114)</f>
        <v>0</v>
      </c>
      <c r="V115" s="13">
        <f t="shared" ref="V115" si="144">SUM(V105:V114)</f>
        <v>0</v>
      </c>
      <c r="W115" s="13">
        <f t="shared" ref="W115" si="145">SUM(W105:W114)</f>
        <v>0</v>
      </c>
      <c r="X115" s="13">
        <f t="shared" ref="X115" si="146">SUM(X105:X114)</f>
        <v>0</v>
      </c>
      <c r="Y115" s="13">
        <f t="shared" ref="Y115" si="147">SUM(Y105:Y114)</f>
        <v>0</v>
      </c>
      <c r="Z115" s="13">
        <f t="shared" ref="Z115" si="148">SUM(Z105:Z114)</f>
        <v>0</v>
      </c>
      <c r="AA115" s="13">
        <f t="shared" ref="AA115" si="149">SUM(AA105:AA114)</f>
        <v>0</v>
      </c>
      <c r="AB115" s="13">
        <f t="shared" ref="AB115" si="150">SUM(AB105:AB114)</f>
        <v>0</v>
      </c>
      <c r="AC115" s="13">
        <f t="shared" ref="AC115" si="151">SUM(AC105:AC114)</f>
        <v>2</v>
      </c>
      <c r="AD115" s="13">
        <f t="shared" ref="AD115" si="152">SUM(AD105:AD114)</f>
        <v>1</v>
      </c>
      <c r="AE115" s="13">
        <f t="shared" ref="AE115" si="153">SUM(AE105:AE114)</f>
        <v>0</v>
      </c>
      <c r="AF115" s="13">
        <f t="shared" ref="AF115" si="154">SUM(AF105:AF114)</f>
        <v>13</v>
      </c>
    </row>
    <row r="116" spans="1:34" ht="12.75" customHeight="1" x14ac:dyDescent="0.3">
      <c r="A116" s="62"/>
      <c r="B116" s="61"/>
      <c r="C116" s="61"/>
      <c r="D116" s="61"/>
      <c r="E116" s="59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AF116" s="13"/>
    </row>
    <row r="117" spans="1:34" ht="12.75" customHeight="1" x14ac:dyDescent="0.3">
      <c r="A117" s="20" t="s">
        <v>37</v>
      </c>
      <c r="B117" s="27" t="s">
        <v>95</v>
      </c>
      <c r="C117" s="58" t="s">
        <v>96</v>
      </c>
      <c r="D117" s="59"/>
      <c r="E117" s="16">
        <v>1</v>
      </c>
      <c r="F117" s="16">
        <v>4</v>
      </c>
      <c r="G117" s="16">
        <v>0</v>
      </c>
      <c r="H117" s="16">
        <v>0</v>
      </c>
      <c r="I117" s="16">
        <v>0</v>
      </c>
      <c r="J117" s="16">
        <v>0</v>
      </c>
      <c r="K117" s="16">
        <v>2</v>
      </c>
      <c r="L117" s="16">
        <v>1</v>
      </c>
      <c r="M117" s="16">
        <v>1</v>
      </c>
      <c r="N117" s="16">
        <v>0</v>
      </c>
      <c r="O117" s="16">
        <v>0</v>
      </c>
      <c r="P117" s="16">
        <v>1</v>
      </c>
      <c r="Q117" s="16">
        <v>0</v>
      </c>
      <c r="R117" s="16">
        <v>0</v>
      </c>
      <c r="S117" s="16">
        <v>2</v>
      </c>
      <c r="T117" s="16">
        <v>0</v>
      </c>
      <c r="U117" s="16">
        <v>0</v>
      </c>
      <c r="V117" s="16">
        <v>2</v>
      </c>
      <c r="W117" s="16">
        <v>1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1</v>
      </c>
      <c r="AE117" s="16">
        <v>2</v>
      </c>
      <c r="AF117" s="13">
        <f t="shared" ref="AF117:AF122" si="155">SUM(E117:AE117)</f>
        <v>18</v>
      </c>
      <c r="AG117" s="5"/>
      <c r="AH117" s="5"/>
    </row>
    <row r="118" spans="1:34" ht="12.75" customHeight="1" x14ac:dyDescent="0.3">
      <c r="A118" s="20" t="s">
        <v>39</v>
      </c>
      <c r="B118" s="34"/>
      <c r="C118" s="29" t="s">
        <v>97</v>
      </c>
      <c r="D118" s="36"/>
      <c r="E118" s="16">
        <v>0</v>
      </c>
      <c r="F118" s="16">
        <v>1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1</v>
      </c>
      <c r="V118" s="16">
        <v>0</v>
      </c>
      <c r="W118" s="16">
        <v>0</v>
      </c>
      <c r="X118" s="16">
        <v>1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3">
        <f t="shared" si="155"/>
        <v>3</v>
      </c>
      <c r="AG118" s="5"/>
      <c r="AH118" s="5"/>
    </row>
    <row r="119" spans="1:34" ht="12.75" customHeight="1" x14ac:dyDescent="0.3">
      <c r="A119" s="15"/>
      <c r="B119" s="34"/>
      <c r="C119" s="29" t="s">
        <v>98</v>
      </c>
      <c r="D119" s="36"/>
      <c r="E119" s="16">
        <v>0</v>
      </c>
      <c r="F119" s="16">
        <v>1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</v>
      </c>
      <c r="M119" s="16">
        <v>2</v>
      </c>
      <c r="N119" s="16">
        <v>0</v>
      </c>
      <c r="O119" s="16">
        <v>0</v>
      </c>
      <c r="P119" s="16">
        <v>0</v>
      </c>
      <c r="Q119" s="16">
        <v>0</v>
      </c>
      <c r="R119" s="16">
        <v>1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3">
        <f t="shared" si="155"/>
        <v>5</v>
      </c>
      <c r="AG119" s="5"/>
      <c r="AH119" s="5"/>
    </row>
    <row r="120" spans="1:34" ht="12.75" customHeight="1" x14ac:dyDescent="0.3">
      <c r="A120" s="15"/>
      <c r="B120" s="34"/>
      <c r="C120" s="29" t="s">
        <v>99</v>
      </c>
      <c r="D120" s="36"/>
      <c r="E120" s="16">
        <v>1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1</v>
      </c>
      <c r="T120" s="16">
        <v>0</v>
      </c>
      <c r="U120" s="16">
        <v>0</v>
      </c>
      <c r="V120" s="16">
        <v>0</v>
      </c>
      <c r="W120" s="16">
        <v>1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1</v>
      </c>
      <c r="AD120" s="16">
        <v>1</v>
      </c>
      <c r="AE120" s="16">
        <v>0</v>
      </c>
      <c r="AF120" s="13">
        <f t="shared" si="155"/>
        <v>6</v>
      </c>
      <c r="AG120" s="5"/>
      <c r="AH120" s="5"/>
    </row>
    <row r="121" spans="1:34" ht="12.75" customHeight="1" x14ac:dyDescent="0.3">
      <c r="A121" s="15"/>
      <c r="B121" s="34"/>
      <c r="C121" s="29" t="s">
        <v>100</v>
      </c>
      <c r="D121" s="36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1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3">
        <f t="shared" si="155"/>
        <v>1</v>
      </c>
      <c r="AG121" s="5"/>
      <c r="AH121" s="5"/>
    </row>
    <row r="122" spans="1:34" ht="12.75" customHeight="1" x14ac:dyDescent="0.3">
      <c r="A122" s="15"/>
      <c r="B122" s="34"/>
      <c r="C122" s="29" t="s">
        <v>101</v>
      </c>
      <c r="D122" s="36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2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1</v>
      </c>
      <c r="AE122" s="16">
        <v>0</v>
      </c>
      <c r="AF122" s="13">
        <f t="shared" si="155"/>
        <v>3</v>
      </c>
      <c r="AG122" s="5"/>
      <c r="AH122" s="5"/>
    </row>
    <row r="123" spans="1:34" ht="12.75" customHeight="1" x14ac:dyDescent="0.3">
      <c r="A123" s="15"/>
      <c r="B123" s="37"/>
      <c r="C123" s="38"/>
      <c r="D123" s="39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56"/>
      <c r="AG123" s="5"/>
      <c r="AH123" s="5"/>
    </row>
    <row r="124" spans="1:34" ht="12.75" customHeight="1" x14ac:dyDescent="0.3">
      <c r="A124" s="15"/>
      <c r="B124" s="37"/>
      <c r="C124" s="38"/>
      <c r="D124" s="39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56"/>
      <c r="AG124" s="5"/>
      <c r="AH124" s="5"/>
    </row>
    <row r="125" spans="1:34" ht="12.75" customHeight="1" x14ac:dyDescent="0.3">
      <c r="A125" s="15"/>
      <c r="B125" s="37"/>
      <c r="C125" s="38"/>
      <c r="D125" s="39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56"/>
      <c r="AG125" s="5"/>
      <c r="AH125" s="5"/>
    </row>
    <row r="126" spans="1:34" ht="12.75" customHeight="1" x14ac:dyDescent="0.3">
      <c r="A126" s="15"/>
      <c r="B126" s="37"/>
      <c r="C126" s="38"/>
      <c r="D126" s="39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56"/>
      <c r="AG126" s="5"/>
      <c r="AH126" s="5"/>
    </row>
    <row r="127" spans="1:34" ht="12.75" customHeight="1" x14ac:dyDescent="0.3">
      <c r="A127" s="16" t="s">
        <v>15</v>
      </c>
      <c r="B127" s="60" t="s">
        <v>49</v>
      </c>
      <c r="C127" s="61"/>
      <c r="D127" s="59"/>
      <c r="E127" s="13">
        <f>SUM(E117:E126)</f>
        <v>2</v>
      </c>
      <c r="F127" s="13">
        <f t="shared" ref="F127" si="156">SUM(F117:F126)</f>
        <v>6</v>
      </c>
      <c r="G127" s="13">
        <f t="shared" ref="G127" si="157">SUM(G117:G126)</f>
        <v>0</v>
      </c>
      <c r="H127" s="13">
        <f t="shared" ref="H127" si="158">SUM(H117:H126)</f>
        <v>0</v>
      </c>
      <c r="I127" s="13">
        <f t="shared" ref="I127" si="159">SUM(I117:I126)</f>
        <v>0</v>
      </c>
      <c r="J127" s="13">
        <f t="shared" ref="J127" si="160">SUM(J117:J126)</f>
        <v>0</v>
      </c>
      <c r="K127" s="13">
        <f t="shared" ref="K127" si="161">SUM(K117:K126)</f>
        <v>2</v>
      </c>
      <c r="L127" s="13">
        <f t="shared" ref="L127" si="162">SUM(L117:L126)</f>
        <v>3</v>
      </c>
      <c r="M127" s="13">
        <f t="shared" ref="M127" si="163">SUM(M117:M126)</f>
        <v>3</v>
      </c>
      <c r="N127" s="13">
        <f t="shared" ref="N127" si="164">SUM(N117:N126)</f>
        <v>0</v>
      </c>
      <c r="O127" s="13">
        <f t="shared" ref="O127" si="165">SUM(O117:O126)</f>
        <v>0</v>
      </c>
      <c r="P127" s="13">
        <f t="shared" ref="P127" si="166">SUM(P117:P126)</f>
        <v>1</v>
      </c>
      <c r="Q127" s="13">
        <f t="shared" ref="Q127" si="167">SUM(Q117:Q126)</f>
        <v>0</v>
      </c>
      <c r="R127" s="13">
        <f t="shared" ref="R127" si="168">SUM(R117:R126)</f>
        <v>2</v>
      </c>
      <c r="S127" s="13">
        <f t="shared" ref="S127" si="169">SUM(S117:S126)</f>
        <v>3</v>
      </c>
      <c r="T127" s="13">
        <f t="shared" ref="T127" si="170">SUM(T117:T126)</f>
        <v>2</v>
      </c>
      <c r="U127" s="13">
        <f t="shared" ref="U127" si="171">SUM(U117:U126)</f>
        <v>1</v>
      </c>
      <c r="V127" s="13">
        <f t="shared" ref="V127" si="172">SUM(V117:V126)</f>
        <v>2</v>
      </c>
      <c r="W127" s="13">
        <f t="shared" ref="W127" si="173">SUM(W117:W126)</f>
        <v>2</v>
      </c>
      <c r="X127" s="13">
        <f t="shared" ref="X127" si="174">SUM(X117:X126)</f>
        <v>1</v>
      </c>
      <c r="Y127" s="13">
        <f t="shared" ref="Y127" si="175">SUM(Y117:Y126)</f>
        <v>0</v>
      </c>
      <c r="Z127" s="13">
        <f t="shared" ref="Z127" si="176">SUM(Z117:Z126)</f>
        <v>0</v>
      </c>
      <c r="AA127" s="13">
        <f t="shared" ref="AA127" si="177">SUM(AA117:AA126)</f>
        <v>0</v>
      </c>
      <c r="AB127" s="13">
        <f t="shared" ref="AB127" si="178">SUM(AB117:AB126)</f>
        <v>0</v>
      </c>
      <c r="AC127" s="13">
        <f t="shared" ref="AC127" si="179">SUM(AC117:AC126)</f>
        <v>1</v>
      </c>
      <c r="AD127" s="13">
        <f t="shared" ref="AD127" si="180">SUM(AD117:AD126)</f>
        <v>3</v>
      </c>
      <c r="AE127" s="13">
        <f t="shared" ref="AE127" si="181">SUM(AE117:AE126)</f>
        <v>2</v>
      </c>
      <c r="AF127" s="13">
        <f t="shared" ref="AF127" si="182">SUM(AF117:AF126)</f>
        <v>36</v>
      </c>
      <c r="AG127" s="5"/>
      <c r="AH127" s="5"/>
    </row>
    <row r="128" spans="1:34" ht="12.75" customHeight="1" x14ac:dyDescent="0.3">
      <c r="A128" s="62"/>
      <c r="B128" s="61"/>
      <c r="C128" s="61"/>
      <c r="D128" s="61"/>
      <c r="E128" s="59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"/>
      <c r="AH128" s="5"/>
    </row>
    <row r="129" spans="1:34" ht="12.75" customHeight="1" x14ac:dyDescent="0.3">
      <c r="A129" s="20" t="s">
        <v>37</v>
      </c>
      <c r="B129" s="27" t="s">
        <v>102</v>
      </c>
      <c r="C129" s="58" t="s">
        <v>103</v>
      </c>
      <c r="D129" s="59"/>
      <c r="E129" s="16">
        <v>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1</v>
      </c>
      <c r="N129" s="16">
        <v>1</v>
      </c>
      <c r="O129" s="16">
        <v>2</v>
      </c>
      <c r="P129" s="16">
        <v>0</v>
      </c>
      <c r="Q129" s="16">
        <v>0</v>
      </c>
      <c r="R129" s="16">
        <v>1</v>
      </c>
      <c r="S129" s="16">
        <v>1</v>
      </c>
      <c r="T129" s="16">
        <v>3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1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3">
        <f t="shared" ref="AF129:AF138" si="183">SUM(E129:AE129)</f>
        <v>11</v>
      </c>
      <c r="AG129" s="5"/>
      <c r="AH129" s="5"/>
    </row>
    <row r="130" spans="1:34" ht="12.75" customHeight="1" x14ac:dyDescent="0.3">
      <c r="A130" s="20" t="s">
        <v>39</v>
      </c>
      <c r="B130" s="34"/>
      <c r="C130" s="29" t="s">
        <v>104</v>
      </c>
      <c r="D130" s="35"/>
      <c r="E130" s="16">
        <v>2</v>
      </c>
      <c r="F130" s="16">
        <v>1</v>
      </c>
      <c r="G130" s="16">
        <v>1</v>
      </c>
      <c r="H130" s="16">
        <v>0</v>
      </c>
      <c r="I130" s="16">
        <v>1</v>
      </c>
      <c r="J130" s="16">
        <v>0</v>
      </c>
      <c r="K130" s="16">
        <v>0</v>
      </c>
      <c r="L130" s="16">
        <v>3</v>
      </c>
      <c r="M130" s="16">
        <v>0</v>
      </c>
      <c r="N130" s="16">
        <v>0</v>
      </c>
      <c r="O130" s="16">
        <v>4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1</v>
      </c>
      <c r="V130" s="16">
        <v>1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1</v>
      </c>
      <c r="AD130" s="16">
        <v>0</v>
      </c>
      <c r="AE130" s="16">
        <v>0</v>
      </c>
      <c r="AF130" s="13">
        <f t="shared" si="183"/>
        <v>15</v>
      </c>
      <c r="AG130" s="1"/>
      <c r="AH130" s="1"/>
    </row>
    <row r="131" spans="1:34" ht="12.75" customHeight="1" x14ac:dyDescent="0.3">
      <c r="A131" s="15"/>
      <c r="B131" s="34"/>
      <c r="C131" s="29" t="s">
        <v>105</v>
      </c>
      <c r="D131" s="35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1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3">
        <f t="shared" si="183"/>
        <v>1</v>
      </c>
      <c r="AG131" s="31"/>
      <c r="AH131" s="31"/>
    </row>
    <row r="132" spans="1:34" ht="12.75" customHeight="1" x14ac:dyDescent="0.3">
      <c r="A132" s="15"/>
      <c r="B132" s="34"/>
      <c r="C132" s="29" t="s">
        <v>106</v>
      </c>
      <c r="D132" s="35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3">
        <f t="shared" si="183"/>
        <v>0</v>
      </c>
      <c r="AG132" s="5"/>
      <c r="AH132" s="5"/>
    </row>
    <row r="133" spans="1:34" ht="12.75" customHeight="1" x14ac:dyDescent="0.3">
      <c r="A133" s="15"/>
      <c r="B133" s="34"/>
      <c r="C133" s="29" t="s">
        <v>107</v>
      </c>
      <c r="D133" s="3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3">
        <f t="shared" si="183"/>
        <v>0</v>
      </c>
      <c r="AG133" s="5"/>
      <c r="AH133" s="5"/>
    </row>
    <row r="134" spans="1:34" ht="12.75" customHeight="1" x14ac:dyDescent="0.3">
      <c r="A134" s="15"/>
      <c r="B134" s="34"/>
      <c r="C134" s="29" t="s">
        <v>108</v>
      </c>
      <c r="D134" s="35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3">
        <f t="shared" si="183"/>
        <v>0</v>
      </c>
      <c r="AG134" s="5"/>
      <c r="AH134" s="5"/>
    </row>
    <row r="135" spans="1:34" ht="12.75" customHeight="1" x14ac:dyDescent="0.3">
      <c r="A135" s="15"/>
      <c r="B135" s="34"/>
      <c r="C135" s="29" t="s">
        <v>109</v>
      </c>
      <c r="D135" s="36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1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3">
        <f t="shared" si="183"/>
        <v>1</v>
      </c>
      <c r="AG135" s="5"/>
      <c r="AH135" s="5"/>
    </row>
    <row r="136" spans="1:34" ht="12.75" customHeight="1" x14ac:dyDescent="0.3">
      <c r="A136" s="15"/>
      <c r="B136" s="34"/>
      <c r="C136" s="29" t="s">
        <v>110</v>
      </c>
      <c r="D136" s="35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3">
        <f t="shared" si="183"/>
        <v>0</v>
      </c>
      <c r="AG136" s="5"/>
      <c r="AH136" s="5"/>
    </row>
    <row r="137" spans="1:34" ht="12.75" customHeight="1" x14ac:dyDescent="0.3">
      <c r="A137" s="15"/>
      <c r="B137" s="34"/>
      <c r="C137" s="29" t="s">
        <v>111</v>
      </c>
      <c r="D137" s="35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3">
        <f t="shared" si="183"/>
        <v>0</v>
      </c>
      <c r="AG137" s="5"/>
      <c r="AH137" s="5"/>
    </row>
    <row r="138" spans="1:34" ht="12.75" customHeight="1" x14ac:dyDescent="0.3">
      <c r="A138" s="15"/>
      <c r="B138" s="34"/>
      <c r="C138" s="29" t="s">
        <v>112</v>
      </c>
      <c r="D138" s="35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3">
        <f t="shared" si="183"/>
        <v>0</v>
      </c>
      <c r="AG138" s="5"/>
      <c r="AH138" s="5"/>
    </row>
    <row r="139" spans="1:34" ht="12.75" customHeight="1" x14ac:dyDescent="0.3">
      <c r="A139" s="16" t="s">
        <v>15</v>
      </c>
      <c r="B139" s="60" t="s">
        <v>49</v>
      </c>
      <c r="C139" s="61"/>
      <c r="D139" s="59"/>
      <c r="E139" s="13">
        <f>SUM(E129:E138)</f>
        <v>3</v>
      </c>
      <c r="F139" s="13">
        <f t="shared" ref="F139" si="184">SUM(F129:F138)</f>
        <v>1</v>
      </c>
      <c r="G139" s="13">
        <f t="shared" ref="G139" si="185">SUM(G129:G138)</f>
        <v>1</v>
      </c>
      <c r="H139" s="13">
        <f t="shared" ref="H139" si="186">SUM(H129:H138)</f>
        <v>0</v>
      </c>
      <c r="I139" s="13">
        <f t="shared" ref="I139" si="187">SUM(I129:I138)</f>
        <v>1</v>
      </c>
      <c r="J139" s="13">
        <f t="shared" ref="J139" si="188">SUM(J129:J138)</f>
        <v>0</v>
      </c>
      <c r="K139" s="13">
        <f t="shared" ref="K139" si="189">SUM(K129:K138)</f>
        <v>0</v>
      </c>
      <c r="L139" s="13">
        <f t="shared" ref="L139" si="190">SUM(L129:L138)</f>
        <v>3</v>
      </c>
      <c r="M139" s="13">
        <f t="shared" ref="M139" si="191">SUM(M129:M138)</f>
        <v>1</v>
      </c>
      <c r="N139" s="13">
        <f t="shared" ref="N139" si="192">SUM(N129:N138)</f>
        <v>1</v>
      </c>
      <c r="O139" s="13">
        <f t="shared" ref="O139" si="193">SUM(O129:O138)</f>
        <v>6</v>
      </c>
      <c r="P139" s="13">
        <f t="shared" ref="P139" si="194">SUM(P129:P138)</f>
        <v>0</v>
      </c>
      <c r="Q139" s="13">
        <f t="shared" ref="Q139" si="195">SUM(Q129:Q138)</f>
        <v>0</v>
      </c>
      <c r="R139" s="13">
        <f t="shared" ref="R139" si="196">SUM(R129:R138)</f>
        <v>1</v>
      </c>
      <c r="S139" s="13">
        <f t="shared" ref="S139" si="197">SUM(S129:S138)</f>
        <v>1</v>
      </c>
      <c r="T139" s="13">
        <f t="shared" ref="T139" si="198">SUM(T129:T138)</f>
        <v>3</v>
      </c>
      <c r="U139" s="13">
        <f t="shared" ref="U139" si="199">SUM(U129:U138)</f>
        <v>1</v>
      </c>
      <c r="V139" s="13">
        <f t="shared" ref="V139" si="200">SUM(V129:V138)</f>
        <v>2</v>
      </c>
      <c r="W139" s="13">
        <f t="shared" ref="W139" si="201">SUM(W129:W138)</f>
        <v>0</v>
      </c>
      <c r="X139" s="13">
        <f t="shared" ref="X139" si="202">SUM(X129:X138)</f>
        <v>1</v>
      </c>
      <c r="Y139" s="13">
        <f t="shared" ref="Y139" si="203">SUM(Y129:Y138)</f>
        <v>0</v>
      </c>
      <c r="Z139" s="13">
        <f t="shared" ref="Z139" si="204">SUM(Z129:Z138)</f>
        <v>1</v>
      </c>
      <c r="AA139" s="13">
        <f t="shared" ref="AA139" si="205">SUM(AA129:AA138)</f>
        <v>0</v>
      </c>
      <c r="AB139" s="13">
        <f t="shared" ref="AB139" si="206">SUM(AB129:AB138)</f>
        <v>0</v>
      </c>
      <c r="AC139" s="13">
        <f t="shared" ref="AC139" si="207">SUM(AC129:AC138)</f>
        <v>1</v>
      </c>
      <c r="AD139" s="13">
        <f t="shared" ref="AD139" si="208">SUM(AD129:AD138)</f>
        <v>0</v>
      </c>
      <c r="AE139" s="13">
        <f t="shared" ref="AE139" si="209">SUM(AE129:AE138)</f>
        <v>0</v>
      </c>
      <c r="AF139" s="13">
        <f t="shared" ref="AF139" si="210">SUM(AF129:AF138)</f>
        <v>28</v>
      </c>
      <c r="AG139" s="5"/>
      <c r="AH139" s="5"/>
    </row>
    <row r="140" spans="1:34" ht="12.75" customHeight="1" x14ac:dyDescent="0.3">
      <c r="A140" s="62"/>
      <c r="B140" s="61"/>
      <c r="C140" s="61"/>
      <c r="D140" s="61"/>
      <c r="E140" s="59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"/>
      <c r="AH140" s="5"/>
    </row>
    <row r="141" spans="1:34" ht="12.75" customHeight="1" x14ac:dyDescent="0.3">
      <c r="A141" s="20" t="s">
        <v>37</v>
      </c>
      <c r="B141" s="27" t="s">
        <v>113</v>
      </c>
      <c r="C141" s="58" t="s">
        <v>114</v>
      </c>
      <c r="D141" s="59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1</v>
      </c>
      <c r="N141" s="16">
        <v>0</v>
      </c>
      <c r="O141" s="16">
        <v>0</v>
      </c>
      <c r="P141" s="16">
        <v>0</v>
      </c>
      <c r="Q141" s="16">
        <v>1</v>
      </c>
      <c r="R141" s="16">
        <v>0</v>
      </c>
      <c r="S141" s="16">
        <v>1</v>
      </c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3">
        <f t="shared" ref="AF141:AF144" si="211">SUM(E141:AE141)</f>
        <v>3</v>
      </c>
      <c r="AG141" s="1"/>
      <c r="AH141" s="1"/>
    </row>
    <row r="142" spans="1:34" ht="12.75" customHeight="1" x14ac:dyDescent="0.3">
      <c r="A142" s="20" t="s">
        <v>39</v>
      </c>
      <c r="B142" s="34"/>
      <c r="C142" s="29" t="s">
        <v>115</v>
      </c>
      <c r="D142" s="3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3">
        <f t="shared" si="211"/>
        <v>0</v>
      </c>
      <c r="AG142" s="31"/>
      <c r="AH142" s="31"/>
    </row>
    <row r="143" spans="1:34" ht="12.75" customHeight="1" x14ac:dyDescent="0.3">
      <c r="A143" s="15"/>
      <c r="B143" s="34"/>
      <c r="C143" s="29" t="s">
        <v>116</v>
      </c>
      <c r="D143" s="3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3">
        <f t="shared" si="211"/>
        <v>0</v>
      </c>
      <c r="AG143" s="5"/>
      <c r="AH143" s="5"/>
    </row>
    <row r="144" spans="1:34" ht="12.75" customHeight="1" x14ac:dyDescent="0.3">
      <c r="A144" s="15"/>
      <c r="B144" s="34"/>
      <c r="C144" s="29" t="s">
        <v>117</v>
      </c>
      <c r="D144" s="3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3">
        <f t="shared" si="211"/>
        <v>0</v>
      </c>
      <c r="AG144" s="5"/>
      <c r="AH144" s="5"/>
    </row>
    <row r="145" spans="1:34" ht="12.75" customHeight="1" x14ac:dyDescent="0.3">
      <c r="A145" s="15"/>
      <c r="B145" s="37"/>
      <c r="C145" s="38"/>
      <c r="D145" s="3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56"/>
      <c r="AG145" s="5"/>
      <c r="AH145" s="5"/>
    </row>
    <row r="146" spans="1:34" ht="12.75" customHeight="1" x14ac:dyDescent="0.3">
      <c r="A146" s="15"/>
      <c r="B146" s="37"/>
      <c r="C146" s="38"/>
      <c r="D146" s="3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56"/>
      <c r="AG146" s="5"/>
      <c r="AH146" s="5"/>
    </row>
    <row r="147" spans="1:34" ht="12.75" customHeight="1" x14ac:dyDescent="0.3">
      <c r="A147" s="15"/>
      <c r="B147" s="37"/>
      <c r="C147" s="38"/>
      <c r="D147" s="3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56"/>
      <c r="AG147" s="5"/>
      <c r="AH147" s="5"/>
    </row>
    <row r="148" spans="1:34" ht="12.75" customHeight="1" x14ac:dyDescent="0.3">
      <c r="A148" s="15"/>
      <c r="B148" s="37"/>
      <c r="C148" s="38"/>
      <c r="D148" s="3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56"/>
      <c r="AG148" s="5"/>
      <c r="AH148" s="5"/>
    </row>
    <row r="149" spans="1:34" ht="12.75" customHeight="1" x14ac:dyDescent="0.3">
      <c r="A149" s="15"/>
      <c r="B149" s="37"/>
      <c r="C149" s="38"/>
      <c r="D149" s="3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56"/>
      <c r="AG149" s="5"/>
      <c r="AH149" s="5"/>
    </row>
    <row r="150" spans="1:34" ht="12.75" customHeight="1" x14ac:dyDescent="0.3">
      <c r="A150" s="15"/>
      <c r="B150" s="37"/>
      <c r="C150" s="38"/>
      <c r="D150" s="3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56"/>
      <c r="AG150" s="5"/>
      <c r="AH150" s="5"/>
    </row>
    <row r="151" spans="1:34" ht="12.75" customHeight="1" x14ac:dyDescent="0.3">
      <c r="A151" s="16" t="s">
        <v>15</v>
      </c>
      <c r="B151" s="60" t="s">
        <v>49</v>
      </c>
      <c r="C151" s="61"/>
      <c r="D151" s="59"/>
      <c r="E151" s="13">
        <f>SUM(E141:E150)</f>
        <v>0</v>
      </c>
      <c r="F151" s="13">
        <f t="shared" ref="F151" si="212">SUM(F141:F150)</f>
        <v>0</v>
      </c>
      <c r="G151" s="13">
        <f t="shared" ref="G151" si="213">SUM(G141:G150)</f>
        <v>0</v>
      </c>
      <c r="H151" s="13">
        <f t="shared" ref="H151" si="214">SUM(H141:H150)</f>
        <v>0</v>
      </c>
      <c r="I151" s="13">
        <f t="shared" ref="I151" si="215">SUM(I141:I150)</f>
        <v>0</v>
      </c>
      <c r="J151" s="13">
        <f t="shared" ref="J151" si="216">SUM(J141:J150)</f>
        <v>0</v>
      </c>
      <c r="K151" s="13">
        <f t="shared" ref="K151" si="217">SUM(K141:K150)</f>
        <v>0</v>
      </c>
      <c r="L151" s="13">
        <f t="shared" ref="L151" si="218">SUM(L141:L150)</f>
        <v>0</v>
      </c>
      <c r="M151" s="13">
        <f t="shared" ref="M151" si="219">SUM(M141:M150)</f>
        <v>1</v>
      </c>
      <c r="N151" s="13">
        <f t="shared" ref="N151" si="220">SUM(N141:N150)</f>
        <v>0</v>
      </c>
      <c r="O151" s="13">
        <f t="shared" ref="O151" si="221">SUM(O141:O150)</f>
        <v>0</v>
      </c>
      <c r="P151" s="13">
        <f t="shared" ref="P151" si="222">SUM(P141:P150)</f>
        <v>0</v>
      </c>
      <c r="Q151" s="13">
        <f t="shared" ref="Q151" si="223">SUM(Q141:Q150)</f>
        <v>1</v>
      </c>
      <c r="R151" s="13">
        <f t="shared" ref="R151" si="224">SUM(R141:R150)</f>
        <v>0</v>
      </c>
      <c r="S151" s="13">
        <f t="shared" ref="S151" si="225">SUM(S141:S150)</f>
        <v>1</v>
      </c>
      <c r="T151" s="13">
        <f t="shared" ref="T151" si="226">SUM(T141:T150)</f>
        <v>0</v>
      </c>
      <c r="U151" s="13">
        <f t="shared" ref="U151" si="227">SUM(U141:U150)</f>
        <v>0</v>
      </c>
      <c r="V151" s="13">
        <f t="shared" ref="V151" si="228">SUM(V141:V150)</f>
        <v>0</v>
      </c>
      <c r="W151" s="13">
        <f t="shared" ref="W151" si="229">SUM(W141:W150)</f>
        <v>0</v>
      </c>
      <c r="X151" s="13">
        <f t="shared" ref="X151" si="230">SUM(X141:X150)</f>
        <v>0</v>
      </c>
      <c r="Y151" s="13">
        <f t="shared" ref="Y151" si="231">SUM(Y141:Y150)</f>
        <v>0</v>
      </c>
      <c r="Z151" s="13">
        <f t="shared" ref="Z151" si="232">SUM(Z141:Z150)</f>
        <v>0</v>
      </c>
      <c r="AA151" s="13">
        <f t="shared" ref="AA151" si="233">SUM(AA141:AA150)</f>
        <v>0</v>
      </c>
      <c r="AB151" s="13">
        <f t="shared" ref="AB151" si="234">SUM(AB141:AB150)</f>
        <v>0</v>
      </c>
      <c r="AC151" s="13">
        <f t="shared" ref="AC151" si="235">SUM(AC141:AC150)</f>
        <v>0</v>
      </c>
      <c r="AD151" s="13">
        <f t="shared" ref="AD151" si="236">SUM(AD141:AD150)</f>
        <v>0</v>
      </c>
      <c r="AE151" s="13">
        <f t="shared" ref="AE151" si="237">SUM(AE141:AE150)</f>
        <v>0</v>
      </c>
      <c r="AF151" s="13">
        <f t="shared" ref="AF151" si="238">SUM(AF141:AF150)</f>
        <v>3</v>
      </c>
      <c r="AG151" s="1"/>
      <c r="AH151" s="1"/>
    </row>
    <row r="152" spans="1:34" ht="12.75" customHeight="1" x14ac:dyDescent="0.3">
      <c r="A152" s="62"/>
      <c r="B152" s="61"/>
      <c r="C152" s="61"/>
      <c r="D152" s="61"/>
      <c r="E152" s="59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13"/>
      <c r="AG152" s="31"/>
      <c r="AH152" s="31"/>
    </row>
    <row r="153" spans="1:34" ht="12.75" customHeight="1" x14ac:dyDescent="0.3">
      <c r="A153" s="20" t="s">
        <v>37</v>
      </c>
      <c r="B153" s="14" t="s">
        <v>118</v>
      </c>
      <c r="C153" s="84" t="s">
        <v>119</v>
      </c>
      <c r="D153" s="67"/>
      <c r="E153" s="16">
        <v>0</v>
      </c>
      <c r="F153" s="16">
        <v>0</v>
      </c>
      <c r="G153" s="16">
        <v>0</v>
      </c>
      <c r="H153" s="16">
        <v>1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3">
        <f t="shared" ref="AF153:AF160" si="239">SUM(E153:AE153)</f>
        <v>4</v>
      </c>
      <c r="AG153" s="5"/>
      <c r="AH153" s="5"/>
    </row>
    <row r="154" spans="1:34" ht="12.75" customHeight="1" x14ac:dyDescent="0.3">
      <c r="A154" s="43" t="s">
        <v>39</v>
      </c>
      <c r="B154" s="34"/>
      <c r="C154" s="29" t="s">
        <v>120</v>
      </c>
      <c r="D154" s="36"/>
      <c r="E154" s="57">
        <v>0</v>
      </c>
      <c r="F154" s="16">
        <v>0</v>
      </c>
      <c r="G154" s="16">
        <v>1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1</v>
      </c>
      <c r="N154" s="16">
        <v>0</v>
      </c>
      <c r="O154" s="16">
        <v>1</v>
      </c>
      <c r="P154" s="16">
        <v>0</v>
      </c>
      <c r="Q154" s="16">
        <v>0</v>
      </c>
      <c r="R154" s="16">
        <v>0</v>
      </c>
      <c r="S154" s="16">
        <v>1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1</v>
      </c>
      <c r="AD154" s="16">
        <v>0</v>
      </c>
      <c r="AE154" s="16">
        <v>0</v>
      </c>
      <c r="AF154" s="13">
        <f t="shared" si="239"/>
        <v>5</v>
      </c>
      <c r="AG154" s="5"/>
      <c r="AH154" s="5"/>
    </row>
    <row r="155" spans="1:34" ht="12.75" customHeight="1" x14ac:dyDescent="0.3">
      <c r="A155" s="15"/>
      <c r="B155" s="34"/>
      <c r="C155" s="29" t="s">
        <v>121</v>
      </c>
      <c r="D155" s="36"/>
      <c r="E155" s="57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3">
        <f t="shared" si="239"/>
        <v>0</v>
      </c>
      <c r="AG155" s="5"/>
      <c r="AH155" s="5"/>
    </row>
    <row r="156" spans="1:34" ht="12.75" customHeight="1" x14ac:dyDescent="0.3">
      <c r="A156" s="15"/>
      <c r="B156" s="34"/>
      <c r="C156" s="29" t="s">
        <v>122</v>
      </c>
      <c r="D156" s="36"/>
      <c r="E156" s="57">
        <v>0</v>
      </c>
      <c r="F156" s="16">
        <v>2</v>
      </c>
      <c r="G156" s="16">
        <v>0</v>
      </c>
      <c r="H156" s="16">
        <v>1</v>
      </c>
      <c r="I156" s="16">
        <v>0</v>
      </c>
      <c r="J156" s="16">
        <v>0</v>
      </c>
      <c r="K156" s="16">
        <v>0</v>
      </c>
      <c r="L156" s="16">
        <v>1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1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1</v>
      </c>
      <c r="Z156" s="16">
        <v>0</v>
      </c>
      <c r="AA156" s="16">
        <v>0</v>
      </c>
      <c r="AB156" s="16">
        <v>0</v>
      </c>
      <c r="AC156" s="16">
        <v>0</v>
      </c>
      <c r="AD156" s="16">
        <v>1</v>
      </c>
      <c r="AE156" s="16">
        <v>0</v>
      </c>
      <c r="AF156" s="13">
        <f t="shared" si="239"/>
        <v>7</v>
      </c>
      <c r="AG156" s="5"/>
      <c r="AH156" s="5"/>
    </row>
    <row r="157" spans="1:34" ht="12.75" customHeight="1" x14ac:dyDescent="0.3">
      <c r="A157" s="15"/>
      <c r="B157" s="34"/>
      <c r="C157" s="29" t="s">
        <v>123</v>
      </c>
      <c r="D157" s="36"/>
      <c r="E157" s="57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1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3">
        <f t="shared" si="239"/>
        <v>1</v>
      </c>
      <c r="AG157" s="5"/>
      <c r="AH157" s="5"/>
    </row>
    <row r="158" spans="1:34" ht="12.75" customHeight="1" x14ac:dyDescent="0.3">
      <c r="A158" s="15"/>
      <c r="B158" s="34"/>
      <c r="C158" s="29" t="s">
        <v>124</v>
      </c>
      <c r="D158" s="36"/>
      <c r="E158" s="57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1</v>
      </c>
      <c r="R158" s="16">
        <v>0</v>
      </c>
      <c r="S158" s="16">
        <v>0</v>
      </c>
      <c r="T158" s="16">
        <v>1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3">
        <f t="shared" si="239"/>
        <v>2</v>
      </c>
      <c r="AG158" s="5"/>
      <c r="AH158" s="5"/>
    </row>
    <row r="159" spans="1:34" ht="12.75" customHeight="1" x14ac:dyDescent="0.3">
      <c r="A159" s="15"/>
      <c r="B159" s="34"/>
      <c r="C159" s="29" t="s">
        <v>125</v>
      </c>
      <c r="D159" s="36"/>
      <c r="E159" s="57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3">
        <f t="shared" si="239"/>
        <v>0</v>
      </c>
      <c r="AG159" s="5"/>
      <c r="AH159" s="5"/>
    </row>
    <row r="160" spans="1:34" ht="12.75" customHeight="1" x14ac:dyDescent="0.3">
      <c r="A160" s="15"/>
      <c r="B160" s="34"/>
      <c r="C160" s="29" t="s">
        <v>126</v>
      </c>
      <c r="D160" s="36"/>
      <c r="E160" s="57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1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1</v>
      </c>
      <c r="AE160" s="16">
        <v>1</v>
      </c>
      <c r="AF160" s="13">
        <f t="shared" si="239"/>
        <v>3</v>
      </c>
      <c r="AG160" s="5"/>
      <c r="AH160" s="5"/>
    </row>
    <row r="161" spans="1:34" ht="12.75" customHeight="1" x14ac:dyDescent="0.3">
      <c r="A161" s="15"/>
      <c r="B161" s="37"/>
      <c r="C161" s="44"/>
      <c r="D161" s="39"/>
      <c r="E161" s="5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56"/>
      <c r="AG161" s="5"/>
      <c r="AH161" s="5"/>
    </row>
    <row r="162" spans="1:34" ht="12.75" customHeight="1" x14ac:dyDescent="0.3">
      <c r="A162" s="15"/>
      <c r="B162" s="37"/>
      <c r="C162" s="44"/>
      <c r="D162" s="39"/>
      <c r="E162" s="5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56"/>
      <c r="AG162" s="5"/>
      <c r="AH162" s="5"/>
    </row>
    <row r="163" spans="1:34" ht="12.75" customHeight="1" x14ac:dyDescent="0.3">
      <c r="A163" s="16" t="s">
        <v>15</v>
      </c>
      <c r="B163" s="85" t="s">
        <v>49</v>
      </c>
      <c r="C163" s="64"/>
      <c r="D163" s="70"/>
      <c r="E163" s="13">
        <f>SUM(E153:E162)</f>
        <v>0</v>
      </c>
      <c r="F163" s="13">
        <f t="shared" ref="F163" si="240">SUM(F153:F162)</f>
        <v>2</v>
      </c>
      <c r="G163" s="13">
        <f t="shared" ref="G163" si="241">SUM(G153:G162)</f>
        <v>1</v>
      </c>
      <c r="H163" s="13">
        <f t="shared" ref="H163" si="242">SUM(H153:H162)</f>
        <v>2</v>
      </c>
      <c r="I163" s="13">
        <f t="shared" ref="I163" si="243">SUM(I153:I162)</f>
        <v>0</v>
      </c>
      <c r="J163" s="13">
        <f t="shared" ref="J163" si="244">SUM(J153:J162)</f>
        <v>0</v>
      </c>
      <c r="K163" s="13">
        <f t="shared" ref="K163" si="245">SUM(K153:K162)</f>
        <v>0</v>
      </c>
      <c r="L163" s="13">
        <f t="shared" ref="L163" si="246">SUM(L153:L162)</f>
        <v>2</v>
      </c>
      <c r="M163" s="13">
        <f t="shared" ref="M163" si="247">SUM(M153:M162)</f>
        <v>1</v>
      </c>
      <c r="N163" s="13">
        <f t="shared" ref="N163" si="248">SUM(N153:N162)</f>
        <v>0</v>
      </c>
      <c r="O163" s="13">
        <f t="shared" ref="O163" si="249">SUM(O153:O162)</f>
        <v>1</v>
      </c>
      <c r="P163" s="13">
        <f t="shared" ref="P163" si="250">SUM(P153:P162)</f>
        <v>0</v>
      </c>
      <c r="Q163" s="13">
        <f t="shared" ref="Q163" si="251">SUM(Q153:Q162)</f>
        <v>1</v>
      </c>
      <c r="R163" s="13">
        <f t="shared" ref="R163" si="252">SUM(R153:R162)</f>
        <v>1</v>
      </c>
      <c r="S163" s="13">
        <f t="shared" ref="S163" si="253">SUM(S153:S162)</f>
        <v>4</v>
      </c>
      <c r="T163" s="13">
        <f t="shared" ref="T163" si="254">SUM(T153:T162)</f>
        <v>1</v>
      </c>
      <c r="U163" s="13">
        <f t="shared" ref="U163" si="255">SUM(U153:U162)</f>
        <v>0</v>
      </c>
      <c r="V163" s="13">
        <f t="shared" ref="V163" si="256">SUM(V153:V162)</f>
        <v>0</v>
      </c>
      <c r="W163" s="13">
        <f t="shared" ref="W163" si="257">SUM(W153:W162)</f>
        <v>0</v>
      </c>
      <c r="X163" s="13">
        <f t="shared" ref="X163" si="258">SUM(X153:X162)</f>
        <v>0</v>
      </c>
      <c r="Y163" s="13">
        <f t="shared" ref="Y163" si="259">SUM(Y153:Y162)</f>
        <v>2</v>
      </c>
      <c r="Z163" s="13">
        <f t="shared" ref="Z163" si="260">SUM(Z153:Z162)</f>
        <v>0</v>
      </c>
      <c r="AA163" s="13">
        <f t="shared" ref="AA163" si="261">SUM(AA153:AA162)</f>
        <v>0</v>
      </c>
      <c r="AB163" s="13">
        <f t="shared" ref="AB163" si="262">SUM(AB153:AB162)</f>
        <v>0</v>
      </c>
      <c r="AC163" s="13">
        <f t="shared" ref="AC163" si="263">SUM(AC153:AC162)</f>
        <v>1</v>
      </c>
      <c r="AD163" s="13">
        <f t="shared" ref="AD163" si="264">SUM(AD153:AD162)</f>
        <v>2</v>
      </c>
      <c r="AE163" s="13">
        <f t="shared" ref="AE163" si="265">SUM(AE153:AE162)</f>
        <v>1</v>
      </c>
      <c r="AF163" s="13">
        <f t="shared" ref="AF163" si="266">SUM(AF153:AF162)</f>
        <v>22</v>
      </c>
      <c r="AG163" s="5"/>
      <c r="AH163" s="5"/>
    </row>
    <row r="164" spans="1:34" ht="12.75" customHeight="1" x14ac:dyDescent="0.3">
      <c r="A164" s="62"/>
      <c r="B164" s="61"/>
      <c r="C164" s="61"/>
      <c r="D164" s="61"/>
      <c r="E164" s="59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"/>
      <c r="AH164" s="5"/>
    </row>
    <row r="165" spans="1:34" ht="12.75" customHeight="1" x14ac:dyDescent="0.3">
      <c r="A165" s="20" t="s">
        <v>37</v>
      </c>
      <c r="B165" s="27" t="s">
        <v>127</v>
      </c>
      <c r="C165" s="58" t="s">
        <v>128</v>
      </c>
      <c r="D165" s="59"/>
      <c r="E165" s="16">
        <v>1</v>
      </c>
      <c r="F165" s="16">
        <v>0</v>
      </c>
      <c r="G165" s="16">
        <v>0</v>
      </c>
      <c r="H165" s="16">
        <v>1</v>
      </c>
      <c r="I165" s="16">
        <v>0</v>
      </c>
      <c r="J165" s="16">
        <v>0</v>
      </c>
      <c r="K165" s="16">
        <v>1</v>
      </c>
      <c r="L165" s="16">
        <v>1</v>
      </c>
      <c r="M165" s="16">
        <v>0</v>
      </c>
      <c r="N165" s="16">
        <v>0</v>
      </c>
      <c r="O165" s="16">
        <v>0</v>
      </c>
      <c r="P165" s="16">
        <v>0</v>
      </c>
      <c r="Q165" s="16">
        <v>1</v>
      </c>
      <c r="R165" s="16">
        <v>0</v>
      </c>
      <c r="S165" s="16">
        <v>0</v>
      </c>
      <c r="T165" s="16">
        <v>0</v>
      </c>
      <c r="U165" s="16">
        <v>0</v>
      </c>
      <c r="V165" s="16">
        <v>1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1</v>
      </c>
      <c r="AD165" s="16">
        <v>1</v>
      </c>
      <c r="AE165" s="16">
        <v>0</v>
      </c>
      <c r="AF165" s="13">
        <f t="shared" ref="AF165:AF166" si="267">SUM(E165:AE165)</f>
        <v>8</v>
      </c>
      <c r="AG165" s="1"/>
      <c r="AH165" s="1"/>
    </row>
    <row r="166" spans="1:34" ht="12.75" customHeight="1" x14ac:dyDescent="0.3">
      <c r="A166" s="20" t="s">
        <v>39</v>
      </c>
      <c r="B166" s="34"/>
      <c r="C166" s="29" t="s">
        <v>129</v>
      </c>
      <c r="D166" s="36"/>
      <c r="E166" s="16">
        <v>1</v>
      </c>
      <c r="F166" s="16">
        <v>0</v>
      </c>
      <c r="G166" s="16">
        <v>1</v>
      </c>
      <c r="H166" s="16">
        <v>0</v>
      </c>
      <c r="I166" s="16">
        <v>0</v>
      </c>
      <c r="J166" s="16">
        <v>0</v>
      </c>
      <c r="K166" s="16">
        <v>1</v>
      </c>
      <c r="L166" s="16">
        <v>1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1</v>
      </c>
      <c r="S166" s="16">
        <v>1</v>
      </c>
      <c r="T166" s="16">
        <v>0</v>
      </c>
      <c r="U166" s="16">
        <v>1</v>
      </c>
      <c r="V166" s="16">
        <v>0</v>
      </c>
      <c r="W166" s="16">
        <v>0</v>
      </c>
      <c r="X166" s="16">
        <v>1</v>
      </c>
      <c r="Y166" s="16">
        <v>0</v>
      </c>
      <c r="Z166" s="16">
        <v>0</v>
      </c>
      <c r="AA166" s="16">
        <v>0</v>
      </c>
      <c r="AB166" s="16">
        <v>0</v>
      </c>
      <c r="AC166" s="16">
        <v>1</v>
      </c>
      <c r="AD166" s="16">
        <v>0</v>
      </c>
      <c r="AE166" s="16">
        <v>0</v>
      </c>
      <c r="AF166" s="13">
        <f t="shared" si="267"/>
        <v>9</v>
      </c>
      <c r="AG166" s="31"/>
      <c r="AH166" s="31"/>
    </row>
    <row r="167" spans="1:34" ht="12.75" customHeight="1" x14ac:dyDescent="0.3">
      <c r="A167" s="15"/>
      <c r="B167" s="37"/>
      <c r="C167" s="38"/>
      <c r="D167" s="3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56"/>
      <c r="AG167" s="5"/>
      <c r="AH167" s="5"/>
    </row>
    <row r="168" spans="1:34" ht="12.75" customHeight="1" x14ac:dyDescent="0.3">
      <c r="A168" s="15"/>
      <c r="B168" s="37"/>
      <c r="C168" s="38"/>
      <c r="D168" s="3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56"/>
      <c r="AG168" s="5"/>
      <c r="AH168" s="5"/>
    </row>
    <row r="169" spans="1:34" ht="12.75" customHeight="1" x14ac:dyDescent="0.3">
      <c r="A169" s="15"/>
      <c r="B169" s="37"/>
      <c r="C169" s="38"/>
      <c r="D169" s="3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56"/>
      <c r="AG169" s="5"/>
      <c r="AH169" s="5"/>
    </row>
    <row r="170" spans="1:34" ht="12.75" customHeight="1" x14ac:dyDescent="0.3">
      <c r="A170" s="15"/>
      <c r="B170" s="37"/>
      <c r="C170" s="38"/>
      <c r="D170" s="3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56"/>
      <c r="AG170" s="5"/>
      <c r="AH170" s="5"/>
    </row>
    <row r="171" spans="1:34" ht="12.75" customHeight="1" x14ac:dyDescent="0.3">
      <c r="A171" s="15"/>
      <c r="B171" s="37"/>
      <c r="C171" s="38"/>
      <c r="D171" s="3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56"/>
      <c r="AG171" s="5"/>
      <c r="AH171" s="5"/>
    </row>
    <row r="172" spans="1:34" ht="12.75" customHeight="1" x14ac:dyDescent="0.3">
      <c r="A172" s="15"/>
      <c r="B172" s="37"/>
      <c r="C172" s="38"/>
      <c r="D172" s="3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56"/>
      <c r="AG172" s="5"/>
      <c r="AH172" s="5"/>
    </row>
    <row r="173" spans="1:34" ht="12.75" customHeight="1" x14ac:dyDescent="0.3">
      <c r="A173" s="15"/>
      <c r="B173" s="37"/>
      <c r="C173" s="38"/>
      <c r="D173" s="3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56"/>
      <c r="AG173" s="5"/>
      <c r="AH173" s="5"/>
    </row>
    <row r="174" spans="1:34" ht="12.75" customHeight="1" x14ac:dyDescent="0.3">
      <c r="A174" s="15"/>
      <c r="B174" s="37"/>
      <c r="C174" s="38"/>
      <c r="D174" s="3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56"/>
      <c r="AG174" s="5"/>
      <c r="AH174" s="5"/>
    </row>
    <row r="175" spans="1:34" ht="12.75" customHeight="1" x14ac:dyDescent="0.3">
      <c r="A175" s="16" t="s">
        <v>15</v>
      </c>
      <c r="B175" s="60" t="s">
        <v>49</v>
      </c>
      <c r="C175" s="61"/>
      <c r="D175" s="59"/>
      <c r="E175" s="13">
        <f>SUM(E165:E174)</f>
        <v>2</v>
      </c>
      <c r="F175" s="13">
        <f t="shared" ref="F175" si="268">SUM(F165:F174)</f>
        <v>0</v>
      </c>
      <c r="G175" s="13">
        <f t="shared" ref="G175" si="269">SUM(G165:G174)</f>
        <v>1</v>
      </c>
      <c r="H175" s="13">
        <f t="shared" ref="H175" si="270">SUM(H165:H174)</f>
        <v>1</v>
      </c>
      <c r="I175" s="13">
        <f t="shared" ref="I175" si="271">SUM(I165:I174)</f>
        <v>0</v>
      </c>
      <c r="J175" s="13">
        <f t="shared" ref="J175" si="272">SUM(J165:J174)</f>
        <v>0</v>
      </c>
      <c r="K175" s="13">
        <f t="shared" ref="K175" si="273">SUM(K165:K174)</f>
        <v>2</v>
      </c>
      <c r="L175" s="13">
        <f t="shared" ref="L175" si="274">SUM(L165:L174)</f>
        <v>2</v>
      </c>
      <c r="M175" s="13">
        <f t="shared" ref="M175" si="275">SUM(M165:M174)</f>
        <v>0</v>
      </c>
      <c r="N175" s="13">
        <f t="shared" ref="N175" si="276">SUM(N165:N174)</f>
        <v>0</v>
      </c>
      <c r="O175" s="13">
        <f t="shared" ref="O175" si="277">SUM(O165:O174)</f>
        <v>0</v>
      </c>
      <c r="P175" s="13">
        <f t="shared" ref="P175" si="278">SUM(P165:P174)</f>
        <v>0</v>
      </c>
      <c r="Q175" s="13">
        <f t="shared" ref="Q175" si="279">SUM(Q165:Q174)</f>
        <v>1</v>
      </c>
      <c r="R175" s="13">
        <f t="shared" ref="R175" si="280">SUM(R165:R174)</f>
        <v>1</v>
      </c>
      <c r="S175" s="13">
        <f t="shared" ref="S175" si="281">SUM(S165:S174)</f>
        <v>1</v>
      </c>
      <c r="T175" s="13">
        <f t="shared" ref="T175" si="282">SUM(T165:T174)</f>
        <v>0</v>
      </c>
      <c r="U175" s="13">
        <f t="shared" ref="U175" si="283">SUM(U165:U174)</f>
        <v>1</v>
      </c>
      <c r="V175" s="13">
        <f t="shared" ref="V175" si="284">SUM(V165:V174)</f>
        <v>1</v>
      </c>
      <c r="W175" s="13">
        <f t="shared" ref="W175" si="285">SUM(W165:W174)</f>
        <v>0</v>
      </c>
      <c r="X175" s="13">
        <f t="shared" ref="X175" si="286">SUM(X165:X174)</f>
        <v>1</v>
      </c>
      <c r="Y175" s="13">
        <f t="shared" ref="Y175" si="287">SUM(Y165:Y174)</f>
        <v>0</v>
      </c>
      <c r="Z175" s="13">
        <f t="shared" ref="Z175" si="288">SUM(Z165:Z174)</f>
        <v>0</v>
      </c>
      <c r="AA175" s="13">
        <f t="shared" ref="AA175" si="289">SUM(AA165:AA174)</f>
        <v>0</v>
      </c>
      <c r="AB175" s="13">
        <f t="shared" ref="AB175" si="290">SUM(AB165:AB174)</f>
        <v>0</v>
      </c>
      <c r="AC175" s="13">
        <f t="shared" ref="AC175" si="291">SUM(AC165:AC174)</f>
        <v>2</v>
      </c>
      <c r="AD175" s="13">
        <f t="shared" ref="AD175" si="292">SUM(AD165:AD174)</f>
        <v>1</v>
      </c>
      <c r="AE175" s="13">
        <f t="shared" ref="AE175" si="293">SUM(AE165:AE174)</f>
        <v>0</v>
      </c>
      <c r="AF175" s="13">
        <f t="shared" ref="AF175" si="294">SUM(AF165:AF174)</f>
        <v>17</v>
      </c>
      <c r="AG175" s="5"/>
      <c r="AH175" s="5"/>
    </row>
    <row r="176" spans="1:34" ht="12.75" customHeight="1" x14ac:dyDescent="0.3">
      <c r="A176" s="62"/>
      <c r="B176" s="61"/>
      <c r="C176" s="61"/>
      <c r="D176" s="61"/>
      <c r="E176" s="59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1"/>
      <c r="AH176" s="1"/>
    </row>
    <row r="177" spans="1:34" ht="12.75" customHeight="1" x14ac:dyDescent="0.3">
      <c r="A177" s="20" t="s">
        <v>37</v>
      </c>
      <c r="B177" s="27" t="s">
        <v>130</v>
      </c>
      <c r="C177" s="58" t="s">
        <v>131</v>
      </c>
      <c r="D177" s="59"/>
      <c r="E177" s="16">
        <v>1</v>
      </c>
      <c r="F177" s="16">
        <v>0</v>
      </c>
      <c r="G177" s="16">
        <v>1</v>
      </c>
      <c r="H177" s="16">
        <v>0</v>
      </c>
      <c r="I177" s="16">
        <v>0</v>
      </c>
      <c r="J177" s="16">
        <v>0</v>
      </c>
      <c r="K177" s="16">
        <v>1</v>
      </c>
      <c r="L177" s="16">
        <v>0</v>
      </c>
      <c r="M177" s="16">
        <v>0</v>
      </c>
      <c r="N177" s="16">
        <v>2</v>
      </c>
      <c r="O177" s="16">
        <v>0</v>
      </c>
      <c r="P177" s="16">
        <v>0</v>
      </c>
      <c r="Q177" s="16">
        <v>0</v>
      </c>
      <c r="R177" s="16">
        <v>1</v>
      </c>
      <c r="S177" s="16">
        <v>0</v>
      </c>
      <c r="T177" s="16">
        <v>0</v>
      </c>
      <c r="U177" s="16">
        <v>1</v>
      </c>
      <c r="V177" s="16">
        <v>0</v>
      </c>
      <c r="W177" s="16">
        <v>0</v>
      </c>
      <c r="X177" s="16">
        <v>1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3">
        <f t="shared" ref="AF177:AF186" si="295">SUM(E177:AE177)</f>
        <v>8</v>
      </c>
    </row>
    <row r="178" spans="1:34" ht="12.75" customHeight="1" x14ac:dyDescent="0.3">
      <c r="A178" s="20" t="s">
        <v>39</v>
      </c>
      <c r="B178" s="34"/>
      <c r="C178" s="29" t="s">
        <v>132</v>
      </c>
      <c r="D178" s="36"/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1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1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3">
        <f t="shared" si="295"/>
        <v>2</v>
      </c>
      <c r="AG178" s="5"/>
      <c r="AH178" s="5"/>
    </row>
    <row r="179" spans="1:34" ht="12.75" customHeight="1" x14ac:dyDescent="0.3">
      <c r="A179" s="15"/>
      <c r="B179" s="34"/>
      <c r="C179" s="29" t="s">
        <v>133</v>
      </c>
      <c r="D179" s="36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1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3">
        <f t="shared" si="295"/>
        <v>1</v>
      </c>
      <c r="AG179" s="5"/>
      <c r="AH179" s="5"/>
    </row>
    <row r="180" spans="1:34" ht="12.75" customHeight="1" x14ac:dyDescent="0.3">
      <c r="A180" s="15"/>
      <c r="B180" s="34"/>
      <c r="C180" s="29" t="s">
        <v>134</v>
      </c>
      <c r="D180" s="36"/>
      <c r="E180" s="16">
        <v>4</v>
      </c>
      <c r="F180" s="16">
        <v>0</v>
      </c>
      <c r="G180" s="16">
        <v>0</v>
      </c>
      <c r="H180" s="16">
        <v>1</v>
      </c>
      <c r="I180" s="16">
        <v>1</v>
      </c>
      <c r="J180" s="16">
        <v>0</v>
      </c>
      <c r="K180" s="16">
        <v>1</v>
      </c>
      <c r="L180" s="16">
        <v>1</v>
      </c>
      <c r="M180" s="16">
        <v>0</v>
      </c>
      <c r="N180" s="16">
        <v>2</v>
      </c>
      <c r="O180" s="16">
        <v>0</v>
      </c>
      <c r="P180" s="16">
        <v>0</v>
      </c>
      <c r="Q180" s="16">
        <v>1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1</v>
      </c>
      <c r="AF180" s="13">
        <f t="shared" si="295"/>
        <v>12</v>
      </c>
      <c r="AG180" s="5"/>
      <c r="AH180" s="5"/>
    </row>
    <row r="181" spans="1:34" ht="12.75" customHeight="1" x14ac:dyDescent="0.3">
      <c r="A181" s="15"/>
      <c r="B181" s="34"/>
      <c r="C181" s="29" t="s">
        <v>135</v>
      </c>
      <c r="D181" s="36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1</v>
      </c>
      <c r="O181" s="16">
        <v>0</v>
      </c>
      <c r="P181" s="16">
        <v>1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1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3">
        <f t="shared" si="295"/>
        <v>3</v>
      </c>
      <c r="AG181" s="5"/>
      <c r="AH181" s="5"/>
    </row>
    <row r="182" spans="1:34" ht="12.75" customHeight="1" x14ac:dyDescent="0.3">
      <c r="A182" s="15"/>
      <c r="B182" s="34"/>
      <c r="C182" s="29" t="s">
        <v>136</v>
      </c>
      <c r="D182" s="36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1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1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3">
        <f t="shared" si="295"/>
        <v>2</v>
      </c>
      <c r="AG182" s="5"/>
      <c r="AH182" s="5"/>
    </row>
    <row r="183" spans="1:34" ht="12.75" customHeight="1" x14ac:dyDescent="0.3">
      <c r="A183" s="15"/>
      <c r="B183" s="34"/>
      <c r="C183" s="29" t="s">
        <v>137</v>
      </c>
      <c r="D183" s="36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1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3">
        <f t="shared" si="295"/>
        <v>1</v>
      </c>
      <c r="AG183" s="5"/>
      <c r="AH183" s="5"/>
    </row>
    <row r="184" spans="1:34" ht="12.75" customHeight="1" x14ac:dyDescent="0.3">
      <c r="A184" s="15"/>
      <c r="B184" s="34"/>
      <c r="C184" s="29" t="s">
        <v>138</v>
      </c>
      <c r="D184" s="36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3">
        <f t="shared" si="295"/>
        <v>0</v>
      </c>
      <c r="AG184" s="5"/>
      <c r="AH184" s="5"/>
    </row>
    <row r="185" spans="1:34" ht="12.75" customHeight="1" x14ac:dyDescent="0.3">
      <c r="A185" s="15"/>
      <c r="B185" s="34"/>
      <c r="C185" s="29" t="s">
        <v>139</v>
      </c>
      <c r="D185" s="36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1</v>
      </c>
      <c r="N185" s="16">
        <v>1</v>
      </c>
      <c r="O185" s="16">
        <v>0</v>
      </c>
      <c r="P185" s="16">
        <v>0</v>
      </c>
      <c r="Q185" s="16">
        <v>0</v>
      </c>
      <c r="R185" s="16">
        <v>1</v>
      </c>
      <c r="S185" s="16">
        <v>0</v>
      </c>
      <c r="T185" s="16">
        <v>0</v>
      </c>
      <c r="U185" s="16">
        <v>0</v>
      </c>
      <c r="V185" s="16">
        <v>1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3">
        <f t="shared" si="295"/>
        <v>4</v>
      </c>
      <c r="AG185" s="5"/>
      <c r="AH185" s="5"/>
    </row>
    <row r="186" spans="1:34" ht="12.75" customHeight="1" x14ac:dyDescent="0.3">
      <c r="A186" s="15"/>
      <c r="B186" s="34"/>
      <c r="C186" s="29" t="s">
        <v>140</v>
      </c>
      <c r="D186" s="36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1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3">
        <f t="shared" si="295"/>
        <v>1</v>
      </c>
      <c r="AG186" s="5"/>
      <c r="AH186" s="5"/>
    </row>
    <row r="187" spans="1:34" ht="12.75" customHeight="1" x14ac:dyDescent="0.3">
      <c r="A187" s="16" t="s">
        <v>15</v>
      </c>
      <c r="B187" s="60" t="s">
        <v>49</v>
      </c>
      <c r="C187" s="61"/>
      <c r="D187" s="59"/>
      <c r="E187" s="13">
        <f>SUM(E177:E186)</f>
        <v>5</v>
      </c>
      <c r="F187" s="13">
        <f t="shared" ref="F187" si="296">SUM(F177:F186)</f>
        <v>0</v>
      </c>
      <c r="G187" s="13">
        <f t="shared" ref="G187" si="297">SUM(G177:G186)</f>
        <v>1</v>
      </c>
      <c r="H187" s="13">
        <f t="shared" ref="H187" si="298">SUM(H177:H186)</f>
        <v>1</v>
      </c>
      <c r="I187" s="13">
        <f t="shared" ref="I187" si="299">SUM(I177:I186)</f>
        <v>1</v>
      </c>
      <c r="J187" s="13">
        <f t="shared" ref="J187" si="300">SUM(J177:J186)</f>
        <v>1</v>
      </c>
      <c r="K187" s="13">
        <f t="shared" ref="K187" si="301">SUM(K177:K186)</f>
        <v>2</v>
      </c>
      <c r="L187" s="13">
        <f t="shared" ref="L187" si="302">SUM(L177:L186)</f>
        <v>2</v>
      </c>
      <c r="M187" s="13">
        <f t="shared" ref="M187" si="303">SUM(M177:M186)</f>
        <v>3</v>
      </c>
      <c r="N187" s="13">
        <f t="shared" ref="N187" si="304">SUM(N177:N186)</f>
        <v>6</v>
      </c>
      <c r="O187" s="13">
        <f t="shared" ref="O187" si="305">SUM(O177:O186)</f>
        <v>0</v>
      </c>
      <c r="P187" s="13">
        <f t="shared" ref="P187" si="306">SUM(P177:P186)</f>
        <v>1</v>
      </c>
      <c r="Q187" s="13">
        <f t="shared" ref="Q187" si="307">SUM(Q177:Q186)</f>
        <v>1</v>
      </c>
      <c r="R187" s="13">
        <f t="shared" ref="R187" si="308">SUM(R177:R186)</f>
        <v>2</v>
      </c>
      <c r="S187" s="13">
        <f t="shared" ref="S187" si="309">SUM(S177:S186)</f>
        <v>0</v>
      </c>
      <c r="T187" s="13">
        <f t="shared" ref="T187" si="310">SUM(T177:T186)</f>
        <v>0</v>
      </c>
      <c r="U187" s="13">
        <f t="shared" ref="U187" si="311">SUM(U177:U186)</f>
        <v>2</v>
      </c>
      <c r="V187" s="13">
        <f t="shared" ref="V187" si="312">SUM(V177:V186)</f>
        <v>2</v>
      </c>
      <c r="W187" s="13">
        <f t="shared" ref="W187" si="313">SUM(W177:W186)</f>
        <v>0</v>
      </c>
      <c r="X187" s="13">
        <f t="shared" ref="X187" si="314">SUM(X177:X186)</f>
        <v>2</v>
      </c>
      <c r="Y187" s="13">
        <f t="shared" ref="Y187" si="315">SUM(Y177:Y186)</f>
        <v>1</v>
      </c>
      <c r="Z187" s="13">
        <f t="shared" ref="Z187" si="316">SUM(Z177:Z186)</f>
        <v>0</v>
      </c>
      <c r="AA187" s="13">
        <f t="shared" ref="AA187" si="317">SUM(AA177:AA186)</f>
        <v>0</v>
      </c>
      <c r="AB187" s="13">
        <f t="shared" ref="AB187" si="318">SUM(AB177:AB186)</f>
        <v>0</v>
      </c>
      <c r="AC187" s="13">
        <f t="shared" ref="AC187" si="319">SUM(AC177:AC186)</f>
        <v>0</v>
      </c>
      <c r="AD187" s="13">
        <f t="shared" ref="AD187" si="320">SUM(AD177:AD186)</f>
        <v>0</v>
      </c>
      <c r="AE187" s="13">
        <f t="shared" ref="AE187" si="321">SUM(AE177:AE186)</f>
        <v>1</v>
      </c>
      <c r="AF187" s="13">
        <f t="shared" ref="AF187" si="322">SUM(AF177:AF186)</f>
        <v>34</v>
      </c>
      <c r="AG187" s="1"/>
      <c r="AH187" s="1"/>
    </row>
    <row r="188" spans="1:34" ht="12.75" customHeight="1" x14ac:dyDescent="0.3">
      <c r="A188" s="62"/>
      <c r="B188" s="61"/>
      <c r="C188" s="61"/>
      <c r="D188" s="61"/>
      <c r="E188" s="59"/>
      <c r="F188" s="54"/>
      <c r="G188" s="54"/>
      <c r="H188" s="54"/>
      <c r="I188" s="54"/>
      <c r="J188" s="54"/>
      <c r="K188" s="54"/>
      <c r="L188" s="54"/>
      <c r="M188" s="54"/>
      <c r="N188" s="54"/>
      <c r="AF188" s="13"/>
    </row>
    <row r="189" spans="1:34" ht="12.75" customHeight="1" x14ac:dyDescent="0.3">
      <c r="A189" s="20" t="s">
        <v>37</v>
      </c>
      <c r="B189" s="27" t="s">
        <v>141</v>
      </c>
      <c r="C189" s="58" t="s">
        <v>142</v>
      </c>
      <c r="D189" s="59"/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1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1</v>
      </c>
      <c r="AE189" s="16">
        <v>0</v>
      </c>
      <c r="AF189" s="13">
        <f t="shared" ref="AF189:AF198" si="323">SUM(E189:AE189)</f>
        <v>2</v>
      </c>
      <c r="AG189" s="5"/>
      <c r="AH189" s="5"/>
    </row>
    <row r="190" spans="1:34" ht="12.75" customHeight="1" x14ac:dyDescent="0.3">
      <c r="A190" s="20" t="s">
        <v>39</v>
      </c>
      <c r="B190" s="34"/>
      <c r="C190" s="29" t="s">
        <v>143</v>
      </c>
      <c r="D190" s="36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1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1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3">
        <f t="shared" si="323"/>
        <v>2</v>
      </c>
      <c r="AG190" s="5"/>
      <c r="AH190" s="5"/>
    </row>
    <row r="191" spans="1:34" ht="12.75" customHeight="1" x14ac:dyDescent="0.3">
      <c r="A191" s="15"/>
      <c r="B191" s="34"/>
      <c r="C191" s="29" t="s">
        <v>144</v>
      </c>
      <c r="D191" s="36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1</v>
      </c>
      <c r="N191" s="16">
        <v>0</v>
      </c>
      <c r="O191" s="16">
        <v>0</v>
      </c>
      <c r="P191" s="16">
        <v>1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3">
        <f t="shared" si="323"/>
        <v>2</v>
      </c>
      <c r="AG191" s="5"/>
      <c r="AH191" s="5"/>
    </row>
    <row r="192" spans="1:34" ht="12.75" customHeight="1" x14ac:dyDescent="0.3">
      <c r="A192" s="15"/>
      <c r="B192" s="34"/>
      <c r="C192" s="29" t="s">
        <v>145</v>
      </c>
      <c r="D192" s="36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1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3">
        <f t="shared" si="323"/>
        <v>1</v>
      </c>
      <c r="AG192" s="5"/>
      <c r="AH192" s="5"/>
    </row>
    <row r="193" spans="1:34" ht="12.75" customHeight="1" x14ac:dyDescent="0.3">
      <c r="A193" s="15"/>
      <c r="B193" s="34"/>
      <c r="C193" s="29" t="s">
        <v>146</v>
      </c>
      <c r="D193" s="36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3">
        <f t="shared" si="323"/>
        <v>0</v>
      </c>
      <c r="AG193" s="5"/>
      <c r="AH193" s="5"/>
    </row>
    <row r="194" spans="1:34" ht="12.75" customHeight="1" x14ac:dyDescent="0.3">
      <c r="A194" s="15"/>
      <c r="B194" s="34"/>
      <c r="C194" s="29" t="s">
        <v>147</v>
      </c>
      <c r="D194" s="36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1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3">
        <f t="shared" si="323"/>
        <v>1</v>
      </c>
      <c r="AG194" s="5"/>
      <c r="AH194" s="5"/>
    </row>
    <row r="195" spans="1:34" ht="12.75" customHeight="1" x14ac:dyDescent="0.3">
      <c r="A195" s="15"/>
      <c r="B195" s="34"/>
      <c r="C195" s="29" t="s">
        <v>148</v>
      </c>
      <c r="D195" s="36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3">
        <f t="shared" si="323"/>
        <v>0</v>
      </c>
      <c r="AG195" s="5"/>
      <c r="AH195" s="5"/>
    </row>
    <row r="196" spans="1:34" ht="12.75" customHeight="1" x14ac:dyDescent="0.3">
      <c r="A196" s="15"/>
      <c r="B196" s="34"/>
      <c r="C196" s="29" t="s">
        <v>149</v>
      </c>
      <c r="D196" s="36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1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3">
        <f t="shared" si="323"/>
        <v>1</v>
      </c>
      <c r="AG196" s="1"/>
      <c r="AH196" s="1"/>
    </row>
    <row r="197" spans="1:34" ht="12.75" customHeight="1" x14ac:dyDescent="0.3">
      <c r="A197" s="15"/>
      <c r="B197" s="34"/>
      <c r="C197" s="29" t="s">
        <v>150</v>
      </c>
      <c r="D197" s="36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3">
        <f t="shared" si="323"/>
        <v>0</v>
      </c>
      <c r="AG197" s="1"/>
      <c r="AH197" s="1"/>
    </row>
    <row r="198" spans="1:34" ht="12.75" customHeight="1" x14ac:dyDescent="0.3">
      <c r="A198" s="15"/>
      <c r="B198" s="34"/>
      <c r="C198" s="29" t="s">
        <v>151</v>
      </c>
      <c r="D198" s="36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3">
        <f t="shared" si="323"/>
        <v>0</v>
      </c>
      <c r="AG198" s="1"/>
      <c r="AH198" s="1"/>
    </row>
    <row r="199" spans="1:34" ht="12.75" customHeight="1" x14ac:dyDescent="0.3">
      <c r="A199" s="16" t="s">
        <v>15</v>
      </c>
      <c r="B199" s="60" t="s">
        <v>49</v>
      </c>
      <c r="C199" s="61"/>
      <c r="D199" s="59"/>
      <c r="E199" s="13">
        <f>SUM(E189:E198)</f>
        <v>0</v>
      </c>
      <c r="F199" s="13">
        <f t="shared" ref="F199" si="324">SUM(F189:F198)</f>
        <v>0</v>
      </c>
      <c r="G199" s="13">
        <f t="shared" ref="G199" si="325">SUM(G189:G198)</f>
        <v>0</v>
      </c>
      <c r="H199" s="13">
        <f t="shared" ref="H199" si="326">SUM(H189:H198)</f>
        <v>0</v>
      </c>
      <c r="I199" s="13">
        <f t="shared" ref="I199" si="327">SUM(I189:I198)</f>
        <v>0</v>
      </c>
      <c r="J199" s="13">
        <f t="shared" ref="J199" si="328">SUM(J189:J198)</f>
        <v>0</v>
      </c>
      <c r="K199" s="13">
        <f t="shared" ref="K199" si="329">SUM(K189:K198)</f>
        <v>1</v>
      </c>
      <c r="L199" s="13">
        <f t="shared" ref="L199" si="330">SUM(L189:L198)</f>
        <v>1</v>
      </c>
      <c r="M199" s="13">
        <f t="shared" ref="M199" si="331">SUM(M189:M198)</f>
        <v>1</v>
      </c>
      <c r="N199" s="13">
        <f t="shared" ref="N199" si="332">SUM(N189:N198)</f>
        <v>1</v>
      </c>
      <c r="O199" s="13">
        <f t="shared" ref="O199" si="333">SUM(O189:O198)</f>
        <v>0</v>
      </c>
      <c r="P199" s="13">
        <f t="shared" ref="P199" si="334">SUM(P189:P198)</f>
        <v>1</v>
      </c>
      <c r="Q199" s="13">
        <f t="shared" ref="Q199" si="335">SUM(Q189:Q198)</f>
        <v>2</v>
      </c>
      <c r="R199" s="13">
        <f t="shared" ref="R199" si="336">SUM(R189:R198)</f>
        <v>1</v>
      </c>
      <c r="S199" s="13">
        <f t="shared" ref="S199" si="337">SUM(S189:S198)</f>
        <v>0</v>
      </c>
      <c r="T199" s="13">
        <f t="shared" ref="T199" si="338">SUM(T189:T198)</f>
        <v>0</v>
      </c>
      <c r="U199" s="13">
        <f t="shared" ref="U199" si="339">SUM(U189:U198)</f>
        <v>0</v>
      </c>
      <c r="V199" s="13">
        <f t="shared" ref="V199" si="340">SUM(V189:V198)</f>
        <v>0</v>
      </c>
      <c r="W199" s="13">
        <f t="shared" ref="W199" si="341">SUM(W189:W198)</f>
        <v>0</v>
      </c>
      <c r="X199" s="13">
        <f t="shared" ref="X199" si="342">SUM(X189:X198)</f>
        <v>0</v>
      </c>
      <c r="Y199" s="13">
        <f t="shared" ref="Y199" si="343">SUM(Y189:Y198)</f>
        <v>0</v>
      </c>
      <c r="Z199" s="13">
        <f t="shared" ref="Z199" si="344">SUM(Z189:Z198)</f>
        <v>0</v>
      </c>
      <c r="AA199" s="13">
        <f t="shared" ref="AA199" si="345">SUM(AA189:AA198)</f>
        <v>0</v>
      </c>
      <c r="AB199" s="13">
        <f t="shared" ref="AB199" si="346">SUM(AB189:AB198)</f>
        <v>0</v>
      </c>
      <c r="AC199" s="13">
        <f t="shared" ref="AC199" si="347">SUM(AC189:AC198)</f>
        <v>0</v>
      </c>
      <c r="AD199" s="13">
        <f t="shared" ref="AD199" si="348">SUM(AD189:AD198)</f>
        <v>1</v>
      </c>
      <c r="AE199" s="13">
        <f t="shared" ref="AE199" si="349">SUM(AE189:AE198)</f>
        <v>0</v>
      </c>
      <c r="AF199" s="13">
        <f t="shared" ref="AF199" si="350">SUM(AF189:AF198)</f>
        <v>9</v>
      </c>
      <c r="AG199" s="31"/>
      <c r="AH199" s="31"/>
    </row>
    <row r="200" spans="1:34" ht="12.75" customHeight="1" x14ac:dyDescent="0.3">
      <c r="A200" s="62"/>
      <c r="B200" s="61"/>
      <c r="C200" s="61"/>
      <c r="D200" s="61"/>
      <c r="E200" s="59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"/>
      <c r="AH200" s="5"/>
    </row>
    <row r="201" spans="1:34" ht="12.75" customHeight="1" x14ac:dyDescent="0.3">
      <c r="A201" s="20" t="s">
        <v>37</v>
      </c>
      <c r="B201" s="27" t="s">
        <v>152</v>
      </c>
      <c r="C201" s="58" t="s">
        <v>153</v>
      </c>
      <c r="D201" s="59"/>
      <c r="E201" s="16">
        <v>5</v>
      </c>
      <c r="F201" s="16">
        <v>5</v>
      </c>
      <c r="G201" s="16">
        <v>1</v>
      </c>
      <c r="H201" s="16">
        <v>2</v>
      </c>
      <c r="I201" s="16">
        <v>1</v>
      </c>
      <c r="J201" s="16">
        <v>1</v>
      </c>
      <c r="K201" s="16">
        <v>3</v>
      </c>
      <c r="L201" s="16">
        <v>7</v>
      </c>
      <c r="M201" s="16">
        <v>2</v>
      </c>
      <c r="N201" s="16">
        <v>2</v>
      </c>
      <c r="O201" s="16">
        <v>0</v>
      </c>
      <c r="P201" s="16">
        <v>3</v>
      </c>
      <c r="Q201" s="16">
        <v>7</v>
      </c>
      <c r="R201" s="16">
        <v>2</v>
      </c>
      <c r="S201" s="16">
        <v>3</v>
      </c>
      <c r="T201" s="16">
        <v>2</v>
      </c>
      <c r="U201" s="16">
        <v>6</v>
      </c>
      <c r="V201" s="16">
        <v>7</v>
      </c>
      <c r="W201" s="16">
        <v>15</v>
      </c>
      <c r="X201" s="16">
        <v>1</v>
      </c>
      <c r="Y201" s="16">
        <v>1</v>
      </c>
      <c r="Z201" s="16">
        <v>2</v>
      </c>
      <c r="AA201" s="16">
        <v>2</v>
      </c>
      <c r="AB201" s="16">
        <v>4</v>
      </c>
      <c r="AC201" s="16">
        <v>2</v>
      </c>
      <c r="AD201" s="16">
        <v>5</v>
      </c>
      <c r="AE201" s="16">
        <v>2</v>
      </c>
      <c r="AF201" s="13">
        <f t="shared" ref="AF201:AF210" si="351">SUM(E201:AE201)</f>
        <v>93</v>
      </c>
      <c r="AG201" s="5"/>
      <c r="AH201" s="5"/>
    </row>
    <row r="202" spans="1:34" ht="12.75" customHeight="1" x14ac:dyDescent="0.3">
      <c r="A202" s="20" t="s">
        <v>39</v>
      </c>
      <c r="B202" s="34"/>
      <c r="C202" s="29" t="s">
        <v>154</v>
      </c>
      <c r="D202" s="36"/>
      <c r="E202" s="16">
        <v>56</v>
      </c>
      <c r="F202" s="16">
        <v>35</v>
      </c>
      <c r="G202" s="16">
        <v>13</v>
      </c>
      <c r="H202" s="16">
        <v>18</v>
      </c>
      <c r="I202" s="16">
        <v>10</v>
      </c>
      <c r="J202" s="16">
        <v>1</v>
      </c>
      <c r="K202" s="16">
        <v>24</v>
      </c>
      <c r="L202" s="16">
        <v>22</v>
      </c>
      <c r="M202" s="16">
        <v>3</v>
      </c>
      <c r="N202" s="16">
        <v>10</v>
      </c>
      <c r="O202" s="16">
        <v>5</v>
      </c>
      <c r="P202" s="16">
        <v>8</v>
      </c>
      <c r="Q202" s="16">
        <v>6</v>
      </c>
      <c r="R202" s="16">
        <v>16</v>
      </c>
      <c r="S202" s="16">
        <v>5</v>
      </c>
      <c r="T202" s="16">
        <v>15</v>
      </c>
      <c r="U202" s="16">
        <v>23</v>
      </c>
      <c r="V202" s="16">
        <v>26</v>
      </c>
      <c r="W202" s="16">
        <v>74</v>
      </c>
      <c r="X202" s="16">
        <v>13</v>
      </c>
      <c r="Y202" s="16">
        <v>8</v>
      </c>
      <c r="Z202" s="16">
        <v>7</v>
      </c>
      <c r="AA202" s="16">
        <v>14</v>
      </c>
      <c r="AB202" s="16">
        <v>13</v>
      </c>
      <c r="AC202" s="16">
        <v>27</v>
      </c>
      <c r="AD202" s="16">
        <v>79</v>
      </c>
      <c r="AE202" s="16">
        <v>48</v>
      </c>
      <c r="AF202" s="13">
        <f t="shared" si="351"/>
        <v>579</v>
      </c>
      <c r="AG202" s="5"/>
      <c r="AH202" s="5"/>
    </row>
    <row r="203" spans="1:34" ht="12.75" customHeight="1" x14ac:dyDescent="0.3">
      <c r="A203" s="15"/>
      <c r="B203" s="34"/>
      <c r="C203" s="29" t="s">
        <v>155</v>
      </c>
      <c r="D203" s="36"/>
      <c r="E203" s="16">
        <v>2</v>
      </c>
      <c r="F203" s="16">
        <v>0</v>
      </c>
      <c r="G203" s="16">
        <v>0</v>
      </c>
      <c r="H203" s="16">
        <v>0</v>
      </c>
      <c r="I203" s="16">
        <v>2</v>
      </c>
      <c r="J203" s="16">
        <v>0</v>
      </c>
      <c r="K203" s="16">
        <v>2</v>
      </c>
      <c r="L203" s="16">
        <v>1</v>
      </c>
      <c r="M203" s="16">
        <v>0</v>
      </c>
      <c r="N203" s="16">
        <v>0</v>
      </c>
      <c r="O203" s="16">
        <v>0</v>
      </c>
      <c r="P203" s="16">
        <v>1</v>
      </c>
      <c r="Q203" s="16">
        <v>0</v>
      </c>
      <c r="R203" s="16">
        <v>1</v>
      </c>
      <c r="S203" s="16">
        <v>16</v>
      </c>
      <c r="T203" s="16">
        <v>1</v>
      </c>
      <c r="U203" s="16">
        <v>3</v>
      </c>
      <c r="V203" s="16">
        <v>3</v>
      </c>
      <c r="W203" s="16">
        <v>6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2</v>
      </c>
      <c r="AD203" s="16">
        <v>0</v>
      </c>
      <c r="AE203" s="16">
        <v>2</v>
      </c>
      <c r="AF203" s="13">
        <f t="shared" si="351"/>
        <v>42</v>
      </c>
      <c r="AG203" s="5"/>
      <c r="AH203" s="5"/>
    </row>
    <row r="204" spans="1:34" ht="12.75" customHeight="1" x14ac:dyDescent="0.3">
      <c r="A204" s="15"/>
      <c r="B204" s="34"/>
      <c r="C204" s="29" t="s">
        <v>156</v>
      </c>
      <c r="D204" s="36"/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2</v>
      </c>
      <c r="O204" s="16">
        <v>1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1</v>
      </c>
      <c r="Y204" s="16">
        <v>0</v>
      </c>
      <c r="Z204" s="16">
        <v>1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3">
        <f t="shared" si="351"/>
        <v>5</v>
      </c>
      <c r="AG204" s="5"/>
      <c r="AH204" s="5"/>
    </row>
    <row r="205" spans="1:34" ht="12.75" customHeight="1" x14ac:dyDescent="0.3">
      <c r="A205" s="15"/>
      <c r="B205" s="34"/>
      <c r="C205" s="29" t="s">
        <v>157</v>
      </c>
      <c r="D205" s="36"/>
      <c r="E205" s="16">
        <v>0</v>
      </c>
      <c r="F205" s="16">
        <v>1</v>
      </c>
      <c r="G205" s="16">
        <v>0</v>
      </c>
      <c r="H205" s="16">
        <v>0</v>
      </c>
      <c r="I205" s="16">
        <v>1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3">
        <f t="shared" si="351"/>
        <v>2</v>
      </c>
      <c r="AG205" s="5"/>
      <c r="AH205" s="5"/>
    </row>
    <row r="206" spans="1:34" ht="12.75" customHeight="1" x14ac:dyDescent="0.3">
      <c r="A206" s="15"/>
      <c r="B206" s="34"/>
      <c r="C206" s="29" t="s">
        <v>158</v>
      </c>
      <c r="D206" s="36"/>
      <c r="E206" s="16">
        <v>1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1</v>
      </c>
      <c r="T206" s="16">
        <v>0</v>
      </c>
      <c r="U206" s="16">
        <v>1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3">
        <f t="shared" si="351"/>
        <v>3</v>
      </c>
      <c r="AG206" s="5"/>
      <c r="AH206" s="5"/>
    </row>
    <row r="207" spans="1:34" ht="12.75" customHeight="1" x14ac:dyDescent="0.3">
      <c r="A207" s="15"/>
      <c r="B207" s="34"/>
      <c r="C207" s="29" t="s">
        <v>159</v>
      </c>
      <c r="D207" s="36"/>
      <c r="E207" s="16">
        <v>0</v>
      </c>
      <c r="F207" s="16">
        <v>0</v>
      </c>
      <c r="G207" s="16">
        <v>0</v>
      </c>
      <c r="H207" s="16">
        <v>0</v>
      </c>
      <c r="I207" s="16">
        <v>1</v>
      </c>
      <c r="J207" s="16">
        <v>1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1</v>
      </c>
      <c r="AD207" s="16">
        <v>0</v>
      </c>
      <c r="AE207" s="16">
        <v>0</v>
      </c>
      <c r="AF207" s="13">
        <f t="shared" si="351"/>
        <v>3</v>
      </c>
      <c r="AG207" s="1"/>
      <c r="AH207" s="1"/>
    </row>
    <row r="208" spans="1:34" ht="12.75" customHeight="1" x14ac:dyDescent="0.3">
      <c r="A208" s="15"/>
      <c r="B208" s="34"/>
      <c r="C208" s="29" t="s">
        <v>160</v>
      </c>
      <c r="D208" s="36"/>
      <c r="E208" s="16">
        <v>0</v>
      </c>
      <c r="F208" s="16">
        <v>0</v>
      </c>
      <c r="G208" s="16">
        <v>1</v>
      </c>
      <c r="H208" s="16">
        <v>0</v>
      </c>
      <c r="I208" s="16">
        <v>2</v>
      </c>
      <c r="J208" s="16">
        <v>0</v>
      </c>
      <c r="K208" s="16">
        <v>0</v>
      </c>
      <c r="L208" s="16">
        <v>0</v>
      </c>
      <c r="M208" s="16">
        <v>1</v>
      </c>
      <c r="N208" s="16">
        <v>1</v>
      </c>
      <c r="O208" s="16">
        <v>0</v>
      </c>
      <c r="P208" s="16">
        <v>2</v>
      </c>
      <c r="Q208" s="16">
        <v>0</v>
      </c>
      <c r="R208" s="16">
        <v>0</v>
      </c>
      <c r="S208" s="16">
        <v>0</v>
      </c>
      <c r="T208" s="16">
        <v>0</v>
      </c>
      <c r="U208" s="16">
        <v>1</v>
      </c>
      <c r="V208" s="16">
        <v>1</v>
      </c>
      <c r="W208" s="16">
        <v>1</v>
      </c>
      <c r="X208" s="16">
        <v>0</v>
      </c>
      <c r="Y208" s="16">
        <v>0</v>
      </c>
      <c r="Z208" s="16">
        <v>1</v>
      </c>
      <c r="AA208" s="16">
        <v>0</v>
      </c>
      <c r="AB208" s="16">
        <v>2</v>
      </c>
      <c r="AC208" s="16">
        <v>2</v>
      </c>
      <c r="AD208" s="16">
        <v>0</v>
      </c>
      <c r="AE208" s="16">
        <v>1</v>
      </c>
      <c r="AF208" s="13">
        <f t="shared" si="351"/>
        <v>16</v>
      </c>
      <c r="AG208" s="31"/>
      <c r="AH208" s="31"/>
    </row>
    <row r="209" spans="1:34" ht="12.75" customHeight="1" x14ac:dyDescent="0.3">
      <c r="A209" s="15"/>
      <c r="B209" s="34"/>
      <c r="C209" s="29" t="s">
        <v>161</v>
      </c>
      <c r="D209" s="36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1</v>
      </c>
      <c r="AD209" s="16">
        <v>0</v>
      </c>
      <c r="AE209" s="16">
        <v>0</v>
      </c>
      <c r="AF209" s="13">
        <f t="shared" si="351"/>
        <v>1</v>
      </c>
      <c r="AG209" s="31"/>
      <c r="AH209" s="31"/>
    </row>
    <row r="210" spans="1:34" ht="12.75" customHeight="1" x14ac:dyDescent="0.3">
      <c r="A210" s="15"/>
      <c r="B210" s="34"/>
      <c r="C210" s="29" t="s">
        <v>162</v>
      </c>
      <c r="D210" s="36"/>
      <c r="E210" s="16">
        <v>0</v>
      </c>
      <c r="F210" s="16">
        <v>0</v>
      </c>
      <c r="G210" s="16">
        <v>0</v>
      </c>
      <c r="H210" s="16">
        <v>1</v>
      </c>
      <c r="I210" s="16">
        <v>0</v>
      </c>
      <c r="J210" s="16">
        <v>0</v>
      </c>
      <c r="K210" s="16">
        <v>1</v>
      </c>
      <c r="L210" s="16">
        <v>1</v>
      </c>
      <c r="M210" s="16">
        <v>2</v>
      </c>
      <c r="N210" s="16">
        <v>1</v>
      </c>
      <c r="O210" s="16">
        <v>1</v>
      </c>
      <c r="P210" s="16">
        <v>1</v>
      </c>
      <c r="Q210" s="16">
        <v>3</v>
      </c>
      <c r="R210" s="16">
        <v>1</v>
      </c>
      <c r="S210" s="16">
        <v>0</v>
      </c>
      <c r="T210" s="16">
        <v>0</v>
      </c>
      <c r="U210" s="16">
        <v>1</v>
      </c>
      <c r="V210" s="16">
        <v>1</v>
      </c>
      <c r="W210" s="16">
        <v>0</v>
      </c>
      <c r="X210" s="16">
        <v>2</v>
      </c>
      <c r="Y210" s="16">
        <v>0</v>
      </c>
      <c r="Z210" s="16">
        <v>0</v>
      </c>
      <c r="AA210" s="16">
        <v>1</v>
      </c>
      <c r="AB210" s="16">
        <v>0</v>
      </c>
      <c r="AC210" s="16">
        <v>0</v>
      </c>
      <c r="AD210" s="16">
        <v>0</v>
      </c>
      <c r="AE210" s="16">
        <v>1</v>
      </c>
      <c r="AF210" s="13">
        <f t="shared" si="351"/>
        <v>18</v>
      </c>
      <c r="AG210" s="31"/>
      <c r="AH210" s="31"/>
    </row>
    <row r="211" spans="1:34" ht="12.75" customHeight="1" x14ac:dyDescent="0.3">
      <c r="A211" s="16" t="s">
        <v>15</v>
      </c>
      <c r="B211" s="60" t="s">
        <v>49</v>
      </c>
      <c r="C211" s="61"/>
      <c r="D211" s="59"/>
      <c r="E211" s="13">
        <f>SUM(E201:E210)</f>
        <v>64</v>
      </c>
      <c r="F211" s="13">
        <f t="shared" ref="F211" si="352">SUM(F201:F210)</f>
        <v>41</v>
      </c>
      <c r="G211" s="13">
        <f t="shared" ref="G211" si="353">SUM(G201:G210)</f>
        <v>15</v>
      </c>
      <c r="H211" s="13">
        <f t="shared" ref="H211" si="354">SUM(H201:H210)</f>
        <v>21</v>
      </c>
      <c r="I211" s="13">
        <f t="shared" ref="I211" si="355">SUM(I201:I210)</f>
        <v>17</v>
      </c>
      <c r="J211" s="13">
        <f t="shared" ref="J211" si="356">SUM(J201:J210)</f>
        <v>3</v>
      </c>
      <c r="K211" s="13">
        <f t="shared" ref="K211" si="357">SUM(K201:K210)</f>
        <v>30</v>
      </c>
      <c r="L211" s="13">
        <f t="shared" ref="L211" si="358">SUM(L201:L210)</f>
        <v>31</v>
      </c>
      <c r="M211" s="13">
        <f t="shared" ref="M211" si="359">SUM(M201:M210)</f>
        <v>8</v>
      </c>
      <c r="N211" s="13">
        <f t="shared" ref="N211" si="360">SUM(N201:N210)</f>
        <v>16</v>
      </c>
      <c r="O211" s="13">
        <f t="shared" ref="O211" si="361">SUM(O201:O210)</f>
        <v>7</v>
      </c>
      <c r="P211" s="13">
        <f t="shared" ref="P211" si="362">SUM(P201:P210)</f>
        <v>15</v>
      </c>
      <c r="Q211" s="13">
        <f t="shared" ref="Q211" si="363">SUM(Q201:Q210)</f>
        <v>16</v>
      </c>
      <c r="R211" s="13">
        <f t="shared" ref="R211" si="364">SUM(R201:R210)</f>
        <v>20</v>
      </c>
      <c r="S211" s="13">
        <f t="shared" ref="S211" si="365">SUM(S201:S210)</f>
        <v>25</v>
      </c>
      <c r="T211" s="13">
        <f t="shared" ref="T211" si="366">SUM(T201:T210)</f>
        <v>18</v>
      </c>
      <c r="U211" s="13">
        <f t="shared" ref="U211" si="367">SUM(U201:U210)</f>
        <v>35</v>
      </c>
      <c r="V211" s="13">
        <f t="shared" ref="V211" si="368">SUM(V201:V210)</f>
        <v>38</v>
      </c>
      <c r="W211" s="13">
        <f t="shared" ref="W211" si="369">SUM(W201:W210)</f>
        <v>96</v>
      </c>
      <c r="X211" s="13">
        <f t="shared" ref="X211" si="370">SUM(X201:X210)</f>
        <v>17</v>
      </c>
      <c r="Y211" s="13">
        <f t="shared" ref="Y211" si="371">SUM(Y201:Y210)</f>
        <v>9</v>
      </c>
      <c r="Z211" s="13">
        <f t="shared" ref="Z211" si="372">SUM(Z201:Z210)</f>
        <v>11</v>
      </c>
      <c r="AA211" s="13">
        <f t="shared" ref="AA211" si="373">SUM(AA201:AA210)</f>
        <v>17</v>
      </c>
      <c r="AB211" s="13">
        <f t="shared" ref="AB211" si="374">SUM(AB201:AB210)</f>
        <v>19</v>
      </c>
      <c r="AC211" s="13">
        <f t="shared" ref="AC211" si="375">SUM(AC201:AC210)</f>
        <v>35</v>
      </c>
      <c r="AD211" s="13">
        <f t="shared" ref="AD211" si="376">SUM(AD201:AD210)</f>
        <v>84</v>
      </c>
      <c r="AE211" s="13">
        <f t="shared" ref="AE211" si="377">SUM(AE201:AE210)</f>
        <v>54</v>
      </c>
      <c r="AF211" s="13">
        <f t="shared" ref="AF211" si="378">SUM(AF201:AF210)</f>
        <v>762</v>
      </c>
      <c r="AG211" s="5"/>
      <c r="AH211" s="5"/>
    </row>
    <row r="212" spans="1:34" ht="12.75" customHeight="1" x14ac:dyDescent="0.3">
      <c r="A212" s="62"/>
      <c r="B212" s="61"/>
      <c r="C212" s="61"/>
      <c r="D212" s="61"/>
      <c r="E212" s="59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"/>
      <c r="AH212" s="5"/>
    </row>
    <row r="213" spans="1:34" ht="12.75" customHeight="1" x14ac:dyDescent="0.3">
      <c r="A213" s="20" t="s">
        <v>37</v>
      </c>
      <c r="B213" s="27" t="s">
        <v>163</v>
      </c>
      <c r="C213" s="58" t="s">
        <v>164</v>
      </c>
      <c r="D213" s="59"/>
      <c r="E213" s="16">
        <v>1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1</v>
      </c>
      <c r="M213" s="16">
        <v>1</v>
      </c>
      <c r="N213" s="16">
        <v>1</v>
      </c>
      <c r="O213" s="16">
        <v>1</v>
      </c>
      <c r="P213" s="16">
        <v>0</v>
      </c>
      <c r="Q213" s="16">
        <v>1</v>
      </c>
      <c r="R213" s="16">
        <v>2</v>
      </c>
      <c r="S213" s="16">
        <v>1</v>
      </c>
      <c r="T213" s="16">
        <v>2</v>
      </c>
      <c r="U213" s="16">
        <v>0</v>
      </c>
      <c r="V213" s="16">
        <v>2</v>
      </c>
      <c r="W213" s="16">
        <v>3</v>
      </c>
      <c r="X213" s="16">
        <v>3</v>
      </c>
      <c r="Y213" s="16">
        <v>2</v>
      </c>
      <c r="Z213" s="16">
        <v>1</v>
      </c>
      <c r="AA213" s="16">
        <v>3</v>
      </c>
      <c r="AB213" s="16">
        <v>0</v>
      </c>
      <c r="AC213" s="16">
        <v>2</v>
      </c>
      <c r="AD213" s="16">
        <v>1</v>
      </c>
      <c r="AE213" s="16">
        <v>0</v>
      </c>
      <c r="AF213" s="13">
        <f t="shared" ref="AF213:AF216" si="379">SUM(E213:AE213)</f>
        <v>28</v>
      </c>
      <c r="AG213" s="5"/>
      <c r="AH213" s="5"/>
    </row>
    <row r="214" spans="1:34" ht="12.75" customHeight="1" x14ac:dyDescent="0.3">
      <c r="A214" s="20" t="s">
        <v>39</v>
      </c>
      <c r="B214" s="34"/>
      <c r="C214" s="29" t="s">
        <v>165</v>
      </c>
      <c r="D214" s="35"/>
      <c r="E214" s="16">
        <v>2</v>
      </c>
      <c r="F214" s="16">
        <v>0</v>
      </c>
      <c r="G214" s="16">
        <v>0</v>
      </c>
      <c r="H214" s="16">
        <v>0</v>
      </c>
      <c r="I214" s="16">
        <v>0</v>
      </c>
      <c r="J214" s="16">
        <v>1</v>
      </c>
      <c r="K214" s="16">
        <v>2</v>
      </c>
      <c r="L214" s="16">
        <v>0</v>
      </c>
      <c r="M214" s="16">
        <v>0</v>
      </c>
      <c r="N214" s="16">
        <v>2</v>
      </c>
      <c r="O214" s="16">
        <v>1</v>
      </c>
      <c r="P214" s="16">
        <v>0</v>
      </c>
      <c r="Q214" s="16">
        <v>0</v>
      </c>
      <c r="R214" s="16">
        <v>1</v>
      </c>
      <c r="S214" s="16">
        <v>0</v>
      </c>
      <c r="T214" s="16">
        <v>0</v>
      </c>
      <c r="U214" s="16">
        <v>4</v>
      </c>
      <c r="V214" s="16">
        <v>0</v>
      </c>
      <c r="W214" s="16">
        <v>1</v>
      </c>
      <c r="X214" s="16">
        <v>1</v>
      </c>
      <c r="Y214" s="16">
        <v>1</v>
      </c>
      <c r="Z214" s="16">
        <v>0</v>
      </c>
      <c r="AA214" s="16">
        <v>0</v>
      </c>
      <c r="AB214" s="16">
        <v>2</v>
      </c>
      <c r="AC214" s="16">
        <v>0</v>
      </c>
      <c r="AD214" s="16">
        <v>0</v>
      </c>
      <c r="AE214" s="16">
        <v>1</v>
      </c>
      <c r="AF214" s="13">
        <f t="shared" si="379"/>
        <v>19</v>
      </c>
      <c r="AG214" s="5"/>
      <c r="AH214" s="5"/>
    </row>
    <row r="215" spans="1:34" ht="12.75" customHeight="1" x14ac:dyDescent="0.3">
      <c r="A215" s="15"/>
      <c r="B215" s="34"/>
      <c r="C215" s="29" t="s">
        <v>166</v>
      </c>
      <c r="D215" s="35"/>
      <c r="E215" s="16">
        <v>1</v>
      </c>
      <c r="F215" s="16">
        <v>0</v>
      </c>
      <c r="G215" s="16">
        <v>1</v>
      </c>
      <c r="H215" s="16">
        <v>0</v>
      </c>
      <c r="I215" s="16">
        <v>0</v>
      </c>
      <c r="J215" s="16">
        <v>0</v>
      </c>
      <c r="K215" s="16">
        <v>2</v>
      </c>
      <c r="L215" s="16">
        <v>1</v>
      </c>
      <c r="M215" s="16">
        <v>1</v>
      </c>
      <c r="N215" s="16">
        <v>2</v>
      </c>
      <c r="O215" s="16">
        <v>0</v>
      </c>
      <c r="P215" s="16">
        <v>1</v>
      </c>
      <c r="Q215" s="16">
        <v>1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3</v>
      </c>
      <c r="Z215" s="16">
        <v>0</v>
      </c>
      <c r="AA215" s="16">
        <v>0</v>
      </c>
      <c r="AB215" s="16">
        <v>1</v>
      </c>
      <c r="AC215" s="16">
        <v>1</v>
      </c>
      <c r="AD215" s="16">
        <v>0</v>
      </c>
      <c r="AE215" s="16">
        <v>0</v>
      </c>
      <c r="AF215" s="13">
        <f t="shared" si="379"/>
        <v>15</v>
      </c>
      <c r="AG215" s="5"/>
      <c r="AH215" s="5"/>
    </row>
    <row r="216" spans="1:34" ht="12.75" customHeight="1" x14ac:dyDescent="0.3">
      <c r="A216" s="15"/>
      <c r="B216" s="34"/>
      <c r="C216" s="29" t="s">
        <v>167</v>
      </c>
      <c r="D216" s="45"/>
      <c r="E216" s="16">
        <v>0</v>
      </c>
      <c r="F216" s="16">
        <v>1</v>
      </c>
      <c r="G216" s="16">
        <v>1</v>
      </c>
      <c r="H216" s="16">
        <v>0</v>
      </c>
      <c r="I216" s="16">
        <v>0</v>
      </c>
      <c r="J216" s="16">
        <v>0</v>
      </c>
      <c r="K216" s="16">
        <v>0</v>
      </c>
      <c r="L216" s="16">
        <v>1</v>
      </c>
      <c r="M216" s="16">
        <v>0</v>
      </c>
      <c r="N216" s="16">
        <v>0</v>
      </c>
      <c r="O216" s="16">
        <v>1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1</v>
      </c>
      <c r="X216" s="16">
        <v>0</v>
      </c>
      <c r="Y216" s="16">
        <v>0</v>
      </c>
      <c r="Z216" s="16">
        <v>1</v>
      </c>
      <c r="AA216" s="16">
        <v>0</v>
      </c>
      <c r="AB216" s="16">
        <v>0</v>
      </c>
      <c r="AC216" s="16">
        <v>0</v>
      </c>
      <c r="AD216" s="16">
        <v>0</v>
      </c>
      <c r="AE216" s="16">
        <v>0</v>
      </c>
      <c r="AF216" s="13">
        <f t="shared" si="379"/>
        <v>6</v>
      </c>
      <c r="AG216" s="5"/>
      <c r="AH216" s="5"/>
    </row>
    <row r="217" spans="1:34" ht="12.75" customHeight="1" x14ac:dyDescent="0.3">
      <c r="A217" s="15"/>
      <c r="B217" s="37"/>
      <c r="C217" s="38"/>
      <c r="D217" s="4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56"/>
      <c r="AG217" s="5"/>
      <c r="AH217" s="5"/>
    </row>
    <row r="218" spans="1:34" ht="12.75" customHeight="1" x14ac:dyDescent="0.3">
      <c r="A218" s="15"/>
      <c r="B218" s="37"/>
      <c r="C218" s="38"/>
      <c r="D218" s="4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56"/>
      <c r="AG218" s="1"/>
      <c r="AH218" s="1"/>
    </row>
    <row r="219" spans="1:34" ht="12.75" customHeight="1" x14ac:dyDescent="0.3">
      <c r="A219" s="15"/>
      <c r="B219" s="37"/>
      <c r="C219" s="38"/>
      <c r="D219" s="4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56"/>
      <c r="AG219" s="31"/>
      <c r="AH219" s="31"/>
    </row>
    <row r="220" spans="1:34" ht="12.75" customHeight="1" x14ac:dyDescent="0.3">
      <c r="A220" s="15"/>
      <c r="B220" s="37"/>
      <c r="C220" s="38"/>
      <c r="D220" s="4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56"/>
      <c r="AG220" s="5"/>
      <c r="AH220" s="5"/>
    </row>
    <row r="221" spans="1:34" ht="12.75" customHeight="1" x14ac:dyDescent="0.3">
      <c r="A221" s="15"/>
      <c r="B221" s="37"/>
      <c r="C221" s="38"/>
      <c r="D221" s="4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56"/>
      <c r="AG221" s="5"/>
      <c r="AH221" s="5"/>
    </row>
    <row r="222" spans="1:34" ht="12.75" customHeight="1" x14ac:dyDescent="0.3">
      <c r="A222" s="15"/>
      <c r="B222" s="37"/>
      <c r="C222" s="38"/>
      <c r="D222" s="4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56"/>
      <c r="AG222" s="5"/>
      <c r="AH222" s="5"/>
    </row>
    <row r="223" spans="1:34" ht="12.75" customHeight="1" x14ac:dyDescent="0.3">
      <c r="A223" s="16" t="s">
        <v>15</v>
      </c>
      <c r="B223" s="60" t="s">
        <v>49</v>
      </c>
      <c r="C223" s="61"/>
      <c r="D223" s="59"/>
      <c r="E223" s="13">
        <f>SUM(E213:E222)</f>
        <v>4</v>
      </c>
      <c r="F223" s="13">
        <f t="shared" ref="F223" si="380">SUM(F213:F222)</f>
        <v>1</v>
      </c>
      <c r="G223" s="13">
        <f t="shared" ref="G223" si="381">SUM(G213:G222)</f>
        <v>2</v>
      </c>
      <c r="H223" s="13">
        <f t="shared" ref="H223" si="382">SUM(H213:H222)</f>
        <v>0</v>
      </c>
      <c r="I223" s="13">
        <f t="shared" ref="I223" si="383">SUM(I213:I222)</f>
        <v>0</v>
      </c>
      <c r="J223" s="13">
        <f t="shared" ref="J223" si="384">SUM(J213:J222)</f>
        <v>1</v>
      </c>
      <c r="K223" s="13">
        <f t="shared" ref="K223" si="385">SUM(K213:K222)</f>
        <v>4</v>
      </c>
      <c r="L223" s="13">
        <f t="shared" ref="L223" si="386">SUM(L213:L222)</f>
        <v>3</v>
      </c>
      <c r="M223" s="13">
        <f t="shared" ref="M223" si="387">SUM(M213:M222)</f>
        <v>2</v>
      </c>
      <c r="N223" s="13">
        <f t="shared" ref="N223" si="388">SUM(N213:N222)</f>
        <v>5</v>
      </c>
      <c r="O223" s="13">
        <f t="shared" ref="O223" si="389">SUM(O213:O222)</f>
        <v>3</v>
      </c>
      <c r="P223" s="13">
        <f t="shared" ref="P223" si="390">SUM(P213:P222)</f>
        <v>1</v>
      </c>
      <c r="Q223" s="13">
        <f t="shared" ref="Q223" si="391">SUM(Q213:Q222)</f>
        <v>2</v>
      </c>
      <c r="R223" s="13">
        <f t="shared" ref="R223" si="392">SUM(R213:R222)</f>
        <v>3</v>
      </c>
      <c r="S223" s="13">
        <f t="shared" ref="S223" si="393">SUM(S213:S222)</f>
        <v>1</v>
      </c>
      <c r="T223" s="13">
        <f t="shared" ref="T223" si="394">SUM(T213:T222)</f>
        <v>2</v>
      </c>
      <c r="U223" s="13">
        <f t="shared" ref="U223" si="395">SUM(U213:U222)</f>
        <v>4</v>
      </c>
      <c r="V223" s="13">
        <f t="shared" ref="V223" si="396">SUM(V213:V222)</f>
        <v>2</v>
      </c>
      <c r="W223" s="13">
        <f t="shared" ref="W223" si="397">SUM(W213:W222)</f>
        <v>5</v>
      </c>
      <c r="X223" s="13">
        <f t="shared" ref="X223" si="398">SUM(X213:X222)</f>
        <v>4</v>
      </c>
      <c r="Y223" s="13">
        <f t="shared" ref="Y223" si="399">SUM(Y213:Y222)</f>
        <v>6</v>
      </c>
      <c r="Z223" s="13">
        <f t="shared" ref="Z223" si="400">SUM(Z213:Z222)</f>
        <v>2</v>
      </c>
      <c r="AA223" s="13">
        <f t="shared" ref="AA223" si="401">SUM(AA213:AA222)</f>
        <v>3</v>
      </c>
      <c r="AB223" s="13">
        <f t="shared" ref="AB223" si="402">SUM(AB213:AB222)</f>
        <v>3</v>
      </c>
      <c r="AC223" s="13">
        <f t="shared" ref="AC223" si="403">SUM(AC213:AC222)</f>
        <v>3</v>
      </c>
      <c r="AD223" s="13">
        <f t="shared" ref="AD223" si="404">SUM(AD213:AD222)</f>
        <v>1</v>
      </c>
      <c r="AE223" s="13">
        <f t="shared" ref="AE223" si="405">SUM(AE213:AE222)</f>
        <v>1</v>
      </c>
      <c r="AF223" s="13">
        <f t="shared" ref="AF223" si="406">SUM(AF213:AF222)</f>
        <v>68</v>
      </c>
      <c r="AG223" s="5"/>
      <c r="AH223" s="5"/>
    </row>
    <row r="224" spans="1:34" ht="12.75" customHeight="1" x14ac:dyDescent="0.3">
      <c r="A224" s="62"/>
      <c r="B224" s="61"/>
      <c r="C224" s="61"/>
      <c r="D224" s="61"/>
      <c r="E224" s="59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"/>
      <c r="AH224" s="5"/>
    </row>
    <row r="225" spans="1:34" ht="12.75" customHeight="1" x14ac:dyDescent="0.3">
      <c r="A225" s="20" t="s">
        <v>37</v>
      </c>
      <c r="B225" s="27" t="s">
        <v>168</v>
      </c>
      <c r="C225" s="58" t="s">
        <v>169</v>
      </c>
      <c r="D225" s="59"/>
      <c r="E225" s="16">
        <v>0</v>
      </c>
      <c r="F225" s="16">
        <v>0</v>
      </c>
      <c r="G225" s="16">
        <v>0</v>
      </c>
      <c r="H225" s="16">
        <v>1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1</v>
      </c>
      <c r="R225" s="16">
        <v>0</v>
      </c>
      <c r="S225" s="16">
        <v>0</v>
      </c>
      <c r="T225" s="16">
        <v>1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3">
        <f t="shared" ref="AF225:AF229" si="407">SUM(E225:AE225)</f>
        <v>3</v>
      </c>
      <c r="AG225" s="5"/>
      <c r="AH225" s="5"/>
    </row>
    <row r="226" spans="1:34" ht="12.75" customHeight="1" x14ac:dyDescent="0.3">
      <c r="A226" s="20" t="s">
        <v>39</v>
      </c>
      <c r="B226" s="34"/>
      <c r="C226" s="29" t="s">
        <v>170</v>
      </c>
      <c r="D226" s="36"/>
      <c r="E226" s="16">
        <v>3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1</v>
      </c>
      <c r="N226" s="16">
        <v>0</v>
      </c>
      <c r="O226" s="16">
        <v>0</v>
      </c>
      <c r="P226" s="16">
        <v>1</v>
      </c>
      <c r="Q226" s="16">
        <v>4</v>
      </c>
      <c r="R226" s="16">
        <v>0</v>
      </c>
      <c r="S226" s="16">
        <v>0</v>
      </c>
      <c r="T226" s="16">
        <v>2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3">
        <f t="shared" si="407"/>
        <v>11</v>
      </c>
      <c r="AG226" s="5"/>
      <c r="AH226" s="5"/>
    </row>
    <row r="227" spans="1:34" ht="12.75" customHeight="1" x14ac:dyDescent="0.3">
      <c r="A227" s="15"/>
      <c r="B227" s="34"/>
      <c r="C227" s="29" t="s">
        <v>171</v>
      </c>
      <c r="D227" s="36"/>
      <c r="E227" s="16">
        <v>0</v>
      </c>
      <c r="F227" s="16">
        <v>0</v>
      </c>
      <c r="G227" s="16">
        <v>0</v>
      </c>
      <c r="H227" s="16">
        <v>1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3">
        <f t="shared" si="407"/>
        <v>1</v>
      </c>
      <c r="AG227" s="5"/>
      <c r="AH227" s="5"/>
    </row>
    <row r="228" spans="1:34" ht="12.75" customHeight="1" x14ac:dyDescent="0.3">
      <c r="A228" s="15"/>
      <c r="B228" s="34"/>
      <c r="C228" s="29" t="s">
        <v>172</v>
      </c>
      <c r="D228" s="36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3">
        <f t="shared" si="407"/>
        <v>0</v>
      </c>
      <c r="AG228" s="5"/>
      <c r="AH228" s="5"/>
    </row>
    <row r="229" spans="1:34" ht="12.75" customHeight="1" x14ac:dyDescent="0.3">
      <c r="A229" s="15"/>
      <c r="B229" s="34"/>
      <c r="C229" s="29" t="s">
        <v>173</v>
      </c>
      <c r="D229" s="36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3">
        <f t="shared" si="407"/>
        <v>0</v>
      </c>
      <c r="AG229" s="1"/>
      <c r="AH229" s="1"/>
    </row>
    <row r="230" spans="1:34" ht="12.75" customHeight="1" x14ac:dyDescent="0.3">
      <c r="A230" s="15"/>
      <c r="B230" s="37"/>
      <c r="C230" s="38"/>
      <c r="D230" s="39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56"/>
      <c r="AG230" s="31"/>
      <c r="AH230" s="31"/>
    </row>
    <row r="231" spans="1:34" ht="12.75" customHeight="1" x14ac:dyDescent="0.3">
      <c r="A231" s="15"/>
      <c r="B231" s="37"/>
      <c r="C231" s="38"/>
      <c r="D231" s="39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56"/>
      <c r="AG231" s="5"/>
      <c r="AH231" s="5"/>
    </row>
    <row r="232" spans="1:34" ht="12.75" customHeight="1" x14ac:dyDescent="0.3">
      <c r="A232" s="15"/>
      <c r="B232" s="37"/>
      <c r="C232" s="38"/>
      <c r="D232" s="39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56"/>
      <c r="AG232" s="5"/>
      <c r="AH232" s="5"/>
    </row>
    <row r="233" spans="1:34" ht="12.75" customHeight="1" x14ac:dyDescent="0.3">
      <c r="A233" s="15"/>
      <c r="B233" s="37"/>
      <c r="C233" s="38"/>
      <c r="D233" s="39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56"/>
      <c r="AG233" s="5"/>
      <c r="AH233" s="5"/>
    </row>
    <row r="234" spans="1:34" ht="12.75" customHeight="1" x14ac:dyDescent="0.3">
      <c r="A234" s="15"/>
      <c r="B234" s="37"/>
      <c r="C234" s="38"/>
      <c r="D234" s="39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56"/>
      <c r="AG234" s="5"/>
      <c r="AH234" s="5"/>
    </row>
    <row r="235" spans="1:34" ht="12.75" customHeight="1" x14ac:dyDescent="0.3">
      <c r="A235" s="16" t="s">
        <v>15</v>
      </c>
      <c r="B235" s="60" t="s">
        <v>49</v>
      </c>
      <c r="C235" s="61"/>
      <c r="D235" s="59"/>
      <c r="E235" s="13">
        <f>SUM(E225:E234)</f>
        <v>3</v>
      </c>
      <c r="F235" s="13">
        <f t="shared" ref="F235" si="408">SUM(F225:F234)</f>
        <v>0</v>
      </c>
      <c r="G235" s="13">
        <f t="shared" ref="G235" si="409">SUM(G225:G234)</f>
        <v>0</v>
      </c>
      <c r="H235" s="13">
        <f t="shared" ref="H235" si="410">SUM(H225:H234)</f>
        <v>2</v>
      </c>
      <c r="I235" s="13">
        <f t="shared" ref="I235" si="411">SUM(I225:I234)</f>
        <v>0</v>
      </c>
      <c r="J235" s="13">
        <f t="shared" ref="J235" si="412">SUM(J225:J234)</f>
        <v>0</v>
      </c>
      <c r="K235" s="13">
        <f t="shared" ref="K235" si="413">SUM(K225:K234)</f>
        <v>0</v>
      </c>
      <c r="L235" s="13">
        <f t="shared" ref="L235" si="414">SUM(L225:L234)</f>
        <v>0</v>
      </c>
      <c r="M235" s="13">
        <f t="shared" ref="M235" si="415">SUM(M225:M234)</f>
        <v>1</v>
      </c>
      <c r="N235" s="13">
        <f t="shared" ref="N235" si="416">SUM(N225:N234)</f>
        <v>0</v>
      </c>
      <c r="O235" s="13">
        <f t="shared" ref="O235" si="417">SUM(O225:O234)</f>
        <v>0</v>
      </c>
      <c r="P235" s="13">
        <f t="shared" ref="P235" si="418">SUM(P225:P234)</f>
        <v>1</v>
      </c>
      <c r="Q235" s="13">
        <f t="shared" ref="Q235" si="419">SUM(Q225:Q234)</f>
        <v>5</v>
      </c>
      <c r="R235" s="13">
        <f t="shared" ref="R235" si="420">SUM(R225:R234)</f>
        <v>0</v>
      </c>
      <c r="S235" s="13">
        <f t="shared" ref="S235" si="421">SUM(S225:S234)</f>
        <v>0</v>
      </c>
      <c r="T235" s="13">
        <f t="shared" ref="T235" si="422">SUM(T225:T234)</f>
        <v>3</v>
      </c>
      <c r="U235" s="13">
        <f t="shared" ref="U235" si="423">SUM(U225:U234)</f>
        <v>0</v>
      </c>
      <c r="V235" s="13">
        <f t="shared" ref="V235" si="424">SUM(V225:V234)</f>
        <v>0</v>
      </c>
      <c r="W235" s="13">
        <f t="shared" ref="W235" si="425">SUM(W225:W234)</f>
        <v>0</v>
      </c>
      <c r="X235" s="13">
        <f t="shared" ref="X235" si="426">SUM(X225:X234)</f>
        <v>0</v>
      </c>
      <c r="Y235" s="13">
        <f t="shared" ref="Y235" si="427">SUM(Y225:Y234)</f>
        <v>0</v>
      </c>
      <c r="Z235" s="13">
        <f t="shared" ref="Z235" si="428">SUM(Z225:Z234)</f>
        <v>0</v>
      </c>
      <c r="AA235" s="13">
        <f t="shared" ref="AA235" si="429">SUM(AA225:AA234)</f>
        <v>0</v>
      </c>
      <c r="AB235" s="13">
        <f t="shared" ref="AB235" si="430">SUM(AB225:AB234)</f>
        <v>0</v>
      </c>
      <c r="AC235" s="13">
        <f t="shared" ref="AC235" si="431">SUM(AC225:AC234)</f>
        <v>0</v>
      </c>
      <c r="AD235" s="13">
        <f t="shared" ref="AD235" si="432">SUM(AD225:AD234)</f>
        <v>0</v>
      </c>
      <c r="AE235" s="13">
        <f t="shared" ref="AE235" si="433">SUM(AE225:AE234)</f>
        <v>0</v>
      </c>
      <c r="AF235" s="13">
        <f t="shared" ref="AF235" si="434">SUM(AF225:AF234)</f>
        <v>15</v>
      </c>
      <c r="AG235" s="5"/>
      <c r="AH235" s="5"/>
    </row>
    <row r="236" spans="1:34" ht="12.75" customHeight="1" x14ac:dyDescent="0.3">
      <c r="A236" s="62"/>
      <c r="B236" s="61"/>
      <c r="C236" s="61"/>
      <c r="D236" s="61"/>
      <c r="E236" s="59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"/>
      <c r="AH236" s="5"/>
    </row>
    <row r="237" spans="1:34" ht="12.75" customHeight="1" x14ac:dyDescent="0.3">
      <c r="A237" s="20" t="s">
        <v>37</v>
      </c>
      <c r="B237" s="27" t="s">
        <v>174</v>
      </c>
      <c r="C237" s="58" t="s">
        <v>175</v>
      </c>
      <c r="D237" s="59"/>
      <c r="E237" s="16">
        <v>0</v>
      </c>
      <c r="F237" s="16">
        <v>0</v>
      </c>
      <c r="G237" s="16">
        <v>1</v>
      </c>
      <c r="H237" s="16">
        <v>0</v>
      </c>
      <c r="I237" s="16">
        <v>4</v>
      </c>
      <c r="J237" s="16">
        <v>14</v>
      </c>
      <c r="K237" s="16">
        <v>0</v>
      </c>
      <c r="L237" s="16">
        <v>1</v>
      </c>
      <c r="M237" s="16">
        <v>1</v>
      </c>
      <c r="N237" s="16">
        <v>1</v>
      </c>
      <c r="O237" s="16">
        <v>2</v>
      </c>
      <c r="P237" s="16">
        <v>0</v>
      </c>
      <c r="Q237" s="16">
        <v>1</v>
      </c>
      <c r="R237" s="16">
        <v>0</v>
      </c>
      <c r="S237" s="16">
        <v>1</v>
      </c>
      <c r="T237" s="16">
        <v>1</v>
      </c>
      <c r="U237" s="16">
        <v>0</v>
      </c>
      <c r="V237" s="16">
        <v>4</v>
      </c>
      <c r="W237" s="16">
        <v>1</v>
      </c>
      <c r="X237" s="16">
        <v>0</v>
      </c>
      <c r="Y237" s="16">
        <v>2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1</v>
      </c>
      <c r="AF237" s="13">
        <f t="shared" ref="AF237:AF246" si="435">SUM(E237:AE237)</f>
        <v>35</v>
      </c>
      <c r="AG237" s="5"/>
      <c r="AH237" s="5"/>
    </row>
    <row r="238" spans="1:34" ht="12.75" customHeight="1" x14ac:dyDescent="0.3">
      <c r="A238" s="20" t="s">
        <v>39</v>
      </c>
      <c r="B238" s="34"/>
      <c r="C238" s="29" t="s">
        <v>176</v>
      </c>
      <c r="D238" s="36"/>
      <c r="E238" s="16">
        <v>0</v>
      </c>
      <c r="F238" s="16">
        <v>0</v>
      </c>
      <c r="G238" s="16">
        <v>1</v>
      </c>
      <c r="H238" s="16">
        <v>0</v>
      </c>
      <c r="I238" s="16">
        <v>1</v>
      </c>
      <c r="J238" s="16">
        <v>3</v>
      </c>
      <c r="K238" s="16">
        <v>0</v>
      </c>
      <c r="L238" s="16">
        <v>1</v>
      </c>
      <c r="M238" s="16">
        <v>2</v>
      </c>
      <c r="N238" s="16">
        <v>0</v>
      </c>
      <c r="O238" s="16">
        <v>1</v>
      </c>
      <c r="P238" s="16">
        <v>0</v>
      </c>
      <c r="Q238" s="16">
        <v>0</v>
      </c>
      <c r="R238" s="16">
        <v>1</v>
      </c>
      <c r="S238" s="16">
        <v>1</v>
      </c>
      <c r="T238" s="16">
        <v>0</v>
      </c>
      <c r="U238" s="16">
        <v>0</v>
      </c>
      <c r="V238" s="16">
        <v>1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1</v>
      </c>
      <c r="AE238" s="16">
        <v>0</v>
      </c>
      <c r="AF238" s="13">
        <f t="shared" si="435"/>
        <v>13</v>
      </c>
      <c r="AG238" s="5"/>
      <c r="AH238" s="5"/>
    </row>
    <row r="239" spans="1:34" ht="12.75" customHeight="1" x14ac:dyDescent="0.3">
      <c r="A239" s="15"/>
      <c r="B239" s="34"/>
      <c r="C239" s="29" t="s">
        <v>177</v>
      </c>
      <c r="D239" s="36"/>
      <c r="E239" s="16">
        <v>0</v>
      </c>
      <c r="F239" s="16">
        <v>0</v>
      </c>
      <c r="G239" s="16">
        <v>6</v>
      </c>
      <c r="H239" s="16">
        <v>0</v>
      </c>
      <c r="I239" s="16">
        <v>36</v>
      </c>
      <c r="J239" s="16">
        <v>108</v>
      </c>
      <c r="K239" s="16">
        <v>0</v>
      </c>
      <c r="L239" s="16">
        <v>2</v>
      </c>
      <c r="M239" s="16">
        <v>5</v>
      </c>
      <c r="N239" s="16">
        <v>1</v>
      </c>
      <c r="O239" s="16">
        <v>0</v>
      </c>
      <c r="P239" s="16">
        <v>2</v>
      </c>
      <c r="Q239" s="16">
        <v>1</v>
      </c>
      <c r="R239" s="16">
        <v>2</v>
      </c>
      <c r="S239" s="16">
        <v>0</v>
      </c>
      <c r="T239" s="16">
        <v>1</v>
      </c>
      <c r="U239" s="16">
        <v>0</v>
      </c>
      <c r="V239" s="16">
        <v>15</v>
      </c>
      <c r="W239" s="16">
        <v>5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3">
        <f t="shared" si="435"/>
        <v>184</v>
      </c>
      <c r="AG239" s="5"/>
      <c r="AH239" s="5"/>
    </row>
    <row r="240" spans="1:34" ht="12.75" customHeight="1" x14ac:dyDescent="0.3">
      <c r="A240" s="15"/>
      <c r="B240" s="34"/>
      <c r="C240" s="29" t="s">
        <v>178</v>
      </c>
      <c r="D240" s="36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1</v>
      </c>
      <c r="W240" s="16">
        <v>0</v>
      </c>
      <c r="X240" s="16">
        <v>0</v>
      </c>
      <c r="Y240" s="16">
        <v>1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3">
        <f t="shared" si="435"/>
        <v>2</v>
      </c>
      <c r="AG240" s="1"/>
      <c r="AH240" s="1"/>
    </row>
    <row r="241" spans="1:32" ht="12.75" customHeight="1" x14ac:dyDescent="0.3">
      <c r="A241" s="15"/>
      <c r="B241" s="34"/>
      <c r="C241" s="29" t="s">
        <v>179</v>
      </c>
      <c r="D241" s="36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1</v>
      </c>
      <c r="N241" s="16">
        <v>0</v>
      </c>
      <c r="O241" s="16">
        <v>1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3">
        <f t="shared" si="435"/>
        <v>2</v>
      </c>
    </row>
    <row r="242" spans="1:32" ht="12.75" customHeight="1" x14ac:dyDescent="0.3">
      <c r="A242" s="15"/>
      <c r="B242" s="34"/>
      <c r="C242" s="29" t="s">
        <v>180</v>
      </c>
      <c r="D242" s="36"/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0</v>
      </c>
      <c r="M242" s="16">
        <v>1</v>
      </c>
      <c r="N242" s="16">
        <v>0</v>
      </c>
      <c r="O242" s="16">
        <v>5</v>
      </c>
      <c r="P242" s="16">
        <v>0</v>
      </c>
      <c r="Q242" s="16">
        <v>0</v>
      </c>
      <c r="R242" s="16">
        <v>0</v>
      </c>
      <c r="S242" s="16">
        <v>0</v>
      </c>
      <c r="T242" s="16">
        <v>2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1</v>
      </c>
      <c r="AE242" s="16">
        <v>0</v>
      </c>
      <c r="AF242" s="13">
        <f t="shared" si="435"/>
        <v>9</v>
      </c>
    </row>
    <row r="243" spans="1:32" ht="12.75" customHeight="1" x14ac:dyDescent="0.3">
      <c r="A243" s="15"/>
      <c r="B243" s="34"/>
      <c r="C243" s="29" t="s">
        <v>181</v>
      </c>
      <c r="D243" s="36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1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3">
        <f t="shared" si="435"/>
        <v>1</v>
      </c>
    </row>
    <row r="244" spans="1:32" ht="12.75" customHeight="1" x14ac:dyDescent="0.3">
      <c r="A244" s="15"/>
      <c r="B244" s="34"/>
      <c r="C244" s="29" t="s">
        <v>182</v>
      </c>
      <c r="D244" s="36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1</v>
      </c>
      <c r="K244" s="16">
        <v>0</v>
      </c>
      <c r="L244" s="16">
        <v>1</v>
      </c>
      <c r="M244" s="16">
        <v>4</v>
      </c>
      <c r="N244" s="16">
        <v>0</v>
      </c>
      <c r="O244" s="16">
        <v>0</v>
      </c>
      <c r="P244" s="16">
        <v>1</v>
      </c>
      <c r="Q244" s="16">
        <v>2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3">
        <f t="shared" si="435"/>
        <v>9</v>
      </c>
    </row>
    <row r="245" spans="1:32" ht="12.75" customHeight="1" x14ac:dyDescent="0.3">
      <c r="A245" s="15"/>
      <c r="B245" s="34"/>
      <c r="C245" s="29" t="s">
        <v>183</v>
      </c>
      <c r="D245" s="36"/>
      <c r="E245" s="16">
        <v>1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1</v>
      </c>
      <c r="AE245" s="16">
        <v>0</v>
      </c>
      <c r="AF245" s="13">
        <f t="shared" si="435"/>
        <v>2</v>
      </c>
    </row>
    <row r="246" spans="1:32" ht="12.75" customHeight="1" x14ac:dyDescent="0.3">
      <c r="A246" s="15"/>
      <c r="B246" s="34"/>
      <c r="C246" s="29" t="s">
        <v>184</v>
      </c>
      <c r="D246" s="36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1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1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1</v>
      </c>
      <c r="AD246" s="16">
        <v>0</v>
      </c>
      <c r="AE246" s="16">
        <v>0</v>
      </c>
      <c r="AF246" s="13">
        <f t="shared" si="435"/>
        <v>3</v>
      </c>
    </row>
    <row r="247" spans="1:32" ht="12.75" customHeight="1" x14ac:dyDescent="0.3">
      <c r="A247" s="16" t="s">
        <v>15</v>
      </c>
      <c r="B247" s="60" t="s">
        <v>49</v>
      </c>
      <c r="C247" s="61"/>
      <c r="D247" s="59"/>
      <c r="E247" s="13">
        <f>SUM(E237:E246)</f>
        <v>1</v>
      </c>
      <c r="F247" s="13">
        <f t="shared" ref="F247" si="436">SUM(F237:F246)</f>
        <v>0</v>
      </c>
      <c r="G247" s="13">
        <f t="shared" ref="G247" si="437">SUM(G237:G246)</f>
        <v>8</v>
      </c>
      <c r="H247" s="13">
        <f t="shared" ref="H247" si="438">SUM(H237:H246)</f>
        <v>0</v>
      </c>
      <c r="I247" s="13">
        <f t="shared" ref="I247" si="439">SUM(I237:I246)</f>
        <v>41</v>
      </c>
      <c r="J247" s="13">
        <f t="shared" ref="J247" si="440">SUM(J237:J246)</f>
        <v>126</v>
      </c>
      <c r="K247" s="13">
        <f t="shared" ref="K247" si="441">SUM(K237:K246)</f>
        <v>0</v>
      </c>
      <c r="L247" s="13">
        <f t="shared" ref="L247" si="442">SUM(L237:L246)</f>
        <v>5</v>
      </c>
      <c r="M247" s="13">
        <f t="shared" ref="M247" si="443">SUM(M237:M246)</f>
        <v>16</v>
      </c>
      <c r="N247" s="13">
        <f t="shared" ref="N247" si="444">SUM(N237:N246)</f>
        <v>2</v>
      </c>
      <c r="O247" s="13">
        <f t="shared" ref="O247" si="445">SUM(O237:O246)</f>
        <v>9</v>
      </c>
      <c r="P247" s="13">
        <f t="shared" ref="P247" si="446">SUM(P237:P246)</f>
        <v>3</v>
      </c>
      <c r="Q247" s="13">
        <f t="shared" ref="Q247" si="447">SUM(Q237:Q246)</f>
        <v>4</v>
      </c>
      <c r="R247" s="13">
        <f t="shared" ref="R247" si="448">SUM(R237:R246)</f>
        <v>3</v>
      </c>
      <c r="S247" s="13">
        <f t="shared" ref="S247" si="449">SUM(S237:S246)</f>
        <v>2</v>
      </c>
      <c r="T247" s="13">
        <f t="shared" ref="T247" si="450">SUM(T237:T246)</f>
        <v>4</v>
      </c>
      <c r="U247" s="13">
        <f t="shared" ref="U247" si="451">SUM(U237:U246)</f>
        <v>0</v>
      </c>
      <c r="V247" s="13">
        <f t="shared" ref="V247" si="452">SUM(V237:V246)</f>
        <v>22</v>
      </c>
      <c r="W247" s="13">
        <f t="shared" ref="W247" si="453">SUM(W237:W246)</f>
        <v>6</v>
      </c>
      <c r="X247" s="13">
        <f t="shared" ref="X247" si="454">SUM(X237:X246)</f>
        <v>0</v>
      </c>
      <c r="Y247" s="13">
        <f t="shared" ref="Y247" si="455">SUM(Y237:Y246)</f>
        <v>3</v>
      </c>
      <c r="Z247" s="13">
        <f t="shared" ref="Z247" si="456">SUM(Z237:Z246)</f>
        <v>0</v>
      </c>
      <c r="AA247" s="13">
        <f t="shared" ref="AA247" si="457">SUM(AA237:AA246)</f>
        <v>0</v>
      </c>
      <c r="AB247" s="13">
        <f t="shared" ref="AB247" si="458">SUM(AB237:AB246)</f>
        <v>0</v>
      </c>
      <c r="AC247" s="13">
        <f t="shared" ref="AC247" si="459">SUM(AC237:AC246)</f>
        <v>1</v>
      </c>
      <c r="AD247" s="13">
        <f t="shared" ref="AD247" si="460">SUM(AD237:AD246)</f>
        <v>3</v>
      </c>
      <c r="AE247" s="13">
        <f t="shared" ref="AE247" si="461">SUM(AE237:AE246)</f>
        <v>1</v>
      </c>
      <c r="AF247" s="13">
        <f t="shared" ref="AF247" si="462">SUM(AF237:AF246)</f>
        <v>260</v>
      </c>
    </row>
    <row r="248" spans="1:32" ht="12.75" customHeight="1" x14ac:dyDescent="0.3">
      <c r="A248" s="62"/>
      <c r="B248" s="61"/>
      <c r="C248" s="61"/>
      <c r="D248" s="61"/>
      <c r="E248" s="59"/>
    </row>
    <row r="249" spans="1:32" ht="12.75" customHeight="1" x14ac:dyDescent="0.3">
      <c r="A249" s="20" t="s">
        <v>37</v>
      </c>
      <c r="B249" s="27" t="s">
        <v>185</v>
      </c>
      <c r="C249" s="58" t="s">
        <v>186</v>
      </c>
      <c r="D249" s="59"/>
      <c r="E249" s="16">
        <v>0</v>
      </c>
      <c r="F249" s="16">
        <v>0</v>
      </c>
      <c r="G249" s="16">
        <v>0</v>
      </c>
      <c r="H249" s="16">
        <v>1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0</v>
      </c>
      <c r="U249" s="16">
        <v>0</v>
      </c>
      <c r="V249" s="16">
        <v>0</v>
      </c>
      <c r="W249" s="16">
        <v>1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3">
        <f t="shared" ref="AF249:AF252" si="463">SUM(E249:AE249)</f>
        <v>2</v>
      </c>
    </row>
    <row r="250" spans="1:32" ht="12.75" customHeight="1" x14ac:dyDescent="0.3">
      <c r="A250" s="20" t="s">
        <v>39</v>
      </c>
      <c r="B250" s="34"/>
      <c r="C250" s="29" t="s">
        <v>187</v>
      </c>
      <c r="D250" s="36"/>
      <c r="E250" s="16">
        <v>0</v>
      </c>
      <c r="F250" s="16">
        <v>0</v>
      </c>
      <c r="G250" s="16">
        <v>2</v>
      </c>
      <c r="H250" s="16">
        <v>0</v>
      </c>
      <c r="I250" s="16">
        <v>0</v>
      </c>
      <c r="J250" s="16">
        <v>0</v>
      </c>
      <c r="K250" s="16">
        <v>0</v>
      </c>
      <c r="L250" s="16">
        <v>1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1</v>
      </c>
      <c r="S250" s="16">
        <v>0</v>
      </c>
      <c r="T250" s="16">
        <v>3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3">
        <f t="shared" si="463"/>
        <v>7</v>
      </c>
    </row>
    <row r="251" spans="1:32" ht="12.75" customHeight="1" x14ac:dyDescent="0.3">
      <c r="A251" s="15"/>
      <c r="B251" s="34"/>
      <c r="C251" s="29" t="s">
        <v>188</v>
      </c>
      <c r="D251" s="36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3">
        <f t="shared" si="463"/>
        <v>0</v>
      </c>
    </row>
    <row r="252" spans="1:32" ht="12.75" customHeight="1" x14ac:dyDescent="0.3">
      <c r="A252" s="15"/>
      <c r="B252" s="34"/>
      <c r="C252" s="29" t="s">
        <v>189</v>
      </c>
      <c r="D252" s="36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1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1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3">
        <f t="shared" si="463"/>
        <v>2</v>
      </c>
    </row>
    <row r="253" spans="1:32" ht="12.75" customHeight="1" x14ac:dyDescent="0.3">
      <c r="A253" s="15"/>
      <c r="B253" s="37"/>
      <c r="C253" s="44"/>
      <c r="D253" s="39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56"/>
    </row>
    <row r="254" spans="1:32" ht="12.75" customHeight="1" x14ac:dyDescent="0.3">
      <c r="A254" s="15"/>
      <c r="B254" s="37"/>
      <c r="C254" s="44"/>
      <c r="D254" s="39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56"/>
    </row>
    <row r="255" spans="1:32" ht="12.75" customHeight="1" x14ac:dyDescent="0.3">
      <c r="A255" s="15"/>
      <c r="B255" s="37"/>
      <c r="C255" s="44"/>
      <c r="D255" s="39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56"/>
    </row>
    <row r="256" spans="1:32" ht="12.75" customHeight="1" x14ac:dyDescent="0.3">
      <c r="A256" s="15"/>
      <c r="B256" s="37"/>
      <c r="C256" s="44"/>
      <c r="D256" s="39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56"/>
    </row>
    <row r="257" spans="1:32" ht="12.75" customHeight="1" x14ac:dyDescent="0.3">
      <c r="A257" s="15"/>
      <c r="B257" s="37"/>
      <c r="C257" s="44"/>
      <c r="D257" s="39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56"/>
    </row>
    <row r="258" spans="1:32" ht="12.75" customHeight="1" x14ac:dyDescent="0.3">
      <c r="A258" s="15"/>
      <c r="B258" s="37"/>
      <c r="C258" s="44"/>
      <c r="D258" s="3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56"/>
    </row>
    <row r="259" spans="1:32" ht="12.75" customHeight="1" x14ac:dyDescent="0.3">
      <c r="A259" s="16" t="s">
        <v>15</v>
      </c>
      <c r="B259" s="60" t="s">
        <v>49</v>
      </c>
      <c r="C259" s="61"/>
      <c r="D259" s="59"/>
      <c r="E259" s="13">
        <f>SUM(E249:E258)</f>
        <v>0</v>
      </c>
      <c r="F259" s="13">
        <f t="shared" ref="F259" si="464">SUM(F249:F258)</f>
        <v>0</v>
      </c>
      <c r="G259" s="13">
        <f t="shared" ref="G259" si="465">SUM(G249:G258)</f>
        <v>2</v>
      </c>
      <c r="H259" s="13">
        <f t="shared" ref="H259" si="466">SUM(H249:H258)</f>
        <v>1</v>
      </c>
      <c r="I259" s="13">
        <f t="shared" ref="I259" si="467">SUM(I249:I258)</f>
        <v>0</v>
      </c>
      <c r="J259" s="13">
        <f t="shared" ref="J259" si="468">SUM(J249:J258)</f>
        <v>0</v>
      </c>
      <c r="K259" s="13">
        <f t="shared" ref="K259" si="469">SUM(K249:K258)</f>
        <v>0</v>
      </c>
      <c r="L259" s="13">
        <f t="shared" ref="L259" si="470">SUM(L249:L258)</f>
        <v>1</v>
      </c>
      <c r="M259" s="13">
        <f t="shared" ref="M259" si="471">SUM(M249:M258)</f>
        <v>1</v>
      </c>
      <c r="N259" s="13">
        <f t="shared" ref="N259" si="472">SUM(N249:N258)</f>
        <v>0</v>
      </c>
      <c r="O259" s="13">
        <f t="shared" ref="O259" si="473">SUM(O249:O258)</f>
        <v>0</v>
      </c>
      <c r="P259" s="13">
        <f t="shared" ref="P259" si="474">SUM(P249:P258)</f>
        <v>0</v>
      </c>
      <c r="Q259" s="13">
        <f t="shared" ref="Q259" si="475">SUM(Q249:Q258)</f>
        <v>0</v>
      </c>
      <c r="R259" s="13">
        <f t="shared" ref="R259" si="476">SUM(R249:R258)</f>
        <v>1</v>
      </c>
      <c r="S259" s="13">
        <f t="shared" ref="S259" si="477">SUM(S249:S258)</f>
        <v>0</v>
      </c>
      <c r="T259" s="13">
        <f t="shared" ref="T259" si="478">SUM(T249:T258)</f>
        <v>3</v>
      </c>
      <c r="U259" s="13">
        <f t="shared" ref="U259" si="479">SUM(U249:U258)</f>
        <v>0</v>
      </c>
      <c r="V259" s="13">
        <f t="shared" ref="V259" si="480">SUM(V249:V258)</f>
        <v>0</v>
      </c>
      <c r="W259" s="13">
        <f t="shared" ref="W259" si="481">SUM(W249:W258)</f>
        <v>1</v>
      </c>
      <c r="X259" s="13">
        <f t="shared" ref="X259" si="482">SUM(X249:X258)</f>
        <v>1</v>
      </c>
      <c r="Y259" s="13">
        <f t="shared" ref="Y259" si="483">SUM(Y249:Y258)</f>
        <v>0</v>
      </c>
      <c r="Z259" s="13">
        <f t="shared" ref="Z259" si="484">SUM(Z249:Z258)</f>
        <v>0</v>
      </c>
      <c r="AA259" s="13">
        <f t="shared" ref="AA259" si="485">SUM(AA249:AA258)</f>
        <v>0</v>
      </c>
      <c r="AB259" s="13">
        <f t="shared" ref="AB259" si="486">SUM(AB249:AB258)</f>
        <v>0</v>
      </c>
      <c r="AC259" s="13">
        <f t="shared" ref="AC259" si="487">SUM(AC249:AC258)</f>
        <v>0</v>
      </c>
      <c r="AD259" s="13">
        <f t="shared" ref="AD259" si="488">SUM(AD249:AD258)</f>
        <v>0</v>
      </c>
      <c r="AE259" s="13">
        <f t="shared" ref="AE259" si="489">SUM(AE249:AE258)</f>
        <v>0</v>
      </c>
      <c r="AF259" s="13">
        <f t="shared" ref="AF259" si="490">SUM(AF249:AF258)</f>
        <v>11</v>
      </c>
    </row>
    <row r="260" spans="1:32" ht="12.75" customHeight="1" x14ac:dyDescent="0.3"/>
    <row r="261" spans="1:32" ht="12.75" customHeight="1" x14ac:dyDescent="0.3">
      <c r="A261" s="26" t="s">
        <v>190</v>
      </c>
      <c r="B261" s="65" t="s">
        <v>191</v>
      </c>
      <c r="C261" s="61"/>
      <c r="D261" s="59"/>
      <c r="E261" s="13"/>
      <c r="F261" s="13"/>
      <c r="G261" s="13"/>
      <c r="H261" s="13"/>
      <c r="I261" s="13"/>
      <c r="J261" s="13"/>
      <c r="K261" s="13"/>
      <c r="L261" s="13"/>
      <c r="M261" s="13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3"/>
    </row>
    <row r="262" spans="1:32" ht="12.75" customHeight="1" x14ac:dyDescent="0.3">
      <c r="A262" s="26"/>
      <c r="B262" s="47" t="s">
        <v>192</v>
      </c>
      <c r="C262" s="83" t="s">
        <v>193</v>
      </c>
      <c r="D262" s="59"/>
      <c r="E262" s="16">
        <f t="shared" ref="E262:AE262" si="491">E55+E67+E79+E91+E103+E115+E127+E139+E151+E163+E175+E187+E199+E211+E223+E235+E247+E259</f>
        <v>198</v>
      </c>
      <c r="F262" s="16">
        <f t="shared" si="491"/>
        <v>184</v>
      </c>
      <c r="G262" s="16">
        <f t="shared" si="491"/>
        <v>182</v>
      </c>
      <c r="H262" s="16">
        <f t="shared" si="491"/>
        <v>173</v>
      </c>
      <c r="I262" s="16">
        <f t="shared" si="491"/>
        <v>177</v>
      </c>
      <c r="J262" s="16">
        <f t="shared" si="491"/>
        <v>200</v>
      </c>
      <c r="K262" s="16">
        <f t="shared" si="491"/>
        <v>163</v>
      </c>
      <c r="L262" s="16">
        <f t="shared" si="491"/>
        <v>183</v>
      </c>
      <c r="M262" s="16">
        <f t="shared" si="491"/>
        <v>206</v>
      </c>
      <c r="N262" s="16">
        <f t="shared" si="491"/>
        <v>178</v>
      </c>
      <c r="O262" s="16">
        <f t="shared" si="491"/>
        <v>161</v>
      </c>
      <c r="P262" s="16">
        <f t="shared" si="491"/>
        <v>210</v>
      </c>
      <c r="Q262" s="16">
        <f t="shared" si="491"/>
        <v>168</v>
      </c>
      <c r="R262" s="16">
        <f t="shared" si="491"/>
        <v>196</v>
      </c>
      <c r="S262" s="16">
        <f t="shared" si="491"/>
        <v>186</v>
      </c>
      <c r="T262" s="16">
        <f t="shared" si="491"/>
        <v>178</v>
      </c>
      <c r="U262" s="16">
        <f t="shared" si="491"/>
        <v>188</v>
      </c>
      <c r="V262" s="16">
        <f t="shared" si="491"/>
        <v>202</v>
      </c>
      <c r="W262" s="16">
        <f t="shared" si="491"/>
        <v>184</v>
      </c>
      <c r="X262" s="16">
        <f t="shared" si="491"/>
        <v>183</v>
      </c>
      <c r="Y262" s="16">
        <f t="shared" si="491"/>
        <v>183</v>
      </c>
      <c r="Z262" s="16">
        <f t="shared" si="491"/>
        <v>185</v>
      </c>
      <c r="AA262" s="16">
        <f t="shared" si="491"/>
        <v>152</v>
      </c>
      <c r="AB262" s="16">
        <f t="shared" si="491"/>
        <v>186</v>
      </c>
      <c r="AC262" s="16">
        <f t="shared" si="491"/>
        <v>190</v>
      </c>
      <c r="AD262" s="16">
        <f t="shared" si="491"/>
        <v>136</v>
      </c>
      <c r="AE262" s="16">
        <f t="shared" si="491"/>
        <v>129</v>
      </c>
      <c r="AF262" s="13">
        <f t="shared" ref="AF262:AF264" si="492">SUM(E262:AE262)</f>
        <v>4861</v>
      </c>
    </row>
    <row r="263" spans="1:32" ht="12.75" customHeight="1" x14ac:dyDescent="0.3">
      <c r="A263" s="22"/>
      <c r="B263" s="47" t="s">
        <v>194</v>
      </c>
      <c r="C263" s="83" t="s">
        <v>195</v>
      </c>
      <c r="D263" s="59"/>
      <c r="E263" s="16">
        <v>18</v>
      </c>
      <c r="F263" s="16">
        <v>14</v>
      </c>
      <c r="G263" s="16">
        <v>14</v>
      </c>
      <c r="H263" s="16">
        <v>12</v>
      </c>
      <c r="I263" s="16">
        <v>7</v>
      </c>
      <c r="J263" s="16">
        <v>6</v>
      </c>
      <c r="K263" s="16">
        <v>15</v>
      </c>
      <c r="L263" s="16">
        <v>24</v>
      </c>
      <c r="M263" s="16">
        <v>24</v>
      </c>
      <c r="N263" s="16">
        <v>26</v>
      </c>
      <c r="O263" s="16">
        <v>25</v>
      </c>
      <c r="P263" s="16">
        <v>30</v>
      </c>
      <c r="Q263" s="16">
        <v>59</v>
      </c>
      <c r="R263" s="16">
        <v>56</v>
      </c>
      <c r="S263" s="16">
        <v>50</v>
      </c>
      <c r="T263" s="16">
        <v>23</v>
      </c>
      <c r="U263" s="16">
        <v>29</v>
      </c>
      <c r="V263" s="16">
        <v>19</v>
      </c>
      <c r="W263" s="16">
        <v>12</v>
      </c>
      <c r="X263" s="16">
        <v>38</v>
      </c>
      <c r="Y263" s="16">
        <v>40</v>
      </c>
      <c r="Z263" s="16">
        <v>40</v>
      </c>
      <c r="AA263" s="16">
        <v>37</v>
      </c>
      <c r="AB263" s="16">
        <v>25</v>
      </c>
      <c r="AC263" s="16">
        <v>41</v>
      </c>
      <c r="AD263" s="16">
        <v>4</v>
      </c>
      <c r="AE263" s="16">
        <v>11</v>
      </c>
      <c r="AF263" s="13">
        <f t="shared" si="492"/>
        <v>699</v>
      </c>
    </row>
    <row r="264" spans="1:32" ht="12.75" customHeight="1" x14ac:dyDescent="0.3">
      <c r="A264" s="25"/>
      <c r="B264" s="47" t="s">
        <v>196</v>
      </c>
      <c r="C264" s="83" t="s">
        <v>197</v>
      </c>
      <c r="D264" s="59"/>
      <c r="E264" s="13">
        <f t="shared" ref="E264:AE264" si="493">SUM(E262:E263)</f>
        <v>216</v>
      </c>
      <c r="F264" s="13">
        <f t="shared" si="493"/>
        <v>198</v>
      </c>
      <c r="G264" s="13">
        <f t="shared" si="493"/>
        <v>196</v>
      </c>
      <c r="H264" s="13">
        <f t="shared" si="493"/>
        <v>185</v>
      </c>
      <c r="I264" s="13">
        <f t="shared" si="493"/>
        <v>184</v>
      </c>
      <c r="J264" s="13">
        <f t="shared" si="493"/>
        <v>206</v>
      </c>
      <c r="K264" s="13">
        <f t="shared" si="493"/>
        <v>178</v>
      </c>
      <c r="L264" s="13">
        <f t="shared" si="493"/>
        <v>207</v>
      </c>
      <c r="M264" s="13">
        <f t="shared" si="493"/>
        <v>230</v>
      </c>
      <c r="N264" s="13">
        <f t="shared" si="493"/>
        <v>204</v>
      </c>
      <c r="O264" s="13">
        <f t="shared" si="493"/>
        <v>186</v>
      </c>
      <c r="P264" s="13">
        <f t="shared" si="493"/>
        <v>240</v>
      </c>
      <c r="Q264" s="13">
        <f t="shared" si="493"/>
        <v>227</v>
      </c>
      <c r="R264" s="13">
        <f t="shared" si="493"/>
        <v>252</v>
      </c>
      <c r="S264" s="13">
        <f t="shared" si="493"/>
        <v>236</v>
      </c>
      <c r="T264" s="13">
        <f t="shared" si="493"/>
        <v>201</v>
      </c>
      <c r="U264" s="13">
        <f t="shared" si="493"/>
        <v>217</v>
      </c>
      <c r="V264" s="13">
        <f t="shared" si="493"/>
        <v>221</v>
      </c>
      <c r="W264" s="13">
        <f t="shared" si="493"/>
        <v>196</v>
      </c>
      <c r="X264" s="13">
        <f t="shared" si="493"/>
        <v>221</v>
      </c>
      <c r="Y264" s="13">
        <f t="shared" si="493"/>
        <v>223</v>
      </c>
      <c r="Z264" s="13">
        <f t="shared" si="493"/>
        <v>225</v>
      </c>
      <c r="AA264" s="13">
        <f t="shared" si="493"/>
        <v>189</v>
      </c>
      <c r="AB264" s="13">
        <f t="shared" si="493"/>
        <v>211</v>
      </c>
      <c r="AC264" s="13">
        <f t="shared" si="493"/>
        <v>231</v>
      </c>
      <c r="AD264" s="13">
        <f t="shared" si="493"/>
        <v>140</v>
      </c>
      <c r="AE264" s="13">
        <f t="shared" si="493"/>
        <v>140</v>
      </c>
      <c r="AF264" s="13">
        <f t="shared" si="492"/>
        <v>5560</v>
      </c>
    </row>
    <row r="265" spans="1:32" ht="12.75" customHeight="1" x14ac:dyDescent="0.3"/>
    <row r="266" spans="1:32" ht="12.75" customHeight="1" x14ac:dyDescent="0.3"/>
    <row r="267" spans="1:32" ht="12.75" customHeight="1" x14ac:dyDescent="0.3"/>
    <row r="268" spans="1:32" ht="12.75" customHeight="1" x14ac:dyDescent="0.3"/>
    <row r="269" spans="1:32" ht="12.75" customHeight="1" x14ac:dyDescent="0.3"/>
    <row r="270" spans="1:32" ht="12.75" customHeight="1" x14ac:dyDescent="0.3"/>
    <row r="271" spans="1:32" ht="12.75" customHeight="1" x14ac:dyDescent="0.3"/>
    <row r="272" spans="1:3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B151:D151"/>
    <mergeCell ref="B103:D103"/>
    <mergeCell ref="A104:E104"/>
    <mergeCell ref="C105:D105"/>
    <mergeCell ref="B115:D115"/>
    <mergeCell ref="A116:E116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E42:I42"/>
    <mergeCell ref="B43:D43"/>
    <mergeCell ref="B25:B27"/>
    <mergeCell ref="C25:C27"/>
    <mergeCell ref="B28:B30"/>
    <mergeCell ref="A37:D37"/>
    <mergeCell ref="E37:I37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  <mergeCell ref="C117:D117"/>
    <mergeCell ref="B127:D127"/>
    <mergeCell ref="A128:E128"/>
    <mergeCell ref="C129:D129"/>
    <mergeCell ref="A80:E80"/>
    <mergeCell ref="C81:D81"/>
    <mergeCell ref="B91:D91"/>
    <mergeCell ref="A92:E92"/>
    <mergeCell ref="C93:D93"/>
  </mergeCells>
  <conditionalFormatting sqref="E34:T34">
    <cfRule type="expression" dxfId="115" priority="1">
      <formula>E34&lt;&gt;E64</formula>
    </cfRule>
  </conditionalFormatting>
  <conditionalFormatting sqref="E14:AE15">
    <cfRule type="containsBlanks" dxfId="114" priority="2">
      <formula>LEN(TRIM(E14))=0</formula>
    </cfRule>
  </conditionalFormatting>
  <conditionalFormatting sqref="E19:AE20">
    <cfRule type="containsBlanks" dxfId="113" priority="3">
      <formula>LEN(TRIM(E19))=0</formula>
    </cfRule>
  </conditionalFormatting>
  <conditionalFormatting sqref="E22:AE23 E25:AE26 E33:AE33 E35:AE35 E39:AE40">
    <cfRule type="containsBlanks" dxfId="112" priority="4">
      <formula>LEN(TRIM(E22))=0</formula>
    </cfRule>
  </conditionalFormatting>
  <conditionalFormatting sqref="E30:AE30">
    <cfRule type="expression" dxfId="111" priority="5">
      <formula>E30&lt;&gt;E47</formula>
    </cfRule>
    <cfRule type="expression" dxfId="110" priority="6">
      <formula>E30&lt;&gt;E34</formula>
    </cfRule>
  </conditionalFormatting>
  <conditionalFormatting sqref="E34:AE34">
    <cfRule type="expression" dxfId="109" priority="7">
      <formula>E30&lt;&gt;E34</formula>
    </cfRule>
    <cfRule type="expression" dxfId="108" priority="8">
      <formula>E30=E34</formula>
    </cfRule>
    <cfRule type="expression" dxfId="107" priority="9">
      <formula>E34&lt;&gt;E30</formula>
    </cfRule>
  </conditionalFormatting>
  <conditionalFormatting sqref="E45:AE54">
    <cfRule type="containsBlanks" dxfId="106" priority="10">
      <formula>LEN(TRIM(E45))=0</formula>
    </cfRule>
  </conditionalFormatting>
  <conditionalFormatting sqref="E57:AE66">
    <cfRule type="containsBlanks" dxfId="105" priority="11">
      <formula>LEN(TRIM(E57))=0</formula>
    </cfRule>
  </conditionalFormatting>
  <conditionalFormatting sqref="E69:AE78">
    <cfRule type="containsBlanks" dxfId="104" priority="12">
      <formula>LEN(TRIM(E69))=0</formula>
    </cfRule>
  </conditionalFormatting>
  <conditionalFormatting sqref="E81:AE90">
    <cfRule type="containsBlanks" dxfId="103" priority="13">
      <formula>LEN(TRIM(E81))=0</formula>
    </cfRule>
  </conditionalFormatting>
  <conditionalFormatting sqref="E93:AE102">
    <cfRule type="containsBlanks" dxfId="102" priority="14">
      <formula>LEN(TRIM(E93))=0</formula>
    </cfRule>
  </conditionalFormatting>
  <conditionalFormatting sqref="E105:AE114">
    <cfRule type="containsBlanks" dxfId="101" priority="15">
      <formula>LEN(TRIM(E105))=0</formula>
    </cfRule>
  </conditionalFormatting>
  <conditionalFormatting sqref="E117:AE126">
    <cfRule type="containsBlanks" dxfId="100" priority="16">
      <formula>LEN(TRIM(E117))=0</formula>
    </cfRule>
  </conditionalFormatting>
  <conditionalFormatting sqref="E129:AE138">
    <cfRule type="containsBlanks" dxfId="99" priority="17">
      <formula>LEN(TRIM(E129))=0</formula>
    </cfRule>
  </conditionalFormatting>
  <conditionalFormatting sqref="E141:AE150">
    <cfRule type="containsBlanks" dxfId="98" priority="18">
      <formula>LEN(TRIM(E141))=0</formula>
    </cfRule>
  </conditionalFormatting>
  <conditionalFormatting sqref="E153:AE162">
    <cfRule type="containsBlanks" dxfId="97" priority="19">
      <formula>LEN(TRIM(E153))=0</formula>
    </cfRule>
  </conditionalFormatting>
  <conditionalFormatting sqref="E165:AE174">
    <cfRule type="containsBlanks" dxfId="96" priority="20">
      <formula>LEN(TRIM(E165))=0</formula>
    </cfRule>
  </conditionalFormatting>
  <conditionalFormatting sqref="E177:AE186">
    <cfRule type="containsBlanks" dxfId="95" priority="21">
      <formula>LEN(TRIM(E177))=0</formula>
    </cfRule>
  </conditionalFormatting>
  <conditionalFormatting sqref="E189:AE198">
    <cfRule type="containsBlanks" dxfId="94" priority="22">
      <formula>LEN(TRIM(E189))=0</formula>
    </cfRule>
  </conditionalFormatting>
  <conditionalFormatting sqref="E201:AE210">
    <cfRule type="containsBlanks" dxfId="93" priority="23">
      <formula>LEN(TRIM(E201))=0</formula>
    </cfRule>
  </conditionalFormatting>
  <conditionalFormatting sqref="E213:AE222">
    <cfRule type="containsBlanks" dxfId="92" priority="24">
      <formula>LEN(TRIM(E213))=0</formula>
    </cfRule>
  </conditionalFormatting>
  <conditionalFormatting sqref="E225:AE234">
    <cfRule type="containsBlanks" dxfId="91" priority="25">
      <formula>LEN(TRIM(E225))=0</formula>
    </cfRule>
  </conditionalFormatting>
  <conditionalFormatting sqref="E237:AE246">
    <cfRule type="containsBlanks" dxfId="90" priority="26">
      <formula>LEN(TRIM(E237))=0</formula>
    </cfRule>
  </conditionalFormatting>
  <conditionalFormatting sqref="E249:AE258">
    <cfRule type="containsBlanks" dxfId="89" priority="27">
      <formula>LEN(TRIM(E249))=0</formula>
    </cfRule>
  </conditionalFormatting>
  <conditionalFormatting sqref="E262:AE263">
    <cfRule type="containsBlanks" dxfId="88" priority="28">
      <formula>LEN(TRIM(E262))=0</formula>
    </cfRule>
  </conditionalFormatting>
  <conditionalFormatting sqref="U34:AE34">
    <cfRule type="expression" dxfId="87" priority="29">
      <formula>U34&lt;&gt;U47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H1000"/>
  <sheetViews>
    <sheetView topLeftCell="A256" workbookViewId="0">
      <selection activeCell="T263" sqref="T263:AE263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31" width="8.69921875" customWidth="1"/>
    <col min="32" max="32" width="13.296875" customWidth="1"/>
    <col min="33" max="34" width="8.69921875" customWidth="1"/>
  </cols>
  <sheetData>
    <row r="1" spans="1:32" ht="12.75" customHeight="1" x14ac:dyDescent="0.3"/>
    <row r="2" spans="1:32" ht="12.75" customHeight="1" x14ac:dyDescent="0.3">
      <c r="C2" s="8" t="s">
        <v>0</v>
      </c>
      <c r="D2" s="8" t="s">
        <v>1</v>
      </c>
    </row>
    <row r="3" spans="1:32" ht="12.75" customHeight="1" x14ac:dyDescent="0.3">
      <c r="C3" s="8" t="s">
        <v>2</v>
      </c>
      <c r="D3" s="8" t="s">
        <v>3</v>
      </c>
    </row>
    <row r="4" spans="1:32" ht="12.75" customHeight="1" x14ac:dyDescent="0.3">
      <c r="C4" s="8" t="s">
        <v>4</v>
      </c>
      <c r="D4" s="8" t="s">
        <v>5</v>
      </c>
    </row>
    <row r="5" spans="1:32" ht="12.75" customHeight="1" x14ac:dyDescent="0.3">
      <c r="C5" s="8"/>
      <c r="D5" s="8"/>
    </row>
    <row r="6" spans="1:32" ht="12.75" customHeight="1" x14ac:dyDescent="0.3">
      <c r="C6" s="8"/>
      <c r="D6" s="8"/>
    </row>
    <row r="7" spans="1:32" ht="12.75" customHeight="1" x14ac:dyDescent="0.3">
      <c r="C7" s="8"/>
      <c r="D7" s="8"/>
    </row>
    <row r="8" spans="1:32" ht="12.75" customHeight="1" x14ac:dyDescent="0.3">
      <c r="C8" s="8"/>
      <c r="D8" s="8"/>
    </row>
    <row r="9" spans="1:32" ht="12.75" customHeight="1" x14ac:dyDescent="0.3">
      <c r="C9" s="8" t="s">
        <v>198</v>
      </c>
      <c r="D9" s="8" t="s">
        <v>231</v>
      </c>
    </row>
    <row r="10" spans="1:32" ht="12.75" customHeight="1" x14ac:dyDescent="0.3"/>
    <row r="11" spans="1:32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32" ht="12.75" customHeight="1" x14ac:dyDescent="0.3">
      <c r="A12" s="13" t="s">
        <v>6</v>
      </c>
      <c r="B12" s="65" t="s">
        <v>7</v>
      </c>
      <c r="C12" s="61"/>
      <c r="D12" s="59"/>
      <c r="E12" s="86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87" t="s">
        <v>8</v>
      </c>
    </row>
    <row r="13" spans="1:32" ht="12.75" customHeight="1" x14ac:dyDescent="0.3">
      <c r="A13" s="16" t="s">
        <v>9</v>
      </c>
      <c r="B13" s="72" t="s">
        <v>10</v>
      </c>
      <c r="C13" s="61"/>
      <c r="D13" s="59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76"/>
    </row>
    <row r="14" spans="1:32" ht="12.75" customHeight="1" x14ac:dyDescent="0.3">
      <c r="A14" s="15"/>
      <c r="B14" s="81" t="s">
        <v>11</v>
      </c>
      <c r="C14" s="67"/>
      <c r="D14" s="16" t="s">
        <v>12</v>
      </c>
      <c r="E14" s="16">
        <v>154</v>
      </c>
      <c r="F14" s="16">
        <v>144</v>
      </c>
      <c r="G14" s="16">
        <v>142</v>
      </c>
      <c r="H14" s="16">
        <v>113</v>
      </c>
      <c r="I14" s="16">
        <v>124</v>
      </c>
      <c r="J14" s="16">
        <v>132</v>
      </c>
      <c r="K14" s="16">
        <v>113</v>
      </c>
      <c r="L14" s="16">
        <v>131</v>
      </c>
      <c r="M14" s="16">
        <v>131</v>
      </c>
      <c r="N14" s="16">
        <v>116</v>
      </c>
      <c r="O14" s="16">
        <v>138</v>
      </c>
      <c r="P14" s="16">
        <v>130</v>
      </c>
      <c r="Q14" s="16">
        <v>147</v>
      </c>
      <c r="R14" s="16">
        <v>152</v>
      </c>
      <c r="S14" s="16">
        <v>146</v>
      </c>
      <c r="T14" s="16">
        <v>121</v>
      </c>
      <c r="U14" s="16">
        <v>142</v>
      </c>
      <c r="V14" s="16">
        <v>144</v>
      </c>
      <c r="W14" s="16">
        <v>120</v>
      </c>
      <c r="X14" s="16">
        <v>113</v>
      </c>
      <c r="Y14" s="16">
        <v>139</v>
      </c>
      <c r="Z14" s="16">
        <v>129</v>
      </c>
      <c r="AA14" s="16">
        <v>138</v>
      </c>
      <c r="AB14" s="16">
        <v>150</v>
      </c>
      <c r="AC14" s="16">
        <v>136</v>
      </c>
      <c r="AD14" s="16">
        <v>131</v>
      </c>
      <c r="AE14" s="16">
        <v>137</v>
      </c>
      <c r="AF14" s="13">
        <f t="shared" ref="AF14:AF16" si="0">SUM(E14:AE14)</f>
        <v>3613</v>
      </c>
    </row>
    <row r="15" spans="1:32" ht="12.75" customHeight="1" x14ac:dyDescent="0.3">
      <c r="A15" s="15"/>
      <c r="B15" s="82"/>
      <c r="C15" s="69"/>
      <c r="D15" s="16" t="s">
        <v>13</v>
      </c>
      <c r="E15" s="16">
        <v>141</v>
      </c>
      <c r="F15" s="16">
        <v>136</v>
      </c>
      <c r="G15" s="16">
        <v>135</v>
      </c>
      <c r="H15" s="16">
        <v>116</v>
      </c>
      <c r="I15" s="16">
        <v>108</v>
      </c>
      <c r="J15" s="16">
        <v>134</v>
      </c>
      <c r="K15" s="16">
        <v>125</v>
      </c>
      <c r="L15" s="16">
        <v>148</v>
      </c>
      <c r="M15" s="16">
        <v>149</v>
      </c>
      <c r="N15" s="16">
        <v>115</v>
      </c>
      <c r="O15" s="16">
        <v>124</v>
      </c>
      <c r="P15" s="16">
        <v>132</v>
      </c>
      <c r="Q15" s="16">
        <v>139</v>
      </c>
      <c r="R15" s="16">
        <v>131</v>
      </c>
      <c r="S15" s="16">
        <v>138</v>
      </c>
      <c r="T15" s="16">
        <v>114</v>
      </c>
      <c r="U15" s="16">
        <v>139</v>
      </c>
      <c r="V15" s="16">
        <v>132</v>
      </c>
      <c r="W15" s="16">
        <v>118</v>
      </c>
      <c r="X15" s="16">
        <v>126</v>
      </c>
      <c r="Y15" s="16">
        <v>138</v>
      </c>
      <c r="Z15" s="16">
        <v>125</v>
      </c>
      <c r="AA15" s="16">
        <v>141</v>
      </c>
      <c r="AB15" s="16">
        <v>129</v>
      </c>
      <c r="AC15" s="16">
        <v>146</v>
      </c>
      <c r="AD15" s="16">
        <v>125</v>
      </c>
      <c r="AE15" s="16">
        <v>146</v>
      </c>
      <c r="AF15" s="13">
        <f t="shared" si="0"/>
        <v>3550</v>
      </c>
    </row>
    <row r="16" spans="1:32" ht="12.75" customHeight="1" x14ac:dyDescent="0.3">
      <c r="A16" s="18"/>
      <c r="B16" s="80"/>
      <c r="C16" s="70"/>
      <c r="D16" s="13" t="s">
        <v>14</v>
      </c>
      <c r="E16" s="13">
        <f t="shared" ref="E16:AE16" si="1">SUM(E14:E15)</f>
        <v>295</v>
      </c>
      <c r="F16" s="13">
        <f t="shared" si="1"/>
        <v>280</v>
      </c>
      <c r="G16" s="13">
        <f t="shared" si="1"/>
        <v>277</v>
      </c>
      <c r="H16" s="13">
        <f t="shared" si="1"/>
        <v>229</v>
      </c>
      <c r="I16" s="13">
        <f t="shared" si="1"/>
        <v>232</v>
      </c>
      <c r="J16" s="13">
        <f t="shared" si="1"/>
        <v>266</v>
      </c>
      <c r="K16" s="13">
        <f t="shared" si="1"/>
        <v>238</v>
      </c>
      <c r="L16" s="13">
        <f t="shared" si="1"/>
        <v>279</v>
      </c>
      <c r="M16" s="13">
        <f t="shared" si="1"/>
        <v>280</v>
      </c>
      <c r="N16" s="13">
        <f t="shared" si="1"/>
        <v>231</v>
      </c>
      <c r="O16" s="13">
        <f t="shared" si="1"/>
        <v>262</v>
      </c>
      <c r="P16" s="13">
        <f t="shared" si="1"/>
        <v>262</v>
      </c>
      <c r="Q16" s="13">
        <f t="shared" si="1"/>
        <v>286</v>
      </c>
      <c r="R16" s="13">
        <f t="shared" si="1"/>
        <v>283</v>
      </c>
      <c r="S16" s="13">
        <f t="shared" si="1"/>
        <v>284</v>
      </c>
      <c r="T16" s="13">
        <f t="shared" si="1"/>
        <v>235</v>
      </c>
      <c r="U16" s="13">
        <f t="shared" si="1"/>
        <v>281</v>
      </c>
      <c r="V16" s="13">
        <f t="shared" si="1"/>
        <v>276</v>
      </c>
      <c r="W16" s="13">
        <f t="shared" si="1"/>
        <v>238</v>
      </c>
      <c r="X16" s="13">
        <f t="shared" si="1"/>
        <v>239</v>
      </c>
      <c r="Y16" s="13">
        <f t="shared" si="1"/>
        <v>277</v>
      </c>
      <c r="Z16" s="13">
        <f t="shared" si="1"/>
        <v>254</v>
      </c>
      <c r="AA16" s="13">
        <f t="shared" si="1"/>
        <v>279</v>
      </c>
      <c r="AB16" s="13">
        <f t="shared" si="1"/>
        <v>279</v>
      </c>
      <c r="AC16" s="13">
        <f t="shared" si="1"/>
        <v>282</v>
      </c>
      <c r="AD16" s="13">
        <f t="shared" si="1"/>
        <v>256</v>
      </c>
      <c r="AE16" s="13">
        <f t="shared" si="1"/>
        <v>283</v>
      </c>
      <c r="AF16" s="13">
        <f t="shared" si="0"/>
        <v>7163</v>
      </c>
    </row>
    <row r="17" spans="1:32" ht="12.75" customHeight="1" x14ac:dyDescent="0.3">
      <c r="A17" s="62"/>
      <c r="B17" s="61"/>
      <c r="C17" s="61"/>
      <c r="D17" s="59"/>
      <c r="E17" s="16"/>
      <c r="F17" s="16"/>
      <c r="G17" s="16"/>
      <c r="H17" s="16"/>
      <c r="I17" s="16"/>
      <c r="J17" s="16"/>
      <c r="K17" s="16"/>
      <c r="L17" s="16"/>
      <c r="M17" s="16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1"/>
    </row>
    <row r="18" spans="1:32" ht="12.75" customHeight="1" x14ac:dyDescent="0.3">
      <c r="A18" s="20" t="s">
        <v>15</v>
      </c>
      <c r="B18" s="72" t="s">
        <v>16</v>
      </c>
      <c r="C18" s="61"/>
      <c r="D18" s="59"/>
      <c r="E18" s="16"/>
      <c r="F18" s="16"/>
      <c r="G18" s="16"/>
      <c r="H18" s="16"/>
      <c r="I18" s="16"/>
      <c r="J18" s="16"/>
      <c r="K18" s="16"/>
      <c r="L18" s="16"/>
      <c r="M18" s="16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1"/>
    </row>
    <row r="19" spans="1:32" ht="12.75" customHeight="1" x14ac:dyDescent="0.3">
      <c r="A19" s="20"/>
      <c r="B19" s="73" t="s">
        <v>17</v>
      </c>
      <c r="C19" s="74" t="s">
        <v>18</v>
      </c>
      <c r="D19" s="16" t="s">
        <v>12</v>
      </c>
      <c r="E19" s="16">
        <v>130</v>
      </c>
      <c r="F19" s="16">
        <v>127</v>
      </c>
      <c r="G19" s="16">
        <v>99</v>
      </c>
      <c r="H19" s="16">
        <v>92</v>
      </c>
      <c r="I19" s="16">
        <v>98</v>
      </c>
      <c r="J19" s="16">
        <v>107</v>
      </c>
      <c r="K19" s="16">
        <v>89</v>
      </c>
      <c r="L19" s="16">
        <v>92</v>
      </c>
      <c r="M19" s="16">
        <v>94</v>
      </c>
      <c r="N19" s="16">
        <v>79</v>
      </c>
      <c r="O19" s="16">
        <v>104</v>
      </c>
      <c r="P19" s="16">
        <v>95</v>
      </c>
      <c r="Q19" s="16">
        <v>110</v>
      </c>
      <c r="R19" s="16">
        <v>105</v>
      </c>
      <c r="S19" s="16">
        <v>99</v>
      </c>
      <c r="T19" s="16">
        <v>83</v>
      </c>
      <c r="U19" s="16">
        <v>98</v>
      </c>
      <c r="V19" s="16">
        <v>102</v>
      </c>
      <c r="W19" s="16">
        <v>102</v>
      </c>
      <c r="X19" s="16">
        <v>88</v>
      </c>
      <c r="Y19" s="16">
        <v>103</v>
      </c>
      <c r="Z19" s="16">
        <v>102</v>
      </c>
      <c r="AA19" s="16">
        <v>114</v>
      </c>
      <c r="AB19" s="16">
        <v>104</v>
      </c>
      <c r="AC19" s="16">
        <v>103</v>
      </c>
      <c r="AD19" s="16">
        <v>109</v>
      </c>
      <c r="AE19" s="16">
        <v>105</v>
      </c>
      <c r="AF19" s="13">
        <f t="shared" ref="AF19:AF30" si="2">SUM(E19:AE19)</f>
        <v>2733</v>
      </c>
    </row>
    <row r="20" spans="1:32" ht="12.75" customHeight="1" x14ac:dyDescent="0.3">
      <c r="A20" s="21"/>
      <c r="B20" s="69"/>
      <c r="C20" s="75"/>
      <c r="D20" s="16" t="s">
        <v>13</v>
      </c>
      <c r="E20" s="16">
        <v>112</v>
      </c>
      <c r="F20" s="16">
        <v>109</v>
      </c>
      <c r="G20" s="16">
        <v>115</v>
      </c>
      <c r="H20" s="16">
        <v>90</v>
      </c>
      <c r="I20" s="16">
        <v>89</v>
      </c>
      <c r="J20" s="16">
        <v>108</v>
      </c>
      <c r="K20" s="16">
        <v>101</v>
      </c>
      <c r="L20" s="16">
        <v>123</v>
      </c>
      <c r="M20" s="16">
        <v>121</v>
      </c>
      <c r="N20" s="16">
        <v>91</v>
      </c>
      <c r="O20" s="16">
        <v>95</v>
      </c>
      <c r="P20" s="16">
        <v>95</v>
      </c>
      <c r="Q20" s="16">
        <v>111</v>
      </c>
      <c r="R20" s="16">
        <v>100</v>
      </c>
      <c r="S20" s="16">
        <v>101</v>
      </c>
      <c r="T20" s="16">
        <v>81</v>
      </c>
      <c r="U20" s="16">
        <v>102</v>
      </c>
      <c r="V20" s="16">
        <v>92</v>
      </c>
      <c r="W20" s="16">
        <v>97</v>
      </c>
      <c r="X20" s="16">
        <v>94</v>
      </c>
      <c r="Y20" s="16">
        <v>110</v>
      </c>
      <c r="Z20" s="16">
        <v>103</v>
      </c>
      <c r="AA20" s="16">
        <v>121</v>
      </c>
      <c r="AB20" s="16">
        <v>107</v>
      </c>
      <c r="AC20" s="16">
        <v>119</v>
      </c>
      <c r="AD20" s="16">
        <v>105</v>
      </c>
      <c r="AE20" s="16">
        <v>108</v>
      </c>
      <c r="AF20" s="13">
        <f t="shared" si="2"/>
        <v>2800</v>
      </c>
    </row>
    <row r="21" spans="1:32" ht="12.75" customHeight="1" x14ac:dyDescent="0.3">
      <c r="A21" s="22"/>
      <c r="B21" s="70"/>
      <c r="C21" s="76"/>
      <c r="D21" s="13" t="s">
        <v>14</v>
      </c>
      <c r="E21" s="13">
        <f t="shared" ref="E21:AE21" si="3">SUM(E19:E20)</f>
        <v>242</v>
      </c>
      <c r="F21" s="13">
        <f t="shared" si="3"/>
        <v>236</v>
      </c>
      <c r="G21" s="13">
        <f t="shared" si="3"/>
        <v>214</v>
      </c>
      <c r="H21" s="13">
        <f t="shared" si="3"/>
        <v>182</v>
      </c>
      <c r="I21" s="13">
        <f t="shared" si="3"/>
        <v>187</v>
      </c>
      <c r="J21" s="13">
        <f t="shared" si="3"/>
        <v>215</v>
      </c>
      <c r="K21" s="13">
        <f t="shared" si="3"/>
        <v>190</v>
      </c>
      <c r="L21" s="13">
        <f t="shared" si="3"/>
        <v>215</v>
      </c>
      <c r="M21" s="13">
        <f t="shared" si="3"/>
        <v>215</v>
      </c>
      <c r="N21" s="13">
        <f t="shared" si="3"/>
        <v>170</v>
      </c>
      <c r="O21" s="13">
        <f t="shared" si="3"/>
        <v>199</v>
      </c>
      <c r="P21" s="13">
        <f t="shared" si="3"/>
        <v>190</v>
      </c>
      <c r="Q21" s="13">
        <f t="shared" si="3"/>
        <v>221</v>
      </c>
      <c r="R21" s="13">
        <f t="shared" si="3"/>
        <v>205</v>
      </c>
      <c r="S21" s="13">
        <f t="shared" si="3"/>
        <v>200</v>
      </c>
      <c r="T21" s="13">
        <f t="shared" si="3"/>
        <v>164</v>
      </c>
      <c r="U21" s="13">
        <f t="shared" si="3"/>
        <v>200</v>
      </c>
      <c r="V21" s="13">
        <f t="shared" si="3"/>
        <v>194</v>
      </c>
      <c r="W21" s="13">
        <f t="shared" si="3"/>
        <v>199</v>
      </c>
      <c r="X21" s="13">
        <f t="shared" si="3"/>
        <v>182</v>
      </c>
      <c r="Y21" s="13">
        <f t="shared" si="3"/>
        <v>213</v>
      </c>
      <c r="Z21" s="13">
        <f t="shared" si="3"/>
        <v>205</v>
      </c>
      <c r="AA21" s="13">
        <f t="shared" si="3"/>
        <v>235</v>
      </c>
      <c r="AB21" s="13">
        <f t="shared" si="3"/>
        <v>211</v>
      </c>
      <c r="AC21" s="13">
        <f t="shared" si="3"/>
        <v>222</v>
      </c>
      <c r="AD21" s="13">
        <f t="shared" si="3"/>
        <v>214</v>
      </c>
      <c r="AE21" s="13">
        <f t="shared" si="3"/>
        <v>213</v>
      </c>
      <c r="AF21" s="13">
        <f t="shared" si="2"/>
        <v>5533</v>
      </c>
    </row>
    <row r="22" spans="1:32" ht="12.75" customHeight="1" x14ac:dyDescent="0.3">
      <c r="A22" s="21"/>
      <c r="B22" s="73" t="s">
        <v>19</v>
      </c>
      <c r="C22" s="74" t="s">
        <v>20</v>
      </c>
      <c r="D22" s="16" t="s">
        <v>12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3">
        <f t="shared" si="2"/>
        <v>1</v>
      </c>
    </row>
    <row r="23" spans="1:32" ht="12.75" customHeight="1" x14ac:dyDescent="0.3">
      <c r="A23" s="21"/>
      <c r="B23" s="69"/>
      <c r="C23" s="75"/>
      <c r="D23" s="16" t="s">
        <v>13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1</v>
      </c>
      <c r="AB23" s="16">
        <v>1</v>
      </c>
      <c r="AC23" s="16">
        <v>0</v>
      </c>
      <c r="AD23" s="16">
        <v>1</v>
      </c>
      <c r="AE23" s="16">
        <v>0</v>
      </c>
      <c r="AF23" s="13">
        <f t="shared" si="2"/>
        <v>4</v>
      </c>
    </row>
    <row r="24" spans="1:32" ht="12.75" customHeight="1" x14ac:dyDescent="0.3">
      <c r="A24" s="22"/>
      <c r="B24" s="70"/>
      <c r="C24" s="76"/>
      <c r="D24" s="13" t="s">
        <v>14</v>
      </c>
      <c r="E24" s="13">
        <f t="shared" ref="E24:AE24" si="4">SUM(E22:E23)</f>
        <v>0</v>
      </c>
      <c r="F24" s="13">
        <f t="shared" si="4"/>
        <v>2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1</v>
      </c>
      <c r="AB24" s="13">
        <f t="shared" si="4"/>
        <v>1</v>
      </c>
      <c r="AC24" s="13">
        <f t="shared" si="4"/>
        <v>0</v>
      </c>
      <c r="AD24" s="13">
        <f t="shared" si="4"/>
        <v>1</v>
      </c>
      <c r="AE24" s="13">
        <f t="shared" si="4"/>
        <v>0</v>
      </c>
      <c r="AF24" s="13">
        <f t="shared" si="2"/>
        <v>5</v>
      </c>
    </row>
    <row r="25" spans="1:32" ht="12.75" customHeight="1" x14ac:dyDescent="0.3">
      <c r="A25" s="21"/>
      <c r="B25" s="73" t="s">
        <v>21</v>
      </c>
      <c r="C25" s="74" t="s">
        <v>22</v>
      </c>
      <c r="D25" s="16" t="s">
        <v>12</v>
      </c>
      <c r="E25" s="16">
        <v>0</v>
      </c>
      <c r="F25" s="16">
        <v>2</v>
      </c>
      <c r="G25" s="16">
        <v>2</v>
      </c>
      <c r="H25" s="16">
        <v>1</v>
      </c>
      <c r="I25" s="16">
        <v>0</v>
      </c>
      <c r="J25" s="16">
        <v>0</v>
      </c>
      <c r="K25" s="16">
        <v>2</v>
      </c>
      <c r="L25" s="16">
        <v>0</v>
      </c>
      <c r="M25" s="16">
        <v>0</v>
      </c>
      <c r="N25" s="16">
        <v>1</v>
      </c>
      <c r="O25" s="16">
        <v>3</v>
      </c>
      <c r="P25" s="16">
        <v>1</v>
      </c>
      <c r="Q25" s="16">
        <v>0</v>
      </c>
      <c r="R25" s="16">
        <v>0</v>
      </c>
      <c r="S25" s="16">
        <v>1</v>
      </c>
      <c r="T25" s="16">
        <v>2</v>
      </c>
      <c r="U25" s="16">
        <v>0</v>
      </c>
      <c r="V25" s="16">
        <v>0</v>
      </c>
      <c r="W25" s="16">
        <v>0</v>
      </c>
      <c r="X25" s="16">
        <v>0</v>
      </c>
      <c r="Y25" s="16">
        <v>1</v>
      </c>
      <c r="Z25" s="16">
        <v>2</v>
      </c>
      <c r="AA25" s="16">
        <v>0</v>
      </c>
      <c r="AB25" s="16">
        <v>0</v>
      </c>
      <c r="AC25" s="16">
        <v>1</v>
      </c>
      <c r="AD25" s="16">
        <v>0</v>
      </c>
      <c r="AE25" s="16">
        <v>0</v>
      </c>
      <c r="AF25" s="13">
        <f t="shared" si="2"/>
        <v>19</v>
      </c>
    </row>
    <row r="26" spans="1:32" ht="12.75" customHeight="1" x14ac:dyDescent="0.3">
      <c r="A26" s="21"/>
      <c r="B26" s="69"/>
      <c r="C26" s="75"/>
      <c r="D26" s="16" t="s">
        <v>13</v>
      </c>
      <c r="E26" s="16">
        <v>0</v>
      </c>
      <c r="F26" s="16">
        <v>3</v>
      </c>
      <c r="G26" s="16">
        <v>2</v>
      </c>
      <c r="H26" s="16">
        <v>4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1</v>
      </c>
      <c r="T26" s="16">
        <v>1</v>
      </c>
      <c r="U26" s="16">
        <v>0</v>
      </c>
      <c r="V26" s="16">
        <v>3</v>
      </c>
      <c r="W26" s="16">
        <v>1</v>
      </c>
      <c r="X26" s="16">
        <v>3</v>
      </c>
      <c r="Y26" s="16">
        <v>1</v>
      </c>
      <c r="Z26" s="16">
        <v>0</v>
      </c>
      <c r="AA26" s="16">
        <v>0</v>
      </c>
      <c r="AB26" s="16">
        <v>0</v>
      </c>
      <c r="AC26" s="16">
        <v>1</v>
      </c>
      <c r="AD26" s="16">
        <v>2</v>
      </c>
      <c r="AE26" s="16">
        <v>1</v>
      </c>
      <c r="AF26" s="13">
        <f t="shared" si="2"/>
        <v>24</v>
      </c>
    </row>
    <row r="27" spans="1:32" ht="12.75" customHeight="1" x14ac:dyDescent="0.3">
      <c r="A27" s="22"/>
      <c r="B27" s="70"/>
      <c r="C27" s="76"/>
      <c r="D27" s="13" t="s">
        <v>14</v>
      </c>
      <c r="E27" s="13">
        <f t="shared" ref="E27:AE27" si="5">SUM(E25:E26)</f>
        <v>0</v>
      </c>
      <c r="F27" s="13">
        <f t="shared" si="5"/>
        <v>5</v>
      </c>
      <c r="G27" s="13">
        <f t="shared" si="5"/>
        <v>4</v>
      </c>
      <c r="H27" s="13">
        <f t="shared" si="5"/>
        <v>5</v>
      </c>
      <c r="I27" s="13">
        <f t="shared" si="5"/>
        <v>0</v>
      </c>
      <c r="J27" s="13">
        <f t="shared" si="5"/>
        <v>0</v>
      </c>
      <c r="K27" s="13">
        <f t="shared" si="5"/>
        <v>2</v>
      </c>
      <c r="L27" s="13">
        <f t="shared" si="5"/>
        <v>0</v>
      </c>
      <c r="M27" s="13">
        <f t="shared" si="5"/>
        <v>0</v>
      </c>
      <c r="N27" s="13">
        <f t="shared" si="5"/>
        <v>2</v>
      </c>
      <c r="O27" s="13">
        <f t="shared" si="5"/>
        <v>3</v>
      </c>
      <c r="P27" s="13">
        <f t="shared" si="5"/>
        <v>1</v>
      </c>
      <c r="Q27" s="13">
        <f t="shared" si="5"/>
        <v>0</v>
      </c>
      <c r="R27" s="13">
        <f t="shared" si="5"/>
        <v>0</v>
      </c>
      <c r="S27" s="13">
        <f t="shared" si="5"/>
        <v>2</v>
      </c>
      <c r="T27" s="13">
        <f t="shared" si="5"/>
        <v>3</v>
      </c>
      <c r="U27" s="13">
        <f t="shared" si="5"/>
        <v>0</v>
      </c>
      <c r="V27" s="13">
        <f t="shared" si="5"/>
        <v>3</v>
      </c>
      <c r="W27" s="13">
        <f t="shared" si="5"/>
        <v>1</v>
      </c>
      <c r="X27" s="13">
        <f t="shared" si="5"/>
        <v>3</v>
      </c>
      <c r="Y27" s="13">
        <f t="shared" si="5"/>
        <v>2</v>
      </c>
      <c r="Z27" s="13">
        <f t="shared" si="5"/>
        <v>2</v>
      </c>
      <c r="AA27" s="13">
        <f t="shared" si="5"/>
        <v>0</v>
      </c>
      <c r="AB27" s="13">
        <f t="shared" si="5"/>
        <v>0</v>
      </c>
      <c r="AC27" s="13">
        <f t="shared" si="5"/>
        <v>2</v>
      </c>
      <c r="AD27" s="13">
        <f t="shared" si="5"/>
        <v>2</v>
      </c>
      <c r="AE27" s="13">
        <f t="shared" si="5"/>
        <v>1</v>
      </c>
      <c r="AF27" s="13">
        <f t="shared" si="2"/>
        <v>43</v>
      </c>
    </row>
    <row r="28" spans="1:32" ht="12.75" customHeight="1" x14ac:dyDescent="0.3">
      <c r="A28" s="22"/>
      <c r="B28" s="77" t="s">
        <v>23</v>
      </c>
      <c r="C28" s="78" t="s">
        <v>24</v>
      </c>
      <c r="D28" s="13" t="s">
        <v>12</v>
      </c>
      <c r="E28" s="13">
        <f t="shared" ref="E28:AE28" si="6">SUM(E19,E22,E25)</f>
        <v>130</v>
      </c>
      <c r="F28" s="13">
        <f t="shared" si="6"/>
        <v>130</v>
      </c>
      <c r="G28" s="13">
        <f t="shared" si="6"/>
        <v>101</v>
      </c>
      <c r="H28" s="13">
        <f t="shared" si="6"/>
        <v>93</v>
      </c>
      <c r="I28" s="13">
        <f t="shared" si="6"/>
        <v>98</v>
      </c>
      <c r="J28" s="13">
        <f t="shared" si="6"/>
        <v>107</v>
      </c>
      <c r="K28" s="13">
        <f t="shared" si="6"/>
        <v>91</v>
      </c>
      <c r="L28" s="13">
        <f t="shared" si="6"/>
        <v>92</v>
      </c>
      <c r="M28" s="13">
        <f t="shared" si="6"/>
        <v>94</v>
      </c>
      <c r="N28" s="13">
        <f t="shared" si="6"/>
        <v>80</v>
      </c>
      <c r="O28" s="13">
        <f t="shared" si="6"/>
        <v>107</v>
      </c>
      <c r="P28" s="13">
        <f t="shared" si="6"/>
        <v>96</v>
      </c>
      <c r="Q28" s="13">
        <f t="shared" si="6"/>
        <v>110</v>
      </c>
      <c r="R28" s="13">
        <f t="shared" si="6"/>
        <v>105</v>
      </c>
      <c r="S28" s="13">
        <f t="shared" si="6"/>
        <v>100</v>
      </c>
      <c r="T28" s="13">
        <f t="shared" si="6"/>
        <v>85</v>
      </c>
      <c r="U28" s="13">
        <f t="shared" si="6"/>
        <v>98</v>
      </c>
      <c r="V28" s="13">
        <f t="shared" si="6"/>
        <v>102</v>
      </c>
      <c r="W28" s="13">
        <f t="shared" si="6"/>
        <v>102</v>
      </c>
      <c r="X28" s="13">
        <f t="shared" si="6"/>
        <v>88</v>
      </c>
      <c r="Y28" s="13">
        <f t="shared" si="6"/>
        <v>104</v>
      </c>
      <c r="Z28" s="13">
        <f t="shared" si="6"/>
        <v>104</v>
      </c>
      <c r="AA28" s="13">
        <f t="shared" si="6"/>
        <v>114</v>
      </c>
      <c r="AB28" s="13">
        <f t="shared" si="6"/>
        <v>104</v>
      </c>
      <c r="AC28" s="13">
        <f t="shared" si="6"/>
        <v>104</v>
      </c>
      <c r="AD28" s="13">
        <f t="shared" si="6"/>
        <v>109</v>
      </c>
      <c r="AE28" s="13">
        <f t="shared" si="6"/>
        <v>105</v>
      </c>
      <c r="AF28" s="13">
        <f t="shared" si="2"/>
        <v>2753</v>
      </c>
    </row>
    <row r="29" spans="1:32" ht="12.75" customHeight="1" x14ac:dyDescent="0.3">
      <c r="A29" s="22"/>
      <c r="B29" s="69"/>
      <c r="C29" s="75"/>
      <c r="D29" s="13" t="s">
        <v>13</v>
      </c>
      <c r="E29" s="13">
        <f t="shared" ref="E29:AE29" si="7">SUM(E20,E23,E26)</f>
        <v>112</v>
      </c>
      <c r="F29" s="13">
        <f t="shared" si="7"/>
        <v>113</v>
      </c>
      <c r="G29" s="13">
        <f t="shared" si="7"/>
        <v>117</v>
      </c>
      <c r="H29" s="13">
        <f t="shared" si="7"/>
        <v>94</v>
      </c>
      <c r="I29" s="13">
        <f t="shared" si="7"/>
        <v>89</v>
      </c>
      <c r="J29" s="13">
        <f t="shared" si="7"/>
        <v>108</v>
      </c>
      <c r="K29" s="13">
        <f t="shared" si="7"/>
        <v>101</v>
      </c>
      <c r="L29" s="13">
        <f t="shared" si="7"/>
        <v>123</v>
      </c>
      <c r="M29" s="13">
        <f t="shared" si="7"/>
        <v>121</v>
      </c>
      <c r="N29" s="13">
        <f t="shared" si="7"/>
        <v>92</v>
      </c>
      <c r="O29" s="13">
        <f t="shared" si="7"/>
        <v>95</v>
      </c>
      <c r="P29" s="13">
        <f t="shared" si="7"/>
        <v>95</v>
      </c>
      <c r="Q29" s="13">
        <f t="shared" si="7"/>
        <v>111</v>
      </c>
      <c r="R29" s="13">
        <f t="shared" si="7"/>
        <v>100</v>
      </c>
      <c r="S29" s="13">
        <f t="shared" si="7"/>
        <v>102</v>
      </c>
      <c r="T29" s="13">
        <f t="shared" si="7"/>
        <v>82</v>
      </c>
      <c r="U29" s="13">
        <f t="shared" si="7"/>
        <v>102</v>
      </c>
      <c r="V29" s="13">
        <f t="shared" si="7"/>
        <v>95</v>
      </c>
      <c r="W29" s="13">
        <f t="shared" si="7"/>
        <v>98</v>
      </c>
      <c r="X29" s="13">
        <f t="shared" si="7"/>
        <v>97</v>
      </c>
      <c r="Y29" s="13">
        <f t="shared" si="7"/>
        <v>111</v>
      </c>
      <c r="Z29" s="13">
        <f t="shared" si="7"/>
        <v>103</v>
      </c>
      <c r="AA29" s="13">
        <f t="shared" si="7"/>
        <v>122</v>
      </c>
      <c r="AB29" s="13">
        <f t="shared" si="7"/>
        <v>108</v>
      </c>
      <c r="AC29" s="13">
        <f t="shared" si="7"/>
        <v>120</v>
      </c>
      <c r="AD29" s="13">
        <f t="shared" si="7"/>
        <v>108</v>
      </c>
      <c r="AE29" s="13">
        <f t="shared" si="7"/>
        <v>109</v>
      </c>
      <c r="AF29" s="13">
        <f t="shared" si="2"/>
        <v>2828</v>
      </c>
    </row>
    <row r="30" spans="1:32" ht="12.75" customHeight="1" x14ac:dyDescent="0.3">
      <c r="A30" s="22"/>
      <c r="B30" s="70"/>
      <c r="C30" s="76"/>
      <c r="D30" s="13" t="s">
        <v>14</v>
      </c>
      <c r="E30" s="13">
        <f t="shared" ref="E30:AE30" si="8">SUM(E28:E29)</f>
        <v>242</v>
      </c>
      <c r="F30" s="13">
        <f t="shared" si="8"/>
        <v>243</v>
      </c>
      <c r="G30" s="13">
        <f t="shared" si="8"/>
        <v>218</v>
      </c>
      <c r="H30" s="13">
        <f t="shared" si="8"/>
        <v>187</v>
      </c>
      <c r="I30" s="13">
        <f t="shared" si="8"/>
        <v>187</v>
      </c>
      <c r="J30" s="13">
        <f t="shared" si="8"/>
        <v>215</v>
      </c>
      <c r="K30" s="13">
        <f t="shared" si="8"/>
        <v>192</v>
      </c>
      <c r="L30" s="13">
        <f t="shared" si="8"/>
        <v>215</v>
      </c>
      <c r="M30" s="13">
        <f t="shared" si="8"/>
        <v>215</v>
      </c>
      <c r="N30" s="13">
        <f t="shared" si="8"/>
        <v>172</v>
      </c>
      <c r="O30" s="13">
        <f t="shared" si="8"/>
        <v>202</v>
      </c>
      <c r="P30" s="13">
        <f t="shared" si="8"/>
        <v>191</v>
      </c>
      <c r="Q30" s="13">
        <f t="shared" si="8"/>
        <v>221</v>
      </c>
      <c r="R30" s="13">
        <f t="shared" si="8"/>
        <v>205</v>
      </c>
      <c r="S30" s="13">
        <f t="shared" si="8"/>
        <v>202</v>
      </c>
      <c r="T30" s="13">
        <f t="shared" si="8"/>
        <v>167</v>
      </c>
      <c r="U30" s="13">
        <f t="shared" si="8"/>
        <v>200</v>
      </c>
      <c r="V30" s="13">
        <f t="shared" si="8"/>
        <v>197</v>
      </c>
      <c r="W30" s="13">
        <f t="shared" si="8"/>
        <v>200</v>
      </c>
      <c r="X30" s="13">
        <f t="shared" si="8"/>
        <v>185</v>
      </c>
      <c r="Y30" s="13">
        <f t="shared" si="8"/>
        <v>215</v>
      </c>
      <c r="Z30" s="13">
        <f t="shared" si="8"/>
        <v>207</v>
      </c>
      <c r="AA30" s="13">
        <f t="shared" si="8"/>
        <v>236</v>
      </c>
      <c r="AB30" s="13">
        <f t="shared" si="8"/>
        <v>212</v>
      </c>
      <c r="AC30" s="13">
        <f t="shared" si="8"/>
        <v>224</v>
      </c>
      <c r="AD30" s="13">
        <f t="shared" si="8"/>
        <v>217</v>
      </c>
      <c r="AE30" s="13">
        <f t="shared" si="8"/>
        <v>214</v>
      </c>
      <c r="AF30" s="13">
        <f t="shared" si="2"/>
        <v>5581</v>
      </c>
    </row>
    <row r="31" spans="1:32" ht="12.75" customHeight="1" x14ac:dyDescent="0.3">
      <c r="A31" s="62"/>
      <c r="B31" s="61"/>
      <c r="C31" s="61"/>
      <c r="D31" s="59"/>
      <c r="E31" s="16"/>
      <c r="F31" s="16"/>
      <c r="G31" s="16"/>
      <c r="H31" s="16"/>
      <c r="I31" s="16"/>
      <c r="J31" s="16"/>
      <c r="K31" s="16"/>
      <c r="L31" s="16"/>
      <c r="M31" s="16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1"/>
    </row>
    <row r="32" spans="1:32" ht="12.75" customHeight="1" x14ac:dyDescent="0.3">
      <c r="A32" s="25" t="s">
        <v>25</v>
      </c>
      <c r="B32" s="65" t="s">
        <v>26</v>
      </c>
      <c r="C32" s="61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1"/>
    </row>
    <row r="33" spans="1:32" ht="12.75" customHeight="1" x14ac:dyDescent="0.3">
      <c r="A33" s="16">
        <v>1</v>
      </c>
      <c r="B33" s="72" t="s">
        <v>27</v>
      </c>
      <c r="C33" s="61"/>
      <c r="D33" s="59"/>
      <c r="E33" s="16">
        <v>300</v>
      </c>
      <c r="F33" s="16">
        <v>288</v>
      </c>
      <c r="G33" s="16">
        <v>283</v>
      </c>
      <c r="H33" s="16">
        <v>234</v>
      </c>
      <c r="I33" s="16">
        <v>235</v>
      </c>
      <c r="J33" s="16">
        <v>272</v>
      </c>
      <c r="K33" s="16">
        <v>243</v>
      </c>
      <c r="L33" s="16">
        <v>285</v>
      </c>
      <c r="M33" s="16">
        <v>286</v>
      </c>
      <c r="N33" s="16">
        <v>236</v>
      </c>
      <c r="O33" s="16">
        <v>268</v>
      </c>
      <c r="P33" s="16">
        <v>268</v>
      </c>
      <c r="Q33" s="16">
        <v>291</v>
      </c>
      <c r="R33" s="16">
        <v>289</v>
      </c>
      <c r="S33" s="16">
        <v>290</v>
      </c>
      <c r="T33" s="16">
        <v>241</v>
      </c>
      <c r="U33" s="16">
        <v>287</v>
      </c>
      <c r="V33" s="16">
        <v>276</v>
      </c>
      <c r="W33" s="16">
        <v>243</v>
      </c>
      <c r="X33" s="16">
        <v>244</v>
      </c>
      <c r="Y33" s="16">
        <v>283</v>
      </c>
      <c r="Z33" s="16">
        <v>260</v>
      </c>
      <c r="AA33" s="16">
        <v>285</v>
      </c>
      <c r="AB33" s="16">
        <v>285</v>
      </c>
      <c r="AC33" s="16">
        <v>288</v>
      </c>
      <c r="AD33" s="16">
        <v>262</v>
      </c>
      <c r="AE33" s="16">
        <v>289</v>
      </c>
      <c r="AF33" s="13">
        <f t="shared" ref="AF33:AF36" si="9">SUM(E33:AE33)</f>
        <v>7311</v>
      </c>
    </row>
    <row r="34" spans="1:32" ht="12.75" customHeight="1" x14ac:dyDescent="0.3">
      <c r="A34" s="16">
        <v>2</v>
      </c>
      <c r="B34" s="72" t="s">
        <v>28</v>
      </c>
      <c r="C34" s="61"/>
      <c r="D34" s="59"/>
      <c r="E34" s="13">
        <v>242</v>
      </c>
      <c r="F34" s="13">
        <v>243</v>
      </c>
      <c r="G34" s="13">
        <v>218</v>
      </c>
      <c r="H34" s="13">
        <v>187</v>
      </c>
      <c r="I34" s="13">
        <v>187</v>
      </c>
      <c r="J34" s="13">
        <v>215</v>
      </c>
      <c r="K34" s="13">
        <v>192</v>
      </c>
      <c r="L34" s="13">
        <v>215</v>
      </c>
      <c r="M34" s="13">
        <v>215</v>
      </c>
      <c r="N34" s="13">
        <v>172</v>
      </c>
      <c r="O34" s="13">
        <v>202</v>
      </c>
      <c r="P34" s="13">
        <v>191</v>
      </c>
      <c r="Q34" s="13">
        <v>221</v>
      </c>
      <c r="R34" s="13">
        <v>205</v>
      </c>
      <c r="S34" s="13">
        <v>202</v>
      </c>
      <c r="T34" s="13">
        <v>167</v>
      </c>
      <c r="U34" s="13">
        <v>200</v>
      </c>
      <c r="V34" s="13">
        <v>197</v>
      </c>
      <c r="W34" s="13">
        <v>200</v>
      </c>
      <c r="X34" s="13">
        <v>185</v>
      </c>
      <c r="Y34" s="13">
        <v>215</v>
      </c>
      <c r="Z34" s="13">
        <v>207</v>
      </c>
      <c r="AA34" s="13">
        <v>236</v>
      </c>
      <c r="AB34" s="13">
        <v>212</v>
      </c>
      <c r="AC34" s="13">
        <v>224</v>
      </c>
      <c r="AD34" s="13">
        <v>217</v>
      </c>
      <c r="AE34" s="13">
        <v>214</v>
      </c>
      <c r="AF34" s="13">
        <f t="shared" si="9"/>
        <v>5581</v>
      </c>
    </row>
    <row r="35" spans="1:32" ht="12.75" customHeight="1" x14ac:dyDescent="0.3">
      <c r="A35" s="16">
        <v>3</v>
      </c>
      <c r="B35" s="72" t="s">
        <v>29</v>
      </c>
      <c r="C35" s="61"/>
      <c r="D35" s="59"/>
      <c r="E35" s="16">
        <v>3</v>
      </c>
      <c r="F35" s="16">
        <v>0</v>
      </c>
      <c r="G35" s="16">
        <v>0</v>
      </c>
      <c r="H35" s="16">
        <v>1</v>
      </c>
      <c r="I35" s="16">
        <v>0</v>
      </c>
      <c r="J35" s="16">
        <v>3</v>
      </c>
      <c r="K35" s="16">
        <v>15</v>
      </c>
      <c r="L35" s="16">
        <v>0</v>
      </c>
      <c r="M35" s="16">
        <v>0</v>
      </c>
      <c r="N35" s="16">
        <v>0</v>
      </c>
      <c r="O35" s="16">
        <v>1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1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3">
        <f t="shared" si="9"/>
        <v>24</v>
      </c>
    </row>
    <row r="36" spans="1:32" ht="12.75" customHeight="1" x14ac:dyDescent="0.3">
      <c r="A36" s="16">
        <v>4</v>
      </c>
      <c r="B36" s="72" t="s">
        <v>30</v>
      </c>
      <c r="C36" s="61"/>
      <c r="D36" s="59"/>
      <c r="E36" s="13">
        <f t="shared" ref="E36:AE36" si="10">E33-(E34+E35)</f>
        <v>55</v>
      </c>
      <c r="F36" s="13">
        <f t="shared" si="10"/>
        <v>45</v>
      </c>
      <c r="G36" s="13">
        <f t="shared" si="10"/>
        <v>65</v>
      </c>
      <c r="H36" s="13">
        <f t="shared" si="10"/>
        <v>46</v>
      </c>
      <c r="I36" s="13">
        <f t="shared" si="10"/>
        <v>48</v>
      </c>
      <c r="J36" s="13">
        <f t="shared" si="10"/>
        <v>54</v>
      </c>
      <c r="K36" s="13">
        <f t="shared" si="10"/>
        <v>36</v>
      </c>
      <c r="L36" s="13">
        <f t="shared" si="10"/>
        <v>70</v>
      </c>
      <c r="M36" s="13">
        <f t="shared" si="10"/>
        <v>71</v>
      </c>
      <c r="N36" s="13">
        <f t="shared" si="10"/>
        <v>64</v>
      </c>
      <c r="O36" s="13">
        <f t="shared" si="10"/>
        <v>65</v>
      </c>
      <c r="P36" s="13">
        <f t="shared" si="10"/>
        <v>77</v>
      </c>
      <c r="Q36" s="13">
        <f t="shared" si="10"/>
        <v>70</v>
      </c>
      <c r="R36" s="13">
        <f t="shared" si="10"/>
        <v>84</v>
      </c>
      <c r="S36" s="13">
        <f t="shared" si="10"/>
        <v>88</v>
      </c>
      <c r="T36" s="13">
        <f t="shared" si="10"/>
        <v>74</v>
      </c>
      <c r="U36" s="13">
        <f t="shared" si="10"/>
        <v>87</v>
      </c>
      <c r="V36" s="13">
        <f t="shared" si="10"/>
        <v>79</v>
      </c>
      <c r="W36" s="13">
        <f t="shared" si="10"/>
        <v>43</v>
      </c>
      <c r="X36" s="13">
        <f t="shared" si="10"/>
        <v>59</v>
      </c>
      <c r="Y36" s="13">
        <f t="shared" si="10"/>
        <v>67</v>
      </c>
      <c r="Z36" s="13">
        <f t="shared" si="10"/>
        <v>53</v>
      </c>
      <c r="AA36" s="13">
        <f t="shared" si="10"/>
        <v>49</v>
      </c>
      <c r="AB36" s="13">
        <f t="shared" si="10"/>
        <v>73</v>
      </c>
      <c r="AC36" s="13">
        <f t="shared" si="10"/>
        <v>64</v>
      </c>
      <c r="AD36" s="13">
        <f t="shared" si="10"/>
        <v>45</v>
      </c>
      <c r="AE36" s="13">
        <f t="shared" si="10"/>
        <v>75</v>
      </c>
      <c r="AF36" s="13">
        <f t="shared" si="9"/>
        <v>1706</v>
      </c>
    </row>
    <row r="37" spans="1:32" ht="12.75" customHeight="1" x14ac:dyDescent="0.3">
      <c r="A37" s="62"/>
      <c r="B37" s="61"/>
      <c r="C37" s="61"/>
      <c r="D37" s="61"/>
      <c r="E37" s="62"/>
      <c r="F37" s="61"/>
      <c r="G37" s="61"/>
      <c r="H37" s="61"/>
      <c r="I37" s="59"/>
      <c r="J37" s="16"/>
      <c r="K37" s="16"/>
      <c r="L37" s="16"/>
      <c r="M37" s="16"/>
      <c r="N37" s="50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1"/>
    </row>
    <row r="38" spans="1:32" ht="12.75" customHeight="1" x14ac:dyDescent="0.3">
      <c r="A38" s="26" t="s">
        <v>31</v>
      </c>
      <c r="B38" s="65" t="s">
        <v>32</v>
      </c>
      <c r="C38" s="61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1"/>
    </row>
    <row r="39" spans="1:32" ht="12.75" customHeight="1" x14ac:dyDescent="0.3">
      <c r="A39" s="20"/>
      <c r="B39" s="66" t="s">
        <v>33</v>
      </c>
      <c r="C39" s="67"/>
      <c r="D39" s="16" t="s">
        <v>12</v>
      </c>
      <c r="E39" s="16">
        <v>0</v>
      </c>
      <c r="F39" s="16">
        <v>1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1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1</v>
      </c>
      <c r="AD39" s="16">
        <v>0</v>
      </c>
      <c r="AE39" s="16">
        <v>0</v>
      </c>
      <c r="AF39" s="13">
        <f t="shared" ref="AF39:AF41" si="11">SUM(E39:AE39)</f>
        <v>3</v>
      </c>
    </row>
    <row r="40" spans="1:32" ht="12.75" customHeight="1" x14ac:dyDescent="0.3">
      <c r="A40" s="21"/>
      <c r="B40" s="68"/>
      <c r="C40" s="69"/>
      <c r="D40" s="16" t="s">
        <v>13</v>
      </c>
      <c r="E40" s="16">
        <v>1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1</v>
      </c>
      <c r="AF40" s="13">
        <f t="shared" si="11"/>
        <v>2</v>
      </c>
    </row>
    <row r="41" spans="1:32" ht="12.75" customHeight="1" x14ac:dyDescent="0.3">
      <c r="A41" s="25"/>
      <c r="B41" s="64"/>
      <c r="C41" s="70"/>
      <c r="D41" s="13" t="s">
        <v>14</v>
      </c>
      <c r="E41" s="13">
        <f t="shared" ref="E41:AE41" si="12">SUM(E39:E40)</f>
        <v>1</v>
      </c>
      <c r="F41" s="13">
        <f t="shared" si="12"/>
        <v>1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1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2"/>
        <v>0</v>
      </c>
      <c r="AC41" s="13">
        <f t="shared" si="12"/>
        <v>1</v>
      </c>
      <c r="AD41" s="13">
        <f t="shared" si="12"/>
        <v>0</v>
      </c>
      <c r="AE41" s="13">
        <f t="shared" si="12"/>
        <v>1</v>
      </c>
      <c r="AF41" s="13">
        <f t="shared" si="11"/>
        <v>5</v>
      </c>
    </row>
    <row r="42" spans="1:32" ht="12.75" customHeight="1" x14ac:dyDescent="0.3">
      <c r="A42" s="63"/>
      <c r="B42" s="64"/>
      <c r="C42" s="64"/>
      <c r="D42" s="70"/>
      <c r="E42" s="62"/>
      <c r="F42" s="61"/>
      <c r="G42" s="61"/>
      <c r="H42" s="61"/>
      <c r="I42" s="59"/>
      <c r="J42" s="16"/>
      <c r="K42" s="16"/>
      <c r="L42" s="16"/>
      <c r="M42" s="16"/>
      <c r="N42" s="50"/>
      <c r="O42" s="16"/>
      <c r="P42" s="50"/>
      <c r="Q42" s="16"/>
      <c r="R42" s="50"/>
      <c r="S42" s="16"/>
      <c r="T42" s="50"/>
      <c r="U42" s="16"/>
      <c r="V42" s="50"/>
      <c r="W42" s="16"/>
      <c r="X42" s="50"/>
      <c r="Y42" s="16"/>
      <c r="Z42" s="50"/>
      <c r="AA42" s="16"/>
      <c r="AB42" s="50"/>
      <c r="AC42" s="16"/>
      <c r="AD42" s="50"/>
      <c r="AE42" s="16"/>
      <c r="AF42" s="13"/>
    </row>
    <row r="43" spans="1:32" ht="12.75" customHeight="1" x14ac:dyDescent="0.3">
      <c r="A43" s="26" t="s">
        <v>34</v>
      </c>
      <c r="B43" s="65" t="s">
        <v>35</v>
      </c>
      <c r="C43" s="61"/>
      <c r="D43" s="59"/>
      <c r="E43" s="19"/>
      <c r="F43" s="13"/>
      <c r="G43" s="13"/>
      <c r="H43" s="13"/>
      <c r="I43" s="13"/>
      <c r="J43" s="13"/>
      <c r="K43" s="13"/>
      <c r="L43" s="13"/>
      <c r="M43" s="13"/>
      <c r="N43" s="52"/>
      <c r="O43" s="13"/>
      <c r="P43" s="52"/>
      <c r="Q43" s="13"/>
      <c r="R43" s="52"/>
      <c r="S43" s="13"/>
      <c r="T43" s="52"/>
      <c r="U43" s="13"/>
      <c r="V43" s="52"/>
      <c r="W43" s="13"/>
      <c r="X43" s="52"/>
      <c r="Y43" s="13"/>
      <c r="Z43" s="52"/>
      <c r="AA43" s="13"/>
      <c r="AB43" s="52"/>
      <c r="AC43" s="13"/>
      <c r="AD43" s="52"/>
      <c r="AE43" s="13"/>
      <c r="AF43" s="13"/>
    </row>
    <row r="44" spans="1:32" ht="12.75" customHeight="1" x14ac:dyDescent="0.3">
      <c r="A44" s="66" t="s">
        <v>36</v>
      </c>
      <c r="B44" s="71"/>
      <c r="C44" s="71"/>
      <c r="D44" s="67"/>
      <c r="E44" s="17"/>
      <c r="F44" s="16"/>
      <c r="G44" s="16"/>
      <c r="H44" s="16"/>
      <c r="I44" s="16"/>
      <c r="J44" s="16"/>
      <c r="K44" s="16"/>
      <c r="L44" s="16"/>
      <c r="M44" s="16"/>
      <c r="N44" s="50"/>
      <c r="O44" s="16"/>
      <c r="P44" s="50"/>
      <c r="Q44" s="16"/>
      <c r="R44" s="50"/>
      <c r="S44" s="16"/>
      <c r="T44" s="50"/>
      <c r="U44" s="16"/>
      <c r="V44" s="50"/>
      <c r="W44" s="16"/>
      <c r="X44" s="50"/>
      <c r="Y44" s="16"/>
      <c r="Z44" s="50"/>
      <c r="AA44" s="16"/>
      <c r="AB44" s="50"/>
      <c r="AC44" s="16"/>
      <c r="AD44" s="50"/>
      <c r="AE44" s="16"/>
      <c r="AF44" s="13"/>
    </row>
    <row r="45" spans="1:32" ht="12.75" customHeight="1" x14ac:dyDescent="0.3">
      <c r="A45" s="20" t="s">
        <v>37</v>
      </c>
      <c r="B45" s="27" t="s">
        <v>17</v>
      </c>
      <c r="C45" s="58" t="s">
        <v>38</v>
      </c>
      <c r="D45" s="59"/>
      <c r="E45" s="16">
        <v>4</v>
      </c>
      <c r="F45" s="16">
        <v>10</v>
      </c>
      <c r="G45" s="16">
        <v>17</v>
      </c>
      <c r="H45" s="16">
        <v>9</v>
      </c>
      <c r="I45" s="16">
        <v>3</v>
      </c>
      <c r="J45" s="16">
        <v>10</v>
      </c>
      <c r="K45" s="16">
        <v>6</v>
      </c>
      <c r="L45" s="16">
        <v>9</v>
      </c>
      <c r="M45" s="16">
        <v>4</v>
      </c>
      <c r="N45" s="16">
        <v>4</v>
      </c>
      <c r="O45" s="16">
        <v>2</v>
      </c>
      <c r="P45" s="16">
        <v>3</v>
      </c>
      <c r="Q45" s="16">
        <v>5</v>
      </c>
      <c r="R45" s="16">
        <v>7</v>
      </c>
      <c r="S45" s="16">
        <v>7</v>
      </c>
      <c r="T45" s="16">
        <v>5</v>
      </c>
      <c r="U45" s="16">
        <v>5</v>
      </c>
      <c r="V45" s="16">
        <v>5</v>
      </c>
      <c r="W45" s="16">
        <v>1</v>
      </c>
      <c r="X45" s="16">
        <v>12</v>
      </c>
      <c r="Y45" s="16">
        <v>8</v>
      </c>
      <c r="Z45" s="16">
        <v>6</v>
      </c>
      <c r="AA45" s="16">
        <v>4</v>
      </c>
      <c r="AB45" s="16">
        <v>2</v>
      </c>
      <c r="AC45" s="16">
        <v>3</v>
      </c>
      <c r="AD45" s="16">
        <v>3</v>
      </c>
      <c r="AE45" s="16">
        <v>2</v>
      </c>
      <c r="AF45" s="13">
        <f t="shared" ref="AF45:AF54" si="13">SUM(E45:AE45)</f>
        <v>156</v>
      </c>
    </row>
    <row r="46" spans="1:32" ht="12.75" customHeight="1" x14ac:dyDescent="0.3">
      <c r="A46" s="20" t="s">
        <v>39</v>
      </c>
      <c r="B46" s="28"/>
      <c r="C46" s="29" t="s">
        <v>40</v>
      </c>
      <c r="D46" s="29"/>
      <c r="E46" s="16">
        <v>30</v>
      </c>
      <c r="F46" s="16">
        <v>19</v>
      </c>
      <c r="G46" s="16">
        <v>74</v>
      </c>
      <c r="H46" s="16">
        <v>27</v>
      </c>
      <c r="I46" s="16">
        <v>1</v>
      </c>
      <c r="J46" s="16">
        <v>15</v>
      </c>
      <c r="K46" s="16">
        <v>5</v>
      </c>
      <c r="L46" s="16">
        <v>13</v>
      </c>
      <c r="M46" s="16">
        <v>8</v>
      </c>
      <c r="N46" s="16">
        <v>7</v>
      </c>
      <c r="O46" s="16">
        <v>2</v>
      </c>
      <c r="P46" s="16">
        <v>6</v>
      </c>
      <c r="Q46" s="16">
        <v>19</v>
      </c>
      <c r="R46" s="16">
        <v>13</v>
      </c>
      <c r="S46" s="16">
        <v>13</v>
      </c>
      <c r="T46" s="16">
        <v>7</v>
      </c>
      <c r="U46" s="16">
        <v>24</v>
      </c>
      <c r="V46" s="16">
        <v>6</v>
      </c>
      <c r="W46" s="16">
        <v>12</v>
      </c>
      <c r="X46" s="16">
        <v>13</v>
      </c>
      <c r="Y46" s="16">
        <v>27</v>
      </c>
      <c r="Z46" s="16">
        <v>34</v>
      </c>
      <c r="AA46" s="16">
        <v>27</v>
      </c>
      <c r="AB46" s="16">
        <v>10</v>
      </c>
      <c r="AC46" s="16">
        <v>5</v>
      </c>
      <c r="AD46" s="16">
        <v>8</v>
      </c>
      <c r="AE46" s="16">
        <v>9</v>
      </c>
      <c r="AF46" s="13">
        <f t="shared" si="13"/>
        <v>434</v>
      </c>
    </row>
    <row r="47" spans="1:32" ht="12.75" customHeight="1" x14ac:dyDescent="0.3">
      <c r="A47" s="15"/>
      <c r="B47" s="34"/>
      <c r="C47" s="29" t="s">
        <v>41</v>
      </c>
      <c r="D47" s="29"/>
      <c r="E47" s="16">
        <v>0</v>
      </c>
      <c r="F47" s="16">
        <v>0</v>
      </c>
      <c r="G47" s="16">
        <v>4</v>
      </c>
      <c r="H47" s="16">
        <v>2</v>
      </c>
      <c r="I47" s="16">
        <v>1</v>
      </c>
      <c r="J47" s="16">
        <v>1</v>
      </c>
      <c r="K47" s="16">
        <v>28</v>
      </c>
      <c r="L47" s="16">
        <v>14</v>
      </c>
      <c r="M47" s="16">
        <v>1</v>
      </c>
      <c r="N47" s="16">
        <v>1</v>
      </c>
      <c r="O47" s="16">
        <v>0</v>
      </c>
      <c r="P47" s="16">
        <v>3</v>
      </c>
      <c r="Q47" s="16">
        <v>1</v>
      </c>
      <c r="R47" s="16">
        <v>0</v>
      </c>
      <c r="S47" s="16">
        <v>1</v>
      </c>
      <c r="T47" s="16">
        <v>0</v>
      </c>
      <c r="U47" s="16">
        <v>3</v>
      </c>
      <c r="V47" s="16">
        <v>1</v>
      </c>
      <c r="W47" s="16">
        <v>5</v>
      </c>
      <c r="X47" s="16">
        <v>4</v>
      </c>
      <c r="Y47" s="16">
        <v>17</v>
      </c>
      <c r="Z47" s="16">
        <v>4</v>
      </c>
      <c r="AA47" s="16">
        <v>4</v>
      </c>
      <c r="AB47" s="16">
        <v>0</v>
      </c>
      <c r="AC47" s="16">
        <v>1</v>
      </c>
      <c r="AD47" s="16">
        <v>6</v>
      </c>
      <c r="AE47" s="16">
        <v>2</v>
      </c>
      <c r="AF47" s="13">
        <f t="shared" si="13"/>
        <v>104</v>
      </c>
    </row>
    <row r="48" spans="1:32" ht="12.75" customHeight="1" x14ac:dyDescent="0.3">
      <c r="A48" s="15"/>
      <c r="B48" s="34"/>
      <c r="C48" s="29" t="s">
        <v>42</v>
      </c>
      <c r="D48" s="29"/>
      <c r="E48" s="16">
        <v>1</v>
      </c>
      <c r="F48" s="16">
        <v>0</v>
      </c>
      <c r="G48" s="16">
        <v>1</v>
      </c>
      <c r="H48" s="16">
        <v>0</v>
      </c>
      <c r="I48" s="16">
        <v>2</v>
      </c>
      <c r="J48" s="16">
        <v>0</v>
      </c>
      <c r="K48" s="16">
        <v>2</v>
      </c>
      <c r="L48" s="16">
        <v>1</v>
      </c>
      <c r="M48" s="16">
        <v>0</v>
      </c>
      <c r="N48" s="16">
        <v>0</v>
      </c>
      <c r="O48" s="16">
        <v>0</v>
      </c>
      <c r="P48" s="16">
        <v>0</v>
      </c>
      <c r="Q48" s="16">
        <v>2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1</v>
      </c>
      <c r="AA48" s="16">
        <v>3</v>
      </c>
      <c r="AB48" s="16">
        <v>0</v>
      </c>
      <c r="AC48" s="16">
        <v>2</v>
      </c>
      <c r="AD48" s="16">
        <v>0</v>
      </c>
      <c r="AE48" s="16">
        <v>0</v>
      </c>
      <c r="AF48" s="13">
        <f t="shared" si="13"/>
        <v>15</v>
      </c>
    </row>
    <row r="49" spans="1:32" ht="12.75" customHeight="1" x14ac:dyDescent="0.3">
      <c r="A49" s="15"/>
      <c r="B49" s="34"/>
      <c r="C49" s="29" t="s">
        <v>43</v>
      </c>
      <c r="D49" s="29"/>
      <c r="E49" s="16">
        <v>0</v>
      </c>
      <c r="F49" s="16">
        <v>2</v>
      </c>
      <c r="G49" s="16">
        <v>1</v>
      </c>
      <c r="H49" s="16">
        <v>2</v>
      </c>
      <c r="I49" s="16">
        <v>0</v>
      </c>
      <c r="J49" s="16">
        <v>1</v>
      </c>
      <c r="K49" s="16">
        <v>0</v>
      </c>
      <c r="L49" s="16">
        <v>2</v>
      </c>
      <c r="M49" s="16">
        <v>0</v>
      </c>
      <c r="N49" s="16">
        <v>2</v>
      </c>
      <c r="O49" s="16">
        <v>2</v>
      </c>
      <c r="P49" s="16">
        <v>3</v>
      </c>
      <c r="Q49" s="16">
        <v>0</v>
      </c>
      <c r="R49" s="16">
        <v>0</v>
      </c>
      <c r="S49" s="16">
        <v>1</v>
      </c>
      <c r="T49" s="16">
        <v>0</v>
      </c>
      <c r="U49" s="16">
        <v>0</v>
      </c>
      <c r="V49" s="16">
        <v>3</v>
      </c>
      <c r="W49" s="16">
        <v>4</v>
      </c>
      <c r="X49" s="16">
        <v>1</v>
      </c>
      <c r="Y49" s="16">
        <v>4</v>
      </c>
      <c r="Z49" s="16">
        <v>3</v>
      </c>
      <c r="AA49" s="16">
        <v>2</v>
      </c>
      <c r="AB49" s="16">
        <v>1</v>
      </c>
      <c r="AC49" s="16">
        <v>1</v>
      </c>
      <c r="AD49" s="16">
        <v>0</v>
      </c>
      <c r="AE49" s="16">
        <v>2</v>
      </c>
      <c r="AF49" s="13">
        <f t="shared" si="13"/>
        <v>37</v>
      </c>
    </row>
    <row r="50" spans="1:32" ht="12.75" customHeight="1" x14ac:dyDescent="0.3">
      <c r="A50" s="15"/>
      <c r="B50" s="34"/>
      <c r="C50" s="29" t="s">
        <v>44</v>
      </c>
      <c r="D50" s="29"/>
      <c r="E50" s="16">
        <v>1</v>
      </c>
      <c r="F50" s="16">
        <v>1</v>
      </c>
      <c r="G50" s="16">
        <v>0</v>
      </c>
      <c r="H50" s="16">
        <v>0</v>
      </c>
      <c r="I50" s="16">
        <v>1</v>
      </c>
      <c r="J50" s="16">
        <v>2</v>
      </c>
      <c r="K50" s="16">
        <v>0</v>
      </c>
      <c r="L50" s="16">
        <v>0</v>
      </c>
      <c r="M50" s="16">
        <v>0</v>
      </c>
      <c r="N50" s="16">
        <v>3</v>
      </c>
      <c r="O50" s="16">
        <v>0</v>
      </c>
      <c r="P50" s="16">
        <v>2</v>
      </c>
      <c r="Q50" s="16">
        <v>0</v>
      </c>
      <c r="R50" s="16">
        <v>0</v>
      </c>
      <c r="S50" s="16">
        <v>0</v>
      </c>
      <c r="T50" s="16">
        <v>1</v>
      </c>
      <c r="U50" s="16">
        <v>1</v>
      </c>
      <c r="V50" s="16">
        <v>1</v>
      </c>
      <c r="W50" s="16">
        <v>0</v>
      </c>
      <c r="X50" s="16">
        <v>2</v>
      </c>
      <c r="Y50" s="16">
        <v>0</v>
      </c>
      <c r="Z50" s="16">
        <v>1</v>
      </c>
      <c r="AA50" s="16">
        <v>2</v>
      </c>
      <c r="AB50" s="16">
        <v>0</v>
      </c>
      <c r="AC50" s="16">
        <v>0</v>
      </c>
      <c r="AD50" s="16">
        <v>1</v>
      </c>
      <c r="AE50" s="16">
        <v>0</v>
      </c>
      <c r="AF50" s="13">
        <f t="shared" si="13"/>
        <v>19</v>
      </c>
    </row>
    <row r="51" spans="1:32" ht="12.75" customHeight="1" x14ac:dyDescent="0.3">
      <c r="A51" s="15"/>
      <c r="B51" s="34"/>
      <c r="C51" s="29" t="s">
        <v>45</v>
      </c>
      <c r="D51" s="29"/>
      <c r="E51" s="16">
        <v>0</v>
      </c>
      <c r="F51" s="16">
        <v>1</v>
      </c>
      <c r="G51" s="16">
        <v>2</v>
      </c>
      <c r="H51" s="16">
        <v>0</v>
      </c>
      <c r="I51" s="16">
        <v>0</v>
      </c>
      <c r="J51" s="16">
        <v>0</v>
      </c>
      <c r="K51" s="16">
        <v>0</v>
      </c>
      <c r="L51" s="16">
        <v>1</v>
      </c>
      <c r="M51" s="16">
        <v>0</v>
      </c>
      <c r="N51" s="16">
        <v>0</v>
      </c>
      <c r="O51" s="16">
        <v>1</v>
      </c>
      <c r="P51" s="16">
        <v>2</v>
      </c>
      <c r="Q51" s="16">
        <v>2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2</v>
      </c>
      <c r="Y51" s="16">
        <v>0</v>
      </c>
      <c r="Z51" s="16">
        <v>1</v>
      </c>
      <c r="AA51" s="16">
        <v>1</v>
      </c>
      <c r="AB51" s="16">
        <v>0</v>
      </c>
      <c r="AC51" s="16">
        <v>0</v>
      </c>
      <c r="AD51" s="16">
        <v>2</v>
      </c>
      <c r="AE51" s="16">
        <v>0</v>
      </c>
      <c r="AF51" s="13">
        <f t="shared" si="13"/>
        <v>15</v>
      </c>
    </row>
    <row r="52" spans="1:32" ht="12.75" customHeight="1" x14ac:dyDescent="0.3">
      <c r="A52" s="15"/>
      <c r="B52" s="34"/>
      <c r="C52" s="29" t="s">
        <v>46</v>
      </c>
      <c r="D52" s="29"/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1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1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1</v>
      </c>
      <c r="Y52" s="16">
        <v>0</v>
      </c>
      <c r="Z52" s="16">
        <v>2</v>
      </c>
      <c r="AA52" s="16">
        <v>1</v>
      </c>
      <c r="AB52" s="16">
        <v>1</v>
      </c>
      <c r="AC52" s="16">
        <v>0</v>
      </c>
      <c r="AD52" s="16">
        <v>1</v>
      </c>
      <c r="AE52" s="16">
        <v>1</v>
      </c>
      <c r="AF52" s="13">
        <f t="shared" si="13"/>
        <v>9</v>
      </c>
    </row>
    <row r="53" spans="1:32" ht="12.75" customHeight="1" x14ac:dyDescent="0.3">
      <c r="A53" s="15"/>
      <c r="B53" s="34"/>
      <c r="C53" s="29" t="s">
        <v>47</v>
      </c>
      <c r="D53" s="29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1</v>
      </c>
      <c r="Z53" s="16">
        <v>0</v>
      </c>
      <c r="AA53" s="16">
        <v>1</v>
      </c>
      <c r="AB53" s="16">
        <v>0</v>
      </c>
      <c r="AC53" s="16">
        <v>1</v>
      </c>
      <c r="AD53" s="16">
        <v>0</v>
      </c>
      <c r="AE53" s="16">
        <v>1</v>
      </c>
      <c r="AF53" s="13">
        <f t="shared" si="13"/>
        <v>4</v>
      </c>
    </row>
    <row r="54" spans="1:32" ht="12.75" customHeight="1" x14ac:dyDescent="0.3">
      <c r="A54" s="15"/>
      <c r="B54" s="34"/>
      <c r="C54" s="29" t="s">
        <v>48</v>
      </c>
      <c r="D54" s="29"/>
      <c r="E54" s="16">
        <v>1</v>
      </c>
      <c r="F54" s="16">
        <v>0</v>
      </c>
      <c r="G54" s="16">
        <v>0</v>
      </c>
      <c r="H54" s="16">
        <v>1</v>
      </c>
      <c r="I54" s="16">
        <v>0</v>
      </c>
      <c r="J54" s="16">
        <v>1</v>
      </c>
      <c r="K54" s="16">
        <v>1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1</v>
      </c>
      <c r="S54" s="16">
        <v>1</v>
      </c>
      <c r="T54" s="16">
        <v>1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1</v>
      </c>
      <c r="AC54" s="16">
        <v>0</v>
      </c>
      <c r="AD54" s="16">
        <v>0</v>
      </c>
      <c r="AE54" s="16">
        <v>0</v>
      </c>
      <c r="AF54" s="13">
        <f t="shared" si="13"/>
        <v>8</v>
      </c>
    </row>
    <row r="55" spans="1:32" ht="12.75" customHeight="1" x14ac:dyDescent="0.3">
      <c r="A55" s="16" t="s">
        <v>15</v>
      </c>
      <c r="B55" s="60" t="s">
        <v>49</v>
      </c>
      <c r="C55" s="61"/>
      <c r="D55" s="59"/>
      <c r="E55" s="13">
        <f>SUM(E45:E54)</f>
        <v>37</v>
      </c>
      <c r="F55" s="13">
        <f t="shared" ref="F55:AF55" si="14">SUM(F45:F54)</f>
        <v>33</v>
      </c>
      <c r="G55" s="13">
        <f t="shared" si="14"/>
        <v>99</v>
      </c>
      <c r="H55" s="13">
        <f t="shared" si="14"/>
        <v>41</v>
      </c>
      <c r="I55" s="13">
        <f t="shared" si="14"/>
        <v>8</v>
      </c>
      <c r="J55" s="13">
        <f t="shared" si="14"/>
        <v>31</v>
      </c>
      <c r="K55" s="13">
        <f t="shared" si="14"/>
        <v>42</v>
      </c>
      <c r="L55" s="13">
        <f t="shared" si="14"/>
        <v>40</v>
      </c>
      <c r="M55" s="13">
        <f t="shared" si="14"/>
        <v>13</v>
      </c>
      <c r="N55" s="13">
        <f t="shared" si="14"/>
        <v>17</v>
      </c>
      <c r="O55" s="13">
        <f t="shared" si="14"/>
        <v>7</v>
      </c>
      <c r="P55" s="13">
        <f t="shared" si="14"/>
        <v>20</v>
      </c>
      <c r="Q55" s="13">
        <f t="shared" si="14"/>
        <v>29</v>
      </c>
      <c r="R55" s="13">
        <f t="shared" si="14"/>
        <v>21</v>
      </c>
      <c r="S55" s="13">
        <f t="shared" si="14"/>
        <v>23</v>
      </c>
      <c r="T55" s="13">
        <f t="shared" si="14"/>
        <v>14</v>
      </c>
      <c r="U55" s="13">
        <f t="shared" si="14"/>
        <v>33</v>
      </c>
      <c r="V55" s="13">
        <f t="shared" si="14"/>
        <v>16</v>
      </c>
      <c r="W55" s="13">
        <f t="shared" si="14"/>
        <v>22</v>
      </c>
      <c r="X55" s="13">
        <f t="shared" si="14"/>
        <v>35</v>
      </c>
      <c r="Y55" s="13">
        <f t="shared" si="14"/>
        <v>57</v>
      </c>
      <c r="Z55" s="13">
        <f t="shared" si="14"/>
        <v>52</v>
      </c>
      <c r="AA55" s="13">
        <f t="shared" si="14"/>
        <v>45</v>
      </c>
      <c r="AB55" s="13">
        <f t="shared" si="14"/>
        <v>15</v>
      </c>
      <c r="AC55" s="13">
        <f t="shared" si="14"/>
        <v>13</v>
      </c>
      <c r="AD55" s="13">
        <f t="shared" si="14"/>
        <v>21</v>
      </c>
      <c r="AE55" s="13">
        <f t="shared" si="14"/>
        <v>17</v>
      </c>
      <c r="AF55" s="13">
        <f t="shared" si="14"/>
        <v>801</v>
      </c>
    </row>
    <row r="56" spans="1:32" ht="12.75" customHeight="1" x14ac:dyDescent="0.3">
      <c r="A56" s="63"/>
      <c r="B56" s="64"/>
      <c r="C56" s="64"/>
      <c r="D56" s="64"/>
      <c r="E56" s="64"/>
      <c r="AF56" s="13"/>
    </row>
    <row r="57" spans="1:32" ht="12.75" customHeight="1" x14ac:dyDescent="0.3">
      <c r="A57" s="20" t="s">
        <v>37</v>
      </c>
      <c r="B57" s="27" t="s">
        <v>19</v>
      </c>
      <c r="C57" s="58" t="s">
        <v>50</v>
      </c>
      <c r="D57" s="59"/>
      <c r="E57" s="16">
        <v>6</v>
      </c>
      <c r="F57" s="16">
        <v>3</v>
      </c>
      <c r="G57" s="16">
        <v>10</v>
      </c>
      <c r="H57" s="16">
        <v>8</v>
      </c>
      <c r="I57" s="16">
        <v>12</v>
      </c>
      <c r="J57" s="16">
        <v>20</v>
      </c>
      <c r="K57" s="16">
        <v>12</v>
      </c>
      <c r="L57" s="16">
        <v>10</v>
      </c>
      <c r="M57" s="16">
        <v>10</v>
      </c>
      <c r="N57" s="16">
        <v>3</v>
      </c>
      <c r="O57" s="16">
        <v>10</v>
      </c>
      <c r="P57" s="16">
        <v>9</v>
      </c>
      <c r="Q57" s="16">
        <v>16</v>
      </c>
      <c r="R57" s="16">
        <v>7</v>
      </c>
      <c r="S57" s="16">
        <v>18</v>
      </c>
      <c r="T57" s="16">
        <v>9</v>
      </c>
      <c r="U57" s="16">
        <v>12</v>
      </c>
      <c r="V57" s="16">
        <v>9</v>
      </c>
      <c r="W57" s="16">
        <v>2</v>
      </c>
      <c r="X57" s="16">
        <v>5</v>
      </c>
      <c r="Y57" s="16">
        <v>18</v>
      </c>
      <c r="Z57" s="16">
        <v>2</v>
      </c>
      <c r="AA57" s="16">
        <v>7</v>
      </c>
      <c r="AB57" s="16">
        <v>5</v>
      </c>
      <c r="AC57" s="16">
        <v>8</v>
      </c>
      <c r="AD57" s="16">
        <v>4</v>
      </c>
      <c r="AE57" s="16">
        <v>12</v>
      </c>
      <c r="AF57" s="13">
        <f t="shared" ref="AF57:AF66" si="15">SUM(E57:AE57)</f>
        <v>247</v>
      </c>
    </row>
    <row r="58" spans="1:32" ht="12.75" customHeight="1" x14ac:dyDescent="0.3">
      <c r="A58" s="20" t="s">
        <v>39</v>
      </c>
      <c r="B58" s="34"/>
      <c r="C58" s="29" t="s">
        <v>51</v>
      </c>
      <c r="D58" s="35"/>
      <c r="E58" s="16">
        <v>2</v>
      </c>
      <c r="F58" s="16">
        <v>3</v>
      </c>
      <c r="G58" s="16">
        <v>10</v>
      </c>
      <c r="H58" s="16">
        <v>10</v>
      </c>
      <c r="I58" s="16">
        <v>9</v>
      </c>
      <c r="J58" s="16">
        <v>18</v>
      </c>
      <c r="K58" s="16">
        <v>10</v>
      </c>
      <c r="L58" s="16">
        <v>6</v>
      </c>
      <c r="M58" s="16">
        <v>8</v>
      </c>
      <c r="N58" s="16">
        <v>11</v>
      </c>
      <c r="O58" s="16">
        <v>28</v>
      </c>
      <c r="P58" s="16">
        <v>8</v>
      </c>
      <c r="Q58" s="16">
        <v>9</v>
      </c>
      <c r="R58" s="16">
        <v>8</v>
      </c>
      <c r="S58" s="16">
        <v>5</v>
      </c>
      <c r="T58" s="16">
        <v>3</v>
      </c>
      <c r="U58" s="16">
        <v>11</v>
      </c>
      <c r="V58" s="16">
        <v>4</v>
      </c>
      <c r="W58" s="16">
        <v>8</v>
      </c>
      <c r="X58" s="16">
        <v>3</v>
      </c>
      <c r="Y58" s="16">
        <v>12</v>
      </c>
      <c r="Z58" s="16">
        <v>8</v>
      </c>
      <c r="AA58" s="16">
        <v>10</v>
      </c>
      <c r="AB58" s="16">
        <v>0</v>
      </c>
      <c r="AC58" s="16">
        <v>6</v>
      </c>
      <c r="AD58" s="16">
        <v>5</v>
      </c>
      <c r="AE58" s="16">
        <v>5</v>
      </c>
      <c r="AF58" s="13">
        <f t="shared" si="15"/>
        <v>220</v>
      </c>
    </row>
    <row r="59" spans="1:32" ht="12.75" customHeight="1" x14ac:dyDescent="0.3">
      <c r="A59" s="15"/>
      <c r="B59" s="34"/>
      <c r="C59" s="29" t="s">
        <v>52</v>
      </c>
      <c r="D59" s="35"/>
      <c r="E59" s="16">
        <v>2</v>
      </c>
      <c r="F59" s="16">
        <v>2</v>
      </c>
      <c r="G59" s="16">
        <v>19</v>
      </c>
      <c r="H59" s="16">
        <v>29</v>
      </c>
      <c r="I59" s="16">
        <v>68</v>
      </c>
      <c r="J59" s="16">
        <v>25</v>
      </c>
      <c r="K59" s="16">
        <v>10</v>
      </c>
      <c r="L59" s="16">
        <v>30</v>
      </c>
      <c r="M59" s="16">
        <v>2</v>
      </c>
      <c r="N59" s="16">
        <v>2</v>
      </c>
      <c r="O59" s="16">
        <v>5</v>
      </c>
      <c r="P59" s="16">
        <v>3</v>
      </c>
      <c r="Q59" s="16">
        <v>3</v>
      </c>
      <c r="R59" s="16">
        <v>4</v>
      </c>
      <c r="S59" s="16">
        <v>5</v>
      </c>
      <c r="T59" s="16">
        <v>7</v>
      </c>
      <c r="U59" s="16">
        <v>1</v>
      </c>
      <c r="V59" s="16">
        <v>2</v>
      </c>
      <c r="W59" s="16">
        <v>11</v>
      </c>
      <c r="X59" s="16">
        <v>7</v>
      </c>
      <c r="Y59" s="16">
        <v>5</v>
      </c>
      <c r="Z59" s="16">
        <v>9</v>
      </c>
      <c r="AA59" s="16">
        <v>2</v>
      </c>
      <c r="AB59" s="16">
        <v>3</v>
      </c>
      <c r="AC59" s="16">
        <v>12</v>
      </c>
      <c r="AD59" s="16">
        <v>5</v>
      </c>
      <c r="AE59" s="16">
        <v>4</v>
      </c>
      <c r="AF59" s="13">
        <f t="shared" si="15"/>
        <v>277</v>
      </c>
    </row>
    <row r="60" spans="1:32" ht="12.75" customHeight="1" x14ac:dyDescent="0.3">
      <c r="A60" s="15"/>
      <c r="B60" s="34"/>
      <c r="C60" s="29" t="s">
        <v>53</v>
      </c>
      <c r="D60" s="35"/>
      <c r="E60" s="16">
        <v>0</v>
      </c>
      <c r="F60" s="16">
        <v>1</v>
      </c>
      <c r="G60" s="16">
        <v>1</v>
      </c>
      <c r="H60" s="16">
        <v>0</v>
      </c>
      <c r="I60" s="16">
        <v>2</v>
      </c>
      <c r="J60" s="16">
        <v>5</v>
      </c>
      <c r="K60" s="16">
        <v>4</v>
      </c>
      <c r="L60" s="16">
        <v>2</v>
      </c>
      <c r="M60" s="16">
        <v>3</v>
      </c>
      <c r="N60" s="16">
        <v>1</v>
      </c>
      <c r="O60" s="16">
        <v>3</v>
      </c>
      <c r="P60" s="16">
        <v>2</v>
      </c>
      <c r="Q60" s="16">
        <v>1</v>
      </c>
      <c r="R60" s="16">
        <v>1</v>
      </c>
      <c r="S60" s="16">
        <v>2</v>
      </c>
      <c r="T60" s="16">
        <v>0</v>
      </c>
      <c r="U60" s="16">
        <v>1</v>
      </c>
      <c r="V60" s="16">
        <v>3</v>
      </c>
      <c r="W60" s="16">
        <v>7</v>
      </c>
      <c r="X60" s="16">
        <v>4</v>
      </c>
      <c r="Y60" s="16">
        <v>4</v>
      </c>
      <c r="Z60" s="16">
        <v>2</v>
      </c>
      <c r="AA60" s="16">
        <v>2</v>
      </c>
      <c r="AB60" s="16">
        <v>0</v>
      </c>
      <c r="AC60" s="16">
        <v>2</v>
      </c>
      <c r="AD60" s="16">
        <v>3</v>
      </c>
      <c r="AE60" s="16">
        <v>4</v>
      </c>
      <c r="AF60" s="13">
        <f t="shared" si="15"/>
        <v>60</v>
      </c>
    </row>
    <row r="61" spans="1:32" ht="12.75" customHeight="1" x14ac:dyDescent="0.3">
      <c r="A61" s="15"/>
      <c r="B61" s="34"/>
      <c r="C61" s="29" t="s">
        <v>54</v>
      </c>
      <c r="D61" s="35"/>
      <c r="E61" s="16">
        <v>1</v>
      </c>
      <c r="F61" s="16">
        <v>5</v>
      </c>
      <c r="G61" s="16">
        <v>9</v>
      </c>
      <c r="H61" s="16">
        <v>7</v>
      </c>
      <c r="I61" s="16">
        <v>3</v>
      </c>
      <c r="J61" s="16">
        <v>12</v>
      </c>
      <c r="K61" s="16">
        <v>7</v>
      </c>
      <c r="L61" s="16">
        <v>21</v>
      </c>
      <c r="M61" s="16">
        <v>4</v>
      </c>
      <c r="N61" s="16">
        <v>7</v>
      </c>
      <c r="O61" s="16">
        <v>8</v>
      </c>
      <c r="P61" s="16">
        <v>24</v>
      </c>
      <c r="Q61" s="16">
        <v>4</v>
      </c>
      <c r="R61" s="16">
        <v>10</v>
      </c>
      <c r="S61" s="16">
        <v>4</v>
      </c>
      <c r="T61" s="16">
        <v>8</v>
      </c>
      <c r="U61" s="16">
        <v>2</v>
      </c>
      <c r="V61" s="16">
        <v>5</v>
      </c>
      <c r="W61" s="16">
        <v>36</v>
      </c>
      <c r="X61" s="16">
        <v>3</v>
      </c>
      <c r="Y61" s="16">
        <v>20</v>
      </c>
      <c r="Z61" s="16">
        <v>4</v>
      </c>
      <c r="AA61" s="16">
        <v>2</v>
      </c>
      <c r="AB61" s="16">
        <v>3</v>
      </c>
      <c r="AC61" s="16">
        <v>7</v>
      </c>
      <c r="AD61" s="16">
        <v>3</v>
      </c>
      <c r="AE61" s="16">
        <v>3</v>
      </c>
      <c r="AF61" s="13">
        <f t="shared" si="15"/>
        <v>222</v>
      </c>
    </row>
    <row r="62" spans="1:32" ht="12.75" customHeight="1" x14ac:dyDescent="0.3">
      <c r="A62" s="15"/>
      <c r="B62" s="34"/>
      <c r="C62" s="29" t="s">
        <v>55</v>
      </c>
      <c r="D62" s="35"/>
      <c r="E62" s="16">
        <v>1</v>
      </c>
      <c r="F62" s="16">
        <v>0</v>
      </c>
      <c r="G62" s="16">
        <v>1</v>
      </c>
      <c r="H62" s="16">
        <v>0</v>
      </c>
      <c r="I62" s="16">
        <v>0</v>
      </c>
      <c r="J62" s="16">
        <v>2</v>
      </c>
      <c r="K62" s="16">
        <v>0</v>
      </c>
      <c r="L62" s="16">
        <v>3</v>
      </c>
      <c r="M62" s="16">
        <v>1</v>
      </c>
      <c r="N62" s="16">
        <v>0</v>
      </c>
      <c r="O62" s="16">
        <v>2</v>
      </c>
      <c r="P62" s="16">
        <v>4</v>
      </c>
      <c r="Q62" s="16">
        <v>2</v>
      </c>
      <c r="R62" s="16">
        <v>1</v>
      </c>
      <c r="S62" s="16">
        <v>0</v>
      </c>
      <c r="T62" s="16">
        <v>1</v>
      </c>
      <c r="U62" s="16">
        <v>1</v>
      </c>
      <c r="V62" s="16">
        <v>0</v>
      </c>
      <c r="W62" s="16">
        <v>0</v>
      </c>
      <c r="X62" s="16">
        <v>4</v>
      </c>
      <c r="Y62" s="16">
        <v>1</v>
      </c>
      <c r="Z62" s="16">
        <v>1</v>
      </c>
      <c r="AA62" s="16">
        <v>1</v>
      </c>
      <c r="AB62" s="16">
        <v>1</v>
      </c>
      <c r="AC62" s="16">
        <v>4</v>
      </c>
      <c r="AD62" s="16">
        <v>0</v>
      </c>
      <c r="AE62" s="16">
        <v>1</v>
      </c>
      <c r="AF62" s="13">
        <f t="shared" si="15"/>
        <v>32</v>
      </c>
    </row>
    <row r="63" spans="1:32" ht="12.75" customHeight="1" x14ac:dyDescent="0.3">
      <c r="A63" s="15"/>
      <c r="B63" s="34"/>
      <c r="C63" s="29" t="s">
        <v>56</v>
      </c>
      <c r="D63" s="36"/>
      <c r="E63" s="16">
        <v>0</v>
      </c>
      <c r="F63" s="16">
        <v>1</v>
      </c>
      <c r="G63" s="16">
        <v>0</v>
      </c>
      <c r="H63" s="16">
        <v>0</v>
      </c>
      <c r="I63" s="16">
        <v>0</v>
      </c>
      <c r="J63" s="16">
        <v>2</v>
      </c>
      <c r="K63" s="16">
        <v>0</v>
      </c>
      <c r="L63" s="16">
        <v>1</v>
      </c>
      <c r="M63" s="16">
        <v>0</v>
      </c>
      <c r="N63" s="16">
        <v>0</v>
      </c>
      <c r="O63" s="16">
        <v>1</v>
      </c>
      <c r="P63" s="16">
        <v>0</v>
      </c>
      <c r="Q63" s="16">
        <v>0</v>
      </c>
      <c r="R63" s="16">
        <v>1</v>
      </c>
      <c r="S63" s="16">
        <v>0</v>
      </c>
      <c r="T63" s="16">
        <v>1</v>
      </c>
      <c r="U63" s="16">
        <v>0</v>
      </c>
      <c r="V63" s="16">
        <v>0</v>
      </c>
      <c r="W63" s="16">
        <v>1</v>
      </c>
      <c r="X63" s="16">
        <v>0</v>
      </c>
      <c r="Y63" s="16">
        <v>0</v>
      </c>
      <c r="Z63" s="16">
        <v>3</v>
      </c>
      <c r="AA63" s="16">
        <v>1</v>
      </c>
      <c r="AB63" s="16">
        <v>0</v>
      </c>
      <c r="AC63" s="16">
        <v>2</v>
      </c>
      <c r="AD63" s="16">
        <v>1</v>
      </c>
      <c r="AE63" s="16">
        <v>1</v>
      </c>
      <c r="AF63" s="13">
        <f t="shared" si="15"/>
        <v>16</v>
      </c>
    </row>
    <row r="64" spans="1:32" ht="12.75" customHeight="1" x14ac:dyDescent="0.3">
      <c r="A64" s="15"/>
      <c r="B64" s="34"/>
      <c r="C64" s="29" t="s">
        <v>57</v>
      </c>
      <c r="D64" s="35"/>
      <c r="E64" s="16">
        <v>0</v>
      </c>
      <c r="F64" s="16">
        <v>0</v>
      </c>
      <c r="G64" s="16">
        <v>0</v>
      </c>
      <c r="H64" s="16">
        <v>0</v>
      </c>
      <c r="I64" s="16">
        <v>1</v>
      </c>
      <c r="J64" s="16">
        <v>1</v>
      </c>
      <c r="K64" s="16">
        <v>0</v>
      </c>
      <c r="L64" s="16">
        <v>0</v>
      </c>
      <c r="M64" s="16">
        <v>0</v>
      </c>
      <c r="N64" s="16">
        <v>0</v>
      </c>
      <c r="O64" s="16">
        <v>1</v>
      </c>
      <c r="P64" s="16">
        <v>1</v>
      </c>
      <c r="Q64" s="16">
        <v>0</v>
      </c>
      <c r="R64" s="16">
        <v>0</v>
      </c>
      <c r="S64" s="16">
        <v>0</v>
      </c>
      <c r="T64" s="16">
        <v>0</v>
      </c>
      <c r="U64" s="16">
        <v>1</v>
      </c>
      <c r="V64" s="16">
        <v>0</v>
      </c>
      <c r="W64" s="16">
        <v>0</v>
      </c>
      <c r="X64" s="16">
        <v>1</v>
      </c>
      <c r="Y64" s="16">
        <v>2</v>
      </c>
      <c r="Z64" s="16">
        <v>2</v>
      </c>
      <c r="AA64" s="16">
        <v>0</v>
      </c>
      <c r="AB64" s="16">
        <v>0</v>
      </c>
      <c r="AC64" s="16">
        <v>1</v>
      </c>
      <c r="AD64" s="16">
        <v>0</v>
      </c>
      <c r="AE64" s="16">
        <v>0</v>
      </c>
      <c r="AF64" s="13">
        <f t="shared" si="15"/>
        <v>11</v>
      </c>
    </row>
    <row r="65" spans="1:32" ht="12.75" customHeight="1" x14ac:dyDescent="0.3">
      <c r="A65" s="15"/>
      <c r="B65" s="34"/>
      <c r="C65" s="29" t="s">
        <v>58</v>
      </c>
      <c r="D65" s="35"/>
      <c r="E65" s="16">
        <v>0</v>
      </c>
      <c r="F65" s="16">
        <v>1</v>
      </c>
      <c r="G65" s="16">
        <v>0</v>
      </c>
      <c r="H65" s="16">
        <v>1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1</v>
      </c>
      <c r="P65" s="16">
        <v>0</v>
      </c>
      <c r="Q65" s="16">
        <v>0</v>
      </c>
      <c r="R65" s="16">
        <v>0</v>
      </c>
      <c r="S65" s="16">
        <v>1</v>
      </c>
      <c r="T65" s="16">
        <v>1</v>
      </c>
      <c r="U65" s="16">
        <v>2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1</v>
      </c>
      <c r="AB65" s="16">
        <v>0</v>
      </c>
      <c r="AC65" s="16">
        <v>0</v>
      </c>
      <c r="AD65" s="16">
        <v>1</v>
      </c>
      <c r="AE65" s="16">
        <v>0</v>
      </c>
      <c r="AF65" s="13">
        <f t="shared" si="15"/>
        <v>9</v>
      </c>
    </row>
    <row r="66" spans="1:32" ht="12.75" customHeight="1" x14ac:dyDescent="0.3">
      <c r="A66" s="15"/>
      <c r="B66" s="34"/>
      <c r="C66" s="29" t="s">
        <v>59</v>
      </c>
      <c r="D66" s="35"/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2</v>
      </c>
      <c r="K66" s="16">
        <v>1</v>
      </c>
      <c r="L66" s="16">
        <v>0</v>
      </c>
      <c r="M66" s="16">
        <v>0</v>
      </c>
      <c r="N66" s="16">
        <v>1</v>
      </c>
      <c r="O66" s="16">
        <v>0</v>
      </c>
      <c r="P66" s="16">
        <v>0</v>
      </c>
      <c r="Q66" s="16">
        <v>2</v>
      </c>
      <c r="R66" s="16">
        <v>0</v>
      </c>
      <c r="S66" s="16">
        <v>2</v>
      </c>
      <c r="T66" s="16">
        <v>1</v>
      </c>
      <c r="U66" s="16">
        <v>1</v>
      </c>
      <c r="V66" s="16">
        <v>0</v>
      </c>
      <c r="W66" s="16">
        <v>0</v>
      </c>
      <c r="X66" s="16">
        <v>1</v>
      </c>
      <c r="Y66" s="16">
        <v>0</v>
      </c>
      <c r="Z66" s="16">
        <v>0</v>
      </c>
      <c r="AA66" s="16">
        <v>0</v>
      </c>
      <c r="AB66" s="16">
        <v>1</v>
      </c>
      <c r="AC66" s="16">
        <v>0</v>
      </c>
      <c r="AD66" s="16">
        <v>1</v>
      </c>
      <c r="AE66" s="16">
        <v>0</v>
      </c>
      <c r="AF66" s="13">
        <f t="shared" si="15"/>
        <v>13</v>
      </c>
    </row>
    <row r="67" spans="1:32" ht="12.75" customHeight="1" x14ac:dyDescent="0.3">
      <c r="A67" s="16" t="s">
        <v>15</v>
      </c>
      <c r="B67" s="60" t="s">
        <v>49</v>
      </c>
      <c r="C67" s="61"/>
      <c r="D67" s="59"/>
      <c r="E67" s="13">
        <f>SUM(E57:E66)</f>
        <v>12</v>
      </c>
      <c r="F67" s="13">
        <f t="shared" ref="F67" si="16">SUM(F57:F66)</f>
        <v>16</v>
      </c>
      <c r="G67" s="13">
        <f t="shared" ref="G67" si="17">SUM(G57:G66)</f>
        <v>50</v>
      </c>
      <c r="H67" s="13">
        <f t="shared" ref="H67" si="18">SUM(H57:H66)</f>
        <v>55</v>
      </c>
      <c r="I67" s="13">
        <f t="shared" ref="I67" si="19">SUM(I57:I66)</f>
        <v>95</v>
      </c>
      <c r="J67" s="13">
        <f t="shared" ref="J67" si="20">SUM(J57:J66)</f>
        <v>87</v>
      </c>
      <c r="K67" s="13">
        <f t="shared" ref="K67" si="21">SUM(K57:K66)</f>
        <v>44</v>
      </c>
      <c r="L67" s="13">
        <f t="shared" ref="L67" si="22">SUM(L57:L66)</f>
        <v>73</v>
      </c>
      <c r="M67" s="13">
        <f t="shared" ref="M67" si="23">SUM(M57:M66)</f>
        <v>28</v>
      </c>
      <c r="N67" s="13">
        <f t="shared" ref="N67" si="24">SUM(N57:N66)</f>
        <v>25</v>
      </c>
      <c r="O67" s="13">
        <f t="shared" ref="O67" si="25">SUM(O57:O66)</f>
        <v>59</v>
      </c>
      <c r="P67" s="13">
        <f t="shared" ref="P67" si="26">SUM(P57:P66)</f>
        <v>51</v>
      </c>
      <c r="Q67" s="13">
        <f t="shared" ref="Q67" si="27">SUM(Q57:Q66)</f>
        <v>37</v>
      </c>
      <c r="R67" s="13">
        <f t="shared" ref="R67" si="28">SUM(R57:R66)</f>
        <v>32</v>
      </c>
      <c r="S67" s="13">
        <f t="shared" ref="S67" si="29">SUM(S57:S66)</f>
        <v>37</v>
      </c>
      <c r="T67" s="13">
        <f t="shared" ref="T67" si="30">SUM(T57:T66)</f>
        <v>31</v>
      </c>
      <c r="U67" s="13">
        <f t="shared" ref="U67" si="31">SUM(U57:U66)</f>
        <v>32</v>
      </c>
      <c r="V67" s="13">
        <f t="shared" ref="V67" si="32">SUM(V57:V66)</f>
        <v>23</v>
      </c>
      <c r="W67" s="13">
        <f t="shared" ref="W67" si="33">SUM(W57:W66)</f>
        <v>65</v>
      </c>
      <c r="X67" s="13">
        <f t="shared" ref="X67" si="34">SUM(X57:X66)</f>
        <v>28</v>
      </c>
      <c r="Y67" s="13">
        <f t="shared" ref="Y67" si="35">SUM(Y57:Y66)</f>
        <v>62</v>
      </c>
      <c r="Z67" s="13">
        <f t="shared" ref="Z67" si="36">SUM(Z57:Z66)</f>
        <v>31</v>
      </c>
      <c r="AA67" s="13">
        <f t="shared" ref="AA67" si="37">SUM(AA57:AA66)</f>
        <v>26</v>
      </c>
      <c r="AB67" s="13">
        <f t="shared" ref="AB67" si="38">SUM(AB57:AB66)</f>
        <v>13</v>
      </c>
      <c r="AC67" s="13">
        <f t="shared" ref="AC67" si="39">SUM(AC57:AC66)</f>
        <v>42</v>
      </c>
      <c r="AD67" s="13">
        <f t="shared" ref="AD67" si="40">SUM(AD57:AD66)</f>
        <v>23</v>
      </c>
      <c r="AE67" s="13">
        <f t="shared" ref="AE67" si="41">SUM(AE57:AE66)</f>
        <v>30</v>
      </c>
      <c r="AF67" s="13">
        <f t="shared" ref="AF67" si="42">SUM(AF57:AF66)</f>
        <v>1107</v>
      </c>
    </row>
    <row r="68" spans="1:32" ht="12.75" customHeight="1" x14ac:dyDescent="0.3">
      <c r="A68" s="63"/>
      <c r="B68" s="64"/>
      <c r="C68" s="64"/>
      <c r="D68" s="64"/>
      <c r="E68" s="64"/>
    </row>
    <row r="69" spans="1:32" ht="12.75" customHeight="1" x14ac:dyDescent="0.3">
      <c r="A69" s="20" t="s">
        <v>37</v>
      </c>
      <c r="B69" s="27" t="s">
        <v>21</v>
      </c>
      <c r="C69" s="58" t="s">
        <v>60</v>
      </c>
      <c r="D69" s="59"/>
      <c r="E69" s="16">
        <v>6</v>
      </c>
      <c r="F69" s="16">
        <v>8</v>
      </c>
      <c r="G69" s="16">
        <v>5</v>
      </c>
      <c r="H69" s="16">
        <v>4</v>
      </c>
      <c r="I69" s="16">
        <v>7</v>
      </c>
      <c r="J69" s="16">
        <v>9</v>
      </c>
      <c r="K69" s="16">
        <v>3</v>
      </c>
      <c r="L69" s="16">
        <v>4</v>
      </c>
      <c r="M69" s="16">
        <v>5</v>
      </c>
      <c r="N69" s="16">
        <v>8</v>
      </c>
      <c r="O69" s="16">
        <v>14</v>
      </c>
      <c r="P69" s="16">
        <v>11</v>
      </c>
      <c r="Q69" s="16">
        <v>22</v>
      </c>
      <c r="R69" s="16">
        <v>9</v>
      </c>
      <c r="S69" s="16">
        <v>20</v>
      </c>
      <c r="T69" s="16">
        <v>5</v>
      </c>
      <c r="U69" s="16">
        <v>10</v>
      </c>
      <c r="V69" s="16">
        <v>9</v>
      </c>
      <c r="W69" s="16">
        <v>8</v>
      </c>
      <c r="X69" s="16">
        <v>7</v>
      </c>
      <c r="Y69" s="16">
        <v>2</v>
      </c>
      <c r="Z69" s="16">
        <v>4</v>
      </c>
      <c r="AA69" s="16">
        <v>9</v>
      </c>
      <c r="AB69" s="16">
        <v>19</v>
      </c>
      <c r="AC69" s="16">
        <v>21</v>
      </c>
      <c r="AD69" s="16">
        <v>11</v>
      </c>
      <c r="AE69" s="16">
        <v>33</v>
      </c>
      <c r="AF69" s="13">
        <f t="shared" ref="AF69:AF78" si="43">SUM(E69:AE69)</f>
        <v>273</v>
      </c>
    </row>
    <row r="70" spans="1:32" ht="12.75" customHeight="1" x14ac:dyDescent="0.3">
      <c r="A70" s="20" t="s">
        <v>39</v>
      </c>
      <c r="B70" s="34"/>
      <c r="C70" s="29" t="s">
        <v>61</v>
      </c>
      <c r="D70" s="36"/>
      <c r="E70" s="16">
        <v>2</v>
      </c>
      <c r="F70" s="16">
        <v>2</v>
      </c>
      <c r="G70" s="16">
        <v>1</v>
      </c>
      <c r="H70" s="16">
        <v>1</v>
      </c>
      <c r="I70" s="16">
        <v>1</v>
      </c>
      <c r="J70" s="16">
        <v>2</v>
      </c>
      <c r="K70" s="16">
        <v>4</v>
      </c>
      <c r="L70" s="16">
        <v>4</v>
      </c>
      <c r="M70" s="16">
        <v>5</v>
      </c>
      <c r="N70" s="16">
        <v>5</v>
      </c>
      <c r="O70" s="16">
        <v>2</v>
      </c>
      <c r="P70" s="16">
        <v>5</v>
      </c>
      <c r="Q70" s="16">
        <v>9</v>
      </c>
      <c r="R70" s="16">
        <v>8</v>
      </c>
      <c r="S70" s="16">
        <v>3</v>
      </c>
      <c r="T70" s="16">
        <v>6</v>
      </c>
      <c r="U70" s="16">
        <v>2</v>
      </c>
      <c r="V70" s="16">
        <v>7</v>
      </c>
      <c r="W70" s="16">
        <v>8</v>
      </c>
      <c r="X70" s="16">
        <v>2</v>
      </c>
      <c r="Y70" s="16">
        <v>8</v>
      </c>
      <c r="Z70" s="16">
        <v>10</v>
      </c>
      <c r="AA70" s="16">
        <v>12</v>
      </c>
      <c r="AB70" s="16">
        <v>4</v>
      </c>
      <c r="AC70" s="16">
        <v>7</v>
      </c>
      <c r="AD70" s="16">
        <v>4</v>
      </c>
      <c r="AE70" s="16">
        <v>10</v>
      </c>
      <c r="AF70" s="13">
        <f t="shared" si="43"/>
        <v>134</v>
      </c>
    </row>
    <row r="71" spans="1:32" ht="12.75" customHeight="1" x14ac:dyDescent="0.3">
      <c r="A71" s="15"/>
      <c r="B71" s="34"/>
      <c r="C71" s="29" t="s">
        <v>62</v>
      </c>
      <c r="D71" s="36"/>
      <c r="E71" s="16">
        <v>3</v>
      </c>
      <c r="F71" s="16">
        <v>4</v>
      </c>
      <c r="G71" s="16">
        <v>2</v>
      </c>
      <c r="H71" s="16">
        <v>1</v>
      </c>
      <c r="I71" s="16">
        <v>3</v>
      </c>
      <c r="J71" s="16">
        <v>2</v>
      </c>
      <c r="K71" s="16">
        <v>4</v>
      </c>
      <c r="L71" s="16">
        <v>9</v>
      </c>
      <c r="M71" s="16">
        <v>3</v>
      </c>
      <c r="N71" s="16">
        <v>2</v>
      </c>
      <c r="O71" s="16">
        <v>2</v>
      </c>
      <c r="P71" s="16">
        <v>7</v>
      </c>
      <c r="Q71" s="16">
        <v>2</v>
      </c>
      <c r="R71" s="16">
        <v>4</v>
      </c>
      <c r="S71" s="16">
        <v>3</v>
      </c>
      <c r="T71" s="16">
        <v>4</v>
      </c>
      <c r="U71" s="16">
        <v>1</v>
      </c>
      <c r="V71" s="16">
        <v>31</v>
      </c>
      <c r="W71" s="16">
        <v>9</v>
      </c>
      <c r="X71" s="16">
        <v>2</v>
      </c>
      <c r="Y71" s="16">
        <v>5</v>
      </c>
      <c r="Z71" s="16">
        <v>4</v>
      </c>
      <c r="AA71" s="16">
        <v>11</v>
      </c>
      <c r="AB71" s="16">
        <v>1</v>
      </c>
      <c r="AC71" s="16">
        <v>8</v>
      </c>
      <c r="AD71" s="16">
        <v>3</v>
      </c>
      <c r="AE71" s="16">
        <v>13</v>
      </c>
      <c r="AF71" s="13">
        <f t="shared" si="43"/>
        <v>143</v>
      </c>
    </row>
    <row r="72" spans="1:32" ht="12.75" customHeight="1" x14ac:dyDescent="0.3">
      <c r="A72" s="15"/>
      <c r="B72" s="34"/>
      <c r="C72" s="29" t="s">
        <v>63</v>
      </c>
      <c r="D72" s="36"/>
      <c r="E72" s="16">
        <v>2</v>
      </c>
      <c r="F72" s="16">
        <v>2</v>
      </c>
      <c r="G72" s="16">
        <v>1</v>
      </c>
      <c r="H72" s="16">
        <v>0</v>
      </c>
      <c r="I72" s="16">
        <v>2</v>
      </c>
      <c r="J72" s="16">
        <v>3</v>
      </c>
      <c r="K72" s="16">
        <v>0</v>
      </c>
      <c r="L72" s="16">
        <v>1</v>
      </c>
      <c r="M72" s="16">
        <v>2</v>
      </c>
      <c r="N72" s="16">
        <v>3</v>
      </c>
      <c r="O72" s="16">
        <v>2</v>
      </c>
      <c r="P72" s="16">
        <v>3</v>
      </c>
      <c r="Q72" s="16">
        <v>8</v>
      </c>
      <c r="R72" s="16">
        <v>4</v>
      </c>
      <c r="S72" s="16">
        <v>2</v>
      </c>
      <c r="T72" s="16">
        <v>6</v>
      </c>
      <c r="U72" s="16">
        <v>2</v>
      </c>
      <c r="V72" s="16">
        <v>6</v>
      </c>
      <c r="W72" s="16">
        <v>6</v>
      </c>
      <c r="X72" s="16">
        <v>3</v>
      </c>
      <c r="Y72" s="16">
        <v>2</v>
      </c>
      <c r="Z72" s="16">
        <v>7</v>
      </c>
      <c r="AA72" s="16">
        <v>4</v>
      </c>
      <c r="AB72" s="16">
        <v>3</v>
      </c>
      <c r="AC72" s="16">
        <v>9</v>
      </c>
      <c r="AD72" s="16">
        <v>3</v>
      </c>
      <c r="AE72" s="16">
        <v>5</v>
      </c>
      <c r="AF72" s="13">
        <f t="shared" si="43"/>
        <v>91</v>
      </c>
    </row>
    <row r="73" spans="1:32" ht="12.75" customHeight="1" x14ac:dyDescent="0.3">
      <c r="A73" s="15"/>
      <c r="B73" s="34"/>
      <c r="C73" s="29" t="s">
        <v>64</v>
      </c>
      <c r="D73" s="36"/>
      <c r="E73" s="16">
        <v>5</v>
      </c>
      <c r="F73" s="16">
        <v>4</v>
      </c>
      <c r="G73" s="16">
        <v>1</v>
      </c>
      <c r="H73" s="16">
        <v>2</v>
      </c>
      <c r="I73" s="16">
        <v>2</v>
      </c>
      <c r="J73" s="16">
        <v>4</v>
      </c>
      <c r="K73" s="16">
        <v>11</v>
      </c>
      <c r="L73" s="16">
        <v>1</v>
      </c>
      <c r="M73" s="16">
        <v>1</v>
      </c>
      <c r="N73" s="16">
        <v>2</v>
      </c>
      <c r="O73" s="16">
        <v>5</v>
      </c>
      <c r="P73" s="16">
        <v>1</v>
      </c>
      <c r="Q73" s="16">
        <v>5</v>
      </c>
      <c r="R73" s="16">
        <v>10</v>
      </c>
      <c r="S73" s="16">
        <v>4</v>
      </c>
      <c r="T73" s="16">
        <v>4</v>
      </c>
      <c r="U73" s="16">
        <v>5</v>
      </c>
      <c r="V73" s="16">
        <v>7</v>
      </c>
      <c r="W73" s="16">
        <v>4</v>
      </c>
      <c r="X73" s="16">
        <v>5</v>
      </c>
      <c r="Y73" s="16">
        <v>8</v>
      </c>
      <c r="Z73" s="16">
        <v>12</v>
      </c>
      <c r="AA73" s="16">
        <v>46</v>
      </c>
      <c r="AB73" s="16">
        <v>87</v>
      </c>
      <c r="AC73" s="16">
        <v>7</v>
      </c>
      <c r="AD73" s="16">
        <v>40</v>
      </c>
      <c r="AE73" s="16">
        <v>17</v>
      </c>
      <c r="AF73" s="13">
        <f t="shared" si="43"/>
        <v>300</v>
      </c>
    </row>
    <row r="74" spans="1:32" ht="12.75" customHeight="1" x14ac:dyDescent="0.3">
      <c r="A74" s="15"/>
      <c r="B74" s="34"/>
      <c r="C74" s="29" t="s">
        <v>65</v>
      </c>
      <c r="D74" s="36"/>
      <c r="E74" s="16">
        <v>6</v>
      </c>
      <c r="F74" s="16">
        <v>4</v>
      </c>
      <c r="G74" s="16">
        <v>0</v>
      </c>
      <c r="H74" s="16">
        <v>2</v>
      </c>
      <c r="I74" s="16">
        <v>2</v>
      </c>
      <c r="J74" s="16">
        <v>0</v>
      </c>
      <c r="K74" s="16">
        <v>0</v>
      </c>
      <c r="L74" s="16">
        <v>0</v>
      </c>
      <c r="M74" s="16">
        <v>3</v>
      </c>
      <c r="N74" s="16">
        <v>0</v>
      </c>
      <c r="O74" s="16">
        <v>1</v>
      </c>
      <c r="P74" s="16">
        <v>1</v>
      </c>
      <c r="Q74" s="16">
        <v>6</v>
      </c>
      <c r="R74" s="16">
        <v>4</v>
      </c>
      <c r="S74" s="16">
        <v>3</v>
      </c>
      <c r="T74" s="16">
        <v>2</v>
      </c>
      <c r="U74" s="16">
        <v>2</v>
      </c>
      <c r="V74" s="16">
        <v>3</v>
      </c>
      <c r="W74" s="16">
        <v>7</v>
      </c>
      <c r="X74" s="16">
        <v>2</v>
      </c>
      <c r="Y74" s="16">
        <v>2</v>
      </c>
      <c r="Z74" s="16">
        <v>8</v>
      </c>
      <c r="AA74" s="16">
        <v>3</v>
      </c>
      <c r="AB74" s="16">
        <v>8</v>
      </c>
      <c r="AC74" s="16">
        <v>3</v>
      </c>
      <c r="AD74" s="16">
        <v>4</v>
      </c>
      <c r="AE74" s="16">
        <v>3</v>
      </c>
      <c r="AF74" s="13">
        <f t="shared" si="43"/>
        <v>79</v>
      </c>
    </row>
    <row r="75" spans="1:32" ht="12.75" customHeight="1" x14ac:dyDescent="0.3">
      <c r="A75" s="15"/>
      <c r="B75" s="34"/>
      <c r="C75" s="29" t="s">
        <v>66</v>
      </c>
      <c r="D75" s="36"/>
      <c r="E75" s="16">
        <v>2</v>
      </c>
      <c r="F75" s="16">
        <v>0</v>
      </c>
      <c r="G75" s="16">
        <v>0</v>
      </c>
      <c r="H75" s="16">
        <v>0</v>
      </c>
      <c r="I75" s="16">
        <v>0</v>
      </c>
      <c r="J75" s="16">
        <v>1</v>
      </c>
      <c r="K75" s="16">
        <v>0</v>
      </c>
      <c r="L75" s="16">
        <v>0</v>
      </c>
      <c r="M75" s="16">
        <v>2</v>
      </c>
      <c r="N75" s="16">
        <v>0</v>
      </c>
      <c r="O75" s="16">
        <v>3</v>
      </c>
      <c r="P75" s="16">
        <v>2</v>
      </c>
      <c r="Q75" s="16">
        <v>2</v>
      </c>
      <c r="R75" s="16">
        <v>3</v>
      </c>
      <c r="S75" s="16">
        <v>0</v>
      </c>
      <c r="T75" s="16">
        <v>1</v>
      </c>
      <c r="U75" s="16">
        <v>2</v>
      </c>
      <c r="V75" s="16">
        <v>0</v>
      </c>
      <c r="W75" s="16">
        <v>1</v>
      </c>
      <c r="X75" s="16">
        <v>0</v>
      </c>
      <c r="Y75" s="16">
        <v>1</v>
      </c>
      <c r="Z75" s="16">
        <v>1</v>
      </c>
      <c r="AA75" s="16">
        <v>1</v>
      </c>
      <c r="AB75" s="16">
        <v>1</v>
      </c>
      <c r="AC75" s="16">
        <v>2</v>
      </c>
      <c r="AD75" s="16">
        <v>4</v>
      </c>
      <c r="AE75" s="16">
        <v>2</v>
      </c>
      <c r="AF75" s="13">
        <f t="shared" si="43"/>
        <v>31</v>
      </c>
    </row>
    <row r="76" spans="1:32" ht="12.75" customHeight="1" x14ac:dyDescent="0.3">
      <c r="A76" s="15"/>
      <c r="B76" s="34"/>
      <c r="C76" s="29" t="s">
        <v>67</v>
      </c>
      <c r="D76" s="36"/>
      <c r="E76" s="16">
        <v>0</v>
      </c>
      <c r="F76" s="16">
        <v>0</v>
      </c>
      <c r="G76" s="16">
        <v>0</v>
      </c>
      <c r="H76" s="16">
        <v>1</v>
      </c>
      <c r="I76" s="16">
        <v>1</v>
      </c>
      <c r="J76" s="16">
        <v>0</v>
      </c>
      <c r="K76" s="16">
        <v>0</v>
      </c>
      <c r="L76" s="16">
        <v>1</v>
      </c>
      <c r="M76" s="16">
        <v>0</v>
      </c>
      <c r="N76" s="16">
        <v>0</v>
      </c>
      <c r="O76" s="16">
        <v>2</v>
      </c>
      <c r="P76" s="16">
        <v>0</v>
      </c>
      <c r="Q76" s="16">
        <v>0</v>
      </c>
      <c r="R76" s="16">
        <v>0</v>
      </c>
      <c r="S76" s="16">
        <v>1</v>
      </c>
      <c r="T76" s="16">
        <v>0</v>
      </c>
      <c r="U76" s="16">
        <v>2</v>
      </c>
      <c r="V76" s="16">
        <v>1</v>
      </c>
      <c r="W76" s="16">
        <v>2</v>
      </c>
      <c r="X76" s="16">
        <v>1</v>
      </c>
      <c r="Y76" s="16">
        <v>0</v>
      </c>
      <c r="Z76" s="16">
        <v>1</v>
      </c>
      <c r="AA76" s="16">
        <v>0</v>
      </c>
      <c r="AB76" s="16">
        <v>1</v>
      </c>
      <c r="AC76" s="16">
        <v>3</v>
      </c>
      <c r="AD76" s="16">
        <v>0</v>
      </c>
      <c r="AE76" s="16">
        <v>0</v>
      </c>
      <c r="AF76" s="13">
        <f t="shared" si="43"/>
        <v>17</v>
      </c>
    </row>
    <row r="77" spans="1:32" ht="12.75" customHeight="1" x14ac:dyDescent="0.3">
      <c r="A77" s="15"/>
      <c r="B77" s="34"/>
      <c r="C77" s="29" t="s">
        <v>68</v>
      </c>
      <c r="D77" s="36"/>
      <c r="E77" s="16">
        <v>0</v>
      </c>
      <c r="F77" s="16">
        <v>1</v>
      </c>
      <c r="G77" s="16">
        <v>0</v>
      </c>
      <c r="H77" s="16">
        <v>1</v>
      </c>
      <c r="I77" s="16">
        <v>0</v>
      </c>
      <c r="J77" s="16">
        <v>0</v>
      </c>
      <c r="K77" s="16">
        <v>0</v>
      </c>
      <c r="L77" s="16">
        <v>0</v>
      </c>
      <c r="M77" s="16">
        <v>1</v>
      </c>
      <c r="N77" s="16">
        <v>0</v>
      </c>
      <c r="O77" s="16">
        <v>0</v>
      </c>
      <c r="P77" s="16">
        <v>2</v>
      </c>
      <c r="Q77" s="16">
        <v>1</v>
      </c>
      <c r="R77" s="16">
        <v>1</v>
      </c>
      <c r="S77" s="16">
        <v>1</v>
      </c>
      <c r="T77" s="16">
        <v>3</v>
      </c>
      <c r="U77" s="16">
        <v>1</v>
      </c>
      <c r="V77" s="16">
        <v>2</v>
      </c>
      <c r="W77" s="16">
        <v>1</v>
      </c>
      <c r="X77" s="16">
        <v>1</v>
      </c>
      <c r="Y77" s="16">
        <v>0</v>
      </c>
      <c r="Z77" s="16">
        <v>0</v>
      </c>
      <c r="AA77" s="16">
        <v>2</v>
      </c>
      <c r="AB77" s="16">
        <v>2</v>
      </c>
      <c r="AC77" s="16">
        <v>3</v>
      </c>
      <c r="AD77" s="16">
        <v>2</v>
      </c>
      <c r="AE77" s="16">
        <v>2</v>
      </c>
      <c r="AF77" s="13">
        <f t="shared" si="43"/>
        <v>27</v>
      </c>
    </row>
    <row r="78" spans="1:32" ht="12.75" customHeight="1" x14ac:dyDescent="0.3">
      <c r="A78" s="15"/>
      <c r="B78" s="34"/>
      <c r="C78" s="29" t="s">
        <v>69</v>
      </c>
      <c r="D78" s="36"/>
      <c r="E78" s="16">
        <v>0</v>
      </c>
      <c r="F78" s="16">
        <v>0</v>
      </c>
      <c r="G78" s="16">
        <v>0</v>
      </c>
      <c r="H78" s="16">
        <v>1</v>
      </c>
      <c r="I78" s="16">
        <v>5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2</v>
      </c>
      <c r="P78" s="16">
        <v>0</v>
      </c>
      <c r="Q78" s="16">
        <v>1</v>
      </c>
      <c r="R78" s="16">
        <v>0</v>
      </c>
      <c r="S78" s="16">
        <v>0</v>
      </c>
      <c r="T78" s="16">
        <v>2</v>
      </c>
      <c r="U78" s="16">
        <v>1</v>
      </c>
      <c r="V78" s="16">
        <v>1</v>
      </c>
      <c r="W78" s="16">
        <v>2</v>
      </c>
      <c r="X78" s="16">
        <v>1</v>
      </c>
      <c r="Y78" s="16">
        <v>2</v>
      </c>
      <c r="Z78" s="16">
        <v>3</v>
      </c>
      <c r="AA78" s="16">
        <v>0</v>
      </c>
      <c r="AB78" s="16">
        <v>0</v>
      </c>
      <c r="AC78" s="16">
        <v>3</v>
      </c>
      <c r="AD78" s="16">
        <v>2</v>
      </c>
      <c r="AE78" s="16">
        <v>8</v>
      </c>
      <c r="AF78" s="13">
        <f t="shared" si="43"/>
        <v>34</v>
      </c>
    </row>
    <row r="79" spans="1:32" ht="12.75" customHeight="1" x14ac:dyDescent="0.3">
      <c r="A79" s="16" t="s">
        <v>15</v>
      </c>
      <c r="B79" s="60" t="s">
        <v>49</v>
      </c>
      <c r="C79" s="61"/>
      <c r="D79" s="59"/>
      <c r="E79" s="13">
        <f>SUM(E69:E78)</f>
        <v>26</v>
      </c>
      <c r="F79" s="13">
        <f t="shared" ref="F79" si="44">SUM(F69:F78)</f>
        <v>25</v>
      </c>
      <c r="G79" s="13">
        <f t="shared" ref="G79" si="45">SUM(G69:G78)</f>
        <v>10</v>
      </c>
      <c r="H79" s="13">
        <f t="shared" ref="H79" si="46">SUM(H69:H78)</f>
        <v>13</v>
      </c>
      <c r="I79" s="13">
        <f t="shared" ref="I79" si="47">SUM(I69:I78)</f>
        <v>23</v>
      </c>
      <c r="J79" s="13">
        <f t="shared" ref="J79" si="48">SUM(J69:J78)</f>
        <v>21</v>
      </c>
      <c r="K79" s="13">
        <f t="shared" ref="K79" si="49">SUM(K69:K78)</f>
        <v>22</v>
      </c>
      <c r="L79" s="13">
        <f t="shared" ref="L79" si="50">SUM(L69:L78)</f>
        <v>20</v>
      </c>
      <c r="M79" s="13">
        <f t="shared" ref="M79" si="51">SUM(M69:M78)</f>
        <v>22</v>
      </c>
      <c r="N79" s="13">
        <f t="shared" ref="N79" si="52">SUM(N69:N78)</f>
        <v>20</v>
      </c>
      <c r="O79" s="13">
        <f t="shared" ref="O79" si="53">SUM(O69:O78)</f>
        <v>33</v>
      </c>
      <c r="P79" s="13">
        <f t="shared" ref="P79" si="54">SUM(P69:P78)</f>
        <v>32</v>
      </c>
      <c r="Q79" s="13">
        <f t="shared" ref="Q79" si="55">SUM(Q69:Q78)</f>
        <v>56</v>
      </c>
      <c r="R79" s="13">
        <f t="shared" ref="R79" si="56">SUM(R69:R78)</f>
        <v>43</v>
      </c>
      <c r="S79" s="13">
        <f t="shared" ref="S79" si="57">SUM(S69:S78)</f>
        <v>37</v>
      </c>
      <c r="T79" s="13">
        <f t="shared" ref="T79" si="58">SUM(T69:T78)</f>
        <v>33</v>
      </c>
      <c r="U79" s="13">
        <f t="shared" ref="U79" si="59">SUM(U69:U78)</f>
        <v>28</v>
      </c>
      <c r="V79" s="13">
        <f t="shared" ref="V79" si="60">SUM(V69:V78)</f>
        <v>67</v>
      </c>
      <c r="W79" s="13">
        <f t="shared" ref="W79" si="61">SUM(W69:W78)</f>
        <v>48</v>
      </c>
      <c r="X79" s="13">
        <f t="shared" ref="X79" si="62">SUM(X69:X78)</f>
        <v>24</v>
      </c>
      <c r="Y79" s="13">
        <f t="shared" ref="Y79" si="63">SUM(Y69:Y78)</f>
        <v>30</v>
      </c>
      <c r="Z79" s="13">
        <f t="shared" ref="Z79" si="64">SUM(Z69:Z78)</f>
        <v>50</v>
      </c>
      <c r="AA79" s="13">
        <f t="shared" ref="AA79" si="65">SUM(AA69:AA78)</f>
        <v>88</v>
      </c>
      <c r="AB79" s="13">
        <f t="shared" ref="AB79" si="66">SUM(AB69:AB78)</f>
        <v>126</v>
      </c>
      <c r="AC79" s="13">
        <f t="shared" ref="AC79" si="67">SUM(AC69:AC78)</f>
        <v>66</v>
      </c>
      <c r="AD79" s="13">
        <f t="shared" ref="AD79" si="68">SUM(AD69:AD78)</f>
        <v>73</v>
      </c>
      <c r="AE79" s="13">
        <f t="shared" ref="AE79" si="69">SUM(AE69:AE78)</f>
        <v>93</v>
      </c>
      <c r="AF79" s="13">
        <f t="shared" ref="AF79" si="70">SUM(AF69:AF78)</f>
        <v>1129</v>
      </c>
    </row>
    <row r="80" spans="1:32" ht="12.75" customHeight="1" x14ac:dyDescent="0.3">
      <c r="A80" s="63"/>
      <c r="B80" s="64"/>
      <c r="C80" s="64"/>
      <c r="D80" s="64"/>
      <c r="E80" s="64"/>
    </row>
    <row r="81" spans="1:32" ht="12.75" customHeight="1" x14ac:dyDescent="0.3">
      <c r="A81" s="20" t="s">
        <v>37</v>
      </c>
      <c r="B81" s="27" t="s">
        <v>23</v>
      </c>
      <c r="C81" s="58" t="s">
        <v>70</v>
      </c>
      <c r="D81" s="59"/>
      <c r="E81" s="16">
        <v>1</v>
      </c>
      <c r="F81" s="16">
        <v>0</v>
      </c>
      <c r="G81" s="16">
        <v>2</v>
      </c>
      <c r="H81" s="16">
        <v>2</v>
      </c>
      <c r="I81" s="16">
        <v>2</v>
      </c>
      <c r="J81" s="16">
        <v>4</v>
      </c>
      <c r="K81" s="16">
        <v>5</v>
      </c>
      <c r="L81" s="16">
        <v>9</v>
      </c>
      <c r="M81" s="16">
        <v>12</v>
      </c>
      <c r="N81" s="16">
        <v>6</v>
      </c>
      <c r="O81" s="16">
        <v>6</v>
      </c>
      <c r="P81" s="16">
        <v>6</v>
      </c>
      <c r="Q81" s="16">
        <v>6</v>
      </c>
      <c r="R81" s="16">
        <v>4</v>
      </c>
      <c r="S81" s="16">
        <v>3</v>
      </c>
      <c r="T81" s="16">
        <v>5</v>
      </c>
      <c r="U81" s="16">
        <v>0</v>
      </c>
      <c r="V81" s="16">
        <v>4</v>
      </c>
      <c r="W81" s="16">
        <v>1</v>
      </c>
      <c r="X81" s="16">
        <v>3</v>
      </c>
      <c r="Y81" s="16">
        <v>0</v>
      </c>
      <c r="Z81" s="16">
        <v>4</v>
      </c>
      <c r="AA81" s="16">
        <v>7</v>
      </c>
      <c r="AB81" s="16">
        <v>3</v>
      </c>
      <c r="AC81" s="16">
        <v>3</v>
      </c>
      <c r="AD81" s="16">
        <v>3</v>
      </c>
      <c r="AE81" s="16">
        <v>3</v>
      </c>
      <c r="AF81" s="13">
        <f t="shared" ref="AF81:AF90" si="71">SUM(E81:AE81)</f>
        <v>104</v>
      </c>
    </row>
    <row r="82" spans="1:32" ht="12.75" customHeight="1" x14ac:dyDescent="0.3">
      <c r="A82" s="20" t="s">
        <v>39</v>
      </c>
      <c r="B82" s="34"/>
      <c r="C82" s="29" t="s">
        <v>71</v>
      </c>
      <c r="D82" s="36"/>
      <c r="E82" s="16">
        <v>13</v>
      </c>
      <c r="F82" s="16">
        <v>25</v>
      </c>
      <c r="G82" s="16">
        <v>0</v>
      </c>
      <c r="H82" s="16">
        <v>28</v>
      </c>
      <c r="I82" s="16">
        <v>19</v>
      </c>
      <c r="J82" s="16">
        <v>5</v>
      </c>
      <c r="K82" s="16">
        <v>25</v>
      </c>
      <c r="L82" s="16">
        <v>1</v>
      </c>
      <c r="M82" s="16">
        <v>9</v>
      </c>
      <c r="N82" s="16">
        <v>6</v>
      </c>
      <c r="O82" s="16">
        <v>6</v>
      </c>
      <c r="P82" s="16">
        <v>13</v>
      </c>
      <c r="Q82" s="16">
        <v>11</v>
      </c>
      <c r="R82" s="16">
        <v>6</v>
      </c>
      <c r="S82" s="16">
        <v>0</v>
      </c>
      <c r="T82" s="16">
        <v>2</v>
      </c>
      <c r="U82" s="16">
        <v>3</v>
      </c>
      <c r="V82" s="16">
        <v>5</v>
      </c>
      <c r="W82" s="16">
        <v>2</v>
      </c>
      <c r="X82" s="16">
        <v>2</v>
      </c>
      <c r="Y82" s="16">
        <v>5</v>
      </c>
      <c r="Z82" s="16">
        <v>2</v>
      </c>
      <c r="AA82" s="16">
        <v>7</v>
      </c>
      <c r="AB82" s="16">
        <v>2</v>
      </c>
      <c r="AC82" s="16">
        <v>0</v>
      </c>
      <c r="AD82" s="16">
        <v>6</v>
      </c>
      <c r="AE82" s="16">
        <v>1</v>
      </c>
      <c r="AF82" s="13">
        <f t="shared" si="71"/>
        <v>204</v>
      </c>
    </row>
    <row r="83" spans="1:32" ht="12.75" customHeight="1" x14ac:dyDescent="0.3">
      <c r="A83" s="15"/>
      <c r="B83" s="34"/>
      <c r="C83" s="29" t="s">
        <v>72</v>
      </c>
      <c r="D83" s="36"/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1</v>
      </c>
      <c r="K83" s="16">
        <v>2</v>
      </c>
      <c r="L83" s="16">
        <v>1</v>
      </c>
      <c r="M83" s="16">
        <v>2</v>
      </c>
      <c r="N83" s="16">
        <v>0</v>
      </c>
      <c r="O83" s="16">
        <v>0</v>
      </c>
      <c r="P83" s="16">
        <v>2</v>
      </c>
      <c r="Q83" s="16">
        <v>0</v>
      </c>
      <c r="R83" s="16">
        <v>4</v>
      </c>
      <c r="S83" s="16">
        <v>0</v>
      </c>
      <c r="T83" s="16">
        <v>2</v>
      </c>
      <c r="U83" s="16">
        <v>1</v>
      </c>
      <c r="V83" s="16">
        <v>0</v>
      </c>
      <c r="W83" s="16">
        <v>1</v>
      </c>
      <c r="X83" s="16">
        <v>1</v>
      </c>
      <c r="Y83" s="16">
        <v>0</v>
      </c>
      <c r="Z83" s="16">
        <v>0</v>
      </c>
      <c r="AA83" s="16">
        <v>0</v>
      </c>
      <c r="AB83" s="16">
        <v>3</v>
      </c>
      <c r="AC83" s="16">
        <v>1</v>
      </c>
      <c r="AD83" s="16">
        <v>0</v>
      </c>
      <c r="AE83" s="16">
        <v>1</v>
      </c>
      <c r="AF83" s="13">
        <f t="shared" si="71"/>
        <v>22</v>
      </c>
    </row>
    <row r="84" spans="1:32" ht="12.75" customHeight="1" x14ac:dyDescent="0.3">
      <c r="A84" s="15"/>
      <c r="B84" s="34"/>
      <c r="C84" s="29" t="s">
        <v>73</v>
      </c>
      <c r="D84" s="36"/>
      <c r="E84" s="16">
        <v>1</v>
      </c>
      <c r="F84" s="16">
        <v>0</v>
      </c>
      <c r="G84" s="16">
        <v>1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2</v>
      </c>
      <c r="N84" s="16">
        <v>0</v>
      </c>
      <c r="O84" s="16">
        <v>0</v>
      </c>
      <c r="P84" s="16">
        <v>2</v>
      </c>
      <c r="Q84" s="16">
        <v>0</v>
      </c>
      <c r="R84" s="16">
        <v>0</v>
      </c>
      <c r="S84" s="16">
        <v>0</v>
      </c>
      <c r="T84" s="16">
        <v>0</v>
      </c>
      <c r="U84" s="16">
        <v>1</v>
      </c>
      <c r="V84" s="16">
        <v>0</v>
      </c>
      <c r="W84" s="16">
        <v>1</v>
      </c>
      <c r="X84" s="16">
        <v>1</v>
      </c>
      <c r="Y84" s="16">
        <v>1</v>
      </c>
      <c r="Z84" s="16">
        <v>1</v>
      </c>
      <c r="AA84" s="16">
        <v>0</v>
      </c>
      <c r="AB84" s="16">
        <v>2</v>
      </c>
      <c r="AC84" s="16">
        <v>0</v>
      </c>
      <c r="AD84" s="16">
        <v>0</v>
      </c>
      <c r="AE84" s="16">
        <v>0</v>
      </c>
      <c r="AF84" s="13">
        <f t="shared" si="71"/>
        <v>13</v>
      </c>
    </row>
    <row r="85" spans="1:32" ht="12.75" customHeight="1" x14ac:dyDescent="0.3">
      <c r="A85" s="15"/>
      <c r="B85" s="34"/>
      <c r="C85" s="29" t="s">
        <v>74</v>
      </c>
      <c r="D85" s="36"/>
      <c r="E85" s="16">
        <v>0</v>
      </c>
      <c r="F85" s="16">
        <v>0</v>
      </c>
      <c r="G85" s="16">
        <v>0</v>
      </c>
      <c r="H85" s="16">
        <v>1</v>
      </c>
      <c r="I85" s="16">
        <v>0</v>
      </c>
      <c r="J85" s="16">
        <v>1</v>
      </c>
      <c r="K85" s="16">
        <v>1</v>
      </c>
      <c r="L85" s="16">
        <v>0</v>
      </c>
      <c r="M85" s="16">
        <v>0</v>
      </c>
      <c r="N85" s="16">
        <v>0</v>
      </c>
      <c r="O85" s="16">
        <v>2</v>
      </c>
      <c r="P85" s="16">
        <v>0</v>
      </c>
      <c r="Q85" s="16">
        <v>0</v>
      </c>
      <c r="R85" s="16">
        <v>0</v>
      </c>
      <c r="S85" s="16">
        <v>1</v>
      </c>
      <c r="T85" s="16">
        <v>0</v>
      </c>
      <c r="U85" s="16">
        <v>0</v>
      </c>
      <c r="V85" s="16">
        <v>0</v>
      </c>
      <c r="W85" s="16">
        <v>1</v>
      </c>
      <c r="X85" s="16">
        <v>3</v>
      </c>
      <c r="Y85" s="16">
        <v>1</v>
      </c>
      <c r="Z85" s="16">
        <v>1</v>
      </c>
      <c r="AA85" s="16">
        <v>2</v>
      </c>
      <c r="AB85" s="16">
        <v>0</v>
      </c>
      <c r="AC85" s="16">
        <v>0</v>
      </c>
      <c r="AD85" s="16">
        <v>1</v>
      </c>
      <c r="AE85" s="16">
        <v>1</v>
      </c>
      <c r="AF85" s="13">
        <f t="shared" si="71"/>
        <v>16</v>
      </c>
    </row>
    <row r="86" spans="1:32" ht="12.75" customHeight="1" x14ac:dyDescent="0.3">
      <c r="A86" s="15"/>
      <c r="B86" s="34"/>
      <c r="C86" s="29" t="s">
        <v>75</v>
      </c>
      <c r="D86" s="36"/>
      <c r="E86" s="16">
        <v>1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</v>
      </c>
      <c r="O86" s="16">
        <v>1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1</v>
      </c>
      <c r="AB86" s="16">
        <v>0</v>
      </c>
      <c r="AC86" s="16">
        <v>0</v>
      </c>
      <c r="AD86" s="16">
        <v>1</v>
      </c>
      <c r="AE86" s="16">
        <v>0</v>
      </c>
      <c r="AF86" s="13">
        <f t="shared" si="71"/>
        <v>5</v>
      </c>
    </row>
    <row r="87" spans="1:32" ht="12.75" customHeight="1" x14ac:dyDescent="0.3">
      <c r="A87" s="15"/>
      <c r="B87" s="34"/>
      <c r="C87" s="29" t="s">
        <v>76</v>
      </c>
      <c r="D87" s="36"/>
      <c r="E87" s="16">
        <v>0</v>
      </c>
      <c r="F87" s="16">
        <v>0</v>
      </c>
      <c r="G87" s="16">
        <v>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1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1</v>
      </c>
      <c r="AD87" s="16">
        <v>0</v>
      </c>
      <c r="AE87" s="16">
        <v>1</v>
      </c>
      <c r="AF87" s="13">
        <f t="shared" si="71"/>
        <v>4</v>
      </c>
    </row>
    <row r="88" spans="1:32" ht="12.75" customHeight="1" x14ac:dyDescent="0.3">
      <c r="A88" s="15"/>
      <c r="B88" s="34"/>
      <c r="C88" s="29" t="s">
        <v>77</v>
      </c>
      <c r="D88" s="36"/>
      <c r="E88" s="16">
        <v>0</v>
      </c>
      <c r="F88" s="16">
        <v>0</v>
      </c>
      <c r="G88" s="16">
        <v>0</v>
      </c>
      <c r="H88" s="16">
        <v>0</v>
      </c>
      <c r="I88" s="16">
        <v>1</v>
      </c>
      <c r="J88" s="16">
        <v>0</v>
      </c>
      <c r="K88" s="16">
        <v>0</v>
      </c>
      <c r="L88" s="16">
        <v>0</v>
      </c>
      <c r="M88" s="16">
        <v>1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1</v>
      </c>
      <c r="V88" s="16">
        <v>0</v>
      </c>
      <c r="W88" s="16">
        <v>0</v>
      </c>
      <c r="X88" s="16">
        <v>1</v>
      </c>
      <c r="Y88" s="16">
        <v>0</v>
      </c>
      <c r="Z88" s="16">
        <v>0</v>
      </c>
      <c r="AA88" s="16">
        <v>1</v>
      </c>
      <c r="AB88" s="16">
        <v>0</v>
      </c>
      <c r="AC88" s="16">
        <v>1</v>
      </c>
      <c r="AD88" s="16">
        <v>0</v>
      </c>
      <c r="AE88" s="16">
        <v>0</v>
      </c>
      <c r="AF88" s="13">
        <f t="shared" si="71"/>
        <v>6</v>
      </c>
    </row>
    <row r="89" spans="1:32" ht="12.75" customHeight="1" x14ac:dyDescent="0.3">
      <c r="A89" s="15"/>
      <c r="B89" s="34"/>
      <c r="C89" s="29" t="s">
        <v>78</v>
      </c>
      <c r="D89" s="36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3">
        <f t="shared" si="71"/>
        <v>0</v>
      </c>
    </row>
    <row r="90" spans="1:32" ht="12.75" customHeight="1" x14ac:dyDescent="0.3">
      <c r="A90" s="15"/>
      <c r="B90" s="34"/>
      <c r="C90" s="29" t="s">
        <v>79</v>
      </c>
      <c r="D90" s="36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</v>
      </c>
      <c r="X90" s="16">
        <v>0</v>
      </c>
      <c r="Y90" s="16">
        <v>0</v>
      </c>
      <c r="Z90" s="16">
        <v>2</v>
      </c>
      <c r="AA90" s="16">
        <v>0</v>
      </c>
      <c r="AB90" s="16">
        <v>0</v>
      </c>
      <c r="AC90" s="16">
        <v>0</v>
      </c>
      <c r="AD90" s="16">
        <v>0</v>
      </c>
      <c r="AE90" s="16">
        <v>2</v>
      </c>
      <c r="AF90" s="13">
        <f t="shared" si="71"/>
        <v>5</v>
      </c>
    </row>
    <row r="91" spans="1:32" ht="12.75" customHeight="1" x14ac:dyDescent="0.3">
      <c r="A91" s="16" t="s">
        <v>15</v>
      </c>
      <c r="B91" s="60" t="s">
        <v>49</v>
      </c>
      <c r="C91" s="61"/>
      <c r="D91" s="59"/>
      <c r="E91" s="13">
        <f>SUM(E81:E90)</f>
        <v>16</v>
      </c>
      <c r="F91" s="13">
        <f t="shared" ref="F91" si="72">SUM(F81:F90)</f>
        <v>25</v>
      </c>
      <c r="G91" s="13">
        <f t="shared" ref="G91" si="73">SUM(G81:G90)</f>
        <v>4</v>
      </c>
      <c r="H91" s="13">
        <f t="shared" ref="H91" si="74">SUM(H81:H90)</f>
        <v>31</v>
      </c>
      <c r="I91" s="13">
        <f t="shared" ref="I91" si="75">SUM(I81:I90)</f>
        <v>22</v>
      </c>
      <c r="J91" s="13">
        <f t="shared" ref="J91" si="76">SUM(J81:J90)</f>
        <v>11</v>
      </c>
      <c r="K91" s="13">
        <f t="shared" ref="K91" si="77">SUM(K81:K90)</f>
        <v>33</v>
      </c>
      <c r="L91" s="13">
        <f t="shared" ref="L91" si="78">SUM(L81:L90)</f>
        <v>11</v>
      </c>
      <c r="M91" s="13">
        <f t="shared" ref="M91" si="79">SUM(M81:M90)</f>
        <v>27</v>
      </c>
      <c r="N91" s="13">
        <f t="shared" ref="N91" si="80">SUM(N81:N90)</f>
        <v>13</v>
      </c>
      <c r="O91" s="13">
        <f t="shared" ref="O91" si="81">SUM(O81:O90)</f>
        <v>15</v>
      </c>
      <c r="P91" s="13">
        <f t="shared" ref="P91" si="82">SUM(P81:P90)</f>
        <v>23</v>
      </c>
      <c r="Q91" s="13">
        <f t="shared" ref="Q91" si="83">SUM(Q81:Q90)</f>
        <v>17</v>
      </c>
      <c r="R91" s="13">
        <f t="shared" ref="R91" si="84">SUM(R81:R90)</f>
        <v>14</v>
      </c>
      <c r="S91" s="13">
        <f t="shared" ref="S91" si="85">SUM(S81:S90)</f>
        <v>4</v>
      </c>
      <c r="T91" s="13">
        <f t="shared" ref="T91" si="86">SUM(T81:T90)</f>
        <v>9</v>
      </c>
      <c r="U91" s="13">
        <f t="shared" ref="U91" si="87">SUM(U81:U90)</f>
        <v>6</v>
      </c>
      <c r="V91" s="13">
        <f t="shared" ref="V91" si="88">SUM(V81:V90)</f>
        <v>9</v>
      </c>
      <c r="W91" s="13">
        <f t="shared" ref="W91" si="89">SUM(W81:W90)</f>
        <v>7</v>
      </c>
      <c r="X91" s="13">
        <f t="shared" ref="X91" si="90">SUM(X81:X90)</f>
        <v>11</v>
      </c>
      <c r="Y91" s="13">
        <f t="shared" ref="Y91" si="91">SUM(Y81:Y90)</f>
        <v>7</v>
      </c>
      <c r="Z91" s="13">
        <f t="shared" ref="Z91" si="92">SUM(Z81:Z90)</f>
        <v>10</v>
      </c>
      <c r="AA91" s="13">
        <f t="shared" ref="AA91" si="93">SUM(AA81:AA90)</f>
        <v>18</v>
      </c>
      <c r="AB91" s="13">
        <f t="shared" ref="AB91" si="94">SUM(AB81:AB90)</f>
        <v>10</v>
      </c>
      <c r="AC91" s="13">
        <f t="shared" ref="AC91" si="95">SUM(AC81:AC90)</f>
        <v>6</v>
      </c>
      <c r="AD91" s="13">
        <f t="shared" ref="AD91" si="96">SUM(AD81:AD90)</f>
        <v>11</v>
      </c>
      <c r="AE91" s="13">
        <f t="shared" ref="AE91" si="97">SUM(AE81:AE90)</f>
        <v>9</v>
      </c>
      <c r="AF91" s="13">
        <f t="shared" ref="AF91" si="98">SUM(AF81:AF90)</f>
        <v>379</v>
      </c>
    </row>
    <row r="92" spans="1:32" ht="12.75" customHeight="1" x14ac:dyDescent="0.3">
      <c r="A92" s="63"/>
      <c r="B92" s="64"/>
      <c r="C92" s="64"/>
      <c r="D92" s="64"/>
      <c r="E92" s="64"/>
    </row>
    <row r="93" spans="1:32" ht="12.75" customHeight="1" x14ac:dyDescent="0.3">
      <c r="A93" s="20" t="s">
        <v>37</v>
      </c>
      <c r="B93" s="27" t="s">
        <v>80</v>
      </c>
      <c r="C93" s="58" t="s">
        <v>81</v>
      </c>
      <c r="D93" s="59"/>
      <c r="E93" s="16">
        <v>5</v>
      </c>
      <c r="F93" s="16">
        <v>7</v>
      </c>
      <c r="G93" s="16">
        <v>3</v>
      </c>
      <c r="H93" s="16">
        <v>3</v>
      </c>
      <c r="I93" s="16">
        <v>1</v>
      </c>
      <c r="J93" s="16">
        <v>8</v>
      </c>
      <c r="K93" s="16">
        <v>13</v>
      </c>
      <c r="L93" s="16">
        <v>1</v>
      </c>
      <c r="M93" s="16">
        <v>10</v>
      </c>
      <c r="N93" s="16">
        <v>3</v>
      </c>
      <c r="O93" s="16">
        <v>7</v>
      </c>
      <c r="P93" s="16">
        <v>6</v>
      </c>
      <c r="Q93" s="16">
        <v>7</v>
      </c>
      <c r="R93" s="16">
        <v>14</v>
      </c>
      <c r="S93" s="16">
        <v>16</v>
      </c>
      <c r="T93" s="16">
        <v>9</v>
      </c>
      <c r="U93" s="16">
        <v>15</v>
      </c>
      <c r="V93" s="16">
        <v>19</v>
      </c>
      <c r="W93" s="16">
        <v>1</v>
      </c>
      <c r="X93" s="16">
        <v>10</v>
      </c>
      <c r="Y93" s="16">
        <v>3</v>
      </c>
      <c r="Z93" s="16">
        <v>2</v>
      </c>
      <c r="AA93" s="16">
        <v>2</v>
      </c>
      <c r="AB93" s="16">
        <v>9</v>
      </c>
      <c r="AC93" s="16">
        <v>11</v>
      </c>
      <c r="AD93" s="16">
        <v>3</v>
      </c>
      <c r="AE93" s="16">
        <v>6</v>
      </c>
      <c r="AF93" s="13">
        <f t="shared" ref="AF93:AF102" si="99">SUM(E93:AE93)</f>
        <v>194</v>
      </c>
    </row>
    <row r="94" spans="1:32" ht="12.75" customHeight="1" x14ac:dyDescent="0.3">
      <c r="A94" s="20" t="s">
        <v>39</v>
      </c>
      <c r="B94" s="34"/>
      <c r="C94" s="29" t="s">
        <v>82</v>
      </c>
      <c r="D94" s="36"/>
      <c r="E94" s="16">
        <v>0</v>
      </c>
      <c r="F94" s="16">
        <v>1</v>
      </c>
      <c r="G94" s="16">
        <v>3</v>
      </c>
      <c r="H94" s="16">
        <v>1</v>
      </c>
      <c r="I94" s="16">
        <v>3</v>
      </c>
      <c r="J94" s="16">
        <v>0</v>
      </c>
      <c r="K94" s="16">
        <v>0</v>
      </c>
      <c r="L94" s="16">
        <v>1</v>
      </c>
      <c r="M94" s="16">
        <v>2</v>
      </c>
      <c r="N94" s="16">
        <v>2</v>
      </c>
      <c r="O94" s="16">
        <v>3</v>
      </c>
      <c r="P94" s="16">
        <v>2</v>
      </c>
      <c r="Q94" s="16">
        <v>1</v>
      </c>
      <c r="R94" s="16">
        <v>1</v>
      </c>
      <c r="S94" s="16">
        <v>1</v>
      </c>
      <c r="T94" s="16">
        <v>1</v>
      </c>
      <c r="U94" s="16">
        <v>3</v>
      </c>
      <c r="V94" s="16">
        <v>2</v>
      </c>
      <c r="W94" s="16">
        <v>3</v>
      </c>
      <c r="X94" s="16">
        <v>0</v>
      </c>
      <c r="Y94" s="16">
        <v>1</v>
      </c>
      <c r="Z94" s="16">
        <v>0</v>
      </c>
      <c r="AA94" s="16">
        <v>6</v>
      </c>
      <c r="AB94" s="16">
        <v>1</v>
      </c>
      <c r="AC94" s="16">
        <v>3</v>
      </c>
      <c r="AD94" s="16">
        <v>0</v>
      </c>
      <c r="AE94" s="16">
        <v>1</v>
      </c>
      <c r="AF94" s="13">
        <f t="shared" si="99"/>
        <v>42</v>
      </c>
    </row>
    <row r="95" spans="1:32" ht="12.75" customHeight="1" x14ac:dyDescent="0.3">
      <c r="A95" s="15"/>
      <c r="B95" s="34"/>
      <c r="C95" s="29" t="s">
        <v>83</v>
      </c>
      <c r="D95" s="36"/>
      <c r="E95" s="16">
        <v>0</v>
      </c>
      <c r="F95" s="16">
        <v>0</v>
      </c>
      <c r="G95" s="16">
        <v>0</v>
      </c>
      <c r="H95" s="16">
        <v>2</v>
      </c>
      <c r="I95" s="16">
        <v>0</v>
      </c>
      <c r="J95" s="16">
        <v>1</v>
      </c>
      <c r="K95" s="16">
        <v>0</v>
      </c>
      <c r="L95" s="16">
        <v>2</v>
      </c>
      <c r="M95" s="16">
        <v>0</v>
      </c>
      <c r="N95" s="16">
        <v>0</v>
      </c>
      <c r="O95" s="16">
        <v>0</v>
      </c>
      <c r="P95" s="16">
        <v>1</v>
      </c>
      <c r="Q95" s="16">
        <v>3</v>
      </c>
      <c r="R95" s="16">
        <v>1</v>
      </c>
      <c r="S95" s="16">
        <v>4</v>
      </c>
      <c r="T95" s="16">
        <v>0</v>
      </c>
      <c r="U95" s="16">
        <v>1</v>
      </c>
      <c r="V95" s="16">
        <v>2</v>
      </c>
      <c r="W95" s="16">
        <v>0</v>
      </c>
      <c r="X95" s="16">
        <v>1</v>
      </c>
      <c r="Y95" s="16">
        <v>0</v>
      </c>
      <c r="Z95" s="16">
        <v>1</v>
      </c>
      <c r="AA95" s="16">
        <v>1</v>
      </c>
      <c r="AB95" s="16">
        <v>1</v>
      </c>
      <c r="AC95" s="16">
        <v>1</v>
      </c>
      <c r="AD95" s="16">
        <v>1</v>
      </c>
      <c r="AE95" s="16">
        <v>1</v>
      </c>
      <c r="AF95" s="13">
        <f t="shared" si="99"/>
        <v>24</v>
      </c>
    </row>
    <row r="96" spans="1:32" ht="12.75" customHeight="1" x14ac:dyDescent="0.3">
      <c r="A96" s="15"/>
      <c r="B96" s="34"/>
      <c r="C96" s="29" t="s">
        <v>84</v>
      </c>
      <c r="D96" s="36"/>
      <c r="E96" s="16">
        <v>0</v>
      </c>
      <c r="F96" s="16">
        <v>0</v>
      </c>
      <c r="G96" s="16">
        <v>0</v>
      </c>
      <c r="H96" s="16">
        <v>1</v>
      </c>
      <c r="I96" s="16">
        <v>1</v>
      </c>
      <c r="J96" s="16">
        <v>0</v>
      </c>
      <c r="K96" s="16">
        <v>1</v>
      </c>
      <c r="L96" s="16">
        <v>2</v>
      </c>
      <c r="M96" s="16">
        <v>1</v>
      </c>
      <c r="N96" s="16">
        <v>0</v>
      </c>
      <c r="O96" s="16">
        <v>1</v>
      </c>
      <c r="P96" s="16">
        <v>0</v>
      </c>
      <c r="Q96" s="16">
        <v>1</v>
      </c>
      <c r="R96" s="16">
        <v>1</v>
      </c>
      <c r="S96" s="16">
        <v>1</v>
      </c>
      <c r="T96" s="16">
        <v>0</v>
      </c>
      <c r="U96" s="16">
        <v>0</v>
      </c>
      <c r="V96" s="16">
        <v>1</v>
      </c>
      <c r="W96" s="16">
        <v>0</v>
      </c>
      <c r="X96" s="16">
        <v>0</v>
      </c>
      <c r="Y96" s="16">
        <v>0</v>
      </c>
      <c r="Z96" s="16">
        <v>1</v>
      </c>
      <c r="AA96" s="16">
        <v>1</v>
      </c>
      <c r="AB96" s="16">
        <v>0</v>
      </c>
      <c r="AC96" s="16">
        <v>2</v>
      </c>
      <c r="AD96" s="16">
        <v>0</v>
      </c>
      <c r="AE96" s="16">
        <v>0</v>
      </c>
      <c r="AF96" s="13">
        <f t="shared" si="99"/>
        <v>15</v>
      </c>
    </row>
    <row r="97" spans="1:32" ht="12.75" customHeight="1" x14ac:dyDescent="0.3">
      <c r="A97" s="15"/>
      <c r="B97" s="34"/>
      <c r="C97" s="29" t="s">
        <v>85</v>
      </c>
      <c r="D97" s="36"/>
      <c r="E97" s="16">
        <v>1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3</v>
      </c>
      <c r="L97" s="16">
        <v>2</v>
      </c>
      <c r="M97" s="16">
        <v>2</v>
      </c>
      <c r="N97" s="16">
        <v>2</v>
      </c>
      <c r="O97" s="16">
        <v>1</v>
      </c>
      <c r="P97" s="16">
        <v>3</v>
      </c>
      <c r="Q97" s="16">
        <v>1</v>
      </c>
      <c r="R97" s="16">
        <v>5</v>
      </c>
      <c r="S97" s="16">
        <v>0</v>
      </c>
      <c r="T97" s="16">
        <v>2</v>
      </c>
      <c r="U97" s="16">
        <v>2</v>
      </c>
      <c r="V97" s="16">
        <v>0</v>
      </c>
      <c r="W97" s="16">
        <v>2</v>
      </c>
      <c r="X97" s="16">
        <v>2</v>
      </c>
      <c r="Y97" s="16">
        <v>0</v>
      </c>
      <c r="Z97" s="16">
        <v>1</v>
      </c>
      <c r="AA97" s="16">
        <v>1</v>
      </c>
      <c r="AB97" s="16">
        <v>1</v>
      </c>
      <c r="AC97" s="16">
        <v>2</v>
      </c>
      <c r="AD97" s="16">
        <v>0</v>
      </c>
      <c r="AE97" s="16">
        <v>0</v>
      </c>
      <c r="AF97" s="13">
        <f t="shared" si="99"/>
        <v>33</v>
      </c>
    </row>
    <row r="98" spans="1:32" ht="12.75" customHeight="1" x14ac:dyDescent="0.3">
      <c r="A98" s="15"/>
      <c r="B98" s="34"/>
      <c r="C98" s="29" t="s">
        <v>86</v>
      </c>
      <c r="D98" s="36"/>
      <c r="E98" s="16">
        <v>3</v>
      </c>
      <c r="F98" s="16">
        <v>4</v>
      </c>
      <c r="G98" s="16">
        <v>0</v>
      </c>
      <c r="H98" s="16">
        <v>2</v>
      </c>
      <c r="I98" s="16">
        <v>4</v>
      </c>
      <c r="J98" s="16">
        <v>1</v>
      </c>
      <c r="K98" s="16">
        <v>2</v>
      </c>
      <c r="L98" s="16">
        <v>1</v>
      </c>
      <c r="M98" s="16">
        <v>3</v>
      </c>
      <c r="N98" s="16">
        <v>0</v>
      </c>
      <c r="O98" s="16">
        <v>2</v>
      </c>
      <c r="P98" s="16">
        <v>4</v>
      </c>
      <c r="Q98" s="16">
        <v>4</v>
      </c>
      <c r="R98" s="16">
        <v>3</v>
      </c>
      <c r="S98" s="16">
        <v>7</v>
      </c>
      <c r="T98" s="16">
        <v>4</v>
      </c>
      <c r="U98" s="16">
        <v>2</v>
      </c>
      <c r="V98" s="16">
        <v>4</v>
      </c>
      <c r="W98" s="16">
        <v>0</v>
      </c>
      <c r="X98" s="16">
        <v>4</v>
      </c>
      <c r="Y98" s="16">
        <v>1</v>
      </c>
      <c r="Z98" s="16">
        <v>0</v>
      </c>
      <c r="AA98" s="16">
        <v>4</v>
      </c>
      <c r="AB98" s="16">
        <v>1</v>
      </c>
      <c r="AC98" s="16">
        <v>5</v>
      </c>
      <c r="AD98" s="16">
        <v>1</v>
      </c>
      <c r="AE98" s="16">
        <v>2</v>
      </c>
      <c r="AF98" s="13">
        <f t="shared" si="99"/>
        <v>68</v>
      </c>
    </row>
    <row r="99" spans="1:32" ht="12.75" customHeight="1" x14ac:dyDescent="0.3">
      <c r="A99" s="15"/>
      <c r="B99" s="34"/>
      <c r="C99" s="29" t="s">
        <v>87</v>
      </c>
      <c r="D99" s="36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1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2</v>
      </c>
      <c r="V99" s="16">
        <v>2</v>
      </c>
      <c r="W99" s="16">
        <v>0</v>
      </c>
      <c r="X99" s="16">
        <v>2</v>
      </c>
      <c r="Y99" s="16">
        <v>1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3">
        <f t="shared" si="99"/>
        <v>8</v>
      </c>
    </row>
    <row r="100" spans="1:32" ht="12.75" customHeight="1" x14ac:dyDescent="0.3">
      <c r="A100" s="15"/>
      <c r="B100" s="34"/>
      <c r="C100" s="29" t="s">
        <v>88</v>
      </c>
      <c r="D100" s="36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1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3">
        <f t="shared" si="99"/>
        <v>2</v>
      </c>
    </row>
    <row r="101" spans="1:32" ht="12.75" customHeight="1" x14ac:dyDescent="0.3">
      <c r="A101" s="15"/>
      <c r="B101" s="34"/>
      <c r="C101" s="29" t="s">
        <v>89</v>
      </c>
      <c r="D101" s="36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2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3">
        <f t="shared" si="99"/>
        <v>2</v>
      </c>
    </row>
    <row r="102" spans="1:32" ht="12.75" customHeight="1" x14ac:dyDescent="0.3">
      <c r="A102" s="15"/>
      <c r="B102" s="34"/>
      <c r="C102" s="29" t="s">
        <v>90</v>
      </c>
      <c r="D102" s="36"/>
      <c r="E102" s="16">
        <v>0</v>
      </c>
      <c r="F102" s="16">
        <v>0</v>
      </c>
      <c r="G102" s="16">
        <v>1</v>
      </c>
      <c r="H102" s="16">
        <v>0</v>
      </c>
      <c r="I102" s="16">
        <v>1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1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3">
        <f t="shared" si="99"/>
        <v>3</v>
      </c>
    </row>
    <row r="103" spans="1:32" ht="12.75" customHeight="1" x14ac:dyDescent="0.3">
      <c r="A103" s="16" t="s">
        <v>15</v>
      </c>
      <c r="B103" s="60" t="s">
        <v>49</v>
      </c>
      <c r="C103" s="61"/>
      <c r="D103" s="59"/>
      <c r="E103" s="13">
        <f>SUM(E93:E102)</f>
        <v>9</v>
      </c>
      <c r="F103" s="13">
        <f t="shared" ref="F103" si="100">SUM(F93:F102)</f>
        <v>12</v>
      </c>
      <c r="G103" s="13">
        <f t="shared" ref="G103" si="101">SUM(G93:G102)</f>
        <v>7</v>
      </c>
      <c r="H103" s="13">
        <f t="shared" ref="H103" si="102">SUM(H93:H102)</f>
        <v>9</v>
      </c>
      <c r="I103" s="13">
        <f t="shared" ref="I103" si="103">SUM(I93:I102)</f>
        <v>10</v>
      </c>
      <c r="J103" s="13">
        <f t="shared" ref="J103" si="104">SUM(J93:J102)</f>
        <v>10</v>
      </c>
      <c r="K103" s="13">
        <f t="shared" ref="K103" si="105">SUM(K93:K102)</f>
        <v>19</v>
      </c>
      <c r="L103" s="13">
        <f t="shared" ref="L103" si="106">SUM(L93:L102)</f>
        <v>9</v>
      </c>
      <c r="M103" s="13">
        <f t="shared" ref="M103" si="107">SUM(M93:M102)</f>
        <v>21</v>
      </c>
      <c r="N103" s="13">
        <f t="shared" ref="N103" si="108">SUM(N93:N102)</f>
        <v>7</v>
      </c>
      <c r="O103" s="13">
        <f t="shared" ref="O103" si="109">SUM(O93:O102)</f>
        <v>15</v>
      </c>
      <c r="P103" s="13">
        <f t="shared" ref="P103" si="110">SUM(P93:P102)</f>
        <v>16</v>
      </c>
      <c r="Q103" s="13">
        <f t="shared" ref="Q103" si="111">SUM(Q93:Q102)</f>
        <v>18</v>
      </c>
      <c r="R103" s="13">
        <f t="shared" ref="R103" si="112">SUM(R93:R102)</f>
        <v>25</v>
      </c>
      <c r="S103" s="13">
        <f t="shared" ref="S103" si="113">SUM(S93:S102)</f>
        <v>29</v>
      </c>
      <c r="T103" s="13">
        <f t="shared" ref="T103" si="114">SUM(T93:T102)</f>
        <v>16</v>
      </c>
      <c r="U103" s="13">
        <f t="shared" ref="U103" si="115">SUM(U93:U102)</f>
        <v>25</v>
      </c>
      <c r="V103" s="13">
        <f t="shared" ref="V103" si="116">SUM(V93:V102)</f>
        <v>31</v>
      </c>
      <c r="W103" s="13">
        <f t="shared" ref="W103" si="117">SUM(W93:W102)</f>
        <v>6</v>
      </c>
      <c r="X103" s="13">
        <f t="shared" ref="X103" si="118">SUM(X93:X102)</f>
        <v>19</v>
      </c>
      <c r="Y103" s="13">
        <f t="shared" ref="Y103" si="119">SUM(Y93:Y102)</f>
        <v>6</v>
      </c>
      <c r="Z103" s="13">
        <f t="shared" ref="Z103" si="120">SUM(Z93:Z102)</f>
        <v>5</v>
      </c>
      <c r="AA103" s="13">
        <f t="shared" ref="AA103" si="121">SUM(AA93:AA102)</f>
        <v>15</v>
      </c>
      <c r="AB103" s="13">
        <f t="shared" ref="AB103" si="122">SUM(AB93:AB102)</f>
        <v>13</v>
      </c>
      <c r="AC103" s="13">
        <f t="shared" ref="AC103" si="123">SUM(AC93:AC102)</f>
        <v>24</v>
      </c>
      <c r="AD103" s="13">
        <f t="shared" ref="AD103" si="124">SUM(AD93:AD102)</f>
        <v>5</v>
      </c>
      <c r="AE103" s="13">
        <f t="shared" ref="AE103" si="125">SUM(AE93:AE102)</f>
        <v>10</v>
      </c>
      <c r="AF103" s="13">
        <f t="shared" ref="AF103" si="126">SUM(AF93:AF102)</f>
        <v>391</v>
      </c>
    </row>
    <row r="104" spans="1:32" ht="12.75" customHeight="1" x14ac:dyDescent="0.3">
      <c r="A104" s="63"/>
      <c r="B104" s="64"/>
      <c r="C104" s="64"/>
      <c r="D104" s="64"/>
      <c r="E104" s="6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</row>
    <row r="105" spans="1:32" ht="12.75" customHeight="1" x14ac:dyDescent="0.3">
      <c r="A105" s="20" t="s">
        <v>37</v>
      </c>
      <c r="B105" s="27" t="s">
        <v>91</v>
      </c>
      <c r="C105" s="58" t="s">
        <v>92</v>
      </c>
      <c r="D105" s="59"/>
      <c r="E105" s="16">
        <v>2</v>
      </c>
      <c r="F105" s="16">
        <v>0</v>
      </c>
      <c r="G105" s="16">
        <v>0</v>
      </c>
      <c r="H105" s="16">
        <v>0</v>
      </c>
      <c r="I105" s="16">
        <v>1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2</v>
      </c>
      <c r="R105" s="16">
        <v>1</v>
      </c>
      <c r="S105" s="16">
        <v>0</v>
      </c>
      <c r="T105" s="16">
        <v>0</v>
      </c>
      <c r="U105" s="16">
        <v>1</v>
      </c>
      <c r="V105" s="16">
        <v>1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3">
        <f t="shared" ref="AF105:AF107" si="127">SUM(E105:AE105)</f>
        <v>8</v>
      </c>
    </row>
    <row r="106" spans="1:32" ht="12.75" customHeight="1" x14ac:dyDescent="0.3">
      <c r="A106" s="20" t="s">
        <v>39</v>
      </c>
      <c r="B106" s="34"/>
      <c r="C106" s="29" t="s">
        <v>93</v>
      </c>
      <c r="D106" s="36"/>
      <c r="E106" s="16">
        <v>0</v>
      </c>
      <c r="F106" s="16">
        <v>0</v>
      </c>
      <c r="G106" s="16">
        <v>0</v>
      </c>
      <c r="H106" s="16">
        <v>1</v>
      </c>
      <c r="I106" s="16">
        <v>0</v>
      </c>
      <c r="J106" s="16">
        <v>0</v>
      </c>
      <c r="K106" s="16">
        <v>0</v>
      </c>
      <c r="L106" s="16">
        <v>1</v>
      </c>
      <c r="M106" s="16">
        <v>1</v>
      </c>
      <c r="N106" s="16">
        <v>0</v>
      </c>
      <c r="O106" s="16">
        <v>1</v>
      </c>
      <c r="P106" s="16">
        <v>0</v>
      </c>
      <c r="Q106" s="16">
        <v>0</v>
      </c>
      <c r="R106" s="16">
        <v>0</v>
      </c>
      <c r="S106" s="16">
        <v>1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2</v>
      </c>
      <c r="AA106" s="16">
        <v>0</v>
      </c>
      <c r="AB106" s="16">
        <v>0</v>
      </c>
      <c r="AC106" s="16">
        <v>2</v>
      </c>
      <c r="AD106" s="16">
        <v>0</v>
      </c>
      <c r="AE106" s="16">
        <v>0</v>
      </c>
      <c r="AF106" s="13">
        <f t="shared" si="127"/>
        <v>9</v>
      </c>
    </row>
    <row r="107" spans="1:32" ht="12.75" customHeight="1" x14ac:dyDescent="0.3">
      <c r="A107" s="15"/>
      <c r="B107" s="34"/>
      <c r="C107" s="29" t="s">
        <v>94</v>
      </c>
      <c r="D107" s="36"/>
      <c r="E107" s="16">
        <v>1</v>
      </c>
      <c r="F107" s="16">
        <v>1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1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1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2</v>
      </c>
      <c r="AF107" s="13">
        <f t="shared" si="127"/>
        <v>6</v>
      </c>
    </row>
    <row r="108" spans="1:32" ht="12.75" customHeight="1" x14ac:dyDescent="0.3">
      <c r="A108" s="15"/>
      <c r="B108" s="37"/>
      <c r="C108" s="38"/>
      <c r="D108" s="39"/>
      <c r="E108" s="5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56"/>
    </row>
    <row r="109" spans="1:32" ht="12.75" customHeight="1" x14ac:dyDescent="0.3">
      <c r="A109" s="15"/>
      <c r="B109" s="37"/>
      <c r="C109" s="38"/>
      <c r="D109" s="39"/>
      <c r="E109" s="5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56"/>
    </row>
    <row r="110" spans="1:32" ht="12.75" customHeight="1" x14ac:dyDescent="0.3">
      <c r="A110" s="15"/>
      <c r="B110" s="37"/>
      <c r="C110" s="38"/>
      <c r="D110" s="39"/>
      <c r="E110" s="5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56"/>
    </row>
    <row r="111" spans="1:32" ht="12.75" customHeight="1" x14ac:dyDescent="0.3">
      <c r="A111" s="15"/>
      <c r="B111" s="37"/>
      <c r="C111" s="38"/>
      <c r="D111" s="39"/>
      <c r="E111" s="5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56"/>
    </row>
    <row r="112" spans="1:32" ht="12.75" customHeight="1" x14ac:dyDescent="0.3">
      <c r="A112" s="15"/>
      <c r="B112" s="37"/>
      <c r="C112" s="38"/>
      <c r="D112" s="39"/>
      <c r="E112" s="5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56"/>
    </row>
    <row r="113" spans="1:34" ht="12.75" customHeight="1" x14ac:dyDescent="0.3">
      <c r="A113" s="15"/>
      <c r="B113" s="37"/>
      <c r="C113" s="38"/>
      <c r="D113" s="39"/>
      <c r="E113" s="5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56"/>
    </row>
    <row r="114" spans="1:34" ht="12.75" customHeight="1" x14ac:dyDescent="0.3">
      <c r="A114" s="15"/>
      <c r="B114" s="37"/>
      <c r="C114" s="38"/>
      <c r="D114" s="39"/>
      <c r="E114" s="5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56"/>
    </row>
    <row r="115" spans="1:34" ht="12.75" customHeight="1" x14ac:dyDescent="0.3">
      <c r="A115" s="16" t="s">
        <v>15</v>
      </c>
      <c r="B115" s="60" t="s">
        <v>49</v>
      </c>
      <c r="C115" s="61"/>
      <c r="D115" s="59"/>
      <c r="E115" s="13">
        <f>SUM(E105:E114)</f>
        <v>3</v>
      </c>
      <c r="F115" s="13">
        <f t="shared" ref="F115" si="128">SUM(F105:F114)</f>
        <v>1</v>
      </c>
      <c r="G115" s="13">
        <f t="shared" ref="G115" si="129">SUM(G105:G114)</f>
        <v>0</v>
      </c>
      <c r="H115" s="13">
        <f t="shared" ref="H115" si="130">SUM(H105:H114)</f>
        <v>1</v>
      </c>
      <c r="I115" s="13">
        <f t="shared" ref="I115" si="131">SUM(I105:I114)</f>
        <v>1</v>
      </c>
      <c r="J115" s="13">
        <f t="shared" ref="J115" si="132">SUM(J105:J114)</f>
        <v>0</v>
      </c>
      <c r="K115" s="13">
        <f t="shared" ref="K115" si="133">SUM(K105:K114)</f>
        <v>0</v>
      </c>
      <c r="L115" s="13">
        <f t="shared" ref="L115" si="134">SUM(L105:L114)</f>
        <v>1</v>
      </c>
      <c r="M115" s="13">
        <f t="shared" ref="M115" si="135">SUM(M105:M114)</f>
        <v>1</v>
      </c>
      <c r="N115" s="13">
        <f t="shared" ref="N115" si="136">SUM(N105:N114)</f>
        <v>0</v>
      </c>
      <c r="O115" s="13">
        <f t="shared" ref="O115" si="137">SUM(O105:O114)</f>
        <v>1</v>
      </c>
      <c r="P115" s="13">
        <f t="shared" ref="P115" si="138">SUM(P105:P114)</f>
        <v>1</v>
      </c>
      <c r="Q115" s="13">
        <f t="shared" ref="Q115" si="139">SUM(Q105:Q114)</f>
        <v>2</v>
      </c>
      <c r="R115" s="13">
        <f t="shared" ref="R115" si="140">SUM(R105:R114)</f>
        <v>1</v>
      </c>
      <c r="S115" s="13">
        <f t="shared" ref="S115" si="141">SUM(S105:S114)</f>
        <v>1</v>
      </c>
      <c r="T115" s="13">
        <f t="shared" ref="T115" si="142">SUM(T105:T114)</f>
        <v>0</v>
      </c>
      <c r="U115" s="13">
        <f t="shared" ref="U115" si="143">SUM(U105:U114)</f>
        <v>1</v>
      </c>
      <c r="V115" s="13">
        <f t="shared" ref="V115" si="144">SUM(V105:V114)</f>
        <v>2</v>
      </c>
      <c r="W115" s="13">
        <f t="shared" ref="W115" si="145">SUM(W105:W114)</f>
        <v>0</v>
      </c>
      <c r="X115" s="13">
        <f t="shared" ref="X115" si="146">SUM(X105:X114)</f>
        <v>0</v>
      </c>
      <c r="Y115" s="13">
        <f t="shared" ref="Y115" si="147">SUM(Y105:Y114)</f>
        <v>0</v>
      </c>
      <c r="Z115" s="13">
        <f t="shared" ref="Z115" si="148">SUM(Z105:Z114)</f>
        <v>2</v>
      </c>
      <c r="AA115" s="13">
        <f t="shared" ref="AA115" si="149">SUM(AA105:AA114)</f>
        <v>0</v>
      </c>
      <c r="AB115" s="13">
        <f t="shared" ref="AB115" si="150">SUM(AB105:AB114)</f>
        <v>0</v>
      </c>
      <c r="AC115" s="13">
        <f t="shared" ref="AC115" si="151">SUM(AC105:AC114)</f>
        <v>2</v>
      </c>
      <c r="AD115" s="13">
        <f t="shared" ref="AD115" si="152">SUM(AD105:AD114)</f>
        <v>0</v>
      </c>
      <c r="AE115" s="13">
        <f t="shared" ref="AE115" si="153">SUM(AE105:AE114)</f>
        <v>2</v>
      </c>
      <c r="AF115" s="13">
        <f t="shared" ref="AF115" si="154">SUM(AF105:AF114)</f>
        <v>23</v>
      </c>
    </row>
    <row r="116" spans="1:34" ht="12.75" customHeight="1" x14ac:dyDescent="0.3">
      <c r="A116" s="62"/>
      <c r="B116" s="61"/>
      <c r="C116" s="61"/>
      <c r="D116" s="61"/>
      <c r="E116" s="59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AF116" s="13"/>
    </row>
    <row r="117" spans="1:34" ht="12.75" customHeight="1" x14ac:dyDescent="0.3">
      <c r="A117" s="20" t="s">
        <v>37</v>
      </c>
      <c r="B117" s="27" t="s">
        <v>95</v>
      </c>
      <c r="C117" s="58" t="s">
        <v>96</v>
      </c>
      <c r="D117" s="59"/>
      <c r="E117" s="16">
        <v>0</v>
      </c>
      <c r="F117" s="16">
        <v>0</v>
      </c>
      <c r="G117" s="16">
        <v>2</v>
      </c>
      <c r="H117" s="16">
        <v>1</v>
      </c>
      <c r="I117" s="16">
        <v>1</v>
      </c>
      <c r="J117" s="16">
        <v>1</v>
      </c>
      <c r="K117" s="16">
        <v>0</v>
      </c>
      <c r="L117" s="16">
        <v>0</v>
      </c>
      <c r="M117" s="16">
        <v>1</v>
      </c>
      <c r="N117" s="16">
        <v>1</v>
      </c>
      <c r="O117" s="16">
        <v>0</v>
      </c>
      <c r="P117" s="16">
        <v>1</v>
      </c>
      <c r="Q117" s="16">
        <v>3</v>
      </c>
      <c r="R117" s="16">
        <v>3</v>
      </c>
      <c r="S117" s="16">
        <v>0</v>
      </c>
      <c r="T117" s="16">
        <v>1</v>
      </c>
      <c r="U117" s="16">
        <v>1</v>
      </c>
      <c r="V117" s="16">
        <v>0</v>
      </c>
      <c r="W117" s="16">
        <v>0</v>
      </c>
      <c r="X117" s="16">
        <v>0</v>
      </c>
      <c r="Y117" s="16">
        <v>1</v>
      </c>
      <c r="Z117" s="16">
        <v>1</v>
      </c>
      <c r="AA117" s="16">
        <v>2</v>
      </c>
      <c r="AB117" s="16">
        <v>1</v>
      </c>
      <c r="AC117" s="16">
        <v>1</v>
      </c>
      <c r="AD117" s="16">
        <v>1</v>
      </c>
      <c r="AE117" s="16">
        <v>0</v>
      </c>
      <c r="AF117" s="13">
        <f t="shared" ref="AF117:AF122" si="155">SUM(E117:AE117)</f>
        <v>23</v>
      </c>
      <c r="AG117" s="5"/>
      <c r="AH117" s="5"/>
    </row>
    <row r="118" spans="1:34" ht="12.75" customHeight="1" x14ac:dyDescent="0.3">
      <c r="A118" s="20" t="s">
        <v>39</v>
      </c>
      <c r="B118" s="34"/>
      <c r="C118" s="29" t="s">
        <v>97</v>
      </c>
      <c r="D118" s="36"/>
      <c r="E118" s="16">
        <v>1</v>
      </c>
      <c r="F118" s="16">
        <v>0</v>
      </c>
      <c r="G118" s="16">
        <v>0</v>
      </c>
      <c r="H118" s="16">
        <v>1</v>
      </c>
      <c r="I118" s="16">
        <v>0</v>
      </c>
      <c r="J118" s="16">
        <v>0</v>
      </c>
      <c r="K118" s="16">
        <v>1</v>
      </c>
      <c r="L118" s="16">
        <v>0</v>
      </c>
      <c r="M118" s="16">
        <v>0</v>
      </c>
      <c r="N118" s="16">
        <v>1</v>
      </c>
      <c r="O118" s="16">
        <v>0</v>
      </c>
      <c r="P118" s="16">
        <v>0</v>
      </c>
      <c r="Q118" s="16">
        <v>1</v>
      </c>
      <c r="R118" s="16">
        <v>1</v>
      </c>
      <c r="S118" s="16">
        <v>0</v>
      </c>
      <c r="T118" s="16">
        <v>0</v>
      </c>
      <c r="U118" s="16">
        <v>1</v>
      </c>
      <c r="V118" s="16">
        <v>0</v>
      </c>
      <c r="W118" s="16">
        <v>1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1</v>
      </c>
      <c r="AD118" s="16">
        <v>1</v>
      </c>
      <c r="AE118" s="16">
        <v>0</v>
      </c>
      <c r="AF118" s="13">
        <f t="shared" si="155"/>
        <v>10</v>
      </c>
      <c r="AG118" s="5"/>
      <c r="AH118" s="5"/>
    </row>
    <row r="119" spans="1:34" ht="12.75" customHeight="1" x14ac:dyDescent="0.3">
      <c r="A119" s="15"/>
      <c r="B119" s="34"/>
      <c r="C119" s="29" t="s">
        <v>98</v>
      </c>
      <c r="D119" s="36"/>
      <c r="E119" s="16">
        <v>1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1</v>
      </c>
      <c r="N119" s="16">
        <v>0</v>
      </c>
      <c r="O119" s="16">
        <v>0</v>
      </c>
      <c r="P119" s="16">
        <v>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1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3">
        <f t="shared" si="155"/>
        <v>4</v>
      </c>
      <c r="AG119" s="5"/>
      <c r="AH119" s="5"/>
    </row>
    <row r="120" spans="1:34" ht="12.75" customHeight="1" x14ac:dyDescent="0.3">
      <c r="A120" s="15"/>
      <c r="B120" s="34"/>
      <c r="C120" s="29" t="s">
        <v>99</v>
      </c>
      <c r="D120" s="36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1</v>
      </c>
      <c r="U120" s="16">
        <v>1</v>
      </c>
      <c r="V120" s="16">
        <v>0</v>
      </c>
      <c r="W120" s="16">
        <v>1</v>
      </c>
      <c r="X120" s="16">
        <v>1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3">
        <f t="shared" si="155"/>
        <v>4</v>
      </c>
      <c r="AG120" s="5"/>
      <c r="AH120" s="5"/>
    </row>
    <row r="121" spans="1:34" ht="12.75" customHeight="1" x14ac:dyDescent="0.3">
      <c r="A121" s="15"/>
      <c r="B121" s="34"/>
      <c r="C121" s="29" t="s">
        <v>100</v>
      </c>
      <c r="D121" s="36"/>
      <c r="E121" s="16">
        <v>0</v>
      </c>
      <c r="F121" s="16">
        <v>0</v>
      </c>
      <c r="G121" s="16">
        <v>0</v>
      </c>
      <c r="H121" s="16">
        <v>0</v>
      </c>
      <c r="I121" s="16">
        <v>1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3">
        <f t="shared" si="155"/>
        <v>1</v>
      </c>
      <c r="AG121" s="5"/>
      <c r="AH121" s="5"/>
    </row>
    <row r="122" spans="1:34" ht="12.75" customHeight="1" x14ac:dyDescent="0.3">
      <c r="A122" s="15"/>
      <c r="B122" s="34"/>
      <c r="C122" s="29" t="s">
        <v>101</v>
      </c>
      <c r="D122" s="36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1</v>
      </c>
      <c r="AF122" s="13">
        <f t="shared" si="155"/>
        <v>1</v>
      </c>
      <c r="AG122" s="5"/>
      <c r="AH122" s="5"/>
    </row>
    <row r="123" spans="1:34" ht="12.75" customHeight="1" x14ac:dyDescent="0.3">
      <c r="A123" s="15"/>
      <c r="B123" s="37"/>
      <c r="C123" s="38"/>
      <c r="D123" s="39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56"/>
      <c r="AG123" s="5"/>
      <c r="AH123" s="5"/>
    </row>
    <row r="124" spans="1:34" ht="12.75" customHeight="1" x14ac:dyDescent="0.3">
      <c r="A124" s="15"/>
      <c r="B124" s="37"/>
      <c r="C124" s="38"/>
      <c r="D124" s="39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56"/>
      <c r="AG124" s="5"/>
      <c r="AH124" s="5"/>
    </row>
    <row r="125" spans="1:34" ht="12.75" customHeight="1" x14ac:dyDescent="0.3">
      <c r="A125" s="15"/>
      <c r="B125" s="37"/>
      <c r="C125" s="38"/>
      <c r="D125" s="39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56"/>
      <c r="AG125" s="5"/>
      <c r="AH125" s="5"/>
    </row>
    <row r="126" spans="1:34" ht="12.75" customHeight="1" x14ac:dyDescent="0.3">
      <c r="A126" s="15"/>
      <c r="B126" s="37"/>
      <c r="C126" s="38"/>
      <c r="D126" s="39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56"/>
      <c r="AG126" s="5"/>
      <c r="AH126" s="5"/>
    </row>
    <row r="127" spans="1:34" ht="12.75" customHeight="1" x14ac:dyDescent="0.3">
      <c r="A127" s="16" t="s">
        <v>15</v>
      </c>
      <c r="B127" s="60" t="s">
        <v>49</v>
      </c>
      <c r="C127" s="61"/>
      <c r="D127" s="59"/>
      <c r="E127" s="13">
        <f>SUM(E117:E126)</f>
        <v>2</v>
      </c>
      <c r="F127" s="13">
        <f t="shared" ref="F127" si="156">SUM(F117:F126)</f>
        <v>0</v>
      </c>
      <c r="G127" s="13">
        <f t="shared" ref="G127" si="157">SUM(G117:G126)</f>
        <v>2</v>
      </c>
      <c r="H127" s="13">
        <f t="shared" ref="H127" si="158">SUM(H117:H126)</f>
        <v>2</v>
      </c>
      <c r="I127" s="13">
        <f t="shared" ref="I127" si="159">SUM(I117:I126)</f>
        <v>2</v>
      </c>
      <c r="J127" s="13">
        <f t="shared" ref="J127" si="160">SUM(J117:J126)</f>
        <v>1</v>
      </c>
      <c r="K127" s="13">
        <f t="shared" ref="K127" si="161">SUM(K117:K126)</f>
        <v>1</v>
      </c>
      <c r="L127" s="13">
        <f t="shared" ref="L127" si="162">SUM(L117:L126)</f>
        <v>0</v>
      </c>
      <c r="M127" s="13">
        <f t="shared" ref="M127" si="163">SUM(M117:M126)</f>
        <v>2</v>
      </c>
      <c r="N127" s="13">
        <f t="shared" ref="N127" si="164">SUM(N117:N126)</f>
        <v>2</v>
      </c>
      <c r="O127" s="13">
        <f t="shared" ref="O127" si="165">SUM(O117:O126)</f>
        <v>0</v>
      </c>
      <c r="P127" s="13">
        <f t="shared" ref="P127" si="166">SUM(P117:P126)</f>
        <v>2</v>
      </c>
      <c r="Q127" s="13">
        <f t="shared" ref="Q127" si="167">SUM(Q117:Q126)</f>
        <v>4</v>
      </c>
      <c r="R127" s="13">
        <f t="shared" ref="R127" si="168">SUM(R117:R126)</f>
        <v>4</v>
      </c>
      <c r="S127" s="13">
        <f t="shared" ref="S127" si="169">SUM(S117:S126)</f>
        <v>0</v>
      </c>
      <c r="T127" s="13">
        <f t="shared" ref="T127" si="170">SUM(T117:T126)</f>
        <v>2</v>
      </c>
      <c r="U127" s="13">
        <f t="shared" ref="U127" si="171">SUM(U117:U126)</f>
        <v>3</v>
      </c>
      <c r="V127" s="13">
        <f t="shared" ref="V127" si="172">SUM(V117:V126)</f>
        <v>1</v>
      </c>
      <c r="W127" s="13">
        <f t="shared" ref="W127" si="173">SUM(W117:W126)</f>
        <v>2</v>
      </c>
      <c r="X127" s="13">
        <f t="shared" ref="X127" si="174">SUM(X117:X126)</f>
        <v>1</v>
      </c>
      <c r="Y127" s="13">
        <f t="shared" ref="Y127" si="175">SUM(Y117:Y126)</f>
        <v>1</v>
      </c>
      <c r="Z127" s="13">
        <f t="shared" ref="Z127" si="176">SUM(Z117:Z126)</f>
        <v>1</v>
      </c>
      <c r="AA127" s="13">
        <f t="shared" ref="AA127" si="177">SUM(AA117:AA126)</f>
        <v>2</v>
      </c>
      <c r="AB127" s="13">
        <f t="shared" ref="AB127" si="178">SUM(AB117:AB126)</f>
        <v>1</v>
      </c>
      <c r="AC127" s="13">
        <f t="shared" ref="AC127" si="179">SUM(AC117:AC126)</f>
        <v>2</v>
      </c>
      <c r="AD127" s="13">
        <f t="shared" ref="AD127" si="180">SUM(AD117:AD126)</f>
        <v>2</v>
      </c>
      <c r="AE127" s="13">
        <f t="shared" ref="AE127" si="181">SUM(AE117:AE126)</f>
        <v>1</v>
      </c>
      <c r="AF127" s="13">
        <f t="shared" ref="AF127" si="182">SUM(AF117:AF126)</f>
        <v>43</v>
      </c>
      <c r="AG127" s="5"/>
      <c r="AH127" s="5"/>
    </row>
    <row r="128" spans="1:34" ht="12.75" customHeight="1" x14ac:dyDescent="0.3">
      <c r="A128" s="62"/>
      <c r="B128" s="61"/>
      <c r="C128" s="61"/>
      <c r="D128" s="61"/>
      <c r="E128" s="59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"/>
      <c r="AH128" s="5"/>
    </row>
    <row r="129" spans="1:34" ht="12.75" customHeight="1" x14ac:dyDescent="0.3">
      <c r="A129" s="20" t="s">
        <v>37</v>
      </c>
      <c r="B129" s="27" t="s">
        <v>102</v>
      </c>
      <c r="C129" s="58" t="s">
        <v>103</v>
      </c>
      <c r="D129" s="59"/>
      <c r="E129" s="16">
        <v>0</v>
      </c>
      <c r="F129" s="16">
        <v>0</v>
      </c>
      <c r="G129" s="16">
        <v>0</v>
      </c>
      <c r="H129" s="16">
        <v>1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1</v>
      </c>
      <c r="Q129" s="16">
        <v>0</v>
      </c>
      <c r="R129" s="16">
        <v>0</v>
      </c>
      <c r="S129" s="16">
        <v>4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1</v>
      </c>
      <c r="AA129" s="16">
        <v>2</v>
      </c>
      <c r="AB129" s="16">
        <v>0</v>
      </c>
      <c r="AC129" s="16">
        <v>0</v>
      </c>
      <c r="AD129" s="16">
        <v>2</v>
      </c>
      <c r="AE129" s="16">
        <v>0</v>
      </c>
      <c r="AF129" s="13">
        <f t="shared" ref="AF129:AF138" si="183">SUM(E129:AE129)</f>
        <v>11</v>
      </c>
      <c r="AG129" s="5"/>
      <c r="AH129" s="5"/>
    </row>
    <row r="130" spans="1:34" ht="12.75" customHeight="1" x14ac:dyDescent="0.3">
      <c r="A130" s="20" t="s">
        <v>39</v>
      </c>
      <c r="B130" s="34"/>
      <c r="C130" s="29" t="s">
        <v>104</v>
      </c>
      <c r="D130" s="35"/>
      <c r="E130" s="16">
        <v>0</v>
      </c>
      <c r="F130" s="16">
        <v>0</v>
      </c>
      <c r="G130" s="16">
        <v>0</v>
      </c>
      <c r="H130" s="16">
        <v>4</v>
      </c>
      <c r="I130" s="16">
        <v>0</v>
      </c>
      <c r="J130" s="16">
        <v>0</v>
      </c>
      <c r="K130" s="16">
        <v>0</v>
      </c>
      <c r="L130" s="16">
        <v>1</v>
      </c>
      <c r="M130" s="16">
        <v>0</v>
      </c>
      <c r="N130" s="16">
        <v>1</v>
      </c>
      <c r="O130" s="16">
        <v>0</v>
      </c>
      <c r="P130" s="16">
        <v>0</v>
      </c>
      <c r="Q130" s="16">
        <v>0</v>
      </c>
      <c r="R130" s="16">
        <v>1</v>
      </c>
      <c r="S130" s="16">
        <v>0</v>
      </c>
      <c r="T130" s="16">
        <v>0</v>
      </c>
      <c r="U130" s="16">
        <v>0</v>
      </c>
      <c r="V130" s="16">
        <v>1</v>
      </c>
      <c r="W130" s="16">
        <v>0</v>
      </c>
      <c r="X130" s="16">
        <v>0</v>
      </c>
      <c r="Y130" s="16">
        <v>0</v>
      </c>
      <c r="Z130" s="16">
        <v>1</v>
      </c>
      <c r="AA130" s="16">
        <v>5</v>
      </c>
      <c r="AB130" s="16">
        <v>1</v>
      </c>
      <c r="AC130" s="16">
        <v>6</v>
      </c>
      <c r="AD130" s="16">
        <v>6</v>
      </c>
      <c r="AE130" s="16">
        <v>9</v>
      </c>
      <c r="AF130" s="13">
        <f t="shared" si="183"/>
        <v>36</v>
      </c>
      <c r="AG130" s="1"/>
      <c r="AH130" s="1"/>
    </row>
    <row r="131" spans="1:34" ht="12.75" customHeight="1" x14ac:dyDescent="0.3">
      <c r="A131" s="15"/>
      <c r="B131" s="34"/>
      <c r="C131" s="29" t="s">
        <v>105</v>
      </c>
      <c r="D131" s="35"/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1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3">
        <f t="shared" si="183"/>
        <v>1</v>
      </c>
      <c r="AG131" s="31"/>
      <c r="AH131" s="31"/>
    </row>
    <row r="132" spans="1:34" ht="12.75" customHeight="1" x14ac:dyDescent="0.3">
      <c r="A132" s="15"/>
      <c r="B132" s="34"/>
      <c r="C132" s="29" t="s">
        <v>106</v>
      </c>
      <c r="D132" s="35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1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3">
        <f t="shared" si="183"/>
        <v>1</v>
      </c>
      <c r="AG132" s="5"/>
      <c r="AH132" s="5"/>
    </row>
    <row r="133" spans="1:34" ht="12.75" customHeight="1" x14ac:dyDescent="0.3">
      <c r="A133" s="15"/>
      <c r="B133" s="34"/>
      <c r="C133" s="29" t="s">
        <v>107</v>
      </c>
      <c r="D133" s="3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1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3">
        <f t="shared" si="183"/>
        <v>1</v>
      </c>
      <c r="AG133" s="5"/>
      <c r="AH133" s="5"/>
    </row>
    <row r="134" spans="1:34" ht="12.75" customHeight="1" x14ac:dyDescent="0.3">
      <c r="A134" s="15"/>
      <c r="B134" s="34"/>
      <c r="C134" s="29" t="s">
        <v>108</v>
      </c>
      <c r="D134" s="35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1</v>
      </c>
      <c r="K134" s="16">
        <v>0</v>
      </c>
      <c r="L134" s="16">
        <v>0</v>
      </c>
      <c r="M134" s="16">
        <v>1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1</v>
      </c>
      <c r="AB134" s="16">
        <v>0</v>
      </c>
      <c r="AC134" s="16">
        <v>0</v>
      </c>
      <c r="AD134" s="16">
        <v>0</v>
      </c>
      <c r="AE134" s="16">
        <v>0</v>
      </c>
      <c r="AF134" s="13">
        <f t="shared" si="183"/>
        <v>3</v>
      </c>
      <c r="AG134" s="5"/>
      <c r="AH134" s="5"/>
    </row>
    <row r="135" spans="1:34" ht="12.75" customHeight="1" x14ac:dyDescent="0.3">
      <c r="A135" s="15"/>
      <c r="B135" s="34"/>
      <c r="C135" s="29" t="s">
        <v>109</v>
      </c>
      <c r="D135" s="36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3">
        <f t="shared" si="183"/>
        <v>0</v>
      </c>
      <c r="AG135" s="5"/>
      <c r="AH135" s="5"/>
    </row>
    <row r="136" spans="1:34" ht="12.75" customHeight="1" x14ac:dyDescent="0.3">
      <c r="A136" s="15"/>
      <c r="B136" s="34"/>
      <c r="C136" s="29" t="s">
        <v>110</v>
      </c>
      <c r="D136" s="35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1</v>
      </c>
      <c r="K136" s="16">
        <v>0</v>
      </c>
      <c r="L136" s="16">
        <v>0</v>
      </c>
      <c r="M136" s="16">
        <v>0</v>
      </c>
      <c r="N136" s="16">
        <v>2</v>
      </c>
      <c r="O136" s="16">
        <v>0</v>
      </c>
      <c r="P136" s="16">
        <v>0</v>
      </c>
      <c r="Q136" s="16">
        <v>0</v>
      </c>
      <c r="R136" s="16">
        <v>1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3">
        <f t="shared" si="183"/>
        <v>4</v>
      </c>
      <c r="AG136" s="5"/>
      <c r="AH136" s="5"/>
    </row>
    <row r="137" spans="1:34" ht="12.75" customHeight="1" x14ac:dyDescent="0.3">
      <c r="A137" s="15"/>
      <c r="B137" s="34"/>
      <c r="C137" s="29" t="s">
        <v>111</v>
      </c>
      <c r="D137" s="35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3">
        <f t="shared" si="183"/>
        <v>0</v>
      </c>
      <c r="AG137" s="5"/>
      <c r="AH137" s="5"/>
    </row>
    <row r="138" spans="1:34" ht="12.75" customHeight="1" x14ac:dyDescent="0.3">
      <c r="A138" s="15"/>
      <c r="B138" s="34"/>
      <c r="C138" s="29" t="s">
        <v>112</v>
      </c>
      <c r="D138" s="35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1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3">
        <f t="shared" si="183"/>
        <v>1</v>
      </c>
      <c r="AG138" s="5"/>
      <c r="AH138" s="5"/>
    </row>
    <row r="139" spans="1:34" ht="12.75" customHeight="1" x14ac:dyDescent="0.3">
      <c r="A139" s="16" t="s">
        <v>15</v>
      </c>
      <c r="B139" s="60" t="s">
        <v>49</v>
      </c>
      <c r="C139" s="61"/>
      <c r="D139" s="59"/>
      <c r="E139" s="13">
        <f>SUM(E129:E138)</f>
        <v>0</v>
      </c>
      <c r="F139" s="13">
        <f t="shared" ref="F139" si="184">SUM(F129:F138)</f>
        <v>0</v>
      </c>
      <c r="G139" s="13">
        <f t="shared" ref="G139" si="185">SUM(G129:G138)</f>
        <v>0</v>
      </c>
      <c r="H139" s="13">
        <f t="shared" ref="H139" si="186">SUM(H129:H138)</f>
        <v>5</v>
      </c>
      <c r="I139" s="13">
        <f t="shared" ref="I139" si="187">SUM(I129:I138)</f>
        <v>0</v>
      </c>
      <c r="J139" s="13">
        <f t="shared" ref="J139" si="188">SUM(J129:J138)</f>
        <v>2</v>
      </c>
      <c r="K139" s="13">
        <f t="shared" ref="K139" si="189">SUM(K129:K138)</f>
        <v>0</v>
      </c>
      <c r="L139" s="13">
        <f t="shared" ref="L139" si="190">SUM(L129:L138)</f>
        <v>2</v>
      </c>
      <c r="M139" s="13">
        <f t="shared" ref="M139" si="191">SUM(M129:M138)</f>
        <v>2</v>
      </c>
      <c r="N139" s="13">
        <f t="shared" ref="N139" si="192">SUM(N129:N138)</f>
        <v>3</v>
      </c>
      <c r="O139" s="13">
        <f t="shared" ref="O139" si="193">SUM(O129:O138)</f>
        <v>0</v>
      </c>
      <c r="P139" s="13">
        <f t="shared" ref="P139" si="194">SUM(P129:P138)</f>
        <v>1</v>
      </c>
      <c r="Q139" s="13">
        <f t="shared" ref="Q139" si="195">SUM(Q129:Q138)</f>
        <v>0</v>
      </c>
      <c r="R139" s="13">
        <f t="shared" ref="R139" si="196">SUM(R129:R138)</f>
        <v>2</v>
      </c>
      <c r="S139" s="13">
        <f t="shared" ref="S139" si="197">SUM(S129:S138)</f>
        <v>4</v>
      </c>
      <c r="T139" s="13">
        <f t="shared" ref="T139" si="198">SUM(T129:T138)</f>
        <v>2</v>
      </c>
      <c r="U139" s="13">
        <f t="shared" ref="U139" si="199">SUM(U129:U138)</f>
        <v>0</v>
      </c>
      <c r="V139" s="13">
        <f t="shared" ref="V139" si="200">SUM(V129:V138)</f>
        <v>1</v>
      </c>
      <c r="W139" s="13">
        <f t="shared" ref="W139" si="201">SUM(W129:W138)</f>
        <v>0</v>
      </c>
      <c r="X139" s="13">
        <f t="shared" ref="X139" si="202">SUM(X129:X138)</f>
        <v>0</v>
      </c>
      <c r="Y139" s="13">
        <f t="shared" ref="Y139" si="203">SUM(Y129:Y138)</f>
        <v>0</v>
      </c>
      <c r="Z139" s="13">
        <f t="shared" ref="Z139" si="204">SUM(Z129:Z138)</f>
        <v>2</v>
      </c>
      <c r="AA139" s="13">
        <f t="shared" ref="AA139" si="205">SUM(AA129:AA138)</f>
        <v>8</v>
      </c>
      <c r="AB139" s="13">
        <f t="shared" ref="AB139" si="206">SUM(AB129:AB138)</f>
        <v>1</v>
      </c>
      <c r="AC139" s="13">
        <f t="shared" ref="AC139" si="207">SUM(AC129:AC138)</f>
        <v>6</v>
      </c>
      <c r="AD139" s="13">
        <f t="shared" ref="AD139" si="208">SUM(AD129:AD138)</f>
        <v>8</v>
      </c>
      <c r="AE139" s="13">
        <f t="shared" ref="AE139" si="209">SUM(AE129:AE138)</f>
        <v>9</v>
      </c>
      <c r="AF139" s="13">
        <f t="shared" ref="AF139" si="210">SUM(AF129:AF138)</f>
        <v>58</v>
      </c>
      <c r="AG139" s="5"/>
      <c r="AH139" s="5"/>
    </row>
    <row r="140" spans="1:34" ht="12.75" customHeight="1" x14ac:dyDescent="0.3">
      <c r="A140" s="62"/>
      <c r="B140" s="61"/>
      <c r="C140" s="61"/>
      <c r="D140" s="61"/>
      <c r="E140" s="59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"/>
      <c r="AH140" s="5"/>
    </row>
    <row r="141" spans="1:34" ht="12.75" customHeight="1" x14ac:dyDescent="0.3">
      <c r="A141" s="20" t="s">
        <v>37</v>
      </c>
      <c r="B141" s="27" t="s">
        <v>113</v>
      </c>
      <c r="C141" s="58" t="s">
        <v>114</v>
      </c>
      <c r="D141" s="59"/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3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1</v>
      </c>
      <c r="AB141" s="16">
        <v>0</v>
      </c>
      <c r="AC141" s="16">
        <v>0</v>
      </c>
      <c r="AD141" s="16">
        <v>0</v>
      </c>
      <c r="AE141" s="16">
        <v>0</v>
      </c>
      <c r="AF141" s="13">
        <f t="shared" ref="AF141:AF144" si="211">SUM(E141:AE141)</f>
        <v>4</v>
      </c>
      <c r="AG141" s="1"/>
      <c r="AH141" s="1"/>
    </row>
    <row r="142" spans="1:34" ht="12.75" customHeight="1" x14ac:dyDescent="0.3">
      <c r="A142" s="20" t="s">
        <v>39</v>
      </c>
      <c r="B142" s="34"/>
      <c r="C142" s="29" t="s">
        <v>115</v>
      </c>
      <c r="D142" s="36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1</v>
      </c>
      <c r="AF142" s="13">
        <f t="shared" si="211"/>
        <v>1</v>
      </c>
      <c r="AG142" s="31"/>
      <c r="AH142" s="31"/>
    </row>
    <row r="143" spans="1:34" ht="12.75" customHeight="1" x14ac:dyDescent="0.3">
      <c r="A143" s="15"/>
      <c r="B143" s="34"/>
      <c r="C143" s="29" t="s">
        <v>116</v>
      </c>
      <c r="D143" s="36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3">
        <f t="shared" si="211"/>
        <v>0</v>
      </c>
      <c r="AG143" s="5"/>
      <c r="AH143" s="5"/>
    </row>
    <row r="144" spans="1:34" ht="12.75" customHeight="1" x14ac:dyDescent="0.3">
      <c r="A144" s="15"/>
      <c r="B144" s="34"/>
      <c r="C144" s="29" t="s">
        <v>117</v>
      </c>
      <c r="D144" s="36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3">
        <f t="shared" si="211"/>
        <v>0</v>
      </c>
      <c r="AG144" s="5"/>
      <c r="AH144" s="5"/>
    </row>
    <row r="145" spans="1:34" ht="12.75" customHeight="1" x14ac:dyDescent="0.3">
      <c r="A145" s="15"/>
      <c r="B145" s="37"/>
      <c r="C145" s="38"/>
      <c r="D145" s="3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56"/>
      <c r="AG145" s="5"/>
      <c r="AH145" s="5"/>
    </row>
    <row r="146" spans="1:34" ht="12.75" customHeight="1" x14ac:dyDescent="0.3">
      <c r="A146" s="15"/>
      <c r="B146" s="37"/>
      <c r="C146" s="38"/>
      <c r="D146" s="3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56"/>
      <c r="AG146" s="5"/>
      <c r="AH146" s="5"/>
    </row>
    <row r="147" spans="1:34" ht="12.75" customHeight="1" x14ac:dyDescent="0.3">
      <c r="A147" s="15"/>
      <c r="B147" s="37"/>
      <c r="C147" s="38"/>
      <c r="D147" s="3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56"/>
      <c r="AG147" s="5"/>
      <c r="AH147" s="5"/>
    </row>
    <row r="148" spans="1:34" ht="12.75" customHeight="1" x14ac:dyDescent="0.3">
      <c r="A148" s="15"/>
      <c r="B148" s="37"/>
      <c r="C148" s="38"/>
      <c r="D148" s="3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56"/>
      <c r="AG148" s="5"/>
      <c r="AH148" s="5"/>
    </row>
    <row r="149" spans="1:34" ht="12.75" customHeight="1" x14ac:dyDescent="0.3">
      <c r="A149" s="15"/>
      <c r="B149" s="37"/>
      <c r="C149" s="38"/>
      <c r="D149" s="3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56"/>
      <c r="AG149" s="5"/>
      <c r="AH149" s="5"/>
    </row>
    <row r="150" spans="1:34" ht="12.75" customHeight="1" x14ac:dyDescent="0.3">
      <c r="A150" s="15"/>
      <c r="B150" s="37"/>
      <c r="C150" s="38"/>
      <c r="D150" s="3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56"/>
      <c r="AG150" s="5"/>
      <c r="AH150" s="5"/>
    </row>
    <row r="151" spans="1:34" ht="12.75" customHeight="1" x14ac:dyDescent="0.3">
      <c r="A151" s="16" t="s">
        <v>15</v>
      </c>
      <c r="B151" s="60" t="s">
        <v>49</v>
      </c>
      <c r="C151" s="61"/>
      <c r="D151" s="59"/>
      <c r="E151" s="13">
        <f>SUM(E141:E150)</f>
        <v>0</v>
      </c>
      <c r="F151" s="13">
        <f t="shared" ref="F151" si="212">SUM(F141:F150)</f>
        <v>0</v>
      </c>
      <c r="G151" s="13">
        <f t="shared" ref="G151" si="213">SUM(G141:G150)</f>
        <v>0</v>
      </c>
      <c r="H151" s="13">
        <f t="shared" ref="H151" si="214">SUM(H141:H150)</f>
        <v>0</v>
      </c>
      <c r="I151" s="13">
        <f t="shared" ref="I151" si="215">SUM(I141:I150)</f>
        <v>0</v>
      </c>
      <c r="J151" s="13">
        <f t="shared" ref="J151" si="216">SUM(J141:J150)</f>
        <v>0</v>
      </c>
      <c r="K151" s="13">
        <f t="shared" ref="K151" si="217">SUM(K141:K150)</f>
        <v>0</v>
      </c>
      <c r="L151" s="13">
        <f t="shared" ref="L151" si="218">SUM(L141:L150)</f>
        <v>0</v>
      </c>
      <c r="M151" s="13">
        <f t="shared" ref="M151" si="219">SUM(M141:M150)</f>
        <v>0</v>
      </c>
      <c r="N151" s="13">
        <f t="shared" ref="N151" si="220">SUM(N141:N150)</f>
        <v>0</v>
      </c>
      <c r="O151" s="13">
        <f t="shared" ref="O151" si="221">SUM(O141:O150)</f>
        <v>0</v>
      </c>
      <c r="P151" s="13">
        <f t="shared" ref="P151" si="222">SUM(P141:P150)</f>
        <v>3</v>
      </c>
      <c r="Q151" s="13">
        <f t="shared" ref="Q151" si="223">SUM(Q141:Q150)</f>
        <v>0</v>
      </c>
      <c r="R151" s="13">
        <f t="shared" ref="R151" si="224">SUM(R141:R150)</f>
        <v>0</v>
      </c>
      <c r="S151" s="13">
        <f t="shared" ref="S151" si="225">SUM(S141:S150)</f>
        <v>0</v>
      </c>
      <c r="T151" s="13">
        <f t="shared" ref="T151" si="226">SUM(T141:T150)</f>
        <v>0</v>
      </c>
      <c r="U151" s="13">
        <f t="shared" ref="U151" si="227">SUM(U141:U150)</f>
        <v>0</v>
      </c>
      <c r="V151" s="13">
        <f t="shared" ref="V151" si="228">SUM(V141:V150)</f>
        <v>0</v>
      </c>
      <c r="W151" s="13">
        <f t="shared" ref="W151" si="229">SUM(W141:W150)</f>
        <v>0</v>
      </c>
      <c r="X151" s="13">
        <f t="shared" ref="X151" si="230">SUM(X141:X150)</f>
        <v>0</v>
      </c>
      <c r="Y151" s="13">
        <f t="shared" ref="Y151" si="231">SUM(Y141:Y150)</f>
        <v>0</v>
      </c>
      <c r="Z151" s="13">
        <f t="shared" ref="Z151" si="232">SUM(Z141:Z150)</f>
        <v>0</v>
      </c>
      <c r="AA151" s="13">
        <f t="shared" ref="AA151" si="233">SUM(AA141:AA150)</f>
        <v>1</v>
      </c>
      <c r="AB151" s="13">
        <f t="shared" ref="AB151" si="234">SUM(AB141:AB150)</f>
        <v>0</v>
      </c>
      <c r="AC151" s="13">
        <f t="shared" ref="AC151" si="235">SUM(AC141:AC150)</f>
        <v>0</v>
      </c>
      <c r="AD151" s="13">
        <f t="shared" ref="AD151" si="236">SUM(AD141:AD150)</f>
        <v>0</v>
      </c>
      <c r="AE151" s="13">
        <f t="shared" ref="AE151" si="237">SUM(AE141:AE150)</f>
        <v>1</v>
      </c>
      <c r="AF151" s="13">
        <f t="shared" ref="AF151" si="238">SUM(AF141:AF150)</f>
        <v>5</v>
      </c>
      <c r="AG151" s="1"/>
      <c r="AH151" s="1"/>
    </row>
    <row r="152" spans="1:34" ht="12.75" customHeight="1" x14ac:dyDescent="0.3">
      <c r="A152" s="62"/>
      <c r="B152" s="61"/>
      <c r="C152" s="61"/>
      <c r="D152" s="61"/>
      <c r="E152" s="59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13"/>
      <c r="AG152" s="31"/>
      <c r="AH152" s="31"/>
    </row>
    <row r="153" spans="1:34" ht="12.75" customHeight="1" x14ac:dyDescent="0.3">
      <c r="A153" s="20" t="s">
        <v>37</v>
      </c>
      <c r="B153" s="14" t="s">
        <v>118</v>
      </c>
      <c r="C153" s="84" t="s">
        <v>119</v>
      </c>
      <c r="D153" s="67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1</v>
      </c>
      <c r="T153" s="16">
        <v>0</v>
      </c>
      <c r="U153" s="16">
        <v>0</v>
      </c>
      <c r="V153" s="16">
        <v>1</v>
      </c>
      <c r="W153" s="16">
        <v>0</v>
      </c>
      <c r="X153" s="16">
        <v>0</v>
      </c>
      <c r="Y153" s="16">
        <v>1</v>
      </c>
      <c r="Z153" s="16">
        <v>1</v>
      </c>
      <c r="AA153" s="16">
        <v>0</v>
      </c>
      <c r="AB153" s="16">
        <v>0</v>
      </c>
      <c r="AC153" s="16">
        <v>2</v>
      </c>
      <c r="AD153" s="16">
        <v>0</v>
      </c>
      <c r="AE153" s="16">
        <v>0</v>
      </c>
      <c r="AF153" s="13">
        <f t="shared" ref="AF153:AF160" si="239">SUM(E153:AE153)</f>
        <v>6</v>
      </c>
      <c r="AG153" s="5"/>
      <c r="AH153" s="5"/>
    </row>
    <row r="154" spans="1:34" ht="12.75" customHeight="1" x14ac:dyDescent="0.3">
      <c r="A154" s="43" t="s">
        <v>39</v>
      </c>
      <c r="B154" s="34"/>
      <c r="C154" s="29" t="s">
        <v>120</v>
      </c>
      <c r="D154" s="36"/>
      <c r="E154" s="57">
        <v>0</v>
      </c>
      <c r="F154" s="16">
        <v>0</v>
      </c>
      <c r="G154" s="16">
        <v>0</v>
      </c>
      <c r="H154" s="16">
        <v>1</v>
      </c>
      <c r="I154" s="16">
        <v>1</v>
      </c>
      <c r="J154" s="16">
        <v>0</v>
      </c>
      <c r="K154" s="16">
        <v>0</v>
      </c>
      <c r="L154" s="16">
        <v>0</v>
      </c>
      <c r="M154" s="16">
        <v>1</v>
      </c>
      <c r="N154" s="16">
        <v>0</v>
      </c>
      <c r="O154" s="16">
        <v>1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1</v>
      </c>
      <c r="AE154" s="16">
        <v>0</v>
      </c>
      <c r="AF154" s="13">
        <f t="shared" si="239"/>
        <v>5</v>
      </c>
      <c r="AG154" s="5"/>
      <c r="AH154" s="5"/>
    </row>
    <row r="155" spans="1:34" ht="12.75" customHeight="1" x14ac:dyDescent="0.3">
      <c r="A155" s="15"/>
      <c r="B155" s="34"/>
      <c r="C155" s="29" t="s">
        <v>121</v>
      </c>
      <c r="D155" s="36"/>
      <c r="E155" s="57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1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3">
        <f t="shared" si="239"/>
        <v>1</v>
      </c>
      <c r="AG155" s="5"/>
      <c r="AH155" s="5"/>
    </row>
    <row r="156" spans="1:34" ht="12.75" customHeight="1" x14ac:dyDescent="0.3">
      <c r="A156" s="15"/>
      <c r="B156" s="34"/>
      <c r="C156" s="29" t="s">
        <v>122</v>
      </c>
      <c r="D156" s="36"/>
      <c r="E156" s="57">
        <v>0</v>
      </c>
      <c r="F156" s="16">
        <v>1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1</v>
      </c>
      <c r="N156" s="16">
        <v>0</v>
      </c>
      <c r="O156" s="16">
        <v>0</v>
      </c>
      <c r="P156" s="16">
        <v>0</v>
      </c>
      <c r="Q156" s="16">
        <v>1</v>
      </c>
      <c r="R156" s="16">
        <v>0</v>
      </c>
      <c r="S156" s="16">
        <v>0</v>
      </c>
      <c r="T156" s="16">
        <v>0</v>
      </c>
      <c r="U156" s="16">
        <v>1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1</v>
      </c>
      <c r="AF156" s="13">
        <f t="shared" si="239"/>
        <v>5</v>
      </c>
      <c r="AG156" s="5"/>
      <c r="AH156" s="5"/>
    </row>
    <row r="157" spans="1:34" ht="12.75" customHeight="1" x14ac:dyDescent="0.3">
      <c r="A157" s="15"/>
      <c r="B157" s="34"/>
      <c r="C157" s="29" t="s">
        <v>123</v>
      </c>
      <c r="D157" s="36"/>
      <c r="E157" s="57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1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3">
        <f t="shared" si="239"/>
        <v>1</v>
      </c>
      <c r="AG157" s="5"/>
      <c r="AH157" s="5"/>
    </row>
    <row r="158" spans="1:34" ht="12.75" customHeight="1" x14ac:dyDescent="0.3">
      <c r="A158" s="15"/>
      <c r="B158" s="34"/>
      <c r="C158" s="29" t="s">
        <v>124</v>
      </c>
      <c r="D158" s="36"/>
      <c r="E158" s="57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3">
        <f t="shared" si="239"/>
        <v>0</v>
      </c>
      <c r="AG158" s="5"/>
      <c r="AH158" s="5"/>
    </row>
    <row r="159" spans="1:34" ht="12.75" customHeight="1" x14ac:dyDescent="0.3">
      <c r="A159" s="15"/>
      <c r="B159" s="34"/>
      <c r="C159" s="29" t="s">
        <v>125</v>
      </c>
      <c r="D159" s="36"/>
      <c r="E159" s="57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3">
        <f t="shared" si="239"/>
        <v>1</v>
      </c>
      <c r="AG159" s="5"/>
      <c r="AH159" s="5"/>
    </row>
    <row r="160" spans="1:34" ht="12.75" customHeight="1" x14ac:dyDescent="0.3">
      <c r="A160" s="15"/>
      <c r="B160" s="34"/>
      <c r="C160" s="29" t="s">
        <v>126</v>
      </c>
      <c r="D160" s="36"/>
      <c r="E160" s="57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1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1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3">
        <f t="shared" si="239"/>
        <v>2</v>
      </c>
      <c r="AG160" s="5"/>
      <c r="AH160" s="5"/>
    </row>
    <row r="161" spans="1:34" ht="12.75" customHeight="1" x14ac:dyDescent="0.3">
      <c r="A161" s="15"/>
      <c r="B161" s="37"/>
      <c r="C161" s="44"/>
      <c r="D161" s="39"/>
      <c r="E161" s="5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56"/>
      <c r="AG161" s="5"/>
      <c r="AH161" s="5"/>
    </row>
    <row r="162" spans="1:34" ht="12.75" customHeight="1" x14ac:dyDescent="0.3">
      <c r="A162" s="15"/>
      <c r="B162" s="37"/>
      <c r="C162" s="44"/>
      <c r="D162" s="39"/>
      <c r="E162" s="5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56"/>
      <c r="AG162" s="5"/>
      <c r="AH162" s="5"/>
    </row>
    <row r="163" spans="1:34" ht="12.75" customHeight="1" x14ac:dyDescent="0.3">
      <c r="A163" s="16" t="s">
        <v>15</v>
      </c>
      <c r="B163" s="85" t="s">
        <v>49</v>
      </c>
      <c r="C163" s="64"/>
      <c r="D163" s="70"/>
      <c r="E163" s="13">
        <f>SUM(E153:E162)</f>
        <v>0</v>
      </c>
      <c r="F163" s="13">
        <f t="shared" ref="F163" si="240">SUM(F153:F162)</f>
        <v>1</v>
      </c>
      <c r="G163" s="13">
        <f t="shared" ref="G163" si="241">SUM(G153:G162)</f>
        <v>0</v>
      </c>
      <c r="H163" s="13">
        <f t="shared" ref="H163" si="242">SUM(H153:H162)</f>
        <v>1</v>
      </c>
      <c r="I163" s="13">
        <f t="shared" ref="I163" si="243">SUM(I153:I162)</f>
        <v>1</v>
      </c>
      <c r="J163" s="13">
        <f t="shared" ref="J163" si="244">SUM(J153:J162)</f>
        <v>0</v>
      </c>
      <c r="K163" s="13">
        <f t="shared" ref="K163" si="245">SUM(K153:K162)</f>
        <v>0</v>
      </c>
      <c r="L163" s="13">
        <f t="shared" ref="L163" si="246">SUM(L153:L162)</f>
        <v>1</v>
      </c>
      <c r="M163" s="13">
        <f t="shared" ref="M163" si="247">SUM(M153:M162)</f>
        <v>2</v>
      </c>
      <c r="N163" s="13">
        <f t="shared" ref="N163" si="248">SUM(N153:N162)</f>
        <v>0</v>
      </c>
      <c r="O163" s="13">
        <f t="shared" ref="O163" si="249">SUM(O153:O162)</f>
        <v>2</v>
      </c>
      <c r="P163" s="13">
        <f t="shared" ref="P163" si="250">SUM(P153:P162)</f>
        <v>0</v>
      </c>
      <c r="Q163" s="13">
        <f t="shared" ref="Q163" si="251">SUM(Q153:Q162)</f>
        <v>1</v>
      </c>
      <c r="R163" s="13">
        <f t="shared" ref="R163" si="252">SUM(R153:R162)</f>
        <v>0</v>
      </c>
      <c r="S163" s="13">
        <f t="shared" ref="S163" si="253">SUM(S153:S162)</f>
        <v>2</v>
      </c>
      <c r="T163" s="13">
        <f t="shared" ref="T163" si="254">SUM(T153:T162)</f>
        <v>0</v>
      </c>
      <c r="U163" s="13">
        <f t="shared" ref="U163" si="255">SUM(U153:U162)</f>
        <v>1</v>
      </c>
      <c r="V163" s="13">
        <f t="shared" ref="V163" si="256">SUM(V153:V162)</f>
        <v>1</v>
      </c>
      <c r="W163" s="13">
        <f t="shared" ref="W163" si="257">SUM(W153:W162)</f>
        <v>1</v>
      </c>
      <c r="X163" s="13">
        <f t="shared" ref="X163" si="258">SUM(X153:X162)</f>
        <v>1</v>
      </c>
      <c r="Y163" s="13">
        <f t="shared" ref="Y163" si="259">SUM(Y153:Y162)</f>
        <v>1</v>
      </c>
      <c r="Z163" s="13">
        <f t="shared" ref="Z163" si="260">SUM(Z153:Z162)</f>
        <v>1</v>
      </c>
      <c r="AA163" s="13">
        <f t="shared" ref="AA163" si="261">SUM(AA153:AA162)</f>
        <v>0</v>
      </c>
      <c r="AB163" s="13">
        <f t="shared" ref="AB163" si="262">SUM(AB153:AB162)</f>
        <v>0</v>
      </c>
      <c r="AC163" s="13">
        <f t="shared" ref="AC163" si="263">SUM(AC153:AC162)</f>
        <v>2</v>
      </c>
      <c r="AD163" s="13">
        <f t="shared" ref="AD163" si="264">SUM(AD153:AD162)</f>
        <v>1</v>
      </c>
      <c r="AE163" s="13">
        <f t="shared" ref="AE163" si="265">SUM(AE153:AE162)</f>
        <v>1</v>
      </c>
      <c r="AF163" s="13">
        <f t="shared" ref="AF163" si="266">SUM(AF153:AF162)</f>
        <v>21</v>
      </c>
      <c r="AG163" s="5"/>
      <c r="AH163" s="5"/>
    </row>
    <row r="164" spans="1:34" ht="12.75" customHeight="1" x14ac:dyDescent="0.3">
      <c r="A164" s="62"/>
      <c r="B164" s="61"/>
      <c r="C164" s="61"/>
      <c r="D164" s="61"/>
      <c r="E164" s="59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"/>
      <c r="AH164" s="5"/>
    </row>
    <row r="165" spans="1:34" ht="12.75" customHeight="1" x14ac:dyDescent="0.3">
      <c r="A165" s="20" t="s">
        <v>37</v>
      </c>
      <c r="B165" s="27" t="s">
        <v>127</v>
      </c>
      <c r="C165" s="58" t="s">
        <v>128</v>
      </c>
      <c r="D165" s="59"/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1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1</v>
      </c>
      <c r="R165" s="16">
        <v>0</v>
      </c>
      <c r="S165" s="16">
        <v>0</v>
      </c>
      <c r="T165" s="16">
        <v>0</v>
      </c>
      <c r="U165" s="16">
        <v>1</v>
      </c>
      <c r="V165" s="16">
        <v>0</v>
      </c>
      <c r="W165" s="16">
        <v>0</v>
      </c>
      <c r="X165" s="16">
        <v>1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3">
        <f t="shared" ref="AF165:AF166" si="267">SUM(E165:AE165)</f>
        <v>4</v>
      </c>
      <c r="AG165" s="1"/>
      <c r="AH165" s="1"/>
    </row>
    <row r="166" spans="1:34" ht="12.75" customHeight="1" x14ac:dyDescent="0.3">
      <c r="A166" s="20" t="s">
        <v>39</v>
      </c>
      <c r="B166" s="34"/>
      <c r="C166" s="29" t="s">
        <v>129</v>
      </c>
      <c r="D166" s="36"/>
      <c r="E166" s="16">
        <v>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1</v>
      </c>
      <c r="L166" s="16">
        <v>0</v>
      </c>
      <c r="M166" s="16">
        <v>1</v>
      </c>
      <c r="N166" s="16">
        <v>1</v>
      </c>
      <c r="O166" s="16">
        <v>1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1</v>
      </c>
      <c r="Y166" s="16">
        <v>0</v>
      </c>
      <c r="Z166" s="16">
        <v>0</v>
      </c>
      <c r="AA166" s="16">
        <v>0</v>
      </c>
      <c r="AB166" s="16">
        <v>0</v>
      </c>
      <c r="AC166" s="16">
        <v>1</v>
      </c>
      <c r="AD166" s="16">
        <v>0</v>
      </c>
      <c r="AE166" s="16">
        <v>1</v>
      </c>
      <c r="AF166" s="13">
        <f t="shared" si="267"/>
        <v>8</v>
      </c>
      <c r="AG166" s="31"/>
      <c r="AH166" s="31"/>
    </row>
    <row r="167" spans="1:34" ht="12.75" customHeight="1" x14ac:dyDescent="0.3">
      <c r="A167" s="15"/>
      <c r="B167" s="37"/>
      <c r="C167" s="38"/>
      <c r="D167" s="3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56"/>
      <c r="AG167" s="5"/>
      <c r="AH167" s="5"/>
    </row>
    <row r="168" spans="1:34" ht="12.75" customHeight="1" x14ac:dyDescent="0.3">
      <c r="A168" s="15"/>
      <c r="B168" s="37"/>
      <c r="C168" s="38"/>
      <c r="D168" s="3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56"/>
      <c r="AG168" s="5"/>
      <c r="AH168" s="5"/>
    </row>
    <row r="169" spans="1:34" ht="12.75" customHeight="1" x14ac:dyDescent="0.3">
      <c r="A169" s="15"/>
      <c r="B169" s="37"/>
      <c r="C169" s="38"/>
      <c r="D169" s="3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56"/>
      <c r="AG169" s="5"/>
      <c r="AH169" s="5"/>
    </row>
    <row r="170" spans="1:34" ht="12.75" customHeight="1" x14ac:dyDescent="0.3">
      <c r="A170" s="15"/>
      <c r="B170" s="37"/>
      <c r="C170" s="38"/>
      <c r="D170" s="3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56"/>
      <c r="AG170" s="5"/>
      <c r="AH170" s="5"/>
    </row>
    <row r="171" spans="1:34" ht="12.75" customHeight="1" x14ac:dyDescent="0.3">
      <c r="A171" s="15"/>
      <c r="B171" s="37"/>
      <c r="C171" s="38"/>
      <c r="D171" s="3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56"/>
      <c r="AG171" s="5"/>
      <c r="AH171" s="5"/>
    </row>
    <row r="172" spans="1:34" ht="12.75" customHeight="1" x14ac:dyDescent="0.3">
      <c r="A172" s="15"/>
      <c r="B172" s="37"/>
      <c r="C172" s="38"/>
      <c r="D172" s="3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56"/>
      <c r="AG172" s="5"/>
      <c r="AH172" s="5"/>
    </row>
    <row r="173" spans="1:34" ht="12.75" customHeight="1" x14ac:dyDescent="0.3">
      <c r="A173" s="15"/>
      <c r="B173" s="37"/>
      <c r="C173" s="38"/>
      <c r="D173" s="3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56"/>
      <c r="AG173" s="5"/>
      <c r="AH173" s="5"/>
    </row>
    <row r="174" spans="1:34" ht="12.75" customHeight="1" x14ac:dyDescent="0.3">
      <c r="A174" s="15"/>
      <c r="B174" s="37"/>
      <c r="C174" s="38"/>
      <c r="D174" s="3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56"/>
      <c r="AG174" s="5"/>
      <c r="AH174" s="5"/>
    </row>
    <row r="175" spans="1:34" ht="12.75" customHeight="1" x14ac:dyDescent="0.3">
      <c r="A175" s="16" t="s">
        <v>15</v>
      </c>
      <c r="B175" s="60" t="s">
        <v>49</v>
      </c>
      <c r="C175" s="61"/>
      <c r="D175" s="59"/>
      <c r="E175" s="13">
        <f>SUM(E165:E174)</f>
        <v>1</v>
      </c>
      <c r="F175" s="13">
        <f t="shared" ref="F175" si="268">SUM(F165:F174)</f>
        <v>0</v>
      </c>
      <c r="G175" s="13">
        <f t="shared" ref="G175" si="269">SUM(G165:G174)</f>
        <v>0</v>
      </c>
      <c r="H175" s="13">
        <f t="shared" ref="H175" si="270">SUM(H165:H174)</f>
        <v>0</v>
      </c>
      <c r="I175" s="13">
        <f t="shared" ref="I175" si="271">SUM(I165:I174)</f>
        <v>0</v>
      </c>
      <c r="J175" s="13">
        <f t="shared" ref="J175" si="272">SUM(J165:J174)</f>
        <v>1</v>
      </c>
      <c r="K175" s="13">
        <f t="shared" ref="K175" si="273">SUM(K165:K174)</f>
        <v>1</v>
      </c>
      <c r="L175" s="13">
        <f t="shared" ref="L175" si="274">SUM(L165:L174)</f>
        <v>0</v>
      </c>
      <c r="M175" s="13">
        <f t="shared" ref="M175" si="275">SUM(M165:M174)</f>
        <v>1</v>
      </c>
      <c r="N175" s="13">
        <f t="shared" ref="N175" si="276">SUM(N165:N174)</f>
        <v>1</v>
      </c>
      <c r="O175" s="13">
        <f t="shared" ref="O175" si="277">SUM(O165:O174)</f>
        <v>1</v>
      </c>
      <c r="P175" s="13">
        <f t="shared" ref="P175" si="278">SUM(P165:P174)</f>
        <v>0</v>
      </c>
      <c r="Q175" s="13">
        <f t="shared" ref="Q175" si="279">SUM(Q165:Q174)</f>
        <v>1</v>
      </c>
      <c r="R175" s="13">
        <f t="shared" ref="R175" si="280">SUM(R165:R174)</f>
        <v>0</v>
      </c>
      <c r="S175" s="13">
        <f t="shared" ref="S175" si="281">SUM(S165:S174)</f>
        <v>0</v>
      </c>
      <c r="T175" s="13">
        <f t="shared" ref="T175" si="282">SUM(T165:T174)</f>
        <v>0</v>
      </c>
      <c r="U175" s="13">
        <f t="shared" ref="U175" si="283">SUM(U165:U174)</f>
        <v>1</v>
      </c>
      <c r="V175" s="13">
        <f t="shared" ref="V175" si="284">SUM(V165:V174)</f>
        <v>0</v>
      </c>
      <c r="W175" s="13">
        <f t="shared" ref="W175" si="285">SUM(W165:W174)</f>
        <v>0</v>
      </c>
      <c r="X175" s="13">
        <f t="shared" ref="X175" si="286">SUM(X165:X174)</f>
        <v>2</v>
      </c>
      <c r="Y175" s="13">
        <f t="shared" ref="Y175" si="287">SUM(Y165:Y174)</f>
        <v>0</v>
      </c>
      <c r="Z175" s="13">
        <f t="shared" ref="Z175" si="288">SUM(Z165:Z174)</f>
        <v>0</v>
      </c>
      <c r="AA175" s="13">
        <f t="shared" ref="AA175" si="289">SUM(AA165:AA174)</f>
        <v>0</v>
      </c>
      <c r="AB175" s="13">
        <f t="shared" ref="AB175" si="290">SUM(AB165:AB174)</f>
        <v>0</v>
      </c>
      <c r="AC175" s="13">
        <f t="shared" ref="AC175" si="291">SUM(AC165:AC174)</f>
        <v>1</v>
      </c>
      <c r="AD175" s="13">
        <f t="shared" ref="AD175" si="292">SUM(AD165:AD174)</f>
        <v>0</v>
      </c>
      <c r="AE175" s="13">
        <f t="shared" ref="AE175" si="293">SUM(AE165:AE174)</f>
        <v>1</v>
      </c>
      <c r="AF175" s="13">
        <f t="shared" ref="AF175" si="294">SUM(AF165:AF174)</f>
        <v>12</v>
      </c>
      <c r="AG175" s="5"/>
      <c r="AH175" s="5"/>
    </row>
    <row r="176" spans="1:34" ht="12.75" customHeight="1" x14ac:dyDescent="0.3">
      <c r="A176" s="62"/>
      <c r="B176" s="61"/>
      <c r="C176" s="61"/>
      <c r="D176" s="61"/>
      <c r="E176" s="59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1"/>
      <c r="AH176" s="1"/>
    </row>
    <row r="177" spans="1:34" ht="12.75" customHeight="1" x14ac:dyDescent="0.3">
      <c r="A177" s="20" t="s">
        <v>37</v>
      </c>
      <c r="B177" s="27" t="s">
        <v>130</v>
      </c>
      <c r="C177" s="58" t="s">
        <v>131</v>
      </c>
      <c r="D177" s="59"/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1</v>
      </c>
      <c r="K177" s="16">
        <v>1</v>
      </c>
      <c r="L177" s="16">
        <v>2</v>
      </c>
      <c r="M177" s="16">
        <v>1</v>
      </c>
      <c r="N177" s="16">
        <v>1</v>
      </c>
      <c r="O177" s="16">
        <v>0</v>
      </c>
      <c r="P177" s="16">
        <v>0</v>
      </c>
      <c r="Q177" s="16">
        <v>0</v>
      </c>
      <c r="R177" s="16">
        <v>0</v>
      </c>
      <c r="S177" s="16">
        <v>2</v>
      </c>
      <c r="T177" s="16">
        <v>1</v>
      </c>
      <c r="U177" s="16">
        <v>2</v>
      </c>
      <c r="V177" s="16">
        <v>0</v>
      </c>
      <c r="W177" s="16">
        <v>0</v>
      </c>
      <c r="X177" s="16">
        <v>0</v>
      </c>
      <c r="Y177" s="16">
        <v>1</v>
      </c>
      <c r="Z177" s="16">
        <v>1</v>
      </c>
      <c r="AA177" s="16">
        <v>2</v>
      </c>
      <c r="AB177" s="16">
        <v>0</v>
      </c>
      <c r="AC177" s="16">
        <v>0</v>
      </c>
      <c r="AD177" s="16">
        <v>0</v>
      </c>
      <c r="AE177" s="16">
        <v>0</v>
      </c>
      <c r="AF177" s="13">
        <f t="shared" ref="AF177:AF186" si="295">SUM(E177:AE177)</f>
        <v>15</v>
      </c>
    </row>
    <row r="178" spans="1:34" ht="12.75" customHeight="1" x14ac:dyDescent="0.3">
      <c r="A178" s="20" t="s">
        <v>39</v>
      </c>
      <c r="B178" s="34"/>
      <c r="C178" s="29" t="s">
        <v>132</v>
      </c>
      <c r="D178" s="36"/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1</v>
      </c>
      <c r="K178" s="16">
        <v>0</v>
      </c>
      <c r="L178" s="16">
        <v>1</v>
      </c>
      <c r="M178" s="16">
        <v>0</v>
      </c>
      <c r="N178" s="16">
        <v>0</v>
      </c>
      <c r="O178" s="16">
        <v>1</v>
      </c>
      <c r="P178" s="16">
        <v>0</v>
      </c>
      <c r="Q178" s="16">
        <v>3</v>
      </c>
      <c r="R178" s="16">
        <v>1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1</v>
      </c>
      <c r="Z178" s="16">
        <v>0</v>
      </c>
      <c r="AA178" s="16">
        <v>1</v>
      </c>
      <c r="AB178" s="16">
        <v>0</v>
      </c>
      <c r="AC178" s="16">
        <v>0</v>
      </c>
      <c r="AD178" s="16">
        <v>8</v>
      </c>
      <c r="AE178" s="16">
        <v>1</v>
      </c>
      <c r="AF178" s="13">
        <f t="shared" si="295"/>
        <v>18</v>
      </c>
      <c r="AG178" s="5"/>
      <c r="AH178" s="5"/>
    </row>
    <row r="179" spans="1:34" ht="12.75" customHeight="1" x14ac:dyDescent="0.3">
      <c r="A179" s="15"/>
      <c r="B179" s="34"/>
      <c r="C179" s="29" t="s">
        <v>133</v>
      </c>
      <c r="D179" s="36"/>
      <c r="E179" s="16">
        <v>0</v>
      </c>
      <c r="F179" s="16">
        <v>1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1</v>
      </c>
      <c r="S179" s="16">
        <v>1</v>
      </c>
      <c r="T179" s="16">
        <v>0</v>
      </c>
      <c r="U179" s="16">
        <v>0</v>
      </c>
      <c r="V179" s="16">
        <v>0</v>
      </c>
      <c r="W179" s="16">
        <v>0</v>
      </c>
      <c r="X179" s="16">
        <v>1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1</v>
      </c>
      <c r="AF179" s="13">
        <f t="shared" si="295"/>
        <v>5</v>
      </c>
      <c r="AG179" s="5"/>
      <c r="AH179" s="5"/>
    </row>
    <row r="180" spans="1:34" ht="12.75" customHeight="1" x14ac:dyDescent="0.3">
      <c r="A180" s="15"/>
      <c r="B180" s="34"/>
      <c r="C180" s="29" t="s">
        <v>134</v>
      </c>
      <c r="D180" s="36"/>
      <c r="E180" s="16">
        <v>1</v>
      </c>
      <c r="F180" s="16">
        <v>0</v>
      </c>
      <c r="G180" s="16">
        <v>0</v>
      </c>
      <c r="H180" s="16">
        <v>0</v>
      </c>
      <c r="I180" s="16">
        <v>0</v>
      </c>
      <c r="J180" s="16">
        <v>1</v>
      </c>
      <c r="K180" s="16">
        <v>0</v>
      </c>
      <c r="L180" s="16">
        <v>0</v>
      </c>
      <c r="M180" s="16">
        <v>1</v>
      </c>
      <c r="N180" s="16">
        <v>1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2</v>
      </c>
      <c r="Y180" s="16">
        <v>1</v>
      </c>
      <c r="Z180" s="16">
        <v>1</v>
      </c>
      <c r="AA180" s="16">
        <v>2</v>
      </c>
      <c r="AB180" s="16">
        <v>0</v>
      </c>
      <c r="AC180" s="16">
        <v>0</v>
      </c>
      <c r="AD180" s="16">
        <v>0</v>
      </c>
      <c r="AE180" s="16">
        <v>1</v>
      </c>
      <c r="AF180" s="13">
        <f t="shared" si="295"/>
        <v>11</v>
      </c>
      <c r="AG180" s="5"/>
      <c r="AH180" s="5"/>
    </row>
    <row r="181" spans="1:34" ht="12.75" customHeight="1" x14ac:dyDescent="0.3">
      <c r="A181" s="15"/>
      <c r="B181" s="34"/>
      <c r="C181" s="29" t="s">
        <v>135</v>
      </c>
      <c r="D181" s="36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1</v>
      </c>
      <c r="L181" s="16">
        <v>0</v>
      </c>
      <c r="M181" s="16">
        <v>1</v>
      </c>
      <c r="N181" s="16">
        <v>0</v>
      </c>
      <c r="O181" s="16">
        <v>1</v>
      </c>
      <c r="P181" s="16">
        <v>0</v>
      </c>
      <c r="Q181" s="16">
        <v>0</v>
      </c>
      <c r="R181" s="16">
        <v>0</v>
      </c>
      <c r="S181" s="16">
        <v>0</v>
      </c>
      <c r="T181" s="16">
        <v>1</v>
      </c>
      <c r="U181" s="16">
        <v>0</v>
      </c>
      <c r="V181" s="16">
        <v>0</v>
      </c>
      <c r="W181" s="16">
        <v>2</v>
      </c>
      <c r="X181" s="16">
        <v>1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3">
        <f t="shared" si="295"/>
        <v>7</v>
      </c>
      <c r="AG181" s="5"/>
      <c r="AH181" s="5"/>
    </row>
    <row r="182" spans="1:34" ht="12.75" customHeight="1" x14ac:dyDescent="0.3">
      <c r="A182" s="15"/>
      <c r="B182" s="34"/>
      <c r="C182" s="29" t="s">
        <v>136</v>
      </c>
      <c r="D182" s="36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1</v>
      </c>
      <c r="T182" s="16">
        <v>0</v>
      </c>
      <c r="U182" s="16">
        <v>1</v>
      </c>
      <c r="V182" s="16">
        <v>0</v>
      </c>
      <c r="W182" s="16">
        <v>0</v>
      </c>
      <c r="X182" s="16">
        <v>1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3">
        <f t="shared" si="295"/>
        <v>3</v>
      </c>
      <c r="AG182" s="5"/>
      <c r="AH182" s="5"/>
    </row>
    <row r="183" spans="1:34" ht="12.75" customHeight="1" x14ac:dyDescent="0.3">
      <c r="A183" s="15"/>
      <c r="B183" s="34"/>
      <c r="C183" s="29" t="s">
        <v>137</v>
      </c>
      <c r="D183" s="36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1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3">
        <f t="shared" si="295"/>
        <v>1</v>
      </c>
      <c r="AG183" s="5"/>
      <c r="AH183" s="5"/>
    </row>
    <row r="184" spans="1:34" ht="12.75" customHeight="1" x14ac:dyDescent="0.3">
      <c r="A184" s="15"/>
      <c r="B184" s="34"/>
      <c r="C184" s="29" t="s">
        <v>138</v>
      </c>
      <c r="D184" s="36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3">
        <f t="shared" si="295"/>
        <v>0</v>
      </c>
      <c r="AG184" s="5"/>
      <c r="AH184" s="5"/>
    </row>
    <row r="185" spans="1:34" ht="12.75" customHeight="1" x14ac:dyDescent="0.3">
      <c r="A185" s="15"/>
      <c r="B185" s="34"/>
      <c r="C185" s="29" t="s">
        <v>139</v>
      </c>
      <c r="D185" s="36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3">
        <f t="shared" si="295"/>
        <v>0</v>
      </c>
      <c r="AG185" s="5"/>
      <c r="AH185" s="5"/>
    </row>
    <row r="186" spans="1:34" ht="12.75" customHeight="1" x14ac:dyDescent="0.3">
      <c r="A186" s="15"/>
      <c r="B186" s="34"/>
      <c r="C186" s="29" t="s">
        <v>140</v>
      </c>
      <c r="D186" s="36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3">
        <f t="shared" si="295"/>
        <v>0</v>
      </c>
      <c r="AG186" s="5"/>
      <c r="AH186" s="5"/>
    </row>
    <row r="187" spans="1:34" ht="12.75" customHeight="1" x14ac:dyDescent="0.3">
      <c r="A187" s="16" t="s">
        <v>15</v>
      </c>
      <c r="B187" s="60" t="s">
        <v>49</v>
      </c>
      <c r="C187" s="61"/>
      <c r="D187" s="59"/>
      <c r="E187" s="13">
        <f>SUM(E177:E186)</f>
        <v>1</v>
      </c>
      <c r="F187" s="13">
        <f t="shared" ref="F187" si="296">SUM(F177:F186)</f>
        <v>1</v>
      </c>
      <c r="G187" s="13">
        <f t="shared" ref="G187" si="297">SUM(G177:G186)</f>
        <v>0</v>
      </c>
      <c r="H187" s="13">
        <f t="shared" ref="H187" si="298">SUM(H177:H186)</f>
        <v>0</v>
      </c>
      <c r="I187" s="13">
        <f t="shared" ref="I187" si="299">SUM(I177:I186)</f>
        <v>0</v>
      </c>
      <c r="J187" s="13">
        <f t="shared" ref="J187" si="300">SUM(J177:J186)</f>
        <v>3</v>
      </c>
      <c r="K187" s="13">
        <f t="shared" ref="K187" si="301">SUM(K177:K186)</f>
        <v>2</v>
      </c>
      <c r="L187" s="13">
        <f t="shared" ref="L187" si="302">SUM(L177:L186)</f>
        <v>3</v>
      </c>
      <c r="M187" s="13">
        <f t="shared" ref="M187" si="303">SUM(M177:M186)</f>
        <v>4</v>
      </c>
      <c r="N187" s="13">
        <f t="shared" ref="N187" si="304">SUM(N177:N186)</f>
        <v>2</v>
      </c>
      <c r="O187" s="13">
        <f t="shared" ref="O187" si="305">SUM(O177:O186)</f>
        <v>2</v>
      </c>
      <c r="P187" s="13">
        <f t="shared" ref="P187" si="306">SUM(P177:P186)</f>
        <v>0</v>
      </c>
      <c r="Q187" s="13">
        <f t="shared" ref="Q187" si="307">SUM(Q177:Q186)</f>
        <v>3</v>
      </c>
      <c r="R187" s="13">
        <f t="shared" ref="R187" si="308">SUM(R177:R186)</f>
        <v>2</v>
      </c>
      <c r="S187" s="13">
        <f t="shared" ref="S187" si="309">SUM(S177:S186)</f>
        <v>4</v>
      </c>
      <c r="T187" s="13">
        <f t="shared" ref="T187" si="310">SUM(T177:T186)</f>
        <v>2</v>
      </c>
      <c r="U187" s="13">
        <f t="shared" ref="U187" si="311">SUM(U177:U186)</f>
        <v>3</v>
      </c>
      <c r="V187" s="13">
        <f t="shared" ref="V187" si="312">SUM(V177:V186)</f>
        <v>0</v>
      </c>
      <c r="W187" s="13">
        <f t="shared" ref="W187" si="313">SUM(W177:W186)</f>
        <v>2</v>
      </c>
      <c r="X187" s="13">
        <f t="shared" ref="X187" si="314">SUM(X177:X186)</f>
        <v>5</v>
      </c>
      <c r="Y187" s="13">
        <f t="shared" ref="Y187" si="315">SUM(Y177:Y186)</f>
        <v>3</v>
      </c>
      <c r="Z187" s="13">
        <f t="shared" ref="Z187" si="316">SUM(Z177:Z186)</f>
        <v>2</v>
      </c>
      <c r="AA187" s="13">
        <f t="shared" ref="AA187" si="317">SUM(AA177:AA186)</f>
        <v>5</v>
      </c>
      <c r="AB187" s="13">
        <f t="shared" ref="AB187" si="318">SUM(AB177:AB186)</f>
        <v>0</v>
      </c>
      <c r="AC187" s="13">
        <f t="shared" ref="AC187" si="319">SUM(AC177:AC186)</f>
        <v>0</v>
      </c>
      <c r="AD187" s="13">
        <f t="shared" ref="AD187" si="320">SUM(AD177:AD186)</f>
        <v>8</v>
      </c>
      <c r="AE187" s="13">
        <f t="shared" ref="AE187" si="321">SUM(AE177:AE186)</f>
        <v>3</v>
      </c>
      <c r="AF187" s="13">
        <f t="shared" ref="AF187" si="322">SUM(AF177:AF186)</f>
        <v>60</v>
      </c>
      <c r="AG187" s="1"/>
      <c r="AH187" s="1"/>
    </row>
    <row r="188" spans="1:34" ht="12.75" customHeight="1" x14ac:dyDescent="0.3">
      <c r="A188" s="62"/>
      <c r="B188" s="61"/>
      <c r="C188" s="61"/>
      <c r="D188" s="61"/>
      <c r="E188" s="59"/>
      <c r="F188" s="54"/>
      <c r="G188" s="54"/>
      <c r="H188" s="54"/>
      <c r="I188" s="54"/>
      <c r="J188" s="54"/>
      <c r="K188" s="54"/>
      <c r="L188" s="54"/>
      <c r="M188" s="54"/>
      <c r="N188" s="54"/>
      <c r="AF188" s="13"/>
    </row>
    <row r="189" spans="1:34" ht="12.75" customHeight="1" x14ac:dyDescent="0.3">
      <c r="A189" s="20" t="s">
        <v>37</v>
      </c>
      <c r="B189" s="27" t="s">
        <v>141</v>
      </c>
      <c r="C189" s="58" t="s">
        <v>142</v>
      </c>
      <c r="D189" s="59"/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1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1</v>
      </c>
      <c r="V189" s="16">
        <v>0</v>
      </c>
      <c r="W189" s="16">
        <v>0</v>
      </c>
      <c r="X189" s="16">
        <v>1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3">
        <f t="shared" ref="AF189:AF198" si="323">SUM(E189:AE189)</f>
        <v>3</v>
      </c>
      <c r="AG189" s="5"/>
      <c r="AH189" s="5"/>
    </row>
    <row r="190" spans="1:34" ht="12.75" customHeight="1" x14ac:dyDescent="0.3">
      <c r="A190" s="20" t="s">
        <v>39</v>
      </c>
      <c r="B190" s="34"/>
      <c r="C190" s="29" t="s">
        <v>143</v>
      </c>
      <c r="D190" s="36"/>
      <c r="E190" s="16">
        <v>1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3">
        <f t="shared" si="323"/>
        <v>1</v>
      </c>
      <c r="AG190" s="5"/>
      <c r="AH190" s="5"/>
    </row>
    <row r="191" spans="1:34" ht="12.75" customHeight="1" x14ac:dyDescent="0.3">
      <c r="A191" s="15"/>
      <c r="B191" s="34"/>
      <c r="C191" s="29" t="s">
        <v>144</v>
      </c>
      <c r="D191" s="36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1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1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3">
        <f t="shared" si="323"/>
        <v>2</v>
      </c>
      <c r="AG191" s="5"/>
      <c r="AH191" s="5"/>
    </row>
    <row r="192" spans="1:34" ht="12.75" customHeight="1" x14ac:dyDescent="0.3">
      <c r="A192" s="15"/>
      <c r="B192" s="34"/>
      <c r="C192" s="29" t="s">
        <v>145</v>
      </c>
      <c r="D192" s="36"/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1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3">
        <f t="shared" si="323"/>
        <v>1</v>
      </c>
      <c r="AG192" s="5"/>
      <c r="AH192" s="5"/>
    </row>
    <row r="193" spans="1:34" ht="12.75" customHeight="1" x14ac:dyDescent="0.3">
      <c r="A193" s="15"/>
      <c r="B193" s="34"/>
      <c r="C193" s="29" t="s">
        <v>146</v>
      </c>
      <c r="D193" s="36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3">
        <f t="shared" si="323"/>
        <v>0</v>
      </c>
      <c r="AG193" s="5"/>
      <c r="AH193" s="5"/>
    </row>
    <row r="194" spans="1:34" ht="12.75" customHeight="1" x14ac:dyDescent="0.3">
      <c r="A194" s="15"/>
      <c r="B194" s="34"/>
      <c r="C194" s="29" t="s">
        <v>147</v>
      </c>
      <c r="D194" s="36"/>
      <c r="E194" s="16">
        <v>0</v>
      </c>
      <c r="F194" s="16">
        <v>0</v>
      </c>
      <c r="G194" s="16">
        <v>0</v>
      </c>
      <c r="H194" s="16">
        <v>1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3">
        <f t="shared" si="323"/>
        <v>1</v>
      </c>
      <c r="AG194" s="5"/>
      <c r="AH194" s="5"/>
    </row>
    <row r="195" spans="1:34" ht="12.75" customHeight="1" x14ac:dyDescent="0.3">
      <c r="A195" s="15"/>
      <c r="B195" s="34"/>
      <c r="C195" s="29" t="s">
        <v>148</v>
      </c>
      <c r="D195" s="36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3">
        <f t="shared" si="323"/>
        <v>0</v>
      </c>
      <c r="AG195" s="5"/>
      <c r="AH195" s="5"/>
    </row>
    <row r="196" spans="1:34" ht="12.75" customHeight="1" x14ac:dyDescent="0.3">
      <c r="A196" s="15"/>
      <c r="B196" s="34"/>
      <c r="C196" s="29" t="s">
        <v>149</v>
      </c>
      <c r="D196" s="36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1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3">
        <f t="shared" si="323"/>
        <v>1</v>
      </c>
      <c r="AG196" s="1"/>
      <c r="AH196" s="1"/>
    </row>
    <row r="197" spans="1:34" ht="12.75" customHeight="1" x14ac:dyDescent="0.3">
      <c r="A197" s="15"/>
      <c r="B197" s="34"/>
      <c r="C197" s="29" t="s">
        <v>150</v>
      </c>
      <c r="D197" s="36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3">
        <f t="shared" si="323"/>
        <v>0</v>
      </c>
      <c r="AG197" s="1"/>
      <c r="AH197" s="1"/>
    </row>
    <row r="198" spans="1:34" ht="12.75" customHeight="1" x14ac:dyDescent="0.3">
      <c r="A198" s="15"/>
      <c r="B198" s="34"/>
      <c r="C198" s="29" t="s">
        <v>151</v>
      </c>
      <c r="D198" s="36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3">
        <f t="shared" si="323"/>
        <v>0</v>
      </c>
      <c r="AG198" s="1"/>
      <c r="AH198" s="1"/>
    </row>
    <row r="199" spans="1:34" ht="12.75" customHeight="1" x14ac:dyDescent="0.3">
      <c r="A199" s="16" t="s">
        <v>15</v>
      </c>
      <c r="B199" s="60" t="s">
        <v>49</v>
      </c>
      <c r="C199" s="61"/>
      <c r="D199" s="59"/>
      <c r="E199" s="13">
        <f>SUM(E189:E198)</f>
        <v>1</v>
      </c>
      <c r="F199" s="13">
        <f t="shared" ref="F199" si="324">SUM(F189:F198)</f>
        <v>0</v>
      </c>
      <c r="G199" s="13">
        <f t="shared" ref="G199" si="325">SUM(G189:G198)</f>
        <v>0</v>
      </c>
      <c r="H199" s="13">
        <f t="shared" ref="H199" si="326">SUM(H189:H198)</f>
        <v>1</v>
      </c>
      <c r="I199" s="13">
        <f t="shared" ref="I199" si="327">SUM(I189:I198)</f>
        <v>0</v>
      </c>
      <c r="J199" s="13">
        <f t="shared" ref="J199" si="328">SUM(J189:J198)</f>
        <v>0</v>
      </c>
      <c r="K199" s="13">
        <f t="shared" ref="K199" si="329">SUM(K189:K198)</f>
        <v>0</v>
      </c>
      <c r="L199" s="13">
        <f t="shared" ref="L199" si="330">SUM(L189:L198)</f>
        <v>1</v>
      </c>
      <c r="M199" s="13">
        <f t="shared" ref="M199" si="331">SUM(M189:M198)</f>
        <v>1</v>
      </c>
      <c r="N199" s="13">
        <f t="shared" ref="N199" si="332">SUM(N189:N198)</f>
        <v>1</v>
      </c>
      <c r="O199" s="13">
        <f t="shared" ref="O199" si="333">SUM(O189:O198)</f>
        <v>0</v>
      </c>
      <c r="P199" s="13">
        <f t="shared" ref="P199" si="334">SUM(P189:P198)</f>
        <v>0</v>
      </c>
      <c r="Q199" s="13">
        <f t="shared" ref="Q199" si="335">SUM(Q189:Q198)</f>
        <v>0</v>
      </c>
      <c r="R199" s="13">
        <f t="shared" ref="R199" si="336">SUM(R189:R198)</f>
        <v>0</v>
      </c>
      <c r="S199" s="13">
        <f t="shared" ref="S199" si="337">SUM(S189:S198)</f>
        <v>0</v>
      </c>
      <c r="T199" s="13">
        <f t="shared" ref="T199" si="338">SUM(T189:T198)</f>
        <v>0</v>
      </c>
      <c r="U199" s="13">
        <f t="shared" ref="U199" si="339">SUM(U189:U198)</f>
        <v>2</v>
      </c>
      <c r="V199" s="13">
        <f t="shared" ref="V199" si="340">SUM(V189:V198)</f>
        <v>0</v>
      </c>
      <c r="W199" s="13">
        <f t="shared" ref="W199" si="341">SUM(W189:W198)</f>
        <v>1</v>
      </c>
      <c r="X199" s="13">
        <f t="shared" ref="X199" si="342">SUM(X189:X198)</f>
        <v>1</v>
      </c>
      <c r="Y199" s="13">
        <f t="shared" ref="Y199" si="343">SUM(Y189:Y198)</f>
        <v>0</v>
      </c>
      <c r="Z199" s="13">
        <f t="shared" ref="Z199" si="344">SUM(Z189:Z198)</f>
        <v>0</v>
      </c>
      <c r="AA199" s="13">
        <f t="shared" ref="AA199" si="345">SUM(AA189:AA198)</f>
        <v>0</v>
      </c>
      <c r="AB199" s="13">
        <f t="shared" ref="AB199" si="346">SUM(AB189:AB198)</f>
        <v>0</v>
      </c>
      <c r="AC199" s="13">
        <f t="shared" ref="AC199" si="347">SUM(AC189:AC198)</f>
        <v>0</v>
      </c>
      <c r="AD199" s="13">
        <f t="shared" ref="AD199" si="348">SUM(AD189:AD198)</f>
        <v>0</v>
      </c>
      <c r="AE199" s="13">
        <f t="shared" ref="AE199" si="349">SUM(AE189:AE198)</f>
        <v>0</v>
      </c>
      <c r="AF199" s="13">
        <f t="shared" ref="AF199" si="350">SUM(AF189:AF198)</f>
        <v>9</v>
      </c>
      <c r="AG199" s="31"/>
      <c r="AH199" s="31"/>
    </row>
    <row r="200" spans="1:34" ht="12.75" customHeight="1" x14ac:dyDescent="0.3">
      <c r="A200" s="62"/>
      <c r="B200" s="61"/>
      <c r="C200" s="61"/>
      <c r="D200" s="61"/>
      <c r="E200" s="59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"/>
      <c r="AH200" s="5"/>
    </row>
    <row r="201" spans="1:34" ht="12.75" customHeight="1" x14ac:dyDescent="0.3">
      <c r="A201" s="20" t="s">
        <v>37</v>
      </c>
      <c r="B201" s="27" t="s">
        <v>152</v>
      </c>
      <c r="C201" s="58" t="s">
        <v>153</v>
      </c>
      <c r="D201" s="59"/>
      <c r="E201" s="16">
        <v>6</v>
      </c>
      <c r="F201" s="16">
        <v>9</v>
      </c>
      <c r="G201" s="16">
        <v>5</v>
      </c>
      <c r="H201" s="16">
        <v>1</v>
      </c>
      <c r="I201" s="16">
        <v>0</v>
      </c>
      <c r="J201" s="16">
        <v>6</v>
      </c>
      <c r="K201" s="16">
        <v>3</v>
      </c>
      <c r="L201" s="16">
        <v>2</v>
      </c>
      <c r="M201" s="16">
        <v>9</v>
      </c>
      <c r="N201" s="16">
        <v>5</v>
      </c>
      <c r="O201" s="16">
        <v>5</v>
      </c>
      <c r="P201" s="16">
        <v>8</v>
      </c>
      <c r="Q201" s="16">
        <v>4</v>
      </c>
      <c r="R201" s="16">
        <v>6</v>
      </c>
      <c r="S201" s="16">
        <v>8</v>
      </c>
      <c r="T201" s="16">
        <v>4</v>
      </c>
      <c r="U201" s="16">
        <v>8</v>
      </c>
      <c r="V201" s="16">
        <v>1</v>
      </c>
      <c r="W201" s="16">
        <v>0</v>
      </c>
      <c r="X201" s="16">
        <v>0</v>
      </c>
      <c r="Y201" s="16">
        <v>1</v>
      </c>
      <c r="Z201" s="16">
        <v>0</v>
      </c>
      <c r="AA201" s="16">
        <v>1</v>
      </c>
      <c r="AB201" s="16">
        <v>3</v>
      </c>
      <c r="AC201" s="16">
        <v>0</v>
      </c>
      <c r="AD201" s="16">
        <v>4</v>
      </c>
      <c r="AE201" s="16">
        <v>2</v>
      </c>
      <c r="AF201" s="13">
        <f t="shared" ref="AF201:AF210" si="351">SUM(E201:AE201)</f>
        <v>101</v>
      </c>
      <c r="AG201" s="5"/>
      <c r="AH201" s="5"/>
    </row>
    <row r="202" spans="1:34" ht="12.75" customHeight="1" x14ac:dyDescent="0.3">
      <c r="A202" s="20" t="s">
        <v>39</v>
      </c>
      <c r="B202" s="34"/>
      <c r="C202" s="29" t="s">
        <v>154</v>
      </c>
      <c r="D202" s="36"/>
      <c r="E202" s="16">
        <v>97</v>
      </c>
      <c r="F202" s="16">
        <v>94</v>
      </c>
      <c r="G202" s="16">
        <v>9</v>
      </c>
      <c r="H202" s="16">
        <v>5</v>
      </c>
      <c r="I202" s="16">
        <v>4</v>
      </c>
      <c r="J202" s="16">
        <v>12</v>
      </c>
      <c r="K202" s="16">
        <v>1</v>
      </c>
      <c r="L202" s="16">
        <v>5</v>
      </c>
      <c r="M202" s="16">
        <v>55</v>
      </c>
      <c r="N202" s="16">
        <v>39</v>
      </c>
      <c r="O202" s="16">
        <v>20</v>
      </c>
      <c r="P202" s="16">
        <v>15</v>
      </c>
      <c r="Q202" s="16">
        <v>7</v>
      </c>
      <c r="R202" s="16">
        <v>2</v>
      </c>
      <c r="S202" s="16">
        <v>11</v>
      </c>
      <c r="T202" s="16">
        <v>7</v>
      </c>
      <c r="U202" s="16">
        <v>12</v>
      </c>
      <c r="V202" s="16">
        <v>8</v>
      </c>
      <c r="W202" s="16">
        <v>4</v>
      </c>
      <c r="X202" s="16">
        <v>3</v>
      </c>
      <c r="Y202" s="16">
        <v>6</v>
      </c>
      <c r="Z202" s="16">
        <v>6</v>
      </c>
      <c r="AA202" s="16">
        <v>5</v>
      </c>
      <c r="AB202" s="16">
        <v>4</v>
      </c>
      <c r="AC202" s="16">
        <v>1</v>
      </c>
      <c r="AD202" s="16">
        <v>4</v>
      </c>
      <c r="AE202" s="16">
        <v>2</v>
      </c>
      <c r="AF202" s="13">
        <f t="shared" si="351"/>
        <v>438</v>
      </c>
      <c r="AG202" s="5"/>
      <c r="AH202" s="5"/>
    </row>
    <row r="203" spans="1:34" ht="12.75" customHeight="1" x14ac:dyDescent="0.3">
      <c r="A203" s="15"/>
      <c r="B203" s="34"/>
      <c r="C203" s="29" t="s">
        <v>155</v>
      </c>
      <c r="D203" s="36"/>
      <c r="E203" s="16">
        <v>4</v>
      </c>
      <c r="F203" s="16">
        <v>3</v>
      </c>
      <c r="G203" s="16">
        <v>1</v>
      </c>
      <c r="H203" s="16">
        <v>0</v>
      </c>
      <c r="I203" s="16">
        <v>0</v>
      </c>
      <c r="J203" s="16">
        <v>0</v>
      </c>
      <c r="K203" s="16">
        <v>1</v>
      </c>
      <c r="L203" s="16">
        <v>1</v>
      </c>
      <c r="M203" s="16">
        <v>1</v>
      </c>
      <c r="N203" s="16">
        <v>4</v>
      </c>
      <c r="O203" s="16">
        <v>1</v>
      </c>
      <c r="P203" s="16">
        <v>2</v>
      </c>
      <c r="Q203" s="16">
        <v>1</v>
      </c>
      <c r="R203" s="16">
        <v>1</v>
      </c>
      <c r="S203" s="16">
        <v>1</v>
      </c>
      <c r="T203" s="16">
        <v>2</v>
      </c>
      <c r="U203" s="16">
        <v>0</v>
      </c>
      <c r="V203" s="16">
        <v>1</v>
      </c>
      <c r="W203" s="16">
        <v>1</v>
      </c>
      <c r="X203" s="16">
        <v>2</v>
      </c>
      <c r="Y203" s="16">
        <v>1</v>
      </c>
      <c r="Z203" s="16">
        <v>1</v>
      </c>
      <c r="AA203" s="16">
        <v>0</v>
      </c>
      <c r="AB203" s="16">
        <v>4</v>
      </c>
      <c r="AC203" s="16">
        <v>0</v>
      </c>
      <c r="AD203" s="16">
        <v>1</v>
      </c>
      <c r="AE203" s="16">
        <v>0</v>
      </c>
      <c r="AF203" s="13">
        <f t="shared" si="351"/>
        <v>34</v>
      </c>
      <c r="AG203" s="5"/>
      <c r="AH203" s="5"/>
    </row>
    <row r="204" spans="1:34" ht="12.75" customHeight="1" x14ac:dyDescent="0.3">
      <c r="A204" s="15"/>
      <c r="B204" s="34"/>
      <c r="C204" s="29" t="s">
        <v>156</v>
      </c>
      <c r="D204" s="36"/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2</v>
      </c>
      <c r="M204" s="16">
        <v>0</v>
      </c>
      <c r="N204" s="16">
        <v>0</v>
      </c>
      <c r="O204" s="16">
        <v>1</v>
      </c>
      <c r="P204" s="16">
        <v>1</v>
      </c>
      <c r="Q204" s="16">
        <v>0</v>
      </c>
      <c r="R204" s="16">
        <v>1</v>
      </c>
      <c r="S204" s="16">
        <v>0</v>
      </c>
      <c r="T204" s="16">
        <v>0</v>
      </c>
      <c r="U204" s="16">
        <v>2</v>
      </c>
      <c r="V204" s="16">
        <v>1</v>
      </c>
      <c r="W204" s="16">
        <v>1</v>
      </c>
      <c r="X204" s="16">
        <v>1</v>
      </c>
      <c r="Y204" s="16">
        <v>1</v>
      </c>
      <c r="Z204" s="16">
        <v>0</v>
      </c>
      <c r="AA204" s="16">
        <v>0</v>
      </c>
      <c r="AB204" s="16">
        <v>0</v>
      </c>
      <c r="AC204" s="16">
        <v>1</v>
      </c>
      <c r="AD204" s="16">
        <v>0</v>
      </c>
      <c r="AE204" s="16">
        <v>0</v>
      </c>
      <c r="AF204" s="13">
        <f t="shared" si="351"/>
        <v>12</v>
      </c>
      <c r="AG204" s="5"/>
      <c r="AH204" s="5"/>
    </row>
    <row r="205" spans="1:34" ht="12.75" customHeight="1" x14ac:dyDescent="0.3">
      <c r="A205" s="15"/>
      <c r="B205" s="34"/>
      <c r="C205" s="29" t="s">
        <v>157</v>
      </c>
      <c r="D205" s="36"/>
      <c r="E205" s="16">
        <v>0</v>
      </c>
      <c r="F205" s="16">
        <v>0</v>
      </c>
      <c r="G205" s="16">
        <v>0</v>
      </c>
      <c r="H205" s="16">
        <v>1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1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3">
        <f t="shared" si="351"/>
        <v>2</v>
      </c>
      <c r="AG205" s="5"/>
      <c r="AH205" s="5"/>
    </row>
    <row r="206" spans="1:34" ht="12.75" customHeight="1" x14ac:dyDescent="0.3">
      <c r="A206" s="15"/>
      <c r="B206" s="34"/>
      <c r="C206" s="29" t="s">
        <v>158</v>
      </c>
      <c r="D206" s="36"/>
      <c r="E206" s="16">
        <v>1</v>
      </c>
      <c r="F206" s="16">
        <v>0</v>
      </c>
      <c r="G206" s="16">
        <v>1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1</v>
      </c>
      <c r="P206" s="16">
        <v>0</v>
      </c>
      <c r="Q206" s="16">
        <v>2</v>
      </c>
      <c r="R206" s="16">
        <v>0</v>
      </c>
      <c r="S206" s="16">
        <v>0</v>
      </c>
      <c r="T206" s="16">
        <v>1</v>
      </c>
      <c r="U206" s="16">
        <v>0</v>
      </c>
      <c r="V206" s="16">
        <v>0</v>
      </c>
      <c r="W206" s="16">
        <v>0</v>
      </c>
      <c r="X206" s="16">
        <v>1</v>
      </c>
      <c r="Y206" s="16">
        <v>0</v>
      </c>
      <c r="Z206" s="16">
        <v>0</v>
      </c>
      <c r="AA206" s="16">
        <v>1</v>
      </c>
      <c r="AB206" s="16">
        <v>0</v>
      </c>
      <c r="AC206" s="16">
        <v>0</v>
      </c>
      <c r="AD206" s="16">
        <v>0</v>
      </c>
      <c r="AE206" s="16">
        <v>0</v>
      </c>
      <c r="AF206" s="13">
        <f t="shared" si="351"/>
        <v>8</v>
      </c>
      <c r="AG206" s="5"/>
      <c r="AH206" s="5"/>
    </row>
    <row r="207" spans="1:34" ht="12.75" customHeight="1" x14ac:dyDescent="0.3">
      <c r="A207" s="15"/>
      <c r="B207" s="34"/>
      <c r="C207" s="29" t="s">
        <v>159</v>
      </c>
      <c r="D207" s="36"/>
      <c r="E207" s="16">
        <v>1</v>
      </c>
      <c r="F207" s="16">
        <v>0</v>
      </c>
      <c r="G207" s="16">
        <v>0</v>
      </c>
      <c r="H207" s="16">
        <v>0</v>
      </c>
      <c r="I207" s="16">
        <v>0</v>
      </c>
      <c r="J207" s="16">
        <v>1</v>
      </c>
      <c r="K207" s="16">
        <v>0</v>
      </c>
      <c r="L207" s="16">
        <v>1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3">
        <f t="shared" si="351"/>
        <v>3</v>
      </c>
      <c r="AG207" s="1"/>
      <c r="AH207" s="1"/>
    </row>
    <row r="208" spans="1:34" ht="12.75" customHeight="1" x14ac:dyDescent="0.3">
      <c r="A208" s="15"/>
      <c r="B208" s="34"/>
      <c r="C208" s="29" t="s">
        <v>160</v>
      </c>
      <c r="D208" s="36"/>
      <c r="E208" s="16">
        <v>2</v>
      </c>
      <c r="F208" s="16">
        <v>1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3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1</v>
      </c>
      <c r="S208" s="16">
        <v>0</v>
      </c>
      <c r="T208" s="16">
        <v>0</v>
      </c>
      <c r="U208" s="16">
        <v>0</v>
      </c>
      <c r="V208" s="16">
        <v>0</v>
      </c>
      <c r="W208" s="16">
        <v>1</v>
      </c>
      <c r="X208" s="16">
        <v>0</v>
      </c>
      <c r="Y208" s="16">
        <v>0</v>
      </c>
      <c r="Z208" s="16">
        <v>1</v>
      </c>
      <c r="AA208" s="16">
        <v>0</v>
      </c>
      <c r="AB208" s="16">
        <v>0</v>
      </c>
      <c r="AC208" s="16">
        <v>0</v>
      </c>
      <c r="AD208" s="16">
        <v>0</v>
      </c>
      <c r="AE208" s="16">
        <v>1</v>
      </c>
      <c r="AF208" s="13">
        <f t="shared" si="351"/>
        <v>10</v>
      </c>
      <c r="AG208" s="31"/>
      <c r="AH208" s="31"/>
    </row>
    <row r="209" spans="1:34" ht="12.75" customHeight="1" x14ac:dyDescent="0.3">
      <c r="A209" s="15"/>
      <c r="B209" s="34"/>
      <c r="C209" s="29" t="s">
        <v>161</v>
      </c>
      <c r="D209" s="36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1</v>
      </c>
      <c r="Z209" s="16">
        <v>1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3">
        <f t="shared" si="351"/>
        <v>2</v>
      </c>
      <c r="AG209" s="31"/>
      <c r="AH209" s="31"/>
    </row>
    <row r="210" spans="1:34" ht="12.75" customHeight="1" x14ac:dyDescent="0.3">
      <c r="A210" s="15"/>
      <c r="B210" s="34"/>
      <c r="C210" s="29" t="s">
        <v>162</v>
      </c>
      <c r="D210" s="36"/>
      <c r="E210" s="16">
        <v>1</v>
      </c>
      <c r="F210" s="16">
        <v>1</v>
      </c>
      <c r="G210" s="16">
        <v>1</v>
      </c>
      <c r="H210" s="16">
        <v>2</v>
      </c>
      <c r="I210" s="16">
        <v>1</v>
      </c>
      <c r="J210" s="16">
        <v>1</v>
      </c>
      <c r="K210" s="16">
        <v>0</v>
      </c>
      <c r="L210" s="16">
        <v>0</v>
      </c>
      <c r="M210" s="16">
        <v>3</v>
      </c>
      <c r="N210" s="16">
        <v>1</v>
      </c>
      <c r="O210" s="16">
        <v>1</v>
      </c>
      <c r="P210" s="16">
        <v>0</v>
      </c>
      <c r="Q210" s="16">
        <v>0</v>
      </c>
      <c r="R210" s="16">
        <v>0</v>
      </c>
      <c r="S210" s="16">
        <v>1</v>
      </c>
      <c r="T210" s="16">
        <v>2</v>
      </c>
      <c r="U210" s="16">
        <v>2</v>
      </c>
      <c r="V210" s="16">
        <v>3</v>
      </c>
      <c r="W210" s="16">
        <v>4</v>
      </c>
      <c r="X210" s="16">
        <v>1</v>
      </c>
      <c r="Y210" s="16">
        <v>0</v>
      </c>
      <c r="Z210" s="16">
        <v>2</v>
      </c>
      <c r="AA210" s="16">
        <v>1</v>
      </c>
      <c r="AB210" s="16">
        <v>2</v>
      </c>
      <c r="AC210" s="16">
        <v>1</v>
      </c>
      <c r="AD210" s="16">
        <v>1</v>
      </c>
      <c r="AE210" s="16">
        <v>2</v>
      </c>
      <c r="AF210" s="13">
        <f t="shared" si="351"/>
        <v>34</v>
      </c>
      <c r="AG210" s="31"/>
      <c r="AH210" s="31"/>
    </row>
    <row r="211" spans="1:34" ht="12.75" customHeight="1" x14ac:dyDescent="0.3">
      <c r="A211" s="16" t="s">
        <v>15</v>
      </c>
      <c r="B211" s="60" t="s">
        <v>49</v>
      </c>
      <c r="C211" s="61"/>
      <c r="D211" s="59"/>
      <c r="E211" s="13">
        <f>SUM(E201:E210)</f>
        <v>112</v>
      </c>
      <c r="F211" s="13">
        <f t="shared" ref="F211" si="352">SUM(F201:F210)</f>
        <v>108</v>
      </c>
      <c r="G211" s="13">
        <f t="shared" ref="G211" si="353">SUM(G201:G210)</f>
        <v>17</v>
      </c>
      <c r="H211" s="13">
        <f t="shared" ref="H211" si="354">SUM(H201:H210)</f>
        <v>9</v>
      </c>
      <c r="I211" s="13">
        <f t="shared" ref="I211" si="355">SUM(I201:I210)</f>
        <v>5</v>
      </c>
      <c r="J211" s="13">
        <f t="shared" ref="J211" si="356">SUM(J201:J210)</f>
        <v>20</v>
      </c>
      <c r="K211" s="13">
        <f t="shared" ref="K211" si="357">SUM(K201:K210)</f>
        <v>5</v>
      </c>
      <c r="L211" s="13">
        <f t="shared" ref="L211" si="358">SUM(L201:L210)</f>
        <v>14</v>
      </c>
      <c r="M211" s="13">
        <f t="shared" ref="M211" si="359">SUM(M201:M210)</f>
        <v>68</v>
      </c>
      <c r="N211" s="13">
        <f t="shared" ref="N211" si="360">SUM(N201:N210)</f>
        <v>49</v>
      </c>
      <c r="O211" s="13">
        <f t="shared" ref="O211" si="361">SUM(O201:O210)</f>
        <v>29</v>
      </c>
      <c r="P211" s="13">
        <f t="shared" ref="P211" si="362">SUM(P201:P210)</f>
        <v>26</v>
      </c>
      <c r="Q211" s="13">
        <f t="shared" ref="Q211" si="363">SUM(Q201:Q210)</f>
        <v>15</v>
      </c>
      <c r="R211" s="13">
        <f t="shared" ref="R211" si="364">SUM(R201:R210)</f>
        <v>11</v>
      </c>
      <c r="S211" s="13">
        <f t="shared" ref="S211" si="365">SUM(S201:S210)</f>
        <v>21</v>
      </c>
      <c r="T211" s="13">
        <f t="shared" ref="T211" si="366">SUM(T201:T210)</f>
        <v>16</v>
      </c>
      <c r="U211" s="13">
        <f t="shared" ref="U211" si="367">SUM(U201:U210)</f>
        <v>24</v>
      </c>
      <c r="V211" s="13">
        <f t="shared" ref="V211" si="368">SUM(V201:V210)</f>
        <v>14</v>
      </c>
      <c r="W211" s="13">
        <f t="shared" ref="W211" si="369">SUM(W201:W210)</f>
        <v>11</v>
      </c>
      <c r="X211" s="13">
        <f t="shared" ref="X211" si="370">SUM(X201:X210)</f>
        <v>8</v>
      </c>
      <c r="Y211" s="13">
        <f t="shared" ref="Y211" si="371">SUM(Y201:Y210)</f>
        <v>10</v>
      </c>
      <c r="Z211" s="13">
        <f t="shared" ref="Z211" si="372">SUM(Z201:Z210)</f>
        <v>11</v>
      </c>
      <c r="AA211" s="13">
        <f t="shared" ref="AA211" si="373">SUM(AA201:AA210)</f>
        <v>8</v>
      </c>
      <c r="AB211" s="13">
        <f t="shared" ref="AB211" si="374">SUM(AB201:AB210)</f>
        <v>13</v>
      </c>
      <c r="AC211" s="13">
        <f t="shared" ref="AC211" si="375">SUM(AC201:AC210)</f>
        <v>3</v>
      </c>
      <c r="AD211" s="13">
        <f t="shared" ref="AD211" si="376">SUM(AD201:AD210)</f>
        <v>10</v>
      </c>
      <c r="AE211" s="13">
        <f t="shared" ref="AE211" si="377">SUM(AE201:AE210)</f>
        <v>7</v>
      </c>
      <c r="AF211" s="13">
        <f t="shared" ref="AF211" si="378">SUM(AF201:AF210)</f>
        <v>644</v>
      </c>
      <c r="AG211" s="5"/>
      <c r="AH211" s="5"/>
    </row>
    <row r="212" spans="1:34" ht="12.75" customHeight="1" x14ac:dyDescent="0.3">
      <c r="A212" s="62"/>
      <c r="B212" s="61"/>
      <c r="C212" s="61"/>
      <c r="D212" s="61"/>
      <c r="E212" s="59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"/>
      <c r="AH212" s="5"/>
    </row>
    <row r="213" spans="1:34" ht="12.75" customHeight="1" x14ac:dyDescent="0.3">
      <c r="A213" s="20" t="s">
        <v>37</v>
      </c>
      <c r="B213" s="27" t="s">
        <v>163</v>
      </c>
      <c r="C213" s="58" t="s">
        <v>164</v>
      </c>
      <c r="D213" s="59"/>
      <c r="E213" s="16">
        <v>0</v>
      </c>
      <c r="F213" s="16">
        <v>1</v>
      </c>
      <c r="G213" s="16">
        <v>1</v>
      </c>
      <c r="H213" s="16">
        <v>2</v>
      </c>
      <c r="I213" s="16">
        <v>1</v>
      </c>
      <c r="J213" s="16">
        <v>2</v>
      </c>
      <c r="K213" s="16">
        <v>0</v>
      </c>
      <c r="L213" s="16">
        <v>1</v>
      </c>
      <c r="M213" s="16">
        <v>3</v>
      </c>
      <c r="N213" s="16">
        <v>2</v>
      </c>
      <c r="O213" s="16">
        <v>2</v>
      </c>
      <c r="P213" s="16">
        <v>3</v>
      </c>
      <c r="Q213" s="16">
        <v>5</v>
      </c>
      <c r="R213" s="16">
        <v>0</v>
      </c>
      <c r="S213" s="16">
        <v>2</v>
      </c>
      <c r="T213" s="16">
        <v>2</v>
      </c>
      <c r="U213" s="16">
        <v>1</v>
      </c>
      <c r="V213" s="16">
        <v>1</v>
      </c>
      <c r="W213" s="16">
        <v>0</v>
      </c>
      <c r="X213" s="16">
        <v>2</v>
      </c>
      <c r="Y213" s="16">
        <v>5</v>
      </c>
      <c r="Z213" s="16">
        <v>0</v>
      </c>
      <c r="AA213" s="16">
        <v>3</v>
      </c>
      <c r="AB213" s="16">
        <v>2</v>
      </c>
      <c r="AC213" s="16">
        <v>2</v>
      </c>
      <c r="AD213" s="16">
        <v>5</v>
      </c>
      <c r="AE213" s="16">
        <v>2</v>
      </c>
      <c r="AF213" s="13">
        <f t="shared" ref="AF213:AF216" si="379">SUM(E213:AE213)</f>
        <v>50</v>
      </c>
      <c r="AG213" s="5"/>
      <c r="AH213" s="5"/>
    </row>
    <row r="214" spans="1:34" ht="12.75" customHeight="1" x14ac:dyDescent="0.3">
      <c r="A214" s="20" t="s">
        <v>39</v>
      </c>
      <c r="B214" s="34"/>
      <c r="C214" s="29" t="s">
        <v>165</v>
      </c>
      <c r="D214" s="35"/>
      <c r="E214" s="16">
        <v>1</v>
      </c>
      <c r="F214" s="16">
        <v>2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2</v>
      </c>
      <c r="M214" s="16">
        <v>5</v>
      </c>
      <c r="N214" s="16">
        <v>1</v>
      </c>
      <c r="O214" s="16">
        <v>1</v>
      </c>
      <c r="P214" s="16">
        <v>1</v>
      </c>
      <c r="Q214" s="16">
        <v>2</v>
      </c>
      <c r="R214" s="16">
        <v>1</v>
      </c>
      <c r="S214" s="16">
        <v>2</v>
      </c>
      <c r="T214" s="16">
        <v>1</v>
      </c>
      <c r="U214" s="16">
        <v>3</v>
      </c>
      <c r="V214" s="16">
        <v>4</v>
      </c>
      <c r="W214" s="16">
        <v>4</v>
      </c>
      <c r="X214" s="16">
        <v>2</v>
      </c>
      <c r="Y214" s="16">
        <v>1</v>
      </c>
      <c r="Z214" s="16">
        <v>1</v>
      </c>
      <c r="AA214" s="16">
        <v>2</v>
      </c>
      <c r="AB214" s="16">
        <v>2</v>
      </c>
      <c r="AC214" s="16">
        <v>1</v>
      </c>
      <c r="AD214" s="16">
        <v>1</v>
      </c>
      <c r="AE214" s="16">
        <v>1</v>
      </c>
      <c r="AF214" s="13">
        <f t="shared" si="379"/>
        <v>41</v>
      </c>
      <c r="AG214" s="5"/>
      <c r="AH214" s="5"/>
    </row>
    <row r="215" spans="1:34" ht="12.75" customHeight="1" x14ac:dyDescent="0.3">
      <c r="A215" s="15"/>
      <c r="B215" s="34"/>
      <c r="C215" s="29" t="s">
        <v>166</v>
      </c>
      <c r="D215" s="35"/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3</v>
      </c>
      <c r="K215" s="16">
        <v>1</v>
      </c>
      <c r="L215" s="16">
        <v>2</v>
      </c>
      <c r="M215" s="16">
        <v>0</v>
      </c>
      <c r="N215" s="16">
        <v>4</v>
      </c>
      <c r="O215" s="16">
        <v>2</v>
      </c>
      <c r="P215" s="16">
        <v>0</v>
      </c>
      <c r="Q215" s="16">
        <v>0</v>
      </c>
      <c r="R215" s="16">
        <v>2</v>
      </c>
      <c r="S215" s="16">
        <v>0</v>
      </c>
      <c r="T215" s="16">
        <v>2</v>
      </c>
      <c r="U215" s="16">
        <v>1</v>
      </c>
      <c r="V215" s="16">
        <v>4</v>
      </c>
      <c r="W215" s="16">
        <v>0</v>
      </c>
      <c r="X215" s="16">
        <v>3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1</v>
      </c>
      <c r="AF215" s="13">
        <f t="shared" si="379"/>
        <v>25</v>
      </c>
      <c r="AG215" s="5"/>
      <c r="AH215" s="5"/>
    </row>
    <row r="216" spans="1:34" ht="12.75" customHeight="1" x14ac:dyDescent="0.3">
      <c r="A216" s="15"/>
      <c r="B216" s="34"/>
      <c r="C216" s="29" t="s">
        <v>167</v>
      </c>
      <c r="D216" s="45"/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1</v>
      </c>
      <c r="L216" s="16">
        <v>0</v>
      </c>
      <c r="M216" s="16">
        <v>0</v>
      </c>
      <c r="N216" s="16">
        <v>1</v>
      </c>
      <c r="O216" s="16">
        <v>1</v>
      </c>
      <c r="P216" s="16">
        <v>1</v>
      </c>
      <c r="Q216" s="16">
        <v>0</v>
      </c>
      <c r="R216" s="16">
        <v>0</v>
      </c>
      <c r="S216" s="16">
        <v>0</v>
      </c>
      <c r="T216" s="16">
        <v>1</v>
      </c>
      <c r="U216" s="16">
        <v>0</v>
      </c>
      <c r="V216" s="16">
        <v>2</v>
      </c>
      <c r="W216" s="16">
        <v>0</v>
      </c>
      <c r="X216" s="16">
        <v>1</v>
      </c>
      <c r="Y216" s="16">
        <v>0</v>
      </c>
      <c r="Z216" s="16">
        <v>1</v>
      </c>
      <c r="AA216" s="16">
        <v>0</v>
      </c>
      <c r="AB216" s="16">
        <v>0</v>
      </c>
      <c r="AC216" s="16">
        <v>0</v>
      </c>
      <c r="AD216" s="16">
        <v>0</v>
      </c>
      <c r="AE216" s="16">
        <v>1</v>
      </c>
      <c r="AF216" s="13">
        <f t="shared" si="379"/>
        <v>10</v>
      </c>
      <c r="AG216" s="5"/>
      <c r="AH216" s="5"/>
    </row>
    <row r="217" spans="1:34" ht="12.75" customHeight="1" x14ac:dyDescent="0.3">
      <c r="A217" s="15"/>
      <c r="B217" s="37"/>
      <c r="C217" s="38"/>
      <c r="D217" s="4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56"/>
      <c r="AG217" s="5"/>
      <c r="AH217" s="5"/>
    </row>
    <row r="218" spans="1:34" ht="12.75" customHeight="1" x14ac:dyDescent="0.3">
      <c r="A218" s="15"/>
      <c r="B218" s="37"/>
      <c r="C218" s="38"/>
      <c r="D218" s="4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56"/>
      <c r="AG218" s="1"/>
      <c r="AH218" s="1"/>
    </row>
    <row r="219" spans="1:34" ht="12.75" customHeight="1" x14ac:dyDescent="0.3">
      <c r="A219" s="15"/>
      <c r="B219" s="37"/>
      <c r="C219" s="38"/>
      <c r="D219" s="4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56"/>
      <c r="AG219" s="31"/>
      <c r="AH219" s="31"/>
    </row>
    <row r="220" spans="1:34" ht="12.75" customHeight="1" x14ac:dyDescent="0.3">
      <c r="A220" s="15"/>
      <c r="B220" s="37"/>
      <c r="C220" s="38"/>
      <c r="D220" s="4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56"/>
      <c r="AG220" s="5"/>
      <c r="AH220" s="5"/>
    </row>
    <row r="221" spans="1:34" ht="12.75" customHeight="1" x14ac:dyDescent="0.3">
      <c r="A221" s="15"/>
      <c r="B221" s="37"/>
      <c r="C221" s="38"/>
      <c r="D221" s="4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56"/>
      <c r="AG221" s="5"/>
      <c r="AH221" s="5"/>
    </row>
    <row r="222" spans="1:34" ht="12.75" customHeight="1" x14ac:dyDescent="0.3">
      <c r="A222" s="15"/>
      <c r="B222" s="37"/>
      <c r="C222" s="38"/>
      <c r="D222" s="4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56"/>
      <c r="AG222" s="5"/>
      <c r="AH222" s="5"/>
    </row>
    <row r="223" spans="1:34" ht="12.75" customHeight="1" x14ac:dyDescent="0.3">
      <c r="A223" s="16" t="s">
        <v>15</v>
      </c>
      <c r="B223" s="60" t="s">
        <v>49</v>
      </c>
      <c r="C223" s="61"/>
      <c r="D223" s="59"/>
      <c r="E223" s="13">
        <f>SUM(E213:E222)</f>
        <v>1</v>
      </c>
      <c r="F223" s="13">
        <f t="shared" ref="F223" si="380">SUM(F213:F222)</f>
        <v>3</v>
      </c>
      <c r="G223" s="13">
        <f t="shared" ref="G223" si="381">SUM(G213:G222)</f>
        <v>1</v>
      </c>
      <c r="H223" s="13">
        <f t="shared" ref="H223" si="382">SUM(H213:H222)</f>
        <v>2</v>
      </c>
      <c r="I223" s="13">
        <f t="shared" ref="I223" si="383">SUM(I213:I222)</f>
        <v>1</v>
      </c>
      <c r="J223" s="13">
        <f t="shared" ref="J223" si="384">SUM(J213:J222)</f>
        <v>5</v>
      </c>
      <c r="K223" s="13">
        <f t="shared" ref="K223" si="385">SUM(K213:K222)</f>
        <v>2</v>
      </c>
      <c r="L223" s="13">
        <f t="shared" ref="L223" si="386">SUM(L213:L222)</f>
        <v>5</v>
      </c>
      <c r="M223" s="13">
        <f t="shared" ref="M223" si="387">SUM(M213:M222)</f>
        <v>8</v>
      </c>
      <c r="N223" s="13">
        <f t="shared" ref="N223" si="388">SUM(N213:N222)</f>
        <v>8</v>
      </c>
      <c r="O223" s="13">
        <f t="shared" ref="O223" si="389">SUM(O213:O222)</f>
        <v>6</v>
      </c>
      <c r="P223" s="13">
        <f t="shared" ref="P223" si="390">SUM(P213:P222)</f>
        <v>5</v>
      </c>
      <c r="Q223" s="13">
        <f t="shared" ref="Q223" si="391">SUM(Q213:Q222)</f>
        <v>7</v>
      </c>
      <c r="R223" s="13">
        <f t="shared" ref="R223" si="392">SUM(R213:R222)</f>
        <v>3</v>
      </c>
      <c r="S223" s="13">
        <f t="shared" ref="S223" si="393">SUM(S213:S222)</f>
        <v>4</v>
      </c>
      <c r="T223" s="13">
        <f t="shared" ref="T223" si="394">SUM(T213:T222)</f>
        <v>6</v>
      </c>
      <c r="U223" s="13">
        <f t="shared" ref="U223" si="395">SUM(U213:U222)</f>
        <v>5</v>
      </c>
      <c r="V223" s="13">
        <f t="shared" ref="V223" si="396">SUM(V213:V222)</f>
        <v>11</v>
      </c>
      <c r="W223" s="13">
        <f t="shared" ref="W223" si="397">SUM(W213:W222)</f>
        <v>4</v>
      </c>
      <c r="X223" s="13">
        <f t="shared" ref="X223" si="398">SUM(X213:X222)</f>
        <v>8</v>
      </c>
      <c r="Y223" s="13">
        <f t="shared" ref="Y223" si="399">SUM(Y213:Y222)</f>
        <v>6</v>
      </c>
      <c r="Z223" s="13">
        <f t="shared" ref="Z223" si="400">SUM(Z213:Z222)</f>
        <v>2</v>
      </c>
      <c r="AA223" s="13">
        <f t="shared" ref="AA223" si="401">SUM(AA213:AA222)</f>
        <v>5</v>
      </c>
      <c r="AB223" s="13">
        <f t="shared" ref="AB223" si="402">SUM(AB213:AB222)</f>
        <v>4</v>
      </c>
      <c r="AC223" s="13">
        <f t="shared" ref="AC223" si="403">SUM(AC213:AC222)</f>
        <v>3</v>
      </c>
      <c r="AD223" s="13">
        <f t="shared" ref="AD223" si="404">SUM(AD213:AD222)</f>
        <v>6</v>
      </c>
      <c r="AE223" s="13">
        <f t="shared" ref="AE223" si="405">SUM(AE213:AE222)</f>
        <v>5</v>
      </c>
      <c r="AF223" s="13">
        <f t="shared" ref="AF223" si="406">SUM(AF213:AF222)</f>
        <v>126</v>
      </c>
      <c r="AG223" s="5"/>
      <c r="AH223" s="5"/>
    </row>
    <row r="224" spans="1:34" ht="12.75" customHeight="1" x14ac:dyDescent="0.3">
      <c r="A224" s="62"/>
      <c r="B224" s="61"/>
      <c r="C224" s="61"/>
      <c r="D224" s="61"/>
      <c r="E224" s="59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"/>
      <c r="AH224" s="5"/>
    </row>
    <row r="225" spans="1:34" ht="12.75" customHeight="1" x14ac:dyDescent="0.3">
      <c r="A225" s="20" t="s">
        <v>37</v>
      </c>
      <c r="B225" s="27" t="s">
        <v>168</v>
      </c>
      <c r="C225" s="58" t="s">
        <v>169</v>
      </c>
      <c r="D225" s="59"/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1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3">
        <f t="shared" ref="AF225:AF229" si="407">SUM(E225:AE225)</f>
        <v>1</v>
      </c>
      <c r="AG225" s="5"/>
      <c r="AH225" s="5"/>
    </row>
    <row r="226" spans="1:34" ht="12.75" customHeight="1" x14ac:dyDescent="0.3">
      <c r="A226" s="20" t="s">
        <v>39</v>
      </c>
      <c r="B226" s="34"/>
      <c r="C226" s="29" t="s">
        <v>170</v>
      </c>
      <c r="D226" s="36"/>
      <c r="E226" s="16">
        <v>0</v>
      </c>
      <c r="F226" s="16">
        <v>0</v>
      </c>
      <c r="G226" s="16">
        <v>3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1</v>
      </c>
      <c r="S226" s="16">
        <v>0</v>
      </c>
      <c r="T226" s="16">
        <v>0</v>
      </c>
      <c r="U226" s="16">
        <v>1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3">
        <f t="shared" si="407"/>
        <v>5</v>
      </c>
      <c r="AG226" s="5"/>
      <c r="AH226" s="5"/>
    </row>
    <row r="227" spans="1:34" ht="12.75" customHeight="1" x14ac:dyDescent="0.3">
      <c r="A227" s="15"/>
      <c r="B227" s="34"/>
      <c r="C227" s="29" t="s">
        <v>171</v>
      </c>
      <c r="D227" s="36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1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3">
        <f t="shared" si="407"/>
        <v>1</v>
      </c>
      <c r="AG227" s="5"/>
      <c r="AH227" s="5"/>
    </row>
    <row r="228" spans="1:34" ht="12.75" customHeight="1" x14ac:dyDescent="0.3">
      <c r="A228" s="15"/>
      <c r="B228" s="34"/>
      <c r="C228" s="29" t="s">
        <v>172</v>
      </c>
      <c r="D228" s="36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3">
        <f t="shared" si="407"/>
        <v>0</v>
      </c>
      <c r="AG228" s="5"/>
      <c r="AH228" s="5"/>
    </row>
    <row r="229" spans="1:34" ht="12.75" customHeight="1" x14ac:dyDescent="0.3">
      <c r="A229" s="15"/>
      <c r="B229" s="34"/>
      <c r="C229" s="29" t="s">
        <v>173</v>
      </c>
      <c r="D229" s="36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1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3">
        <f t="shared" si="407"/>
        <v>1</v>
      </c>
      <c r="AG229" s="1"/>
      <c r="AH229" s="1"/>
    </row>
    <row r="230" spans="1:34" ht="12.75" customHeight="1" x14ac:dyDescent="0.3">
      <c r="A230" s="15"/>
      <c r="B230" s="37"/>
      <c r="C230" s="38"/>
      <c r="D230" s="39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56"/>
      <c r="AG230" s="31"/>
      <c r="AH230" s="31"/>
    </row>
    <row r="231" spans="1:34" ht="12.75" customHeight="1" x14ac:dyDescent="0.3">
      <c r="A231" s="15"/>
      <c r="B231" s="37"/>
      <c r="C231" s="38"/>
      <c r="D231" s="39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56"/>
      <c r="AG231" s="5"/>
      <c r="AH231" s="5"/>
    </row>
    <row r="232" spans="1:34" ht="12.75" customHeight="1" x14ac:dyDescent="0.3">
      <c r="A232" s="15"/>
      <c r="B232" s="37"/>
      <c r="C232" s="38"/>
      <c r="D232" s="39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56"/>
      <c r="AG232" s="5"/>
      <c r="AH232" s="5"/>
    </row>
    <row r="233" spans="1:34" ht="12.75" customHeight="1" x14ac:dyDescent="0.3">
      <c r="A233" s="15"/>
      <c r="B233" s="37"/>
      <c r="C233" s="38"/>
      <c r="D233" s="39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56"/>
      <c r="AG233" s="5"/>
      <c r="AH233" s="5"/>
    </row>
    <row r="234" spans="1:34" ht="12.75" customHeight="1" x14ac:dyDescent="0.3">
      <c r="A234" s="15"/>
      <c r="B234" s="37"/>
      <c r="C234" s="38"/>
      <c r="D234" s="39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56"/>
      <c r="AG234" s="5"/>
      <c r="AH234" s="5"/>
    </row>
    <row r="235" spans="1:34" ht="12.75" customHeight="1" x14ac:dyDescent="0.3">
      <c r="A235" s="16" t="s">
        <v>15</v>
      </c>
      <c r="B235" s="60" t="s">
        <v>49</v>
      </c>
      <c r="C235" s="61"/>
      <c r="D235" s="59"/>
      <c r="E235" s="13">
        <f>SUM(E225:E234)</f>
        <v>0</v>
      </c>
      <c r="F235" s="13">
        <f t="shared" ref="F235" si="408">SUM(F225:F234)</f>
        <v>0</v>
      </c>
      <c r="G235" s="13">
        <f t="shared" ref="G235" si="409">SUM(G225:G234)</f>
        <v>3</v>
      </c>
      <c r="H235" s="13">
        <f t="shared" ref="H235" si="410">SUM(H225:H234)</f>
        <v>0</v>
      </c>
      <c r="I235" s="13">
        <f t="shared" ref="I235" si="411">SUM(I225:I234)</f>
        <v>0</v>
      </c>
      <c r="J235" s="13">
        <f t="shared" ref="J235" si="412">SUM(J225:J234)</f>
        <v>0</v>
      </c>
      <c r="K235" s="13">
        <f t="shared" ref="K235" si="413">SUM(K225:K234)</f>
        <v>0</v>
      </c>
      <c r="L235" s="13">
        <f t="shared" ref="L235" si="414">SUM(L225:L234)</f>
        <v>1</v>
      </c>
      <c r="M235" s="13">
        <f t="shared" ref="M235" si="415">SUM(M225:M234)</f>
        <v>0</v>
      </c>
      <c r="N235" s="13">
        <f t="shared" ref="N235" si="416">SUM(N225:N234)</f>
        <v>0</v>
      </c>
      <c r="O235" s="13">
        <f t="shared" ref="O235" si="417">SUM(O225:O234)</f>
        <v>1</v>
      </c>
      <c r="P235" s="13">
        <f t="shared" ref="P235" si="418">SUM(P225:P234)</f>
        <v>0</v>
      </c>
      <c r="Q235" s="13">
        <f t="shared" ref="Q235" si="419">SUM(Q225:Q234)</f>
        <v>0</v>
      </c>
      <c r="R235" s="13">
        <f t="shared" ref="R235" si="420">SUM(R225:R234)</f>
        <v>1</v>
      </c>
      <c r="S235" s="13">
        <f t="shared" ref="S235" si="421">SUM(S225:S234)</f>
        <v>0</v>
      </c>
      <c r="T235" s="13">
        <f t="shared" ref="T235" si="422">SUM(T225:T234)</f>
        <v>1</v>
      </c>
      <c r="U235" s="13">
        <f t="shared" ref="U235" si="423">SUM(U225:U234)</f>
        <v>1</v>
      </c>
      <c r="V235" s="13">
        <f t="shared" ref="V235" si="424">SUM(V225:V234)</f>
        <v>0</v>
      </c>
      <c r="W235" s="13">
        <f t="shared" ref="W235" si="425">SUM(W225:W234)</f>
        <v>0</v>
      </c>
      <c r="X235" s="13">
        <f t="shared" ref="X235" si="426">SUM(X225:X234)</f>
        <v>0</v>
      </c>
      <c r="Y235" s="13">
        <f t="shared" ref="Y235" si="427">SUM(Y225:Y234)</f>
        <v>0</v>
      </c>
      <c r="Z235" s="13">
        <f t="shared" ref="Z235" si="428">SUM(Z225:Z234)</f>
        <v>0</v>
      </c>
      <c r="AA235" s="13">
        <f t="shared" ref="AA235" si="429">SUM(AA225:AA234)</f>
        <v>0</v>
      </c>
      <c r="AB235" s="13">
        <f t="shared" ref="AB235" si="430">SUM(AB225:AB234)</f>
        <v>0</v>
      </c>
      <c r="AC235" s="13">
        <f t="shared" ref="AC235" si="431">SUM(AC225:AC234)</f>
        <v>0</v>
      </c>
      <c r="AD235" s="13">
        <f t="shared" ref="AD235" si="432">SUM(AD225:AD234)</f>
        <v>0</v>
      </c>
      <c r="AE235" s="13">
        <f t="shared" ref="AE235" si="433">SUM(AE225:AE234)</f>
        <v>0</v>
      </c>
      <c r="AF235" s="13">
        <f t="shared" ref="AF235" si="434">SUM(AF225:AF234)</f>
        <v>8</v>
      </c>
      <c r="AG235" s="5"/>
      <c r="AH235" s="5"/>
    </row>
    <row r="236" spans="1:34" ht="12.75" customHeight="1" x14ac:dyDescent="0.3">
      <c r="A236" s="62"/>
      <c r="B236" s="61"/>
      <c r="C236" s="61"/>
      <c r="D236" s="61"/>
      <c r="E236" s="59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"/>
      <c r="AH236" s="5"/>
    </row>
    <row r="237" spans="1:34" ht="12.75" customHeight="1" x14ac:dyDescent="0.3">
      <c r="A237" s="20" t="s">
        <v>37</v>
      </c>
      <c r="B237" s="27" t="s">
        <v>174</v>
      </c>
      <c r="C237" s="58" t="s">
        <v>175</v>
      </c>
      <c r="D237" s="59"/>
      <c r="E237" s="16">
        <v>1</v>
      </c>
      <c r="F237" s="16">
        <v>2</v>
      </c>
      <c r="G237" s="16">
        <v>1</v>
      </c>
      <c r="H237" s="16">
        <v>1</v>
      </c>
      <c r="I237" s="16">
        <v>0</v>
      </c>
      <c r="J237" s="16">
        <v>0</v>
      </c>
      <c r="K237" s="16">
        <v>1</v>
      </c>
      <c r="L237" s="16">
        <v>2</v>
      </c>
      <c r="M237" s="16">
        <v>0</v>
      </c>
      <c r="N237" s="16">
        <v>3</v>
      </c>
      <c r="O237" s="16">
        <v>0</v>
      </c>
      <c r="P237" s="16">
        <v>0</v>
      </c>
      <c r="Q237" s="16">
        <v>1</v>
      </c>
      <c r="R237" s="16">
        <v>2</v>
      </c>
      <c r="S237" s="16">
        <v>1</v>
      </c>
      <c r="T237" s="16">
        <v>1</v>
      </c>
      <c r="U237" s="16">
        <v>0</v>
      </c>
      <c r="V237" s="16">
        <v>0</v>
      </c>
      <c r="W237" s="16">
        <v>1</v>
      </c>
      <c r="X237" s="16">
        <v>1</v>
      </c>
      <c r="Y237" s="16">
        <v>2</v>
      </c>
      <c r="Z237" s="16">
        <v>2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3">
        <f t="shared" ref="AF237:AF246" si="435">SUM(E237:AE237)</f>
        <v>22</v>
      </c>
      <c r="AG237" s="5"/>
      <c r="AH237" s="5"/>
    </row>
    <row r="238" spans="1:34" ht="12.75" customHeight="1" x14ac:dyDescent="0.3">
      <c r="A238" s="20" t="s">
        <v>39</v>
      </c>
      <c r="B238" s="34"/>
      <c r="C238" s="29" t="s">
        <v>176</v>
      </c>
      <c r="D238" s="36"/>
      <c r="E238" s="16">
        <v>1</v>
      </c>
      <c r="F238" s="16">
        <v>1</v>
      </c>
      <c r="G238" s="16">
        <v>2</v>
      </c>
      <c r="H238" s="16">
        <v>0</v>
      </c>
      <c r="I238" s="16">
        <v>1</v>
      </c>
      <c r="J238" s="16">
        <v>0</v>
      </c>
      <c r="K238" s="16">
        <v>2</v>
      </c>
      <c r="L238" s="16">
        <v>2</v>
      </c>
      <c r="M238" s="16">
        <v>1</v>
      </c>
      <c r="N238" s="16">
        <v>2</v>
      </c>
      <c r="O238" s="16">
        <v>1</v>
      </c>
      <c r="P238" s="16">
        <v>0</v>
      </c>
      <c r="Q238" s="16">
        <v>0</v>
      </c>
      <c r="R238" s="16">
        <v>1</v>
      </c>
      <c r="S238" s="16">
        <v>0</v>
      </c>
      <c r="T238" s="16">
        <v>0</v>
      </c>
      <c r="U238" s="16">
        <v>0</v>
      </c>
      <c r="V238" s="16">
        <v>0</v>
      </c>
      <c r="W238" s="16">
        <v>1</v>
      </c>
      <c r="X238" s="16">
        <v>1</v>
      </c>
      <c r="Y238" s="16">
        <v>0</v>
      </c>
      <c r="Z238" s="16">
        <v>1</v>
      </c>
      <c r="AA238" s="16">
        <v>0</v>
      </c>
      <c r="AB238" s="16">
        <v>2</v>
      </c>
      <c r="AC238" s="16">
        <v>0</v>
      </c>
      <c r="AD238" s="16">
        <v>0</v>
      </c>
      <c r="AE238" s="16">
        <v>0</v>
      </c>
      <c r="AF238" s="13">
        <f t="shared" si="435"/>
        <v>19</v>
      </c>
      <c r="AG238" s="5"/>
      <c r="AH238" s="5"/>
    </row>
    <row r="239" spans="1:34" ht="12.75" customHeight="1" x14ac:dyDescent="0.3">
      <c r="A239" s="15"/>
      <c r="B239" s="34"/>
      <c r="C239" s="29" t="s">
        <v>177</v>
      </c>
      <c r="D239" s="36"/>
      <c r="E239" s="16">
        <v>0</v>
      </c>
      <c r="F239" s="16">
        <v>1</v>
      </c>
      <c r="G239" s="16">
        <v>4</v>
      </c>
      <c r="H239" s="16">
        <v>0</v>
      </c>
      <c r="I239" s="16">
        <v>0</v>
      </c>
      <c r="J239" s="16">
        <v>0</v>
      </c>
      <c r="K239" s="16">
        <v>1</v>
      </c>
      <c r="L239" s="16">
        <v>0</v>
      </c>
      <c r="M239" s="16">
        <v>1</v>
      </c>
      <c r="N239" s="16">
        <v>1</v>
      </c>
      <c r="O239" s="16">
        <v>0</v>
      </c>
      <c r="P239" s="16">
        <v>0</v>
      </c>
      <c r="Q239" s="16">
        <v>4</v>
      </c>
      <c r="R239" s="16">
        <v>21</v>
      </c>
      <c r="S239" s="16">
        <v>0</v>
      </c>
      <c r="T239" s="16">
        <v>0</v>
      </c>
      <c r="U239" s="16">
        <v>2</v>
      </c>
      <c r="V239" s="16">
        <v>0</v>
      </c>
      <c r="W239" s="16">
        <v>0</v>
      </c>
      <c r="X239" s="16">
        <v>0</v>
      </c>
      <c r="Y239" s="16">
        <v>1</v>
      </c>
      <c r="Z239" s="16">
        <v>5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3">
        <f t="shared" si="435"/>
        <v>41</v>
      </c>
      <c r="AG239" s="5"/>
      <c r="AH239" s="5"/>
    </row>
    <row r="240" spans="1:34" ht="12.75" customHeight="1" x14ac:dyDescent="0.3">
      <c r="A240" s="15"/>
      <c r="B240" s="34"/>
      <c r="C240" s="29" t="s">
        <v>178</v>
      </c>
      <c r="D240" s="36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1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1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3">
        <f t="shared" si="435"/>
        <v>2</v>
      </c>
      <c r="AG240" s="1"/>
      <c r="AH240" s="1"/>
    </row>
    <row r="241" spans="1:32" ht="12.75" customHeight="1" x14ac:dyDescent="0.3">
      <c r="A241" s="15"/>
      <c r="B241" s="34"/>
      <c r="C241" s="29" t="s">
        <v>179</v>
      </c>
      <c r="D241" s="36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1</v>
      </c>
      <c r="S241" s="16">
        <v>0</v>
      </c>
      <c r="T241" s="16">
        <v>0</v>
      </c>
      <c r="U241" s="16">
        <v>1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3">
        <f t="shared" si="435"/>
        <v>2</v>
      </c>
    </row>
    <row r="242" spans="1:32" ht="12.75" customHeight="1" x14ac:dyDescent="0.3">
      <c r="A242" s="15"/>
      <c r="B242" s="34"/>
      <c r="C242" s="29" t="s">
        <v>180</v>
      </c>
      <c r="D242" s="36"/>
      <c r="E242" s="16">
        <v>0</v>
      </c>
      <c r="F242" s="16">
        <v>0</v>
      </c>
      <c r="G242" s="16">
        <v>0</v>
      </c>
      <c r="H242" s="16">
        <v>0</v>
      </c>
      <c r="I242" s="16">
        <v>1</v>
      </c>
      <c r="J242" s="16">
        <v>0</v>
      </c>
      <c r="K242" s="16">
        <v>1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0</v>
      </c>
      <c r="R242" s="16">
        <v>1</v>
      </c>
      <c r="S242" s="16">
        <v>0</v>
      </c>
      <c r="T242" s="16">
        <v>1</v>
      </c>
      <c r="U242" s="16">
        <v>0</v>
      </c>
      <c r="V242" s="16">
        <v>0</v>
      </c>
      <c r="W242" s="16">
        <v>2</v>
      </c>
      <c r="X242" s="16">
        <v>0</v>
      </c>
      <c r="Y242" s="16">
        <v>3</v>
      </c>
      <c r="Z242" s="16">
        <v>7</v>
      </c>
      <c r="AA242" s="16">
        <v>4</v>
      </c>
      <c r="AB242" s="16">
        <v>0</v>
      </c>
      <c r="AC242" s="16">
        <v>0</v>
      </c>
      <c r="AD242" s="16">
        <v>0</v>
      </c>
      <c r="AE242" s="16">
        <v>0</v>
      </c>
      <c r="AF242" s="13">
        <f t="shared" si="435"/>
        <v>20</v>
      </c>
    </row>
    <row r="243" spans="1:32" ht="12.75" customHeight="1" x14ac:dyDescent="0.3">
      <c r="A243" s="15"/>
      <c r="B243" s="34"/>
      <c r="C243" s="29" t="s">
        <v>181</v>
      </c>
      <c r="D243" s="36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3">
        <f t="shared" si="435"/>
        <v>0</v>
      </c>
    </row>
    <row r="244" spans="1:32" ht="12.75" customHeight="1" x14ac:dyDescent="0.3">
      <c r="A244" s="15"/>
      <c r="B244" s="34"/>
      <c r="C244" s="29" t="s">
        <v>182</v>
      </c>
      <c r="D244" s="36"/>
      <c r="E244" s="16">
        <v>0</v>
      </c>
      <c r="F244" s="16">
        <v>0</v>
      </c>
      <c r="G244" s="16">
        <v>1</v>
      </c>
      <c r="H244" s="16">
        <v>0</v>
      </c>
      <c r="I244" s="16">
        <v>0</v>
      </c>
      <c r="J244" s="16">
        <v>0</v>
      </c>
      <c r="K244" s="16">
        <v>1</v>
      </c>
      <c r="L244" s="16">
        <v>1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1</v>
      </c>
      <c r="X244" s="16">
        <v>0</v>
      </c>
      <c r="Y244" s="16">
        <v>0</v>
      </c>
      <c r="Z244" s="16">
        <v>0</v>
      </c>
      <c r="AA244" s="16">
        <v>1</v>
      </c>
      <c r="AB244" s="16">
        <v>0</v>
      </c>
      <c r="AC244" s="16">
        <v>0</v>
      </c>
      <c r="AD244" s="16">
        <v>0</v>
      </c>
      <c r="AE244" s="16">
        <v>0</v>
      </c>
      <c r="AF244" s="13">
        <f t="shared" si="435"/>
        <v>5</v>
      </c>
    </row>
    <row r="245" spans="1:32" ht="12.75" customHeight="1" x14ac:dyDescent="0.3">
      <c r="A245" s="15"/>
      <c r="B245" s="34"/>
      <c r="C245" s="29" t="s">
        <v>183</v>
      </c>
      <c r="D245" s="36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2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1</v>
      </c>
      <c r="Z245" s="16">
        <v>0</v>
      </c>
      <c r="AA245" s="16">
        <v>0</v>
      </c>
      <c r="AB245" s="16">
        <v>0</v>
      </c>
      <c r="AC245" s="16">
        <v>0</v>
      </c>
      <c r="AD245" s="16">
        <v>1</v>
      </c>
      <c r="AE245" s="16">
        <v>0</v>
      </c>
      <c r="AF245" s="13">
        <f t="shared" si="435"/>
        <v>4</v>
      </c>
    </row>
    <row r="246" spans="1:32" ht="12.75" customHeight="1" x14ac:dyDescent="0.3">
      <c r="A246" s="15"/>
      <c r="B246" s="34"/>
      <c r="C246" s="29" t="s">
        <v>184</v>
      </c>
      <c r="D246" s="36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1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3">
        <f t="shared" si="435"/>
        <v>1</v>
      </c>
    </row>
    <row r="247" spans="1:32" ht="12.75" customHeight="1" x14ac:dyDescent="0.3">
      <c r="A247" s="16" t="s">
        <v>15</v>
      </c>
      <c r="B247" s="60" t="s">
        <v>49</v>
      </c>
      <c r="C247" s="61"/>
      <c r="D247" s="59"/>
      <c r="E247" s="13">
        <f>SUM(E237:E246)</f>
        <v>2</v>
      </c>
      <c r="F247" s="13">
        <f t="shared" ref="F247" si="436">SUM(F237:F246)</f>
        <v>4</v>
      </c>
      <c r="G247" s="13">
        <f t="shared" ref="G247" si="437">SUM(G237:G246)</f>
        <v>8</v>
      </c>
      <c r="H247" s="13">
        <f t="shared" ref="H247" si="438">SUM(H237:H246)</f>
        <v>1</v>
      </c>
      <c r="I247" s="13">
        <f t="shared" ref="I247" si="439">SUM(I237:I246)</f>
        <v>2</v>
      </c>
      <c r="J247" s="13">
        <f t="shared" ref="J247" si="440">SUM(J237:J246)</f>
        <v>1</v>
      </c>
      <c r="K247" s="13">
        <f t="shared" ref="K247" si="441">SUM(K237:K246)</f>
        <v>6</v>
      </c>
      <c r="L247" s="13">
        <f t="shared" ref="L247" si="442">SUM(L237:L246)</f>
        <v>6</v>
      </c>
      <c r="M247" s="13">
        <f t="shared" ref="M247" si="443">SUM(M237:M246)</f>
        <v>2</v>
      </c>
      <c r="N247" s="13">
        <f t="shared" ref="N247" si="444">SUM(N237:N246)</f>
        <v>8</v>
      </c>
      <c r="O247" s="13">
        <f t="shared" ref="O247" si="445">SUM(O237:O246)</f>
        <v>1</v>
      </c>
      <c r="P247" s="13">
        <f t="shared" ref="P247" si="446">SUM(P237:P246)</f>
        <v>0</v>
      </c>
      <c r="Q247" s="13">
        <f t="shared" ref="Q247" si="447">SUM(Q237:Q246)</f>
        <v>5</v>
      </c>
      <c r="R247" s="13">
        <f t="shared" ref="R247" si="448">SUM(R237:R246)</f>
        <v>26</v>
      </c>
      <c r="S247" s="13">
        <f t="shared" ref="S247" si="449">SUM(S237:S246)</f>
        <v>1</v>
      </c>
      <c r="T247" s="13">
        <f t="shared" ref="T247" si="450">SUM(T237:T246)</f>
        <v>2</v>
      </c>
      <c r="U247" s="13">
        <f t="shared" ref="U247" si="451">SUM(U237:U246)</f>
        <v>3</v>
      </c>
      <c r="V247" s="13">
        <f t="shared" ref="V247" si="452">SUM(V237:V246)</f>
        <v>0</v>
      </c>
      <c r="W247" s="13">
        <f t="shared" ref="W247" si="453">SUM(W237:W246)</f>
        <v>5</v>
      </c>
      <c r="X247" s="13">
        <f t="shared" ref="X247" si="454">SUM(X237:X246)</f>
        <v>3</v>
      </c>
      <c r="Y247" s="13">
        <f t="shared" ref="Y247" si="455">SUM(Y237:Y246)</f>
        <v>7</v>
      </c>
      <c r="Z247" s="13">
        <f t="shared" ref="Z247" si="456">SUM(Z237:Z246)</f>
        <v>15</v>
      </c>
      <c r="AA247" s="13">
        <f t="shared" ref="AA247" si="457">SUM(AA237:AA246)</f>
        <v>5</v>
      </c>
      <c r="AB247" s="13">
        <f t="shared" ref="AB247" si="458">SUM(AB237:AB246)</f>
        <v>2</v>
      </c>
      <c r="AC247" s="13">
        <f t="shared" ref="AC247" si="459">SUM(AC237:AC246)</f>
        <v>0</v>
      </c>
      <c r="AD247" s="13">
        <f t="shared" ref="AD247" si="460">SUM(AD237:AD246)</f>
        <v>1</v>
      </c>
      <c r="AE247" s="13">
        <f t="shared" ref="AE247" si="461">SUM(AE237:AE246)</f>
        <v>0</v>
      </c>
      <c r="AF247" s="13">
        <f t="shared" ref="AF247" si="462">SUM(AF237:AF246)</f>
        <v>116</v>
      </c>
    </row>
    <row r="248" spans="1:32" ht="12.75" customHeight="1" x14ac:dyDescent="0.3">
      <c r="A248" s="62"/>
      <c r="B248" s="61"/>
      <c r="C248" s="61"/>
      <c r="D248" s="61"/>
      <c r="E248" s="59"/>
    </row>
    <row r="249" spans="1:32" ht="12.75" customHeight="1" x14ac:dyDescent="0.3">
      <c r="A249" s="20" t="s">
        <v>37</v>
      </c>
      <c r="B249" s="27" t="s">
        <v>185</v>
      </c>
      <c r="C249" s="58" t="s">
        <v>186</v>
      </c>
      <c r="D249" s="59"/>
      <c r="E249" s="16">
        <v>0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1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0</v>
      </c>
      <c r="T249" s="16">
        <v>1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1</v>
      </c>
      <c r="AF249" s="13">
        <f t="shared" ref="AF249:AF252" si="463">SUM(E249:AE249)</f>
        <v>3</v>
      </c>
    </row>
    <row r="250" spans="1:32" ht="12.75" customHeight="1" x14ac:dyDescent="0.3">
      <c r="A250" s="20" t="s">
        <v>39</v>
      </c>
      <c r="B250" s="34"/>
      <c r="C250" s="29" t="s">
        <v>187</v>
      </c>
      <c r="D250" s="36"/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1</v>
      </c>
      <c r="M250" s="16">
        <v>0</v>
      </c>
      <c r="N250" s="16">
        <v>0</v>
      </c>
      <c r="O250" s="16">
        <v>1</v>
      </c>
      <c r="P250" s="16">
        <v>0</v>
      </c>
      <c r="Q250" s="16">
        <v>0</v>
      </c>
      <c r="R250" s="16">
        <v>0</v>
      </c>
      <c r="S250" s="16">
        <v>1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3">
        <f t="shared" si="463"/>
        <v>3</v>
      </c>
    </row>
    <row r="251" spans="1:32" ht="12.75" customHeight="1" x14ac:dyDescent="0.3">
      <c r="A251" s="15"/>
      <c r="B251" s="34"/>
      <c r="C251" s="29" t="s">
        <v>188</v>
      </c>
      <c r="D251" s="36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3">
        <f t="shared" si="463"/>
        <v>0</v>
      </c>
    </row>
    <row r="252" spans="1:32" ht="12.75" customHeight="1" x14ac:dyDescent="0.3">
      <c r="A252" s="15"/>
      <c r="B252" s="34"/>
      <c r="C252" s="29" t="s">
        <v>189</v>
      </c>
      <c r="D252" s="36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1</v>
      </c>
      <c r="Y252" s="16">
        <v>1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3">
        <f t="shared" si="463"/>
        <v>2</v>
      </c>
    </row>
    <row r="253" spans="1:32" ht="12.75" customHeight="1" x14ac:dyDescent="0.3">
      <c r="A253" s="15"/>
      <c r="B253" s="37"/>
      <c r="C253" s="44"/>
      <c r="D253" s="39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56"/>
    </row>
    <row r="254" spans="1:32" ht="12.75" customHeight="1" x14ac:dyDescent="0.3">
      <c r="A254" s="15"/>
      <c r="B254" s="37"/>
      <c r="C254" s="44"/>
      <c r="D254" s="39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56"/>
    </row>
    <row r="255" spans="1:32" ht="12.75" customHeight="1" x14ac:dyDescent="0.3">
      <c r="A255" s="15"/>
      <c r="B255" s="37"/>
      <c r="C255" s="44"/>
      <c r="D255" s="39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56"/>
    </row>
    <row r="256" spans="1:32" ht="12.75" customHeight="1" x14ac:dyDescent="0.3">
      <c r="A256" s="15"/>
      <c r="B256" s="37"/>
      <c r="C256" s="44"/>
      <c r="D256" s="39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56"/>
    </row>
    <row r="257" spans="1:32" ht="12.75" customHeight="1" x14ac:dyDescent="0.3">
      <c r="A257" s="15"/>
      <c r="B257" s="37"/>
      <c r="C257" s="44"/>
      <c r="D257" s="39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56"/>
    </row>
    <row r="258" spans="1:32" ht="12.75" customHeight="1" x14ac:dyDescent="0.3">
      <c r="A258" s="15"/>
      <c r="B258" s="37"/>
      <c r="C258" s="44"/>
      <c r="D258" s="3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56"/>
    </row>
    <row r="259" spans="1:32" ht="12.75" customHeight="1" x14ac:dyDescent="0.3">
      <c r="A259" s="16" t="s">
        <v>15</v>
      </c>
      <c r="B259" s="60" t="s">
        <v>49</v>
      </c>
      <c r="C259" s="61"/>
      <c r="D259" s="59"/>
      <c r="E259" s="13">
        <f>SUM(E249:E258)</f>
        <v>0</v>
      </c>
      <c r="F259" s="13">
        <f t="shared" ref="F259" si="464">SUM(F249:F258)</f>
        <v>0</v>
      </c>
      <c r="G259" s="13">
        <f t="shared" ref="G259" si="465">SUM(G249:G258)</f>
        <v>0</v>
      </c>
      <c r="H259" s="13">
        <f t="shared" ref="H259" si="466">SUM(H249:H258)</f>
        <v>0</v>
      </c>
      <c r="I259" s="13">
        <f t="shared" ref="I259" si="467">SUM(I249:I258)</f>
        <v>0</v>
      </c>
      <c r="J259" s="13">
        <f t="shared" ref="J259" si="468">SUM(J249:J258)</f>
        <v>0</v>
      </c>
      <c r="K259" s="13">
        <f t="shared" ref="K259" si="469">SUM(K249:K258)</f>
        <v>0</v>
      </c>
      <c r="L259" s="13">
        <f t="shared" ref="L259" si="470">SUM(L249:L258)</f>
        <v>2</v>
      </c>
      <c r="M259" s="13">
        <f t="shared" ref="M259" si="471">SUM(M249:M258)</f>
        <v>0</v>
      </c>
      <c r="N259" s="13">
        <f t="shared" ref="N259" si="472">SUM(N249:N258)</f>
        <v>0</v>
      </c>
      <c r="O259" s="13">
        <f t="shared" ref="O259" si="473">SUM(O249:O258)</f>
        <v>1</v>
      </c>
      <c r="P259" s="13">
        <f t="shared" ref="P259" si="474">SUM(P249:P258)</f>
        <v>0</v>
      </c>
      <c r="Q259" s="13">
        <f t="shared" ref="Q259" si="475">SUM(Q249:Q258)</f>
        <v>0</v>
      </c>
      <c r="R259" s="13">
        <f t="shared" ref="R259" si="476">SUM(R249:R258)</f>
        <v>0</v>
      </c>
      <c r="S259" s="13">
        <f t="shared" ref="S259" si="477">SUM(S249:S258)</f>
        <v>1</v>
      </c>
      <c r="T259" s="13">
        <f t="shared" ref="T259" si="478">SUM(T249:T258)</f>
        <v>1</v>
      </c>
      <c r="U259" s="13">
        <f t="shared" ref="U259" si="479">SUM(U249:U258)</f>
        <v>0</v>
      </c>
      <c r="V259" s="13">
        <f t="shared" ref="V259" si="480">SUM(V249:V258)</f>
        <v>0</v>
      </c>
      <c r="W259" s="13">
        <f t="shared" ref="W259" si="481">SUM(W249:W258)</f>
        <v>0</v>
      </c>
      <c r="X259" s="13">
        <f t="shared" ref="X259" si="482">SUM(X249:X258)</f>
        <v>1</v>
      </c>
      <c r="Y259" s="13">
        <f t="shared" ref="Y259" si="483">SUM(Y249:Y258)</f>
        <v>1</v>
      </c>
      <c r="Z259" s="13">
        <f t="shared" ref="Z259" si="484">SUM(Z249:Z258)</f>
        <v>0</v>
      </c>
      <c r="AA259" s="13">
        <f t="shared" ref="AA259" si="485">SUM(AA249:AA258)</f>
        <v>0</v>
      </c>
      <c r="AB259" s="13">
        <f t="shared" ref="AB259" si="486">SUM(AB249:AB258)</f>
        <v>0</v>
      </c>
      <c r="AC259" s="13">
        <f t="shared" ref="AC259" si="487">SUM(AC249:AC258)</f>
        <v>0</v>
      </c>
      <c r="AD259" s="13">
        <f t="shared" ref="AD259" si="488">SUM(AD249:AD258)</f>
        <v>0</v>
      </c>
      <c r="AE259" s="13">
        <f t="shared" ref="AE259" si="489">SUM(AE249:AE258)</f>
        <v>1</v>
      </c>
      <c r="AF259" s="13">
        <f t="shared" ref="AF259" si="490">SUM(AF249:AF258)</f>
        <v>8</v>
      </c>
    </row>
    <row r="260" spans="1:32" ht="12.75" customHeight="1" x14ac:dyDescent="0.3"/>
    <row r="261" spans="1:32" ht="12.75" customHeight="1" x14ac:dyDescent="0.3">
      <c r="A261" s="26" t="s">
        <v>190</v>
      </c>
      <c r="B261" s="65" t="s">
        <v>191</v>
      </c>
      <c r="C261" s="61"/>
      <c r="D261" s="59"/>
      <c r="E261" s="13"/>
      <c r="F261" s="13"/>
      <c r="G261" s="13"/>
      <c r="H261" s="13"/>
      <c r="I261" s="13"/>
      <c r="J261" s="13"/>
      <c r="K261" s="13"/>
      <c r="L261" s="13"/>
      <c r="M261" s="13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13"/>
    </row>
    <row r="262" spans="1:32" ht="12.75" customHeight="1" x14ac:dyDescent="0.3">
      <c r="A262" s="26"/>
      <c r="B262" s="47" t="s">
        <v>192</v>
      </c>
      <c r="C262" s="83" t="s">
        <v>193</v>
      </c>
      <c r="D262" s="59"/>
      <c r="E262" s="16">
        <f t="shared" ref="E262:AE262" si="491">E55+E67+E79+E91+E103+E115+E127+E139+E151+E163+E175+E187+E199+E211+E223+E235+E247+E259</f>
        <v>223</v>
      </c>
      <c r="F262" s="16">
        <f t="shared" si="491"/>
        <v>229</v>
      </c>
      <c r="G262" s="16">
        <f t="shared" si="491"/>
        <v>201</v>
      </c>
      <c r="H262" s="16">
        <f t="shared" si="491"/>
        <v>171</v>
      </c>
      <c r="I262" s="16">
        <f t="shared" si="491"/>
        <v>170</v>
      </c>
      <c r="J262" s="16">
        <f t="shared" si="491"/>
        <v>193</v>
      </c>
      <c r="K262" s="16">
        <f t="shared" si="491"/>
        <v>177</v>
      </c>
      <c r="L262" s="16">
        <f t="shared" si="491"/>
        <v>189</v>
      </c>
      <c r="M262" s="16">
        <f t="shared" si="491"/>
        <v>202</v>
      </c>
      <c r="N262" s="16">
        <f t="shared" si="491"/>
        <v>156</v>
      </c>
      <c r="O262" s="16">
        <f t="shared" si="491"/>
        <v>173</v>
      </c>
      <c r="P262" s="16">
        <f t="shared" si="491"/>
        <v>180</v>
      </c>
      <c r="Q262" s="16">
        <f t="shared" si="491"/>
        <v>195</v>
      </c>
      <c r="R262" s="16">
        <f t="shared" si="491"/>
        <v>185</v>
      </c>
      <c r="S262" s="16">
        <f t="shared" si="491"/>
        <v>168</v>
      </c>
      <c r="T262" s="16">
        <f t="shared" si="491"/>
        <v>135</v>
      </c>
      <c r="U262" s="16">
        <f t="shared" si="491"/>
        <v>168</v>
      </c>
      <c r="V262" s="16">
        <f t="shared" si="491"/>
        <v>176</v>
      </c>
      <c r="W262" s="16">
        <f t="shared" si="491"/>
        <v>174</v>
      </c>
      <c r="X262" s="16">
        <f t="shared" si="491"/>
        <v>147</v>
      </c>
      <c r="Y262" s="16">
        <f t="shared" si="491"/>
        <v>191</v>
      </c>
      <c r="Z262" s="16">
        <f t="shared" si="491"/>
        <v>184</v>
      </c>
      <c r="AA262" s="16">
        <f t="shared" si="491"/>
        <v>226</v>
      </c>
      <c r="AB262" s="16">
        <f t="shared" si="491"/>
        <v>198</v>
      </c>
      <c r="AC262" s="16">
        <f t="shared" si="491"/>
        <v>170</v>
      </c>
      <c r="AD262" s="16">
        <f t="shared" si="491"/>
        <v>169</v>
      </c>
      <c r="AE262" s="16">
        <f t="shared" si="491"/>
        <v>190</v>
      </c>
      <c r="AF262" s="13">
        <f t="shared" ref="AF262:AF264" si="492">SUM(E262:AE262)</f>
        <v>4940</v>
      </c>
    </row>
    <row r="263" spans="1:32" ht="12.75" customHeight="1" x14ac:dyDescent="0.3">
      <c r="A263" s="22"/>
      <c r="B263" s="47" t="s">
        <v>194</v>
      </c>
      <c r="C263" s="83" t="s">
        <v>195</v>
      </c>
      <c r="D263" s="59"/>
      <c r="E263" s="16">
        <v>19</v>
      </c>
      <c r="F263" s="16">
        <v>14</v>
      </c>
      <c r="G263" s="16">
        <v>17</v>
      </c>
      <c r="H263" s="16">
        <v>16</v>
      </c>
      <c r="I263" s="16">
        <v>17</v>
      </c>
      <c r="J263" s="16">
        <v>22</v>
      </c>
      <c r="K263" s="16">
        <v>15</v>
      </c>
      <c r="L263" s="16">
        <v>26</v>
      </c>
      <c r="M263" s="16">
        <v>13</v>
      </c>
      <c r="N263" s="16">
        <v>16</v>
      </c>
      <c r="O263" s="16">
        <v>29</v>
      </c>
      <c r="P263" s="16">
        <v>11</v>
      </c>
      <c r="Q263" s="16">
        <v>26</v>
      </c>
      <c r="R263" s="16">
        <v>20</v>
      </c>
      <c r="S263" s="16">
        <v>34</v>
      </c>
      <c r="T263" s="16">
        <v>32</v>
      </c>
      <c r="U263" s="16">
        <v>32</v>
      </c>
      <c r="V263" s="16">
        <v>21</v>
      </c>
      <c r="W263" s="16">
        <v>26</v>
      </c>
      <c r="X263" s="16">
        <v>38</v>
      </c>
      <c r="Y263" s="16">
        <v>24</v>
      </c>
      <c r="Z263" s="16">
        <v>23</v>
      </c>
      <c r="AA263" s="16">
        <v>10</v>
      </c>
      <c r="AB263" s="16">
        <v>14</v>
      </c>
      <c r="AC263" s="16">
        <v>54</v>
      </c>
      <c r="AD263" s="16">
        <v>48</v>
      </c>
      <c r="AE263" s="16">
        <v>24</v>
      </c>
      <c r="AF263" s="13">
        <f t="shared" si="492"/>
        <v>641</v>
      </c>
    </row>
    <row r="264" spans="1:32" ht="12.75" customHeight="1" x14ac:dyDescent="0.3">
      <c r="A264" s="25"/>
      <c r="B264" s="47" t="s">
        <v>196</v>
      </c>
      <c r="C264" s="83" t="s">
        <v>197</v>
      </c>
      <c r="D264" s="59"/>
      <c r="E264" s="13">
        <f t="shared" ref="E264:AE264" si="493">SUM(E262:E263)</f>
        <v>242</v>
      </c>
      <c r="F264" s="13">
        <f t="shared" si="493"/>
        <v>243</v>
      </c>
      <c r="G264" s="13">
        <f t="shared" si="493"/>
        <v>218</v>
      </c>
      <c r="H264" s="13">
        <f t="shared" si="493"/>
        <v>187</v>
      </c>
      <c r="I264" s="13">
        <f t="shared" si="493"/>
        <v>187</v>
      </c>
      <c r="J264" s="13">
        <f t="shared" si="493"/>
        <v>215</v>
      </c>
      <c r="K264" s="13">
        <f t="shared" si="493"/>
        <v>192</v>
      </c>
      <c r="L264" s="13">
        <f t="shared" si="493"/>
        <v>215</v>
      </c>
      <c r="M264" s="13">
        <f t="shared" si="493"/>
        <v>215</v>
      </c>
      <c r="N264" s="13">
        <f t="shared" si="493"/>
        <v>172</v>
      </c>
      <c r="O264" s="13">
        <f t="shared" si="493"/>
        <v>202</v>
      </c>
      <c r="P264" s="13">
        <f t="shared" si="493"/>
        <v>191</v>
      </c>
      <c r="Q264" s="13">
        <f t="shared" si="493"/>
        <v>221</v>
      </c>
      <c r="R264" s="13">
        <f t="shared" si="493"/>
        <v>205</v>
      </c>
      <c r="S264" s="13">
        <f t="shared" si="493"/>
        <v>202</v>
      </c>
      <c r="T264" s="13">
        <f t="shared" si="493"/>
        <v>167</v>
      </c>
      <c r="U264" s="13">
        <f t="shared" si="493"/>
        <v>200</v>
      </c>
      <c r="V264" s="13">
        <f t="shared" si="493"/>
        <v>197</v>
      </c>
      <c r="W264" s="13">
        <f t="shared" si="493"/>
        <v>200</v>
      </c>
      <c r="X264" s="13">
        <f t="shared" si="493"/>
        <v>185</v>
      </c>
      <c r="Y264" s="13">
        <f t="shared" si="493"/>
        <v>215</v>
      </c>
      <c r="Z264" s="13">
        <f t="shared" si="493"/>
        <v>207</v>
      </c>
      <c r="AA264" s="13">
        <f t="shared" si="493"/>
        <v>236</v>
      </c>
      <c r="AB264" s="13">
        <f t="shared" si="493"/>
        <v>212</v>
      </c>
      <c r="AC264" s="13">
        <f t="shared" si="493"/>
        <v>224</v>
      </c>
      <c r="AD264" s="13">
        <f t="shared" si="493"/>
        <v>217</v>
      </c>
      <c r="AE264" s="13">
        <f t="shared" si="493"/>
        <v>214</v>
      </c>
      <c r="AF264" s="13">
        <f t="shared" si="492"/>
        <v>5581</v>
      </c>
    </row>
    <row r="265" spans="1:32" ht="12.75" customHeight="1" x14ac:dyDescent="0.3"/>
    <row r="266" spans="1:32" ht="12.75" customHeight="1" x14ac:dyDescent="0.3"/>
    <row r="267" spans="1:32" ht="12.75" customHeight="1" x14ac:dyDescent="0.3"/>
    <row r="268" spans="1:32" ht="12.75" customHeight="1" x14ac:dyDescent="0.3"/>
    <row r="269" spans="1:32" ht="12.75" customHeight="1" x14ac:dyDescent="0.3"/>
    <row r="270" spans="1:32" ht="12.75" customHeight="1" x14ac:dyDescent="0.3"/>
    <row r="271" spans="1:32" ht="12.75" customHeight="1" x14ac:dyDescent="0.3"/>
    <row r="272" spans="1:3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B151:D151"/>
    <mergeCell ref="B103:D103"/>
    <mergeCell ref="A104:E104"/>
    <mergeCell ref="C105:D105"/>
    <mergeCell ref="B115:D115"/>
    <mergeCell ref="A116:E116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E42:I42"/>
    <mergeCell ref="B43:D43"/>
    <mergeCell ref="B25:B27"/>
    <mergeCell ref="C25:C27"/>
    <mergeCell ref="B28:B30"/>
    <mergeCell ref="A37:D37"/>
    <mergeCell ref="E37:I37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  <mergeCell ref="C117:D117"/>
    <mergeCell ref="B127:D127"/>
    <mergeCell ref="A128:E128"/>
    <mergeCell ref="C129:D129"/>
    <mergeCell ref="A80:E80"/>
    <mergeCell ref="C81:D81"/>
    <mergeCell ref="B91:D91"/>
    <mergeCell ref="A92:E92"/>
    <mergeCell ref="C93:D93"/>
  </mergeCells>
  <conditionalFormatting sqref="E34:T34">
    <cfRule type="expression" dxfId="86" priority="1">
      <formula>E34&lt;&gt;E64</formula>
    </cfRule>
  </conditionalFormatting>
  <conditionalFormatting sqref="E14:AE15">
    <cfRule type="containsBlanks" dxfId="85" priority="2">
      <formula>LEN(TRIM(E14))=0</formula>
    </cfRule>
  </conditionalFormatting>
  <conditionalFormatting sqref="E19:AE20">
    <cfRule type="containsBlanks" dxfId="84" priority="3">
      <formula>LEN(TRIM(E19))=0</formula>
    </cfRule>
  </conditionalFormatting>
  <conditionalFormatting sqref="E22:AE23 E25:AE26 E33:AE33 E35:AE35 E39:AE40">
    <cfRule type="containsBlanks" dxfId="83" priority="4">
      <formula>LEN(TRIM(E22))=0</formula>
    </cfRule>
  </conditionalFormatting>
  <conditionalFormatting sqref="E30:AE30">
    <cfRule type="expression" dxfId="82" priority="5">
      <formula>E30&lt;&gt;E47</formula>
    </cfRule>
    <cfRule type="expression" dxfId="81" priority="6">
      <formula>E30&lt;&gt;E34</formula>
    </cfRule>
  </conditionalFormatting>
  <conditionalFormatting sqref="E34:AE34">
    <cfRule type="expression" dxfId="80" priority="7">
      <formula>E30&lt;&gt;E34</formula>
    </cfRule>
    <cfRule type="expression" dxfId="79" priority="8">
      <formula>E30=E34</formula>
    </cfRule>
    <cfRule type="expression" dxfId="78" priority="9">
      <formula>E34&lt;&gt;E30</formula>
    </cfRule>
  </conditionalFormatting>
  <conditionalFormatting sqref="E45:AE54">
    <cfRule type="containsBlanks" dxfId="77" priority="10">
      <formula>LEN(TRIM(E45))=0</formula>
    </cfRule>
  </conditionalFormatting>
  <conditionalFormatting sqref="E57:AE66">
    <cfRule type="containsBlanks" dxfId="76" priority="11">
      <formula>LEN(TRIM(E57))=0</formula>
    </cfRule>
  </conditionalFormatting>
  <conditionalFormatting sqref="E69:AE78">
    <cfRule type="containsBlanks" dxfId="75" priority="12">
      <formula>LEN(TRIM(E69))=0</formula>
    </cfRule>
  </conditionalFormatting>
  <conditionalFormatting sqref="E81:AE90">
    <cfRule type="containsBlanks" dxfId="74" priority="13">
      <formula>LEN(TRIM(E81))=0</formula>
    </cfRule>
  </conditionalFormatting>
  <conditionalFormatting sqref="E93:AE102">
    <cfRule type="containsBlanks" dxfId="73" priority="14">
      <formula>LEN(TRIM(E93))=0</formula>
    </cfRule>
  </conditionalFormatting>
  <conditionalFormatting sqref="E105:AE114">
    <cfRule type="containsBlanks" dxfId="72" priority="15">
      <formula>LEN(TRIM(E105))=0</formula>
    </cfRule>
  </conditionalFormatting>
  <conditionalFormatting sqref="E117:AE126">
    <cfRule type="containsBlanks" dxfId="71" priority="16">
      <formula>LEN(TRIM(E117))=0</formula>
    </cfRule>
  </conditionalFormatting>
  <conditionalFormatting sqref="E129:AE138">
    <cfRule type="containsBlanks" dxfId="70" priority="17">
      <formula>LEN(TRIM(E129))=0</formula>
    </cfRule>
  </conditionalFormatting>
  <conditionalFormatting sqref="E141:AE150">
    <cfRule type="containsBlanks" dxfId="69" priority="18">
      <formula>LEN(TRIM(E141))=0</formula>
    </cfRule>
  </conditionalFormatting>
  <conditionalFormatting sqref="E153:AE162">
    <cfRule type="containsBlanks" dxfId="68" priority="19">
      <formula>LEN(TRIM(E153))=0</formula>
    </cfRule>
  </conditionalFormatting>
  <conditionalFormatting sqref="E165:AE174">
    <cfRule type="containsBlanks" dxfId="67" priority="20">
      <formula>LEN(TRIM(E165))=0</formula>
    </cfRule>
  </conditionalFormatting>
  <conditionalFormatting sqref="E177:AE186">
    <cfRule type="containsBlanks" dxfId="66" priority="21">
      <formula>LEN(TRIM(E177))=0</formula>
    </cfRule>
  </conditionalFormatting>
  <conditionalFormatting sqref="E189:AE198">
    <cfRule type="containsBlanks" dxfId="65" priority="22">
      <formula>LEN(TRIM(E189))=0</formula>
    </cfRule>
  </conditionalFormatting>
  <conditionalFormatting sqref="E201:AE210">
    <cfRule type="containsBlanks" dxfId="64" priority="23">
      <formula>LEN(TRIM(E201))=0</formula>
    </cfRule>
  </conditionalFormatting>
  <conditionalFormatting sqref="E213:AE222">
    <cfRule type="containsBlanks" dxfId="63" priority="24">
      <formula>LEN(TRIM(E213))=0</formula>
    </cfRule>
  </conditionalFormatting>
  <conditionalFormatting sqref="E225:AE234">
    <cfRule type="containsBlanks" dxfId="62" priority="25">
      <formula>LEN(TRIM(E225))=0</formula>
    </cfRule>
  </conditionalFormatting>
  <conditionalFormatting sqref="E237:AE246">
    <cfRule type="containsBlanks" dxfId="61" priority="26">
      <formula>LEN(TRIM(E237))=0</formula>
    </cfRule>
  </conditionalFormatting>
  <conditionalFormatting sqref="E249:AE258">
    <cfRule type="containsBlanks" dxfId="60" priority="27">
      <formula>LEN(TRIM(E249))=0</formula>
    </cfRule>
  </conditionalFormatting>
  <conditionalFormatting sqref="E262:AE263">
    <cfRule type="containsBlanks" dxfId="59" priority="28">
      <formula>LEN(TRIM(E262))=0</formula>
    </cfRule>
  </conditionalFormatting>
  <conditionalFormatting sqref="U34:AE34">
    <cfRule type="expression" dxfId="58" priority="29">
      <formula>U34&lt;&gt;U47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D1000"/>
  <sheetViews>
    <sheetView topLeftCell="I253" workbookViewId="0">
      <selection activeCell="AB263" sqref="AB263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27" width="8.69921875" customWidth="1"/>
    <col min="28" max="28" width="13.296875" customWidth="1"/>
    <col min="29" max="30" width="8.69921875" customWidth="1"/>
  </cols>
  <sheetData>
    <row r="1" spans="1:28" ht="12.75" customHeight="1" x14ac:dyDescent="0.3"/>
    <row r="2" spans="1:28" ht="12.75" customHeight="1" x14ac:dyDescent="0.3">
      <c r="C2" s="8" t="s">
        <v>0</v>
      </c>
      <c r="D2" s="8" t="s">
        <v>1</v>
      </c>
    </row>
    <row r="3" spans="1:28" ht="12.75" customHeight="1" x14ac:dyDescent="0.3">
      <c r="C3" s="8" t="s">
        <v>2</v>
      </c>
      <c r="D3" s="8" t="s">
        <v>3</v>
      </c>
    </row>
    <row r="4" spans="1:28" ht="12.75" customHeight="1" x14ac:dyDescent="0.3">
      <c r="C4" s="8" t="s">
        <v>4</v>
      </c>
      <c r="D4" s="8" t="s">
        <v>5</v>
      </c>
    </row>
    <row r="5" spans="1:28" ht="12.75" customHeight="1" x14ac:dyDescent="0.3">
      <c r="C5" s="8"/>
      <c r="D5" s="8"/>
    </row>
    <row r="6" spans="1:28" ht="12.75" customHeight="1" x14ac:dyDescent="0.3">
      <c r="C6" s="8"/>
      <c r="D6" s="8"/>
    </row>
    <row r="7" spans="1:28" ht="12.75" customHeight="1" x14ac:dyDescent="0.3">
      <c r="C7" s="8"/>
      <c r="D7" s="8"/>
    </row>
    <row r="8" spans="1:28" ht="12.75" customHeight="1" x14ac:dyDescent="0.3">
      <c r="C8" s="8"/>
      <c r="D8" s="8"/>
    </row>
    <row r="9" spans="1:28" ht="12.75" customHeight="1" x14ac:dyDescent="0.3">
      <c r="C9" s="8" t="s">
        <v>198</v>
      </c>
      <c r="D9" s="8" t="s">
        <v>232</v>
      </c>
    </row>
    <row r="10" spans="1:28" ht="12.75" customHeight="1" x14ac:dyDescent="0.3"/>
    <row r="11" spans="1:28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28" ht="12.75" customHeight="1" x14ac:dyDescent="0.3">
      <c r="A12" s="13" t="s">
        <v>6</v>
      </c>
      <c r="B12" s="65" t="s">
        <v>7</v>
      </c>
      <c r="C12" s="61"/>
      <c r="D12" s="59"/>
      <c r="E12" s="86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87" t="s">
        <v>8</v>
      </c>
    </row>
    <row r="13" spans="1:28" ht="12.75" customHeight="1" x14ac:dyDescent="0.3">
      <c r="A13" s="16" t="s">
        <v>9</v>
      </c>
      <c r="B13" s="72" t="s">
        <v>10</v>
      </c>
      <c r="C13" s="61"/>
      <c r="D13" s="59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76"/>
    </row>
    <row r="14" spans="1:28" ht="12.75" customHeight="1" x14ac:dyDescent="0.3">
      <c r="A14" s="15"/>
      <c r="B14" s="81" t="s">
        <v>11</v>
      </c>
      <c r="C14" s="67"/>
      <c r="D14" s="16" t="s">
        <v>12</v>
      </c>
      <c r="E14" s="16">
        <v>148</v>
      </c>
      <c r="F14" s="16">
        <v>141</v>
      </c>
      <c r="G14" s="16">
        <v>141</v>
      </c>
      <c r="H14" s="16">
        <v>107</v>
      </c>
      <c r="I14" s="16">
        <v>110</v>
      </c>
      <c r="J14" s="16">
        <v>133</v>
      </c>
      <c r="K14" s="16">
        <v>127</v>
      </c>
      <c r="L14" s="16">
        <v>115</v>
      </c>
      <c r="M14" s="16">
        <v>105</v>
      </c>
      <c r="N14" s="16">
        <v>128</v>
      </c>
      <c r="O14" s="16">
        <v>145</v>
      </c>
      <c r="P14" s="16">
        <v>157</v>
      </c>
      <c r="Q14" s="16">
        <v>141</v>
      </c>
      <c r="R14" s="16">
        <v>151</v>
      </c>
      <c r="S14" s="16">
        <v>132</v>
      </c>
      <c r="T14" s="16">
        <v>141</v>
      </c>
      <c r="U14" s="16">
        <v>153</v>
      </c>
      <c r="V14" s="16">
        <v>151</v>
      </c>
      <c r="W14" s="16">
        <v>137</v>
      </c>
      <c r="X14" s="16">
        <v>155</v>
      </c>
      <c r="Y14" s="16">
        <v>146</v>
      </c>
      <c r="Z14" s="16">
        <v>147</v>
      </c>
      <c r="AA14" s="16">
        <v>144</v>
      </c>
      <c r="AB14" s="13">
        <f>SUM(E14:AA14)</f>
        <v>3155</v>
      </c>
    </row>
    <row r="15" spans="1:28" ht="12.75" customHeight="1" x14ac:dyDescent="0.3">
      <c r="A15" s="15"/>
      <c r="B15" s="82"/>
      <c r="C15" s="69"/>
      <c r="D15" s="16" t="s">
        <v>13</v>
      </c>
      <c r="E15" s="16">
        <v>131</v>
      </c>
      <c r="F15" s="16">
        <v>149</v>
      </c>
      <c r="G15" s="16">
        <v>143</v>
      </c>
      <c r="H15" s="16">
        <v>100</v>
      </c>
      <c r="I15" s="16">
        <v>107</v>
      </c>
      <c r="J15" s="16">
        <v>132</v>
      </c>
      <c r="K15" s="16">
        <v>127</v>
      </c>
      <c r="L15" s="16">
        <v>102</v>
      </c>
      <c r="M15" s="16">
        <v>112</v>
      </c>
      <c r="N15" s="16">
        <v>122</v>
      </c>
      <c r="O15" s="16">
        <v>149</v>
      </c>
      <c r="P15" s="16">
        <v>133</v>
      </c>
      <c r="Q15" s="16">
        <v>143</v>
      </c>
      <c r="R15" s="16">
        <v>135</v>
      </c>
      <c r="S15" s="16">
        <v>122</v>
      </c>
      <c r="T15" s="16">
        <v>140</v>
      </c>
      <c r="U15" s="16">
        <v>139</v>
      </c>
      <c r="V15" s="16">
        <v>139</v>
      </c>
      <c r="W15" s="16">
        <v>156</v>
      </c>
      <c r="X15" s="16">
        <v>127</v>
      </c>
      <c r="Y15" s="16">
        <v>147</v>
      </c>
      <c r="Z15" s="16">
        <v>143</v>
      </c>
      <c r="AA15" s="16">
        <v>147</v>
      </c>
      <c r="AB15" s="13">
        <f t="shared" ref="AB15:AB16" si="0">SUM(E15:AA15)</f>
        <v>3045</v>
      </c>
    </row>
    <row r="16" spans="1:28" ht="12.75" customHeight="1" x14ac:dyDescent="0.3">
      <c r="A16" s="18"/>
      <c r="B16" s="80"/>
      <c r="C16" s="70"/>
      <c r="D16" s="13" t="s">
        <v>14</v>
      </c>
      <c r="E16" s="13">
        <f t="shared" ref="E16:AA16" si="1">SUM(E14:E15)</f>
        <v>279</v>
      </c>
      <c r="F16" s="13">
        <f t="shared" si="1"/>
        <v>290</v>
      </c>
      <c r="G16" s="13">
        <f t="shared" si="1"/>
        <v>284</v>
      </c>
      <c r="H16" s="13">
        <f t="shared" si="1"/>
        <v>207</v>
      </c>
      <c r="I16" s="13">
        <f t="shared" si="1"/>
        <v>217</v>
      </c>
      <c r="J16" s="13">
        <f t="shared" si="1"/>
        <v>265</v>
      </c>
      <c r="K16" s="13">
        <f t="shared" si="1"/>
        <v>254</v>
      </c>
      <c r="L16" s="13">
        <f t="shared" si="1"/>
        <v>217</v>
      </c>
      <c r="M16" s="13">
        <f t="shared" si="1"/>
        <v>217</v>
      </c>
      <c r="N16" s="13">
        <f t="shared" si="1"/>
        <v>250</v>
      </c>
      <c r="O16" s="13">
        <f t="shared" si="1"/>
        <v>294</v>
      </c>
      <c r="P16" s="13">
        <f t="shared" si="1"/>
        <v>290</v>
      </c>
      <c r="Q16" s="13">
        <f t="shared" si="1"/>
        <v>284</v>
      </c>
      <c r="R16" s="13">
        <f t="shared" si="1"/>
        <v>286</v>
      </c>
      <c r="S16" s="13">
        <f t="shared" si="1"/>
        <v>254</v>
      </c>
      <c r="T16" s="13">
        <f t="shared" si="1"/>
        <v>281</v>
      </c>
      <c r="U16" s="13">
        <f t="shared" si="1"/>
        <v>292</v>
      </c>
      <c r="V16" s="13">
        <f t="shared" si="1"/>
        <v>290</v>
      </c>
      <c r="W16" s="13">
        <f t="shared" si="1"/>
        <v>293</v>
      </c>
      <c r="X16" s="13">
        <f t="shared" si="1"/>
        <v>282</v>
      </c>
      <c r="Y16" s="13">
        <f t="shared" si="1"/>
        <v>293</v>
      </c>
      <c r="Z16" s="13">
        <f t="shared" si="1"/>
        <v>290</v>
      </c>
      <c r="AA16" s="13">
        <f t="shared" si="1"/>
        <v>291</v>
      </c>
      <c r="AB16" s="13">
        <f t="shared" si="0"/>
        <v>6200</v>
      </c>
    </row>
    <row r="17" spans="1:28" ht="12.75" customHeight="1" x14ac:dyDescent="0.3">
      <c r="A17" s="62"/>
      <c r="B17" s="61"/>
      <c r="C17" s="61"/>
      <c r="D17" s="59"/>
      <c r="E17" s="16"/>
      <c r="F17" s="16"/>
      <c r="G17" s="16"/>
      <c r="H17" s="16"/>
      <c r="I17" s="16"/>
      <c r="J17" s="16"/>
      <c r="K17" s="16"/>
      <c r="L17" s="16"/>
      <c r="M17" s="16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1"/>
    </row>
    <row r="18" spans="1:28" ht="12.75" customHeight="1" x14ac:dyDescent="0.3">
      <c r="A18" s="20" t="s">
        <v>15</v>
      </c>
      <c r="B18" s="72" t="s">
        <v>16</v>
      </c>
      <c r="C18" s="61"/>
      <c r="D18" s="59"/>
      <c r="E18" s="16"/>
      <c r="F18" s="16"/>
      <c r="G18" s="16"/>
      <c r="H18" s="16"/>
      <c r="I18" s="16"/>
      <c r="J18" s="16"/>
      <c r="K18" s="16"/>
      <c r="L18" s="16"/>
      <c r="M18" s="16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1"/>
    </row>
    <row r="19" spans="1:28" ht="12.75" customHeight="1" x14ac:dyDescent="0.3">
      <c r="A19" s="20"/>
      <c r="B19" s="73" t="s">
        <v>17</v>
      </c>
      <c r="C19" s="74" t="s">
        <v>18</v>
      </c>
      <c r="D19" s="16" t="s">
        <v>12</v>
      </c>
      <c r="E19" s="16">
        <v>105</v>
      </c>
      <c r="F19" s="16">
        <v>112</v>
      </c>
      <c r="G19" s="16">
        <v>116</v>
      </c>
      <c r="H19" s="16">
        <v>90</v>
      </c>
      <c r="I19" s="16">
        <v>76</v>
      </c>
      <c r="J19" s="16">
        <v>104</v>
      </c>
      <c r="K19" s="16">
        <v>96</v>
      </c>
      <c r="L19" s="16">
        <v>88</v>
      </c>
      <c r="M19" s="16">
        <v>82</v>
      </c>
      <c r="N19" s="16">
        <v>109</v>
      </c>
      <c r="O19" s="16">
        <v>125</v>
      </c>
      <c r="P19" s="16">
        <v>109</v>
      </c>
      <c r="Q19" s="16">
        <v>102</v>
      </c>
      <c r="R19" s="16">
        <v>107</v>
      </c>
      <c r="S19" s="16">
        <v>105</v>
      </c>
      <c r="T19" s="16">
        <v>103</v>
      </c>
      <c r="U19" s="16">
        <v>115</v>
      </c>
      <c r="V19" s="16">
        <v>120</v>
      </c>
      <c r="W19" s="16">
        <v>104</v>
      </c>
      <c r="X19" s="16">
        <v>114</v>
      </c>
      <c r="Y19" s="16">
        <v>118</v>
      </c>
      <c r="Z19" s="16">
        <v>122</v>
      </c>
      <c r="AA19" s="16">
        <v>102</v>
      </c>
      <c r="AB19" s="13">
        <f t="shared" ref="AB19:AB30" si="2">SUM(E19:AA19)</f>
        <v>2424</v>
      </c>
    </row>
    <row r="20" spans="1:28" ht="12.75" customHeight="1" x14ac:dyDescent="0.3">
      <c r="A20" s="21"/>
      <c r="B20" s="69"/>
      <c r="C20" s="75"/>
      <c r="D20" s="16" t="s">
        <v>13</v>
      </c>
      <c r="E20" s="16">
        <v>107</v>
      </c>
      <c r="F20" s="16">
        <v>122</v>
      </c>
      <c r="G20" s="16">
        <v>121</v>
      </c>
      <c r="H20" s="16">
        <v>78</v>
      </c>
      <c r="I20" s="16">
        <v>78</v>
      </c>
      <c r="J20" s="16">
        <v>106</v>
      </c>
      <c r="K20" s="16">
        <v>109</v>
      </c>
      <c r="L20" s="16">
        <v>81</v>
      </c>
      <c r="M20" s="16">
        <v>84</v>
      </c>
      <c r="N20" s="16">
        <v>103</v>
      </c>
      <c r="O20" s="16">
        <v>122</v>
      </c>
      <c r="P20" s="16">
        <v>102</v>
      </c>
      <c r="Q20" s="16">
        <v>111</v>
      </c>
      <c r="R20" s="16">
        <v>110</v>
      </c>
      <c r="S20" s="16">
        <v>103</v>
      </c>
      <c r="T20" s="16">
        <v>118</v>
      </c>
      <c r="U20" s="16">
        <v>118</v>
      </c>
      <c r="V20" s="16">
        <v>122</v>
      </c>
      <c r="W20" s="16">
        <v>120</v>
      </c>
      <c r="X20" s="16">
        <v>116</v>
      </c>
      <c r="Y20" s="16">
        <v>126</v>
      </c>
      <c r="Z20" s="16">
        <v>120</v>
      </c>
      <c r="AA20" s="16">
        <v>113</v>
      </c>
      <c r="AB20" s="13">
        <f t="shared" si="2"/>
        <v>2490</v>
      </c>
    </row>
    <row r="21" spans="1:28" ht="12.75" customHeight="1" x14ac:dyDescent="0.3">
      <c r="A21" s="22"/>
      <c r="B21" s="70"/>
      <c r="C21" s="76"/>
      <c r="D21" s="13" t="s">
        <v>14</v>
      </c>
      <c r="E21" s="13">
        <f t="shared" ref="E21:AA21" si="3">SUM(E19:E20)</f>
        <v>212</v>
      </c>
      <c r="F21" s="13">
        <f t="shared" si="3"/>
        <v>234</v>
      </c>
      <c r="G21" s="13">
        <f t="shared" si="3"/>
        <v>237</v>
      </c>
      <c r="H21" s="13">
        <f t="shared" si="3"/>
        <v>168</v>
      </c>
      <c r="I21" s="13">
        <f t="shared" si="3"/>
        <v>154</v>
      </c>
      <c r="J21" s="13">
        <f t="shared" si="3"/>
        <v>210</v>
      </c>
      <c r="K21" s="13">
        <f t="shared" si="3"/>
        <v>205</v>
      </c>
      <c r="L21" s="13">
        <f t="shared" si="3"/>
        <v>169</v>
      </c>
      <c r="M21" s="13">
        <f t="shared" si="3"/>
        <v>166</v>
      </c>
      <c r="N21" s="13">
        <f t="shared" si="3"/>
        <v>212</v>
      </c>
      <c r="O21" s="13">
        <f t="shared" si="3"/>
        <v>247</v>
      </c>
      <c r="P21" s="13">
        <f t="shared" si="3"/>
        <v>211</v>
      </c>
      <c r="Q21" s="13">
        <f t="shared" si="3"/>
        <v>213</v>
      </c>
      <c r="R21" s="13">
        <f t="shared" si="3"/>
        <v>217</v>
      </c>
      <c r="S21" s="13">
        <f t="shared" si="3"/>
        <v>208</v>
      </c>
      <c r="T21" s="13">
        <f t="shared" si="3"/>
        <v>221</v>
      </c>
      <c r="U21" s="13">
        <f t="shared" si="3"/>
        <v>233</v>
      </c>
      <c r="V21" s="13">
        <f t="shared" si="3"/>
        <v>242</v>
      </c>
      <c r="W21" s="13">
        <f t="shared" si="3"/>
        <v>224</v>
      </c>
      <c r="X21" s="13">
        <f t="shared" si="3"/>
        <v>230</v>
      </c>
      <c r="Y21" s="13">
        <f t="shared" si="3"/>
        <v>244</v>
      </c>
      <c r="Z21" s="13">
        <f t="shared" si="3"/>
        <v>242</v>
      </c>
      <c r="AA21" s="13">
        <f t="shared" si="3"/>
        <v>215</v>
      </c>
      <c r="AB21" s="13">
        <f t="shared" si="2"/>
        <v>4914</v>
      </c>
    </row>
    <row r="22" spans="1:28" ht="12.75" customHeight="1" x14ac:dyDescent="0.3">
      <c r="A22" s="21"/>
      <c r="B22" s="73" t="s">
        <v>19</v>
      </c>
      <c r="C22" s="74" t="s">
        <v>20</v>
      </c>
      <c r="D22" s="16" t="s">
        <v>12</v>
      </c>
      <c r="E22" s="16">
        <v>0</v>
      </c>
      <c r="F22" s="16">
        <v>0</v>
      </c>
      <c r="G22" s="16">
        <v>0</v>
      </c>
      <c r="H22" s="16">
        <v>2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/>
      <c r="U22" s="16"/>
      <c r="V22" s="16"/>
      <c r="W22" s="16"/>
      <c r="X22" s="16"/>
      <c r="Y22" s="16"/>
      <c r="Z22" s="16"/>
      <c r="AA22" s="16"/>
      <c r="AB22" s="13">
        <f t="shared" si="2"/>
        <v>2</v>
      </c>
    </row>
    <row r="23" spans="1:28" ht="12.75" customHeight="1" x14ac:dyDescent="0.3">
      <c r="A23" s="21"/>
      <c r="B23" s="69"/>
      <c r="C23" s="75"/>
      <c r="D23" s="16" t="s">
        <v>13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/>
      <c r="U23" s="16"/>
      <c r="V23" s="16"/>
      <c r="W23" s="16"/>
      <c r="X23" s="16"/>
      <c r="Y23" s="16"/>
      <c r="Z23" s="16"/>
      <c r="AA23" s="16"/>
      <c r="AB23" s="13">
        <f t="shared" si="2"/>
        <v>0</v>
      </c>
    </row>
    <row r="24" spans="1:28" ht="12.75" customHeight="1" x14ac:dyDescent="0.3">
      <c r="A24" s="22"/>
      <c r="B24" s="70"/>
      <c r="C24" s="76"/>
      <c r="D24" s="13" t="s">
        <v>14</v>
      </c>
      <c r="E24" s="13">
        <f t="shared" ref="E24:AA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2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2"/>
        <v>2</v>
      </c>
    </row>
    <row r="25" spans="1:28" ht="12.75" customHeight="1" x14ac:dyDescent="0.3">
      <c r="A25" s="21"/>
      <c r="B25" s="73" t="s">
        <v>21</v>
      </c>
      <c r="C25" s="74" t="s">
        <v>22</v>
      </c>
      <c r="D25" s="16" t="s">
        <v>12</v>
      </c>
      <c r="E25" s="16">
        <v>0</v>
      </c>
      <c r="F25" s="16">
        <v>1</v>
      </c>
      <c r="G25" s="16">
        <v>0</v>
      </c>
      <c r="H25" s="16">
        <v>2</v>
      </c>
      <c r="I25" s="16">
        <v>0</v>
      </c>
      <c r="J25" s="16">
        <v>2</v>
      </c>
      <c r="K25" s="16">
        <v>0</v>
      </c>
      <c r="L25" s="16">
        <v>0</v>
      </c>
      <c r="M25" s="16">
        <v>0</v>
      </c>
      <c r="N25" s="16">
        <v>2</v>
      </c>
      <c r="O25" s="16">
        <v>3</v>
      </c>
      <c r="P25" s="16">
        <v>1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</v>
      </c>
      <c r="X25" s="16">
        <v>0</v>
      </c>
      <c r="Y25" s="16">
        <v>0</v>
      </c>
      <c r="Z25" s="16">
        <v>1</v>
      </c>
      <c r="AA25" s="16">
        <v>1</v>
      </c>
      <c r="AB25" s="13">
        <f t="shared" si="2"/>
        <v>14</v>
      </c>
    </row>
    <row r="26" spans="1:28" ht="12.75" customHeight="1" x14ac:dyDescent="0.3">
      <c r="A26" s="21"/>
      <c r="B26" s="69"/>
      <c r="C26" s="75"/>
      <c r="D26" s="16" t="s">
        <v>13</v>
      </c>
      <c r="E26" s="16">
        <v>0</v>
      </c>
      <c r="F26" s="16">
        <v>2</v>
      </c>
      <c r="G26" s="16">
        <v>0</v>
      </c>
      <c r="H26" s="16">
        <v>3</v>
      </c>
      <c r="I26" s="16">
        <v>3</v>
      </c>
      <c r="J26" s="16">
        <v>0</v>
      </c>
      <c r="K26" s="16">
        <v>0</v>
      </c>
      <c r="L26" s="16">
        <v>2</v>
      </c>
      <c r="M26" s="16">
        <v>0</v>
      </c>
      <c r="N26" s="16">
        <v>5</v>
      </c>
      <c r="O26" s="16">
        <v>6</v>
      </c>
      <c r="P26" s="16">
        <v>2</v>
      </c>
      <c r="Q26" s="16">
        <v>0</v>
      </c>
      <c r="R26" s="16">
        <v>1</v>
      </c>
      <c r="S26" s="16">
        <v>0</v>
      </c>
      <c r="T26" s="16">
        <v>0</v>
      </c>
      <c r="U26" s="16">
        <v>0</v>
      </c>
      <c r="V26" s="16">
        <v>0</v>
      </c>
      <c r="W26" s="16">
        <v>1</v>
      </c>
      <c r="X26" s="16">
        <v>0</v>
      </c>
      <c r="Y26" s="16">
        <v>0</v>
      </c>
      <c r="Z26" s="16">
        <v>2</v>
      </c>
      <c r="AA26" s="16">
        <v>1</v>
      </c>
      <c r="AB26" s="13">
        <f t="shared" si="2"/>
        <v>28</v>
      </c>
    </row>
    <row r="27" spans="1:28" ht="12.75" customHeight="1" x14ac:dyDescent="0.3">
      <c r="A27" s="22"/>
      <c r="B27" s="70"/>
      <c r="C27" s="76"/>
      <c r="D27" s="13" t="s">
        <v>14</v>
      </c>
      <c r="E27" s="13">
        <f t="shared" ref="E27:AA27" si="5">SUM(E25:E26)</f>
        <v>0</v>
      </c>
      <c r="F27" s="13">
        <f t="shared" si="5"/>
        <v>3</v>
      </c>
      <c r="G27" s="13">
        <f t="shared" si="5"/>
        <v>0</v>
      </c>
      <c r="H27" s="13">
        <f t="shared" si="5"/>
        <v>5</v>
      </c>
      <c r="I27" s="13">
        <f t="shared" si="5"/>
        <v>3</v>
      </c>
      <c r="J27" s="13">
        <f t="shared" si="5"/>
        <v>2</v>
      </c>
      <c r="K27" s="13">
        <f t="shared" si="5"/>
        <v>0</v>
      </c>
      <c r="L27" s="13">
        <f t="shared" si="5"/>
        <v>2</v>
      </c>
      <c r="M27" s="13">
        <f t="shared" si="5"/>
        <v>0</v>
      </c>
      <c r="N27" s="13">
        <f t="shared" si="5"/>
        <v>7</v>
      </c>
      <c r="O27" s="13">
        <f t="shared" si="5"/>
        <v>9</v>
      </c>
      <c r="P27" s="13">
        <f t="shared" si="5"/>
        <v>3</v>
      </c>
      <c r="Q27" s="13">
        <f t="shared" si="5"/>
        <v>0</v>
      </c>
      <c r="R27" s="13">
        <f t="shared" si="5"/>
        <v>1</v>
      </c>
      <c r="S27" s="13">
        <f t="shared" si="5"/>
        <v>0</v>
      </c>
      <c r="T27" s="13">
        <f t="shared" si="5"/>
        <v>0</v>
      </c>
      <c r="U27" s="13">
        <f t="shared" si="5"/>
        <v>0</v>
      </c>
      <c r="V27" s="13">
        <f t="shared" si="5"/>
        <v>0</v>
      </c>
      <c r="W27" s="13">
        <f t="shared" si="5"/>
        <v>2</v>
      </c>
      <c r="X27" s="13">
        <f t="shared" si="5"/>
        <v>0</v>
      </c>
      <c r="Y27" s="13">
        <f t="shared" si="5"/>
        <v>0</v>
      </c>
      <c r="Z27" s="13">
        <f t="shared" si="5"/>
        <v>3</v>
      </c>
      <c r="AA27" s="13">
        <f t="shared" si="5"/>
        <v>2</v>
      </c>
      <c r="AB27" s="13">
        <f t="shared" si="2"/>
        <v>42</v>
      </c>
    </row>
    <row r="28" spans="1:28" ht="12.75" customHeight="1" x14ac:dyDescent="0.3">
      <c r="A28" s="22"/>
      <c r="B28" s="77" t="s">
        <v>23</v>
      </c>
      <c r="C28" s="78" t="s">
        <v>24</v>
      </c>
      <c r="D28" s="13" t="s">
        <v>12</v>
      </c>
      <c r="E28" s="13">
        <f t="shared" ref="E28:AA28" si="6">SUM(E19,E22,E25)</f>
        <v>105</v>
      </c>
      <c r="F28" s="13">
        <f t="shared" si="6"/>
        <v>113</v>
      </c>
      <c r="G28" s="13">
        <f t="shared" si="6"/>
        <v>116</v>
      </c>
      <c r="H28" s="13">
        <f t="shared" si="6"/>
        <v>94</v>
      </c>
      <c r="I28" s="13">
        <f t="shared" si="6"/>
        <v>76</v>
      </c>
      <c r="J28" s="13">
        <f t="shared" si="6"/>
        <v>106</v>
      </c>
      <c r="K28" s="13">
        <f t="shared" si="6"/>
        <v>96</v>
      </c>
      <c r="L28" s="13">
        <f t="shared" si="6"/>
        <v>88</v>
      </c>
      <c r="M28" s="13">
        <f t="shared" si="6"/>
        <v>82</v>
      </c>
      <c r="N28" s="13">
        <f t="shared" si="6"/>
        <v>111</v>
      </c>
      <c r="O28" s="13">
        <f t="shared" si="6"/>
        <v>128</v>
      </c>
      <c r="P28" s="13">
        <f t="shared" si="6"/>
        <v>110</v>
      </c>
      <c r="Q28" s="13">
        <f t="shared" si="6"/>
        <v>102</v>
      </c>
      <c r="R28" s="13">
        <f t="shared" si="6"/>
        <v>107</v>
      </c>
      <c r="S28" s="13">
        <f t="shared" si="6"/>
        <v>105</v>
      </c>
      <c r="T28" s="13">
        <f t="shared" si="6"/>
        <v>103</v>
      </c>
      <c r="U28" s="13">
        <f t="shared" si="6"/>
        <v>115</v>
      </c>
      <c r="V28" s="13">
        <f t="shared" si="6"/>
        <v>120</v>
      </c>
      <c r="W28" s="13">
        <f t="shared" si="6"/>
        <v>105</v>
      </c>
      <c r="X28" s="13">
        <f t="shared" si="6"/>
        <v>114</v>
      </c>
      <c r="Y28" s="13">
        <f t="shared" si="6"/>
        <v>118</v>
      </c>
      <c r="Z28" s="13">
        <f t="shared" si="6"/>
        <v>123</v>
      </c>
      <c r="AA28" s="13">
        <f t="shared" si="6"/>
        <v>103</v>
      </c>
      <c r="AB28" s="13">
        <f t="shared" si="2"/>
        <v>2440</v>
      </c>
    </row>
    <row r="29" spans="1:28" ht="12.75" customHeight="1" x14ac:dyDescent="0.3">
      <c r="A29" s="22"/>
      <c r="B29" s="69"/>
      <c r="C29" s="75"/>
      <c r="D29" s="13" t="s">
        <v>13</v>
      </c>
      <c r="E29" s="13">
        <f t="shared" ref="E29:AA29" si="7">SUM(E20,E23,E26)</f>
        <v>107</v>
      </c>
      <c r="F29" s="13">
        <f t="shared" si="7"/>
        <v>124</v>
      </c>
      <c r="G29" s="13">
        <f t="shared" si="7"/>
        <v>121</v>
      </c>
      <c r="H29" s="13">
        <f t="shared" si="7"/>
        <v>81</v>
      </c>
      <c r="I29" s="13">
        <f t="shared" si="7"/>
        <v>81</v>
      </c>
      <c r="J29" s="13">
        <f t="shared" si="7"/>
        <v>106</v>
      </c>
      <c r="K29" s="13">
        <f t="shared" si="7"/>
        <v>109</v>
      </c>
      <c r="L29" s="13">
        <f t="shared" si="7"/>
        <v>83</v>
      </c>
      <c r="M29" s="13">
        <f t="shared" si="7"/>
        <v>84</v>
      </c>
      <c r="N29" s="13">
        <f t="shared" si="7"/>
        <v>108</v>
      </c>
      <c r="O29" s="13">
        <f t="shared" si="7"/>
        <v>128</v>
      </c>
      <c r="P29" s="13">
        <f t="shared" si="7"/>
        <v>104</v>
      </c>
      <c r="Q29" s="13">
        <f t="shared" si="7"/>
        <v>111</v>
      </c>
      <c r="R29" s="13">
        <f t="shared" si="7"/>
        <v>111</v>
      </c>
      <c r="S29" s="13">
        <f t="shared" si="7"/>
        <v>103</v>
      </c>
      <c r="T29" s="13">
        <f t="shared" si="7"/>
        <v>118</v>
      </c>
      <c r="U29" s="13">
        <f t="shared" si="7"/>
        <v>118</v>
      </c>
      <c r="V29" s="13">
        <f t="shared" si="7"/>
        <v>122</v>
      </c>
      <c r="W29" s="13">
        <f t="shared" si="7"/>
        <v>121</v>
      </c>
      <c r="X29" s="13">
        <f t="shared" si="7"/>
        <v>116</v>
      </c>
      <c r="Y29" s="13">
        <f t="shared" si="7"/>
        <v>126</v>
      </c>
      <c r="Z29" s="13">
        <f t="shared" si="7"/>
        <v>122</v>
      </c>
      <c r="AA29" s="13">
        <f t="shared" si="7"/>
        <v>114</v>
      </c>
      <c r="AB29" s="13">
        <f t="shared" si="2"/>
        <v>2518</v>
      </c>
    </row>
    <row r="30" spans="1:28" ht="12.75" customHeight="1" x14ac:dyDescent="0.3">
      <c r="A30" s="22"/>
      <c r="B30" s="70"/>
      <c r="C30" s="76"/>
      <c r="D30" s="13" t="s">
        <v>14</v>
      </c>
      <c r="E30" s="13">
        <f t="shared" ref="E30:AA30" si="8">SUM(E28:E29)</f>
        <v>212</v>
      </c>
      <c r="F30" s="13">
        <f t="shared" si="8"/>
        <v>237</v>
      </c>
      <c r="G30" s="13">
        <f t="shared" si="8"/>
        <v>237</v>
      </c>
      <c r="H30" s="13">
        <f t="shared" si="8"/>
        <v>175</v>
      </c>
      <c r="I30" s="13">
        <f t="shared" si="8"/>
        <v>157</v>
      </c>
      <c r="J30" s="13">
        <f t="shared" si="8"/>
        <v>212</v>
      </c>
      <c r="K30" s="13">
        <f t="shared" si="8"/>
        <v>205</v>
      </c>
      <c r="L30" s="13">
        <f t="shared" si="8"/>
        <v>171</v>
      </c>
      <c r="M30" s="13">
        <f t="shared" si="8"/>
        <v>166</v>
      </c>
      <c r="N30" s="13">
        <f t="shared" si="8"/>
        <v>219</v>
      </c>
      <c r="O30" s="13">
        <f t="shared" si="8"/>
        <v>256</v>
      </c>
      <c r="P30" s="13">
        <f t="shared" si="8"/>
        <v>214</v>
      </c>
      <c r="Q30" s="13">
        <f t="shared" si="8"/>
        <v>213</v>
      </c>
      <c r="R30" s="13">
        <f t="shared" si="8"/>
        <v>218</v>
      </c>
      <c r="S30" s="13">
        <f t="shared" si="8"/>
        <v>208</v>
      </c>
      <c r="T30" s="13">
        <f t="shared" si="8"/>
        <v>221</v>
      </c>
      <c r="U30" s="13">
        <f t="shared" si="8"/>
        <v>233</v>
      </c>
      <c r="V30" s="13">
        <f t="shared" si="8"/>
        <v>242</v>
      </c>
      <c r="W30" s="13">
        <f t="shared" si="8"/>
        <v>226</v>
      </c>
      <c r="X30" s="13">
        <f t="shared" si="8"/>
        <v>230</v>
      </c>
      <c r="Y30" s="13">
        <f t="shared" si="8"/>
        <v>244</v>
      </c>
      <c r="Z30" s="13">
        <f t="shared" si="8"/>
        <v>245</v>
      </c>
      <c r="AA30" s="13">
        <f t="shared" si="8"/>
        <v>217</v>
      </c>
      <c r="AB30" s="13">
        <f t="shared" si="2"/>
        <v>4958</v>
      </c>
    </row>
    <row r="31" spans="1:28" ht="12.75" customHeight="1" x14ac:dyDescent="0.3">
      <c r="A31" s="62"/>
      <c r="B31" s="61"/>
      <c r="C31" s="61"/>
      <c r="D31" s="59"/>
      <c r="E31" s="16"/>
      <c r="F31" s="16"/>
      <c r="G31" s="16"/>
      <c r="H31" s="16"/>
      <c r="I31" s="16"/>
      <c r="J31" s="16"/>
      <c r="K31" s="16"/>
      <c r="L31" s="16"/>
      <c r="M31" s="16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</row>
    <row r="32" spans="1:28" ht="12.75" customHeight="1" x14ac:dyDescent="0.3">
      <c r="A32" s="25" t="s">
        <v>25</v>
      </c>
      <c r="B32" s="65" t="s">
        <v>26</v>
      </c>
      <c r="C32" s="61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1"/>
    </row>
    <row r="33" spans="1:28" ht="12.75" customHeight="1" x14ac:dyDescent="0.3">
      <c r="A33" s="16">
        <v>1</v>
      </c>
      <c r="B33" s="72" t="s">
        <v>27</v>
      </c>
      <c r="C33" s="61"/>
      <c r="D33" s="59"/>
      <c r="E33" s="16">
        <v>285</v>
      </c>
      <c r="F33" s="16">
        <v>296</v>
      </c>
      <c r="G33" s="16">
        <v>290</v>
      </c>
      <c r="H33" s="16">
        <v>212</v>
      </c>
      <c r="I33" s="16">
        <v>221</v>
      </c>
      <c r="J33" s="16">
        <v>270</v>
      </c>
      <c r="K33" s="16">
        <v>259</v>
      </c>
      <c r="L33" s="16">
        <v>221</v>
      </c>
      <c r="M33" s="16">
        <v>221</v>
      </c>
      <c r="N33" s="16">
        <v>255</v>
      </c>
      <c r="O33" s="16">
        <v>300</v>
      </c>
      <c r="P33" s="16">
        <v>296</v>
      </c>
      <c r="Q33" s="16">
        <v>290</v>
      </c>
      <c r="R33" s="16">
        <v>292</v>
      </c>
      <c r="S33" s="16">
        <v>260</v>
      </c>
      <c r="T33" s="16">
        <v>287</v>
      </c>
      <c r="U33" s="16">
        <v>298</v>
      </c>
      <c r="V33" s="16">
        <v>296</v>
      </c>
      <c r="W33" s="16">
        <v>299</v>
      </c>
      <c r="X33" s="16">
        <v>288</v>
      </c>
      <c r="Y33" s="16">
        <v>299</v>
      </c>
      <c r="Z33" s="16">
        <v>296</v>
      </c>
      <c r="AA33" s="16">
        <v>297</v>
      </c>
      <c r="AB33" s="13">
        <f t="shared" ref="AB33:AB36" si="9">SUM(E33:AA33)</f>
        <v>6328</v>
      </c>
    </row>
    <row r="34" spans="1:28" ht="12.75" customHeight="1" x14ac:dyDescent="0.3">
      <c r="A34" s="16">
        <v>2</v>
      </c>
      <c r="B34" s="72" t="s">
        <v>28</v>
      </c>
      <c r="C34" s="61"/>
      <c r="D34" s="59"/>
      <c r="E34" s="13">
        <v>212</v>
      </c>
      <c r="F34" s="13">
        <v>237</v>
      </c>
      <c r="G34" s="13">
        <v>237</v>
      </c>
      <c r="H34" s="13">
        <v>175</v>
      </c>
      <c r="I34" s="13">
        <v>157</v>
      </c>
      <c r="J34" s="13">
        <v>212</v>
      </c>
      <c r="K34" s="13">
        <v>205</v>
      </c>
      <c r="L34" s="13">
        <v>171</v>
      </c>
      <c r="M34" s="13">
        <v>166</v>
      </c>
      <c r="N34" s="13">
        <v>219</v>
      </c>
      <c r="O34" s="13">
        <v>256</v>
      </c>
      <c r="P34" s="13">
        <v>214</v>
      </c>
      <c r="Q34" s="13">
        <v>213</v>
      </c>
      <c r="R34" s="13">
        <v>218</v>
      </c>
      <c r="S34" s="13">
        <v>208</v>
      </c>
      <c r="T34" s="13">
        <v>221</v>
      </c>
      <c r="U34" s="13">
        <v>233</v>
      </c>
      <c r="V34" s="13">
        <v>242</v>
      </c>
      <c r="W34" s="13">
        <v>226</v>
      </c>
      <c r="X34" s="13">
        <v>230</v>
      </c>
      <c r="Y34" s="13">
        <v>244</v>
      </c>
      <c r="Z34" s="13">
        <v>245</v>
      </c>
      <c r="AA34" s="13">
        <v>217</v>
      </c>
      <c r="AB34" s="13">
        <f t="shared" si="9"/>
        <v>4958</v>
      </c>
    </row>
    <row r="35" spans="1:28" ht="12.75" customHeight="1" x14ac:dyDescent="0.3">
      <c r="A35" s="16">
        <v>3</v>
      </c>
      <c r="B35" s="72" t="s">
        <v>29</v>
      </c>
      <c r="C35" s="61"/>
      <c r="D35" s="59"/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1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1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3">
        <f t="shared" si="9"/>
        <v>2</v>
      </c>
    </row>
    <row r="36" spans="1:28" ht="12.75" customHeight="1" x14ac:dyDescent="0.3">
      <c r="A36" s="16">
        <v>4</v>
      </c>
      <c r="B36" s="72" t="s">
        <v>30</v>
      </c>
      <c r="C36" s="61"/>
      <c r="D36" s="59"/>
      <c r="E36" s="13">
        <f t="shared" ref="E36:AA36" si="10">E33-(E34+E35)</f>
        <v>73</v>
      </c>
      <c r="F36" s="13">
        <f t="shared" si="10"/>
        <v>59</v>
      </c>
      <c r="G36" s="13">
        <f t="shared" si="10"/>
        <v>53</v>
      </c>
      <c r="H36" s="13">
        <f t="shared" si="10"/>
        <v>37</v>
      </c>
      <c r="I36" s="13">
        <f t="shared" si="10"/>
        <v>64</v>
      </c>
      <c r="J36" s="13">
        <f t="shared" si="10"/>
        <v>58</v>
      </c>
      <c r="K36" s="13">
        <f t="shared" si="10"/>
        <v>54</v>
      </c>
      <c r="L36" s="13">
        <f t="shared" si="10"/>
        <v>49</v>
      </c>
      <c r="M36" s="13">
        <f t="shared" si="10"/>
        <v>55</v>
      </c>
      <c r="N36" s="13">
        <f t="shared" si="10"/>
        <v>36</v>
      </c>
      <c r="O36" s="13">
        <f t="shared" si="10"/>
        <v>44</v>
      </c>
      <c r="P36" s="13">
        <f t="shared" si="10"/>
        <v>82</v>
      </c>
      <c r="Q36" s="13">
        <f t="shared" si="10"/>
        <v>77</v>
      </c>
      <c r="R36" s="13">
        <f t="shared" si="10"/>
        <v>74</v>
      </c>
      <c r="S36" s="13">
        <f t="shared" si="10"/>
        <v>52</v>
      </c>
      <c r="T36" s="13">
        <f t="shared" si="10"/>
        <v>66</v>
      </c>
      <c r="U36" s="13">
        <f t="shared" si="10"/>
        <v>65</v>
      </c>
      <c r="V36" s="13">
        <f t="shared" si="10"/>
        <v>53</v>
      </c>
      <c r="W36" s="13">
        <f t="shared" si="10"/>
        <v>73</v>
      </c>
      <c r="X36" s="13">
        <f t="shared" si="10"/>
        <v>58</v>
      </c>
      <c r="Y36" s="13">
        <f t="shared" si="10"/>
        <v>55</v>
      </c>
      <c r="Z36" s="13">
        <f t="shared" si="10"/>
        <v>51</v>
      </c>
      <c r="AA36" s="13">
        <f t="shared" si="10"/>
        <v>80</v>
      </c>
      <c r="AB36" s="13">
        <f t="shared" si="9"/>
        <v>1368</v>
      </c>
    </row>
    <row r="37" spans="1:28" ht="12.75" customHeight="1" x14ac:dyDescent="0.3">
      <c r="A37" s="62"/>
      <c r="B37" s="61"/>
      <c r="C37" s="61"/>
      <c r="D37" s="61"/>
      <c r="E37" s="62"/>
      <c r="F37" s="61"/>
      <c r="G37" s="61"/>
      <c r="H37" s="61"/>
      <c r="I37" s="59"/>
      <c r="J37" s="16"/>
      <c r="K37" s="16"/>
      <c r="L37" s="16"/>
      <c r="M37" s="16"/>
      <c r="N37" s="50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1"/>
    </row>
    <row r="38" spans="1:28" ht="12.75" customHeight="1" x14ac:dyDescent="0.3">
      <c r="A38" s="26" t="s">
        <v>31</v>
      </c>
      <c r="B38" s="65" t="s">
        <v>32</v>
      </c>
      <c r="C38" s="61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1"/>
    </row>
    <row r="39" spans="1:28" ht="12.75" customHeight="1" x14ac:dyDescent="0.3">
      <c r="A39" s="20"/>
      <c r="B39" s="66" t="s">
        <v>33</v>
      </c>
      <c r="C39" s="67"/>
      <c r="D39" s="16" t="s">
        <v>12</v>
      </c>
      <c r="E39" s="16">
        <v>0</v>
      </c>
      <c r="F39" s="16">
        <v>0</v>
      </c>
      <c r="G39" s="16">
        <v>0</v>
      </c>
      <c r="H39" s="16">
        <v>3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/>
      <c r="U39" s="16"/>
      <c r="V39" s="16"/>
      <c r="W39" s="16"/>
      <c r="X39" s="16"/>
      <c r="Y39" s="16"/>
      <c r="Z39" s="16"/>
      <c r="AA39" s="16"/>
      <c r="AB39" s="13">
        <f>SUM(E39:AA39)</f>
        <v>3</v>
      </c>
    </row>
    <row r="40" spans="1:28" ht="12.75" customHeight="1" x14ac:dyDescent="0.3">
      <c r="A40" s="21"/>
      <c r="B40" s="68"/>
      <c r="C40" s="69"/>
      <c r="D40" s="16" t="s">
        <v>13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/>
      <c r="U40" s="16"/>
      <c r="V40" s="16"/>
      <c r="W40" s="16"/>
      <c r="X40" s="16"/>
      <c r="Y40" s="16"/>
      <c r="Z40" s="16"/>
      <c r="AA40" s="16"/>
      <c r="AB40" s="13">
        <f t="shared" ref="AB40:AB41" si="11">SUM(E40:AA40)</f>
        <v>0</v>
      </c>
    </row>
    <row r="41" spans="1:28" ht="12.75" customHeight="1" x14ac:dyDescent="0.3">
      <c r="A41" s="25"/>
      <c r="B41" s="64"/>
      <c r="C41" s="70"/>
      <c r="D41" s="13" t="s">
        <v>14</v>
      </c>
      <c r="E41" s="13">
        <f t="shared" ref="E41:AA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3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0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0</v>
      </c>
      <c r="W41" s="13">
        <f t="shared" si="12"/>
        <v>0</v>
      </c>
      <c r="X41" s="13">
        <f t="shared" si="12"/>
        <v>0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1"/>
        <v>3</v>
      </c>
    </row>
    <row r="42" spans="1:28" ht="12.75" customHeight="1" x14ac:dyDescent="0.3">
      <c r="A42" s="63"/>
      <c r="B42" s="64"/>
      <c r="C42" s="64"/>
      <c r="D42" s="70"/>
      <c r="E42" s="62"/>
      <c r="F42" s="61"/>
      <c r="G42" s="61"/>
      <c r="H42" s="61"/>
      <c r="I42" s="59"/>
      <c r="J42" s="16"/>
      <c r="K42" s="16"/>
      <c r="L42" s="16"/>
      <c r="M42" s="16"/>
      <c r="N42" s="50"/>
      <c r="O42" s="16"/>
      <c r="P42" s="50"/>
      <c r="Q42" s="16"/>
      <c r="R42" s="50"/>
      <c r="S42" s="16"/>
      <c r="T42" s="50"/>
      <c r="U42" s="16"/>
      <c r="V42" s="50"/>
      <c r="W42" s="16"/>
      <c r="X42" s="50"/>
      <c r="Y42" s="16"/>
      <c r="Z42" s="50"/>
      <c r="AA42" s="16"/>
      <c r="AB42" s="13"/>
    </row>
    <row r="43" spans="1:28" ht="12.75" customHeight="1" x14ac:dyDescent="0.3">
      <c r="A43" s="26" t="s">
        <v>34</v>
      </c>
      <c r="B43" s="65" t="s">
        <v>35</v>
      </c>
      <c r="C43" s="61"/>
      <c r="D43" s="59"/>
      <c r="E43" s="19"/>
      <c r="F43" s="13"/>
      <c r="G43" s="13"/>
      <c r="H43" s="13"/>
      <c r="I43" s="13"/>
      <c r="J43" s="13"/>
      <c r="K43" s="13"/>
      <c r="L43" s="13"/>
      <c r="M43" s="13"/>
      <c r="N43" s="52"/>
      <c r="O43" s="13"/>
      <c r="P43" s="52"/>
      <c r="Q43" s="13"/>
      <c r="R43" s="52"/>
      <c r="S43" s="13"/>
      <c r="T43" s="52"/>
      <c r="U43" s="13"/>
      <c r="V43" s="52"/>
      <c r="W43" s="13"/>
      <c r="X43" s="52"/>
      <c r="Y43" s="13"/>
      <c r="Z43" s="52"/>
      <c r="AA43" s="13"/>
      <c r="AB43" s="13"/>
    </row>
    <row r="44" spans="1:28" ht="12.75" customHeight="1" x14ac:dyDescent="0.3">
      <c r="A44" s="66" t="s">
        <v>36</v>
      </c>
      <c r="B44" s="71"/>
      <c r="C44" s="71"/>
      <c r="D44" s="67"/>
      <c r="E44" s="17"/>
      <c r="F44" s="16"/>
      <c r="G44" s="16"/>
      <c r="H44" s="16"/>
      <c r="I44" s="16"/>
      <c r="J44" s="16"/>
      <c r="K44" s="16"/>
      <c r="L44" s="16"/>
      <c r="M44" s="16"/>
      <c r="N44" s="50"/>
      <c r="O44" s="16"/>
      <c r="P44" s="50"/>
      <c r="Q44" s="16"/>
      <c r="R44" s="50"/>
      <c r="S44" s="16"/>
      <c r="T44" s="50"/>
      <c r="U44" s="16"/>
      <c r="V44" s="50"/>
      <c r="W44" s="16"/>
      <c r="X44" s="50"/>
      <c r="Y44" s="16"/>
      <c r="Z44" s="50"/>
      <c r="AA44" s="16"/>
      <c r="AB44" s="13"/>
    </row>
    <row r="45" spans="1:28" ht="12.75" customHeight="1" x14ac:dyDescent="0.3">
      <c r="A45" s="20" t="s">
        <v>37</v>
      </c>
      <c r="B45" s="27" t="s">
        <v>17</v>
      </c>
      <c r="C45" s="58" t="s">
        <v>38</v>
      </c>
      <c r="D45" s="59"/>
      <c r="E45" s="16">
        <v>10</v>
      </c>
      <c r="F45" s="16">
        <v>9</v>
      </c>
      <c r="G45" s="16">
        <v>10</v>
      </c>
      <c r="H45" s="16">
        <v>15</v>
      </c>
      <c r="I45" s="16">
        <v>7</v>
      </c>
      <c r="J45" s="16">
        <v>6</v>
      </c>
      <c r="K45" s="16">
        <v>6</v>
      </c>
      <c r="L45" s="16">
        <v>5</v>
      </c>
      <c r="M45" s="16">
        <v>4</v>
      </c>
      <c r="N45" s="16">
        <v>20</v>
      </c>
      <c r="O45" s="16">
        <v>3</v>
      </c>
      <c r="P45" s="16">
        <v>3</v>
      </c>
      <c r="Q45" s="16">
        <v>4</v>
      </c>
      <c r="R45" s="16">
        <v>3</v>
      </c>
      <c r="S45" s="16">
        <v>3</v>
      </c>
      <c r="T45" s="16">
        <v>5</v>
      </c>
      <c r="U45" s="16">
        <v>7</v>
      </c>
      <c r="V45" s="16">
        <v>7</v>
      </c>
      <c r="W45" s="16">
        <v>6</v>
      </c>
      <c r="X45" s="16">
        <v>5</v>
      </c>
      <c r="Y45" s="16">
        <v>6</v>
      </c>
      <c r="Z45" s="16">
        <v>8</v>
      </c>
      <c r="AA45" s="16">
        <v>7</v>
      </c>
      <c r="AB45" s="13">
        <f>SUM(E45:AA45)</f>
        <v>159</v>
      </c>
    </row>
    <row r="46" spans="1:28" ht="12.75" customHeight="1" x14ac:dyDescent="0.3">
      <c r="A46" s="20" t="s">
        <v>39</v>
      </c>
      <c r="B46" s="28"/>
      <c r="C46" s="29" t="s">
        <v>40</v>
      </c>
      <c r="D46" s="29"/>
      <c r="E46" s="16">
        <v>38</v>
      </c>
      <c r="F46" s="16">
        <v>31</v>
      </c>
      <c r="G46" s="16">
        <v>29</v>
      </c>
      <c r="H46" s="16">
        <v>38</v>
      </c>
      <c r="I46" s="16">
        <v>17</v>
      </c>
      <c r="J46" s="16">
        <v>8</v>
      </c>
      <c r="K46" s="16">
        <v>5</v>
      </c>
      <c r="L46" s="16">
        <v>14</v>
      </c>
      <c r="M46" s="16">
        <v>9</v>
      </c>
      <c r="N46" s="16">
        <v>55</v>
      </c>
      <c r="O46" s="16">
        <v>10</v>
      </c>
      <c r="P46" s="16">
        <v>6</v>
      </c>
      <c r="Q46" s="16">
        <v>5</v>
      </c>
      <c r="R46" s="16">
        <v>14</v>
      </c>
      <c r="S46" s="16">
        <v>6</v>
      </c>
      <c r="T46" s="16">
        <v>12</v>
      </c>
      <c r="U46" s="16">
        <v>18</v>
      </c>
      <c r="V46" s="16">
        <v>5</v>
      </c>
      <c r="W46" s="16">
        <v>19</v>
      </c>
      <c r="X46" s="16">
        <v>25</v>
      </c>
      <c r="Y46" s="16">
        <v>10</v>
      </c>
      <c r="Z46" s="16">
        <v>19</v>
      </c>
      <c r="AA46" s="16">
        <v>14</v>
      </c>
      <c r="AB46" s="13">
        <f t="shared" ref="AB46:AB54" si="13">SUM(E46:AA46)</f>
        <v>407</v>
      </c>
    </row>
    <row r="47" spans="1:28" ht="12.75" customHeight="1" x14ac:dyDescent="0.3">
      <c r="A47" s="15"/>
      <c r="B47" s="34"/>
      <c r="C47" s="29" t="s">
        <v>41</v>
      </c>
      <c r="D47" s="29"/>
      <c r="E47" s="16">
        <v>4</v>
      </c>
      <c r="F47" s="16">
        <v>4</v>
      </c>
      <c r="G47" s="16">
        <v>3</v>
      </c>
      <c r="H47" s="16">
        <v>2</v>
      </c>
      <c r="I47" s="16">
        <v>1</v>
      </c>
      <c r="J47" s="16">
        <v>4</v>
      </c>
      <c r="K47" s="16">
        <v>1</v>
      </c>
      <c r="L47" s="16">
        <v>0</v>
      </c>
      <c r="M47" s="16">
        <v>0</v>
      </c>
      <c r="N47" s="16">
        <v>4</v>
      </c>
      <c r="O47" s="16">
        <v>1</v>
      </c>
      <c r="P47" s="16">
        <v>0</v>
      </c>
      <c r="Q47" s="16">
        <v>0</v>
      </c>
      <c r="R47" s="16">
        <v>11</v>
      </c>
      <c r="S47" s="16">
        <v>2</v>
      </c>
      <c r="T47" s="16">
        <v>9</v>
      </c>
      <c r="U47" s="16">
        <v>14</v>
      </c>
      <c r="V47" s="16">
        <v>28</v>
      </c>
      <c r="W47" s="16">
        <v>20</v>
      </c>
      <c r="X47" s="16">
        <v>6</v>
      </c>
      <c r="Y47" s="16">
        <v>10</v>
      </c>
      <c r="Z47" s="16">
        <v>45</v>
      </c>
      <c r="AA47" s="16">
        <v>1</v>
      </c>
      <c r="AB47" s="13">
        <f t="shared" si="13"/>
        <v>170</v>
      </c>
    </row>
    <row r="48" spans="1:28" ht="12.75" customHeight="1" x14ac:dyDescent="0.3">
      <c r="A48" s="15"/>
      <c r="B48" s="34"/>
      <c r="C48" s="29" t="s">
        <v>42</v>
      </c>
      <c r="D48" s="29"/>
      <c r="E48" s="16">
        <v>1</v>
      </c>
      <c r="F48" s="16">
        <v>1</v>
      </c>
      <c r="G48" s="16">
        <v>1</v>
      </c>
      <c r="H48" s="16">
        <v>1</v>
      </c>
      <c r="I48" s="16">
        <v>0</v>
      </c>
      <c r="J48" s="16">
        <v>0</v>
      </c>
      <c r="K48" s="16">
        <v>0</v>
      </c>
      <c r="L48" s="16">
        <v>1</v>
      </c>
      <c r="M48" s="16">
        <v>0</v>
      </c>
      <c r="N48" s="16">
        <v>1</v>
      </c>
      <c r="O48" s="16">
        <v>0</v>
      </c>
      <c r="P48" s="16">
        <v>0</v>
      </c>
      <c r="Q48" s="16">
        <v>0</v>
      </c>
      <c r="R48" s="16">
        <v>0</v>
      </c>
      <c r="S48" s="16">
        <v>2</v>
      </c>
      <c r="T48" s="16">
        <v>1</v>
      </c>
      <c r="U48" s="16">
        <v>1</v>
      </c>
      <c r="V48" s="16">
        <v>1</v>
      </c>
      <c r="W48" s="16">
        <v>1</v>
      </c>
      <c r="X48" s="16">
        <v>0</v>
      </c>
      <c r="Y48" s="16">
        <v>1</v>
      </c>
      <c r="Z48" s="16">
        <v>1</v>
      </c>
      <c r="AA48" s="16">
        <v>0</v>
      </c>
      <c r="AB48" s="13">
        <f t="shared" si="13"/>
        <v>14</v>
      </c>
    </row>
    <row r="49" spans="1:28" ht="12.75" customHeight="1" x14ac:dyDescent="0.3">
      <c r="A49" s="15"/>
      <c r="B49" s="34"/>
      <c r="C49" s="29" t="s">
        <v>43</v>
      </c>
      <c r="D49" s="29"/>
      <c r="E49" s="16">
        <v>2</v>
      </c>
      <c r="F49" s="16">
        <v>2</v>
      </c>
      <c r="G49" s="16">
        <v>3</v>
      </c>
      <c r="H49" s="16">
        <v>1</v>
      </c>
      <c r="I49" s="16">
        <v>0</v>
      </c>
      <c r="J49" s="16">
        <v>1</v>
      </c>
      <c r="K49" s="16">
        <v>0</v>
      </c>
      <c r="L49" s="16">
        <v>0</v>
      </c>
      <c r="M49" s="16">
        <v>0</v>
      </c>
      <c r="N49" s="16">
        <v>1</v>
      </c>
      <c r="O49" s="16">
        <v>0</v>
      </c>
      <c r="P49" s="16">
        <v>0</v>
      </c>
      <c r="Q49" s="16">
        <v>2</v>
      </c>
      <c r="R49" s="16">
        <v>1</v>
      </c>
      <c r="S49" s="16">
        <v>2</v>
      </c>
      <c r="T49" s="16">
        <v>1</v>
      </c>
      <c r="U49" s="16">
        <v>3</v>
      </c>
      <c r="V49" s="16">
        <v>3</v>
      </c>
      <c r="W49" s="16">
        <v>1</v>
      </c>
      <c r="X49" s="16">
        <v>0</v>
      </c>
      <c r="Y49" s="16">
        <v>0</v>
      </c>
      <c r="Z49" s="16">
        <v>1</v>
      </c>
      <c r="AA49" s="16">
        <v>0</v>
      </c>
      <c r="AB49" s="13">
        <f t="shared" si="13"/>
        <v>24</v>
      </c>
    </row>
    <row r="50" spans="1:28" ht="12.75" customHeight="1" x14ac:dyDescent="0.3">
      <c r="A50" s="15"/>
      <c r="B50" s="34"/>
      <c r="C50" s="29" t="s">
        <v>44</v>
      </c>
      <c r="D50" s="29"/>
      <c r="E50" s="16">
        <v>2</v>
      </c>
      <c r="F50" s="16">
        <v>2</v>
      </c>
      <c r="G50" s="16">
        <v>1</v>
      </c>
      <c r="H50" s="16">
        <v>1</v>
      </c>
      <c r="I50" s="16">
        <v>2</v>
      </c>
      <c r="J50" s="16">
        <v>1</v>
      </c>
      <c r="K50" s="16">
        <v>0</v>
      </c>
      <c r="L50" s="16">
        <v>0</v>
      </c>
      <c r="M50" s="16">
        <v>0</v>
      </c>
      <c r="N50" s="16">
        <v>2</v>
      </c>
      <c r="O50" s="16">
        <v>1</v>
      </c>
      <c r="P50" s="16">
        <v>0</v>
      </c>
      <c r="Q50" s="16">
        <v>0</v>
      </c>
      <c r="R50" s="16">
        <v>0</v>
      </c>
      <c r="S50" s="16">
        <v>1</v>
      </c>
      <c r="T50" s="16">
        <v>1</v>
      </c>
      <c r="U50" s="16">
        <v>0</v>
      </c>
      <c r="V50" s="16">
        <v>1</v>
      </c>
      <c r="W50" s="16">
        <v>1</v>
      </c>
      <c r="X50" s="16">
        <v>7</v>
      </c>
      <c r="Y50" s="16">
        <v>1</v>
      </c>
      <c r="Z50" s="16">
        <v>1</v>
      </c>
      <c r="AA50" s="16">
        <v>1</v>
      </c>
      <c r="AB50" s="13">
        <f t="shared" si="13"/>
        <v>26</v>
      </c>
    </row>
    <row r="51" spans="1:28" ht="12.75" customHeight="1" x14ac:dyDescent="0.3">
      <c r="A51" s="15"/>
      <c r="B51" s="34"/>
      <c r="C51" s="29" t="s">
        <v>45</v>
      </c>
      <c r="D51" s="29"/>
      <c r="E51" s="16">
        <v>2</v>
      </c>
      <c r="F51" s="16">
        <v>0</v>
      </c>
      <c r="G51" s="16">
        <v>0</v>
      </c>
      <c r="H51" s="16">
        <v>1</v>
      </c>
      <c r="I51" s="16">
        <v>1</v>
      </c>
      <c r="J51" s="16">
        <v>1</v>
      </c>
      <c r="K51" s="16">
        <v>0</v>
      </c>
      <c r="L51" s="16">
        <v>0</v>
      </c>
      <c r="M51" s="16">
        <v>0</v>
      </c>
      <c r="N51" s="16">
        <v>0</v>
      </c>
      <c r="O51" s="16">
        <v>1</v>
      </c>
      <c r="P51" s="16">
        <v>1</v>
      </c>
      <c r="Q51" s="16">
        <v>0</v>
      </c>
      <c r="R51" s="16">
        <v>0</v>
      </c>
      <c r="S51" s="16">
        <v>0</v>
      </c>
      <c r="T51" s="16">
        <v>0</v>
      </c>
      <c r="U51" s="16">
        <v>1</v>
      </c>
      <c r="V51" s="16">
        <v>0</v>
      </c>
      <c r="W51" s="16">
        <v>1</v>
      </c>
      <c r="X51" s="16">
        <v>3</v>
      </c>
      <c r="Y51" s="16">
        <v>0</v>
      </c>
      <c r="Z51" s="16">
        <v>0</v>
      </c>
      <c r="AA51" s="16">
        <v>0</v>
      </c>
      <c r="AB51" s="13">
        <f t="shared" si="13"/>
        <v>12</v>
      </c>
    </row>
    <row r="52" spans="1:28" ht="12.75" customHeight="1" x14ac:dyDescent="0.3">
      <c r="A52" s="15"/>
      <c r="B52" s="34"/>
      <c r="C52" s="29" t="s">
        <v>46</v>
      </c>
      <c r="D52" s="29"/>
      <c r="E52" s="16">
        <v>3</v>
      </c>
      <c r="F52" s="16">
        <v>1</v>
      </c>
      <c r="G52" s="16">
        <v>1</v>
      </c>
      <c r="H52" s="16">
        <v>0</v>
      </c>
      <c r="I52" s="16">
        <v>0</v>
      </c>
      <c r="J52" s="16">
        <v>1</v>
      </c>
      <c r="K52" s="16">
        <v>0</v>
      </c>
      <c r="L52" s="16">
        <v>0</v>
      </c>
      <c r="M52" s="16">
        <v>1</v>
      </c>
      <c r="N52" s="16">
        <v>3</v>
      </c>
      <c r="O52" s="16">
        <v>0</v>
      </c>
      <c r="P52" s="16">
        <v>0</v>
      </c>
      <c r="Q52" s="16">
        <v>1</v>
      </c>
      <c r="R52" s="16">
        <v>2</v>
      </c>
      <c r="S52" s="16">
        <v>1</v>
      </c>
      <c r="T52" s="16">
        <v>2</v>
      </c>
      <c r="U52" s="16">
        <v>10</v>
      </c>
      <c r="V52" s="16">
        <v>5</v>
      </c>
      <c r="W52" s="16">
        <v>1</v>
      </c>
      <c r="X52" s="16">
        <v>3</v>
      </c>
      <c r="Y52" s="16">
        <v>3</v>
      </c>
      <c r="Z52" s="16">
        <v>2</v>
      </c>
      <c r="AA52" s="16">
        <v>1</v>
      </c>
      <c r="AB52" s="13">
        <f t="shared" si="13"/>
        <v>41</v>
      </c>
    </row>
    <row r="53" spans="1:28" ht="12.75" customHeight="1" x14ac:dyDescent="0.3">
      <c r="A53" s="15"/>
      <c r="B53" s="34"/>
      <c r="C53" s="29" t="s">
        <v>47</v>
      </c>
      <c r="D53" s="29"/>
      <c r="E53" s="16">
        <v>0</v>
      </c>
      <c r="F53" s="16">
        <v>2</v>
      </c>
      <c r="G53" s="16">
        <v>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2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1</v>
      </c>
      <c r="V53" s="16">
        <v>0</v>
      </c>
      <c r="W53" s="16">
        <v>0</v>
      </c>
      <c r="X53" s="16">
        <v>1</v>
      </c>
      <c r="Y53" s="16">
        <v>0</v>
      </c>
      <c r="Z53" s="16">
        <v>1</v>
      </c>
      <c r="AA53" s="16">
        <v>0</v>
      </c>
      <c r="AB53" s="13">
        <f t="shared" si="13"/>
        <v>8</v>
      </c>
    </row>
    <row r="54" spans="1:28" ht="12.75" customHeight="1" x14ac:dyDescent="0.3">
      <c r="A54" s="15"/>
      <c r="B54" s="34"/>
      <c r="C54" s="29" t="s">
        <v>48</v>
      </c>
      <c r="D54" s="29"/>
      <c r="E54" s="16">
        <v>1</v>
      </c>
      <c r="F54" s="16">
        <v>0</v>
      </c>
      <c r="G54" s="16">
        <v>0</v>
      </c>
      <c r="H54" s="16">
        <v>0</v>
      </c>
      <c r="I54" s="16">
        <v>1</v>
      </c>
      <c r="J54" s="16">
        <v>0</v>
      </c>
      <c r="K54" s="16">
        <v>1</v>
      </c>
      <c r="L54" s="16">
        <v>0</v>
      </c>
      <c r="M54" s="16">
        <v>0</v>
      </c>
      <c r="N54" s="16">
        <v>2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1</v>
      </c>
      <c r="V54" s="16">
        <v>2</v>
      </c>
      <c r="W54" s="16">
        <v>0</v>
      </c>
      <c r="X54" s="16">
        <v>3</v>
      </c>
      <c r="Y54" s="16">
        <v>0</v>
      </c>
      <c r="Z54" s="16">
        <v>0</v>
      </c>
      <c r="AA54" s="16">
        <v>0</v>
      </c>
      <c r="AB54" s="13">
        <f t="shared" si="13"/>
        <v>11</v>
      </c>
    </row>
    <row r="55" spans="1:28" ht="12.75" customHeight="1" x14ac:dyDescent="0.3">
      <c r="A55" s="16" t="s">
        <v>15</v>
      </c>
      <c r="B55" s="60" t="s">
        <v>49</v>
      </c>
      <c r="C55" s="61"/>
      <c r="D55" s="59"/>
      <c r="E55" s="13">
        <f>SUM(E45:E54)</f>
        <v>63</v>
      </c>
      <c r="F55" s="13">
        <f t="shared" ref="F55:AB55" si="14">SUM(F45:F54)</f>
        <v>52</v>
      </c>
      <c r="G55" s="13">
        <f t="shared" si="14"/>
        <v>49</v>
      </c>
      <c r="H55" s="13">
        <f t="shared" si="14"/>
        <v>59</v>
      </c>
      <c r="I55" s="13">
        <f t="shared" si="14"/>
        <v>29</v>
      </c>
      <c r="J55" s="13">
        <f t="shared" si="14"/>
        <v>22</v>
      </c>
      <c r="K55" s="13">
        <f t="shared" si="14"/>
        <v>13</v>
      </c>
      <c r="L55" s="13">
        <f t="shared" si="14"/>
        <v>20</v>
      </c>
      <c r="M55" s="13">
        <f t="shared" si="14"/>
        <v>14</v>
      </c>
      <c r="N55" s="13">
        <f t="shared" si="14"/>
        <v>90</v>
      </c>
      <c r="O55" s="13">
        <f t="shared" si="14"/>
        <v>16</v>
      </c>
      <c r="P55" s="13">
        <f t="shared" si="14"/>
        <v>10</v>
      </c>
      <c r="Q55" s="13">
        <f t="shared" si="14"/>
        <v>12</v>
      </c>
      <c r="R55" s="13">
        <f t="shared" si="14"/>
        <v>31</v>
      </c>
      <c r="S55" s="13">
        <f t="shared" si="14"/>
        <v>17</v>
      </c>
      <c r="T55" s="13">
        <f t="shared" si="14"/>
        <v>31</v>
      </c>
      <c r="U55" s="13">
        <f t="shared" si="14"/>
        <v>56</v>
      </c>
      <c r="V55" s="13">
        <f t="shared" si="14"/>
        <v>52</v>
      </c>
      <c r="W55" s="13">
        <f t="shared" si="14"/>
        <v>50</v>
      </c>
      <c r="X55" s="13">
        <f t="shared" si="14"/>
        <v>53</v>
      </c>
      <c r="Y55" s="13">
        <f t="shared" si="14"/>
        <v>31</v>
      </c>
      <c r="Z55" s="13">
        <f t="shared" si="14"/>
        <v>78</v>
      </c>
      <c r="AA55" s="13">
        <f t="shared" si="14"/>
        <v>24</v>
      </c>
      <c r="AB55" s="13">
        <f t="shared" si="14"/>
        <v>872</v>
      </c>
    </row>
    <row r="56" spans="1:28" ht="12.75" customHeight="1" x14ac:dyDescent="0.3">
      <c r="A56" s="63"/>
      <c r="B56" s="64"/>
      <c r="C56" s="64"/>
      <c r="D56" s="64"/>
      <c r="E56" s="64"/>
      <c r="AB56" s="13"/>
    </row>
    <row r="57" spans="1:28" ht="12.75" customHeight="1" x14ac:dyDescent="0.3">
      <c r="A57" s="20" t="s">
        <v>37</v>
      </c>
      <c r="B57" s="27" t="s">
        <v>19</v>
      </c>
      <c r="C57" s="58" t="s">
        <v>50</v>
      </c>
      <c r="D57" s="59"/>
      <c r="E57" s="16">
        <v>13</v>
      </c>
      <c r="F57" s="16">
        <v>10</v>
      </c>
      <c r="G57" s="16">
        <v>10</v>
      </c>
      <c r="H57" s="16">
        <v>13</v>
      </c>
      <c r="I57" s="16">
        <v>5</v>
      </c>
      <c r="J57" s="16">
        <v>10</v>
      </c>
      <c r="K57" s="16">
        <v>19</v>
      </c>
      <c r="L57" s="16">
        <v>5</v>
      </c>
      <c r="M57" s="16">
        <v>6</v>
      </c>
      <c r="N57" s="16">
        <v>7</v>
      </c>
      <c r="O57" s="16">
        <v>5</v>
      </c>
      <c r="P57" s="16">
        <v>4</v>
      </c>
      <c r="Q57" s="16">
        <v>4</v>
      </c>
      <c r="R57" s="16">
        <v>5</v>
      </c>
      <c r="S57" s="16">
        <v>13</v>
      </c>
      <c r="T57" s="16">
        <v>13</v>
      </c>
      <c r="U57" s="16">
        <v>11</v>
      </c>
      <c r="V57" s="16">
        <v>15</v>
      </c>
      <c r="W57" s="16">
        <v>11</v>
      </c>
      <c r="X57" s="16">
        <v>11</v>
      </c>
      <c r="Y57" s="16">
        <v>12</v>
      </c>
      <c r="Z57" s="16">
        <v>11</v>
      </c>
      <c r="AA57" s="16">
        <v>10</v>
      </c>
      <c r="AB57" s="13">
        <f>SUM(E57:AA57)</f>
        <v>223</v>
      </c>
    </row>
    <row r="58" spans="1:28" ht="12.75" customHeight="1" x14ac:dyDescent="0.3">
      <c r="A58" s="20" t="s">
        <v>39</v>
      </c>
      <c r="B58" s="34"/>
      <c r="C58" s="29" t="s">
        <v>51</v>
      </c>
      <c r="D58" s="35"/>
      <c r="E58" s="16">
        <v>20</v>
      </c>
      <c r="F58" s="16">
        <v>21</v>
      </c>
      <c r="G58" s="16">
        <v>9</v>
      </c>
      <c r="H58" s="16">
        <v>10</v>
      </c>
      <c r="I58" s="16">
        <v>9</v>
      </c>
      <c r="J58" s="16">
        <v>6</v>
      </c>
      <c r="K58" s="16">
        <v>6</v>
      </c>
      <c r="L58" s="16">
        <v>6</v>
      </c>
      <c r="M58" s="16">
        <v>2</v>
      </c>
      <c r="N58" s="16">
        <v>7</v>
      </c>
      <c r="O58" s="16">
        <v>2</v>
      </c>
      <c r="P58" s="16">
        <v>2</v>
      </c>
      <c r="Q58" s="16">
        <v>8</v>
      </c>
      <c r="R58" s="16">
        <v>6</v>
      </c>
      <c r="S58" s="16">
        <v>6</v>
      </c>
      <c r="T58" s="16">
        <v>5</v>
      </c>
      <c r="U58" s="16">
        <v>7</v>
      </c>
      <c r="V58" s="16">
        <v>7</v>
      </c>
      <c r="W58" s="16">
        <v>6</v>
      </c>
      <c r="X58" s="16">
        <v>6</v>
      </c>
      <c r="Y58" s="16">
        <v>17</v>
      </c>
      <c r="Z58" s="16">
        <v>10</v>
      </c>
      <c r="AA58" s="16">
        <v>5</v>
      </c>
      <c r="AB58" s="13">
        <f t="shared" ref="AB58:AB66" si="15">SUM(E58:AA58)</f>
        <v>183</v>
      </c>
    </row>
    <row r="59" spans="1:28" ht="12.75" customHeight="1" x14ac:dyDescent="0.3">
      <c r="A59" s="15"/>
      <c r="B59" s="34"/>
      <c r="C59" s="29" t="s">
        <v>52</v>
      </c>
      <c r="D59" s="35"/>
      <c r="E59" s="16">
        <v>16</v>
      </c>
      <c r="F59" s="16">
        <v>16</v>
      </c>
      <c r="G59" s="16">
        <v>20</v>
      </c>
      <c r="H59" s="16">
        <v>8</v>
      </c>
      <c r="I59" s="16">
        <v>3</v>
      </c>
      <c r="J59" s="16">
        <v>7</v>
      </c>
      <c r="K59" s="16">
        <v>17</v>
      </c>
      <c r="L59" s="16">
        <v>3</v>
      </c>
      <c r="M59" s="16">
        <v>0</v>
      </c>
      <c r="N59" s="16">
        <v>3</v>
      </c>
      <c r="O59" s="16">
        <v>2</v>
      </c>
      <c r="P59" s="16">
        <v>3</v>
      </c>
      <c r="Q59" s="16">
        <v>3</v>
      </c>
      <c r="R59" s="16">
        <v>7</v>
      </c>
      <c r="S59" s="16">
        <v>9</v>
      </c>
      <c r="T59" s="16">
        <v>5</v>
      </c>
      <c r="U59" s="16">
        <v>12</v>
      </c>
      <c r="V59" s="16">
        <v>13</v>
      </c>
      <c r="W59" s="16">
        <v>5</v>
      </c>
      <c r="X59" s="16">
        <v>10</v>
      </c>
      <c r="Y59" s="16">
        <v>9</v>
      </c>
      <c r="Z59" s="16">
        <v>12</v>
      </c>
      <c r="AA59" s="16">
        <v>2</v>
      </c>
      <c r="AB59" s="13">
        <f t="shared" si="15"/>
        <v>185</v>
      </c>
    </row>
    <row r="60" spans="1:28" ht="12.75" customHeight="1" x14ac:dyDescent="0.3">
      <c r="A60" s="15"/>
      <c r="B60" s="34"/>
      <c r="C60" s="29" t="s">
        <v>53</v>
      </c>
      <c r="D60" s="35"/>
      <c r="E60" s="16">
        <v>1</v>
      </c>
      <c r="F60" s="16">
        <v>1</v>
      </c>
      <c r="G60" s="16">
        <v>1</v>
      </c>
      <c r="H60" s="16">
        <v>2</v>
      </c>
      <c r="I60" s="16">
        <v>0</v>
      </c>
      <c r="J60" s="16">
        <v>3</v>
      </c>
      <c r="K60" s="16">
        <v>3</v>
      </c>
      <c r="L60" s="16">
        <v>0</v>
      </c>
      <c r="M60" s="16">
        <v>1</v>
      </c>
      <c r="N60" s="16">
        <v>2</v>
      </c>
      <c r="O60" s="16">
        <v>2</v>
      </c>
      <c r="P60" s="16">
        <v>2</v>
      </c>
      <c r="Q60" s="16">
        <v>5</v>
      </c>
      <c r="R60" s="16">
        <v>3</v>
      </c>
      <c r="S60" s="16">
        <v>0</v>
      </c>
      <c r="T60" s="16">
        <v>4</v>
      </c>
      <c r="U60" s="16">
        <v>1</v>
      </c>
      <c r="V60" s="16">
        <v>3</v>
      </c>
      <c r="W60" s="16">
        <v>0</v>
      </c>
      <c r="X60" s="16">
        <v>3</v>
      </c>
      <c r="Y60" s="16">
        <v>1</v>
      </c>
      <c r="Z60" s="16">
        <v>2</v>
      </c>
      <c r="AA60" s="16">
        <v>4</v>
      </c>
      <c r="AB60" s="13">
        <f t="shared" si="15"/>
        <v>44</v>
      </c>
    </row>
    <row r="61" spans="1:28" ht="12.75" customHeight="1" x14ac:dyDescent="0.3">
      <c r="A61" s="15"/>
      <c r="B61" s="34"/>
      <c r="C61" s="29" t="s">
        <v>54</v>
      </c>
      <c r="D61" s="35"/>
      <c r="E61" s="16">
        <v>4</v>
      </c>
      <c r="F61" s="16">
        <v>4</v>
      </c>
      <c r="G61" s="16">
        <v>5</v>
      </c>
      <c r="H61" s="16">
        <v>6</v>
      </c>
      <c r="I61" s="16">
        <v>0</v>
      </c>
      <c r="J61" s="16">
        <v>6</v>
      </c>
      <c r="K61" s="16">
        <v>5</v>
      </c>
      <c r="L61" s="16">
        <v>5</v>
      </c>
      <c r="M61" s="16">
        <v>5</v>
      </c>
      <c r="N61" s="16">
        <v>3</v>
      </c>
      <c r="O61" s="16">
        <v>1</v>
      </c>
      <c r="P61" s="16">
        <v>3</v>
      </c>
      <c r="Q61" s="16">
        <v>4</v>
      </c>
      <c r="R61" s="16">
        <v>26</v>
      </c>
      <c r="S61" s="16">
        <v>12</v>
      </c>
      <c r="T61" s="16">
        <v>17</v>
      </c>
      <c r="U61" s="16">
        <v>41</v>
      </c>
      <c r="V61" s="16">
        <v>48</v>
      </c>
      <c r="W61" s="16">
        <v>16</v>
      </c>
      <c r="X61" s="16">
        <v>3</v>
      </c>
      <c r="Y61" s="16">
        <v>12</v>
      </c>
      <c r="Z61" s="16">
        <v>18</v>
      </c>
      <c r="AA61" s="16">
        <v>3</v>
      </c>
      <c r="AB61" s="13">
        <f t="shared" si="15"/>
        <v>247</v>
      </c>
    </row>
    <row r="62" spans="1:28" ht="12.75" customHeight="1" x14ac:dyDescent="0.3">
      <c r="A62" s="15"/>
      <c r="B62" s="34"/>
      <c r="C62" s="29" t="s">
        <v>55</v>
      </c>
      <c r="D62" s="35"/>
      <c r="E62" s="16">
        <v>2</v>
      </c>
      <c r="F62" s="16">
        <v>3</v>
      </c>
      <c r="G62" s="16">
        <v>0</v>
      </c>
      <c r="H62" s="16">
        <v>2</v>
      </c>
      <c r="I62" s="16">
        <v>0</v>
      </c>
      <c r="J62" s="16">
        <v>1</v>
      </c>
      <c r="K62" s="16">
        <v>2</v>
      </c>
      <c r="L62" s="16">
        <v>0</v>
      </c>
      <c r="M62" s="16">
        <v>2</v>
      </c>
      <c r="N62" s="16">
        <v>3</v>
      </c>
      <c r="O62" s="16">
        <v>2</v>
      </c>
      <c r="P62" s="16">
        <v>0</v>
      </c>
      <c r="Q62" s="16">
        <v>0</v>
      </c>
      <c r="R62" s="16">
        <v>3</v>
      </c>
      <c r="S62" s="16">
        <v>1</v>
      </c>
      <c r="T62" s="16">
        <v>0</v>
      </c>
      <c r="U62" s="16">
        <v>1</v>
      </c>
      <c r="V62" s="16">
        <v>1</v>
      </c>
      <c r="W62" s="16">
        <v>1</v>
      </c>
      <c r="X62" s="16">
        <v>5</v>
      </c>
      <c r="Y62" s="16">
        <v>5</v>
      </c>
      <c r="Z62" s="16">
        <v>2</v>
      </c>
      <c r="AA62" s="16">
        <v>0</v>
      </c>
      <c r="AB62" s="13">
        <f t="shared" si="15"/>
        <v>36</v>
      </c>
    </row>
    <row r="63" spans="1:28" ht="12.75" customHeight="1" x14ac:dyDescent="0.3">
      <c r="A63" s="15"/>
      <c r="B63" s="34"/>
      <c r="C63" s="29" t="s">
        <v>56</v>
      </c>
      <c r="D63" s="36"/>
      <c r="E63" s="16">
        <v>0</v>
      </c>
      <c r="F63" s="16">
        <v>2</v>
      </c>
      <c r="G63" s="16">
        <v>0</v>
      </c>
      <c r="H63" s="16">
        <v>0</v>
      </c>
      <c r="I63" s="16">
        <v>2</v>
      </c>
      <c r="J63" s="16">
        <v>2</v>
      </c>
      <c r="K63" s="16">
        <v>0</v>
      </c>
      <c r="L63" s="16">
        <v>2</v>
      </c>
      <c r="M63" s="16">
        <v>0</v>
      </c>
      <c r="N63" s="16">
        <v>0</v>
      </c>
      <c r="O63" s="16">
        <v>0</v>
      </c>
      <c r="P63" s="16">
        <v>0</v>
      </c>
      <c r="Q63" s="16">
        <v>1</v>
      </c>
      <c r="R63" s="16">
        <v>0</v>
      </c>
      <c r="S63" s="16">
        <v>0</v>
      </c>
      <c r="T63" s="16">
        <v>0</v>
      </c>
      <c r="U63" s="16">
        <v>1</v>
      </c>
      <c r="V63" s="16">
        <v>0</v>
      </c>
      <c r="W63" s="16">
        <v>1</v>
      </c>
      <c r="X63" s="16">
        <v>1</v>
      </c>
      <c r="Y63" s="16">
        <v>1</v>
      </c>
      <c r="Z63" s="16">
        <v>1</v>
      </c>
      <c r="AA63" s="16">
        <v>1</v>
      </c>
      <c r="AB63" s="13">
        <f t="shared" si="15"/>
        <v>15</v>
      </c>
    </row>
    <row r="64" spans="1:28" ht="12.75" customHeight="1" x14ac:dyDescent="0.3">
      <c r="A64" s="15"/>
      <c r="B64" s="34"/>
      <c r="C64" s="29" t="s">
        <v>57</v>
      </c>
      <c r="D64" s="35"/>
      <c r="E64" s="16">
        <v>1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1</v>
      </c>
      <c r="O64" s="16">
        <v>0</v>
      </c>
      <c r="P64" s="16">
        <v>0</v>
      </c>
      <c r="Q64" s="16">
        <v>0</v>
      </c>
      <c r="R64" s="16">
        <v>0</v>
      </c>
      <c r="S64" s="16">
        <v>2</v>
      </c>
      <c r="T64" s="16">
        <v>0</v>
      </c>
      <c r="U64" s="16">
        <v>1</v>
      </c>
      <c r="V64" s="16">
        <v>0</v>
      </c>
      <c r="W64" s="16">
        <v>0</v>
      </c>
      <c r="X64" s="16">
        <v>1</v>
      </c>
      <c r="Y64" s="16">
        <v>1</v>
      </c>
      <c r="Z64" s="16">
        <v>0</v>
      </c>
      <c r="AA64" s="16">
        <v>0</v>
      </c>
      <c r="AB64" s="13">
        <f t="shared" si="15"/>
        <v>7</v>
      </c>
    </row>
    <row r="65" spans="1:28" ht="12.75" customHeight="1" x14ac:dyDescent="0.3">
      <c r="A65" s="15"/>
      <c r="B65" s="34"/>
      <c r="C65" s="29" t="s">
        <v>58</v>
      </c>
      <c r="D65" s="35"/>
      <c r="E65" s="16">
        <v>0</v>
      </c>
      <c r="F65" s="16">
        <v>0</v>
      </c>
      <c r="G65" s="16">
        <v>0</v>
      </c>
      <c r="H65" s="16">
        <v>1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1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1</v>
      </c>
      <c r="W65" s="16">
        <v>0</v>
      </c>
      <c r="X65" s="16">
        <v>0</v>
      </c>
      <c r="Y65" s="16">
        <v>0</v>
      </c>
      <c r="Z65" s="16">
        <v>1</v>
      </c>
      <c r="AA65" s="16">
        <v>0</v>
      </c>
      <c r="AB65" s="13">
        <f t="shared" si="15"/>
        <v>4</v>
      </c>
    </row>
    <row r="66" spans="1:28" ht="12.75" customHeight="1" x14ac:dyDescent="0.3">
      <c r="A66" s="15"/>
      <c r="B66" s="34"/>
      <c r="C66" s="29" t="s">
        <v>59</v>
      </c>
      <c r="D66" s="35"/>
      <c r="E66" s="16">
        <v>0</v>
      </c>
      <c r="F66" s="16">
        <v>1</v>
      </c>
      <c r="G66" s="16">
        <v>0</v>
      </c>
      <c r="H66" s="16">
        <v>0</v>
      </c>
      <c r="I66" s="16">
        <v>1</v>
      </c>
      <c r="J66" s="16">
        <v>0</v>
      </c>
      <c r="K66" s="16">
        <v>2</v>
      </c>
      <c r="L66" s="16">
        <v>3</v>
      </c>
      <c r="M66" s="16">
        <v>1</v>
      </c>
      <c r="N66" s="16">
        <v>0</v>
      </c>
      <c r="O66" s="16">
        <v>0</v>
      </c>
      <c r="P66" s="16">
        <v>0</v>
      </c>
      <c r="Q66" s="16">
        <v>0</v>
      </c>
      <c r="R66" s="16">
        <v>1</v>
      </c>
      <c r="S66" s="16">
        <v>0</v>
      </c>
      <c r="T66" s="16">
        <v>0</v>
      </c>
      <c r="U66" s="16">
        <v>0</v>
      </c>
      <c r="V66" s="16">
        <v>0</v>
      </c>
      <c r="W66" s="16">
        <v>1</v>
      </c>
      <c r="X66" s="16">
        <v>1</v>
      </c>
      <c r="Y66" s="16">
        <v>0</v>
      </c>
      <c r="Z66" s="16">
        <v>0</v>
      </c>
      <c r="AA66" s="16">
        <v>2</v>
      </c>
      <c r="AB66" s="13">
        <f t="shared" si="15"/>
        <v>13</v>
      </c>
    </row>
    <row r="67" spans="1:28" ht="12.75" customHeight="1" x14ac:dyDescent="0.3">
      <c r="A67" s="16" t="s">
        <v>15</v>
      </c>
      <c r="B67" s="60" t="s">
        <v>49</v>
      </c>
      <c r="C67" s="61"/>
      <c r="D67" s="59"/>
      <c r="E67" s="13">
        <f>SUM(E57:E66)</f>
        <v>57</v>
      </c>
      <c r="F67" s="13">
        <f t="shared" ref="F67" si="16">SUM(F57:F66)</f>
        <v>58</v>
      </c>
      <c r="G67" s="13">
        <f t="shared" ref="G67" si="17">SUM(G57:G66)</f>
        <v>45</v>
      </c>
      <c r="H67" s="13">
        <f t="shared" ref="H67" si="18">SUM(H57:H66)</f>
        <v>42</v>
      </c>
      <c r="I67" s="13">
        <f t="shared" ref="I67" si="19">SUM(I57:I66)</f>
        <v>20</v>
      </c>
      <c r="J67" s="13">
        <f t="shared" ref="J67" si="20">SUM(J57:J66)</f>
        <v>35</v>
      </c>
      <c r="K67" s="13">
        <f t="shared" ref="K67" si="21">SUM(K57:K66)</f>
        <v>54</v>
      </c>
      <c r="L67" s="13">
        <f t="shared" ref="L67" si="22">SUM(L57:L66)</f>
        <v>24</v>
      </c>
      <c r="M67" s="13">
        <f t="shared" ref="M67" si="23">SUM(M57:M66)</f>
        <v>17</v>
      </c>
      <c r="N67" s="13">
        <f t="shared" ref="N67" si="24">SUM(N57:N66)</f>
        <v>26</v>
      </c>
      <c r="O67" s="13">
        <f t="shared" ref="O67" si="25">SUM(O57:O66)</f>
        <v>14</v>
      </c>
      <c r="P67" s="13">
        <f t="shared" ref="P67" si="26">SUM(P57:P66)</f>
        <v>15</v>
      </c>
      <c r="Q67" s="13">
        <f t="shared" ref="Q67" si="27">SUM(Q57:Q66)</f>
        <v>25</v>
      </c>
      <c r="R67" s="13">
        <f t="shared" ref="R67" si="28">SUM(R57:R66)</f>
        <v>51</v>
      </c>
      <c r="S67" s="13">
        <f t="shared" ref="S67" si="29">SUM(S57:S66)</f>
        <v>43</v>
      </c>
      <c r="T67" s="13">
        <f t="shared" ref="T67" si="30">SUM(T57:T66)</f>
        <v>44</v>
      </c>
      <c r="U67" s="13">
        <f t="shared" ref="U67" si="31">SUM(U57:U66)</f>
        <v>75</v>
      </c>
      <c r="V67" s="13">
        <f t="shared" ref="V67" si="32">SUM(V57:V66)</f>
        <v>88</v>
      </c>
      <c r="W67" s="13">
        <f t="shared" ref="W67" si="33">SUM(W57:W66)</f>
        <v>41</v>
      </c>
      <c r="X67" s="13">
        <f t="shared" ref="X67" si="34">SUM(X57:X66)</f>
        <v>41</v>
      </c>
      <c r="Y67" s="13">
        <f t="shared" ref="Y67" si="35">SUM(Y57:Y66)</f>
        <v>58</v>
      </c>
      <c r="Z67" s="13">
        <f t="shared" ref="Z67" si="36">SUM(Z57:Z66)</f>
        <v>57</v>
      </c>
      <c r="AA67" s="13">
        <f t="shared" ref="AA67" si="37">SUM(AA57:AA66)</f>
        <v>27</v>
      </c>
      <c r="AB67" s="13">
        <f t="shared" ref="AB67" si="38">SUM(AB57:AB66)</f>
        <v>957</v>
      </c>
    </row>
    <row r="68" spans="1:28" ht="12.75" customHeight="1" x14ac:dyDescent="0.3">
      <c r="A68" s="63"/>
      <c r="B68" s="64"/>
      <c r="C68" s="64"/>
      <c r="D68" s="64"/>
      <c r="E68" s="64"/>
    </row>
    <row r="69" spans="1:28" ht="12.75" customHeight="1" x14ac:dyDescent="0.3">
      <c r="A69" s="20" t="s">
        <v>37</v>
      </c>
      <c r="B69" s="27" t="s">
        <v>21</v>
      </c>
      <c r="C69" s="58" t="s">
        <v>60</v>
      </c>
      <c r="D69" s="59"/>
      <c r="E69" s="16">
        <v>5</v>
      </c>
      <c r="F69" s="16">
        <v>5</v>
      </c>
      <c r="G69" s="16">
        <v>3</v>
      </c>
      <c r="H69" s="16">
        <v>4</v>
      </c>
      <c r="I69" s="16">
        <v>4</v>
      </c>
      <c r="J69" s="16">
        <v>11</v>
      </c>
      <c r="K69" s="16">
        <v>9</v>
      </c>
      <c r="L69" s="16">
        <v>6</v>
      </c>
      <c r="M69" s="16">
        <v>19</v>
      </c>
      <c r="N69" s="16">
        <v>9</v>
      </c>
      <c r="O69" s="16">
        <v>11</v>
      </c>
      <c r="P69" s="16">
        <v>17</v>
      </c>
      <c r="Q69" s="16">
        <v>18</v>
      </c>
      <c r="R69" s="16">
        <v>14</v>
      </c>
      <c r="S69" s="16">
        <v>24</v>
      </c>
      <c r="T69" s="16">
        <v>16</v>
      </c>
      <c r="U69" s="16">
        <v>7</v>
      </c>
      <c r="V69" s="16">
        <v>11</v>
      </c>
      <c r="W69" s="16">
        <v>12</v>
      </c>
      <c r="X69" s="16">
        <v>9</v>
      </c>
      <c r="Y69" s="16">
        <v>6</v>
      </c>
      <c r="Z69" s="16">
        <v>17</v>
      </c>
      <c r="AA69" s="16">
        <v>14</v>
      </c>
      <c r="AB69" s="13">
        <f>SUM(E69:AA69)</f>
        <v>251</v>
      </c>
    </row>
    <row r="70" spans="1:28" ht="12.75" customHeight="1" x14ac:dyDescent="0.3">
      <c r="A70" s="20" t="s">
        <v>39</v>
      </c>
      <c r="B70" s="34"/>
      <c r="C70" s="29" t="s">
        <v>61</v>
      </c>
      <c r="D70" s="36"/>
      <c r="E70" s="16">
        <v>3</v>
      </c>
      <c r="F70" s="16">
        <v>0</v>
      </c>
      <c r="G70" s="16">
        <v>5</v>
      </c>
      <c r="H70" s="16">
        <v>3</v>
      </c>
      <c r="I70" s="16">
        <v>6</v>
      </c>
      <c r="J70" s="16">
        <v>6</v>
      </c>
      <c r="K70" s="16">
        <v>1</v>
      </c>
      <c r="L70" s="16">
        <v>6</v>
      </c>
      <c r="M70" s="16">
        <v>6</v>
      </c>
      <c r="N70" s="16">
        <v>5</v>
      </c>
      <c r="O70" s="16">
        <v>1</v>
      </c>
      <c r="P70" s="16">
        <v>17</v>
      </c>
      <c r="Q70" s="16">
        <v>5</v>
      </c>
      <c r="R70" s="16">
        <v>7</v>
      </c>
      <c r="S70" s="16">
        <v>7</v>
      </c>
      <c r="T70" s="16">
        <v>5</v>
      </c>
      <c r="U70" s="16">
        <v>2</v>
      </c>
      <c r="V70" s="16">
        <v>6</v>
      </c>
      <c r="W70" s="16">
        <v>7</v>
      </c>
      <c r="X70" s="16">
        <v>7</v>
      </c>
      <c r="Y70" s="16">
        <v>12</v>
      </c>
      <c r="Z70" s="16">
        <v>3</v>
      </c>
      <c r="AA70" s="16">
        <v>5</v>
      </c>
      <c r="AB70" s="13">
        <f t="shared" ref="AB70:AB78" si="39">SUM(E70:AA70)</f>
        <v>125</v>
      </c>
    </row>
    <row r="71" spans="1:28" ht="12.75" customHeight="1" x14ac:dyDescent="0.3">
      <c r="A71" s="15"/>
      <c r="B71" s="34"/>
      <c r="C71" s="29" t="s">
        <v>62</v>
      </c>
      <c r="D71" s="36"/>
      <c r="E71" s="16">
        <v>6</v>
      </c>
      <c r="F71" s="16">
        <v>2</v>
      </c>
      <c r="G71" s="16">
        <v>6</v>
      </c>
      <c r="H71" s="16">
        <v>3</v>
      </c>
      <c r="I71" s="16">
        <v>2</v>
      </c>
      <c r="J71" s="16">
        <v>9</v>
      </c>
      <c r="K71" s="16">
        <v>3</v>
      </c>
      <c r="L71" s="16">
        <v>0</v>
      </c>
      <c r="M71" s="16">
        <v>13</v>
      </c>
      <c r="N71" s="16">
        <v>2</v>
      </c>
      <c r="O71" s="16">
        <v>8</v>
      </c>
      <c r="P71" s="16">
        <v>20</v>
      </c>
      <c r="Q71" s="16">
        <v>50</v>
      </c>
      <c r="R71" s="16">
        <v>10</v>
      </c>
      <c r="S71" s="16">
        <v>8</v>
      </c>
      <c r="T71" s="16">
        <v>5</v>
      </c>
      <c r="U71" s="16">
        <v>4</v>
      </c>
      <c r="V71" s="16">
        <v>4</v>
      </c>
      <c r="W71" s="16">
        <v>8</v>
      </c>
      <c r="X71" s="16">
        <v>7</v>
      </c>
      <c r="Y71" s="16">
        <v>19</v>
      </c>
      <c r="Z71" s="16">
        <v>10</v>
      </c>
      <c r="AA71" s="16">
        <v>25</v>
      </c>
      <c r="AB71" s="13">
        <f t="shared" si="39"/>
        <v>224</v>
      </c>
    </row>
    <row r="72" spans="1:28" ht="12.75" customHeight="1" x14ac:dyDescent="0.3">
      <c r="A72" s="15"/>
      <c r="B72" s="34"/>
      <c r="C72" s="29" t="s">
        <v>63</v>
      </c>
      <c r="D72" s="36"/>
      <c r="E72" s="16">
        <v>2</v>
      </c>
      <c r="F72" s="16">
        <v>0</v>
      </c>
      <c r="G72" s="16">
        <v>4</v>
      </c>
      <c r="H72" s="16">
        <v>0</v>
      </c>
      <c r="I72" s="16">
        <v>2</v>
      </c>
      <c r="J72" s="16">
        <v>1</v>
      </c>
      <c r="K72" s="16">
        <v>2</v>
      </c>
      <c r="L72" s="16">
        <v>5</v>
      </c>
      <c r="M72" s="16">
        <v>5</v>
      </c>
      <c r="N72" s="16">
        <v>1</v>
      </c>
      <c r="O72" s="16">
        <v>3</v>
      </c>
      <c r="P72" s="16">
        <v>7</v>
      </c>
      <c r="Q72" s="16">
        <v>5</v>
      </c>
      <c r="R72" s="16">
        <v>7</v>
      </c>
      <c r="S72" s="16">
        <v>3</v>
      </c>
      <c r="T72" s="16">
        <v>10</v>
      </c>
      <c r="U72" s="16">
        <v>3</v>
      </c>
      <c r="V72" s="16">
        <v>4</v>
      </c>
      <c r="W72" s="16">
        <v>2</v>
      </c>
      <c r="X72" s="16">
        <v>1</v>
      </c>
      <c r="Y72" s="16">
        <v>2</v>
      </c>
      <c r="Z72" s="16">
        <v>3</v>
      </c>
      <c r="AA72" s="16">
        <v>6</v>
      </c>
      <c r="AB72" s="13">
        <f t="shared" si="39"/>
        <v>78</v>
      </c>
    </row>
    <row r="73" spans="1:28" ht="12.75" customHeight="1" x14ac:dyDescent="0.3">
      <c r="A73" s="15"/>
      <c r="B73" s="34"/>
      <c r="C73" s="29" t="s">
        <v>64</v>
      </c>
      <c r="D73" s="36"/>
      <c r="E73" s="16">
        <v>6</v>
      </c>
      <c r="F73" s="16">
        <v>2</v>
      </c>
      <c r="G73" s="16">
        <v>8</v>
      </c>
      <c r="H73" s="16">
        <v>8</v>
      </c>
      <c r="I73" s="16">
        <v>1</v>
      </c>
      <c r="J73" s="16">
        <v>0</v>
      </c>
      <c r="K73" s="16">
        <v>3</v>
      </c>
      <c r="L73" s="16">
        <v>7</v>
      </c>
      <c r="M73" s="16">
        <v>2</v>
      </c>
      <c r="N73" s="16">
        <v>8</v>
      </c>
      <c r="O73" s="16">
        <v>7</v>
      </c>
      <c r="P73" s="16">
        <v>29</v>
      </c>
      <c r="Q73" s="16">
        <v>15</v>
      </c>
      <c r="R73" s="16">
        <v>14</v>
      </c>
      <c r="S73" s="16">
        <v>27</v>
      </c>
      <c r="T73" s="16">
        <v>10</v>
      </c>
      <c r="U73" s="16">
        <v>8</v>
      </c>
      <c r="V73" s="16">
        <v>8</v>
      </c>
      <c r="W73" s="16">
        <v>12</v>
      </c>
      <c r="X73" s="16">
        <v>17</v>
      </c>
      <c r="Y73" s="16">
        <v>10</v>
      </c>
      <c r="Z73" s="16">
        <v>7</v>
      </c>
      <c r="AA73" s="16">
        <v>9</v>
      </c>
      <c r="AB73" s="13">
        <f t="shared" si="39"/>
        <v>218</v>
      </c>
    </row>
    <row r="74" spans="1:28" ht="12.75" customHeight="1" x14ac:dyDescent="0.3">
      <c r="A74" s="15"/>
      <c r="B74" s="34"/>
      <c r="C74" s="29" t="s">
        <v>65</v>
      </c>
      <c r="D74" s="36"/>
      <c r="E74" s="16">
        <v>1</v>
      </c>
      <c r="F74" s="16">
        <v>1</v>
      </c>
      <c r="G74" s="16">
        <v>1</v>
      </c>
      <c r="H74" s="16">
        <v>2</v>
      </c>
      <c r="I74" s="16">
        <v>0</v>
      </c>
      <c r="J74" s="16">
        <v>0</v>
      </c>
      <c r="K74" s="16">
        <v>0</v>
      </c>
      <c r="L74" s="16">
        <v>3</v>
      </c>
      <c r="M74" s="16">
        <v>2</v>
      </c>
      <c r="N74" s="16">
        <v>1</v>
      </c>
      <c r="O74" s="16">
        <v>2</v>
      </c>
      <c r="P74" s="16">
        <v>2</v>
      </c>
      <c r="Q74" s="16">
        <v>2</v>
      </c>
      <c r="R74" s="16">
        <v>2</v>
      </c>
      <c r="S74" s="16">
        <v>3</v>
      </c>
      <c r="T74" s="16">
        <v>0</v>
      </c>
      <c r="U74" s="16">
        <v>1</v>
      </c>
      <c r="V74" s="16">
        <v>6</v>
      </c>
      <c r="W74" s="16">
        <v>4</v>
      </c>
      <c r="X74" s="16">
        <v>0</v>
      </c>
      <c r="Y74" s="16">
        <v>1</v>
      </c>
      <c r="Z74" s="16">
        <v>2</v>
      </c>
      <c r="AA74" s="16">
        <v>3</v>
      </c>
      <c r="AB74" s="13">
        <f t="shared" si="39"/>
        <v>39</v>
      </c>
    </row>
    <row r="75" spans="1:28" ht="12.75" customHeight="1" x14ac:dyDescent="0.3">
      <c r="A75" s="15"/>
      <c r="B75" s="34"/>
      <c r="C75" s="29" t="s">
        <v>66</v>
      </c>
      <c r="D75" s="36"/>
      <c r="E75" s="16">
        <v>4</v>
      </c>
      <c r="F75" s="16">
        <v>1</v>
      </c>
      <c r="G75" s="16">
        <v>1</v>
      </c>
      <c r="H75" s="16">
        <v>1</v>
      </c>
      <c r="I75" s="16">
        <v>0</v>
      </c>
      <c r="J75" s="16">
        <v>1</v>
      </c>
      <c r="K75" s="16">
        <v>1</v>
      </c>
      <c r="L75" s="16">
        <v>3</v>
      </c>
      <c r="M75" s="16">
        <v>3</v>
      </c>
      <c r="N75" s="16">
        <v>0</v>
      </c>
      <c r="O75" s="16">
        <v>3</v>
      </c>
      <c r="P75" s="16">
        <v>1</v>
      </c>
      <c r="Q75" s="16">
        <v>2</v>
      </c>
      <c r="R75" s="16">
        <v>0</v>
      </c>
      <c r="S75" s="16">
        <v>1</v>
      </c>
      <c r="T75" s="16">
        <v>0</v>
      </c>
      <c r="U75" s="16">
        <v>0</v>
      </c>
      <c r="V75" s="16">
        <v>2</v>
      </c>
      <c r="W75" s="16">
        <v>0</v>
      </c>
      <c r="X75" s="16">
        <v>2</v>
      </c>
      <c r="Y75" s="16">
        <v>1</v>
      </c>
      <c r="Z75" s="16">
        <v>0</v>
      </c>
      <c r="AA75" s="16">
        <v>2</v>
      </c>
      <c r="AB75" s="13">
        <f t="shared" si="39"/>
        <v>29</v>
      </c>
    </row>
    <row r="76" spans="1:28" ht="12.75" customHeight="1" x14ac:dyDescent="0.3">
      <c r="A76" s="15"/>
      <c r="B76" s="34"/>
      <c r="C76" s="29" t="s">
        <v>67</v>
      </c>
      <c r="D76" s="36"/>
      <c r="E76" s="16">
        <v>5</v>
      </c>
      <c r="F76" s="16">
        <v>1</v>
      </c>
      <c r="G76" s="16">
        <v>0</v>
      </c>
      <c r="H76" s="16">
        <v>2</v>
      </c>
      <c r="I76" s="16">
        <v>0</v>
      </c>
      <c r="J76" s="16">
        <v>2</v>
      </c>
      <c r="K76" s="16">
        <v>3</v>
      </c>
      <c r="L76" s="16">
        <v>0</v>
      </c>
      <c r="M76" s="16">
        <v>4</v>
      </c>
      <c r="N76" s="16">
        <v>3</v>
      </c>
      <c r="O76" s="16">
        <v>2</v>
      </c>
      <c r="P76" s="16">
        <v>0</v>
      </c>
      <c r="Q76" s="16">
        <v>0</v>
      </c>
      <c r="R76" s="16">
        <v>14</v>
      </c>
      <c r="S76" s="16">
        <v>14</v>
      </c>
      <c r="T76" s="16">
        <v>0</v>
      </c>
      <c r="U76" s="16">
        <v>0</v>
      </c>
      <c r="V76" s="16">
        <v>1</v>
      </c>
      <c r="W76" s="16">
        <v>3</v>
      </c>
      <c r="X76" s="16">
        <v>4</v>
      </c>
      <c r="Y76" s="16">
        <v>1</v>
      </c>
      <c r="Z76" s="16">
        <v>4</v>
      </c>
      <c r="AA76" s="16">
        <v>2</v>
      </c>
      <c r="AB76" s="13">
        <f t="shared" si="39"/>
        <v>65</v>
      </c>
    </row>
    <row r="77" spans="1:28" ht="12.75" customHeight="1" x14ac:dyDescent="0.3">
      <c r="A77" s="15"/>
      <c r="B77" s="34"/>
      <c r="C77" s="29" t="s">
        <v>68</v>
      </c>
      <c r="D77" s="36"/>
      <c r="E77" s="16">
        <v>0</v>
      </c>
      <c r="F77" s="16">
        <v>1</v>
      </c>
      <c r="G77" s="16">
        <v>1</v>
      </c>
      <c r="H77" s="16">
        <v>1</v>
      </c>
      <c r="I77" s="16">
        <v>0</v>
      </c>
      <c r="J77" s="16">
        <v>2</v>
      </c>
      <c r="K77" s="16">
        <v>1</v>
      </c>
      <c r="L77" s="16">
        <v>0</v>
      </c>
      <c r="M77" s="16">
        <v>0</v>
      </c>
      <c r="N77" s="16">
        <v>0</v>
      </c>
      <c r="O77" s="16">
        <v>1</v>
      </c>
      <c r="P77" s="16">
        <v>2</v>
      </c>
      <c r="Q77" s="16">
        <v>0</v>
      </c>
      <c r="R77" s="16">
        <v>2</v>
      </c>
      <c r="S77" s="16">
        <v>4</v>
      </c>
      <c r="T77" s="16">
        <v>3</v>
      </c>
      <c r="U77" s="16">
        <v>1</v>
      </c>
      <c r="V77" s="16">
        <v>0</v>
      </c>
      <c r="W77" s="16">
        <v>0</v>
      </c>
      <c r="X77" s="16">
        <v>3</v>
      </c>
      <c r="Y77" s="16">
        <v>0</v>
      </c>
      <c r="Z77" s="16">
        <v>0</v>
      </c>
      <c r="AA77" s="16">
        <v>2</v>
      </c>
      <c r="AB77" s="13">
        <f t="shared" si="39"/>
        <v>24</v>
      </c>
    </row>
    <row r="78" spans="1:28" ht="12.75" customHeight="1" x14ac:dyDescent="0.3">
      <c r="A78" s="15"/>
      <c r="B78" s="34"/>
      <c r="C78" s="29" t="s">
        <v>69</v>
      </c>
      <c r="D78" s="36"/>
      <c r="E78" s="16">
        <v>0</v>
      </c>
      <c r="F78" s="16">
        <v>0</v>
      </c>
      <c r="G78" s="16">
        <v>1</v>
      </c>
      <c r="H78" s="16">
        <v>3</v>
      </c>
      <c r="I78" s="16">
        <v>4</v>
      </c>
      <c r="J78" s="16">
        <v>1</v>
      </c>
      <c r="K78" s="16">
        <v>4</v>
      </c>
      <c r="L78" s="16">
        <v>3</v>
      </c>
      <c r="M78" s="16">
        <v>4</v>
      </c>
      <c r="N78" s="16">
        <v>3</v>
      </c>
      <c r="O78" s="16">
        <v>0</v>
      </c>
      <c r="P78" s="16">
        <v>3</v>
      </c>
      <c r="Q78" s="16">
        <v>2</v>
      </c>
      <c r="R78" s="16">
        <v>7</v>
      </c>
      <c r="S78" s="16">
        <v>9</v>
      </c>
      <c r="T78" s="16">
        <v>2</v>
      </c>
      <c r="U78" s="16">
        <v>2</v>
      </c>
      <c r="V78" s="16">
        <v>7</v>
      </c>
      <c r="W78" s="16">
        <v>1</v>
      </c>
      <c r="X78" s="16">
        <v>6</v>
      </c>
      <c r="Y78" s="16">
        <v>3</v>
      </c>
      <c r="Z78" s="16">
        <v>1</v>
      </c>
      <c r="AA78" s="16">
        <v>4</v>
      </c>
      <c r="AB78" s="13">
        <f t="shared" si="39"/>
        <v>70</v>
      </c>
    </row>
    <row r="79" spans="1:28" ht="12.75" customHeight="1" x14ac:dyDescent="0.3">
      <c r="A79" s="16" t="s">
        <v>15</v>
      </c>
      <c r="B79" s="60" t="s">
        <v>49</v>
      </c>
      <c r="C79" s="61"/>
      <c r="D79" s="59"/>
      <c r="E79" s="13">
        <f>SUM(E69:E78)</f>
        <v>32</v>
      </c>
      <c r="F79" s="13">
        <f t="shared" ref="F79" si="40">SUM(F69:F78)</f>
        <v>13</v>
      </c>
      <c r="G79" s="13">
        <f t="shared" ref="G79" si="41">SUM(G69:G78)</f>
        <v>30</v>
      </c>
      <c r="H79" s="13">
        <f t="shared" ref="H79" si="42">SUM(H69:H78)</f>
        <v>27</v>
      </c>
      <c r="I79" s="13">
        <f t="shared" ref="I79" si="43">SUM(I69:I78)</f>
        <v>19</v>
      </c>
      <c r="J79" s="13">
        <f t="shared" ref="J79" si="44">SUM(J69:J78)</f>
        <v>33</v>
      </c>
      <c r="K79" s="13">
        <f t="shared" ref="K79" si="45">SUM(K69:K78)</f>
        <v>27</v>
      </c>
      <c r="L79" s="13">
        <f t="shared" ref="L79" si="46">SUM(L69:L78)</f>
        <v>33</v>
      </c>
      <c r="M79" s="13">
        <f t="shared" ref="M79" si="47">SUM(M69:M78)</f>
        <v>58</v>
      </c>
      <c r="N79" s="13">
        <f t="shared" ref="N79" si="48">SUM(N69:N78)</f>
        <v>32</v>
      </c>
      <c r="O79" s="13">
        <f t="shared" ref="O79" si="49">SUM(O69:O78)</f>
        <v>38</v>
      </c>
      <c r="P79" s="13">
        <f t="shared" ref="P79" si="50">SUM(P69:P78)</f>
        <v>98</v>
      </c>
      <c r="Q79" s="13">
        <f t="shared" ref="Q79" si="51">SUM(Q69:Q78)</f>
        <v>99</v>
      </c>
      <c r="R79" s="13">
        <f t="shared" ref="R79" si="52">SUM(R69:R78)</f>
        <v>77</v>
      </c>
      <c r="S79" s="13">
        <f t="shared" ref="S79" si="53">SUM(S69:S78)</f>
        <v>100</v>
      </c>
      <c r="T79" s="13">
        <f t="shared" ref="T79" si="54">SUM(T69:T78)</f>
        <v>51</v>
      </c>
      <c r="U79" s="13">
        <f t="shared" ref="U79" si="55">SUM(U69:U78)</f>
        <v>28</v>
      </c>
      <c r="V79" s="13">
        <f t="shared" ref="V79" si="56">SUM(V69:V78)</f>
        <v>49</v>
      </c>
      <c r="W79" s="13">
        <f t="shared" ref="W79" si="57">SUM(W69:W78)</f>
        <v>49</v>
      </c>
      <c r="X79" s="13">
        <f t="shared" ref="X79" si="58">SUM(X69:X78)</f>
        <v>56</v>
      </c>
      <c r="Y79" s="13">
        <f t="shared" ref="Y79" si="59">SUM(Y69:Y78)</f>
        <v>55</v>
      </c>
      <c r="Z79" s="13">
        <f t="shared" ref="Z79" si="60">SUM(Z69:Z78)</f>
        <v>47</v>
      </c>
      <c r="AA79" s="13">
        <f t="shared" ref="AA79" si="61">SUM(AA69:AA78)</f>
        <v>72</v>
      </c>
      <c r="AB79" s="13">
        <f t="shared" ref="AB79" si="62">SUM(AB69:AB78)</f>
        <v>1123</v>
      </c>
    </row>
    <row r="80" spans="1:28" ht="12.75" customHeight="1" x14ac:dyDescent="0.3">
      <c r="A80" s="63"/>
      <c r="B80" s="64"/>
      <c r="C80" s="64"/>
      <c r="D80" s="64"/>
      <c r="E80" s="64"/>
    </row>
    <row r="81" spans="1:28" ht="12.75" customHeight="1" x14ac:dyDescent="0.3">
      <c r="A81" s="20" t="s">
        <v>37</v>
      </c>
      <c r="B81" s="27" t="s">
        <v>23</v>
      </c>
      <c r="C81" s="58" t="s">
        <v>70</v>
      </c>
      <c r="D81" s="59"/>
      <c r="E81" s="16">
        <v>0</v>
      </c>
      <c r="F81" s="16">
        <v>3</v>
      </c>
      <c r="G81" s="16">
        <v>3</v>
      </c>
      <c r="H81" s="16">
        <v>3</v>
      </c>
      <c r="I81" s="16">
        <v>15</v>
      </c>
      <c r="J81" s="16">
        <v>11</v>
      </c>
      <c r="K81" s="16">
        <v>10</v>
      </c>
      <c r="L81" s="16">
        <v>10</v>
      </c>
      <c r="M81" s="16">
        <v>4</v>
      </c>
      <c r="N81" s="16">
        <v>3</v>
      </c>
      <c r="O81" s="16">
        <v>3</v>
      </c>
      <c r="P81" s="16">
        <v>3</v>
      </c>
      <c r="Q81" s="16">
        <v>9</v>
      </c>
      <c r="R81" s="16">
        <v>4</v>
      </c>
      <c r="S81" s="16">
        <v>2</v>
      </c>
      <c r="T81" s="16">
        <v>9</v>
      </c>
      <c r="U81" s="16">
        <v>7</v>
      </c>
      <c r="V81" s="16">
        <v>1</v>
      </c>
      <c r="W81" s="16">
        <v>8</v>
      </c>
      <c r="X81" s="16">
        <v>3</v>
      </c>
      <c r="Y81" s="16">
        <v>3</v>
      </c>
      <c r="Z81" s="16">
        <v>1</v>
      </c>
      <c r="AA81" s="16">
        <v>7</v>
      </c>
      <c r="AB81" s="13">
        <f>SUM(E81:AA81)</f>
        <v>122</v>
      </c>
    </row>
    <row r="82" spans="1:28" ht="12.75" customHeight="1" x14ac:dyDescent="0.3">
      <c r="A82" s="20" t="s">
        <v>39</v>
      </c>
      <c r="B82" s="34"/>
      <c r="C82" s="29" t="s">
        <v>71</v>
      </c>
      <c r="D82" s="36"/>
      <c r="E82" s="16">
        <v>2</v>
      </c>
      <c r="F82" s="16">
        <v>3</v>
      </c>
      <c r="G82" s="16">
        <v>4</v>
      </c>
      <c r="H82" s="16">
        <v>5</v>
      </c>
      <c r="I82" s="16">
        <v>14</v>
      </c>
      <c r="J82" s="16">
        <v>12</v>
      </c>
      <c r="K82" s="16">
        <v>8</v>
      </c>
      <c r="L82" s="16">
        <v>15</v>
      </c>
      <c r="M82" s="16">
        <v>4</v>
      </c>
      <c r="N82" s="16">
        <v>2</v>
      </c>
      <c r="O82" s="16">
        <v>2</v>
      </c>
      <c r="P82" s="16">
        <v>1</v>
      </c>
      <c r="Q82" s="16">
        <v>16</v>
      </c>
      <c r="R82" s="16">
        <v>5</v>
      </c>
      <c r="S82" s="16">
        <v>9</v>
      </c>
      <c r="T82" s="16">
        <v>10</v>
      </c>
      <c r="U82" s="16">
        <v>3</v>
      </c>
      <c r="V82" s="16">
        <v>1</v>
      </c>
      <c r="W82" s="16">
        <v>5</v>
      </c>
      <c r="X82" s="16">
        <v>2</v>
      </c>
      <c r="Y82" s="16">
        <v>5</v>
      </c>
      <c r="Z82" s="16">
        <v>6</v>
      </c>
      <c r="AA82" s="16">
        <v>2</v>
      </c>
      <c r="AB82" s="13">
        <f t="shared" ref="AB82:AB90" si="63">SUM(E82:AA82)</f>
        <v>136</v>
      </c>
    </row>
    <row r="83" spans="1:28" ht="12.75" customHeight="1" x14ac:dyDescent="0.3">
      <c r="A83" s="15"/>
      <c r="B83" s="34"/>
      <c r="C83" s="29" t="s">
        <v>72</v>
      </c>
      <c r="D83" s="36"/>
      <c r="E83" s="16">
        <v>1</v>
      </c>
      <c r="F83" s="16">
        <v>2</v>
      </c>
      <c r="G83" s="16">
        <v>0</v>
      </c>
      <c r="H83" s="16">
        <v>2</v>
      </c>
      <c r="I83" s="16">
        <v>3</v>
      </c>
      <c r="J83" s="16">
        <v>2</v>
      </c>
      <c r="K83" s="16">
        <v>1</v>
      </c>
      <c r="L83" s="16">
        <v>1</v>
      </c>
      <c r="M83" s="16">
        <v>2</v>
      </c>
      <c r="N83" s="16">
        <v>0</v>
      </c>
      <c r="O83" s="16">
        <v>0</v>
      </c>
      <c r="P83" s="16">
        <v>1</v>
      </c>
      <c r="Q83" s="16">
        <v>0</v>
      </c>
      <c r="R83" s="16">
        <v>2</v>
      </c>
      <c r="S83" s="16">
        <v>0</v>
      </c>
      <c r="T83" s="16">
        <v>3</v>
      </c>
      <c r="U83" s="16">
        <v>1</v>
      </c>
      <c r="V83" s="16">
        <v>0</v>
      </c>
      <c r="W83" s="16">
        <v>1</v>
      </c>
      <c r="X83" s="16">
        <v>0</v>
      </c>
      <c r="Y83" s="16">
        <v>1</v>
      </c>
      <c r="Z83" s="16">
        <v>2</v>
      </c>
      <c r="AA83" s="16">
        <v>0</v>
      </c>
      <c r="AB83" s="13">
        <f t="shared" si="63"/>
        <v>25</v>
      </c>
    </row>
    <row r="84" spans="1:28" ht="12.75" customHeight="1" x14ac:dyDescent="0.3">
      <c r="A84" s="15"/>
      <c r="B84" s="34"/>
      <c r="C84" s="29" t="s">
        <v>73</v>
      </c>
      <c r="D84" s="36"/>
      <c r="E84" s="16">
        <v>0</v>
      </c>
      <c r="F84" s="16">
        <v>0</v>
      </c>
      <c r="G84" s="16">
        <v>1</v>
      </c>
      <c r="H84" s="16">
        <v>0</v>
      </c>
      <c r="I84" s="16">
        <v>0</v>
      </c>
      <c r="J84" s="16">
        <v>0</v>
      </c>
      <c r="K84" s="16">
        <v>0</v>
      </c>
      <c r="L84" s="16">
        <v>2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3</v>
      </c>
      <c r="T84" s="16">
        <v>0</v>
      </c>
      <c r="U84" s="16">
        <v>0</v>
      </c>
      <c r="V84" s="16">
        <v>0</v>
      </c>
      <c r="W84" s="16">
        <v>1</v>
      </c>
      <c r="X84" s="16">
        <v>0</v>
      </c>
      <c r="Y84" s="16">
        <v>1</v>
      </c>
      <c r="Z84" s="16">
        <v>0</v>
      </c>
      <c r="AA84" s="16">
        <v>3</v>
      </c>
      <c r="AB84" s="13">
        <f t="shared" si="63"/>
        <v>11</v>
      </c>
    </row>
    <row r="85" spans="1:28" ht="12.75" customHeight="1" x14ac:dyDescent="0.3">
      <c r="A85" s="15"/>
      <c r="B85" s="34"/>
      <c r="C85" s="29" t="s">
        <v>74</v>
      </c>
      <c r="D85" s="36"/>
      <c r="E85" s="16">
        <v>1</v>
      </c>
      <c r="F85" s="16">
        <v>0</v>
      </c>
      <c r="G85" s="16">
        <v>1</v>
      </c>
      <c r="H85" s="16">
        <v>1</v>
      </c>
      <c r="I85" s="16">
        <v>1</v>
      </c>
      <c r="J85" s="16">
        <v>2</v>
      </c>
      <c r="K85" s="16">
        <v>2</v>
      </c>
      <c r="L85" s="16">
        <v>1</v>
      </c>
      <c r="M85" s="16">
        <v>1</v>
      </c>
      <c r="N85" s="16">
        <v>1</v>
      </c>
      <c r="O85" s="16">
        <v>1</v>
      </c>
      <c r="P85" s="16">
        <v>0</v>
      </c>
      <c r="Q85" s="16">
        <v>0</v>
      </c>
      <c r="R85" s="16">
        <v>3</v>
      </c>
      <c r="S85" s="16">
        <v>0</v>
      </c>
      <c r="T85" s="16">
        <v>3</v>
      </c>
      <c r="U85" s="16">
        <v>0</v>
      </c>
      <c r="V85" s="16">
        <v>3</v>
      </c>
      <c r="W85" s="16">
        <v>2</v>
      </c>
      <c r="X85" s="16">
        <v>2</v>
      </c>
      <c r="Y85" s="16">
        <v>1</v>
      </c>
      <c r="Z85" s="16">
        <v>0</v>
      </c>
      <c r="AA85" s="16">
        <v>2</v>
      </c>
      <c r="AB85" s="13">
        <f t="shared" si="63"/>
        <v>28</v>
      </c>
    </row>
    <row r="86" spans="1:28" ht="12.75" customHeight="1" x14ac:dyDescent="0.3">
      <c r="A86" s="15"/>
      <c r="B86" s="34"/>
      <c r="C86" s="29" t="s">
        <v>75</v>
      </c>
      <c r="D86" s="36"/>
      <c r="E86" s="16">
        <v>0</v>
      </c>
      <c r="F86" s="16">
        <v>0</v>
      </c>
      <c r="G86" s="16">
        <v>0</v>
      </c>
      <c r="H86" s="16">
        <v>0</v>
      </c>
      <c r="I86" s="16">
        <v>1</v>
      </c>
      <c r="J86" s="16">
        <v>2</v>
      </c>
      <c r="K86" s="16">
        <v>1</v>
      </c>
      <c r="L86" s="16">
        <v>0</v>
      </c>
      <c r="M86" s="16">
        <v>1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1</v>
      </c>
      <c r="Y86" s="16">
        <v>1</v>
      </c>
      <c r="Z86" s="16">
        <v>0</v>
      </c>
      <c r="AA86" s="16">
        <v>0</v>
      </c>
      <c r="AB86" s="13">
        <f t="shared" si="63"/>
        <v>7</v>
      </c>
    </row>
    <row r="87" spans="1:28" ht="12.75" customHeight="1" x14ac:dyDescent="0.3">
      <c r="A87" s="15"/>
      <c r="B87" s="34"/>
      <c r="C87" s="29" t="s">
        <v>76</v>
      </c>
      <c r="D87" s="36"/>
      <c r="E87" s="16">
        <v>1</v>
      </c>
      <c r="F87" s="16">
        <v>0</v>
      </c>
      <c r="G87" s="16">
        <v>0</v>
      </c>
      <c r="H87" s="16">
        <v>0</v>
      </c>
      <c r="I87" s="16">
        <v>0</v>
      </c>
      <c r="J87" s="16">
        <v>1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1</v>
      </c>
      <c r="AB87" s="13">
        <f t="shared" si="63"/>
        <v>3</v>
      </c>
    </row>
    <row r="88" spans="1:28" ht="12.75" customHeight="1" x14ac:dyDescent="0.3">
      <c r="A88" s="15"/>
      <c r="B88" s="34"/>
      <c r="C88" s="29" t="s">
        <v>77</v>
      </c>
      <c r="D88" s="36"/>
      <c r="E88" s="16">
        <v>1</v>
      </c>
      <c r="F88" s="16">
        <v>0</v>
      </c>
      <c r="G88" s="16">
        <v>0</v>
      </c>
      <c r="H88" s="16">
        <v>0</v>
      </c>
      <c r="I88" s="16">
        <v>0</v>
      </c>
      <c r="J88" s="16">
        <v>1</v>
      </c>
      <c r="K88" s="16">
        <v>0</v>
      </c>
      <c r="L88" s="16">
        <v>0</v>
      </c>
      <c r="M88" s="16">
        <v>1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3">
        <f t="shared" si="63"/>
        <v>3</v>
      </c>
    </row>
    <row r="89" spans="1:28" ht="12.75" customHeight="1" x14ac:dyDescent="0.3">
      <c r="A89" s="15"/>
      <c r="B89" s="34"/>
      <c r="C89" s="29" t="s">
        <v>78</v>
      </c>
      <c r="D89" s="36"/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1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1</v>
      </c>
      <c r="Y89" s="16">
        <v>0</v>
      </c>
      <c r="Z89" s="16">
        <v>0</v>
      </c>
      <c r="AA89" s="16">
        <v>0</v>
      </c>
      <c r="AB89" s="13">
        <f t="shared" si="63"/>
        <v>2</v>
      </c>
    </row>
    <row r="90" spans="1:28" ht="12.75" customHeight="1" x14ac:dyDescent="0.3">
      <c r="A90" s="15"/>
      <c r="B90" s="34"/>
      <c r="C90" s="29" t="s">
        <v>79</v>
      </c>
      <c r="D90" s="36"/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1</v>
      </c>
      <c r="M90" s="16">
        <v>1</v>
      </c>
      <c r="N90" s="16">
        <v>0</v>
      </c>
      <c r="O90" s="16">
        <v>1</v>
      </c>
      <c r="P90" s="16">
        <v>0</v>
      </c>
      <c r="Q90" s="16">
        <v>0</v>
      </c>
      <c r="R90" s="16">
        <v>1</v>
      </c>
      <c r="S90" s="16">
        <v>2</v>
      </c>
      <c r="T90" s="16">
        <v>0</v>
      </c>
      <c r="U90" s="16">
        <v>0</v>
      </c>
      <c r="V90" s="16">
        <v>1</v>
      </c>
      <c r="W90" s="16">
        <v>1</v>
      </c>
      <c r="X90" s="16">
        <v>0</v>
      </c>
      <c r="Y90" s="16">
        <v>0</v>
      </c>
      <c r="Z90" s="16">
        <v>1</v>
      </c>
      <c r="AA90" s="16">
        <v>0</v>
      </c>
      <c r="AB90" s="13">
        <f t="shared" si="63"/>
        <v>9</v>
      </c>
    </row>
    <row r="91" spans="1:28" ht="12.75" customHeight="1" x14ac:dyDescent="0.3">
      <c r="A91" s="16" t="s">
        <v>15</v>
      </c>
      <c r="B91" s="60" t="s">
        <v>49</v>
      </c>
      <c r="C91" s="61"/>
      <c r="D91" s="59"/>
      <c r="E91" s="13">
        <f>SUM(E81:E90)</f>
        <v>6</v>
      </c>
      <c r="F91" s="13">
        <f t="shared" ref="F91" si="64">SUM(F81:F90)</f>
        <v>8</v>
      </c>
      <c r="G91" s="13">
        <f t="shared" ref="G91" si="65">SUM(G81:G90)</f>
        <v>9</v>
      </c>
      <c r="H91" s="13">
        <f t="shared" ref="H91" si="66">SUM(H81:H90)</f>
        <v>11</v>
      </c>
      <c r="I91" s="13">
        <f t="shared" ref="I91" si="67">SUM(I81:I90)</f>
        <v>34</v>
      </c>
      <c r="J91" s="13">
        <f t="shared" ref="J91" si="68">SUM(J81:J90)</f>
        <v>32</v>
      </c>
      <c r="K91" s="13">
        <f t="shared" ref="K91" si="69">SUM(K81:K90)</f>
        <v>22</v>
      </c>
      <c r="L91" s="13">
        <f t="shared" ref="L91" si="70">SUM(L81:L90)</f>
        <v>30</v>
      </c>
      <c r="M91" s="13">
        <f t="shared" ref="M91" si="71">SUM(M81:M90)</f>
        <v>14</v>
      </c>
      <c r="N91" s="13">
        <f t="shared" ref="N91" si="72">SUM(N81:N90)</f>
        <v>6</v>
      </c>
      <c r="O91" s="13">
        <f t="shared" ref="O91" si="73">SUM(O81:O90)</f>
        <v>7</v>
      </c>
      <c r="P91" s="13">
        <f t="shared" ref="P91" si="74">SUM(P81:P90)</f>
        <v>5</v>
      </c>
      <c r="Q91" s="13">
        <f t="shared" ref="Q91" si="75">SUM(Q81:Q90)</f>
        <v>25</v>
      </c>
      <c r="R91" s="13">
        <f t="shared" ref="R91" si="76">SUM(R81:R90)</f>
        <v>15</v>
      </c>
      <c r="S91" s="13">
        <f t="shared" ref="S91" si="77">SUM(S81:S90)</f>
        <v>16</v>
      </c>
      <c r="T91" s="13">
        <f t="shared" ref="T91" si="78">SUM(T81:T90)</f>
        <v>25</v>
      </c>
      <c r="U91" s="13">
        <f t="shared" ref="U91" si="79">SUM(U81:U90)</f>
        <v>11</v>
      </c>
      <c r="V91" s="13">
        <f t="shared" ref="V91" si="80">SUM(V81:V90)</f>
        <v>6</v>
      </c>
      <c r="W91" s="13">
        <f t="shared" ref="W91" si="81">SUM(W81:W90)</f>
        <v>18</v>
      </c>
      <c r="X91" s="13">
        <f t="shared" ref="X91" si="82">SUM(X81:X90)</f>
        <v>9</v>
      </c>
      <c r="Y91" s="13">
        <f t="shared" ref="Y91" si="83">SUM(Y81:Y90)</f>
        <v>12</v>
      </c>
      <c r="Z91" s="13">
        <f t="shared" ref="Z91" si="84">SUM(Z81:Z90)</f>
        <v>10</v>
      </c>
      <c r="AA91" s="13">
        <f t="shared" ref="AA91" si="85">SUM(AA81:AA90)</f>
        <v>15</v>
      </c>
      <c r="AB91" s="13">
        <f t="shared" ref="AB91" si="86">SUM(AB81:AB90)</f>
        <v>346</v>
      </c>
    </row>
    <row r="92" spans="1:28" ht="12.75" customHeight="1" x14ac:dyDescent="0.3">
      <c r="A92" s="63"/>
      <c r="B92" s="64"/>
      <c r="C92" s="64"/>
      <c r="D92" s="64"/>
      <c r="E92" s="64"/>
    </row>
    <row r="93" spans="1:28" ht="12.75" customHeight="1" x14ac:dyDescent="0.3">
      <c r="A93" s="20" t="s">
        <v>37</v>
      </c>
      <c r="B93" s="27" t="s">
        <v>80</v>
      </c>
      <c r="C93" s="58" t="s">
        <v>81</v>
      </c>
      <c r="D93" s="59"/>
      <c r="E93" s="16">
        <v>3</v>
      </c>
      <c r="F93" s="16">
        <v>0</v>
      </c>
      <c r="G93" s="16">
        <v>1</v>
      </c>
      <c r="H93" s="16">
        <v>0</v>
      </c>
      <c r="I93" s="16">
        <v>0</v>
      </c>
      <c r="J93" s="16">
        <v>0</v>
      </c>
      <c r="K93" s="16">
        <v>6</v>
      </c>
      <c r="L93" s="16">
        <v>0</v>
      </c>
      <c r="M93" s="16">
        <v>2</v>
      </c>
      <c r="N93" s="16">
        <v>2</v>
      </c>
      <c r="O93" s="16">
        <v>1</v>
      </c>
      <c r="P93" s="16">
        <v>2</v>
      </c>
      <c r="Q93" s="16">
        <v>4</v>
      </c>
      <c r="R93" s="16">
        <v>0</v>
      </c>
      <c r="S93" s="16">
        <v>1</v>
      </c>
      <c r="T93" s="16">
        <v>3</v>
      </c>
      <c r="U93" s="16">
        <v>7</v>
      </c>
      <c r="V93" s="16">
        <v>2</v>
      </c>
      <c r="W93" s="16">
        <v>3</v>
      </c>
      <c r="X93" s="16">
        <v>0</v>
      </c>
      <c r="Y93" s="16">
        <v>1</v>
      </c>
      <c r="Z93" s="16">
        <v>1</v>
      </c>
      <c r="AA93" s="16">
        <v>7</v>
      </c>
      <c r="AB93" s="13">
        <f>SUM(E93:AA93)</f>
        <v>46</v>
      </c>
    </row>
    <row r="94" spans="1:28" ht="12.75" customHeight="1" x14ac:dyDescent="0.3">
      <c r="A94" s="20" t="s">
        <v>39</v>
      </c>
      <c r="B94" s="34"/>
      <c r="C94" s="29" t="s">
        <v>82</v>
      </c>
      <c r="D94" s="36"/>
      <c r="E94" s="16">
        <v>1</v>
      </c>
      <c r="F94" s="16">
        <v>3</v>
      </c>
      <c r="G94" s="16">
        <v>1</v>
      </c>
      <c r="H94" s="16">
        <v>2</v>
      </c>
      <c r="I94" s="16">
        <v>2</v>
      </c>
      <c r="J94" s="16">
        <v>0</v>
      </c>
      <c r="K94" s="16">
        <v>5</v>
      </c>
      <c r="L94" s="16">
        <v>0</v>
      </c>
      <c r="M94" s="16">
        <v>0</v>
      </c>
      <c r="N94" s="16">
        <v>2</v>
      </c>
      <c r="O94" s="16">
        <v>1</v>
      </c>
      <c r="P94" s="16">
        <v>1</v>
      </c>
      <c r="Q94" s="16">
        <v>2</v>
      </c>
      <c r="R94" s="16">
        <v>0</v>
      </c>
      <c r="S94" s="16">
        <v>1</v>
      </c>
      <c r="T94" s="16">
        <v>5</v>
      </c>
      <c r="U94" s="16">
        <v>6</v>
      </c>
      <c r="V94" s="16">
        <v>2</v>
      </c>
      <c r="W94" s="16">
        <v>4</v>
      </c>
      <c r="X94" s="16">
        <v>3</v>
      </c>
      <c r="Y94" s="16">
        <v>0</v>
      </c>
      <c r="Z94" s="16">
        <v>6</v>
      </c>
      <c r="AA94" s="16">
        <v>1</v>
      </c>
      <c r="AB94" s="13">
        <f t="shared" ref="AB94:AB102" si="87">SUM(E94:AA94)</f>
        <v>48</v>
      </c>
    </row>
    <row r="95" spans="1:28" ht="12.75" customHeight="1" x14ac:dyDescent="0.3">
      <c r="A95" s="15"/>
      <c r="B95" s="34"/>
      <c r="C95" s="29" t="s">
        <v>83</v>
      </c>
      <c r="D95" s="36"/>
      <c r="E95" s="16">
        <v>1</v>
      </c>
      <c r="F95" s="16">
        <v>1</v>
      </c>
      <c r="G95" s="16">
        <v>0</v>
      </c>
      <c r="H95" s="16">
        <v>0</v>
      </c>
      <c r="I95" s="16">
        <v>0</v>
      </c>
      <c r="J95" s="16">
        <v>2</v>
      </c>
      <c r="K95" s="16">
        <v>1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1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3">
        <f t="shared" si="87"/>
        <v>6</v>
      </c>
    </row>
    <row r="96" spans="1:28" ht="12.75" customHeight="1" x14ac:dyDescent="0.3">
      <c r="A96" s="15"/>
      <c r="B96" s="34"/>
      <c r="C96" s="29" t="s">
        <v>84</v>
      </c>
      <c r="D96" s="36"/>
      <c r="E96" s="16">
        <v>1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1</v>
      </c>
      <c r="L96" s="16">
        <v>1</v>
      </c>
      <c r="M96" s="16">
        <v>0</v>
      </c>
      <c r="N96" s="16">
        <v>1</v>
      </c>
      <c r="O96" s="16">
        <v>0</v>
      </c>
      <c r="P96" s="16">
        <v>0</v>
      </c>
      <c r="Q96" s="16">
        <v>1</v>
      </c>
      <c r="R96" s="16">
        <v>0</v>
      </c>
      <c r="S96" s="16">
        <v>0</v>
      </c>
      <c r="T96" s="16">
        <v>1</v>
      </c>
      <c r="U96" s="16">
        <v>3</v>
      </c>
      <c r="V96" s="16">
        <v>0</v>
      </c>
      <c r="W96" s="16">
        <v>1</v>
      </c>
      <c r="X96" s="16">
        <v>0</v>
      </c>
      <c r="Y96" s="16">
        <v>0</v>
      </c>
      <c r="Z96" s="16">
        <v>0</v>
      </c>
      <c r="AA96" s="16">
        <v>0</v>
      </c>
      <c r="AB96" s="13">
        <f t="shared" si="87"/>
        <v>10</v>
      </c>
    </row>
    <row r="97" spans="1:28" ht="12.75" customHeight="1" x14ac:dyDescent="0.3">
      <c r="A97" s="15"/>
      <c r="B97" s="34"/>
      <c r="C97" s="29" t="s">
        <v>85</v>
      </c>
      <c r="D97" s="36"/>
      <c r="E97" s="16">
        <v>1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2</v>
      </c>
      <c r="L97" s="16">
        <v>0</v>
      </c>
      <c r="M97" s="16">
        <v>0</v>
      </c>
      <c r="N97" s="16">
        <v>0</v>
      </c>
      <c r="O97" s="16">
        <v>0</v>
      </c>
      <c r="P97" s="16">
        <v>1</v>
      </c>
      <c r="Q97" s="16">
        <v>0</v>
      </c>
      <c r="R97" s="16">
        <v>1</v>
      </c>
      <c r="S97" s="16">
        <v>0</v>
      </c>
      <c r="T97" s="16">
        <v>1</v>
      </c>
      <c r="U97" s="16">
        <v>1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3">
        <f t="shared" si="87"/>
        <v>7</v>
      </c>
    </row>
    <row r="98" spans="1:28" ht="12.75" customHeight="1" x14ac:dyDescent="0.3">
      <c r="A98" s="15"/>
      <c r="B98" s="34"/>
      <c r="C98" s="29" t="s">
        <v>86</v>
      </c>
      <c r="D98" s="36"/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1</v>
      </c>
      <c r="K98" s="16">
        <v>2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1</v>
      </c>
      <c r="V98" s="16">
        <v>0</v>
      </c>
      <c r="W98" s="16">
        <v>0</v>
      </c>
      <c r="X98" s="16">
        <v>0</v>
      </c>
      <c r="Y98" s="16">
        <v>1</v>
      </c>
      <c r="Z98" s="16">
        <v>0</v>
      </c>
      <c r="AA98" s="16">
        <v>0</v>
      </c>
      <c r="AB98" s="13">
        <f t="shared" si="87"/>
        <v>5</v>
      </c>
    </row>
    <row r="99" spans="1:28" ht="12.75" customHeight="1" x14ac:dyDescent="0.3">
      <c r="A99" s="15"/>
      <c r="B99" s="34"/>
      <c r="C99" s="29" t="s">
        <v>87</v>
      </c>
      <c r="D99" s="36"/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1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1</v>
      </c>
      <c r="X99" s="16">
        <v>0</v>
      </c>
      <c r="Y99" s="16">
        <v>0</v>
      </c>
      <c r="Z99" s="16">
        <v>0</v>
      </c>
      <c r="AA99" s="16">
        <v>0</v>
      </c>
      <c r="AB99" s="13">
        <f t="shared" si="87"/>
        <v>2</v>
      </c>
    </row>
    <row r="100" spans="1:28" ht="12.75" customHeight="1" x14ac:dyDescent="0.3">
      <c r="A100" s="15"/>
      <c r="B100" s="34"/>
      <c r="C100" s="29" t="s">
        <v>88</v>
      </c>
      <c r="D100" s="36"/>
      <c r="E100" s="16">
        <v>0</v>
      </c>
      <c r="F100" s="16">
        <v>0</v>
      </c>
      <c r="G100" s="16">
        <v>0</v>
      </c>
      <c r="H100" s="16">
        <v>0</v>
      </c>
      <c r="I100" s="16">
        <v>1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1</v>
      </c>
      <c r="P100" s="16">
        <v>1</v>
      </c>
      <c r="Q100" s="16">
        <v>2</v>
      </c>
      <c r="R100" s="16">
        <v>0</v>
      </c>
      <c r="S100" s="16">
        <v>0</v>
      </c>
      <c r="T100" s="16">
        <v>0</v>
      </c>
      <c r="U100" s="16">
        <v>1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3">
        <f t="shared" si="87"/>
        <v>6</v>
      </c>
    </row>
    <row r="101" spans="1:28" ht="12.75" customHeight="1" x14ac:dyDescent="0.3">
      <c r="A101" s="15"/>
      <c r="B101" s="34"/>
      <c r="C101" s="29" t="s">
        <v>89</v>
      </c>
      <c r="D101" s="36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1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3">
        <f t="shared" si="87"/>
        <v>1</v>
      </c>
    </row>
    <row r="102" spans="1:28" ht="12.75" customHeight="1" x14ac:dyDescent="0.3">
      <c r="A102" s="15"/>
      <c r="B102" s="34"/>
      <c r="C102" s="29" t="s">
        <v>90</v>
      </c>
      <c r="D102" s="36"/>
      <c r="E102" s="16">
        <v>0</v>
      </c>
      <c r="F102" s="16">
        <v>1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3">
        <f t="shared" si="87"/>
        <v>1</v>
      </c>
    </row>
    <row r="103" spans="1:28" ht="12.75" customHeight="1" x14ac:dyDescent="0.3">
      <c r="A103" s="16" t="s">
        <v>15</v>
      </c>
      <c r="B103" s="60" t="s">
        <v>49</v>
      </c>
      <c r="C103" s="61"/>
      <c r="D103" s="59"/>
      <c r="E103" s="13">
        <f>SUM(E93:E102)</f>
        <v>7</v>
      </c>
      <c r="F103" s="13">
        <f t="shared" ref="F103" si="88">SUM(F93:F102)</f>
        <v>5</v>
      </c>
      <c r="G103" s="13">
        <f t="shared" ref="G103" si="89">SUM(G93:G102)</f>
        <v>2</v>
      </c>
      <c r="H103" s="13">
        <f t="shared" ref="H103" si="90">SUM(H93:H102)</f>
        <v>2</v>
      </c>
      <c r="I103" s="13">
        <f t="shared" ref="I103" si="91">SUM(I93:I102)</f>
        <v>3</v>
      </c>
      <c r="J103" s="13">
        <f t="shared" ref="J103" si="92">SUM(J93:J102)</f>
        <v>3</v>
      </c>
      <c r="K103" s="13">
        <f t="shared" ref="K103" si="93">SUM(K93:K102)</f>
        <v>18</v>
      </c>
      <c r="L103" s="13">
        <f t="shared" ref="L103" si="94">SUM(L93:L102)</f>
        <v>1</v>
      </c>
      <c r="M103" s="13">
        <f t="shared" ref="M103" si="95">SUM(M93:M102)</f>
        <v>2</v>
      </c>
      <c r="N103" s="13">
        <f t="shared" ref="N103" si="96">SUM(N93:N102)</f>
        <v>5</v>
      </c>
      <c r="O103" s="13">
        <f t="shared" ref="O103" si="97">SUM(O93:O102)</f>
        <v>3</v>
      </c>
      <c r="P103" s="13">
        <f t="shared" ref="P103" si="98">SUM(P93:P102)</f>
        <v>5</v>
      </c>
      <c r="Q103" s="13">
        <f t="shared" ref="Q103" si="99">SUM(Q93:Q102)</f>
        <v>9</v>
      </c>
      <c r="R103" s="13">
        <f t="shared" ref="R103" si="100">SUM(R93:R102)</f>
        <v>1</v>
      </c>
      <c r="S103" s="13">
        <f t="shared" ref="S103" si="101">SUM(S93:S102)</f>
        <v>2</v>
      </c>
      <c r="T103" s="13">
        <f t="shared" ref="T103" si="102">SUM(T93:T102)</f>
        <v>12</v>
      </c>
      <c r="U103" s="13">
        <f t="shared" ref="U103" si="103">SUM(U93:U102)</f>
        <v>19</v>
      </c>
      <c r="V103" s="13">
        <f t="shared" ref="V103" si="104">SUM(V93:V102)</f>
        <v>4</v>
      </c>
      <c r="W103" s="13">
        <f t="shared" ref="W103" si="105">SUM(W93:W102)</f>
        <v>9</v>
      </c>
      <c r="X103" s="13">
        <f t="shared" ref="X103" si="106">SUM(X93:X102)</f>
        <v>3</v>
      </c>
      <c r="Y103" s="13">
        <f t="shared" ref="Y103" si="107">SUM(Y93:Y102)</f>
        <v>2</v>
      </c>
      <c r="Z103" s="13">
        <f t="shared" ref="Z103" si="108">SUM(Z93:Z102)</f>
        <v>7</v>
      </c>
      <c r="AA103" s="13">
        <f t="shared" ref="AA103" si="109">SUM(AA93:AA102)</f>
        <v>8</v>
      </c>
      <c r="AB103" s="13">
        <f t="shared" ref="AB103" si="110">SUM(AB93:AB102)</f>
        <v>132</v>
      </c>
    </row>
    <row r="104" spans="1:28" ht="12.75" customHeight="1" x14ac:dyDescent="0.3">
      <c r="A104" s="63"/>
      <c r="B104" s="64"/>
      <c r="C104" s="64"/>
      <c r="D104" s="64"/>
      <c r="E104" s="6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 spans="1:28" ht="12.75" customHeight="1" x14ac:dyDescent="0.3">
      <c r="A105" s="20" t="s">
        <v>37</v>
      </c>
      <c r="B105" s="27" t="s">
        <v>91</v>
      </c>
      <c r="C105" s="58" t="s">
        <v>92</v>
      </c>
      <c r="D105" s="59"/>
      <c r="E105" s="16">
        <v>0</v>
      </c>
      <c r="F105" s="16">
        <v>0</v>
      </c>
      <c r="G105" s="16">
        <v>1</v>
      </c>
      <c r="H105" s="16">
        <v>1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1</v>
      </c>
      <c r="S105" s="16">
        <v>0</v>
      </c>
      <c r="T105" s="16">
        <v>0</v>
      </c>
      <c r="U105" s="16">
        <v>0</v>
      </c>
      <c r="V105" s="16">
        <v>1</v>
      </c>
      <c r="W105" s="16">
        <v>2</v>
      </c>
      <c r="X105" s="16">
        <v>1</v>
      </c>
      <c r="Y105" s="16">
        <v>2</v>
      </c>
      <c r="Z105" s="16">
        <v>0</v>
      </c>
      <c r="AA105" s="16">
        <v>1</v>
      </c>
      <c r="AB105" s="13">
        <f>SUM(E105:AA105)</f>
        <v>10</v>
      </c>
    </row>
    <row r="106" spans="1:28" ht="12.75" customHeight="1" x14ac:dyDescent="0.3">
      <c r="A106" s="20" t="s">
        <v>39</v>
      </c>
      <c r="B106" s="34"/>
      <c r="C106" s="29" t="s">
        <v>93</v>
      </c>
      <c r="D106" s="36"/>
      <c r="E106" s="16">
        <v>1</v>
      </c>
      <c r="F106" s="16">
        <v>0</v>
      </c>
      <c r="G106" s="16">
        <v>0</v>
      </c>
      <c r="H106" s="16">
        <v>0</v>
      </c>
      <c r="I106" s="16">
        <v>1</v>
      </c>
      <c r="J106" s="16">
        <v>0</v>
      </c>
      <c r="K106" s="16">
        <v>1</v>
      </c>
      <c r="L106" s="16">
        <v>1</v>
      </c>
      <c r="M106" s="16">
        <v>0</v>
      </c>
      <c r="N106" s="16">
        <v>0</v>
      </c>
      <c r="O106" s="16">
        <v>2</v>
      </c>
      <c r="P106" s="16">
        <v>0</v>
      </c>
      <c r="Q106" s="16">
        <v>1</v>
      </c>
      <c r="R106" s="16">
        <v>0</v>
      </c>
      <c r="S106" s="16">
        <v>0</v>
      </c>
      <c r="T106" s="16">
        <v>0</v>
      </c>
      <c r="U106" s="16">
        <v>1</v>
      </c>
      <c r="V106" s="16">
        <v>0</v>
      </c>
      <c r="W106" s="16">
        <v>0</v>
      </c>
      <c r="X106" s="16">
        <v>1</v>
      </c>
      <c r="Y106" s="16">
        <v>1</v>
      </c>
      <c r="Z106" s="16">
        <v>0</v>
      </c>
      <c r="AA106" s="16">
        <v>0</v>
      </c>
      <c r="AB106" s="13">
        <f t="shared" ref="AB106:AB107" si="111">SUM(E106:AA106)</f>
        <v>10</v>
      </c>
    </row>
    <row r="107" spans="1:28" ht="12.75" customHeight="1" x14ac:dyDescent="0.3">
      <c r="A107" s="15"/>
      <c r="B107" s="34"/>
      <c r="C107" s="29" t="s">
        <v>94</v>
      </c>
      <c r="D107" s="36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1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1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3">
        <f t="shared" si="111"/>
        <v>2</v>
      </c>
    </row>
    <row r="108" spans="1:28" ht="12.75" customHeight="1" x14ac:dyDescent="0.3">
      <c r="A108" s="15"/>
      <c r="B108" s="37"/>
      <c r="C108" s="38"/>
      <c r="D108" s="39"/>
      <c r="E108" s="5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56"/>
    </row>
    <row r="109" spans="1:28" ht="12.75" customHeight="1" x14ac:dyDescent="0.3">
      <c r="A109" s="15"/>
      <c r="B109" s="37"/>
      <c r="C109" s="38"/>
      <c r="D109" s="39"/>
      <c r="E109" s="5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56"/>
    </row>
    <row r="110" spans="1:28" ht="12.75" customHeight="1" x14ac:dyDescent="0.3">
      <c r="A110" s="15"/>
      <c r="B110" s="37"/>
      <c r="C110" s="38"/>
      <c r="D110" s="39"/>
      <c r="E110" s="5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56"/>
    </row>
    <row r="111" spans="1:28" ht="12.75" customHeight="1" x14ac:dyDescent="0.3">
      <c r="A111" s="15"/>
      <c r="B111" s="37"/>
      <c r="C111" s="38"/>
      <c r="D111" s="39"/>
      <c r="E111" s="5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56"/>
    </row>
    <row r="112" spans="1:28" ht="12.75" customHeight="1" x14ac:dyDescent="0.3">
      <c r="A112" s="15"/>
      <c r="B112" s="37"/>
      <c r="C112" s="38"/>
      <c r="D112" s="39"/>
      <c r="E112" s="5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56"/>
    </row>
    <row r="113" spans="1:30" ht="12.75" customHeight="1" x14ac:dyDescent="0.3">
      <c r="A113" s="15"/>
      <c r="B113" s="37"/>
      <c r="C113" s="38"/>
      <c r="D113" s="39"/>
      <c r="E113" s="5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56"/>
    </row>
    <row r="114" spans="1:30" ht="12.75" customHeight="1" x14ac:dyDescent="0.3">
      <c r="A114" s="15"/>
      <c r="B114" s="37"/>
      <c r="C114" s="38"/>
      <c r="D114" s="39"/>
      <c r="E114" s="5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56"/>
    </row>
    <row r="115" spans="1:30" ht="12.75" customHeight="1" x14ac:dyDescent="0.3">
      <c r="A115" s="16" t="s">
        <v>15</v>
      </c>
      <c r="B115" s="60" t="s">
        <v>49</v>
      </c>
      <c r="C115" s="61"/>
      <c r="D115" s="59"/>
      <c r="E115" s="13">
        <f>SUM(E105:E114)</f>
        <v>1</v>
      </c>
      <c r="F115" s="13">
        <f t="shared" ref="F115" si="112">SUM(F105:F114)</f>
        <v>0</v>
      </c>
      <c r="G115" s="13">
        <f t="shared" ref="G115" si="113">SUM(G105:G114)</f>
        <v>1</v>
      </c>
      <c r="H115" s="13">
        <f t="shared" ref="H115" si="114">SUM(H105:H114)</f>
        <v>1</v>
      </c>
      <c r="I115" s="13">
        <f t="shared" ref="I115" si="115">SUM(I105:I114)</f>
        <v>1</v>
      </c>
      <c r="J115" s="13">
        <f t="shared" ref="J115" si="116">SUM(J105:J114)</f>
        <v>0</v>
      </c>
      <c r="K115" s="13">
        <f t="shared" ref="K115" si="117">SUM(K105:K114)</f>
        <v>1</v>
      </c>
      <c r="L115" s="13">
        <f t="shared" ref="L115" si="118">SUM(L105:L114)</f>
        <v>2</v>
      </c>
      <c r="M115" s="13">
        <f t="shared" ref="M115" si="119">SUM(M105:M114)</f>
        <v>0</v>
      </c>
      <c r="N115" s="13">
        <f t="shared" ref="N115" si="120">SUM(N105:N114)</f>
        <v>0</v>
      </c>
      <c r="O115" s="13">
        <f t="shared" ref="O115" si="121">SUM(O105:O114)</f>
        <v>2</v>
      </c>
      <c r="P115" s="13">
        <f t="shared" ref="P115" si="122">SUM(P105:P114)</f>
        <v>0</v>
      </c>
      <c r="Q115" s="13">
        <f t="shared" ref="Q115" si="123">SUM(Q105:Q114)</f>
        <v>1</v>
      </c>
      <c r="R115" s="13">
        <f t="shared" ref="R115" si="124">SUM(R105:R114)</f>
        <v>2</v>
      </c>
      <c r="S115" s="13">
        <f t="shared" ref="S115" si="125">SUM(S105:S114)</f>
        <v>0</v>
      </c>
      <c r="T115" s="13">
        <f t="shared" ref="T115" si="126">SUM(T105:T114)</f>
        <v>0</v>
      </c>
      <c r="U115" s="13">
        <f t="shared" ref="U115" si="127">SUM(U105:U114)</f>
        <v>1</v>
      </c>
      <c r="V115" s="13">
        <f t="shared" ref="V115" si="128">SUM(V105:V114)</f>
        <v>1</v>
      </c>
      <c r="W115" s="13">
        <f t="shared" ref="W115" si="129">SUM(W105:W114)</f>
        <v>2</v>
      </c>
      <c r="X115" s="13">
        <f t="shared" ref="X115" si="130">SUM(X105:X114)</f>
        <v>2</v>
      </c>
      <c r="Y115" s="13">
        <f t="shared" ref="Y115" si="131">SUM(Y105:Y114)</f>
        <v>3</v>
      </c>
      <c r="Z115" s="13">
        <f t="shared" ref="Z115" si="132">SUM(Z105:Z114)</f>
        <v>0</v>
      </c>
      <c r="AA115" s="13">
        <f t="shared" ref="AA115" si="133">SUM(AA105:AA114)</f>
        <v>1</v>
      </c>
      <c r="AB115" s="13">
        <f t="shared" ref="AB115" si="134">SUM(AB105:AB114)</f>
        <v>22</v>
      </c>
    </row>
    <row r="116" spans="1:30" ht="12.75" customHeight="1" x14ac:dyDescent="0.3">
      <c r="A116" s="62"/>
      <c r="B116" s="61"/>
      <c r="C116" s="61"/>
      <c r="D116" s="61"/>
      <c r="E116" s="59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AB116" s="13"/>
    </row>
    <row r="117" spans="1:30" ht="12.75" customHeight="1" x14ac:dyDescent="0.3">
      <c r="A117" s="20" t="s">
        <v>37</v>
      </c>
      <c r="B117" s="27" t="s">
        <v>95</v>
      </c>
      <c r="C117" s="58" t="s">
        <v>96</v>
      </c>
      <c r="D117" s="59"/>
      <c r="E117" s="16">
        <v>0</v>
      </c>
      <c r="F117" s="16">
        <v>1</v>
      </c>
      <c r="G117" s="16">
        <v>3</v>
      </c>
      <c r="H117" s="16">
        <v>1</v>
      </c>
      <c r="I117" s="16">
        <v>1</v>
      </c>
      <c r="J117" s="16">
        <v>4</v>
      </c>
      <c r="K117" s="16">
        <v>1</v>
      </c>
      <c r="L117" s="16">
        <v>2</v>
      </c>
      <c r="M117" s="16">
        <v>3</v>
      </c>
      <c r="N117" s="16">
        <v>3</v>
      </c>
      <c r="O117" s="16">
        <v>0</v>
      </c>
      <c r="P117" s="16">
        <v>0</v>
      </c>
      <c r="Q117" s="16">
        <v>3</v>
      </c>
      <c r="R117" s="16">
        <v>2</v>
      </c>
      <c r="S117" s="16">
        <v>1</v>
      </c>
      <c r="T117" s="16">
        <v>0</v>
      </c>
      <c r="U117" s="16">
        <v>3</v>
      </c>
      <c r="V117" s="16">
        <v>2</v>
      </c>
      <c r="W117" s="16">
        <v>3</v>
      </c>
      <c r="X117" s="16">
        <v>2</v>
      </c>
      <c r="Y117" s="16">
        <v>6</v>
      </c>
      <c r="Z117" s="16">
        <v>3</v>
      </c>
      <c r="AA117" s="16">
        <v>1</v>
      </c>
      <c r="AB117" s="13">
        <f>SUM(E117:AA117)</f>
        <v>45</v>
      </c>
      <c r="AC117" s="5"/>
      <c r="AD117" s="5"/>
    </row>
    <row r="118" spans="1:30" ht="12.75" customHeight="1" x14ac:dyDescent="0.3">
      <c r="A118" s="20" t="s">
        <v>39</v>
      </c>
      <c r="B118" s="34"/>
      <c r="C118" s="29" t="s">
        <v>97</v>
      </c>
      <c r="D118" s="36"/>
      <c r="E118" s="16">
        <v>1</v>
      </c>
      <c r="F118" s="16">
        <v>0</v>
      </c>
      <c r="G118" s="16">
        <v>0</v>
      </c>
      <c r="H118" s="16">
        <v>0</v>
      </c>
      <c r="I118" s="16">
        <v>1</v>
      </c>
      <c r="J118" s="16">
        <v>0</v>
      </c>
      <c r="K118" s="16">
        <v>1</v>
      </c>
      <c r="L118" s="16">
        <v>0</v>
      </c>
      <c r="M118" s="16">
        <v>0</v>
      </c>
      <c r="N118" s="16">
        <v>2</v>
      </c>
      <c r="O118" s="16">
        <v>0</v>
      </c>
      <c r="P118" s="16">
        <v>0</v>
      </c>
      <c r="Q118" s="16">
        <v>1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1</v>
      </c>
      <c r="Z118" s="16">
        <v>1</v>
      </c>
      <c r="AA118" s="16">
        <v>0</v>
      </c>
      <c r="AB118" s="13">
        <f t="shared" ref="AB118:AB122" si="135">SUM(E118:AA118)</f>
        <v>8</v>
      </c>
      <c r="AC118" s="5"/>
      <c r="AD118" s="5"/>
    </row>
    <row r="119" spans="1:30" ht="12.75" customHeight="1" x14ac:dyDescent="0.3">
      <c r="A119" s="15"/>
      <c r="B119" s="34"/>
      <c r="C119" s="29" t="s">
        <v>98</v>
      </c>
      <c r="D119" s="36"/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1</v>
      </c>
      <c r="K119" s="16">
        <v>0</v>
      </c>
      <c r="L119" s="16">
        <v>1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</v>
      </c>
      <c r="AB119" s="13">
        <f t="shared" si="135"/>
        <v>3</v>
      </c>
      <c r="AC119" s="5"/>
      <c r="AD119" s="5"/>
    </row>
    <row r="120" spans="1:30" ht="12.75" customHeight="1" x14ac:dyDescent="0.3">
      <c r="A120" s="15"/>
      <c r="B120" s="34"/>
      <c r="C120" s="29" t="s">
        <v>99</v>
      </c>
      <c r="D120" s="36"/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3">
        <f t="shared" si="135"/>
        <v>2</v>
      </c>
      <c r="AC120" s="5"/>
      <c r="AD120" s="5"/>
    </row>
    <row r="121" spans="1:30" ht="12.75" customHeight="1" x14ac:dyDescent="0.3">
      <c r="A121" s="15"/>
      <c r="B121" s="34"/>
      <c r="C121" s="29" t="s">
        <v>100</v>
      </c>
      <c r="D121" s="36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3">
        <f t="shared" si="135"/>
        <v>0</v>
      </c>
      <c r="AC121" s="5"/>
      <c r="AD121" s="5"/>
    </row>
    <row r="122" spans="1:30" ht="12.75" customHeight="1" x14ac:dyDescent="0.3">
      <c r="A122" s="15"/>
      <c r="B122" s="34"/>
      <c r="C122" s="29" t="s">
        <v>101</v>
      </c>
      <c r="D122" s="36"/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3">
        <f t="shared" si="135"/>
        <v>0</v>
      </c>
      <c r="AC122" s="5"/>
      <c r="AD122" s="5"/>
    </row>
    <row r="123" spans="1:30" ht="12.75" customHeight="1" x14ac:dyDescent="0.3">
      <c r="A123" s="15"/>
      <c r="B123" s="37"/>
      <c r="C123" s="38"/>
      <c r="D123" s="39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56"/>
      <c r="AC123" s="5"/>
      <c r="AD123" s="5"/>
    </row>
    <row r="124" spans="1:30" ht="12.75" customHeight="1" x14ac:dyDescent="0.3">
      <c r="A124" s="15"/>
      <c r="B124" s="37"/>
      <c r="C124" s="38"/>
      <c r="D124" s="39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56"/>
      <c r="AC124" s="5"/>
      <c r="AD124" s="5"/>
    </row>
    <row r="125" spans="1:30" ht="12.75" customHeight="1" x14ac:dyDescent="0.3">
      <c r="A125" s="15"/>
      <c r="B125" s="37"/>
      <c r="C125" s="38"/>
      <c r="D125" s="39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56"/>
      <c r="AC125" s="5"/>
      <c r="AD125" s="5"/>
    </row>
    <row r="126" spans="1:30" ht="12.75" customHeight="1" x14ac:dyDescent="0.3">
      <c r="A126" s="15"/>
      <c r="B126" s="37"/>
      <c r="C126" s="38"/>
      <c r="D126" s="39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56"/>
      <c r="AC126" s="5"/>
      <c r="AD126" s="5"/>
    </row>
    <row r="127" spans="1:30" ht="12.75" customHeight="1" x14ac:dyDescent="0.3">
      <c r="A127" s="16" t="s">
        <v>15</v>
      </c>
      <c r="B127" s="60" t="s">
        <v>49</v>
      </c>
      <c r="C127" s="61"/>
      <c r="D127" s="59"/>
      <c r="E127" s="13">
        <f>SUM(E117:E126)</f>
        <v>1</v>
      </c>
      <c r="F127" s="13">
        <f t="shared" ref="F127" si="136">SUM(F117:F126)</f>
        <v>1</v>
      </c>
      <c r="G127" s="13">
        <f t="shared" ref="G127" si="137">SUM(G117:G126)</f>
        <v>3</v>
      </c>
      <c r="H127" s="13">
        <f t="shared" ref="H127" si="138">SUM(H117:H126)</f>
        <v>1</v>
      </c>
      <c r="I127" s="13">
        <f t="shared" ref="I127" si="139">SUM(I117:I126)</f>
        <v>2</v>
      </c>
      <c r="J127" s="13">
        <f t="shared" ref="J127" si="140">SUM(J117:J126)</f>
        <v>7</v>
      </c>
      <c r="K127" s="13">
        <f t="shared" ref="K127" si="141">SUM(K117:K126)</f>
        <v>2</v>
      </c>
      <c r="L127" s="13">
        <f t="shared" ref="L127" si="142">SUM(L117:L126)</f>
        <v>3</v>
      </c>
      <c r="M127" s="13">
        <f t="shared" ref="M127" si="143">SUM(M117:M126)</f>
        <v>3</v>
      </c>
      <c r="N127" s="13">
        <f t="shared" ref="N127" si="144">SUM(N117:N126)</f>
        <v>5</v>
      </c>
      <c r="O127" s="13">
        <f t="shared" ref="O127" si="145">SUM(O117:O126)</f>
        <v>0</v>
      </c>
      <c r="P127" s="13">
        <f t="shared" ref="P127" si="146">SUM(P117:P126)</f>
        <v>0</v>
      </c>
      <c r="Q127" s="13">
        <f t="shared" ref="Q127" si="147">SUM(Q117:Q126)</f>
        <v>4</v>
      </c>
      <c r="R127" s="13">
        <f t="shared" ref="R127" si="148">SUM(R117:R126)</f>
        <v>2</v>
      </c>
      <c r="S127" s="13">
        <f t="shared" ref="S127" si="149">SUM(S117:S126)</f>
        <v>1</v>
      </c>
      <c r="T127" s="13">
        <f t="shared" ref="T127" si="150">SUM(T117:T126)</f>
        <v>0</v>
      </c>
      <c r="U127" s="13">
        <f t="shared" ref="U127" si="151">SUM(U117:U126)</f>
        <v>3</v>
      </c>
      <c r="V127" s="13">
        <f t="shared" ref="V127" si="152">SUM(V117:V126)</f>
        <v>2</v>
      </c>
      <c r="W127" s="13">
        <f t="shared" ref="W127" si="153">SUM(W117:W126)</f>
        <v>3</v>
      </c>
      <c r="X127" s="13">
        <f t="shared" ref="X127" si="154">SUM(X117:X126)</f>
        <v>2</v>
      </c>
      <c r="Y127" s="13">
        <f t="shared" ref="Y127" si="155">SUM(Y117:Y126)</f>
        <v>7</v>
      </c>
      <c r="Z127" s="13">
        <f t="shared" ref="Z127" si="156">SUM(Z117:Z126)</f>
        <v>4</v>
      </c>
      <c r="AA127" s="13">
        <f t="shared" ref="AA127" si="157">SUM(AA117:AA126)</f>
        <v>2</v>
      </c>
      <c r="AB127" s="13">
        <f t="shared" ref="AB127" si="158">SUM(AB117:AB126)</f>
        <v>58</v>
      </c>
      <c r="AC127" s="5"/>
      <c r="AD127" s="5"/>
    </row>
    <row r="128" spans="1:30" ht="12.75" customHeight="1" x14ac:dyDescent="0.3">
      <c r="A128" s="62"/>
      <c r="B128" s="61"/>
      <c r="C128" s="61"/>
      <c r="D128" s="61"/>
      <c r="E128" s="59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"/>
      <c r="AD128" s="5"/>
    </row>
    <row r="129" spans="1:30" ht="12.75" customHeight="1" x14ac:dyDescent="0.3">
      <c r="A129" s="20" t="s">
        <v>37</v>
      </c>
      <c r="B129" s="27" t="s">
        <v>102</v>
      </c>
      <c r="C129" s="58" t="s">
        <v>103</v>
      </c>
      <c r="D129" s="59"/>
      <c r="E129" s="16">
        <v>0</v>
      </c>
      <c r="F129" s="16">
        <v>0</v>
      </c>
      <c r="G129" s="16">
        <v>1</v>
      </c>
      <c r="H129" s="16">
        <v>0</v>
      </c>
      <c r="I129" s="16">
        <v>1</v>
      </c>
      <c r="J129" s="16">
        <v>0</v>
      </c>
      <c r="K129" s="16">
        <v>6</v>
      </c>
      <c r="L129" s="16">
        <v>0</v>
      </c>
      <c r="M129" s="16">
        <v>1</v>
      </c>
      <c r="N129" s="16">
        <v>1</v>
      </c>
      <c r="O129" s="16">
        <v>0</v>
      </c>
      <c r="P129" s="16">
        <v>0</v>
      </c>
      <c r="Q129" s="16">
        <v>1</v>
      </c>
      <c r="R129" s="16">
        <v>0</v>
      </c>
      <c r="S129" s="16">
        <v>1</v>
      </c>
      <c r="T129" s="16">
        <v>1</v>
      </c>
      <c r="U129" s="16">
        <v>1</v>
      </c>
      <c r="V129" s="16">
        <v>2</v>
      </c>
      <c r="W129" s="16">
        <v>0</v>
      </c>
      <c r="X129" s="16">
        <v>1</v>
      </c>
      <c r="Y129" s="16">
        <v>0</v>
      </c>
      <c r="Z129" s="16">
        <v>0</v>
      </c>
      <c r="AA129" s="16">
        <v>2</v>
      </c>
      <c r="AB129" s="13">
        <f>SUM(E129:AA129)</f>
        <v>19</v>
      </c>
      <c r="AC129" s="5"/>
      <c r="AD129" s="5"/>
    </row>
    <row r="130" spans="1:30" ht="12.75" customHeight="1" x14ac:dyDescent="0.3">
      <c r="A130" s="20" t="s">
        <v>39</v>
      </c>
      <c r="B130" s="34"/>
      <c r="C130" s="29" t="s">
        <v>104</v>
      </c>
      <c r="D130" s="35"/>
      <c r="E130" s="16">
        <v>0</v>
      </c>
      <c r="F130" s="16">
        <v>2</v>
      </c>
      <c r="G130" s="16">
        <v>1</v>
      </c>
      <c r="H130" s="16">
        <v>1</v>
      </c>
      <c r="I130" s="16">
        <v>1</v>
      </c>
      <c r="J130" s="16">
        <v>0</v>
      </c>
      <c r="K130" s="16">
        <v>1</v>
      </c>
      <c r="L130" s="16">
        <v>0</v>
      </c>
      <c r="M130" s="16">
        <v>0</v>
      </c>
      <c r="N130" s="16">
        <v>2</v>
      </c>
      <c r="O130" s="16">
        <v>0</v>
      </c>
      <c r="P130" s="16">
        <v>0</v>
      </c>
      <c r="Q130" s="16">
        <v>0</v>
      </c>
      <c r="R130" s="16">
        <v>1</v>
      </c>
      <c r="S130" s="16">
        <v>0</v>
      </c>
      <c r="T130" s="16">
        <v>1</v>
      </c>
      <c r="U130" s="16">
        <v>1</v>
      </c>
      <c r="V130" s="16">
        <v>0</v>
      </c>
      <c r="W130" s="16">
        <v>0</v>
      </c>
      <c r="X130" s="16">
        <v>0</v>
      </c>
      <c r="Y130" s="16">
        <v>0</v>
      </c>
      <c r="Z130" s="16">
        <v>1</v>
      </c>
      <c r="AA130" s="16">
        <v>2</v>
      </c>
      <c r="AB130" s="13">
        <f t="shared" ref="AB130:AB138" si="159">SUM(E130:AA130)</f>
        <v>14</v>
      </c>
      <c r="AC130" s="1"/>
      <c r="AD130" s="1"/>
    </row>
    <row r="131" spans="1:30" ht="12.75" customHeight="1" x14ac:dyDescent="0.3">
      <c r="A131" s="15"/>
      <c r="B131" s="34"/>
      <c r="C131" s="29" t="s">
        <v>105</v>
      </c>
      <c r="D131" s="35"/>
      <c r="E131" s="16">
        <v>0</v>
      </c>
      <c r="F131" s="16">
        <v>1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1</v>
      </c>
      <c r="AB131" s="13">
        <f t="shared" si="159"/>
        <v>2</v>
      </c>
      <c r="AC131" s="31"/>
      <c r="AD131" s="31"/>
    </row>
    <row r="132" spans="1:30" ht="12.75" customHeight="1" x14ac:dyDescent="0.3">
      <c r="A132" s="15"/>
      <c r="B132" s="34"/>
      <c r="C132" s="29" t="s">
        <v>106</v>
      </c>
      <c r="D132" s="35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1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2</v>
      </c>
      <c r="X132" s="16">
        <v>0</v>
      </c>
      <c r="Y132" s="16">
        <v>0</v>
      </c>
      <c r="Z132" s="16">
        <v>0</v>
      </c>
      <c r="AA132" s="16">
        <v>0</v>
      </c>
      <c r="AB132" s="13">
        <f t="shared" si="159"/>
        <v>3</v>
      </c>
      <c r="AC132" s="5"/>
      <c r="AD132" s="5"/>
    </row>
    <row r="133" spans="1:30" ht="12.75" customHeight="1" x14ac:dyDescent="0.3">
      <c r="A133" s="15"/>
      <c r="B133" s="34"/>
      <c r="C133" s="29" t="s">
        <v>107</v>
      </c>
      <c r="D133" s="35"/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1</v>
      </c>
      <c r="N133" s="16">
        <v>0</v>
      </c>
      <c r="O133" s="16">
        <v>0</v>
      </c>
      <c r="P133" s="16">
        <v>0</v>
      </c>
      <c r="Q133" s="16">
        <v>0</v>
      </c>
      <c r="R133" s="16">
        <v>1</v>
      </c>
      <c r="S133" s="16">
        <v>0</v>
      </c>
      <c r="T133" s="16">
        <v>0</v>
      </c>
      <c r="U133" s="16">
        <v>0</v>
      </c>
      <c r="V133" s="16">
        <v>0</v>
      </c>
      <c r="W133" s="16">
        <v>1</v>
      </c>
      <c r="X133" s="16">
        <v>0</v>
      </c>
      <c r="Y133" s="16">
        <v>0</v>
      </c>
      <c r="Z133" s="16">
        <v>0</v>
      </c>
      <c r="AA133" s="16">
        <v>0</v>
      </c>
      <c r="AB133" s="13">
        <f t="shared" si="159"/>
        <v>3</v>
      </c>
      <c r="AC133" s="5"/>
      <c r="AD133" s="5"/>
    </row>
    <row r="134" spans="1:30" ht="12.75" customHeight="1" x14ac:dyDescent="0.3">
      <c r="A134" s="15"/>
      <c r="B134" s="34"/>
      <c r="C134" s="29" t="s">
        <v>108</v>
      </c>
      <c r="D134" s="35"/>
      <c r="E134" s="16">
        <v>0</v>
      </c>
      <c r="F134" s="16">
        <v>0</v>
      </c>
      <c r="G134" s="16">
        <v>2</v>
      </c>
      <c r="H134" s="16">
        <v>0</v>
      </c>
      <c r="I134" s="16">
        <v>1</v>
      </c>
      <c r="J134" s="16">
        <v>0</v>
      </c>
      <c r="K134" s="16">
        <v>0</v>
      </c>
      <c r="L134" s="16">
        <v>0</v>
      </c>
      <c r="M134" s="16">
        <v>0</v>
      </c>
      <c r="N134" s="16">
        <v>1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3">
        <f t="shared" si="159"/>
        <v>4</v>
      </c>
      <c r="AC134" s="5"/>
      <c r="AD134" s="5"/>
    </row>
    <row r="135" spans="1:30" ht="12.75" customHeight="1" x14ac:dyDescent="0.3">
      <c r="A135" s="15"/>
      <c r="B135" s="34"/>
      <c r="C135" s="29" t="s">
        <v>109</v>
      </c>
      <c r="D135" s="36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2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3">
        <f t="shared" si="159"/>
        <v>2</v>
      </c>
      <c r="AC135" s="5"/>
      <c r="AD135" s="5"/>
    </row>
    <row r="136" spans="1:30" ht="12.75" customHeight="1" x14ac:dyDescent="0.3">
      <c r="A136" s="15"/>
      <c r="B136" s="34"/>
      <c r="C136" s="29" t="s">
        <v>110</v>
      </c>
      <c r="D136" s="35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3">
        <f t="shared" si="159"/>
        <v>0</v>
      </c>
      <c r="AC136" s="5"/>
      <c r="AD136" s="5"/>
    </row>
    <row r="137" spans="1:30" ht="12.75" customHeight="1" x14ac:dyDescent="0.3">
      <c r="A137" s="15"/>
      <c r="B137" s="34"/>
      <c r="C137" s="29" t="s">
        <v>111</v>
      </c>
      <c r="D137" s="35"/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3">
        <f t="shared" si="159"/>
        <v>0</v>
      </c>
      <c r="AC137" s="5"/>
      <c r="AD137" s="5"/>
    </row>
    <row r="138" spans="1:30" ht="12.75" customHeight="1" x14ac:dyDescent="0.3">
      <c r="A138" s="15"/>
      <c r="B138" s="34"/>
      <c r="C138" s="29" t="s">
        <v>112</v>
      </c>
      <c r="D138" s="35"/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1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3">
        <f t="shared" si="159"/>
        <v>1</v>
      </c>
      <c r="AC138" s="5"/>
      <c r="AD138" s="5"/>
    </row>
    <row r="139" spans="1:30" ht="12.75" customHeight="1" x14ac:dyDescent="0.3">
      <c r="A139" s="16" t="s">
        <v>15</v>
      </c>
      <c r="B139" s="60" t="s">
        <v>49</v>
      </c>
      <c r="C139" s="61"/>
      <c r="D139" s="59"/>
      <c r="E139" s="13">
        <f>SUM(E129:E138)</f>
        <v>0</v>
      </c>
      <c r="F139" s="13">
        <f t="shared" ref="F139" si="160">SUM(F129:F138)</f>
        <v>3</v>
      </c>
      <c r="G139" s="13">
        <f t="shared" ref="G139" si="161">SUM(G129:G138)</f>
        <v>4</v>
      </c>
      <c r="H139" s="13">
        <f t="shared" ref="H139" si="162">SUM(H129:H138)</f>
        <v>1</v>
      </c>
      <c r="I139" s="13">
        <f t="shared" ref="I139" si="163">SUM(I129:I138)</f>
        <v>3</v>
      </c>
      <c r="J139" s="13">
        <f t="shared" ref="J139" si="164">SUM(J129:J138)</f>
        <v>0</v>
      </c>
      <c r="K139" s="13">
        <f t="shared" ref="K139" si="165">SUM(K129:K138)</f>
        <v>7</v>
      </c>
      <c r="L139" s="13">
        <f t="shared" ref="L139" si="166">SUM(L129:L138)</f>
        <v>0</v>
      </c>
      <c r="M139" s="13">
        <f t="shared" ref="M139" si="167">SUM(M129:M138)</f>
        <v>2</v>
      </c>
      <c r="N139" s="13">
        <f t="shared" ref="N139" si="168">SUM(N129:N138)</f>
        <v>4</v>
      </c>
      <c r="O139" s="13">
        <f t="shared" ref="O139" si="169">SUM(O129:O138)</f>
        <v>2</v>
      </c>
      <c r="P139" s="13">
        <f t="shared" ref="P139" si="170">SUM(P129:P138)</f>
        <v>2</v>
      </c>
      <c r="Q139" s="13">
        <f t="shared" ref="Q139" si="171">SUM(Q129:Q138)</f>
        <v>1</v>
      </c>
      <c r="R139" s="13">
        <f t="shared" ref="R139" si="172">SUM(R129:R138)</f>
        <v>2</v>
      </c>
      <c r="S139" s="13">
        <f t="shared" ref="S139" si="173">SUM(S129:S138)</f>
        <v>1</v>
      </c>
      <c r="T139" s="13">
        <f t="shared" ref="T139" si="174">SUM(T129:T138)</f>
        <v>2</v>
      </c>
      <c r="U139" s="13">
        <f t="shared" ref="U139" si="175">SUM(U129:U138)</f>
        <v>2</v>
      </c>
      <c r="V139" s="13">
        <f t="shared" ref="V139" si="176">SUM(V129:V138)</f>
        <v>2</v>
      </c>
      <c r="W139" s="13">
        <f t="shared" ref="W139" si="177">SUM(W129:W138)</f>
        <v>3</v>
      </c>
      <c r="X139" s="13">
        <f t="shared" ref="X139" si="178">SUM(X129:X138)</f>
        <v>1</v>
      </c>
      <c r="Y139" s="13">
        <f t="shared" ref="Y139" si="179">SUM(Y129:Y138)</f>
        <v>0</v>
      </c>
      <c r="Z139" s="13">
        <f t="shared" ref="Z139" si="180">SUM(Z129:Z138)</f>
        <v>1</v>
      </c>
      <c r="AA139" s="13">
        <f t="shared" ref="AA139" si="181">SUM(AA129:AA138)</f>
        <v>5</v>
      </c>
      <c r="AB139" s="13">
        <f t="shared" ref="AB139" si="182">SUM(AB129:AB138)</f>
        <v>48</v>
      </c>
      <c r="AC139" s="5"/>
      <c r="AD139" s="5"/>
    </row>
    <row r="140" spans="1:30" ht="12.75" customHeight="1" x14ac:dyDescent="0.3">
      <c r="A140" s="62"/>
      <c r="B140" s="61"/>
      <c r="C140" s="61"/>
      <c r="D140" s="61"/>
      <c r="E140" s="59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"/>
      <c r="AD140" s="5"/>
    </row>
    <row r="141" spans="1:30" ht="12.75" customHeight="1" x14ac:dyDescent="0.3">
      <c r="A141" s="20" t="s">
        <v>37</v>
      </c>
      <c r="B141" s="27" t="s">
        <v>113</v>
      </c>
      <c r="C141" s="58" t="s">
        <v>114</v>
      </c>
      <c r="D141" s="59"/>
      <c r="E141" s="16">
        <v>0</v>
      </c>
      <c r="F141" s="16">
        <v>0</v>
      </c>
      <c r="G141" s="16">
        <v>0</v>
      </c>
      <c r="H141" s="16">
        <v>0</v>
      </c>
      <c r="I141" s="16">
        <v>1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1</v>
      </c>
      <c r="R141" s="16">
        <v>0</v>
      </c>
      <c r="S141" s="16">
        <v>0</v>
      </c>
      <c r="T141" s="16">
        <v>4</v>
      </c>
      <c r="U141" s="16">
        <v>0</v>
      </c>
      <c r="V141" s="16">
        <v>0</v>
      </c>
      <c r="W141" s="16">
        <v>0</v>
      </c>
      <c r="X141" s="16">
        <v>0</v>
      </c>
      <c r="Y141" s="16">
        <v>6</v>
      </c>
      <c r="Z141" s="16">
        <v>1</v>
      </c>
      <c r="AA141" s="16">
        <v>1</v>
      </c>
      <c r="AB141" s="13">
        <f>SUM(E141:AA141)</f>
        <v>14</v>
      </c>
      <c r="AC141" s="1"/>
      <c r="AD141" s="1"/>
    </row>
    <row r="142" spans="1:30" ht="12.75" customHeight="1" x14ac:dyDescent="0.3">
      <c r="A142" s="20" t="s">
        <v>39</v>
      </c>
      <c r="B142" s="34"/>
      <c r="C142" s="29" t="s">
        <v>115</v>
      </c>
      <c r="D142" s="3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>
        <v>2</v>
      </c>
      <c r="U142" s="16">
        <v>0</v>
      </c>
      <c r="V142" s="16">
        <v>0</v>
      </c>
      <c r="W142" s="16">
        <v>1</v>
      </c>
      <c r="X142" s="16">
        <v>0</v>
      </c>
      <c r="Y142" s="16">
        <v>1</v>
      </c>
      <c r="Z142" s="16">
        <v>0</v>
      </c>
      <c r="AA142" s="16">
        <v>0</v>
      </c>
      <c r="AB142" s="13">
        <f t="shared" ref="AB142:AB144" si="183">SUM(E142:AA142)</f>
        <v>4</v>
      </c>
      <c r="AC142" s="31"/>
      <c r="AD142" s="31"/>
    </row>
    <row r="143" spans="1:30" ht="12.75" customHeight="1" x14ac:dyDescent="0.3">
      <c r="A143" s="15"/>
      <c r="B143" s="34"/>
      <c r="C143" s="29" t="s">
        <v>116</v>
      </c>
      <c r="D143" s="3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>
        <v>1</v>
      </c>
      <c r="U143" s="16">
        <v>0</v>
      </c>
      <c r="V143" s="16">
        <v>0</v>
      </c>
      <c r="W143" s="16">
        <v>0</v>
      </c>
      <c r="X143" s="16">
        <v>0</v>
      </c>
      <c r="Y143" s="16">
        <v>1</v>
      </c>
      <c r="Z143" s="16">
        <v>1</v>
      </c>
      <c r="AA143" s="16">
        <v>0</v>
      </c>
      <c r="AB143" s="13">
        <f t="shared" si="183"/>
        <v>3</v>
      </c>
      <c r="AC143" s="5"/>
      <c r="AD143" s="5"/>
    </row>
    <row r="144" spans="1:30" ht="12.75" customHeight="1" x14ac:dyDescent="0.3">
      <c r="A144" s="15"/>
      <c r="B144" s="34"/>
      <c r="C144" s="29" t="s">
        <v>117</v>
      </c>
      <c r="D144" s="3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3</v>
      </c>
      <c r="Z144" s="16">
        <v>0</v>
      </c>
      <c r="AA144" s="16">
        <v>0</v>
      </c>
      <c r="AB144" s="13">
        <f t="shared" si="183"/>
        <v>3</v>
      </c>
      <c r="AC144" s="5"/>
      <c r="AD144" s="5"/>
    </row>
    <row r="145" spans="1:30" ht="12.75" customHeight="1" x14ac:dyDescent="0.3">
      <c r="A145" s="15"/>
      <c r="B145" s="37"/>
      <c r="C145" s="38"/>
      <c r="D145" s="3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56"/>
      <c r="AC145" s="5"/>
      <c r="AD145" s="5"/>
    </row>
    <row r="146" spans="1:30" ht="12.75" customHeight="1" x14ac:dyDescent="0.3">
      <c r="A146" s="15"/>
      <c r="B146" s="37"/>
      <c r="C146" s="38"/>
      <c r="D146" s="3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56"/>
      <c r="AC146" s="5"/>
      <c r="AD146" s="5"/>
    </row>
    <row r="147" spans="1:30" ht="12.75" customHeight="1" x14ac:dyDescent="0.3">
      <c r="A147" s="15"/>
      <c r="B147" s="37"/>
      <c r="C147" s="38"/>
      <c r="D147" s="3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56"/>
      <c r="AC147" s="5"/>
      <c r="AD147" s="5"/>
    </row>
    <row r="148" spans="1:30" ht="12.75" customHeight="1" x14ac:dyDescent="0.3">
      <c r="A148" s="15"/>
      <c r="B148" s="37"/>
      <c r="C148" s="38"/>
      <c r="D148" s="3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56"/>
      <c r="AC148" s="5"/>
      <c r="AD148" s="5"/>
    </row>
    <row r="149" spans="1:30" ht="12.75" customHeight="1" x14ac:dyDescent="0.3">
      <c r="A149" s="15"/>
      <c r="B149" s="37"/>
      <c r="C149" s="38"/>
      <c r="D149" s="3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56"/>
      <c r="AC149" s="5"/>
      <c r="AD149" s="5"/>
    </row>
    <row r="150" spans="1:30" ht="12.75" customHeight="1" x14ac:dyDescent="0.3">
      <c r="A150" s="15"/>
      <c r="B150" s="37"/>
      <c r="C150" s="38"/>
      <c r="D150" s="3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56"/>
      <c r="AC150" s="5"/>
      <c r="AD150" s="5"/>
    </row>
    <row r="151" spans="1:30" ht="12.75" customHeight="1" x14ac:dyDescent="0.3">
      <c r="A151" s="16" t="s">
        <v>15</v>
      </c>
      <c r="B151" s="60" t="s">
        <v>49</v>
      </c>
      <c r="C151" s="61"/>
      <c r="D151" s="59"/>
      <c r="E151" s="13">
        <f>SUM(E141:E150)</f>
        <v>0</v>
      </c>
      <c r="F151" s="13">
        <f t="shared" ref="F151" si="184">SUM(F141:F150)</f>
        <v>0</v>
      </c>
      <c r="G151" s="13">
        <f t="shared" ref="G151" si="185">SUM(G141:G150)</f>
        <v>0</v>
      </c>
      <c r="H151" s="13">
        <f t="shared" ref="H151" si="186">SUM(H141:H150)</f>
        <v>0</v>
      </c>
      <c r="I151" s="13">
        <f t="shared" ref="I151" si="187">SUM(I141:I150)</f>
        <v>1</v>
      </c>
      <c r="J151" s="13">
        <f t="shared" ref="J151" si="188">SUM(J141:J150)</f>
        <v>0</v>
      </c>
      <c r="K151" s="13">
        <f t="shared" ref="K151" si="189">SUM(K141:K150)</f>
        <v>0</v>
      </c>
      <c r="L151" s="13">
        <f t="shared" ref="L151" si="190">SUM(L141:L150)</f>
        <v>0</v>
      </c>
      <c r="M151" s="13">
        <f t="shared" ref="M151" si="191">SUM(M141:M150)</f>
        <v>0</v>
      </c>
      <c r="N151" s="13">
        <f t="shared" ref="N151" si="192">SUM(N141:N150)</f>
        <v>0</v>
      </c>
      <c r="O151" s="13">
        <f t="shared" ref="O151" si="193">SUM(O141:O150)</f>
        <v>0</v>
      </c>
      <c r="P151" s="13">
        <f t="shared" ref="P151" si="194">SUM(P141:P150)</f>
        <v>0</v>
      </c>
      <c r="Q151" s="13">
        <f t="shared" ref="Q151" si="195">SUM(Q141:Q150)</f>
        <v>1</v>
      </c>
      <c r="R151" s="13">
        <f t="shared" ref="R151" si="196">SUM(R141:R150)</f>
        <v>0</v>
      </c>
      <c r="S151" s="13">
        <f t="shared" ref="S151" si="197">SUM(S141:S150)</f>
        <v>0</v>
      </c>
      <c r="T151" s="13">
        <f t="shared" ref="T151" si="198">SUM(T141:T150)</f>
        <v>7</v>
      </c>
      <c r="U151" s="13">
        <f t="shared" ref="U151" si="199">SUM(U141:U150)</f>
        <v>0</v>
      </c>
      <c r="V151" s="13">
        <f t="shared" ref="V151" si="200">SUM(V141:V150)</f>
        <v>0</v>
      </c>
      <c r="W151" s="13">
        <f t="shared" ref="W151" si="201">SUM(W141:W150)</f>
        <v>1</v>
      </c>
      <c r="X151" s="13">
        <f t="shared" ref="X151" si="202">SUM(X141:X150)</f>
        <v>0</v>
      </c>
      <c r="Y151" s="13">
        <f t="shared" ref="Y151" si="203">SUM(Y141:Y150)</f>
        <v>11</v>
      </c>
      <c r="Z151" s="13">
        <f t="shared" ref="Z151" si="204">SUM(Z141:Z150)</f>
        <v>2</v>
      </c>
      <c r="AA151" s="13">
        <f t="shared" ref="AA151" si="205">SUM(AA141:AA150)</f>
        <v>1</v>
      </c>
      <c r="AB151" s="13">
        <f t="shared" ref="AB151" si="206">SUM(AB141:AB150)</f>
        <v>24</v>
      </c>
      <c r="AC151" s="1"/>
      <c r="AD151" s="1"/>
    </row>
    <row r="152" spans="1:30" ht="12.75" customHeight="1" x14ac:dyDescent="0.3">
      <c r="A152" s="62"/>
      <c r="B152" s="61"/>
      <c r="C152" s="61"/>
      <c r="D152" s="61"/>
      <c r="E152" s="59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13"/>
      <c r="AC152" s="31"/>
      <c r="AD152" s="31"/>
    </row>
    <row r="153" spans="1:30" ht="12.75" customHeight="1" x14ac:dyDescent="0.3">
      <c r="A153" s="20" t="s">
        <v>37</v>
      </c>
      <c r="B153" s="14" t="s">
        <v>118</v>
      </c>
      <c r="C153" s="84" t="s">
        <v>119</v>
      </c>
      <c r="D153" s="67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1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3">
        <f t="shared" ref="AB153:AB160" si="207">SUM(E153:AA153)</f>
        <v>1</v>
      </c>
      <c r="AC153" s="5"/>
      <c r="AD153" s="5"/>
    </row>
    <row r="154" spans="1:30" ht="12.75" customHeight="1" x14ac:dyDescent="0.3">
      <c r="A154" s="43" t="s">
        <v>39</v>
      </c>
      <c r="B154" s="34"/>
      <c r="C154" s="29" t="s">
        <v>120</v>
      </c>
      <c r="D154" s="36"/>
      <c r="E154" s="57">
        <v>0</v>
      </c>
      <c r="F154" s="16">
        <v>0</v>
      </c>
      <c r="G154" s="16">
        <v>0</v>
      </c>
      <c r="H154" s="16">
        <v>1</v>
      </c>
      <c r="I154" s="16">
        <v>0</v>
      </c>
      <c r="J154" s="16">
        <v>1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1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1</v>
      </c>
      <c r="Z154" s="16">
        <v>1</v>
      </c>
      <c r="AA154" s="16">
        <v>0</v>
      </c>
      <c r="AB154" s="13">
        <f t="shared" si="207"/>
        <v>5</v>
      </c>
      <c r="AC154" s="5"/>
      <c r="AD154" s="5"/>
    </row>
    <row r="155" spans="1:30" ht="12.75" customHeight="1" x14ac:dyDescent="0.3">
      <c r="A155" s="15"/>
      <c r="B155" s="34"/>
      <c r="C155" s="29" t="s">
        <v>121</v>
      </c>
      <c r="D155" s="36"/>
      <c r="E155" s="57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1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1</v>
      </c>
      <c r="Z155" s="16">
        <v>0</v>
      </c>
      <c r="AA155" s="16">
        <v>0</v>
      </c>
      <c r="AB155" s="13">
        <f t="shared" si="207"/>
        <v>2</v>
      </c>
      <c r="AC155" s="5"/>
      <c r="AD155" s="5"/>
    </row>
    <row r="156" spans="1:30" ht="12.75" customHeight="1" x14ac:dyDescent="0.3">
      <c r="A156" s="15"/>
      <c r="B156" s="34"/>
      <c r="C156" s="29" t="s">
        <v>122</v>
      </c>
      <c r="D156" s="36"/>
      <c r="E156" s="57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1</v>
      </c>
      <c r="M156" s="16">
        <v>0</v>
      </c>
      <c r="N156" s="16">
        <v>0</v>
      </c>
      <c r="O156" s="16">
        <v>0</v>
      </c>
      <c r="P156" s="16">
        <v>1</v>
      </c>
      <c r="Q156" s="16">
        <v>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1</v>
      </c>
      <c r="AB156" s="13">
        <f t="shared" si="207"/>
        <v>4</v>
      </c>
      <c r="AC156" s="5"/>
      <c r="AD156" s="5"/>
    </row>
    <row r="157" spans="1:30" ht="12.75" customHeight="1" x14ac:dyDescent="0.3">
      <c r="A157" s="15"/>
      <c r="B157" s="34"/>
      <c r="C157" s="29" t="s">
        <v>123</v>
      </c>
      <c r="D157" s="36"/>
      <c r="E157" s="57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1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3">
        <f t="shared" si="207"/>
        <v>1</v>
      </c>
      <c r="AC157" s="5"/>
      <c r="AD157" s="5"/>
    </row>
    <row r="158" spans="1:30" ht="12.75" customHeight="1" x14ac:dyDescent="0.3">
      <c r="A158" s="15"/>
      <c r="B158" s="34"/>
      <c r="C158" s="29" t="s">
        <v>124</v>
      </c>
      <c r="D158" s="36"/>
      <c r="E158" s="57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1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3">
        <f t="shared" si="207"/>
        <v>1</v>
      </c>
      <c r="AC158" s="5"/>
      <c r="AD158" s="5"/>
    </row>
    <row r="159" spans="1:30" ht="12.75" customHeight="1" x14ac:dyDescent="0.3">
      <c r="A159" s="15"/>
      <c r="B159" s="34"/>
      <c r="C159" s="29" t="s">
        <v>125</v>
      </c>
      <c r="D159" s="36"/>
      <c r="E159" s="57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3">
        <f t="shared" si="207"/>
        <v>0</v>
      </c>
      <c r="AC159" s="5"/>
      <c r="AD159" s="5"/>
    </row>
    <row r="160" spans="1:30" ht="12.75" customHeight="1" x14ac:dyDescent="0.3">
      <c r="A160" s="15"/>
      <c r="B160" s="34"/>
      <c r="C160" s="29" t="s">
        <v>126</v>
      </c>
      <c r="D160" s="36"/>
      <c r="E160" s="57">
        <v>0</v>
      </c>
      <c r="F160" s="16">
        <v>0</v>
      </c>
      <c r="G160" s="16">
        <v>0</v>
      </c>
      <c r="H160" s="16">
        <v>0</v>
      </c>
      <c r="I160" s="16">
        <v>1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1</v>
      </c>
      <c r="Y160" s="16">
        <v>0</v>
      </c>
      <c r="Z160" s="16">
        <v>0</v>
      </c>
      <c r="AA160" s="16">
        <v>0</v>
      </c>
      <c r="AB160" s="13">
        <f t="shared" si="207"/>
        <v>2</v>
      </c>
      <c r="AC160" s="5"/>
      <c r="AD160" s="5"/>
    </row>
    <row r="161" spans="1:30" ht="12.75" customHeight="1" x14ac:dyDescent="0.3">
      <c r="A161" s="15"/>
      <c r="B161" s="37"/>
      <c r="C161" s="44"/>
      <c r="D161" s="39"/>
      <c r="E161" s="5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56"/>
      <c r="AC161" s="5"/>
      <c r="AD161" s="5"/>
    </row>
    <row r="162" spans="1:30" ht="12.75" customHeight="1" x14ac:dyDescent="0.3">
      <c r="A162" s="15"/>
      <c r="B162" s="37"/>
      <c r="C162" s="44"/>
      <c r="D162" s="39"/>
      <c r="E162" s="5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56"/>
      <c r="AC162" s="5"/>
      <c r="AD162" s="5"/>
    </row>
    <row r="163" spans="1:30" ht="12.75" customHeight="1" x14ac:dyDescent="0.3">
      <c r="A163" s="16" t="s">
        <v>15</v>
      </c>
      <c r="B163" s="85" t="s">
        <v>49</v>
      </c>
      <c r="C163" s="64"/>
      <c r="D163" s="70"/>
      <c r="E163" s="13">
        <f>SUM(E153:E162)</f>
        <v>0</v>
      </c>
      <c r="F163" s="13">
        <f t="shared" ref="F163" si="208">SUM(F153:F162)</f>
        <v>0</v>
      </c>
      <c r="G163" s="13">
        <f t="shared" ref="G163" si="209">SUM(G153:G162)</f>
        <v>0</v>
      </c>
      <c r="H163" s="13">
        <f t="shared" ref="H163" si="210">SUM(H153:H162)</f>
        <v>1</v>
      </c>
      <c r="I163" s="13">
        <f t="shared" ref="I163" si="211">SUM(I153:I162)</f>
        <v>1</v>
      </c>
      <c r="J163" s="13">
        <f t="shared" ref="J163" si="212">SUM(J153:J162)</f>
        <v>1</v>
      </c>
      <c r="K163" s="13">
        <f t="shared" ref="K163" si="213">SUM(K153:K162)</f>
        <v>0</v>
      </c>
      <c r="L163" s="13">
        <f t="shared" ref="L163" si="214">SUM(L153:L162)</f>
        <v>1</v>
      </c>
      <c r="M163" s="13">
        <f t="shared" ref="M163" si="215">SUM(M153:M162)</f>
        <v>0</v>
      </c>
      <c r="N163" s="13">
        <f t="shared" ref="N163" si="216">SUM(N153:N162)</f>
        <v>0</v>
      </c>
      <c r="O163" s="13">
        <f t="shared" ref="O163" si="217">SUM(O153:O162)</f>
        <v>0</v>
      </c>
      <c r="P163" s="13">
        <f t="shared" ref="P163" si="218">SUM(P153:P162)</f>
        <v>6</v>
      </c>
      <c r="Q163" s="13">
        <f t="shared" ref="Q163" si="219">SUM(Q153:Q162)</f>
        <v>1</v>
      </c>
      <c r="R163" s="13">
        <f t="shared" ref="R163" si="220">SUM(R153:R162)</f>
        <v>0</v>
      </c>
      <c r="S163" s="13">
        <f t="shared" ref="S163" si="221">SUM(S153:S162)</f>
        <v>0</v>
      </c>
      <c r="T163" s="13">
        <f t="shared" ref="T163" si="222">SUM(T153:T162)</f>
        <v>0</v>
      </c>
      <c r="U163" s="13">
        <f t="shared" ref="U163" si="223">SUM(U153:U162)</f>
        <v>0</v>
      </c>
      <c r="V163" s="13">
        <f t="shared" ref="V163" si="224">SUM(V153:V162)</f>
        <v>0</v>
      </c>
      <c r="W163" s="13">
        <f t="shared" ref="W163" si="225">SUM(W153:W162)</f>
        <v>0</v>
      </c>
      <c r="X163" s="13">
        <f t="shared" ref="X163" si="226">SUM(X153:X162)</f>
        <v>1</v>
      </c>
      <c r="Y163" s="13">
        <f t="shared" ref="Y163" si="227">SUM(Y153:Y162)</f>
        <v>2</v>
      </c>
      <c r="Z163" s="13">
        <f t="shared" ref="Z163" si="228">SUM(Z153:Z162)</f>
        <v>1</v>
      </c>
      <c r="AA163" s="13">
        <f t="shared" ref="AA163" si="229">SUM(AA153:AA162)</f>
        <v>1</v>
      </c>
      <c r="AB163" s="13">
        <f t="shared" ref="AB163" si="230">SUM(AB153:AB162)</f>
        <v>16</v>
      </c>
      <c r="AC163" s="5"/>
      <c r="AD163" s="5"/>
    </row>
    <row r="164" spans="1:30" ht="12.75" customHeight="1" x14ac:dyDescent="0.3">
      <c r="A164" s="62"/>
      <c r="B164" s="61"/>
      <c r="C164" s="61"/>
      <c r="D164" s="61"/>
      <c r="E164" s="59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"/>
      <c r="AD164" s="5"/>
    </row>
    <row r="165" spans="1:30" ht="12.75" customHeight="1" x14ac:dyDescent="0.3">
      <c r="A165" s="20" t="s">
        <v>37</v>
      </c>
      <c r="B165" s="27" t="s">
        <v>127</v>
      </c>
      <c r="C165" s="58" t="s">
        <v>128</v>
      </c>
      <c r="D165" s="59"/>
      <c r="E165" s="16">
        <v>0</v>
      </c>
      <c r="F165" s="16">
        <v>1</v>
      </c>
      <c r="G165" s="16">
        <v>1</v>
      </c>
      <c r="H165" s="16">
        <v>0</v>
      </c>
      <c r="I165" s="16">
        <v>0</v>
      </c>
      <c r="J165" s="16">
        <v>1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3">
        <f>SUM(E165:AA165)</f>
        <v>3</v>
      </c>
      <c r="AC165" s="1"/>
      <c r="AD165" s="1"/>
    </row>
    <row r="166" spans="1:30" ht="12.75" customHeight="1" x14ac:dyDescent="0.3">
      <c r="A166" s="20" t="s">
        <v>39</v>
      </c>
      <c r="B166" s="34"/>
      <c r="C166" s="29" t="s">
        <v>129</v>
      </c>
      <c r="D166" s="36"/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1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1</v>
      </c>
      <c r="Y166" s="16">
        <v>0</v>
      </c>
      <c r="Z166" s="16">
        <v>0</v>
      </c>
      <c r="AA166" s="16">
        <v>0</v>
      </c>
      <c r="AB166" s="13">
        <f t="shared" ref="AB166" si="231">SUM(E166:AA166)</f>
        <v>2</v>
      </c>
      <c r="AC166" s="31"/>
      <c r="AD166" s="31"/>
    </row>
    <row r="167" spans="1:30" ht="12.75" customHeight="1" x14ac:dyDescent="0.3">
      <c r="A167" s="15"/>
      <c r="B167" s="37"/>
      <c r="C167" s="38"/>
      <c r="D167" s="3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56"/>
      <c r="AC167" s="5"/>
      <c r="AD167" s="5"/>
    </row>
    <row r="168" spans="1:30" ht="12.75" customHeight="1" x14ac:dyDescent="0.3">
      <c r="A168" s="15"/>
      <c r="B168" s="37"/>
      <c r="C168" s="38"/>
      <c r="D168" s="3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56"/>
      <c r="AC168" s="5"/>
      <c r="AD168" s="5"/>
    </row>
    <row r="169" spans="1:30" ht="12.75" customHeight="1" x14ac:dyDescent="0.3">
      <c r="A169" s="15"/>
      <c r="B169" s="37"/>
      <c r="C169" s="38"/>
      <c r="D169" s="3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56"/>
      <c r="AC169" s="5"/>
      <c r="AD169" s="5"/>
    </row>
    <row r="170" spans="1:30" ht="12.75" customHeight="1" x14ac:dyDescent="0.3">
      <c r="A170" s="15"/>
      <c r="B170" s="37"/>
      <c r="C170" s="38"/>
      <c r="D170" s="3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56"/>
      <c r="AC170" s="5"/>
      <c r="AD170" s="5"/>
    </row>
    <row r="171" spans="1:30" ht="12.75" customHeight="1" x14ac:dyDescent="0.3">
      <c r="A171" s="15"/>
      <c r="B171" s="37"/>
      <c r="C171" s="38"/>
      <c r="D171" s="3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56"/>
      <c r="AC171" s="5"/>
      <c r="AD171" s="5"/>
    </row>
    <row r="172" spans="1:30" ht="12.75" customHeight="1" x14ac:dyDescent="0.3">
      <c r="A172" s="15"/>
      <c r="B172" s="37"/>
      <c r="C172" s="38"/>
      <c r="D172" s="3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56"/>
      <c r="AC172" s="5"/>
      <c r="AD172" s="5"/>
    </row>
    <row r="173" spans="1:30" ht="12.75" customHeight="1" x14ac:dyDescent="0.3">
      <c r="A173" s="15"/>
      <c r="B173" s="37"/>
      <c r="C173" s="38"/>
      <c r="D173" s="3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56"/>
      <c r="AC173" s="5"/>
      <c r="AD173" s="5"/>
    </row>
    <row r="174" spans="1:30" ht="12.75" customHeight="1" x14ac:dyDescent="0.3">
      <c r="A174" s="15"/>
      <c r="B174" s="37"/>
      <c r="C174" s="38"/>
      <c r="D174" s="3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56"/>
      <c r="AC174" s="5"/>
      <c r="AD174" s="5"/>
    </row>
    <row r="175" spans="1:30" ht="12.75" customHeight="1" x14ac:dyDescent="0.3">
      <c r="A175" s="16" t="s">
        <v>15</v>
      </c>
      <c r="B175" s="60" t="s">
        <v>49</v>
      </c>
      <c r="C175" s="61"/>
      <c r="D175" s="59"/>
      <c r="E175" s="13">
        <f>SUM(E165:E174)</f>
        <v>0</v>
      </c>
      <c r="F175" s="13">
        <f t="shared" ref="F175" si="232">SUM(F165:F174)</f>
        <v>1</v>
      </c>
      <c r="G175" s="13">
        <f t="shared" ref="G175" si="233">SUM(G165:G174)</f>
        <v>1</v>
      </c>
      <c r="H175" s="13">
        <f t="shared" ref="H175" si="234">SUM(H165:H174)</f>
        <v>0</v>
      </c>
      <c r="I175" s="13">
        <f t="shared" ref="I175" si="235">SUM(I165:I174)</f>
        <v>0</v>
      </c>
      <c r="J175" s="13">
        <f t="shared" ref="J175" si="236">SUM(J165:J174)</f>
        <v>2</v>
      </c>
      <c r="K175" s="13">
        <f t="shared" ref="K175" si="237">SUM(K165:K174)</f>
        <v>0</v>
      </c>
      <c r="L175" s="13">
        <f t="shared" ref="L175" si="238">SUM(L165:L174)</f>
        <v>0</v>
      </c>
      <c r="M175" s="13">
        <f t="shared" ref="M175" si="239">SUM(M165:M174)</f>
        <v>0</v>
      </c>
      <c r="N175" s="13">
        <f t="shared" ref="N175" si="240">SUM(N165:N174)</f>
        <v>0</v>
      </c>
      <c r="O175" s="13">
        <f t="shared" ref="O175" si="241">SUM(O165:O174)</f>
        <v>0</v>
      </c>
      <c r="P175" s="13">
        <f t="shared" ref="P175" si="242">SUM(P165:P174)</f>
        <v>0</v>
      </c>
      <c r="Q175" s="13">
        <f t="shared" ref="Q175" si="243">SUM(Q165:Q174)</f>
        <v>0</v>
      </c>
      <c r="R175" s="13">
        <f t="shared" ref="R175" si="244">SUM(R165:R174)</f>
        <v>0</v>
      </c>
      <c r="S175" s="13">
        <f t="shared" ref="S175" si="245">SUM(S165:S174)</f>
        <v>0</v>
      </c>
      <c r="T175" s="13">
        <f t="shared" ref="T175" si="246">SUM(T165:T174)</f>
        <v>0</v>
      </c>
      <c r="U175" s="13">
        <f t="shared" ref="U175" si="247">SUM(U165:U174)</f>
        <v>0</v>
      </c>
      <c r="V175" s="13">
        <f t="shared" ref="V175" si="248">SUM(V165:V174)</f>
        <v>0</v>
      </c>
      <c r="W175" s="13">
        <f t="shared" ref="W175" si="249">SUM(W165:W174)</f>
        <v>0</v>
      </c>
      <c r="X175" s="13">
        <f t="shared" ref="X175" si="250">SUM(X165:X174)</f>
        <v>1</v>
      </c>
      <c r="Y175" s="13">
        <f t="shared" ref="Y175" si="251">SUM(Y165:Y174)</f>
        <v>0</v>
      </c>
      <c r="Z175" s="13">
        <f t="shared" ref="Z175" si="252">SUM(Z165:Z174)</f>
        <v>0</v>
      </c>
      <c r="AA175" s="13">
        <f t="shared" ref="AA175" si="253">SUM(AA165:AA174)</f>
        <v>0</v>
      </c>
      <c r="AB175" s="13">
        <f t="shared" ref="AB175" si="254">SUM(AB165:AB174)</f>
        <v>5</v>
      </c>
      <c r="AC175" s="5"/>
      <c r="AD175" s="5"/>
    </row>
    <row r="176" spans="1:30" ht="12.75" customHeight="1" x14ac:dyDescent="0.3">
      <c r="A176" s="62"/>
      <c r="B176" s="61"/>
      <c r="C176" s="61"/>
      <c r="D176" s="61"/>
      <c r="E176" s="59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1"/>
      <c r="AD176" s="1"/>
    </row>
    <row r="177" spans="1:30" ht="12.75" customHeight="1" x14ac:dyDescent="0.3">
      <c r="A177" s="20" t="s">
        <v>37</v>
      </c>
      <c r="B177" s="27" t="s">
        <v>130</v>
      </c>
      <c r="C177" s="58" t="s">
        <v>131</v>
      </c>
      <c r="D177" s="59"/>
      <c r="E177" s="16">
        <v>0</v>
      </c>
      <c r="F177" s="16">
        <v>1</v>
      </c>
      <c r="G177" s="16">
        <v>0</v>
      </c>
      <c r="H177" s="16">
        <v>0</v>
      </c>
      <c r="I177" s="16">
        <v>1</v>
      </c>
      <c r="J177" s="16">
        <v>2</v>
      </c>
      <c r="K177" s="16">
        <v>0</v>
      </c>
      <c r="L177" s="16">
        <v>2</v>
      </c>
      <c r="M177" s="16">
        <v>0</v>
      </c>
      <c r="N177" s="16">
        <v>1</v>
      </c>
      <c r="O177" s="16">
        <v>1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2</v>
      </c>
      <c r="X177" s="16">
        <v>0</v>
      </c>
      <c r="Y177" s="16">
        <v>0</v>
      </c>
      <c r="Z177" s="16">
        <v>0</v>
      </c>
      <c r="AA177" s="16">
        <v>2</v>
      </c>
      <c r="AB177" s="13">
        <f>SUM(E177:AA177)</f>
        <v>12</v>
      </c>
    </row>
    <row r="178" spans="1:30" ht="12.75" customHeight="1" x14ac:dyDescent="0.3">
      <c r="A178" s="20" t="s">
        <v>39</v>
      </c>
      <c r="B178" s="34"/>
      <c r="C178" s="29" t="s">
        <v>132</v>
      </c>
      <c r="D178" s="36"/>
      <c r="E178" s="16">
        <v>0</v>
      </c>
      <c r="F178" s="16">
        <v>0</v>
      </c>
      <c r="G178" s="16">
        <v>2</v>
      </c>
      <c r="H178" s="16">
        <v>1</v>
      </c>
      <c r="I178" s="16">
        <v>1</v>
      </c>
      <c r="J178" s="16">
        <v>1</v>
      </c>
      <c r="K178" s="16">
        <v>2</v>
      </c>
      <c r="L178" s="16">
        <v>0</v>
      </c>
      <c r="M178" s="16">
        <v>0</v>
      </c>
      <c r="N178" s="16">
        <v>1</v>
      </c>
      <c r="O178" s="16">
        <v>0</v>
      </c>
      <c r="P178" s="16">
        <v>0</v>
      </c>
      <c r="Q178" s="16">
        <v>0</v>
      </c>
      <c r="R178" s="16">
        <v>1</v>
      </c>
      <c r="S178" s="16">
        <v>0</v>
      </c>
      <c r="T178" s="16">
        <v>3</v>
      </c>
      <c r="U178" s="16">
        <v>2</v>
      </c>
      <c r="V178" s="16">
        <v>1</v>
      </c>
      <c r="W178" s="16">
        <v>2</v>
      </c>
      <c r="X178" s="16">
        <v>1</v>
      </c>
      <c r="Y178" s="16">
        <v>1</v>
      </c>
      <c r="Z178" s="16">
        <v>2</v>
      </c>
      <c r="AA178" s="16">
        <v>1</v>
      </c>
      <c r="AB178" s="13">
        <f t="shared" ref="AB178:AB186" si="255">SUM(E178:AA178)</f>
        <v>22</v>
      </c>
      <c r="AC178" s="5"/>
      <c r="AD178" s="5"/>
    </row>
    <row r="179" spans="1:30" ht="12.75" customHeight="1" x14ac:dyDescent="0.3">
      <c r="A179" s="15"/>
      <c r="B179" s="34"/>
      <c r="C179" s="29" t="s">
        <v>133</v>
      </c>
      <c r="D179" s="36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3">
        <f t="shared" si="255"/>
        <v>0</v>
      </c>
      <c r="AC179" s="5"/>
      <c r="AD179" s="5"/>
    </row>
    <row r="180" spans="1:30" ht="12.75" customHeight="1" x14ac:dyDescent="0.3">
      <c r="A180" s="15"/>
      <c r="B180" s="34"/>
      <c r="C180" s="29" t="s">
        <v>134</v>
      </c>
      <c r="D180" s="36"/>
      <c r="E180" s="16">
        <v>0</v>
      </c>
      <c r="F180" s="16">
        <v>1</v>
      </c>
      <c r="G180" s="16">
        <v>0</v>
      </c>
      <c r="H180" s="16">
        <v>0</v>
      </c>
      <c r="I180" s="16">
        <v>0</v>
      </c>
      <c r="J180" s="16">
        <v>1</v>
      </c>
      <c r="K180" s="16">
        <v>1</v>
      </c>
      <c r="L180" s="16">
        <v>0</v>
      </c>
      <c r="M180" s="16">
        <v>1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1</v>
      </c>
      <c r="V180" s="16">
        <v>1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3">
        <f t="shared" si="255"/>
        <v>6</v>
      </c>
      <c r="AC180" s="5"/>
      <c r="AD180" s="5"/>
    </row>
    <row r="181" spans="1:30" ht="12.75" customHeight="1" x14ac:dyDescent="0.3">
      <c r="A181" s="15"/>
      <c r="B181" s="34"/>
      <c r="C181" s="29" t="s">
        <v>135</v>
      </c>
      <c r="D181" s="36"/>
      <c r="E181" s="16">
        <v>0</v>
      </c>
      <c r="F181" s="16">
        <v>0</v>
      </c>
      <c r="G181" s="16">
        <v>0</v>
      </c>
      <c r="H181" s="16">
        <v>0</v>
      </c>
      <c r="I181" s="16">
        <v>1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1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1</v>
      </c>
      <c r="Y181" s="16">
        <v>0</v>
      </c>
      <c r="Z181" s="16">
        <v>0</v>
      </c>
      <c r="AA181" s="16">
        <v>0</v>
      </c>
      <c r="AB181" s="13">
        <f t="shared" si="255"/>
        <v>3</v>
      </c>
      <c r="AC181" s="5"/>
      <c r="AD181" s="5"/>
    </row>
    <row r="182" spans="1:30" ht="12.75" customHeight="1" x14ac:dyDescent="0.3">
      <c r="A182" s="15"/>
      <c r="B182" s="34"/>
      <c r="C182" s="29" t="s">
        <v>136</v>
      </c>
      <c r="D182" s="36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3">
        <f t="shared" si="255"/>
        <v>0</v>
      </c>
      <c r="AC182" s="5"/>
      <c r="AD182" s="5"/>
    </row>
    <row r="183" spans="1:30" ht="12.75" customHeight="1" x14ac:dyDescent="0.3">
      <c r="A183" s="15"/>
      <c r="B183" s="34"/>
      <c r="C183" s="29" t="s">
        <v>137</v>
      </c>
      <c r="D183" s="36"/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1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3">
        <f t="shared" si="255"/>
        <v>1</v>
      </c>
      <c r="AC183" s="5"/>
      <c r="AD183" s="5"/>
    </row>
    <row r="184" spans="1:30" ht="12.75" customHeight="1" x14ac:dyDescent="0.3">
      <c r="A184" s="15"/>
      <c r="B184" s="34"/>
      <c r="C184" s="29" t="s">
        <v>138</v>
      </c>
      <c r="D184" s="36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3">
        <f t="shared" si="255"/>
        <v>0</v>
      </c>
      <c r="AC184" s="5"/>
      <c r="AD184" s="5"/>
    </row>
    <row r="185" spans="1:30" ht="12.75" customHeight="1" x14ac:dyDescent="0.3">
      <c r="A185" s="15"/>
      <c r="B185" s="34"/>
      <c r="C185" s="29" t="s">
        <v>139</v>
      </c>
      <c r="D185" s="36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3">
        <f t="shared" si="255"/>
        <v>0</v>
      </c>
      <c r="AC185" s="5"/>
      <c r="AD185" s="5"/>
    </row>
    <row r="186" spans="1:30" ht="12.75" customHeight="1" x14ac:dyDescent="0.3">
      <c r="A186" s="15"/>
      <c r="B186" s="34"/>
      <c r="C186" s="29" t="s">
        <v>140</v>
      </c>
      <c r="D186" s="36"/>
      <c r="E186" s="16">
        <v>0</v>
      </c>
      <c r="F186" s="16">
        <v>0</v>
      </c>
      <c r="G186" s="16">
        <v>1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3">
        <f t="shared" si="255"/>
        <v>1</v>
      </c>
      <c r="AC186" s="5"/>
      <c r="AD186" s="5"/>
    </row>
    <row r="187" spans="1:30" ht="12.75" customHeight="1" x14ac:dyDescent="0.3">
      <c r="A187" s="16" t="s">
        <v>15</v>
      </c>
      <c r="B187" s="60" t="s">
        <v>49</v>
      </c>
      <c r="C187" s="61"/>
      <c r="D187" s="59"/>
      <c r="E187" s="13">
        <f>SUM(E177:E186)</f>
        <v>0</v>
      </c>
      <c r="F187" s="13">
        <f t="shared" ref="F187" si="256">SUM(F177:F186)</f>
        <v>2</v>
      </c>
      <c r="G187" s="13">
        <f t="shared" ref="G187" si="257">SUM(G177:G186)</f>
        <v>3</v>
      </c>
      <c r="H187" s="13">
        <f t="shared" ref="H187" si="258">SUM(H177:H186)</f>
        <v>1</v>
      </c>
      <c r="I187" s="13">
        <f t="shared" ref="I187" si="259">SUM(I177:I186)</f>
        <v>3</v>
      </c>
      <c r="J187" s="13">
        <f t="shared" ref="J187" si="260">SUM(J177:J186)</f>
        <v>4</v>
      </c>
      <c r="K187" s="13">
        <f t="shared" ref="K187" si="261">SUM(K177:K186)</f>
        <v>3</v>
      </c>
      <c r="L187" s="13">
        <f t="shared" ref="L187" si="262">SUM(L177:L186)</f>
        <v>2</v>
      </c>
      <c r="M187" s="13">
        <f t="shared" ref="M187" si="263">SUM(M177:M186)</f>
        <v>1</v>
      </c>
      <c r="N187" s="13">
        <f t="shared" ref="N187" si="264">SUM(N177:N186)</f>
        <v>2</v>
      </c>
      <c r="O187" s="13">
        <f t="shared" ref="O187" si="265">SUM(O177:O186)</f>
        <v>1</v>
      </c>
      <c r="P187" s="13">
        <f t="shared" ref="P187" si="266">SUM(P177:P186)</f>
        <v>1</v>
      </c>
      <c r="Q187" s="13">
        <f t="shared" ref="Q187" si="267">SUM(Q177:Q186)</f>
        <v>0</v>
      </c>
      <c r="R187" s="13">
        <f t="shared" ref="R187" si="268">SUM(R177:R186)</f>
        <v>1</v>
      </c>
      <c r="S187" s="13">
        <f t="shared" ref="S187" si="269">SUM(S177:S186)</f>
        <v>0</v>
      </c>
      <c r="T187" s="13">
        <f t="shared" ref="T187" si="270">SUM(T177:T186)</f>
        <v>3</v>
      </c>
      <c r="U187" s="13">
        <f t="shared" ref="U187" si="271">SUM(U177:U186)</f>
        <v>3</v>
      </c>
      <c r="V187" s="13">
        <f t="shared" ref="V187" si="272">SUM(V177:V186)</f>
        <v>3</v>
      </c>
      <c r="W187" s="13">
        <f t="shared" ref="W187" si="273">SUM(W177:W186)</f>
        <v>4</v>
      </c>
      <c r="X187" s="13">
        <f t="shared" ref="X187" si="274">SUM(X177:X186)</f>
        <v>2</v>
      </c>
      <c r="Y187" s="13">
        <f t="shared" ref="Y187" si="275">SUM(Y177:Y186)</f>
        <v>1</v>
      </c>
      <c r="Z187" s="13">
        <f t="shared" ref="Z187" si="276">SUM(Z177:Z186)</f>
        <v>2</v>
      </c>
      <c r="AA187" s="13">
        <f t="shared" ref="AA187" si="277">SUM(AA177:AA186)</f>
        <v>3</v>
      </c>
      <c r="AB187" s="13">
        <f t="shared" ref="AB187" si="278">SUM(AB177:AB186)</f>
        <v>45</v>
      </c>
      <c r="AC187" s="1"/>
      <c r="AD187" s="1"/>
    </row>
    <row r="188" spans="1:30" ht="12.75" customHeight="1" x14ac:dyDescent="0.3">
      <c r="A188" s="62"/>
      <c r="B188" s="61"/>
      <c r="C188" s="61"/>
      <c r="D188" s="61"/>
      <c r="E188" s="59"/>
      <c r="F188" s="54"/>
      <c r="G188" s="54"/>
      <c r="H188" s="54"/>
      <c r="I188" s="54"/>
      <c r="J188" s="54"/>
      <c r="K188" s="54"/>
      <c r="L188" s="54"/>
      <c r="M188" s="54"/>
      <c r="N188" s="54"/>
      <c r="AB188" s="13"/>
    </row>
    <row r="189" spans="1:30" ht="12.75" customHeight="1" x14ac:dyDescent="0.3">
      <c r="A189" s="20" t="s">
        <v>37</v>
      </c>
      <c r="B189" s="27" t="s">
        <v>141</v>
      </c>
      <c r="C189" s="58" t="s">
        <v>142</v>
      </c>
      <c r="D189" s="59"/>
      <c r="E189" s="16">
        <v>0</v>
      </c>
      <c r="F189" s="16">
        <v>1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3">
        <f>SUM(E189:AA189)</f>
        <v>1</v>
      </c>
      <c r="AC189" s="5"/>
      <c r="AD189" s="5"/>
    </row>
    <row r="190" spans="1:30" ht="12.75" customHeight="1" x14ac:dyDescent="0.3">
      <c r="A190" s="20" t="s">
        <v>39</v>
      </c>
      <c r="B190" s="34"/>
      <c r="C190" s="29" t="s">
        <v>143</v>
      </c>
      <c r="D190" s="36"/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3">
        <f t="shared" ref="AB190:AB198" si="279">SUM(E190:AA190)</f>
        <v>0</v>
      </c>
      <c r="AC190" s="5"/>
      <c r="AD190" s="5"/>
    </row>
    <row r="191" spans="1:30" ht="12.75" customHeight="1" x14ac:dyDescent="0.3">
      <c r="A191" s="15"/>
      <c r="B191" s="34"/>
      <c r="C191" s="29" t="s">
        <v>144</v>
      </c>
      <c r="D191" s="36"/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1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1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3">
        <f t="shared" si="279"/>
        <v>2</v>
      </c>
      <c r="AC191" s="5"/>
      <c r="AD191" s="5"/>
    </row>
    <row r="192" spans="1:30" ht="12.75" customHeight="1" x14ac:dyDescent="0.3">
      <c r="A192" s="15"/>
      <c r="B192" s="34"/>
      <c r="C192" s="29" t="s">
        <v>145</v>
      </c>
      <c r="D192" s="36"/>
      <c r="E192" s="16">
        <v>0</v>
      </c>
      <c r="F192" s="16">
        <v>0</v>
      </c>
      <c r="G192" s="16">
        <v>1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3">
        <f t="shared" si="279"/>
        <v>1</v>
      </c>
      <c r="AC192" s="5"/>
      <c r="AD192" s="5"/>
    </row>
    <row r="193" spans="1:30" ht="12.75" customHeight="1" x14ac:dyDescent="0.3">
      <c r="A193" s="15"/>
      <c r="B193" s="34"/>
      <c r="C193" s="29" t="s">
        <v>146</v>
      </c>
      <c r="D193" s="36"/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3">
        <f t="shared" si="279"/>
        <v>0</v>
      </c>
      <c r="AC193" s="5"/>
      <c r="AD193" s="5"/>
    </row>
    <row r="194" spans="1:30" ht="12.75" customHeight="1" x14ac:dyDescent="0.3">
      <c r="A194" s="15"/>
      <c r="B194" s="34"/>
      <c r="C194" s="29" t="s">
        <v>147</v>
      </c>
      <c r="D194" s="36"/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3">
        <f t="shared" si="279"/>
        <v>0</v>
      </c>
      <c r="AC194" s="5"/>
      <c r="AD194" s="5"/>
    </row>
    <row r="195" spans="1:30" ht="12.75" customHeight="1" x14ac:dyDescent="0.3">
      <c r="A195" s="15"/>
      <c r="B195" s="34"/>
      <c r="C195" s="29" t="s">
        <v>148</v>
      </c>
      <c r="D195" s="36"/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3">
        <f t="shared" si="279"/>
        <v>0</v>
      </c>
      <c r="AC195" s="5"/>
      <c r="AD195" s="5"/>
    </row>
    <row r="196" spans="1:30" ht="12.75" customHeight="1" x14ac:dyDescent="0.3">
      <c r="A196" s="15"/>
      <c r="B196" s="34"/>
      <c r="C196" s="29" t="s">
        <v>149</v>
      </c>
      <c r="D196" s="36"/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1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3">
        <f t="shared" si="279"/>
        <v>1</v>
      </c>
      <c r="AC196" s="1"/>
      <c r="AD196" s="1"/>
    </row>
    <row r="197" spans="1:30" ht="12.75" customHeight="1" x14ac:dyDescent="0.3">
      <c r="A197" s="15"/>
      <c r="B197" s="34"/>
      <c r="C197" s="29" t="s">
        <v>150</v>
      </c>
      <c r="D197" s="36"/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3">
        <f t="shared" si="279"/>
        <v>0</v>
      </c>
      <c r="AC197" s="1"/>
      <c r="AD197" s="1"/>
    </row>
    <row r="198" spans="1:30" ht="12.75" customHeight="1" x14ac:dyDescent="0.3">
      <c r="A198" s="15"/>
      <c r="B198" s="34"/>
      <c r="C198" s="29" t="s">
        <v>151</v>
      </c>
      <c r="D198" s="36"/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3">
        <f t="shared" si="279"/>
        <v>0</v>
      </c>
      <c r="AC198" s="1"/>
      <c r="AD198" s="1"/>
    </row>
    <row r="199" spans="1:30" ht="12.75" customHeight="1" x14ac:dyDescent="0.3">
      <c r="A199" s="16" t="s">
        <v>15</v>
      </c>
      <c r="B199" s="60" t="s">
        <v>49</v>
      </c>
      <c r="C199" s="61"/>
      <c r="D199" s="59"/>
      <c r="E199" s="13">
        <f>SUM(E189:E198)</f>
        <v>0</v>
      </c>
      <c r="F199" s="13">
        <f t="shared" ref="F199" si="280">SUM(F189:F198)</f>
        <v>1</v>
      </c>
      <c r="G199" s="13">
        <f t="shared" ref="G199" si="281">SUM(G189:G198)</f>
        <v>1</v>
      </c>
      <c r="H199" s="13">
        <f t="shared" ref="H199" si="282">SUM(H189:H198)</f>
        <v>0</v>
      </c>
      <c r="I199" s="13">
        <f t="shared" ref="I199" si="283">SUM(I189:I198)</f>
        <v>0</v>
      </c>
      <c r="J199" s="13">
        <f t="shared" ref="J199" si="284">SUM(J189:J198)</f>
        <v>1</v>
      </c>
      <c r="K199" s="13">
        <f t="shared" ref="K199" si="285">SUM(K189:K198)</f>
        <v>0</v>
      </c>
      <c r="L199" s="13">
        <f t="shared" ref="L199" si="286">SUM(L189:L198)</f>
        <v>0</v>
      </c>
      <c r="M199" s="13">
        <f t="shared" ref="M199" si="287">SUM(M189:M198)</f>
        <v>0</v>
      </c>
      <c r="N199" s="13">
        <f t="shared" ref="N199" si="288">SUM(N189:N198)</f>
        <v>0</v>
      </c>
      <c r="O199" s="13">
        <f t="shared" ref="O199" si="289">SUM(O189:O198)</f>
        <v>0</v>
      </c>
      <c r="P199" s="13">
        <f t="shared" ref="P199" si="290">SUM(P189:P198)</f>
        <v>0</v>
      </c>
      <c r="Q199" s="13">
        <f t="shared" ref="Q199" si="291">SUM(Q189:Q198)</f>
        <v>1</v>
      </c>
      <c r="R199" s="13">
        <f t="shared" ref="R199" si="292">SUM(R189:R198)</f>
        <v>1</v>
      </c>
      <c r="S199" s="13">
        <f t="shared" ref="S199" si="293">SUM(S189:S198)</f>
        <v>0</v>
      </c>
      <c r="T199" s="13">
        <f t="shared" ref="T199" si="294">SUM(T189:T198)</f>
        <v>0</v>
      </c>
      <c r="U199" s="13">
        <f t="shared" ref="U199" si="295">SUM(U189:U198)</f>
        <v>0</v>
      </c>
      <c r="V199" s="13">
        <f t="shared" ref="V199" si="296">SUM(V189:V198)</f>
        <v>0</v>
      </c>
      <c r="W199" s="13">
        <f t="shared" ref="W199" si="297">SUM(W189:W198)</f>
        <v>0</v>
      </c>
      <c r="X199" s="13">
        <f t="shared" ref="X199" si="298">SUM(X189:X198)</f>
        <v>0</v>
      </c>
      <c r="Y199" s="13">
        <f t="shared" ref="Y199" si="299">SUM(Y189:Y198)</f>
        <v>0</v>
      </c>
      <c r="Z199" s="13">
        <f t="shared" ref="Z199" si="300">SUM(Z189:Z198)</f>
        <v>0</v>
      </c>
      <c r="AA199" s="13">
        <f t="shared" ref="AA199" si="301">SUM(AA189:AA198)</f>
        <v>0</v>
      </c>
      <c r="AB199" s="13">
        <f t="shared" ref="AB199" si="302">SUM(AB189:AB198)</f>
        <v>5</v>
      </c>
      <c r="AC199" s="31"/>
      <c r="AD199" s="31"/>
    </row>
    <row r="200" spans="1:30" ht="12.75" customHeight="1" x14ac:dyDescent="0.3">
      <c r="A200" s="62"/>
      <c r="B200" s="61"/>
      <c r="C200" s="61"/>
      <c r="D200" s="61"/>
      <c r="E200" s="59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"/>
      <c r="AD200" s="5"/>
    </row>
    <row r="201" spans="1:30" ht="12.75" customHeight="1" x14ac:dyDescent="0.3">
      <c r="A201" s="20" t="s">
        <v>37</v>
      </c>
      <c r="B201" s="27" t="s">
        <v>152</v>
      </c>
      <c r="C201" s="58" t="s">
        <v>153</v>
      </c>
      <c r="D201" s="59"/>
      <c r="E201" s="16">
        <v>1</v>
      </c>
      <c r="F201" s="16">
        <v>6</v>
      </c>
      <c r="G201" s="16">
        <v>8</v>
      </c>
      <c r="H201" s="16">
        <v>3</v>
      </c>
      <c r="I201" s="16">
        <v>2</v>
      </c>
      <c r="J201" s="16">
        <v>9</v>
      </c>
      <c r="K201" s="16">
        <v>4</v>
      </c>
      <c r="L201" s="16">
        <v>2</v>
      </c>
      <c r="M201" s="16">
        <v>9</v>
      </c>
      <c r="N201" s="16">
        <v>6</v>
      </c>
      <c r="O201" s="16">
        <v>12</v>
      </c>
      <c r="P201" s="16">
        <v>8</v>
      </c>
      <c r="Q201" s="16">
        <v>3</v>
      </c>
      <c r="R201" s="16">
        <v>1</v>
      </c>
      <c r="S201" s="16">
        <v>1</v>
      </c>
      <c r="T201" s="16">
        <v>3</v>
      </c>
      <c r="U201" s="16">
        <v>0</v>
      </c>
      <c r="V201" s="16">
        <v>1</v>
      </c>
      <c r="W201" s="16">
        <v>2</v>
      </c>
      <c r="X201" s="16">
        <v>5</v>
      </c>
      <c r="Y201" s="16">
        <v>7</v>
      </c>
      <c r="Z201" s="16">
        <v>0</v>
      </c>
      <c r="AA201" s="16">
        <v>0</v>
      </c>
      <c r="AB201" s="13">
        <f>SUM(E201:AA201)</f>
        <v>93</v>
      </c>
      <c r="AC201" s="5"/>
      <c r="AD201" s="5"/>
    </row>
    <row r="202" spans="1:30" ht="12.75" customHeight="1" x14ac:dyDescent="0.3">
      <c r="A202" s="20" t="s">
        <v>39</v>
      </c>
      <c r="B202" s="34"/>
      <c r="C202" s="29" t="s">
        <v>154</v>
      </c>
      <c r="D202" s="36"/>
      <c r="E202" s="16">
        <v>9</v>
      </c>
      <c r="F202" s="16">
        <v>16</v>
      </c>
      <c r="G202" s="16">
        <v>12</v>
      </c>
      <c r="H202" s="16">
        <v>2</v>
      </c>
      <c r="I202" s="16">
        <v>4</v>
      </c>
      <c r="J202" s="16">
        <v>10</v>
      </c>
      <c r="K202" s="16">
        <v>14</v>
      </c>
      <c r="L202" s="16">
        <v>1</v>
      </c>
      <c r="M202" s="16">
        <v>22</v>
      </c>
      <c r="N202" s="16">
        <v>5</v>
      </c>
      <c r="O202" s="16">
        <v>6</v>
      </c>
      <c r="P202" s="16">
        <v>8</v>
      </c>
      <c r="Q202" s="16">
        <v>5</v>
      </c>
      <c r="R202" s="16">
        <v>4</v>
      </c>
      <c r="S202" s="16">
        <v>2</v>
      </c>
      <c r="T202" s="16">
        <v>8</v>
      </c>
      <c r="U202" s="16">
        <v>3</v>
      </c>
      <c r="V202" s="16">
        <v>14</v>
      </c>
      <c r="W202" s="16">
        <v>7</v>
      </c>
      <c r="X202" s="16">
        <v>8</v>
      </c>
      <c r="Y202" s="16">
        <v>12</v>
      </c>
      <c r="Z202" s="16">
        <v>3</v>
      </c>
      <c r="AA202" s="16">
        <v>7</v>
      </c>
      <c r="AB202" s="13">
        <f t="shared" ref="AB202:AB210" si="303">SUM(E202:AA202)</f>
        <v>182</v>
      </c>
      <c r="AC202" s="5"/>
      <c r="AD202" s="5"/>
    </row>
    <row r="203" spans="1:30" ht="12.75" customHeight="1" x14ac:dyDescent="0.3">
      <c r="A203" s="15"/>
      <c r="B203" s="34"/>
      <c r="C203" s="29" t="s">
        <v>155</v>
      </c>
      <c r="D203" s="36"/>
      <c r="E203" s="16">
        <v>1</v>
      </c>
      <c r="F203" s="16">
        <v>2</v>
      </c>
      <c r="G203" s="16">
        <v>3</v>
      </c>
      <c r="H203" s="16">
        <v>2</v>
      </c>
      <c r="I203" s="16">
        <v>1</v>
      </c>
      <c r="J203" s="16">
        <v>6</v>
      </c>
      <c r="K203" s="16">
        <v>1</v>
      </c>
      <c r="L203" s="16">
        <v>8</v>
      </c>
      <c r="M203" s="16">
        <v>1</v>
      </c>
      <c r="N203" s="16">
        <v>0</v>
      </c>
      <c r="O203" s="16">
        <v>2</v>
      </c>
      <c r="P203" s="16">
        <v>5</v>
      </c>
      <c r="Q203" s="16">
        <v>2</v>
      </c>
      <c r="R203" s="16">
        <v>0</v>
      </c>
      <c r="S203" s="16">
        <v>0</v>
      </c>
      <c r="T203" s="16">
        <v>2</v>
      </c>
      <c r="U203" s="16">
        <v>0</v>
      </c>
      <c r="V203" s="16">
        <v>1</v>
      </c>
      <c r="W203" s="16">
        <v>0</v>
      </c>
      <c r="X203" s="16">
        <v>0</v>
      </c>
      <c r="Y203" s="16">
        <v>0</v>
      </c>
      <c r="Z203" s="16">
        <v>2</v>
      </c>
      <c r="AA203" s="16">
        <v>0</v>
      </c>
      <c r="AB203" s="13">
        <f t="shared" si="303"/>
        <v>39</v>
      </c>
      <c r="AC203" s="5"/>
      <c r="AD203" s="5"/>
    </row>
    <row r="204" spans="1:30" ht="12.75" customHeight="1" x14ac:dyDescent="0.3">
      <c r="A204" s="15"/>
      <c r="B204" s="34"/>
      <c r="C204" s="29" t="s">
        <v>156</v>
      </c>
      <c r="D204" s="36"/>
      <c r="E204" s="16">
        <v>0</v>
      </c>
      <c r="F204" s="16">
        <v>1</v>
      </c>
      <c r="G204" s="16">
        <v>2</v>
      </c>
      <c r="H204" s="16">
        <v>0</v>
      </c>
      <c r="I204" s="16">
        <v>0</v>
      </c>
      <c r="J204" s="16">
        <v>3</v>
      </c>
      <c r="K204" s="16">
        <v>2</v>
      </c>
      <c r="L204" s="16">
        <v>1</v>
      </c>
      <c r="M204" s="16">
        <v>0</v>
      </c>
      <c r="N204" s="16">
        <v>0</v>
      </c>
      <c r="O204" s="16">
        <v>2</v>
      </c>
      <c r="P204" s="16">
        <v>2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1</v>
      </c>
      <c r="Z204" s="16">
        <v>0</v>
      </c>
      <c r="AA204" s="16">
        <v>0</v>
      </c>
      <c r="AB204" s="13">
        <f t="shared" si="303"/>
        <v>14</v>
      </c>
      <c r="AC204" s="5"/>
      <c r="AD204" s="5"/>
    </row>
    <row r="205" spans="1:30" ht="12.75" customHeight="1" x14ac:dyDescent="0.3">
      <c r="A205" s="15"/>
      <c r="B205" s="34"/>
      <c r="C205" s="29" t="s">
        <v>157</v>
      </c>
      <c r="D205" s="36"/>
      <c r="E205" s="16">
        <v>0</v>
      </c>
      <c r="F205" s="16">
        <v>0</v>
      </c>
      <c r="G205" s="16">
        <v>0</v>
      </c>
      <c r="H205" s="16">
        <v>2</v>
      </c>
      <c r="I205" s="16">
        <v>2</v>
      </c>
      <c r="J205" s="16">
        <v>0</v>
      </c>
      <c r="K205" s="16">
        <v>0</v>
      </c>
      <c r="L205" s="16">
        <v>0</v>
      </c>
      <c r="M205" s="16">
        <v>1</v>
      </c>
      <c r="N205" s="16">
        <v>1</v>
      </c>
      <c r="O205" s="16">
        <v>1</v>
      </c>
      <c r="P205" s="16">
        <v>0</v>
      </c>
      <c r="Q205" s="16">
        <v>0</v>
      </c>
      <c r="R205" s="16">
        <v>0</v>
      </c>
      <c r="S205" s="16">
        <v>0</v>
      </c>
      <c r="T205" s="16">
        <v>1</v>
      </c>
      <c r="U205" s="16">
        <v>0</v>
      </c>
      <c r="V205" s="16">
        <v>0</v>
      </c>
      <c r="W205" s="16">
        <v>0</v>
      </c>
      <c r="X205" s="16">
        <v>1</v>
      </c>
      <c r="Y205" s="16">
        <v>1</v>
      </c>
      <c r="Z205" s="16">
        <v>0</v>
      </c>
      <c r="AA205" s="16">
        <v>0</v>
      </c>
      <c r="AB205" s="13">
        <f t="shared" si="303"/>
        <v>10</v>
      </c>
      <c r="AC205" s="5"/>
      <c r="AD205" s="5"/>
    </row>
    <row r="206" spans="1:30" ht="12.75" customHeight="1" x14ac:dyDescent="0.3">
      <c r="A206" s="15"/>
      <c r="B206" s="34"/>
      <c r="C206" s="29" t="s">
        <v>158</v>
      </c>
      <c r="D206" s="36"/>
      <c r="E206" s="16">
        <v>0</v>
      </c>
      <c r="F206" s="16">
        <v>1</v>
      </c>
      <c r="G206" s="16">
        <v>1</v>
      </c>
      <c r="H206" s="16">
        <v>0</v>
      </c>
      <c r="I206" s="16">
        <v>0</v>
      </c>
      <c r="J206" s="16">
        <v>1</v>
      </c>
      <c r="K206" s="16">
        <v>0</v>
      </c>
      <c r="L206" s="16">
        <v>0</v>
      </c>
      <c r="M206" s="16">
        <v>1</v>
      </c>
      <c r="N206" s="16">
        <v>0</v>
      </c>
      <c r="O206" s="16">
        <v>1</v>
      </c>
      <c r="P206" s="16">
        <v>1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1</v>
      </c>
      <c r="Y206" s="16">
        <v>0</v>
      </c>
      <c r="Z206" s="16">
        <v>0</v>
      </c>
      <c r="AA206" s="16">
        <v>0</v>
      </c>
      <c r="AB206" s="13">
        <f t="shared" si="303"/>
        <v>7</v>
      </c>
      <c r="AC206" s="5"/>
      <c r="AD206" s="5"/>
    </row>
    <row r="207" spans="1:30" ht="12.75" customHeight="1" x14ac:dyDescent="0.3">
      <c r="A207" s="15"/>
      <c r="B207" s="34"/>
      <c r="C207" s="29" t="s">
        <v>159</v>
      </c>
      <c r="D207" s="36"/>
      <c r="E207" s="16">
        <v>0</v>
      </c>
      <c r="F207" s="16">
        <v>0</v>
      </c>
      <c r="G207" s="16">
        <v>0</v>
      </c>
      <c r="H207" s="16">
        <v>1</v>
      </c>
      <c r="I207" s="16">
        <v>0</v>
      </c>
      <c r="J207" s="16">
        <v>0</v>
      </c>
      <c r="K207" s="16">
        <v>0</v>
      </c>
      <c r="L207" s="16">
        <v>0</v>
      </c>
      <c r="M207" s="16">
        <v>2</v>
      </c>
      <c r="N207" s="16">
        <v>0</v>
      </c>
      <c r="O207" s="16">
        <v>1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1</v>
      </c>
      <c r="V207" s="16">
        <v>0</v>
      </c>
      <c r="W207" s="16">
        <v>0</v>
      </c>
      <c r="X207" s="16">
        <v>0</v>
      </c>
      <c r="Y207" s="16">
        <v>2</v>
      </c>
      <c r="Z207" s="16">
        <v>0</v>
      </c>
      <c r="AA207" s="16">
        <v>1</v>
      </c>
      <c r="AB207" s="13">
        <f t="shared" si="303"/>
        <v>8</v>
      </c>
      <c r="AC207" s="1"/>
      <c r="AD207" s="1"/>
    </row>
    <row r="208" spans="1:30" ht="12.75" customHeight="1" x14ac:dyDescent="0.3">
      <c r="A208" s="15"/>
      <c r="B208" s="34"/>
      <c r="C208" s="29" t="s">
        <v>160</v>
      </c>
      <c r="D208" s="36"/>
      <c r="E208" s="16">
        <v>0</v>
      </c>
      <c r="F208" s="16">
        <v>2</v>
      </c>
      <c r="G208" s="16">
        <v>2</v>
      </c>
      <c r="H208" s="16">
        <v>1</v>
      </c>
      <c r="I208" s="16">
        <v>1</v>
      </c>
      <c r="J208" s="16">
        <v>1</v>
      </c>
      <c r="K208" s="16">
        <v>0</v>
      </c>
      <c r="L208" s="16">
        <v>0</v>
      </c>
      <c r="M208" s="16">
        <v>2</v>
      </c>
      <c r="N208" s="16">
        <v>1</v>
      </c>
      <c r="O208" s="16">
        <v>1</v>
      </c>
      <c r="P208" s="16">
        <v>2</v>
      </c>
      <c r="Q208" s="16">
        <v>0</v>
      </c>
      <c r="R208" s="16">
        <v>2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2</v>
      </c>
      <c r="Y208" s="16">
        <v>1</v>
      </c>
      <c r="Z208" s="16">
        <v>0</v>
      </c>
      <c r="AA208" s="16">
        <v>1</v>
      </c>
      <c r="AB208" s="13">
        <f t="shared" si="303"/>
        <v>19</v>
      </c>
      <c r="AC208" s="31"/>
      <c r="AD208" s="31"/>
    </row>
    <row r="209" spans="1:30" ht="12.75" customHeight="1" x14ac:dyDescent="0.3">
      <c r="A209" s="15"/>
      <c r="B209" s="34"/>
      <c r="C209" s="29" t="s">
        <v>161</v>
      </c>
      <c r="D209" s="36"/>
      <c r="E209" s="16">
        <v>0</v>
      </c>
      <c r="F209" s="16">
        <v>0</v>
      </c>
      <c r="G209" s="16">
        <v>2</v>
      </c>
      <c r="H209" s="16">
        <v>1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1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3">
        <f t="shared" si="303"/>
        <v>4</v>
      </c>
      <c r="AC209" s="31"/>
      <c r="AD209" s="31"/>
    </row>
    <row r="210" spans="1:30" ht="12.75" customHeight="1" x14ac:dyDescent="0.3">
      <c r="A210" s="15"/>
      <c r="B210" s="34"/>
      <c r="C210" s="29" t="s">
        <v>162</v>
      </c>
      <c r="D210" s="36"/>
      <c r="E210" s="16">
        <v>0</v>
      </c>
      <c r="F210" s="16">
        <v>1</v>
      </c>
      <c r="G210" s="16">
        <v>0</v>
      </c>
      <c r="H210" s="16">
        <v>0</v>
      </c>
      <c r="I210" s="16">
        <v>1</v>
      </c>
      <c r="J210" s="16">
        <v>0</v>
      </c>
      <c r="K210" s="16">
        <v>2</v>
      </c>
      <c r="L210" s="16">
        <v>0</v>
      </c>
      <c r="M210" s="16">
        <v>1</v>
      </c>
      <c r="N210" s="16">
        <v>1</v>
      </c>
      <c r="O210" s="16">
        <v>2</v>
      </c>
      <c r="P210" s="16">
        <v>2</v>
      </c>
      <c r="Q210" s="16">
        <v>1</v>
      </c>
      <c r="R210" s="16">
        <v>0</v>
      </c>
      <c r="S210" s="16">
        <v>0</v>
      </c>
      <c r="T210" s="16">
        <v>0</v>
      </c>
      <c r="U210" s="16">
        <v>0</v>
      </c>
      <c r="V210" s="16">
        <v>1</v>
      </c>
      <c r="W210" s="16">
        <v>0</v>
      </c>
      <c r="X210" s="16">
        <v>0</v>
      </c>
      <c r="Y210" s="16">
        <v>1</v>
      </c>
      <c r="Z210" s="16">
        <v>1</v>
      </c>
      <c r="AA210" s="16">
        <v>0</v>
      </c>
      <c r="AB210" s="13">
        <f t="shared" si="303"/>
        <v>14</v>
      </c>
      <c r="AC210" s="31"/>
      <c r="AD210" s="31"/>
    </row>
    <row r="211" spans="1:30" ht="12.75" customHeight="1" x14ac:dyDescent="0.3">
      <c r="A211" s="16" t="s">
        <v>15</v>
      </c>
      <c r="B211" s="60" t="s">
        <v>49</v>
      </c>
      <c r="C211" s="61"/>
      <c r="D211" s="59"/>
      <c r="E211" s="13">
        <f>SUM(E201:E210)</f>
        <v>11</v>
      </c>
      <c r="F211" s="13">
        <f t="shared" ref="F211" si="304">SUM(F201:F210)</f>
        <v>29</v>
      </c>
      <c r="G211" s="13">
        <f t="shared" ref="G211" si="305">SUM(G201:G210)</f>
        <v>30</v>
      </c>
      <c r="H211" s="13">
        <f t="shared" ref="H211" si="306">SUM(H201:H210)</f>
        <v>12</v>
      </c>
      <c r="I211" s="13">
        <f t="shared" ref="I211" si="307">SUM(I201:I210)</f>
        <v>11</v>
      </c>
      <c r="J211" s="13">
        <f t="shared" ref="J211" si="308">SUM(J201:J210)</f>
        <v>30</v>
      </c>
      <c r="K211" s="13">
        <f t="shared" ref="K211" si="309">SUM(K201:K210)</f>
        <v>23</v>
      </c>
      <c r="L211" s="13">
        <f t="shared" ref="L211" si="310">SUM(L201:L210)</f>
        <v>12</v>
      </c>
      <c r="M211" s="13">
        <f t="shared" ref="M211" si="311">SUM(M201:M210)</f>
        <v>39</v>
      </c>
      <c r="N211" s="13">
        <f t="shared" ref="N211" si="312">SUM(N201:N210)</f>
        <v>14</v>
      </c>
      <c r="O211" s="13">
        <f t="shared" ref="O211" si="313">SUM(O201:O210)</f>
        <v>28</v>
      </c>
      <c r="P211" s="13">
        <f t="shared" ref="P211" si="314">SUM(P201:P210)</f>
        <v>29</v>
      </c>
      <c r="Q211" s="13">
        <f t="shared" ref="Q211" si="315">SUM(Q201:Q210)</f>
        <v>11</v>
      </c>
      <c r="R211" s="13">
        <f t="shared" ref="R211" si="316">SUM(R201:R210)</f>
        <v>7</v>
      </c>
      <c r="S211" s="13">
        <f t="shared" ref="S211" si="317">SUM(S201:S210)</f>
        <v>3</v>
      </c>
      <c r="T211" s="13">
        <f t="shared" ref="T211" si="318">SUM(T201:T210)</f>
        <v>14</v>
      </c>
      <c r="U211" s="13">
        <f t="shared" ref="U211" si="319">SUM(U201:U210)</f>
        <v>4</v>
      </c>
      <c r="V211" s="13">
        <f t="shared" ref="V211" si="320">SUM(V201:V210)</f>
        <v>17</v>
      </c>
      <c r="W211" s="13">
        <f t="shared" ref="W211" si="321">SUM(W201:W210)</f>
        <v>9</v>
      </c>
      <c r="X211" s="13">
        <f t="shared" ref="X211" si="322">SUM(X201:X210)</f>
        <v>17</v>
      </c>
      <c r="Y211" s="13">
        <f t="shared" ref="Y211" si="323">SUM(Y201:Y210)</f>
        <v>25</v>
      </c>
      <c r="Z211" s="13">
        <f t="shared" ref="Z211" si="324">SUM(Z201:Z210)</f>
        <v>6</v>
      </c>
      <c r="AA211" s="13">
        <f t="shared" ref="AA211" si="325">SUM(AA201:AA210)</f>
        <v>9</v>
      </c>
      <c r="AB211" s="13">
        <f t="shared" ref="AB211" si="326">SUM(AB201:AB210)</f>
        <v>390</v>
      </c>
      <c r="AC211" s="5"/>
      <c r="AD211" s="5"/>
    </row>
    <row r="212" spans="1:30" ht="12.75" customHeight="1" x14ac:dyDescent="0.3">
      <c r="A212" s="62"/>
      <c r="B212" s="61"/>
      <c r="C212" s="61"/>
      <c r="D212" s="61"/>
      <c r="E212" s="59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"/>
      <c r="AD212" s="5"/>
    </row>
    <row r="213" spans="1:30" ht="12.75" customHeight="1" x14ac:dyDescent="0.3">
      <c r="A213" s="20" t="s">
        <v>37</v>
      </c>
      <c r="B213" s="27" t="s">
        <v>163</v>
      </c>
      <c r="C213" s="58" t="s">
        <v>164</v>
      </c>
      <c r="D213" s="59"/>
      <c r="E213" s="16">
        <v>6</v>
      </c>
      <c r="F213" s="16">
        <v>4</v>
      </c>
      <c r="G213" s="16">
        <v>2</v>
      </c>
      <c r="H213" s="16">
        <v>1</v>
      </c>
      <c r="I213" s="16">
        <v>0</v>
      </c>
      <c r="J213" s="16">
        <v>4</v>
      </c>
      <c r="K213" s="16">
        <v>3</v>
      </c>
      <c r="L213" s="16">
        <v>3</v>
      </c>
      <c r="M213" s="16">
        <v>2</v>
      </c>
      <c r="N213" s="16">
        <v>3</v>
      </c>
      <c r="O213" s="16">
        <v>0</v>
      </c>
      <c r="P213" s="16">
        <v>1</v>
      </c>
      <c r="Q213" s="16">
        <v>0</v>
      </c>
      <c r="R213" s="16">
        <v>3</v>
      </c>
      <c r="S213" s="16">
        <v>0</v>
      </c>
      <c r="T213" s="16">
        <v>1</v>
      </c>
      <c r="U213" s="16">
        <v>4</v>
      </c>
      <c r="V213" s="16">
        <v>1</v>
      </c>
      <c r="W213" s="16">
        <v>2</v>
      </c>
      <c r="X213" s="16">
        <v>3</v>
      </c>
      <c r="Y213" s="16">
        <v>3</v>
      </c>
      <c r="Z213" s="16">
        <v>0</v>
      </c>
      <c r="AA213" s="16">
        <v>3</v>
      </c>
      <c r="AB213" s="13">
        <f>SUM(E213:AA213)</f>
        <v>49</v>
      </c>
      <c r="AC213" s="5"/>
      <c r="AD213" s="5"/>
    </row>
    <row r="214" spans="1:30" ht="12.75" customHeight="1" x14ac:dyDescent="0.3">
      <c r="A214" s="20" t="s">
        <v>39</v>
      </c>
      <c r="B214" s="34"/>
      <c r="C214" s="29" t="s">
        <v>165</v>
      </c>
      <c r="D214" s="35"/>
      <c r="E214" s="16">
        <v>1</v>
      </c>
      <c r="F214" s="16">
        <v>0</v>
      </c>
      <c r="G214" s="16">
        <v>2</v>
      </c>
      <c r="H214" s="16">
        <v>1</v>
      </c>
      <c r="I214" s="16">
        <v>0</v>
      </c>
      <c r="J214" s="16">
        <v>0</v>
      </c>
      <c r="K214" s="16">
        <v>1</v>
      </c>
      <c r="L214" s="16">
        <v>1</v>
      </c>
      <c r="M214" s="16">
        <v>0</v>
      </c>
      <c r="N214" s="16">
        <v>1</v>
      </c>
      <c r="O214" s="16">
        <v>2</v>
      </c>
      <c r="P214" s="16">
        <v>1</v>
      </c>
      <c r="Q214" s="16">
        <v>1</v>
      </c>
      <c r="R214" s="16">
        <v>0</v>
      </c>
      <c r="S214" s="16">
        <v>0</v>
      </c>
      <c r="T214" s="16">
        <v>3</v>
      </c>
      <c r="U214" s="16">
        <v>2</v>
      </c>
      <c r="V214" s="16">
        <v>0</v>
      </c>
      <c r="W214" s="16">
        <v>2</v>
      </c>
      <c r="X214" s="16">
        <v>0</v>
      </c>
      <c r="Y214" s="16">
        <v>1</v>
      </c>
      <c r="Z214" s="16">
        <v>2</v>
      </c>
      <c r="AA214" s="16">
        <v>5</v>
      </c>
      <c r="AB214" s="13">
        <f t="shared" ref="AB214:AB216" si="327">SUM(E214:AA214)</f>
        <v>26</v>
      </c>
      <c r="AC214" s="5"/>
      <c r="AD214" s="5"/>
    </row>
    <row r="215" spans="1:30" ht="12.75" customHeight="1" x14ac:dyDescent="0.3">
      <c r="A215" s="15"/>
      <c r="B215" s="34"/>
      <c r="C215" s="29" t="s">
        <v>166</v>
      </c>
      <c r="D215" s="35"/>
      <c r="E215" s="16">
        <v>3</v>
      </c>
      <c r="F215" s="16">
        <v>3</v>
      </c>
      <c r="G215" s="16">
        <v>2</v>
      </c>
      <c r="H215" s="16">
        <v>0</v>
      </c>
      <c r="I215" s="16">
        <v>0</v>
      </c>
      <c r="J215" s="16">
        <v>2</v>
      </c>
      <c r="K215" s="16">
        <v>1</v>
      </c>
      <c r="L215" s="16">
        <v>0</v>
      </c>
      <c r="M215" s="16">
        <v>2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4</v>
      </c>
      <c r="T215" s="16">
        <v>2</v>
      </c>
      <c r="U215" s="16">
        <v>0</v>
      </c>
      <c r="V215" s="16">
        <v>0</v>
      </c>
      <c r="W215" s="16">
        <v>0</v>
      </c>
      <c r="X215" s="16">
        <v>2</v>
      </c>
      <c r="Y215" s="16">
        <v>3</v>
      </c>
      <c r="Z215" s="16">
        <v>1</v>
      </c>
      <c r="AA215" s="16">
        <v>3</v>
      </c>
      <c r="AB215" s="13">
        <f t="shared" si="327"/>
        <v>28</v>
      </c>
      <c r="AC215" s="5"/>
      <c r="AD215" s="5"/>
    </row>
    <row r="216" spans="1:30" ht="12.75" customHeight="1" x14ac:dyDescent="0.3">
      <c r="A216" s="15"/>
      <c r="B216" s="34"/>
      <c r="C216" s="29" t="s">
        <v>167</v>
      </c>
      <c r="D216" s="45"/>
      <c r="E216" s="16">
        <v>0</v>
      </c>
      <c r="F216" s="16">
        <v>1</v>
      </c>
      <c r="G216" s="16">
        <v>0</v>
      </c>
      <c r="H216" s="16">
        <v>0</v>
      </c>
      <c r="I216" s="16">
        <v>2</v>
      </c>
      <c r="J216" s="16">
        <v>1</v>
      </c>
      <c r="K216" s="16">
        <v>0</v>
      </c>
      <c r="L216" s="16">
        <v>1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2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3</v>
      </c>
      <c r="Z216" s="16">
        <v>0</v>
      </c>
      <c r="AA216" s="16">
        <v>0</v>
      </c>
      <c r="AB216" s="13">
        <f t="shared" si="327"/>
        <v>10</v>
      </c>
      <c r="AC216" s="5"/>
      <c r="AD216" s="5"/>
    </row>
    <row r="217" spans="1:30" ht="12.75" customHeight="1" x14ac:dyDescent="0.3">
      <c r="A217" s="15"/>
      <c r="B217" s="37"/>
      <c r="C217" s="38"/>
      <c r="D217" s="4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56"/>
      <c r="AC217" s="5"/>
      <c r="AD217" s="5"/>
    </row>
    <row r="218" spans="1:30" ht="12.75" customHeight="1" x14ac:dyDescent="0.3">
      <c r="A218" s="15"/>
      <c r="B218" s="37"/>
      <c r="C218" s="38"/>
      <c r="D218" s="4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56"/>
      <c r="AC218" s="1"/>
      <c r="AD218" s="1"/>
    </row>
    <row r="219" spans="1:30" ht="12.75" customHeight="1" x14ac:dyDescent="0.3">
      <c r="A219" s="15"/>
      <c r="B219" s="37"/>
      <c r="C219" s="38"/>
      <c r="D219" s="4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56"/>
      <c r="AC219" s="31"/>
      <c r="AD219" s="31"/>
    </row>
    <row r="220" spans="1:30" ht="12.75" customHeight="1" x14ac:dyDescent="0.3">
      <c r="A220" s="15"/>
      <c r="B220" s="37"/>
      <c r="C220" s="38"/>
      <c r="D220" s="4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56"/>
      <c r="AC220" s="5"/>
      <c r="AD220" s="5"/>
    </row>
    <row r="221" spans="1:30" ht="12.75" customHeight="1" x14ac:dyDescent="0.3">
      <c r="A221" s="15"/>
      <c r="B221" s="37"/>
      <c r="C221" s="38"/>
      <c r="D221" s="4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56"/>
      <c r="AC221" s="5"/>
      <c r="AD221" s="5"/>
    </row>
    <row r="222" spans="1:30" ht="12.75" customHeight="1" x14ac:dyDescent="0.3">
      <c r="A222" s="15"/>
      <c r="B222" s="37"/>
      <c r="C222" s="38"/>
      <c r="D222" s="4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56"/>
      <c r="AC222" s="5"/>
      <c r="AD222" s="5"/>
    </row>
    <row r="223" spans="1:30" ht="12.75" customHeight="1" x14ac:dyDescent="0.3">
      <c r="A223" s="16" t="s">
        <v>15</v>
      </c>
      <c r="B223" s="60" t="s">
        <v>49</v>
      </c>
      <c r="C223" s="61"/>
      <c r="D223" s="59"/>
      <c r="E223" s="13">
        <f>SUM(E213:E222)</f>
        <v>10</v>
      </c>
      <c r="F223" s="13">
        <f t="shared" ref="F223" si="328">SUM(F213:F222)</f>
        <v>8</v>
      </c>
      <c r="G223" s="13">
        <f t="shared" ref="G223" si="329">SUM(G213:G222)</f>
        <v>6</v>
      </c>
      <c r="H223" s="13">
        <f t="shared" ref="H223" si="330">SUM(H213:H222)</f>
        <v>2</v>
      </c>
      <c r="I223" s="13">
        <f t="shared" ref="I223" si="331">SUM(I213:I222)</f>
        <v>2</v>
      </c>
      <c r="J223" s="13">
        <f t="shared" ref="J223" si="332">SUM(J213:J222)</f>
        <v>7</v>
      </c>
      <c r="K223" s="13">
        <f t="shared" ref="K223" si="333">SUM(K213:K222)</f>
        <v>5</v>
      </c>
      <c r="L223" s="13">
        <f t="shared" ref="L223" si="334">SUM(L213:L222)</f>
        <v>5</v>
      </c>
      <c r="M223" s="13">
        <f t="shared" ref="M223" si="335">SUM(M213:M222)</f>
        <v>4</v>
      </c>
      <c r="N223" s="13">
        <f t="shared" ref="N223" si="336">SUM(N213:N222)</f>
        <v>4</v>
      </c>
      <c r="O223" s="13">
        <f t="shared" ref="O223" si="337">SUM(O213:O222)</f>
        <v>2</v>
      </c>
      <c r="P223" s="13">
        <f t="shared" ref="P223" si="338">SUM(P213:P222)</f>
        <v>2</v>
      </c>
      <c r="Q223" s="13">
        <f t="shared" ref="Q223" si="339">SUM(Q213:Q222)</f>
        <v>1</v>
      </c>
      <c r="R223" s="13">
        <f t="shared" ref="R223" si="340">SUM(R213:R222)</f>
        <v>5</v>
      </c>
      <c r="S223" s="13">
        <f t="shared" ref="S223" si="341">SUM(S213:S222)</f>
        <v>4</v>
      </c>
      <c r="T223" s="13">
        <f t="shared" ref="T223" si="342">SUM(T213:T222)</f>
        <v>6</v>
      </c>
      <c r="U223" s="13">
        <f t="shared" ref="U223" si="343">SUM(U213:U222)</f>
        <v>6</v>
      </c>
      <c r="V223" s="13">
        <f t="shared" ref="V223" si="344">SUM(V213:V222)</f>
        <v>1</v>
      </c>
      <c r="W223" s="13">
        <f t="shared" ref="W223" si="345">SUM(W213:W222)</f>
        <v>4</v>
      </c>
      <c r="X223" s="13">
        <f t="shared" ref="X223" si="346">SUM(X213:X222)</f>
        <v>5</v>
      </c>
      <c r="Y223" s="13">
        <f t="shared" ref="Y223" si="347">SUM(Y213:Y222)</f>
        <v>10</v>
      </c>
      <c r="Z223" s="13">
        <f t="shared" ref="Z223" si="348">SUM(Z213:Z222)</f>
        <v>3</v>
      </c>
      <c r="AA223" s="13">
        <f t="shared" ref="AA223" si="349">SUM(AA213:AA222)</f>
        <v>11</v>
      </c>
      <c r="AB223" s="13">
        <f t="shared" ref="AB223" si="350">SUM(AB213:AB222)</f>
        <v>113</v>
      </c>
      <c r="AC223" s="5"/>
      <c r="AD223" s="5"/>
    </row>
    <row r="224" spans="1:30" ht="12.75" customHeight="1" x14ac:dyDescent="0.3">
      <c r="A224" s="62"/>
      <c r="B224" s="61"/>
      <c r="C224" s="61"/>
      <c r="D224" s="61"/>
      <c r="E224" s="59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"/>
      <c r="AD224" s="5"/>
    </row>
    <row r="225" spans="1:30" ht="12.75" customHeight="1" x14ac:dyDescent="0.3">
      <c r="A225" s="20" t="s">
        <v>37</v>
      </c>
      <c r="B225" s="27" t="s">
        <v>168</v>
      </c>
      <c r="C225" s="58" t="s">
        <v>169</v>
      </c>
      <c r="D225" s="59"/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1</v>
      </c>
      <c r="L225" s="16">
        <v>0</v>
      </c>
      <c r="M225" s="16">
        <v>0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3">
        <f>SUM(E225:AA225)</f>
        <v>1</v>
      </c>
      <c r="AC225" s="5"/>
      <c r="AD225" s="5"/>
    </row>
    <row r="226" spans="1:30" ht="12.75" customHeight="1" x14ac:dyDescent="0.3">
      <c r="A226" s="20" t="s">
        <v>39</v>
      </c>
      <c r="B226" s="34"/>
      <c r="C226" s="29" t="s">
        <v>170</v>
      </c>
      <c r="D226" s="36"/>
      <c r="E226" s="16">
        <v>0</v>
      </c>
      <c r="F226" s="16">
        <v>0</v>
      </c>
      <c r="G226" s="16">
        <v>1</v>
      </c>
      <c r="H226" s="16">
        <v>1</v>
      </c>
      <c r="I226" s="16">
        <v>0</v>
      </c>
      <c r="J226" s="16">
        <v>2</v>
      </c>
      <c r="K226" s="16">
        <v>2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1</v>
      </c>
      <c r="T226" s="16">
        <v>1</v>
      </c>
      <c r="U226" s="16">
        <v>0</v>
      </c>
      <c r="V226" s="16">
        <v>3</v>
      </c>
      <c r="W226" s="16">
        <v>2</v>
      </c>
      <c r="X226" s="16">
        <v>0</v>
      </c>
      <c r="Y226" s="16">
        <v>0</v>
      </c>
      <c r="Z226" s="16">
        <v>0</v>
      </c>
      <c r="AA226" s="16">
        <v>0</v>
      </c>
      <c r="AB226" s="13">
        <f t="shared" ref="AB226:AB229" si="351">SUM(E226:AA226)</f>
        <v>13</v>
      </c>
      <c r="AC226" s="5"/>
      <c r="AD226" s="5"/>
    </row>
    <row r="227" spans="1:30" ht="12.75" customHeight="1" x14ac:dyDescent="0.3">
      <c r="A227" s="15"/>
      <c r="B227" s="34"/>
      <c r="C227" s="29" t="s">
        <v>171</v>
      </c>
      <c r="D227" s="36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0</v>
      </c>
      <c r="M227" s="16">
        <v>0</v>
      </c>
      <c r="N227" s="16">
        <v>0</v>
      </c>
      <c r="O227" s="16">
        <v>0</v>
      </c>
      <c r="P227" s="16">
        <v>0</v>
      </c>
      <c r="Q227" s="16">
        <v>1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3">
        <f t="shared" si="351"/>
        <v>1</v>
      </c>
      <c r="AC227" s="5"/>
      <c r="AD227" s="5"/>
    </row>
    <row r="228" spans="1:30" ht="12.75" customHeight="1" x14ac:dyDescent="0.3">
      <c r="A228" s="15"/>
      <c r="B228" s="34"/>
      <c r="C228" s="29" t="s">
        <v>172</v>
      </c>
      <c r="D228" s="36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1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3">
        <f t="shared" si="351"/>
        <v>1</v>
      </c>
      <c r="AC228" s="5"/>
      <c r="AD228" s="5"/>
    </row>
    <row r="229" spans="1:30" ht="12.75" customHeight="1" x14ac:dyDescent="0.3">
      <c r="A229" s="15"/>
      <c r="B229" s="34"/>
      <c r="C229" s="29" t="s">
        <v>173</v>
      </c>
      <c r="D229" s="36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3">
        <f t="shared" si="351"/>
        <v>0</v>
      </c>
      <c r="AC229" s="1"/>
      <c r="AD229" s="1"/>
    </row>
    <row r="230" spans="1:30" ht="12.75" customHeight="1" x14ac:dyDescent="0.3">
      <c r="A230" s="15"/>
      <c r="B230" s="37"/>
      <c r="C230" s="38"/>
      <c r="D230" s="39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56"/>
      <c r="AC230" s="31"/>
      <c r="AD230" s="31"/>
    </row>
    <row r="231" spans="1:30" ht="12.75" customHeight="1" x14ac:dyDescent="0.3">
      <c r="A231" s="15"/>
      <c r="B231" s="37"/>
      <c r="C231" s="38"/>
      <c r="D231" s="39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56"/>
      <c r="AC231" s="5"/>
      <c r="AD231" s="5"/>
    </row>
    <row r="232" spans="1:30" ht="12.75" customHeight="1" x14ac:dyDescent="0.3">
      <c r="A232" s="15"/>
      <c r="B232" s="37"/>
      <c r="C232" s="38"/>
      <c r="D232" s="39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56"/>
      <c r="AC232" s="5"/>
      <c r="AD232" s="5"/>
    </row>
    <row r="233" spans="1:30" ht="12.75" customHeight="1" x14ac:dyDescent="0.3">
      <c r="A233" s="15"/>
      <c r="B233" s="37"/>
      <c r="C233" s="38"/>
      <c r="D233" s="39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56"/>
      <c r="AC233" s="5"/>
      <c r="AD233" s="5"/>
    </row>
    <row r="234" spans="1:30" ht="12.75" customHeight="1" x14ac:dyDescent="0.3">
      <c r="A234" s="15"/>
      <c r="B234" s="37"/>
      <c r="C234" s="38"/>
      <c r="D234" s="39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56"/>
      <c r="AC234" s="5"/>
      <c r="AD234" s="5"/>
    </row>
    <row r="235" spans="1:30" ht="12.75" customHeight="1" x14ac:dyDescent="0.3">
      <c r="A235" s="16" t="s">
        <v>15</v>
      </c>
      <c r="B235" s="60" t="s">
        <v>49</v>
      </c>
      <c r="C235" s="61"/>
      <c r="D235" s="59"/>
      <c r="E235" s="13">
        <f>SUM(E225:E234)</f>
        <v>0</v>
      </c>
      <c r="F235" s="13">
        <f t="shared" ref="F235" si="352">SUM(F225:F234)</f>
        <v>0</v>
      </c>
      <c r="G235" s="13">
        <f t="shared" ref="G235" si="353">SUM(G225:G234)</f>
        <v>1</v>
      </c>
      <c r="H235" s="13">
        <f t="shared" ref="H235" si="354">SUM(H225:H234)</f>
        <v>1</v>
      </c>
      <c r="I235" s="13">
        <f t="shared" ref="I235" si="355">SUM(I225:I234)</f>
        <v>0</v>
      </c>
      <c r="J235" s="13">
        <f t="shared" ref="J235" si="356">SUM(J225:J234)</f>
        <v>2</v>
      </c>
      <c r="K235" s="13">
        <f t="shared" ref="K235" si="357">SUM(K225:K234)</f>
        <v>4</v>
      </c>
      <c r="L235" s="13">
        <f t="shared" ref="L235" si="358">SUM(L225:L234)</f>
        <v>0</v>
      </c>
      <c r="M235" s="13">
        <f t="shared" ref="M235" si="359">SUM(M225:M234)</f>
        <v>0</v>
      </c>
      <c r="N235" s="13">
        <f t="shared" ref="N235" si="360">SUM(N225:N234)</f>
        <v>0</v>
      </c>
      <c r="O235" s="13">
        <f t="shared" ref="O235" si="361">SUM(O225:O234)</f>
        <v>0</v>
      </c>
      <c r="P235" s="13">
        <f t="shared" ref="P235" si="362">SUM(P225:P234)</f>
        <v>0</v>
      </c>
      <c r="Q235" s="13">
        <f t="shared" ref="Q235" si="363">SUM(Q225:Q234)</f>
        <v>1</v>
      </c>
      <c r="R235" s="13">
        <f t="shared" ref="R235" si="364">SUM(R225:R234)</f>
        <v>0</v>
      </c>
      <c r="S235" s="13">
        <f t="shared" ref="S235" si="365">SUM(S225:S234)</f>
        <v>1</v>
      </c>
      <c r="T235" s="13">
        <f t="shared" ref="T235" si="366">SUM(T225:T234)</f>
        <v>1</v>
      </c>
      <c r="U235" s="13">
        <f t="shared" ref="U235" si="367">SUM(U225:U234)</f>
        <v>0</v>
      </c>
      <c r="V235" s="13">
        <f t="shared" ref="V235" si="368">SUM(V225:V234)</f>
        <v>3</v>
      </c>
      <c r="W235" s="13">
        <f t="shared" ref="W235" si="369">SUM(W225:W234)</f>
        <v>2</v>
      </c>
      <c r="X235" s="13">
        <f t="shared" ref="X235" si="370">SUM(X225:X234)</f>
        <v>0</v>
      </c>
      <c r="Y235" s="13">
        <f t="shared" ref="Y235" si="371">SUM(Y225:Y234)</f>
        <v>0</v>
      </c>
      <c r="Z235" s="13">
        <f t="shared" ref="Z235" si="372">SUM(Z225:Z234)</f>
        <v>0</v>
      </c>
      <c r="AA235" s="13">
        <f t="shared" ref="AA235" si="373">SUM(AA225:AA234)</f>
        <v>0</v>
      </c>
      <c r="AB235" s="13">
        <f t="shared" ref="AB235" si="374">SUM(AB225:AB234)</f>
        <v>16</v>
      </c>
      <c r="AC235" s="5"/>
      <c r="AD235" s="5"/>
    </row>
    <row r="236" spans="1:30" ht="12.75" customHeight="1" x14ac:dyDescent="0.3">
      <c r="A236" s="62"/>
      <c r="B236" s="61"/>
      <c r="C236" s="61"/>
      <c r="D236" s="61"/>
      <c r="E236" s="59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"/>
      <c r="AD236" s="5"/>
    </row>
    <row r="237" spans="1:30" ht="12.75" customHeight="1" x14ac:dyDescent="0.3">
      <c r="A237" s="20" t="s">
        <v>37</v>
      </c>
      <c r="B237" s="27" t="s">
        <v>174</v>
      </c>
      <c r="C237" s="58" t="s">
        <v>175</v>
      </c>
      <c r="D237" s="59"/>
      <c r="E237" s="16">
        <v>0</v>
      </c>
      <c r="F237" s="16">
        <v>1</v>
      </c>
      <c r="G237" s="16">
        <v>2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1</v>
      </c>
      <c r="N237" s="16">
        <v>1</v>
      </c>
      <c r="O237" s="16">
        <v>1</v>
      </c>
      <c r="P237" s="16">
        <v>2</v>
      </c>
      <c r="Q237" s="16">
        <v>1</v>
      </c>
      <c r="R237" s="16">
        <v>2</v>
      </c>
      <c r="S237" s="16">
        <v>0</v>
      </c>
      <c r="T237" s="16">
        <v>0</v>
      </c>
      <c r="U237" s="16">
        <v>0</v>
      </c>
      <c r="V237" s="16">
        <v>1</v>
      </c>
      <c r="W237" s="16">
        <v>1</v>
      </c>
      <c r="X237" s="16">
        <v>0</v>
      </c>
      <c r="Y237" s="16">
        <v>1</v>
      </c>
      <c r="Z237" s="16">
        <v>0</v>
      </c>
      <c r="AA237" s="16">
        <v>0</v>
      </c>
      <c r="AB237" s="13">
        <f>SUM(E237:AA237)</f>
        <v>14</v>
      </c>
      <c r="AC237" s="5"/>
      <c r="AD237" s="5"/>
    </row>
    <row r="238" spans="1:30" ht="12.75" customHeight="1" x14ac:dyDescent="0.3">
      <c r="A238" s="20" t="s">
        <v>39</v>
      </c>
      <c r="B238" s="34"/>
      <c r="C238" s="29" t="s">
        <v>176</v>
      </c>
      <c r="D238" s="36"/>
      <c r="E238" s="16">
        <v>0</v>
      </c>
      <c r="F238" s="16">
        <v>1</v>
      </c>
      <c r="G238" s="16">
        <v>2</v>
      </c>
      <c r="H238" s="16">
        <v>0</v>
      </c>
      <c r="I238" s="16">
        <v>0</v>
      </c>
      <c r="J238" s="16">
        <v>0</v>
      </c>
      <c r="K238" s="16">
        <v>0</v>
      </c>
      <c r="L238" s="16">
        <v>4</v>
      </c>
      <c r="M238" s="16">
        <v>1</v>
      </c>
      <c r="N238" s="16">
        <v>1</v>
      </c>
      <c r="O238" s="16">
        <v>1</v>
      </c>
      <c r="P238" s="16">
        <v>1</v>
      </c>
      <c r="Q238" s="16">
        <v>0</v>
      </c>
      <c r="R238" s="16">
        <v>0</v>
      </c>
      <c r="S238" s="16">
        <v>0</v>
      </c>
      <c r="T238" s="16">
        <v>1</v>
      </c>
      <c r="U238" s="16">
        <v>0</v>
      </c>
      <c r="V238" s="16">
        <v>1</v>
      </c>
      <c r="W238" s="16">
        <v>3</v>
      </c>
      <c r="X238" s="16">
        <v>0</v>
      </c>
      <c r="Y238" s="16">
        <v>1</v>
      </c>
      <c r="Z238" s="16">
        <v>0</v>
      </c>
      <c r="AA238" s="16">
        <v>0</v>
      </c>
      <c r="AB238" s="13">
        <f t="shared" ref="AB238:AB246" si="375">SUM(E238:AA238)</f>
        <v>17</v>
      </c>
      <c r="AC238" s="5"/>
      <c r="AD238" s="5"/>
    </row>
    <row r="239" spans="1:30" ht="12.75" customHeight="1" x14ac:dyDescent="0.3">
      <c r="A239" s="15"/>
      <c r="B239" s="34"/>
      <c r="C239" s="29" t="s">
        <v>177</v>
      </c>
      <c r="D239" s="36"/>
      <c r="E239" s="16">
        <v>0</v>
      </c>
      <c r="F239" s="16">
        <v>0</v>
      </c>
      <c r="G239" s="16">
        <v>2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0</v>
      </c>
      <c r="N239" s="16">
        <v>0</v>
      </c>
      <c r="O239" s="16">
        <v>5</v>
      </c>
      <c r="P239" s="16">
        <v>3</v>
      </c>
      <c r="Q239" s="16">
        <v>1</v>
      </c>
      <c r="R239" s="16">
        <v>3</v>
      </c>
      <c r="S239" s="16">
        <v>0</v>
      </c>
      <c r="T239" s="16">
        <v>0</v>
      </c>
      <c r="U239" s="16">
        <v>0</v>
      </c>
      <c r="V239" s="16">
        <v>0</v>
      </c>
      <c r="W239" s="16">
        <v>0</v>
      </c>
      <c r="X239" s="16">
        <v>1</v>
      </c>
      <c r="Y239" s="16">
        <v>0</v>
      </c>
      <c r="Z239" s="16">
        <v>0</v>
      </c>
      <c r="AA239" s="16">
        <v>1</v>
      </c>
      <c r="AB239" s="13">
        <f t="shared" si="375"/>
        <v>16</v>
      </c>
      <c r="AC239" s="5"/>
      <c r="AD239" s="5"/>
    </row>
    <row r="240" spans="1:30" ht="12.75" customHeight="1" x14ac:dyDescent="0.3">
      <c r="A240" s="15"/>
      <c r="B240" s="34"/>
      <c r="C240" s="29" t="s">
        <v>178</v>
      </c>
      <c r="D240" s="36"/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1</v>
      </c>
      <c r="Z240" s="16">
        <v>0</v>
      </c>
      <c r="AA240" s="16">
        <v>0</v>
      </c>
      <c r="AB240" s="13">
        <f t="shared" si="375"/>
        <v>1</v>
      </c>
      <c r="AC240" s="1"/>
      <c r="AD240" s="1"/>
    </row>
    <row r="241" spans="1:28" ht="12.75" customHeight="1" x14ac:dyDescent="0.3">
      <c r="A241" s="15"/>
      <c r="B241" s="34"/>
      <c r="C241" s="29" t="s">
        <v>179</v>
      </c>
      <c r="D241" s="36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1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1</v>
      </c>
      <c r="Y241" s="16">
        <v>0</v>
      </c>
      <c r="Z241" s="16">
        <v>0</v>
      </c>
      <c r="AA241" s="16">
        <v>0</v>
      </c>
      <c r="AB241" s="13">
        <f t="shared" si="375"/>
        <v>2</v>
      </c>
    </row>
    <row r="242" spans="1:28" ht="12.75" customHeight="1" x14ac:dyDescent="0.3">
      <c r="A242" s="15"/>
      <c r="B242" s="34"/>
      <c r="C242" s="29" t="s">
        <v>180</v>
      </c>
      <c r="D242" s="36"/>
      <c r="E242" s="16">
        <v>0</v>
      </c>
      <c r="F242" s="16">
        <v>2</v>
      </c>
      <c r="G242" s="16">
        <v>1</v>
      </c>
      <c r="H242" s="16">
        <v>0</v>
      </c>
      <c r="I242" s="16">
        <v>2</v>
      </c>
      <c r="J242" s="16">
        <v>2</v>
      </c>
      <c r="K242" s="16">
        <v>0</v>
      </c>
      <c r="L242" s="16">
        <v>0</v>
      </c>
      <c r="M242" s="16">
        <v>1</v>
      </c>
      <c r="N242" s="16">
        <v>1</v>
      </c>
      <c r="O242" s="16">
        <v>0</v>
      </c>
      <c r="P242" s="16">
        <v>0</v>
      </c>
      <c r="Q242" s="16">
        <v>0</v>
      </c>
      <c r="R242" s="16">
        <v>0</v>
      </c>
      <c r="S242" s="16">
        <v>2</v>
      </c>
      <c r="T242" s="16">
        <v>0</v>
      </c>
      <c r="U242" s="16">
        <v>1</v>
      </c>
      <c r="V242" s="16">
        <v>0</v>
      </c>
      <c r="W242" s="16">
        <v>2</v>
      </c>
      <c r="X242" s="16">
        <v>0</v>
      </c>
      <c r="Y242" s="16">
        <v>1</v>
      </c>
      <c r="Z242" s="16">
        <v>0</v>
      </c>
      <c r="AA242" s="16">
        <v>0</v>
      </c>
      <c r="AB242" s="13">
        <f t="shared" si="375"/>
        <v>15</v>
      </c>
    </row>
    <row r="243" spans="1:28" ht="12.75" customHeight="1" x14ac:dyDescent="0.3">
      <c r="A243" s="15"/>
      <c r="B243" s="34"/>
      <c r="C243" s="29" t="s">
        <v>181</v>
      </c>
      <c r="D243" s="36"/>
      <c r="E243" s="16">
        <v>0</v>
      </c>
      <c r="F243" s="16">
        <v>0</v>
      </c>
      <c r="G243" s="16">
        <v>1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0</v>
      </c>
      <c r="T243" s="16">
        <v>0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3">
        <f t="shared" si="375"/>
        <v>1</v>
      </c>
    </row>
    <row r="244" spans="1:28" ht="12.75" customHeight="1" x14ac:dyDescent="0.3">
      <c r="A244" s="15"/>
      <c r="B244" s="34"/>
      <c r="C244" s="29" t="s">
        <v>182</v>
      </c>
      <c r="D244" s="36"/>
      <c r="E244" s="16">
        <v>0</v>
      </c>
      <c r="F244" s="16">
        <v>1</v>
      </c>
      <c r="G244" s="16">
        <v>0</v>
      </c>
      <c r="H244" s="16">
        <v>0</v>
      </c>
      <c r="I244" s="16">
        <v>0</v>
      </c>
      <c r="J244" s="16">
        <v>1</v>
      </c>
      <c r="K244" s="16">
        <v>0</v>
      </c>
      <c r="L244" s="16">
        <v>1</v>
      </c>
      <c r="M244" s="16">
        <v>0</v>
      </c>
      <c r="N244" s="16">
        <v>0</v>
      </c>
      <c r="O244" s="16">
        <v>1</v>
      </c>
      <c r="P244" s="16">
        <v>0</v>
      </c>
      <c r="Q244" s="16">
        <v>0</v>
      </c>
      <c r="R244" s="16">
        <v>1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1</v>
      </c>
      <c r="Y244" s="16">
        <v>0</v>
      </c>
      <c r="Z244" s="16">
        <v>0</v>
      </c>
      <c r="AA244" s="16">
        <v>0</v>
      </c>
      <c r="AB244" s="13">
        <f t="shared" si="375"/>
        <v>6</v>
      </c>
    </row>
    <row r="245" spans="1:28" ht="12.75" customHeight="1" x14ac:dyDescent="0.3">
      <c r="A245" s="15"/>
      <c r="B245" s="34"/>
      <c r="C245" s="29" t="s">
        <v>183</v>
      </c>
      <c r="D245" s="36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1</v>
      </c>
      <c r="O245" s="16">
        <v>0</v>
      </c>
      <c r="P245" s="16">
        <v>0</v>
      </c>
      <c r="Q245" s="16">
        <v>0</v>
      </c>
      <c r="R245" s="16">
        <v>0</v>
      </c>
      <c r="S245" s="16">
        <v>1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3">
        <f t="shared" si="375"/>
        <v>2</v>
      </c>
    </row>
    <row r="246" spans="1:28" ht="12.75" customHeight="1" x14ac:dyDescent="0.3">
      <c r="A246" s="15"/>
      <c r="B246" s="34"/>
      <c r="C246" s="29" t="s">
        <v>184</v>
      </c>
      <c r="D246" s="36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0</v>
      </c>
      <c r="AB246" s="13">
        <f t="shared" si="375"/>
        <v>0</v>
      </c>
    </row>
    <row r="247" spans="1:28" ht="12.75" customHeight="1" x14ac:dyDescent="0.3">
      <c r="A247" s="16" t="s">
        <v>15</v>
      </c>
      <c r="B247" s="60" t="s">
        <v>49</v>
      </c>
      <c r="C247" s="61"/>
      <c r="D247" s="59"/>
      <c r="E247" s="13">
        <f>SUM(E237:E246)</f>
        <v>0</v>
      </c>
      <c r="F247" s="13">
        <f t="shared" ref="F247" si="376">SUM(F237:F246)</f>
        <v>5</v>
      </c>
      <c r="G247" s="13">
        <f t="shared" ref="G247" si="377">SUM(G237:G246)</f>
        <v>8</v>
      </c>
      <c r="H247" s="13">
        <f t="shared" ref="H247" si="378">SUM(H237:H246)</f>
        <v>0</v>
      </c>
      <c r="I247" s="13">
        <f t="shared" ref="I247" si="379">SUM(I237:I246)</f>
        <v>2</v>
      </c>
      <c r="J247" s="13">
        <f t="shared" ref="J247" si="380">SUM(J237:J246)</f>
        <v>3</v>
      </c>
      <c r="K247" s="13">
        <f t="shared" ref="K247" si="381">SUM(K237:K246)</f>
        <v>0</v>
      </c>
      <c r="L247" s="13">
        <f t="shared" ref="L247" si="382">SUM(L237:L246)</f>
        <v>5</v>
      </c>
      <c r="M247" s="13">
        <f t="shared" ref="M247" si="383">SUM(M237:M246)</f>
        <v>3</v>
      </c>
      <c r="N247" s="13">
        <f t="shared" ref="N247" si="384">SUM(N237:N246)</f>
        <v>4</v>
      </c>
      <c r="O247" s="13">
        <f t="shared" ref="O247" si="385">SUM(O237:O246)</f>
        <v>8</v>
      </c>
      <c r="P247" s="13">
        <f t="shared" ref="P247" si="386">SUM(P237:P246)</f>
        <v>7</v>
      </c>
      <c r="Q247" s="13">
        <f t="shared" ref="Q247" si="387">SUM(Q237:Q246)</f>
        <v>2</v>
      </c>
      <c r="R247" s="13">
        <f t="shared" ref="R247" si="388">SUM(R237:R246)</f>
        <v>6</v>
      </c>
      <c r="S247" s="13">
        <f t="shared" ref="S247" si="389">SUM(S237:S246)</f>
        <v>3</v>
      </c>
      <c r="T247" s="13">
        <f t="shared" ref="T247" si="390">SUM(T237:T246)</f>
        <v>1</v>
      </c>
      <c r="U247" s="13">
        <f t="shared" ref="U247" si="391">SUM(U237:U246)</f>
        <v>1</v>
      </c>
      <c r="V247" s="13">
        <f t="shared" ref="V247" si="392">SUM(V237:V246)</f>
        <v>2</v>
      </c>
      <c r="W247" s="13">
        <f t="shared" ref="W247" si="393">SUM(W237:W246)</f>
        <v>6</v>
      </c>
      <c r="X247" s="13">
        <f t="shared" ref="X247" si="394">SUM(X237:X246)</f>
        <v>3</v>
      </c>
      <c r="Y247" s="13">
        <f t="shared" ref="Y247" si="395">SUM(Y237:Y246)</f>
        <v>4</v>
      </c>
      <c r="Z247" s="13">
        <f t="shared" ref="Z247" si="396">SUM(Z237:Z246)</f>
        <v>0</v>
      </c>
      <c r="AA247" s="13">
        <f t="shared" ref="AA247" si="397">SUM(AA237:AA246)</f>
        <v>1</v>
      </c>
      <c r="AB247" s="13">
        <f t="shared" ref="AB247" si="398">SUM(AB237:AB246)</f>
        <v>74</v>
      </c>
    </row>
    <row r="248" spans="1:28" ht="12.75" customHeight="1" x14ac:dyDescent="0.3">
      <c r="A248" s="62"/>
      <c r="B248" s="61"/>
      <c r="C248" s="61"/>
      <c r="D248" s="61"/>
      <c r="E248" s="59"/>
    </row>
    <row r="249" spans="1:28" ht="12.75" customHeight="1" x14ac:dyDescent="0.3">
      <c r="A249" s="20" t="s">
        <v>37</v>
      </c>
      <c r="B249" s="27" t="s">
        <v>185</v>
      </c>
      <c r="C249" s="58" t="s">
        <v>186</v>
      </c>
      <c r="D249" s="59"/>
      <c r="E249" s="16">
        <v>1</v>
      </c>
      <c r="F249" s="16">
        <v>0</v>
      </c>
      <c r="G249" s="16">
        <v>0</v>
      </c>
      <c r="H249" s="16">
        <v>0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0</v>
      </c>
      <c r="S249" s="16">
        <v>1</v>
      </c>
      <c r="T249" s="16">
        <v>1</v>
      </c>
      <c r="U249" s="16">
        <v>0</v>
      </c>
      <c r="V249" s="16">
        <v>1</v>
      </c>
      <c r="W249" s="16">
        <v>0</v>
      </c>
      <c r="X249" s="16">
        <v>0</v>
      </c>
      <c r="Y249" s="16">
        <v>0</v>
      </c>
      <c r="Z249" s="16">
        <v>1</v>
      </c>
      <c r="AA249" s="16">
        <v>0</v>
      </c>
      <c r="AB249" s="13">
        <f>SUM(E249:AA249)</f>
        <v>5</v>
      </c>
    </row>
    <row r="250" spans="1:28" ht="12.75" customHeight="1" x14ac:dyDescent="0.3">
      <c r="A250" s="20" t="s">
        <v>39</v>
      </c>
      <c r="B250" s="34"/>
      <c r="C250" s="29" t="s">
        <v>187</v>
      </c>
      <c r="D250" s="36"/>
      <c r="E250" s="16">
        <v>0</v>
      </c>
      <c r="F250" s="16">
        <v>3</v>
      </c>
      <c r="G250" s="16">
        <v>1</v>
      </c>
      <c r="H250" s="16">
        <v>0</v>
      </c>
      <c r="I250" s="16">
        <v>1</v>
      </c>
      <c r="J250" s="16">
        <v>0</v>
      </c>
      <c r="K250" s="16">
        <v>1</v>
      </c>
      <c r="L250" s="16">
        <v>2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2</v>
      </c>
      <c r="U250" s="16">
        <v>0</v>
      </c>
      <c r="V250" s="16">
        <v>1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3">
        <f t="shared" ref="AB250:AB252" si="399">SUM(E250:AA250)</f>
        <v>11</v>
      </c>
    </row>
    <row r="251" spans="1:28" ht="12.75" customHeight="1" x14ac:dyDescent="0.3">
      <c r="A251" s="15"/>
      <c r="B251" s="34"/>
      <c r="C251" s="29" t="s">
        <v>188</v>
      </c>
      <c r="D251" s="36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1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3">
        <f t="shared" si="399"/>
        <v>1</v>
      </c>
    </row>
    <row r="252" spans="1:28" ht="12.75" customHeight="1" x14ac:dyDescent="0.3">
      <c r="A252" s="15"/>
      <c r="B252" s="34"/>
      <c r="C252" s="29" t="s">
        <v>189</v>
      </c>
      <c r="D252" s="36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3">
        <f t="shared" si="399"/>
        <v>0</v>
      </c>
    </row>
    <row r="253" spans="1:28" ht="12.75" customHeight="1" x14ac:dyDescent="0.3">
      <c r="A253" s="15"/>
      <c r="B253" s="37"/>
      <c r="C253" s="44"/>
      <c r="D253" s="39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56"/>
    </row>
    <row r="254" spans="1:28" ht="12.75" customHeight="1" x14ac:dyDescent="0.3">
      <c r="A254" s="15"/>
      <c r="B254" s="37"/>
      <c r="C254" s="44"/>
      <c r="D254" s="39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56"/>
    </row>
    <row r="255" spans="1:28" ht="12.75" customHeight="1" x14ac:dyDescent="0.3">
      <c r="A255" s="15"/>
      <c r="B255" s="37"/>
      <c r="C255" s="44"/>
      <c r="D255" s="39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56"/>
    </row>
    <row r="256" spans="1:28" ht="12.75" customHeight="1" x14ac:dyDescent="0.3">
      <c r="A256" s="15"/>
      <c r="B256" s="37"/>
      <c r="C256" s="44"/>
      <c r="D256" s="39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56"/>
    </row>
    <row r="257" spans="1:28" ht="12.75" customHeight="1" x14ac:dyDescent="0.3">
      <c r="A257" s="15"/>
      <c r="B257" s="37"/>
      <c r="C257" s="44"/>
      <c r="D257" s="39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56"/>
    </row>
    <row r="258" spans="1:28" ht="12.75" customHeight="1" x14ac:dyDescent="0.3">
      <c r="A258" s="15"/>
      <c r="B258" s="37"/>
      <c r="C258" s="44"/>
      <c r="D258" s="3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56"/>
    </row>
    <row r="259" spans="1:28" ht="12.75" customHeight="1" x14ac:dyDescent="0.3">
      <c r="A259" s="16" t="s">
        <v>15</v>
      </c>
      <c r="B259" s="60" t="s">
        <v>49</v>
      </c>
      <c r="C259" s="61"/>
      <c r="D259" s="59"/>
      <c r="E259" s="13">
        <f>SUM(E249:E258)</f>
        <v>1</v>
      </c>
      <c r="F259" s="13">
        <f t="shared" ref="F259" si="400">SUM(F249:F258)</f>
        <v>3</v>
      </c>
      <c r="G259" s="13">
        <f t="shared" ref="G259" si="401">SUM(G249:G258)</f>
        <v>1</v>
      </c>
      <c r="H259" s="13">
        <f t="shared" ref="H259" si="402">SUM(H249:H258)</f>
        <v>0</v>
      </c>
      <c r="I259" s="13">
        <f t="shared" ref="I259" si="403">SUM(I249:I258)</f>
        <v>1</v>
      </c>
      <c r="J259" s="13">
        <f t="shared" ref="J259" si="404">SUM(J249:J258)</f>
        <v>0</v>
      </c>
      <c r="K259" s="13">
        <f t="shared" ref="K259" si="405">SUM(K249:K258)</f>
        <v>1</v>
      </c>
      <c r="L259" s="13">
        <f t="shared" ref="L259" si="406">SUM(L249:L258)</f>
        <v>2</v>
      </c>
      <c r="M259" s="13">
        <f t="shared" ref="M259" si="407">SUM(M249:M258)</f>
        <v>0</v>
      </c>
      <c r="N259" s="13">
        <f t="shared" ref="N259" si="408">SUM(N249:N258)</f>
        <v>0</v>
      </c>
      <c r="O259" s="13">
        <f t="shared" ref="O259" si="409">SUM(O249:O258)</f>
        <v>0</v>
      </c>
      <c r="P259" s="13">
        <f t="shared" ref="P259" si="410">SUM(P249:P258)</f>
        <v>1</v>
      </c>
      <c r="Q259" s="13">
        <f t="shared" ref="Q259" si="411">SUM(Q249:Q258)</f>
        <v>0</v>
      </c>
      <c r="R259" s="13">
        <f t="shared" ref="R259" si="412">SUM(R249:R258)</f>
        <v>0</v>
      </c>
      <c r="S259" s="13">
        <f t="shared" ref="S259" si="413">SUM(S249:S258)</f>
        <v>1</v>
      </c>
      <c r="T259" s="13">
        <f t="shared" ref="T259" si="414">SUM(T249:T258)</f>
        <v>3</v>
      </c>
      <c r="U259" s="13">
        <f t="shared" ref="U259" si="415">SUM(U249:U258)</f>
        <v>0</v>
      </c>
      <c r="V259" s="13">
        <f t="shared" ref="V259" si="416">SUM(V249:V258)</f>
        <v>2</v>
      </c>
      <c r="W259" s="13">
        <f t="shared" ref="W259" si="417">SUM(W249:W258)</f>
        <v>0</v>
      </c>
      <c r="X259" s="13">
        <f t="shared" ref="X259" si="418">SUM(X249:X258)</f>
        <v>0</v>
      </c>
      <c r="Y259" s="13">
        <f t="shared" ref="Y259" si="419">SUM(Y249:Y258)</f>
        <v>0</v>
      </c>
      <c r="Z259" s="13">
        <f t="shared" ref="Z259" si="420">SUM(Z249:Z258)</f>
        <v>1</v>
      </c>
      <c r="AA259" s="13">
        <f t="shared" ref="AA259" si="421">SUM(AA249:AA258)</f>
        <v>0</v>
      </c>
      <c r="AB259" s="13">
        <f t="shared" ref="AB259" si="422">SUM(AB249:AB258)</f>
        <v>17</v>
      </c>
    </row>
    <row r="260" spans="1:28" ht="12.75" customHeight="1" x14ac:dyDescent="0.3"/>
    <row r="261" spans="1:28" ht="12.75" customHeight="1" x14ac:dyDescent="0.3">
      <c r="A261" s="26" t="s">
        <v>190</v>
      </c>
      <c r="B261" s="65" t="s">
        <v>191</v>
      </c>
      <c r="C261" s="61"/>
      <c r="D261" s="59"/>
      <c r="E261" s="13"/>
      <c r="F261" s="13"/>
      <c r="G261" s="13"/>
      <c r="H261" s="13"/>
      <c r="I261" s="13"/>
      <c r="J261" s="13"/>
      <c r="K261" s="13"/>
      <c r="L261" s="13"/>
      <c r="M261" s="13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13"/>
    </row>
    <row r="262" spans="1:28" ht="12.75" customHeight="1" x14ac:dyDescent="0.3">
      <c r="A262" s="26"/>
      <c r="B262" s="47" t="s">
        <v>192</v>
      </c>
      <c r="C262" s="83" t="s">
        <v>193</v>
      </c>
      <c r="D262" s="59"/>
      <c r="E262" s="16">
        <f t="shared" ref="E262:AA262" si="423">E55+E67+E79+E91+E103+E115+E127+E139+E151+E163+E175+E187+E199+E211+E223+E235+E247+E259</f>
        <v>189</v>
      </c>
      <c r="F262" s="16">
        <f t="shared" si="423"/>
        <v>189</v>
      </c>
      <c r="G262" s="16">
        <f t="shared" si="423"/>
        <v>194</v>
      </c>
      <c r="H262" s="16">
        <f t="shared" si="423"/>
        <v>161</v>
      </c>
      <c r="I262" s="16">
        <f t="shared" si="423"/>
        <v>132</v>
      </c>
      <c r="J262" s="16">
        <f t="shared" si="423"/>
        <v>182</v>
      </c>
      <c r="K262" s="16">
        <f t="shared" si="423"/>
        <v>180</v>
      </c>
      <c r="L262" s="16">
        <f t="shared" si="423"/>
        <v>140</v>
      </c>
      <c r="M262" s="16">
        <f t="shared" si="423"/>
        <v>157</v>
      </c>
      <c r="N262" s="16">
        <f t="shared" si="423"/>
        <v>192</v>
      </c>
      <c r="O262" s="16">
        <f t="shared" si="423"/>
        <v>121</v>
      </c>
      <c r="P262" s="16">
        <f t="shared" si="423"/>
        <v>181</v>
      </c>
      <c r="Q262" s="16">
        <f t="shared" si="423"/>
        <v>194</v>
      </c>
      <c r="R262" s="16">
        <f t="shared" si="423"/>
        <v>201</v>
      </c>
      <c r="S262" s="16">
        <f t="shared" si="423"/>
        <v>192</v>
      </c>
      <c r="T262" s="16">
        <f t="shared" si="423"/>
        <v>200</v>
      </c>
      <c r="U262" s="16">
        <f t="shared" si="423"/>
        <v>209</v>
      </c>
      <c r="V262" s="16">
        <f t="shared" si="423"/>
        <v>232</v>
      </c>
      <c r="W262" s="16">
        <f t="shared" si="423"/>
        <v>201</v>
      </c>
      <c r="X262" s="16">
        <f t="shared" si="423"/>
        <v>196</v>
      </c>
      <c r="Y262" s="16">
        <f t="shared" si="423"/>
        <v>221</v>
      </c>
      <c r="Z262" s="16">
        <f t="shared" si="423"/>
        <v>219</v>
      </c>
      <c r="AA262" s="16">
        <f t="shared" si="423"/>
        <v>180</v>
      </c>
      <c r="AB262" s="13">
        <f t="shared" ref="AB262:AB264" si="424">SUM(E262:AA262)</f>
        <v>4263</v>
      </c>
    </row>
    <row r="263" spans="1:28" ht="12.75" customHeight="1" x14ac:dyDescent="0.3">
      <c r="A263" s="22"/>
      <c r="B263" s="47" t="s">
        <v>194</v>
      </c>
      <c r="C263" s="83" t="s">
        <v>195</v>
      </c>
      <c r="D263" s="59"/>
      <c r="E263" s="16">
        <v>23</v>
      </c>
      <c r="F263" s="16">
        <v>48</v>
      </c>
      <c r="G263" s="16">
        <v>43</v>
      </c>
      <c r="H263" s="16">
        <v>14</v>
      </c>
      <c r="I263" s="16">
        <v>25</v>
      </c>
      <c r="J263" s="16">
        <v>30</v>
      </c>
      <c r="K263" s="16">
        <v>25</v>
      </c>
      <c r="L263" s="16">
        <v>31</v>
      </c>
      <c r="M263" s="16">
        <v>9</v>
      </c>
      <c r="N263" s="16">
        <v>27</v>
      </c>
      <c r="O263" s="16">
        <v>135</v>
      </c>
      <c r="P263" s="16">
        <v>33</v>
      </c>
      <c r="Q263" s="16">
        <v>19</v>
      </c>
      <c r="R263" s="16">
        <v>17</v>
      </c>
      <c r="S263" s="16">
        <v>16</v>
      </c>
      <c r="T263" s="16">
        <v>21</v>
      </c>
      <c r="U263" s="16">
        <v>24</v>
      </c>
      <c r="V263" s="16">
        <v>10</v>
      </c>
      <c r="W263" s="16">
        <v>25</v>
      </c>
      <c r="X263" s="16">
        <v>34</v>
      </c>
      <c r="Y263" s="16">
        <v>23</v>
      </c>
      <c r="Z263" s="16">
        <v>26</v>
      </c>
      <c r="AA263" s="16">
        <v>37</v>
      </c>
      <c r="AB263" s="13">
        <f t="shared" si="424"/>
        <v>695</v>
      </c>
    </row>
    <row r="264" spans="1:28" ht="12.75" customHeight="1" x14ac:dyDescent="0.3">
      <c r="A264" s="25"/>
      <c r="B264" s="47" t="s">
        <v>196</v>
      </c>
      <c r="C264" s="83" t="s">
        <v>197</v>
      </c>
      <c r="D264" s="59"/>
      <c r="E264" s="13">
        <f t="shared" ref="E264:AA264" si="425">SUM(E262:E263)</f>
        <v>212</v>
      </c>
      <c r="F264" s="13">
        <f t="shared" si="425"/>
        <v>237</v>
      </c>
      <c r="G264" s="13">
        <f t="shared" si="425"/>
        <v>237</v>
      </c>
      <c r="H264" s="13">
        <f t="shared" si="425"/>
        <v>175</v>
      </c>
      <c r="I264" s="13">
        <f t="shared" si="425"/>
        <v>157</v>
      </c>
      <c r="J264" s="13">
        <f t="shared" si="425"/>
        <v>212</v>
      </c>
      <c r="K264" s="13">
        <f t="shared" si="425"/>
        <v>205</v>
      </c>
      <c r="L264" s="13">
        <f t="shared" si="425"/>
        <v>171</v>
      </c>
      <c r="M264" s="13">
        <f t="shared" si="425"/>
        <v>166</v>
      </c>
      <c r="N264" s="13">
        <f t="shared" si="425"/>
        <v>219</v>
      </c>
      <c r="O264" s="13">
        <f t="shared" si="425"/>
        <v>256</v>
      </c>
      <c r="P264" s="13">
        <f t="shared" si="425"/>
        <v>214</v>
      </c>
      <c r="Q264" s="13">
        <f t="shared" si="425"/>
        <v>213</v>
      </c>
      <c r="R264" s="13">
        <f t="shared" si="425"/>
        <v>218</v>
      </c>
      <c r="S264" s="13">
        <f t="shared" si="425"/>
        <v>208</v>
      </c>
      <c r="T264" s="13">
        <f t="shared" si="425"/>
        <v>221</v>
      </c>
      <c r="U264" s="13">
        <f t="shared" si="425"/>
        <v>233</v>
      </c>
      <c r="V264" s="13">
        <f t="shared" si="425"/>
        <v>242</v>
      </c>
      <c r="W264" s="13">
        <f t="shared" si="425"/>
        <v>226</v>
      </c>
      <c r="X264" s="13">
        <f t="shared" si="425"/>
        <v>230</v>
      </c>
      <c r="Y264" s="13">
        <f t="shared" si="425"/>
        <v>244</v>
      </c>
      <c r="Z264" s="13">
        <f t="shared" si="425"/>
        <v>245</v>
      </c>
      <c r="AA264" s="13">
        <f t="shared" si="425"/>
        <v>217</v>
      </c>
      <c r="AB264" s="13">
        <f t="shared" si="424"/>
        <v>4958</v>
      </c>
    </row>
    <row r="265" spans="1:28" ht="12.75" customHeight="1" x14ac:dyDescent="0.3"/>
    <row r="266" spans="1:28" ht="12.75" customHeight="1" x14ac:dyDescent="0.3"/>
    <row r="267" spans="1:28" ht="12.75" customHeight="1" x14ac:dyDescent="0.3"/>
    <row r="268" spans="1:28" ht="12.75" customHeight="1" x14ac:dyDescent="0.3"/>
    <row r="269" spans="1:28" ht="12.75" customHeight="1" x14ac:dyDescent="0.3"/>
    <row r="270" spans="1:28" ht="12.75" customHeight="1" x14ac:dyDescent="0.3"/>
    <row r="271" spans="1:28" ht="12.75" customHeight="1" x14ac:dyDescent="0.3"/>
    <row r="272" spans="1:28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B151:D151"/>
    <mergeCell ref="B103:D103"/>
    <mergeCell ref="A104:E104"/>
    <mergeCell ref="C105:D105"/>
    <mergeCell ref="B115:D115"/>
    <mergeCell ref="A116:E116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E42:I42"/>
    <mergeCell ref="B43:D43"/>
    <mergeCell ref="B25:B27"/>
    <mergeCell ref="C25:C27"/>
    <mergeCell ref="B28:B30"/>
    <mergeCell ref="A37:D37"/>
    <mergeCell ref="E37:I37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  <mergeCell ref="C117:D117"/>
    <mergeCell ref="B127:D127"/>
    <mergeCell ref="A128:E128"/>
    <mergeCell ref="C129:D129"/>
    <mergeCell ref="A80:E80"/>
    <mergeCell ref="C81:D81"/>
    <mergeCell ref="B91:D91"/>
    <mergeCell ref="A92:E92"/>
    <mergeCell ref="C93:D93"/>
  </mergeCells>
  <conditionalFormatting sqref="E34:T34">
    <cfRule type="expression" dxfId="57" priority="1">
      <formula>E34&lt;&gt;E64</formula>
    </cfRule>
  </conditionalFormatting>
  <conditionalFormatting sqref="E14:AA15">
    <cfRule type="containsBlanks" dxfId="56" priority="2">
      <formula>LEN(TRIM(E14))=0</formula>
    </cfRule>
  </conditionalFormatting>
  <conditionalFormatting sqref="E19:AA20">
    <cfRule type="containsBlanks" dxfId="55" priority="3">
      <formula>LEN(TRIM(E19))=0</formula>
    </cfRule>
  </conditionalFormatting>
  <conditionalFormatting sqref="E22:AA23 E25:AA26 E33:AA33 E35:AA35 E39:AA40">
    <cfRule type="containsBlanks" dxfId="54" priority="4">
      <formula>LEN(TRIM(E22))=0</formula>
    </cfRule>
  </conditionalFormatting>
  <conditionalFormatting sqref="E30:AA30">
    <cfRule type="expression" dxfId="53" priority="5">
      <formula>E30&lt;&gt;E47</formula>
    </cfRule>
    <cfRule type="expression" dxfId="52" priority="6">
      <formula>E30&lt;&gt;E34</formula>
    </cfRule>
  </conditionalFormatting>
  <conditionalFormatting sqref="E34:AA34">
    <cfRule type="expression" dxfId="51" priority="7">
      <formula>E30&lt;&gt;E34</formula>
    </cfRule>
    <cfRule type="expression" dxfId="50" priority="8">
      <formula>E30=E34</formula>
    </cfRule>
    <cfRule type="expression" dxfId="49" priority="9">
      <formula>E34&lt;&gt;E30</formula>
    </cfRule>
  </conditionalFormatting>
  <conditionalFormatting sqref="E45:AA54">
    <cfRule type="containsBlanks" dxfId="48" priority="10">
      <formula>LEN(TRIM(E45))=0</formula>
    </cfRule>
  </conditionalFormatting>
  <conditionalFormatting sqref="E57:AA66">
    <cfRule type="containsBlanks" dxfId="47" priority="11">
      <formula>LEN(TRIM(E57))=0</formula>
    </cfRule>
  </conditionalFormatting>
  <conditionalFormatting sqref="E69:AA78">
    <cfRule type="containsBlanks" dxfId="46" priority="12">
      <formula>LEN(TRIM(E69))=0</formula>
    </cfRule>
  </conditionalFormatting>
  <conditionalFormatting sqref="E81:AA90">
    <cfRule type="containsBlanks" dxfId="45" priority="13">
      <formula>LEN(TRIM(E81))=0</formula>
    </cfRule>
  </conditionalFormatting>
  <conditionalFormatting sqref="E93:AA102">
    <cfRule type="containsBlanks" dxfId="44" priority="14">
      <formula>LEN(TRIM(E93))=0</formula>
    </cfRule>
  </conditionalFormatting>
  <conditionalFormatting sqref="E105:AA114">
    <cfRule type="containsBlanks" dxfId="43" priority="15">
      <formula>LEN(TRIM(E105))=0</formula>
    </cfRule>
  </conditionalFormatting>
  <conditionalFormatting sqref="E117:AA126">
    <cfRule type="containsBlanks" dxfId="42" priority="16">
      <formula>LEN(TRIM(E117))=0</formula>
    </cfRule>
  </conditionalFormatting>
  <conditionalFormatting sqref="E129:AA138">
    <cfRule type="containsBlanks" dxfId="41" priority="17">
      <formula>LEN(TRIM(E129))=0</formula>
    </cfRule>
  </conditionalFormatting>
  <conditionalFormatting sqref="E141:AA150">
    <cfRule type="containsBlanks" dxfId="40" priority="18">
      <formula>LEN(TRIM(E141))=0</formula>
    </cfRule>
  </conditionalFormatting>
  <conditionalFormatting sqref="E153:AA162">
    <cfRule type="containsBlanks" dxfId="39" priority="19">
      <formula>LEN(TRIM(E153))=0</formula>
    </cfRule>
  </conditionalFormatting>
  <conditionalFormatting sqref="E165:AA174">
    <cfRule type="containsBlanks" dxfId="38" priority="20">
      <formula>LEN(TRIM(E165))=0</formula>
    </cfRule>
  </conditionalFormatting>
  <conditionalFormatting sqref="E177:AA186">
    <cfRule type="containsBlanks" dxfId="37" priority="21">
      <formula>LEN(TRIM(E177))=0</formula>
    </cfRule>
  </conditionalFormatting>
  <conditionalFormatting sqref="E189:AA198">
    <cfRule type="containsBlanks" dxfId="36" priority="22">
      <formula>LEN(TRIM(E189))=0</formula>
    </cfRule>
  </conditionalFormatting>
  <conditionalFormatting sqref="E201:AA210">
    <cfRule type="containsBlanks" dxfId="35" priority="23">
      <formula>LEN(TRIM(E201))=0</formula>
    </cfRule>
  </conditionalFormatting>
  <conditionalFormatting sqref="E213:AA222">
    <cfRule type="containsBlanks" dxfId="34" priority="24">
      <formula>LEN(TRIM(E213))=0</formula>
    </cfRule>
  </conditionalFormatting>
  <conditionalFormatting sqref="E225:AA234">
    <cfRule type="containsBlanks" dxfId="33" priority="25">
      <formula>LEN(TRIM(E225))=0</formula>
    </cfRule>
  </conditionalFormatting>
  <conditionalFormatting sqref="E237:AA246">
    <cfRule type="containsBlanks" dxfId="32" priority="26">
      <formula>LEN(TRIM(E237))=0</formula>
    </cfRule>
  </conditionalFormatting>
  <conditionalFormatting sqref="E249:AA258">
    <cfRule type="containsBlanks" dxfId="31" priority="27">
      <formula>LEN(TRIM(E249))=0</formula>
    </cfRule>
  </conditionalFormatting>
  <conditionalFormatting sqref="E262:AA263">
    <cfRule type="containsBlanks" dxfId="30" priority="28">
      <formula>LEN(TRIM(E262))=0</formula>
    </cfRule>
  </conditionalFormatting>
  <conditionalFormatting sqref="U34:AA34">
    <cfRule type="expression" dxfId="29" priority="29">
      <formula>U34&lt;&gt;U47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W1000"/>
  <sheetViews>
    <sheetView topLeftCell="AB253" workbookViewId="0">
      <selection activeCell="AU263" sqref="AU263"/>
    </sheetView>
  </sheetViews>
  <sheetFormatPr defaultColWidth="14.3984375" defaultRowHeight="15" customHeight="1" x14ac:dyDescent="0.3"/>
  <cols>
    <col min="1" max="2" width="8.69921875" customWidth="1"/>
    <col min="3" max="3" width="67.09765625" customWidth="1"/>
    <col min="4" max="4" width="5.8984375" customWidth="1"/>
    <col min="5" max="46" width="8.69921875" customWidth="1"/>
    <col min="47" max="47" width="13.296875" customWidth="1"/>
    <col min="48" max="49" width="8.69921875" customWidth="1"/>
  </cols>
  <sheetData>
    <row r="1" spans="1:47" ht="12.75" customHeight="1" x14ac:dyDescent="0.3"/>
    <row r="2" spans="1:47" ht="12.75" customHeight="1" x14ac:dyDescent="0.3">
      <c r="C2" s="8" t="s">
        <v>0</v>
      </c>
      <c r="D2" s="8" t="s">
        <v>1</v>
      </c>
    </row>
    <row r="3" spans="1:47" ht="12.75" customHeight="1" x14ac:dyDescent="0.3">
      <c r="C3" s="8" t="s">
        <v>2</v>
      </c>
      <c r="D3" s="8" t="s">
        <v>3</v>
      </c>
    </row>
    <row r="4" spans="1:47" ht="12.75" customHeight="1" x14ac:dyDescent="0.3">
      <c r="C4" s="8" t="s">
        <v>4</v>
      </c>
      <c r="D4" s="8" t="s">
        <v>5</v>
      </c>
    </row>
    <row r="5" spans="1:47" ht="12.75" customHeight="1" x14ac:dyDescent="0.3">
      <c r="C5" s="8"/>
      <c r="D5" s="8"/>
    </row>
    <row r="6" spans="1:47" ht="12.75" customHeight="1" x14ac:dyDescent="0.3">
      <c r="C6" s="8"/>
      <c r="D6" s="8"/>
    </row>
    <row r="7" spans="1:47" ht="12.75" customHeight="1" x14ac:dyDescent="0.3">
      <c r="C7" s="8"/>
      <c r="D7" s="8"/>
    </row>
    <row r="8" spans="1:47" ht="12.75" customHeight="1" x14ac:dyDescent="0.3">
      <c r="C8" s="8"/>
      <c r="D8" s="8"/>
    </row>
    <row r="9" spans="1:47" ht="12.75" customHeight="1" x14ac:dyDescent="0.3">
      <c r="C9" s="8" t="s">
        <v>198</v>
      </c>
      <c r="D9" s="8" t="s">
        <v>233</v>
      </c>
    </row>
    <row r="10" spans="1:47" ht="12.75" customHeight="1" x14ac:dyDescent="0.3"/>
    <row r="11" spans="1:47" ht="12.75" customHeight="1" x14ac:dyDescent="0.3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spans="1:47" ht="12.75" customHeight="1" x14ac:dyDescent="0.3">
      <c r="A12" s="13" t="s">
        <v>6</v>
      </c>
      <c r="B12" s="65" t="s">
        <v>7</v>
      </c>
      <c r="C12" s="61"/>
      <c r="D12" s="59"/>
      <c r="E12" s="86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87" t="s">
        <v>8</v>
      </c>
    </row>
    <row r="13" spans="1:47" ht="12.75" customHeight="1" x14ac:dyDescent="0.3">
      <c r="A13" s="16" t="s">
        <v>9</v>
      </c>
      <c r="B13" s="72" t="s">
        <v>10</v>
      </c>
      <c r="C13" s="61"/>
      <c r="D13" s="59"/>
      <c r="E13" s="13" t="s">
        <v>199</v>
      </c>
      <c r="F13" s="13" t="s">
        <v>200</v>
      </c>
      <c r="G13" s="13" t="s">
        <v>201</v>
      </c>
      <c r="H13" s="13" t="s">
        <v>202</v>
      </c>
      <c r="I13" s="13" t="s">
        <v>203</v>
      </c>
      <c r="J13" s="13" t="s">
        <v>204</v>
      </c>
      <c r="K13" s="13" t="s">
        <v>205</v>
      </c>
      <c r="L13" s="13" t="s">
        <v>206</v>
      </c>
      <c r="M13" s="13" t="s">
        <v>207</v>
      </c>
      <c r="N13" s="13" t="s">
        <v>208</v>
      </c>
      <c r="O13" s="13" t="s">
        <v>209</v>
      </c>
      <c r="P13" s="13" t="s">
        <v>210</v>
      </c>
      <c r="Q13" s="13" t="s">
        <v>211</v>
      </c>
      <c r="R13" s="13" t="s">
        <v>212</v>
      </c>
      <c r="S13" s="13" t="s">
        <v>213</v>
      </c>
      <c r="T13" s="13" t="s">
        <v>214</v>
      </c>
      <c r="U13" s="13" t="s">
        <v>215</v>
      </c>
      <c r="V13" s="13" t="s">
        <v>216</v>
      </c>
      <c r="W13" s="13" t="s">
        <v>217</v>
      </c>
      <c r="X13" s="13" t="s">
        <v>218</v>
      </c>
      <c r="Y13" s="13" t="s">
        <v>219</v>
      </c>
      <c r="Z13" s="13" t="s">
        <v>220</v>
      </c>
      <c r="AA13" s="13" t="s">
        <v>221</v>
      </c>
      <c r="AB13" s="13" t="s">
        <v>222</v>
      </c>
      <c r="AC13" s="13" t="s">
        <v>223</v>
      </c>
      <c r="AD13" s="13" t="s">
        <v>224</v>
      </c>
      <c r="AE13" s="13" t="s">
        <v>225</v>
      </c>
      <c r="AF13" s="13" t="s">
        <v>226</v>
      </c>
      <c r="AG13" s="13" t="s">
        <v>228</v>
      </c>
      <c r="AH13" s="13" t="s">
        <v>234</v>
      </c>
      <c r="AI13" s="13" t="s">
        <v>235</v>
      </c>
      <c r="AJ13" s="13" t="s">
        <v>236</v>
      </c>
      <c r="AK13" s="13" t="s">
        <v>237</v>
      </c>
      <c r="AL13" s="13" t="s">
        <v>238</v>
      </c>
      <c r="AM13" s="13" t="s">
        <v>239</v>
      </c>
      <c r="AN13" s="13" t="s">
        <v>240</v>
      </c>
      <c r="AO13" s="13" t="s">
        <v>241</v>
      </c>
      <c r="AP13" s="13" t="s">
        <v>242</v>
      </c>
      <c r="AQ13" s="13" t="s">
        <v>243</v>
      </c>
      <c r="AR13" s="13" t="s">
        <v>244</v>
      </c>
      <c r="AS13" s="13" t="s">
        <v>245</v>
      </c>
      <c r="AT13" s="13" t="s">
        <v>246</v>
      </c>
      <c r="AU13" s="76"/>
    </row>
    <row r="14" spans="1:47" ht="12.75" customHeight="1" x14ac:dyDescent="0.3">
      <c r="A14" s="15"/>
      <c r="B14" s="81" t="s">
        <v>11</v>
      </c>
      <c r="C14" s="67"/>
      <c r="D14" s="16" t="s">
        <v>12</v>
      </c>
      <c r="E14" s="16">
        <v>130</v>
      </c>
      <c r="F14" s="16">
        <v>135</v>
      </c>
      <c r="G14" s="16">
        <v>130</v>
      </c>
      <c r="H14" s="16">
        <v>112</v>
      </c>
      <c r="I14" s="16">
        <v>128</v>
      </c>
      <c r="J14" s="16">
        <v>138</v>
      </c>
      <c r="K14" s="16">
        <v>106</v>
      </c>
      <c r="L14" s="16">
        <v>144</v>
      </c>
      <c r="M14" s="16">
        <v>139</v>
      </c>
      <c r="N14" s="16">
        <v>122</v>
      </c>
      <c r="O14" s="16">
        <v>136</v>
      </c>
      <c r="P14" s="16">
        <v>137</v>
      </c>
      <c r="Q14" s="16">
        <v>129</v>
      </c>
      <c r="R14" s="16">
        <v>148</v>
      </c>
      <c r="S14" s="16">
        <v>138</v>
      </c>
      <c r="T14" s="16">
        <v>133</v>
      </c>
      <c r="U14" s="16">
        <v>149</v>
      </c>
      <c r="V14" s="16">
        <v>122</v>
      </c>
      <c r="W14" s="16">
        <v>137</v>
      </c>
      <c r="X14" s="16">
        <v>126</v>
      </c>
      <c r="Y14" s="16">
        <v>115</v>
      </c>
      <c r="Z14" s="16">
        <v>133</v>
      </c>
      <c r="AA14" s="16">
        <v>124</v>
      </c>
      <c r="AB14" s="16">
        <v>121</v>
      </c>
      <c r="AC14" s="16">
        <v>137</v>
      </c>
      <c r="AD14" s="16">
        <v>130</v>
      </c>
      <c r="AE14" s="16">
        <v>142</v>
      </c>
      <c r="AF14" s="16">
        <v>129</v>
      </c>
      <c r="AG14" s="16">
        <v>116</v>
      </c>
      <c r="AH14" s="16">
        <v>128</v>
      </c>
      <c r="AI14" s="16">
        <v>141</v>
      </c>
      <c r="AJ14" s="16">
        <v>110</v>
      </c>
      <c r="AK14" s="16">
        <v>104</v>
      </c>
      <c r="AL14" s="16">
        <v>124</v>
      </c>
      <c r="AM14" s="16">
        <v>122</v>
      </c>
      <c r="AN14" s="16">
        <v>127</v>
      </c>
      <c r="AO14" s="16">
        <v>130</v>
      </c>
      <c r="AP14" s="16">
        <v>122</v>
      </c>
      <c r="AQ14" s="16">
        <v>136</v>
      </c>
      <c r="AR14" s="16">
        <v>132</v>
      </c>
      <c r="AS14" s="16">
        <v>127</v>
      </c>
      <c r="AT14" s="16">
        <v>132</v>
      </c>
      <c r="AU14" s="13">
        <f t="shared" ref="AU14:AU16" si="0">SUM(E14:AT14)</f>
        <v>5421</v>
      </c>
    </row>
    <row r="15" spans="1:47" ht="12.75" customHeight="1" x14ac:dyDescent="0.3">
      <c r="A15" s="15"/>
      <c r="B15" s="82"/>
      <c r="C15" s="69"/>
      <c r="D15" s="16" t="s">
        <v>13</v>
      </c>
      <c r="E15" s="16">
        <v>133</v>
      </c>
      <c r="F15" s="16">
        <v>137</v>
      </c>
      <c r="G15" s="16">
        <v>144</v>
      </c>
      <c r="H15" s="16">
        <v>108</v>
      </c>
      <c r="I15" s="16">
        <v>123</v>
      </c>
      <c r="J15" s="16">
        <v>135</v>
      </c>
      <c r="K15" s="16">
        <v>112</v>
      </c>
      <c r="L15" s="16">
        <v>141</v>
      </c>
      <c r="M15" s="16">
        <v>143</v>
      </c>
      <c r="N15" s="16">
        <v>114</v>
      </c>
      <c r="O15" s="16">
        <v>133</v>
      </c>
      <c r="P15" s="16">
        <v>133</v>
      </c>
      <c r="Q15" s="16">
        <v>124</v>
      </c>
      <c r="R15" s="16">
        <v>133</v>
      </c>
      <c r="S15" s="16">
        <v>126</v>
      </c>
      <c r="T15" s="16">
        <v>138</v>
      </c>
      <c r="U15" s="16">
        <v>136</v>
      </c>
      <c r="V15" s="16">
        <v>124</v>
      </c>
      <c r="W15" s="16">
        <v>147</v>
      </c>
      <c r="X15" s="16">
        <v>120</v>
      </c>
      <c r="Y15" s="16">
        <v>122</v>
      </c>
      <c r="Z15" s="16">
        <v>106</v>
      </c>
      <c r="AA15" s="16">
        <v>137</v>
      </c>
      <c r="AB15" s="16">
        <v>128</v>
      </c>
      <c r="AC15" s="16">
        <v>141</v>
      </c>
      <c r="AD15" s="16">
        <v>136</v>
      </c>
      <c r="AE15" s="16">
        <v>126</v>
      </c>
      <c r="AF15" s="16">
        <v>130</v>
      </c>
      <c r="AG15" s="16">
        <v>105</v>
      </c>
      <c r="AH15" s="16">
        <v>129</v>
      </c>
      <c r="AI15" s="16">
        <v>136</v>
      </c>
      <c r="AJ15" s="16">
        <v>108</v>
      </c>
      <c r="AK15" s="16">
        <v>102</v>
      </c>
      <c r="AL15" s="16">
        <v>128</v>
      </c>
      <c r="AM15" s="16">
        <v>131</v>
      </c>
      <c r="AN15" s="16">
        <v>138</v>
      </c>
      <c r="AO15" s="16">
        <v>133</v>
      </c>
      <c r="AP15" s="16">
        <v>137</v>
      </c>
      <c r="AQ15" s="16">
        <v>128</v>
      </c>
      <c r="AR15" s="16">
        <v>127</v>
      </c>
      <c r="AS15" s="16">
        <v>113</v>
      </c>
      <c r="AT15" s="16">
        <v>130</v>
      </c>
      <c r="AU15" s="13">
        <f t="shared" si="0"/>
        <v>5375</v>
      </c>
    </row>
    <row r="16" spans="1:47" ht="12.75" customHeight="1" x14ac:dyDescent="0.3">
      <c r="A16" s="18"/>
      <c r="B16" s="80"/>
      <c r="C16" s="70"/>
      <c r="D16" s="13" t="s">
        <v>14</v>
      </c>
      <c r="E16" s="13">
        <f t="shared" ref="E16:AT16" si="1">SUM(E14:E15)</f>
        <v>263</v>
      </c>
      <c r="F16" s="13">
        <f t="shared" si="1"/>
        <v>272</v>
      </c>
      <c r="G16" s="13">
        <f t="shared" si="1"/>
        <v>274</v>
      </c>
      <c r="H16" s="13">
        <f t="shared" si="1"/>
        <v>220</v>
      </c>
      <c r="I16" s="13">
        <f t="shared" si="1"/>
        <v>251</v>
      </c>
      <c r="J16" s="13">
        <f t="shared" si="1"/>
        <v>273</v>
      </c>
      <c r="K16" s="13">
        <f t="shared" si="1"/>
        <v>218</v>
      </c>
      <c r="L16" s="13">
        <f t="shared" si="1"/>
        <v>285</v>
      </c>
      <c r="M16" s="13">
        <f t="shared" si="1"/>
        <v>282</v>
      </c>
      <c r="N16" s="13">
        <f t="shared" si="1"/>
        <v>236</v>
      </c>
      <c r="O16" s="13">
        <f t="shared" si="1"/>
        <v>269</v>
      </c>
      <c r="P16" s="13">
        <f t="shared" si="1"/>
        <v>270</v>
      </c>
      <c r="Q16" s="13">
        <f t="shared" si="1"/>
        <v>253</v>
      </c>
      <c r="R16" s="13">
        <f t="shared" si="1"/>
        <v>281</v>
      </c>
      <c r="S16" s="13">
        <f t="shared" si="1"/>
        <v>264</v>
      </c>
      <c r="T16" s="13">
        <f t="shared" si="1"/>
        <v>271</v>
      </c>
      <c r="U16" s="13">
        <f t="shared" si="1"/>
        <v>285</v>
      </c>
      <c r="V16" s="13">
        <f t="shared" si="1"/>
        <v>246</v>
      </c>
      <c r="W16" s="13">
        <f t="shared" si="1"/>
        <v>284</v>
      </c>
      <c r="X16" s="13">
        <f t="shared" si="1"/>
        <v>246</v>
      </c>
      <c r="Y16" s="13">
        <f t="shared" si="1"/>
        <v>237</v>
      </c>
      <c r="Z16" s="13">
        <f t="shared" si="1"/>
        <v>239</v>
      </c>
      <c r="AA16" s="13">
        <f t="shared" si="1"/>
        <v>261</v>
      </c>
      <c r="AB16" s="13">
        <f t="shared" si="1"/>
        <v>249</v>
      </c>
      <c r="AC16" s="13">
        <f t="shared" si="1"/>
        <v>278</v>
      </c>
      <c r="AD16" s="13">
        <f t="shared" si="1"/>
        <v>266</v>
      </c>
      <c r="AE16" s="13">
        <f t="shared" si="1"/>
        <v>268</v>
      </c>
      <c r="AF16" s="13">
        <f t="shared" si="1"/>
        <v>259</v>
      </c>
      <c r="AG16" s="13">
        <f t="shared" si="1"/>
        <v>221</v>
      </c>
      <c r="AH16" s="13">
        <f t="shared" si="1"/>
        <v>257</v>
      </c>
      <c r="AI16" s="13">
        <f t="shared" si="1"/>
        <v>277</v>
      </c>
      <c r="AJ16" s="13">
        <f t="shared" si="1"/>
        <v>218</v>
      </c>
      <c r="AK16" s="13">
        <f t="shared" si="1"/>
        <v>206</v>
      </c>
      <c r="AL16" s="13">
        <f t="shared" si="1"/>
        <v>252</v>
      </c>
      <c r="AM16" s="13">
        <f t="shared" si="1"/>
        <v>253</v>
      </c>
      <c r="AN16" s="13">
        <f t="shared" si="1"/>
        <v>265</v>
      </c>
      <c r="AO16" s="13">
        <f t="shared" si="1"/>
        <v>263</v>
      </c>
      <c r="AP16" s="13">
        <f t="shared" si="1"/>
        <v>259</v>
      </c>
      <c r="AQ16" s="13">
        <f t="shared" si="1"/>
        <v>264</v>
      </c>
      <c r="AR16" s="13">
        <f t="shared" si="1"/>
        <v>259</v>
      </c>
      <c r="AS16" s="13">
        <f t="shared" si="1"/>
        <v>240</v>
      </c>
      <c r="AT16" s="13">
        <f t="shared" si="1"/>
        <v>262</v>
      </c>
      <c r="AU16" s="13">
        <f t="shared" si="0"/>
        <v>10796</v>
      </c>
    </row>
    <row r="17" spans="1:47" ht="12.75" customHeight="1" x14ac:dyDescent="0.3">
      <c r="A17" s="62"/>
      <c r="B17" s="61"/>
      <c r="C17" s="61"/>
      <c r="D17" s="59"/>
      <c r="E17" s="16"/>
      <c r="F17" s="16"/>
      <c r="G17" s="16"/>
      <c r="H17" s="16"/>
      <c r="I17" s="16"/>
      <c r="J17" s="16"/>
      <c r="K17" s="16"/>
      <c r="L17" s="16"/>
      <c r="M17" s="16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1"/>
    </row>
    <row r="18" spans="1:47" ht="12.75" customHeight="1" x14ac:dyDescent="0.3">
      <c r="A18" s="20" t="s">
        <v>15</v>
      </c>
      <c r="B18" s="72" t="s">
        <v>16</v>
      </c>
      <c r="C18" s="61"/>
      <c r="D18" s="59"/>
      <c r="E18" s="16"/>
      <c r="F18" s="16"/>
      <c r="G18" s="16"/>
      <c r="H18" s="16"/>
      <c r="I18" s="16"/>
      <c r="J18" s="16"/>
      <c r="K18" s="16"/>
      <c r="L18" s="16"/>
      <c r="M18" s="16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1"/>
    </row>
    <row r="19" spans="1:47" ht="12.75" customHeight="1" x14ac:dyDescent="0.3">
      <c r="A19" s="20"/>
      <c r="B19" s="73" t="s">
        <v>17</v>
      </c>
      <c r="C19" s="74" t="s">
        <v>18</v>
      </c>
      <c r="D19" s="16" t="s">
        <v>12</v>
      </c>
      <c r="E19" s="16">
        <v>114</v>
      </c>
      <c r="F19" s="16">
        <v>105</v>
      </c>
      <c r="G19" s="16">
        <v>110</v>
      </c>
      <c r="H19" s="16">
        <v>99</v>
      </c>
      <c r="I19" s="16">
        <v>102</v>
      </c>
      <c r="J19" s="16">
        <v>119</v>
      </c>
      <c r="K19" s="16">
        <v>78</v>
      </c>
      <c r="L19" s="16">
        <v>114</v>
      </c>
      <c r="M19" s="16">
        <v>129</v>
      </c>
      <c r="N19" s="16">
        <v>116</v>
      </c>
      <c r="O19" s="16">
        <v>105</v>
      </c>
      <c r="P19" s="16">
        <v>114</v>
      </c>
      <c r="Q19" s="16">
        <v>104</v>
      </c>
      <c r="R19" s="16">
        <v>121</v>
      </c>
      <c r="S19" s="16">
        <v>120</v>
      </c>
      <c r="T19" s="16">
        <v>110</v>
      </c>
      <c r="U19" s="16">
        <v>117</v>
      </c>
      <c r="V19" s="16">
        <v>93</v>
      </c>
      <c r="W19" s="16">
        <v>111</v>
      </c>
      <c r="X19" s="16">
        <v>94</v>
      </c>
      <c r="Y19" s="16">
        <v>91</v>
      </c>
      <c r="Z19" s="16">
        <v>105</v>
      </c>
      <c r="AA19" s="16">
        <v>92</v>
      </c>
      <c r="AB19" s="16">
        <v>96</v>
      </c>
      <c r="AC19" s="16">
        <v>109</v>
      </c>
      <c r="AD19" s="16">
        <v>100</v>
      </c>
      <c r="AE19" s="16">
        <v>106</v>
      </c>
      <c r="AF19" s="16">
        <v>97</v>
      </c>
      <c r="AG19" s="16">
        <v>78</v>
      </c>
      <c r="AH19" s="16">
        <v>95</v>
      </c>
      <c r="AI19" s="16">
        <v>104</v>
      </c>
      <c r="AJ19" s="16">
        <v>85</v>
      </c>
      <c r="AK19" s="16">
        <v>77</v>
      </c>
      <c r="AL19" s="16">
        <v>84</v>
      </c>
      <c r="AM19" s="16">
        <v>92</v>
      </c>
      <c r="AN19" s="16">
        <v>93</v>
      </c>
      <c r="AO19" s="16">
        <v>104</v>
      </c>
      <c r="AP19" s="16">
        <v>102</v>
      </c>
      <c r="AQ19" s="16">
        <v>116</v>
      </c>
      <c r="AR19" s="16">
        <v>111</v>
      </c>
      <c r="AS19" s="16">
        <v>95</v>
      </c>
      <c r="AT19" s="16">
        <v>98</v>
      </c>
      <c r="AU19" s="13">
        <f t="shared" ref="AU19:AU30" si="2">SUM(E19:AT19)</f>
        <v>4305</v>
      </c>
    </row>
    <row r="20" spans="1:47" ht="12.75" customHeight="1" x14ac:dyDescent="0.3">
      <c r="A20" s="21"/>
      <c r="B20" s="69"/>
      <c r="C20" s="75"/>
      <c r="D20" s="16" t="s">
        <v>13</v>
      </c>
      <c r="E20" s="16">
        <v>112</v>
      </c>
      <c r="F20" s="16">
        <v>104</v>
      </c>
      <c r="G20" s="16">
        <v>122</v>
      </c>
      <c r="H20" s="16">
        <v>92</v>
      </c>
      <c r="I20" s="16">
        <v>110</v>
      </c>
      <c r="J20" s="16">
        <v>107</v>
      </c>
      <c r="K20" s="16">
        <v>90</v>
      </c>
      <c r="L20" s="16">
        <v>117</v>
      </c>
      <c r="M20" s="16">
        <v>129</v>
      </c>
      <c r="N20" s="16">
        <v>107</v>
      </c>
      <c r="O20" s="16">
        <v>119</v>
      </c>
      <c r="P20" s="16">
        <v>117</v>
      </c>
      <c r="Q20" s="16">
        <v>99</v>
      </c>
      <c r="R20" s="16">
        <v>115</v>
      </c>
      <c r="S20" s="16">
        <v>105</v>
      </c>
      <c r="T20" s="16">
        <v>119</v>
      </c>
      <c r="U20" s="16">
        <v>106</v>
      </c>
      <c r="V20" s="16">
        <v>99</v>
      </c>
      <c r="W20" s="16">
        <v>122</v>
      </c>
      <c r="X20" s="16">
        <v>94</v>
      </c>
      <c r="Y20" s="16">
        <v>98</v>
      </c>
      <c r="Z20" s="16">
        <v>97</v>
      </c>
      <c r="AA20" s="16">
        <v>95</v>
      </c>
      <c r="AB20" s="16">
        <v>91</v>
      </c>
      <c r="AC20" s="16">
        <v>121</v>
      </c>
      <c r="AD20" s="16">
        <v>110</v>
      </c>
      <c r="AE20" s="16">
        <v>109</v>
      </c>
      <c r="AF20" s="16">
        <v>97</v>
      </c>
      <c r="AG20" s="16">
        <v>76</v>
      </c>
      <c r="AH20" s="16">
        <v>91</v>
      </c>
      <c r="AI20" s="16">
        <v>117</v>
      </c>
      <c r="AJ20" s="16">
        <v>93</v>
      </c>
      <c r="AK20" s="16">
        <v>86</v>
      </c>
      <c r="AL20" s="16">
        <v>99</v>
      </c>
      <c r="AM20" s="16">
        <v>98</v>
      </c>
      <c r="AN20" s="16">
        <v>111</v>
      </c>
      <c r="AO20" s="16">
        <v>114</v>
      </c>
      <c r="AP20" s="16">
        <v>113</v>
      </c>
      <c r="AQ20" s="16">
        <v>110</v>
      </c>
      <c r="AR20" s="16">
        <v>109</v>
      </c>
      <c r="AS20" s="16">
        <v>94</v>
      </c>
      <c r="AT20" s="16">
        <v>106</v>
      </c>
      <c r="AU20" s="13">
        <f t="shared" si="2"/>
        <v>4420</v>
      </c>
    </row>
    <row r="21" spans="1:47" ht="12.75" customHeight="1" x14ac:dyDescent="0.3">
      <c r="A21" s="22"/>
      <c r="B21" s="70"/>
      <c r="C21" s="76"/>
      <c r="D21" s="13" t="s">
        <v>14</v>
      </c>
      <c r="E21" s="13">
        <f t="shared" ref="E21:AT21" si="3">SUM(E19:E20)</f>
        <v>226</v>
      </c>
      <c r="F21" s="13">
        <f t="shared" si="3"/>
        <v>209</v>
      </c>
      <c r="G21" s="13">
        <f t="shared" si="3"/>
        <v>232</v>
      </c>
      <c r="H21" s="13">
        <f t="shared" si="3"/>
        <v>191</v>
      </c>
      <c r="I21" s="13">
        <f t="shared" si="3"/>
        <v>212</v>
      </c>
      <c r="J21" s="13">
        <f t="shared" si="3"/>
        <v>226</v>
      </c>
      <c r="K21" s="13">
        <f t="shared" si="3"/>
        <v>168</v>
      </c>
      <c r="L21" s="13">
        <f t="shared" si="3"/>
        <v>231</v>
      </c>
      <c r="M21" s="13">
        <f t="shared" si="3"/>
        <v>258</v>
      </c>
      <c r="N21" s="13">
        <f t="shared" si="3"/>
        <v>223</v>
      </c>
      <c r="O21" s="13">
        <f t="shared" si="3"/>
        <v>224</v>
      </c>
      <c r="P21" s="13">
        <f t="shared" si="3"/>
        <v>231</v>
      </c>
      <c r="Q21" s="13">
        <f t="shared" si="3"/>
        <v>203</v>
      </c>
      <c r="R21" s="13">
        <f t="shared" si="3"/>
        <v>236</v>
      </c>
      <c r="S21" s="13">
        <f t="shared" si="3"/>
        <v>225</v>
      </c>
      <c r="T21" s="13">
        <f t="shared" si="3"/>
        <v>229</v>
      </c>
      <c r="U21" s="13">
        <f t="shared" si="3"/>
        <v>223</v>
      </c>
      <c r="V21" s="13">
        <f t="shared" si="3"/>
        <v>192</v>
      </c>
      <c r="W21" s="13">
        <f t="shared" si="3"/>
        <v>233</v>
      </c>
      <c r="X21" s="13">
        <f t="shared" si="3"/>
        <v>188</v>
      </c>
      <c r="Y21" s="13">
        <f t="shared" si="3"/>
        <v>189</v>
      </c>
      <c r="Z21" s="13">
        <f t="shared" si="3"/>
        <v>202</v>
      </c>
      <c r="AA21" s="13">
        <f t="shared" si="3"/>
        <v>187</v>
      </c>
      <c r="AB21" s="13">
        <f t="shared" si="3"/>
        <v>187</v>
      </c>
      <c r="AC21" s="13">
        <f t="shared" si="3"/>
        <v>230</v>
      </c>
      <c r="AD21" s="13">
        <f t="shared" si="3"/>
        <v>210</v>
      </c>
      <c r="AE21" s="13">
        <f t="shared" si="3"/>
        <v>215</v>
      </c>
      <c r="AF21" s="13">
        <f t="shared" si="3"/>
        <v>194</v>
      </c>
      <c r="AG21" s="13">
        <f t="shared" si="3"/>
        <v>154</v>
      </c>
      <c r="AH21" s="13">
        <f t="shared" si="3"/>
        <v>186</v>
      </c>
      <c r="AI21" s="13">
        <f t="shared" si="3"/>
        <v>221</v>
      </c>
      <c r="AJ21" s="13">
        <f t="shared" si="3"/>
        <v>178</v>
      </c>
      <c r="AK21" s="13">
        <f t="shared" si="3"/>
        <v>163</v>
      </c>
      <c r="AL21" s="13">
        <f t="shared" si="3"/>
        <v>183</v>
      </c>
      <c r="AM21" s="13">
        <f t="shared" si="3"/>
        <v>190</v>
      </c>
      <c r="AN21" s="13">
        <f t="shared" si="3"/>
        <v>204</v>
      </c>
      <c r="AO21" s="13">
        <f t="shared" si="3"/>
        <v>218</v>
      </c>
      <c r="AP21" s="13">
        <f t="shared" si="3"/>
        <v>215</v>
      </c>
      <c r="AQ21" s="13">
        <f t="shared" si="3"/>
        <v>226</v>
      </c>
      <c r="AR21" s="13">
        <f t="shared" si="3"/>
        <v>220</v>
      </c>
      <c r="AS21" s="13">
        <f t="shared" si="3"/>
        <v>189</v>
      </c>
      <c r="AT21" s="13">
        <f t="shared" si="3"/>
        <v>204</v>
      </c>
      <c r="AU21" s="13">
        <f t="shared" si="2"/>
        <v>8725</v>
      </c>
    </row>
    <row r="22" spans="1:47" ht="12.75" customHeight="1" x14ac:dyDescent="0.3">
      <c r="A22" s="21"/>
      <c r="B22" s="73" t="s">
        <v>19</v>
      </c>
      <c r="C22" s="74" t="s">
        <v>20</v>
      </c>
      <c r="D22" s="16" t="s">
        <v>12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>
        <v>0</v>
      </c>
      <c r="U22" s="16">
        <v>1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1</v>
      </c>
      <c r="AH22" s="16">
        <v>0</v>
      </c>
      <c r="AI22" s="16">
        <v>0</v>
      </c>
      <c r="AJ22" s="16">
        <v>1</v>
      </c>
      <c r="AK22" s="16">
        <v>0</v>
      </c>
      <c r="AL22" s="16">
        <v>0</v>
      </c>
      <c r="AM22" s="16">
        <v>2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3">
        <f t="shared" si="2"/>
        <v>5</v>
      </c>
    </row>
    <row r="23" spans="1:47" ht="12.75" customHeight="1" x14ac:dyDescent="0.3">
      <c r="A23" s="21"/>
      <c r="B23" s="69"/>
      <c r="C23" s="75"/>
      <c r="D23" s="16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>
        <v>0</v>
      </c>
      <c r="U23" s="16">
        <v>2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1</v>
      </c>
      <c r="AK23" s="16">
        <v>0</v>
      </c>
      <c r="AL23" s="16">
        <v>0</v>
      </c>
      <c r="AM23" s="16">
        <v>2</v>
      </c>
      <c r="AN23" s="16">
        <v>0</v>
      </c>
      <c r="AO23" s="16">
        <v>1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3">
        <f t="shared" si="2"/>
        <v>6</v>
      </c>
    </row>
    <row r="24" spans="1:47" ht="12.75" customHeight="1" x14ac:dyDescent="0.3">
      <c r="A24" s="22"/>
      <c r="B24" s="70"/>
      <c r="C24" s="76"/>
      <c r="D24" s="13" t="s">
        <v>14</v>
      </c>
      <c r="E24" s="13">
        <f t="shared" ref="E24:AT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3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0</v>
      </c>
      <c r="AG24" s="13">
        <f t="shared" si="4"/>
        <v>1</v>
      </c>
      <c r="AH24" s="13">
        <f t="shared" si="4"/>
        <v>0</v>
      </c>
      <c r="AI24" s="13">
        <f t="shared" si="4"/>
        <v>0</v>
      </c>
      <c r="AJ24" s="13">
        <f t="shared" si="4"/>
        <v>2</v>
      </c>
      <c r="AK24" s="13">
        <f t="shared" si="4"/>
        <v>0</v>
      </c>
      <c r="AL24" s="13">
        <f t="shared" si="4"/>
        <v>0</v>
      </c>
      <c r="AM24" s="13">
        <f t="shared" si="4"/>
        <v>4</v>
      </c>
      <c r="AN24" s="13">
        <f t="shared" si="4"/>
        <v>0</v>
      </c>
      <c r="AO24" s="13">
        <f t="shared" si="4"/>
        <v>1</v>
      </c>
      <c r="AP24" s="13">
        <f t="shared" si="4"/>
        <v>0</v>
      </c>
      <c r="AQ24" s="13">
        <f t="shared" si="4"/>
        <v>0</v>
      </c>
      <c r="AR24" s="13">
        <f t="shared" si="4"/>
        <v>0</v>
      </c>
      <c r="AS24" s="13">
        <f t="shared" si="4"/>
        <v>0</v>
      </c>
      <c r="AT24" s="13">
        <f t="shared" si="4"/>
        <v>0</v>
      </c>
      <c r="AU24" s="13">
        <f t="shared" si="2"/>
        <v>11</v>
      </c>
    </row>
    <row r="25" spans="1:47" ht="12.75" customHeight="1" x14ac:dyDescent="0.3">
      <c r="A25" s="21"/>
      <c r="B25" s="73" t="s">
        <v>21</v>
      </c>
      <c r="C25" s="74" t="s">
        <v>22</v>
      </c>
      <c r="D25" s="16" t="s">
        <v>12</v>
      </c>
      <c r="E25" s="16">
        <v>3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1</v>
      </c>
      <c r="V25" s="16">
        <v>0</v>
      </c>
      <c r="W25" s="16">
        <v>0</v>
      </c>
      <c r="X25" s="16">
        <v>1</v>
      </c>
      <c r="Y25" s="16">
        <v>0</v>
      </c>
      <c r="Z25" s="16">
        <v>0</v>
      </c>
      <c r="AA25" s="16">
        <v>0</v>
      </c>
      <c r="AB25" s="16">
        <v>0</v>
      </c>
      <c r="AC25" s="16">
        <v>2</v>
      </c>
      <c r="AD25" s="16">
        <v>9</v>
      </c>
      <c r="AE25" s="16">
        <v>0</v>
      </c>
      <c r="AF25" s="16">
        <v>1</v>
      </c>
      <c r="AG25" s="16">
        <v>0</v>
      </c>
      <c r="AH25" s="16">
        <v>0</v>
      </c>
      <c r="AI25" s="16">
        <v>2</v>
      </c>
      <c r="AJ25" s="16">
        <v>0</v>
      </c>
      <c r="AK25" s="16">
        <v>3</v>
      </c>
      <c r="AL25" s="16">
        <v>5</v>
      </c>
      <c r="AM25" s="16">
        <v>4</v>
      </c>
      <c r="AN25" s="16">
        <v>2</v>
      </c>
      <c r="AO25" s="16">
        <v>2</v>
      </c>
      <c r="AP25" s="16">
        <v>1</v>
      </c>
      <c r="AQ25" s="16">
        <v>0</v>
      </c>
      <c r="AR25" s="16">
        <v>2</v>
      </c>
      <c r="AS25" s="16">
        <v>1</v>
      </c>
      <c r="AT25" s="16">
        <v>0</v>
      </c>
      <c r="AU25" s="13">
        <f t="shared" si="2"/>
        <v>40</v>
      </c>
    </row>
    <row r="26" spans="1:47" ht="12.75" customHeight="1" x14ac:dyDescent="0.3">
      <c r="A26" s="21"/>
      <c r="B26" s="69"/>
      <c r="C26" s="75"/>
      <c r="D26" s="16" t="s">
        <v>13</v>
      </c>
      <c r="E26" s="16">
        <v>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2</v>
      </c>
      <c r="V26" s="16">
        <v>0</v>
      </c>
      <c r="W26" s="16">
        <v>2</v>
      </c>
      <c r="X26" s="16">
        <v>1</v>
      </c>
      <c r="Y26" s="16">
        <v>0</v>
      </c>
      <c r="Z26" s="16">
        <v>0</v>
      </c>
      <c r="AA26" s="16">
        <v>0</v>
      </c>
      <c r="AB26" s="16">
        <v>0</v>
      </c>
      <c r="AC26" s="16">
        <v>2</v>
      </c>
      <c r="AD26" s="16">
        <v>4</v>
      </c>
      <c r="AE26" s="16">
        <v>0</v>
      </c>
      <c r="AF26" s="16">
        <v>1</v>
      </c>
      <c r="AG26" s="16">
        <v>0</v>
      </c>
      <c r="AH26" s="16">
        <v>2</v>
      </c>
      <c r="AI26" s="16">
        <v>1</v>
      </c>
      <c r="AJ26" s="16">
        <v>0</v>
      </c>
      <c r="AK26" s="16">
        <v>4</v>
      </c>
      <c r="AL26" s="16">
        <v>3</v>
      </c>
      <c r="AM26" s="16">
        <v>7</v>
      </c>
      <c r="AN26" s="16">
        <v>2</v>
      </c>
      <c r="AO26" s="16">
        <v>6</v>
      </c>
      <c r="AP26" s="16">
        <v>3</v>
      </c>
      <c r="AQ26" s="16">
        <v>0</v>
      </c>
      <c r="AR26" s="16">
        <v>2</v>
      </c>
      <c r="AS26" s="16">
        <v>0</v>
      </c>
      <c r="AT26" s="16">
        <v>4</v>
      </c>
      <c r="AU26" s="13">
        <f t="shared" si="2"/>
        <v>47</v>
      </c>
    </row>
    <row r="27" spans="1:47" ht="12.75" customHeight="1" x14ac:dyDescent="0.3">
      <c r="A27" s="22"/>
      <c r="B27" s="70"/>
      <c r="C27" s="76"/>
      <c r="D27" s="13" t="s">
        <v>14</v>
      </c>
      <c r="E27" s="13">
        <f t="shared" ref="E27:AT27" si="5">SUM(E25:E26)</f>
        <v>4</v>
      </c>
      <c r="F27" s="13">
        <f t="shared" si="5"/>
        <v>0</v>
      </c>
      <c r="G27" s="13">
        <f t="shared" si="5"/>
        <v>0</v>
      </c>
      <c r="H27" s="13">
        <f t="shared" si="5"/>
        <v>0</v>
      </c>
      <c r="I27" s="13">
        <f t="shared" si="5"/>
        <v>0</v>
      </c>
      <c r="J27" s="13">
        <f t="shared" si="5"/>
        <v>0</v>
      </c>
      <c r="K27" s="13">
        <f t="shared" si="5"/>
        <v>0</v>
      </c>
      <c r="L27" s="13">
        <f t="shared" si="5"/>
        <v>0</v>
      </c>
      <c r="M27" s="13">
        <f t="shared" si="5"/>
        <v>1</v>
      </c>
      <c r="N27" s="13">
        <f t="shared" si="5"/>
        <v>0</v>
      </c>
      <c r="O27" s="13">
        <f t="shared" si="5"/>
        <v>0</v>
      </c>
      <c r="P27" s="13">
        <f t="shared" si="5"/>
        <v>0</v>
      </c>
      <c r="Q27" s="13">
        <f t="shared" si="5"/>
        <v>0</v>
      </c>
      <c r="R27" s="13">
        <f t="shared" si="5"/>
        <v>0</v>
      </c>
      <c r="S27" s="13">
        <f t="shared" si="5"/>
        <v>0</v>
      </c>
      <c r="T27" s="13">
        <f t="shared" si="5"/>
        <v>0</v>
      </c>
      <c r="U27" s="13">
        <f t="shared" si="5"/>
        <v>3</v>
      </c>
      <c r="V27" s="13">
        <f t="shared" si="5"/>
        <v>0</v>
      </c>
      <c r="W27" s="13">
        <f t="shared" si="5"/>
        <v>2</v>
      </c>
      <c r="X27" s="13">
        <f t="shared" si="5"/>
        <v>2</v>
      </c>
      <c r="Y27" s="13">
        <f t="shared" si="5"/>
        <v>0</v>
      </c>
      <c r="Z27" s="13">
        <f t="shared" si="5"/>
        <v>0</v>
      </c>
      <c r="AA27" s="13">
        <f t="shared" si="5"/>
        <v>0</v>
      </c>
      <c r="AB27" s="13">
        <f t="shared" si="5"/>
        <v>0</v>
      </c>
      <c r="AC27" s="13">
        <f t="shared" si="5"/>
        <v>4</v>
      </c>
      <c r="AD27" s="13">
        <f t="shared" si="5"/>
        <v>13</v>
      </c>
      <c r="AE27" s="13">
        <f t="shared" si="5"/>
        <v>0</v>
      </c>
      <c r="AF27" s="13">
        <f t="shared" si="5"/>
        <v>2</v>
      </c>
      <c r="AG27" s="13">
        <f t="shared" si="5"/>
        <v>0</v>
      </c>
      <c r="AH27" s="13">
        <f t="shared" si="5"/>
        <v>2</v>
      </c>
      <c r="AI27" s="13">
        <f t="shared" si="5"/>
        <v>3</v>
      </c>
      <c r="AJ27" s="13">
        <f t="shared" si="5"/>
        <v>0</v>
      </c>
      <c r="AK27" s="13">
        <f t="shared" si="5"/>
        <v>7</v>
      </c>
      <c r="AL27" s="13">
        <f t="shared" si="5"/>
        <v>8</v>
      </c>
      <c r="AM27" s="13">
        <f t="shared" si="5"/>
        <v>11</v>
      </c>
      <c r="AN27" s="13">
        <f t="shared" si="5"/>
        <v>4</v>
      </c>
      <c r="AO27" s="13">
        <f t="shared" si="5"/>
        <v>8</v>
      </c>
      <c r="AP27" s="13">
        <f t="shared" si="5"/>
        <v>4</v>
      </c>
      <c r="AQ27" s="13">
        <f t="shared" si="5"/>
        <v>0</v>
      </c>
      <c r="AR27" s="13">
        <f t="shared" si="5"/>
        <v>4</v>
      </c>
      <c r="AS27" s="13">
        <f t="shared" si="5"/>
        <v>1</v>
      </c>
      <c r="AT27" s="13">
        <f t="shared" si="5"/>
        <v>4</v>
      </c>
      <c r="AU27" s="13">
        <f t="shared" si="2"/>
        <v>87</v>
      </c>
    </row>
    <row r="28" spans="1:47" ht="12.75" customHeight="1" x14ac:dyDescent="0.3">
      <c r="A28" s="22"/>
      <c r="B28" s="77" t="s">
        <v>23</v>
      </c>
      <c r="C28" s="78" t="s">
        <v>24</v>
      </c>
      <c r="D28" s="13" t="s">
        <v>12</v>
      </c>
      <c r="E28" s="13">
        <f t="shared" ref="E28:AT28" si="6">SUM(E19,E22,E25)</f>
        <v>117</v>
      </c>
      <c r="F28" s="13">
        <f t="shared" si="6"/>
        <v>105</v>
      </c>
      <c r="G28" s="13">
        <f t="shared" si="6"/>
        <v>110</v>
      </c>
      <c r="H28" s="13">
        <f t="shared" si="6"/>
        <v>99</v>
      </c>
      <c r="I28" s="13">
        <f t="shared" si="6"/>
        <v>102</v>
      </c>
      <c r="J28" s="13">
        <f t="shared" si="6"/>
        <v>119</v>
      </c>
      <c r="K28" s="13">
        <f t="shared" si="6"/>
        <v>78</v>
      </c>
      <c r="L28" s="13">
        <f t="shared" si="6"/>
        <v>114</v>
      </c>
      <c r="M28" s="13">
        <f t="shared" si="6"/>
        <v>130</v>
      </c>
      <c r="N28" s="13">
        <f t="shared" si="6"/>
        <v>116</v>
      </c>
      <c r="O28" s="13">
        <f t="shared" si="6"/>
        <v>105</v>
      </c>
      <c r="P28" s="13">
        <f t="shared" si="6"/>
        <v>114</v>
      </c>
      <c r="Q28" s="13">
        <f t="shared" si="6"/>
        <v>104</v>
      </c>
      <c r="R28" s="13">
        <f t="shared" si="6"/>
        <v>121</v>
      </c>
      <c r="S28" s="13">
        <f t="shared" si="6"/>
        <v>120</v>
      </c>
      <c r="T28" s="13">
        <f t="shared" si="6"/>
        <v>110</v>
      </c>
      <c r="U28" s="13">
        <f t="shared" si="6"/>
        <v>119</v>
      </c>
      <c r="V28" s="13">
        <f t="shared" si="6"/>
        <v>93</v>
      </c>
      <c r="W28" s="13">
        <f t="shared" si="6"/>
        <v>111</v>
      </c>
      <c r="X28" s="13">
        <f t="shared" si="6"/>
        <v>95</v>
      </c>
      <c r="Y28" s="13">
        <f t="shared" si="6"/>
        <v>91</v>
      </c>
      <c r="Z28" s="13">
        <f t="shared" si="6"/>
        <v>105</v>
      </c>
      <c r="AA28" s="13">
        <f t="shared" si="6"/>
        <v>92</v>
      </c>
      <c r="AB28" s="13">
        <f t="shared" si="6"/>
        <v>96</v>
      </c>
      <c r="AC28" s="13">
        <f t="shared" si="6"/>
        <v>111</v>
      </c>
      <c r="AD28" s="13">
        <f t="shared" si="6"/>
        <v>109</v>
      </c>
      <c r="AE28" s="13">
        <f t="shared" si="6"/>
        <v>106</v>
      </c>
      <c r="AF28" s="13">
        <f t="shared" si="6"/>
        <v>98</v>
      </c>
      <c r="AG28" s="13">
        <f t="shared" si="6"/>
        <v>79</v>
      </c>
      <c r="AH28" s="13">
        <f t="shared" si="6"/>
        <v>95</v>
      </c>
      <c r="AI28" s="13">
        <f t="shared" si="6"/>
        <v>106</v>
      </c>
      <c r="AJ28" s="13">
        <f t="shared" si="6"/>
        <v>86</v>
      </c>
      <c r="AK28" s="13">
        <f t="shared" si="6"/>
        <v>80</v>
      </c>
      <c r="AL28" s="13">
        <f t="shared" si="6"/>
        <v>89</v>
      </c>
      <c r="AM28" s="13">
        <f t="shared" si="6"/>
        <v>98</v>
      </c>
      <c r="AN28" s="13">
        <f t="shared" si="6"/>
        <v>95</v>
      </c>
      <c r="AO28" s="13">
        <f t="shared" si="6"/>
        <v>106</v>
      </c>
      <c r="AP28" s="13">
        <f t="shared" si="6"/>
        <v>103</v>
      </c>
      <c r="AQ28" s="13">
        <f t="shared" si="6"/>
        <v>116</v>
      </c>
      <c r="AR28" s="13">
        <f t="shared" si="6"/>
        <v>113</v>
      </c>
      <c r="AS28" s="13">
        <f t="shared" si="6"/>
        <v>96</v>
      </c>
      <c r="AT28" s="13">
        <f t="shared" si="6"/>
        <v>98</v>
      </c>
      <c r="AU28" s="13">
        <f t="shared" si="2"/>
        <v>4350</v>
      </c>
    </row>
    <row r="29" spans="1:47" ht="12.75" customHeight="1" x14ac:dyDescent="0.3">
      <c r="A29" s="22"/>
      <c r="B29" s="69"/>
      <c r="C29" s="75"/>
      <c r="D29" s="13" t="s">
        <v>13</v>
      </c>
      <c r="E29" s="13">
        <f t="shared" ref="E29:AT29" si="7">SUM(E20,E23,E26)</f>
        <v>113</v>
      </c>
      <c r="F29" s="13">
        <f t="shared" si="7"/>
        <v>104</v>
      </c>
      <c r="G29" s="13">
        <f t="shared" si="7"/>
        <v>122</v>
      </c>
      <c r="H29" s="13">
        <f t="shared" si="7"/>
        <v>92</v>
      </c>
      <c r="I29" s="13">
        <f t="shared" si="7"/>
        <v>110</v>
      </c>
      <c r="J29" s="13">
        <f t="shared" si="7"/>
        <v>107</v>
      </c>
      <c r="K29" s="13">
        <f t="shared" si="7"/>
        <v>90</v>
      </c>
      <c r="L29" s="13">
        <f t="shared" si="7"/>
        <v>117</v>
      </c>
      <c r="M29" s="13">
        <f t="shared" si="7"/>
        <v>129</v>
      </c>
      <c r="N29" s="13">
        <f t="shared" si="7"/>
        <v>107</v>
      </c>
      <c r="O29" s="13">
        <f t="shared" si="7"/>
        <v>119</v>
      </c>
      <c r="P29" s="13">
        <f t="shared" si="7"/>
        <v>117</v>
      </c>
      <c r="Q29" s="13">
        <f t="shared" si="7"/>
        <v>99</v>
      </c>
      <c r="R29" s="13">
        <f t="shared" si="7"/>
        <v>115</v>
      </c>
      <c r="S29" s="13">
        <f t="shared" si="7"/>
        <v>105</v>
      </c>
      <c r="T29" s="13">
        <f t="shared" si="7"/>
        <v>119</v>
      </c>
      <c r="U29" s="13">
        <f t="shared" si="7"/>
        <v>110</v>
      </c>
      <c r="V29" s="13">
        <f t="shared" si="7"/>
        <v>99</v>
      </c>
      <c r="W29" s="13">
        <f t="shared" si="7"/>
        <v>124</v>
      </c>
      <c r="X29" s="13">
        <f t="shared" si="7"/>
        <v>95</v>
      </c>
      <c r="Y29" s="13">
        <f t="shared" si="7"/>
        <v>98</v>
      </c>
      <c r="Z29" s="13">
        <f t="shared" si="7"/>
        <v>97</v>
      </c>
      <c r="AA29" s="13">
        <f t="shared" si="7"/>
        <v>95</v>
      </c>
      <c r="AB29" s="13">
        <f t="shared" si="7"/>
        <v>91</v>
      </c>
      <c r="AC29" s="13">
        <f t="shared" si="7"/>
        <v>123</v>
      </c>
      <c r="AD29" s="13">
        <f t="shared" si="7"/>
        <v>114</v>
      </c>
      <c r="AE29" s="13">
        <f t="shared" si="7"/>
        <v>109</v>
      </c>
      <c r="AF29" s="13">
        <f t="shared" si="7"/>
        <v>98</v>
      </c>
      <c r="AG29" s="13">
        <f t="shared" si="7"/>
        <v>76</v>
      </c>
      <c r="AH29" s="13">
        <f t="shared" si="7"/>
        <v>93</v>
      </c>
      <c r="AI29" s="13">
        <f t="shared" si="7"/>
        <v>118</v>
      </c>
      <c r="AJ29" s="13">
        <f t="shared" si="7"/>
        <v>94</v>
      </c>
      <c r="AK29" s="13">
        <f t="shared" si="7"/>
        <v>90</v>
      </c>
      <c r="AL29" s="13">
        <f t="shared" si="7"/>
        <v>102</v>
      </c>
      <c r="AM29" s="13">
        <f t="shared" si="7"/>
        <v>107</v>
      </c>
      <c r="AN29" s="13">
        <f t="shared" si="7"/>
        <v>113</v>
      </c>
      <c r="AO29" s="13">
        <f t="shared" si="7"/>
        <v>121</v>
      </c>
      <c r="AP29" s="13">
        <f t="shared" si="7"/>
        <v>116</v>
      </c>
      <c r="AQ29" s="13">
        <f t="shared" si="7"/>
        <v>110</v>
      </c>
      <c r="AR29" s="13">
        <f t="shared" si="7"/>
        <v>111</v>
      </c>
      <c r="AS29" s="13">
        <f t="shared" si="7"/>
        <v>94</v>
      </c>
      <c r="AT29" s="13">
        <f t="shared" si="7"/>
        <v>110</v>
      </c>
      <c r="AU29" s="13">
        <f t="shared" si="2"/>
        <v>4473</v>
      </c>
    </row>
    <row r="30" spans="1:47" ht="12.75" customHeight="1" x14ac:dyDescent="0.3">
      <c r="A30" s="22"/>
      <c r="B30" s="70"/>
      <c r="C30" s="76"/>
      <c r="D30" s="13" t="s">
        <v>14</v>
      </c>
      <c r="E30" s="13">
        <f t="shared" ref="E30:AT30" si="8">SUM(E28:E29)</f>
        <v>230</v>
      </c>
      <c r="F30" s="13">
        <f t="shared" si="8"/>
        <v>209</v>
      </c>
      <c r="G30" s="13">
        <f t="shared" si="8"/>
        <v>232</v>
      </c>
      <c r="H30" s="13">
        <f t="shared" si="8"/>
        <v>191</v>
      </c>
      <c r="I30" s="13">
        <f t="shared" si="8"/>
        <v>212</v>
      </c>
      <c r="J30" s="13">
        <f t="shared" si="8"/>
        <v>226</v>
      </c>
      <c r="K30" s="13">
        <f t="shared" si="8"/>
        <v>168</v>
      </c>
      <c r="L30" s="13">
        <f t="shared" si="8"/>
        <v>231</v>
      </c>
      <c r="M30" s="13">
        <f t="shared" si="8"/>
        <v>259</v>
      </c>
      <c r="N30" s="13">
        <f t="shared" si="8"/>
        <v>223</v>
      </c>
      <c r="O30" s="13">
        <f t="shared" si="8"/>
        <v>224</v>
      </c>
      <c r="P30" s="13">
        <f t="shared" si="8"/>
        <v>231</v>
      </c>
      <c r="Q30" s="13">
        <f t="shared" si="8"/>
        <v>203</v>
      </c>
      <c r="R30" s="13">
        <f t="shared" si="8"/>
        <v>236</v>
      </c>
      <c r="S30" s="13">
        <f t="shared" si="8"/>
        <v>225</v>
      </c>
      <c r="T30" s="13">
        <f t="shared" si="8"/>
        <v>229</v>
      </c>
      <c r="U30" s="13">
        <f t="shared" si="8"/>
        <v>229</v>
      </c>
      <c r="V30" s="13">
        <f t="shared" si="8"/>
        <v>192</v>
      </c>
      <c r="W30" s="13">
        <f t="shared" si="8"/>
        <v>235</v>
      </c>
      <c r="X30" s="13">
        <f t="shared" si="8"/>
        <v>190</v>
      </c>
      <c r="Y30" s="13">
        <f t="shared" si="8"/>
        <v>189</v>
      </c>
      <c r="Z30" s="13">
        <f t="shared" si="8"/>
        <v>202</v>
      </c>
      <c r="AA30" s="13">
        <f t="shared" si="8"/>
        <v>187</v>
      </c>
      <c r="AB30" s="13">
        <f t="shared" si="8"/>
        <v>187</v>
      </c>
      <c r="AC30" s="13">
        <f t="shared" si="8"/>
        <v>234</v>
      </c>
      <c r="AD30" s="13">
        <f t="shared" si="8"/>
        <v>223</v>
      </c>
      <c r="AE30" s="13">
        <f t="shared" si="8"/>
        <v>215</v>
      </c>
      <c r="AF30" s="13">
        <f t="shared" si="8"/>
        <v>196</v>
      </c>
      <c r="AG30" s="13">
        <f t="shared" si="8"/>
        <v>155</v>
      </c>
      <c r="AH30" s="13">
        <f t="shared" si="8"/>
        <v>188</v>
      </c>
      <c r="AI30" s="13">
        <f t="shared" si="8"/>
        <v>224</v>
      </c>
      <c r="AJ30" s="13">
        <f t="shared" si="8"/>
        <v>180</v>
      </c>
      <c r="AK30" s="13">
        <f t="shared" si="8"/>
        <v>170</v>
      </c>
      <c r="AL30" s="13">
        <f t="shared" si="8"/>
        <v>191</v>
      </c>
      <c r="AM30" s="13">
        <f t="shared" si="8"/>
        <v>205</v>
      </c>
      <c r="AN30" s="13">
        <f t="shared" si="8"/>
        <v>208</v>
      </c>
      <c r="AO30" s="13">
        <f t="shared" si="8"/>
        <v>227</v>
      </c>
      <c r="AP30" s="13">
        <f t="shared" si="8"/>
        <v>219</v>
      </c>
      <c r="AQ30" s="13">
        <f t="shared" si="8"/>
        <v>226</v>
      </c>
      <c r="AR30" s="13">
        <f t="shared" si="8"/>
        <v>224</v>
      </c>
      <c r="AS30" s="13">
        <f t="shared" si="8"/>
        <v>190</v>
      </c>
      <c r="AT30" s="13">
        <f t="shared" si="8"/>
        <v>208</v>
      </c>
      <c r="AU30" s="13">
        <f t="shared" si="2"/>
        <v>8823</v>
      </c>
    </row>
    <row r="31" spans="1:47" ht="12.75" customHeight="1" x14ac:dyDescent="0.3">
      <c r="A31" s="62"/>
      <c r="B31" s="61"/>
      <c r="C31" s="61"/>
      <c r="D31" s="59"/>
      <c r="E31" s="16"/>
      <c r="F31" s="16"/>
      <c r="G31" s="16"/>
      <c r="H31" s="16"/>
      <c r="I31" s="16"/>
      <c r="J31" s="16"/>
      <c r="K31" s="16"/>
      <c r="L31" s="16"/>
      <c r="M31" s="16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1"/>
    </row>
    <row r="32" spans="1:47" ht="12.75" customHeight="1" x14ac:dyDescent="0.3">
      <c r="A32" s="25" t="s">
        <v>25</v>
      </c>
      <c r="B32" s="65" t="s">
        <v>26</v>
      </c>
      <c r="C32" s="61"/>
      <c r="D32" s="59"/>
      <c r="E32" s="13"/>
      <c r="F32" s="13"/>
      <c r="G32" s="13"/>
      <c r="H32" s="13"/>
      <c r="I32" s="13"/>
      <c r="J32" s="13"/>
      <c r="K32" s="13"/>
      <c r="L32" s="13"/>
      <c r="M32" s="13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1"/>
    </row>
    <row r="33" spans="1:47" ht="12.75" customHeight="1" x14ac:dyDescent="0.3">
      <c r="A33" s="16">
        <v>1</v>
      </c>
      <c r="B33" s="72" t="s">
        <v>27</v>
      </c>
      <c r="C33" s="61"/>
      <c r="D33" s="59"/>
      <c r="E33" s="16">
        <v>269</v>
      </c>
      <c r="F33" s="16">
        <v>276</v>
      </c>
      <c r="G33" s="16">
        <v>280</v>
      </c>
      <c r="H33" s="16">
        <v>225</v>
      </c>
      <c r="I33" s="16">
        <v>257</v>
      </c>
      <c r="J33" s="16">
        <v>278</v>
      </c>
      <c r="K33" s="16">
        <v>223</v>
      </c>
      <c r="L33" s="16">
        <v>291</v>
      </c>
      <c r="M33" s="16">
        <v>288</v>
      </c>
      <c r="N33" s="16">
        <v>241</v>
      </c>
      <c r="O33" s="16">
        <v>275</v>
      </c>
      <c r="P33" s="16">
        <v>276</v>
      </c>
      <c r="Q33" s="16">
        <v>257</v>
      </c>
      <c r="R33" s="16">
        <v>287</v>
      </c>
      <c r="S33" s="16">
        <v>270</v>
      </c>
      <c r="T33" s="16">
        <v>278</v>
      </c>
      <c r="U33" s="16">
        <v>290</v>
      </c>
      <c r="V33" s="16">
        <v>251</v>
      </c>
      <c r="W33" s="16">
        <v>290</v>
      </c>
      <c r="X33" s="16">
        <v>251</v>
      </c>
      <c r="Y33" s="16">
        <v>242</v>
      </c>
      <c r="Z33" s="16">
        <v>244</v>
      </c>
      <c r="AA33" s="16">
        <v>267</v>
      </c>
      <c r="AB33" s="16">
        <v>254</v>
      </c>
      <c r="AC33" s="16">
        <v>284</v>
      </c>
      <c r="AD33" s="16">
        <v>272</v>
      </c>
      <c r="AE33" s="16">
        <v>274</v>
      </c>
      <c r="AF33" s="16">
        <v>259</v>
      </c>
      <c r="AG33" s="16">
        <v>226</v>
      </c>
      <c r="AH33" s="16">
        <v>263</v>
      </c>
      <c r="AI33" s="16">
        <v>283</v>
      </c>
      <c r="AJ33" s="16">
        <v>223</v>
      </c>
      <c r="AK33" s="16">
        <v>211</v>
      </c>
      <c r="AL33" s="16">
        <v>258</v>
      </c>
      <c r="AM33" s="16">
        <v>259</v>
      </c>
      <c r="AN33" s="16">
        <v>270</v>
      </c>
      <c r="AO33" s="16">
        <v>268</v>
      </c>
      <c r="AP33" s="16">
        <v>267</v>
      </c>
      <c r="AQ33" s="16">
        <v>270</v>
      </c>
      <c r="AR33" s="16">
        <v>265</v>
      </c>
      <c r="AS33" s="16">
        <v>245</v>
      </c>
      <c r="AT33" s="16">
        <v>267</v>
      </c>
      <c r="AU33" s="13">
        <f t="shared" ref="AU33:AU36" si="9">SUM(E33:AT33)</f>
        <v>11024</v>
      </c>
    </row>
    <row r="34" spans="1:47" ht="12.75" customHeight="1" x14ac:dyDescent="0.3">
      <c r="A34" s="16">
        <v>2</v>
      </c>
      <c r="B34" s="72" t="s">
        <v>28</v>
      </c>
      <c r="C34" s="61"/>
      <c r="D34" s="59"/>
      <c r="E34" s="13">
        <v>230</v>
      </c>
      <c r="F34" s="13">
        <v>209</v>
      </c>
      <c r="G34" s="13">
        <v>232</v>
      </c>
      <c r="H34" s="13">
        <v>191</v>
      </c>
      <c r="I34" s="13">
        <v>212</v>
      </c>
      <c r="J34" s="13">
        <v>226</v>
      </c>
      <c r="K34" s="13">
        <v>168</v>
      </c>
      <c r="L34" s="13">
        <v>231</v>
      </c>
      <c r="M34" s="13">
        <v>259</v>
      </c>
      <c r="N34" s="13">
        <v>223</v>
      </c>
      <c r="O34" s="13">
        <v>224</v>
      </c>
      <c r="P34" s="13">
        <v>231</v>
      </c>
      <c r="Q34" s="13">
        <v>203</v>
      </c>
      <c r="R34" s="13">
        <v>236</v>
      </c>
      <c r="S34" s="13">
        <v>225</v>
      </c>
      <c r="T34" s="13">
        <v>229</v>
      </c>
      <c r="U34" s="13">
        <v>229</v>
      </c>
      <c r="V34" s="13">
        <v>192</v>
      </c>
      <c r="W34" s="13">
        <v>235</v>
      </c>
      <c r="X34" s="13">
        <v>190</v>
      </c>
      <c r="Y34" s="13">
        <v>189</v>
      </c>
      <c r="Z34" s="13">
        <v>202</v>
      </c>
      <c r="AA34" s="13">
        <v>187</v>
      </c>
      <c r="AB34" s="13">
        <v>187</v>
      </c>
      <c r="AC34" s="13">
        <v>234</v>
      </c>
      <c r="AD34" s="13">
        <v>223</v>
      </c>
      <c r="AE34" s="13">
        <v>215</v>
      </c>
      <c r="AF34" s="13">
        <v>196</v>
      </c>
      <c r="AG34" s="13">
        <v>155</v>
      </c>
      <c r="AH34" s="13">
        <v>188</v>
      </c>
      <c r="AI34" s="13">
        <v>224</v>
      </c>
      <c r="AJ34" s="13">
        <v>180</v>
      </c>
      <c r="AK34" s="13">
        <v>170</v>
      </c>
      <c r="AL34" s="13">
        <v>191</v>
      </c>
      <c r="AM34" s="13">
        <v>205</v>
      </c>
      <c r="AN34" s="13">
        <v>208</v>
      </c>
      <c r="AO34" s="13">
        <v>227</v>
      </c>
      <c r="AP34" s="13">
        <v>219</v>
      </c>
      <c r="AQ34" s="13">
        <v>226</v>
      </c>
      <c r="AR34" s="13">
        <v>224</v>
      </c>
      <c r="AS34" s="13">
        <v>190</v>
      </c>
      <c r="AT34" s="13">
        <v>208</v>
      </c>
      <c r="AU34" s="13">
        <f t="shared" si="9"/>
        <v>8823</v>
      </c>
    </row>
    <row r="35" spans="1:47" ht="12.75" customHeight="1" x14ac:dyDescent="0.3">
      <c r="A35" s="16">
        <v>3</v>
      </c>
      <c r="B35" s="72" t="s">
        <v>29</v>
      </c>
      <c r="C35" s="61"/>
      <c r="D35" s="59"/>
      <c r="E35" s="16">
        <v>0</v>
      </c>
      <c r="F35" s="16">
        <v>0</v>
      </c>
      <c r="G35" s="16">
        <v>3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1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2</v>
      </c>
      <c r="V35" s="16">
        <v>2</v>
      </c>
      <c r="W35" s="16">
        <v>0</v>
      </c>
      <c r="X35" s="16">
        <v>1</v>
      </c>
      <c r="Y35" s="16">
        <v>0</v>
      </c>
      <c r="Z35" s="16">
        <v>0</v>
      </c>
      <c r="AA35" s="16">
        <v>0</v>
      </c>
      <c r="AB35" s="16">
        <v>0</v>
      </c>
      <c r="AC35" s="16">
        <v>3</v>
      </c>
      <c r="AD35" s="16">
        <v>1</v>
      </c>
      <c r="AE35" s="16">
        <v>0</v>
      </c>
      <c r="AF35" s="16">
        <v>0</v>
      </c>
      <c r="AG35" s="16">
        <v>0</v>
      </c>
      <c r="AH35" s="16">
        <v>16</v>
      </c>
      <c r="AI35" s="16">
        <v>0</v>
      </c>
      <c r="AJ35" s="16">
        <v>0</v>
      </c>
      <c r="AK35" s="16">
        <v>0</v>
      </c>
      <c r="AL35" s="16">
        <v>1</v>
      </c>
      <c r="AM35" s="16">
        <v>0</v>
      </c>
      <c r="AN35" s="16">
        <v>0</v>
      </c>
      <c r="AO35" s="16">
        <v>0</v>
      </c>
      <c r="AP35" s="16">
        <v>48</v>
      </c>
      <c r="AQ35" s="16">
        <v>1</v>
      </c>
      <c r="AR35" s="16">
        <v>0</v>
      </c>
      <c r="AS35" s="16">
        <v>1</v>
      </c>
      <c r="AT35" s="16">
        <v>0</v>
      </c>
      <c r="AU35" s="13">
        <f t="shared" si="9"/>
        <v>80</v>
      </c>
    </row>
    <row r="36" spans="1:47" ht="12.75" customHeight="1" x14ac:dyDescent="0.3">
      <c r="A36" s="16">
        <v>4</v>
      </c>
      <c r="B36" s="72" t="s">
        <v>30</v>
      </c>
      <c r="C36" s="61"/>
      <c r="D36" s="59"/>
      <c r="E36" s="13">
        <f t="shared" ref="E36:AT36" si="10">E33-(E34+E35)</f>
        <v>39</v>
      </c>
      <c r="F36" s="13">
        <f t="shared" si="10"/>
        <v>67</v>
      </c>
      <c r="G36" s="13">
        <f t="shared" si="10"/>
        <v>45</v>
      </c>
      <c r="H36" s="13">
        <f t="shared" si="10"/>
        <v>34</v>
      </c>
      <c r="I36" s="13">
        <f t="shared" si="10"/>
        <v>45</v>
      </c>
      <c r="J36" s="13">
        <f t="shared" si="10"/>
        <v>52</v>
      </c>
      <c r="K36" s="13">
        <f t="shared" si="10"/>
        <v>55</v>
      </c>
      <c r="L36" s="13">
        <f t="shared" si="10"/>
        <v>60</v>
      </c>
      <c r="M36" s="13">
        <f t="shared" si="10"/>
        <v>29</v>
      </c>
      <c r="N36" s="13">
        <f t="shared" si="10"/>
        <v>18</v>
      </c>
      <c r="O36" s="13">
        <f t="shared" si="10"/>
        <v>50</v>
      </c>
      <c r="P36" s="13">
        <f t="shared" si="10"/>
        <v>45</v>
      </c>
      <c r="Q36" s="13">
        <f t="shared" si="10"/>
        <v>54</v>
      </c>
      <c r="R36" s="13">
        <f t="shared" si="10"/>
        <v>51</v>
      </c>
      <c r="S36" s="13">
        <f t="shared" si="10"/>
        <v>45</v>
      </c>
      <c r="T36" s="13">
        <f t="shared" si="10"/>
        <v>49</v>
      </c>
      <c r="U36" s="13">
        <f t="shared" si="10"/>
        <v>59</v>
      </c>
      <c r="V36" s="13">
        <f t="shared" si="10"/>
        <v>57</v>
      </c>
      <c r="W36" s="13">
        <f t="shared" si="10"/>
        <v>55</v>
      </c>
      <c r="X36" s="13">
        <f t="shared" si="10"/>
        <v>60</v>
      </c>
      <c r="Y36" s="13">
        <f t="shared" si="10"/>
        <v>53</v>
      </c>
      <c r="Z36" s="13">
        <f t="shared" si="10"/>
        <v>42</v>
      </c>
      <c r="AA36" s="13">
        <f t="shared" si="10"/>
        <v>80</v>
      </c>
      <c r="AB36" s="13">
        <f t="shared" si="10"/>
        <v>67</v>
      </c>
      <c r="AC36" s="13">
        <f t="shared" si="10"/>
        <v>47</v>
      </c>
      <c r="AD36" s="13">
        <f t="shared" si="10"/>
        <v>48</v>
      </c>
      <c r="AE36" s="13">
        <f t="shared" si="10"/>
        <v>59</v>
      </c>
      <c r="AF36" s="13">
        <f t="shared" si="10"/>
        <v>63</v>
      </c>
      <c r="AG36" s="13">
        <f t="shared" si="10"/>
        <v>71</v>
      </c>
      <c r="AH36" s="13">
        <f t="shared" si="10"/>
        <v>59</v>
      </c>
      <c r="AI36" s="13">
        <f t="shared" si="10"/>
        <v>59</v>
      </c>
      <c r="AJ36" s="13">
        <f t="shared" si="10"/>
        <v>43</v>
      </c>
      <c r="AK36" s="13">
        <f t="shared" si="10"/>
        <v>41</v>
      </c>
      <c r="AL36" s="13">
        <f t="shared" si="10"/>
        <v>66</v>
      </c>
      <c r="AM36" s="13">
        <f t="shared" si="10"/>
        <v>54</v>
      </c>
      <c r="AN36" s="13">
        <f t="shared" si="10"/>
        <v>62</v>
      </c>
      <c r="AO36" s="13">
        <f t="shared" si="10"/>
        <v>41</v>
      </c>
      <c r="AP36" s="13">
        <f t="shared" si="10"/>
        <v>0</v>
      </c>
      <c r="AQ36" s="13">
        <f t="shared" si="10"/>
        <v>43</v>
      </c>
      <c r="AR36" s="13">
        <f t="shared" si="10"/>
        <v>41</v>
      </c>
      <c r="AS36" s="13">
        <f t="shared" si="10"/>
        <v>54</v>
      </c>
      <c r="AT36" s="13">
        <f t="shared" si="10"/>
        <v>59</v>
      </c>
      <c r="AU36" s="13">
        <f t="shared" si="9"/>
        <v>2121</v>
      </c>
    </row>
    <row r="37" spans="1:47" ht="12.75" customHeight="1" x14ac:dyDescent="0.3">
      <c r="A37" s="62"/>
      <c r="B37" s="61"/>
      <c r="C37" s="61"/>
      <c r="D37" s="61"/>
      <c r="E37" s="62"/>
      <c r="F37" s="61"/>
      <c r="G37" s="61"/>
      <c r="H37" s="61"/>
      <c r="I37" s="59"/>
      <c r="J37" s="16"/>
      <c r="K37" s="16"/>
      <c r="L37" s="16"/>
      <c r="M37" s="16"/>
      <c r="N37" s="50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1"/>
    </row>
    <row r="38" spans="1:47" ht="12.75" customHeight="1" x14ac:dyDescent="0.3">
      <c r="A38" s="26" t="s">
        <v>31</v>
      </c>
      <c r="B38" s="65" t="s">
        <v>32</v>
      </c>
      <c r="C38" s="61"/>
      <c r="D38" s="59"/>
      <c r="E38" s="13"/>
      <c r="F38" s="13"/>
      <c r="G38" s="13"/>
      <c r="H38" s="13"/>
      <c r="I38" s="13"/>
      <c r="J38" s="13"/>
      <c r="K38" s="13"/>
      <c r="L38" s="13"/>
      <c r="M38" s="13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1"/>
    </row>
    <row r="39" spans="1:47" ht="12.75" customHeight="1" x14ac:dyDescent="0.3">
      <c r="A39" s="20"/>
      <c r="B39" s="66" t="s">
        <v>33</v>
      </c>
      <c r="C39" s="67"/>
      <c r="D39" s="16" t="s">
        <v>12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1</v>
      </c>
      <c r="S39" s="16">
        <v>0</v>
      </c>
      <c r="T39" s="16">
        <v>0</v>
      </c>
      <c r="U39" s="16">
        <v>0</v>
      </c>
      <c r="V39" s="16">
        <v>3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1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1</v>
      </c>
      <c r="AQ39" s="16">
        <v>0</v>
      </c>
      <c r="AR39" s="16">
        <v>0</v>
      </c>
      <c r="AS39" s="16">
        <v>0</v>
      </c>
      <c r="AT39" s="16">
        <v>0</v>
      </c>
      <c r="AU39" s="13">
        <f t="shared" ref="AU39:AU41" si="11">SUM(E39:AT39)</f>
        <v>6</v>
      </c>
    </row>
    <row r="40" spans="1:47" ht="12.75" customHeight="1" x14ac:dyDescent="0.3">
      <c r="A40" s="21"/>
      <c r="B40" s="68"/>
      <c r="C40" s="69"/>
      <c r="D40" s="16" t="s">
        <v>13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1</v>
      </c>
      <c r="S40" s="16">
        <v>0</v>
      </c>
      <c r="T40" s="16">
        <v>0</v>
      </c>
      <c r="U40" s="16">
        <v>0</v>
      </c>
      <c r="V40" s="16">
        <v>8</v>
      </c>
      <c r="W40" s="16">
        <v>0</v>
      </c>
      <c r="X40" s="16">
        <v>1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1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1</v>
      </c>
      <c r="AQ40" s="16">
        <v>0</v>
      </c>
      <c r="AR40" s="16">
        <v>0</v>
      </c>
      <c r="AS40" s="16">
        <v>0</v>
      </c>
      <c r="AT40" s="16">
        <v>0</v>
      </c>
      <c r="AU40" s="13">
        <f t="shared" si="11"/>
        <v>12</v>
      </c>
    </row>
    <row r="41" spans="1:47" ht="12.75" customHeight="1" x14ac:dyDescent="0.3">
      <c r="A41" s="25"/>
      <c r="B41" s="64"/>
      <c r="C41" s="70"/>
      <c r="D41" s="13" t="s">
        <v>14</v>
      </c>
      <c r="E41" s="13">
        <f t="shared" ref="E41:AT41" si="12">SUM(E39:E40)</f>
        <v>0</v>
      </c>
      <c r="F41" s="13">
        <f t="shared" si="12"/>
        <v>0</v>
      </c>
      <c r="G41" s="13">
        <f t="shared" si="12"/>
        <v>0</v>
      </c>
      <c r="H41" s="13">
        <f t="shared" si="12"/>
        <v>0</v>
      </c>
      <c r="I41" s="13">
        <f t="shared" si="12"/>
        <v>0</v>
      </c>
      <c r="J41" s="13">
        <f t="shared" si="12"/>
        <v>0</v>
      </c>
      <c r="K41" s="13">
        <f t="shared" si="12"/>
        <v>0</v>
      </c>
      <c r="L41" s="13">
        <f t="shared" si="12"/>
        <v>0</v>
      </c>
      <c r="M41" s="13">
        <f t="shared" si="12"/>
        <v>0</v>
      </c>
      <c r="N41" s="13">
        <f t="shared" si="12"/>
        <v>0</v>
      </c>
      <c r="O41" s="13">
        <f t="shared" si="12"/>
        <v>0</v>
      </c>
      <c r="P41" s="13">
        <f t="shared" si="12"/>
        <v>0</v>
      </c>
      <c r="Q41" s="13">
        <f t="shared" si="12"/>
        <v>0</v>
      </c>
      <c r="R41" s="13">
        <f t="shared" si="12"/>
        <v>2</v>
      </c>
      <c r="S41" s="13">
        <f t="shared" si="12"/>
        <v>0</v>
      </c>
      <c r="T41" s="13">
        <f t="shared" si="12"/>
        <v>0</v>
      </c>
      <c r="U41" s="13">
        <f t="shared" si="12"/>
        <v>0</v>
      </c>
      <c r="V41" s="13">
        <f t="shared" si="12"/>
        <v>11</v>
      </c>
      <c r="W41" s="13">
        <f t="shared" si="12"/>
        <v>0</v>
      </c>
      <c r="X41" s="13">
        <f t="shared" si="12"/>
        <v>1</v>
      </c>
      <c r="Y41" s="13">
        <f t="shared" si="12"/>
        <v>0</v>
      </c>
      <c r="Z41" s="13">
        <f t="shared" si="12"/>
        <v>0</v>
      </c>
      <c r="AA41" s="13">
        <f t="shared" si="12"/>
        <v>0</v>
      </c>
      <c r="AB41" s="13">
        <f t="shared" si="12"/>
        <v>0</v>
      </c>
      <c r="AC41" s="13">
        <f t="shared" si="12"/>
        <v>0</v>
      </c>
      <c r="AD41" s="13">
        <f t="shared" si="12"/>
        <v>0</v>
      </c>
      <c r="AE41" s="13">
        <f t="shared" si="12"/>
        <v>0</v>
      </c>
      <c r="AF41" s="13">
        <f t="shared" si="12"/>
        <v>2</v>
      </c>
      <c r="AG41" s="13">
        <f t="shared" si="12"/>
        <v>0</v>
      </c>
      <c r="AH41" s="13">
        <f t="shared" si="12"/>
        <v>0</v>
      </c>
      <c r="AI41" s="13">
        <f t="shared" si="12"/>
        <v>0</v>
      </c>
      <c r="AJ41" s="13">
        <f t="shared" si="12"/>
        <v>0</v>
      </c>
      <c r="AK41" s="13">
        <f t="shared" si="12"/>
        <v>0</v>
      </c>
      <c r="AL41" s="13">
        <f t="shared" si="12"/>
        <v>0</v>
      </c>
      <c r="AM41" s="13">
        <f t="shared" si="12"/>
        <v>0</v>
      </c>
      <c r="AN41" s="13">
        <f t="shared" si="12"/>
        <v>0</v>
      </c>
      <c r="AO41" s="13">
        <f t="shared" si="12"/>
        <v>0</v>
      </c>
      <c r="AP41" s="13">
        <f t="shared" si="12"/>
        <v>2</v>
      </c>
      <c r="AQ41" s="13">
        <f t="shared" si="12"/>
        <v>0</v>
      </c>
      <c r="AR41" s="13">
        <f t="shared" si="12"/>
        <v>0</v>
      </c>
      <c r="AS41" s="13">
        <f t="shared" si="12"/>
        <v>0</v>
      </c>
      <c r="AT41" s="13">
        <f t="shared" si="12"/>
        <v>0</v>
      </c>
      <c r="AU41" s="13">
        <f t="shared" si="11"/>
        <v>18</v>
      </c>
    </row>
    <row r="42" spans="1:47" ht="12.75" customHeight="1" x14ac:dyDescent="0.3">
      <c r="A42" s="63"/>
      <c r="B42" s="64"/>
      <c r="C42" s="64"/>
      <c r="D42" s="70"/>
      <c r="E42" s="62"/>
      <c r="F42" s="61"/>
      <c r="G42" s="61"/>
      <c r="H42" s="61"/>
      <c r="I42" s="59"/>
      <c r="J42" s="16"/>
      <c r="K42" s="16"/>
      <c r="L42" s="16"/>
      <c r="M42" s="16"/>
      <c r="N42" s="50"/>
      <c r="O42" s="16"/>
      <c r="P42" s="50"/>
      <c r="Q42" s="16"/>
      <c r="R42" s="50"/>
      <c r="S42" s="16"/>
      <c r="T42" s="50"/>
      <c r="U42" s="16"/>
      <c r="V42" s="50"/>
      <c r="W42" s="16"/>
      <c r="X42" s="50"/>
      <c r="Y42" s="16"/>
      <c r="Z42" s="50"/>
      <c r="AA42" s="16"/>
      <c r="AB42" s="50"/>
      <c r="AC42" s="16"/>
      <c r="AD42" s="50"/>
      <c r="AE42" s="16"/>
      <c r="AF42" s="50"/>
      <c r="AG42" s="16"/>
      <c r="AH42" s="50"/>
      <c r="AI42" s="16"/>
      <c r="AJ42" s="50"/>
      <c r="AK42" s="16"/>
      <c r="AL42" s="50"/>
      <c r="AM42" s="16"/>
      <c r="AN42" s="50"/>
      <c r="AO42" s="16"/>
      <c r="AP42" s="50"/>
      <c r="AQ42" s="16"/>
      <c r="AR42" s="50"/>
      <c r="AS42" s="16"/>
      <c r="AT42" s="50"/>
      <c r="AU42" s="13"/>
    </row>
    <row r="43" spans="1:47" ht="12.75" customHeight="1" x14ac:dyDescent="0.3">
      <c r="A43" s="26" t="s">
        <v>34</v>
      </c>
      <c r="B43" s="65" t="s">
        <v>35</v>
      </c>
      <c r="C43" s="61"/>
      <c r="D43" s="59"/>
      <c r="E43" s="19"/>
      <c r="F43" s="13"/>
      <c r="G43" s="13"/>
      <c r="H43" s="13"/>
      <c r="I43" s="13"/>
      <c r="J43" s="13"/>
      <c r="K43" s="13"/>
      <c r="L43" s="13"/>
      <c r="M43" s="13"/>
      <c r="N43" s="52"/>
      <c r="O43" s="13"/>
      <c r="P43" s="52"/>
      <c r="Q43" s="13"/>
      <c r="R43" s="52"/>
      <c r="S43" s="13"/>
      <c r="T43" s="52"/>
      <c r="U43" s="13"/>
      <c r="V43" s="52"/>
      <c r="W43" s="13"/>
      <c r="X43" s="52"/>
      <c r="Y43" s="13"/>
      <c r="Z43" s="52"/>
      <c r="AA43" s="13"/>
      <c r="AB43" s="52"/>
      <c r="AC43" s="13"/>
      <c r="AD43" s="52"/>
      <c r="AE43" s="13"/>
      <c r="AF43" s="52"/>
      <c r="AG43" s="13"/>
      <c r="AH43" s="52"/>
      <c r="AI43" s="13"/>
      <c r="AJ43" s="52"/>
      <c r="AK43" s="13"/>
      <c r="AL43" s="52"/>
      <c r="AM43" s="13"/>
      <c r="AN43" s="52"/>
      <c r="AO43" s="13"/>
      <c r="AP43" s="52"/>
      <c r="AQ43" s="13"/>
      <c r="AR43" s="52"/>
      <c r="AS43" s="13"/>
      <c r="AT43" s="52"/>
      <c r="AU43" s="13"/>
    </row>
    <row r="44" spans="1:47" ht="12.75" customHeight="1" x14ac:dyDescent="0.3">
      <c r="A44" s="66" t="s">
        <v>36</v>
      </c>
      <c r="B44" s="71"/>
      <c r="C44" s="71"/>
      <c r="D44" s="67"/>
      <c r="E44" s="17"/>
      <c r="F44" s="16"/>
      <c r="G44" s="16"/>
      <c r="H44" s="16"/>
      <c r="I44" s="16"/>
      <c r="J44" s="16"/>
      <c r="K44" s="16"/>
      <c r="L44" s="16"/>
      <c r="M44" s="16"/>
      <c r="N44" s="50"/>
      <c r="O44" s="16"/>
      <c r="P44" s="50"/>
      <c r="Q44" s="16"/>
      <c r="R44" s="50"/>
      <c r="S44" s="16"/>
      <c r="T44" s="50"/>
      <c r="U44" s="16"/>
      <c r="V44" s="50"/>
      <c r="W44" s="16"/>
      <c r="X44" s="50"/>
      <c r="Y44" s="16"/>
      <c r="Z44" s="50"/>
      <c r="AA44" s="16"/>
      <c r="AB44" s="50"/>
      <c r="AC44" s="16"/>
      <c r="AD44" s="50"/>
      <c r="AE44" s="16"/>
      <c r="AF44" s="50"/>
      <c r="AG44" s="16"/>
      <c r="AH44" s="50"/>
      <c r="AI44" s="16"/>
      <c r="AJ44" s="50"/>
      <c r="AK44" s="16"/>
      <c r="AL44" s="50"/>
      <c r="AM44" s="16"/>
      <c r="AN44" s="50"/>
      <c r="AO44" s="16"/>
      <c r="AP44" s="50"/>
      <c r="AQ44" s="16"/>
      <c r="AR44" s="50"/>
      <c r="AS44" s="16"/>
      <c r="AT44" s="50"/>
      <c r="AU44" s="13"/>
    </row>
    <row r="45" spans="1:47" ht="12.75" customHeight="1" x14ac:dyDescent="0.3">
      <c r="A45" s="20" t="s">
        <v>37</v>
      </c>
      <c r="B45" s="27" t="s">
        <v>17</v>
      </c>
      <c r="C45" s="58" t="s">
        <v>38</v>
      </c>
      <c r="D45" s="59"/>
      <c r="E45" s="16">
        <v>8</v>
      </c>
      <c r="F45" s="16">
        <v>2</v>
      </c>
      <c r="G45" s="16">
        <v>5</v>
      </c>
      <c r="H45" s="16">
        <v>2</v>
      </c>
      <c r="I45" s="16">
        <v>2</v>
      </c>
      <c r="J45" s="16"/>
      <c r="K45" s="16">
        <v>2</v>
      </c>
      <c r="L45" s="16">
        <v>3</v>
      </c>
      <c r="M45" s="16">
        <v>2</v>
      </c>
      <c r="N45" s="16">
        <v>2</v>
      </c>
      <c r="O45" s="16">
        <v>5</v>
      </c>
      <c r="P45" s="16">
        <v>3</v>
      </c>
      <c r="Q45" s="16">
        <v>2</v>
      </c>
      <c r="R45" s="16">
        <v>3</v>
      </c>
      <c r="S45" s="16">
        <v>5</v>
      </c>
      <c r="T45" s="16">
        <v>1</v>
      </c>
      <c r="U45" s="16">
        <v>4</v>
      </c>
      <c r="V45" s="16">
        <v>1</v>
      </c>
      <c r="W45" s="16">
        <v>3</v>
      </c>
      <c r="X45" s="16">
        <v>9</v>
      </c>
      <c r="Y45" s="16">
        <v>4</v>
      </c>
      <c r="Z45" s="16">
        <v>1</v>
      </c>
      <c r="AA45" s="16">
        <v>4</v>
      </c>
      <c r="AB45" s="16">
        <v>4</v>
      </c>
      <c r="AC45" s="16">
        <v>3</v>
      </c>
      <c r="AD45" s="16">
        <v>2</v>
      </c>
      <c r="AE45" s="16">
        <v>4</v>
      </c>
      <c r="AF45" s="16">
        <v>1</v>
      </c>
      <c r="AG45" s="16">
        <v>6</v>
      </c>
      <c r="AH45" s="16">
        <v>7</v>
      </c>
      <c r="AI45" s="16">
        <v>10</v>
      </c>
      <c r="AJ45" s="16">
        <v>3</v>
      </c>
      <c r="AK45" s="16">
        <v>5</v>
      </c>
      <c r="AL45" s="16">
        <v>3</v>
      </c>
      <c r="AM45" s="16">
        <v>4</v>
      </c>
      <c r="AN45" s="16">
        <v>5</v>
      </c>
      <c r="AO45" s="16">
        <v>14</v>
      </c>
      <c r="AP45" s="16">
        <v>9</v>
      </c>
      <c r="AQ45" s="16">
        <v>7</v>
      </c>
      <c r="AR45" s="16">
        <v>3</v>
      </c>
      <c r="AS45" s="16">
        <v>0</v>
      </c>
      <c r="AT45" s="16">
        <v>3</v>
      </c>
      <c r="AU45" s="13">
        <f t="shared" ref="AU45:AU54" si="13">SUM(E45:AT45)</f>
        <v>166</v>
      </c>
    </row>
    <row r="46" spans="1:47" ht="12.75" customHeight="1" x14ac:dyDescent="0.3">
      <c r="A46" s="20" t="s">
        <v>39</v>
      </c>
      <c r="B46" s="28"/>
      <c r="C46" s="29" t="s">
        <v>40</v>
      </c>
      <c r="D46" s="29"/>
      <c r="E46" s="16">
        <v>1</v>
      </c>
      <c r="F46" s="16">
        <v>2</v>
      </c>
      <c r="G46" s="16">
        <v>4</v>
      </c>
      <c r="H46" s="16">
        <v>2</v>
      </c>
      <c r="I46" s="16">
        <v>6</v>
      </c>
      <c r="J46" s="16"/>
      <c r="K46" s="16">
        <v>4</v>
      </c>
      <c r="L46" s="16">
        <v>8</v>
      </c>
      <c r="M46" s="16">
        <v>2</v>
      </c>
      <c r="N46" s="16">
        <v>3</v>
      </c>
      <c r="O46" s="16">
        <v>0</v>
      </c>
      <c r="P46" s="16">
        <v>0</v>
      </c>
      <c r="Q46" s="16">
        <v>9</v>
      </c>
      <c r="R46" s="16">
        <v>15</v>
      </c>
      <c r="S46" s="16">
        <v>14</v>
      </c>
      <c r="T46" s="16">
        <v>5</v>
      </c>
      <c r="U46" s="16">
        <v>2</v>
      </c>
      <c r="V46" s="16">
        <v>3</v>
      </c>
      <c r="W46" s="16">
        <v>2</v>
      </c>
      <c r="X46" s="16">
        <v>23</v>
      </c>
      <c r="Y46" s="16">
        <v>29</v>
      </c>
      <c r="Z46" s="16">
        <v>8</v>
      </c>
      <c r="AA46" s="16">
        <v>13</v>
      </c>
      <c r="AB46" s="16">
        <v>4</v>
      </c>
      <c r="AC46" s="16">
        <v>8</v>
      </c>
      <c r="AD46" s="16">
        <v>4</v>
      </c>
      <c r="AE46" s="16">
        <v>17</v>
      </c>
      <c r="AF46" s="16">
        <v>11</v>
      </c>
      <c r="AG46" s="16">
        <v>4</v>
      </c>
      <c r="AH46" s="16">
        <v>9</v>
      </c>
      <c r="AI46" s="16">
        <v>36</v>
      </c>
      <c r="AJ46" s="16">
        <v>5</v>
      </c>
      <c r="AK46" s="16">
        <v>17</v>
      </c>
      <c r="AL46" s="16">
        <v>12</v>
      </c>
      <c r="AM46" s="16">
        <v>19</v>
      </c>
      <c r="AN46" s="16">
        <v>29</v>
      </c>
      <c r="AO46" s="16">
        <v>52</v>
      </c>
      <c r="AP46" s="16">
        <v>17</v>
      </c>
      <c r="AQ46" s="16">
        <v>14</v>
      </c>
      <c r="AR46" s="16">
        <v>3</v>
      </c>
      <c r="AS46" s="16">
        <v>1</v>
      </c>
      <c r="AT46" s="16">
        <v>13</v>
      </c>
      <c r="AU46" s="13">
        <f t="shared" si="13"/>
        <v>430</v>
      </c>
    </row>
    <row r="47" spans="1:47" ht="12.75" customHeight="1" x14ac:dyDescent="0.3">
      <c r="A47" s="15"/>
      <c r="B47" s="34"/>
      <c r="C47" s="29" t="s">
        <v>41</v>
      </c>
      <c r="D47" s="29"/>
      <c r="E47" s="16">
        <v>1</v>
      </c>
      <c r="F47" s="16">
        <v>3</v>
      </c>
      <c r="G47" s="16">
        <v>1</v>
      </c>
      <c r="H47" s="16">
        <v>0</v>
      </c>
      <c r="I47" s="16">
        <v>1</v>
      </c>
      <c r="J47" s="16"/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1</v>
      </c>
      <c r="R47" s="16">
        <v>6</v>
      </c>
      <c r="S47" s="16">
        <v>3</v>
      </c>
      <c r="T47" s="16">
        <v>1</v>
      </c>
      <c r="U47" s="16">
        <v>1</v>
      </c>
      <c r="V47" s="16">
        <v>0</v>
      </c>
      <c r="W47" s="16">
        <v>0</v>
      </c>
      <c r="X47" s="16">
        <v>0</v>
      </c>
      <c r="Y47" s="16">
        <v>1</v>
      </c>
      <c r="Z47" s="16">
        <v>1</v>
      </c>
      <c r="AA47" s="16">
        <v>1</v>
      </c>
      <c r="AB47" s="16">
        <v>1</v>
      </c>
      <c r="AC47" s="16">
        <v>0</v>
      </c>
      <c r="AD47" s="16">
        <v>1</v>
      </c>
      <c r="AE47" s="16">
        <v>2</v>
      </c>
      <c r="AF47" s="16">
        <v>4</v>
      </c>
      <c r="AG47" s="16">
        <v>0</v>
      </c>
      <c r="AH47" s="16">
        <v>4</v>
      </c>
      <c r="AI47" s="16">
        <v>5</v>
      </c>
      <c r="AJ47" s="16">
        <v>1</v>
      </c>
      <c r="AK47" s="16">
        <v>2</v>
      </c>
      <c r="AL47" s="16">
        <v>1</v>
      </c>
      <c r="AM47" s="16">
        <v>0</v>
      </c>
      <c r="AN47" s="16">
        <v>4</v>
      </c>
      <c r="AO47" s="16">
        <v>5</v>
      </c>
      <c r="AP47" s="16">
        <v>2</v>
      </c>
      <c r="AQ47" s="16">
        <v>0</v>
      </c>
      <c r="AR47" s="16">
        <v>0</v>
      </c>
      <c r="AS47" s="16">
        <v>0</v>
      </c>
      <c r="AT47" s="16">
        <v>1</v>
      </c>
      <c r="AU47" s="13">
        <f t="shared" si="13"/>
        <v>54</v>
      </c>
    </row>
    <row r="48" spans="1:47" ht="12.75" customHeight="1" x14ac:dyDescent="0.3">
      <c r="A48" s="15"/>
      <c r="B48" s="34"/>
      <c r="C48" s="29" t="s">
        <v>42</v>
      </c>
      <c r="D48" s="29"/>
      <c r="E48" s="16">
        <v>0</v>
      </c>
      <c r="F48" s="16">
        <v>0</v>
      </c>
      <c r="G48" s="16">
        <v>0</v>
      </c>
      <c r="H48" s="16">
        <v>0</v>
      </c>
      <c r="I48" s="16">
        <v>1</v>
      </c>
      <c r="J48" s="16">
        <v>1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1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1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3</v>
      </c>
      <c r="AI48" s="16">
        <v>1</v>
      </c>
      <c r="AJ48" s="16">
        <v>2</v>
      </c>
      <c r="AK48" s="16">
        <v>2</v>
      </c>
      <c r="AL48" s="16">
        <v>1</v>
      </c>
      <c r="AM48" s="16">
        <v>1</v>
      </c>
      <c r="AN48" s="16">
        <v>3</v>
      </c>
      <c r="AO48" s="16">
        <v>2</v>
      </c>
      <c r="AP48" s="16">
        <v>0</v>
      </c>
      <c r="AQ48" s="16">
        <v>0</v>
      </c>
      <c r="AR48" s="16">
        <v>1</v>
      </c>
      <c r="AS48" s="16">
        <v>0</v>
      </c>
      <c r="AT48" s="16">
        <v>0</v>
      </c>
      <c r="AU48" s="13">
        <f t="shared" si="13"/>
        <v>20</v>
      </c>
    </row>
    <row r="49" spans="1:47" ht="12.75" customHeight="1" x14ac:dyDescent="0.3">
      <c r="A49" s="15"/>
      <c r="B49" s="34"/>
      <c r="C49" s="29" t="s">
        <v>43</v>
      </c>
      <c r="D49" s="29"/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2</v>
      </c>
      <c r="O49" s="16">
        <v>0</v>
      </c>
      <c r="P49" s="16">
        <v>0</v>
      </c>
      <c r="Q49" s="16">
        <v>1</v>
      </c>
      <c r="R49" s="16">
        <v>1</v>
      </c>
      <c r="S49" s="16">
        <v>0</v>
      </c>
      <c r="T49" s="16">
        <v>1</v>
      </c>
      <c r="U49" s="16">
        <v>0</v>
      </c>
      <c r="V49" s="16">
        <v>1</v>
      </c>
      <c r="W49" s="16">
        <v>0</v>
      </c>
      <c r="X49" s="16">
        <v>0</v>
      </c>
      <c r="Y49" s="16">
        <v>2</v>
      </c>
      <c r="Z49" s="16">
        <v>3</v>
      </c>
      <c r="AA49" s="16">
        <v>0</v>
      </c>
      <c r="AB49" s="16">
        <v>0</v>
      </c>
      <c r="AC49" s="16">
        <v>0</v>
      </c>
      <c r="AD49" s="16">
        <v>1</v>
      </c>
      <c r="AE49" s="16">
        <v>1</v>
      </c>
      <c r="AF49" s="16">
        <v>0</v>
      </c>
      <c r="AG49" s="16">
        <v>0</v>
      </c>
      <c r="AH49" s="16">
        <v>1</v>
      </c>
      <c r="AI49" s="16">
        <v>1</v>
      </c>
      <c r="AJ49" s="16">
        <v>1</v>
      </c>
      <c r="AK49" s="16">
        <v>3</v>
      </c>
      <c r="AL49" s="16">
        <v>1</v>
      </c>
      <c r="AM49" s="16">
        <v>0</v>
      </c>
      <c r="AN49" s="16">
        <v>2</v>
      </c>
      <c r="AO49" s="16">
        <v>0</v>
      </c>
      <c r="AP49" s="16">
        <v>1</v>
      </c>
      <c r="AQ49" s="16">
        <v>1</v>
      </c>
      <c r="AR49" s="16">
        <v>3</v>
      </c>
      <c r="AS49" s="16">
        <v>0</v>
      </c>
      <c r="AT49" s="16">
        <v>4</v>
      </c>
      <c r="AU49" s="13">
        <f t="shared" si="13"/>
        <v>31</v>
      </c>
    </row>
    <row r="50" spans="1:47" ht="12.75" customHeight="1" x14ac:dyDescent="0.3">
      <c r="A50" s="15"/>
      <c r="B50" s="34"/>
      <c r="C50" s="29" t="s">
        <v>44</v>
      </c>
      <c r="D50" s="29"/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2</v>
      </c>
      <c r="K50" s="16">
        <v>0</v>
      </c>
      <c r="L50" s="16">
        <v>0</v>
      </c>
      <c r="M50" s="16">
        <v>0</v>
      </c>
      <c r="N50" s="16">
        <v>3</v>
      </c>
      <c r="O50" s="16">
        <v>0</v>
      </c>
      <c r="P50" s="16">
        <v>0</v>
      </c>
      <c r="Q50" s="16">
        <v>0</v>
      </c>
      <c r="R50" s="16">
        <v>1</v>
      </c>
      <c r="S50" s="16">
        <v>0</v>
      </c>
      <c r="T50" s="16">
        <v>0</v>
      </c>
      <c r="U50" s="16">
        <v>1</v>
      </c>
      <c r="V50" s="16">
        <v>0</v>
      </c>
      <c r="W50" s="16">
        <v>0</v>
      </c>
      <c r="X50" s="16">
        <v>0</v>
      </c>
      <c r="Y50" s="16">
        <v>0</v>
      </c>
      <c r="Z50" s="16">
        <v>1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1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1</v>
      </c>
      <c r="AM50" s="16">
        <v>0</v>
      </c>
      <c r="AN50" s="16">
        <v>0</v>
      </c>
      <c r="AO50" s="16">
        <v>1</v>
      </c>
      <c r="AP50" s="16">
        <v>2</v>
      </c>
      <c r="AQ50" s="16">
        <v>0</v>
      </c>
      <c r="AR50" s="16">
        <v>1</v>
      </c>
      <c r="AS50" s="16">
        <v>0</v>
      </c>
      <c r="AT50" s="16">
        <v>0</v>
      </c>
      <c r="AU50" s="13">
        <f t="shared" si="13"/>
        <v>15</v>
      </c>
    </row>
    <row r="51" spans="1:47" ht="12.75" customHeight="1" x14ac:dyDescent="0.3">
      <c r="A51" s="15"/>
      <c r="B51" s="34"/>
      <c r="C51" s="29" t="s">
        <v>45</v>
      </c>
      <c r="D51" s="29"/>
      <c r="E51" s="16">
        <v>0</v>
      </c>
      <c r="F51" s="16">
        <v>0</v>
      </c>
      <c r="G51" s="16">
        <v>0</v>
      </c>
      <c r="H51" s="16">
        <v>0</v>
      </c>
      <c r="I51" s="16">
        <v>1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2</v>
      </c>
      <c r="T51" s="16">
        <v>1</v>
      </c>
      <c r="U51" s="16">
        <v>2</v>
      </c>
      <c r="V51" s="16">
        <v>0</v>
      </c>
      <c r="W51" s="16">
        <v>0</v>
      </c>
      <c r="X51" s="16">
        <v>0</v>
      </c>
      <c r="Y51" s="16">
        <v>3</v>
      </c>
      <c r="Z51" s="16">
        <v>0</v>
      </c>
      <c r="AA51" s="16">
        <v>0</v>
      </c>
      <c r="AB51" s="16">
        <v>0</v>
      </c>
      <c r="AC51" s="16">
        <v>1</v>
      </c>
      <c r="AD51" s="16">
        <v>1</v>
      </c>
      <c r="AE51" s="16">
        <v>0</v>
      </c>
      <c r="AF51" s="16">
        <v>0</v>
      </c>
      <c r="AG51" s="16">
        <v>1</v>
      </c>
      <c r="AH51" s="16">
        <v>1</v>
      </c>
      <c r="AI51" s="16">
        <v>0</v>
      </c>
      <c r="AJ51" s="16">
        <v>0</v>
      </c>
      <c r="AK51" s="16">
        <v>0</v>
      </c>
      <c r="AL51" s="16">
        <v>1</v>
      </c>
      <c r="AM51" s="16">
        <v>0</v>
      </c>
      <c r="AN51" s="16">
        <v>0</v>
      </c>
      <c r="AO51" s="16">
        <v>1</v>
      </c>
      <c r="AP51" s="16">
        <v>0</v>
      </c>
      <c r="AQ51" s="16">
        <v>1</v>
      </c>
      <c r="AR51" s="16">
        <v>0</v>
      </c>
      <c r="AS51" s="16">
        <v>0</v>
      </c>
      <c r="AT51" s="16">
        <v>0</v>
      </c>
      <c r="AU51" s="13">
        <f t="shared" si="13"/>
        <v>16</v>
      </c>
    </row>
    <row r="52" spans="1:47" ht="12.75" customHeight="1" x14ac:dyDescent="0.3">
      <c r="A52" s="15"/>
      <c r="B52" s="34"/>
      <c r="C52" s="29" t="s">
        <v>46</v>
      </c>
      <c r="D52" s="29"/>
      <c r="E52" s="16">
        <v>0</v>
      </c>
      <c r="F52" s="16">
        <v>0</v>
      </c>
      <c r="G52" s="16">
        <v>0</v>
      </c>
      <c r="H52" s="16">
        <v>2</v>
      </c>
      <c r="I52" s="16">
        <v>0</v>
      </c>
      <c r="J52" s="16">
        <v>1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1</v>
      </c>
      <c r="Q52" s="16">
        <v>0</v>
      </c>
      <c r="R52" s="16">
        <v>0</v>
      </c>
      <c r="S52" s="16">
        <v>0</v>
      </c>
      <c r="T52" s="16">
        <v>0</v>
      </c>
      <c r="U52" s="16">
        <v>1</v>
      </c>
      <c r="V52" s="16">
        <v>0</v>
      </c>
      <c r="W52" s="16">
        <v>0</v>
      </c>
      <c r="X52" s="16">
        <v>0</v>
      </c>
      <c r="Y52" s="16">
        <v>1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2</v>
      </c>
      <c r="AG52" s="16">
        <v>0</v>
      </c>
      <c r="AH52" s="16">
        <v>0</v>
      </c>
      <c r="AI52" s="16">
        <v>1</v>
      </c>
      <c r="AJ52" s="16">
        <v>1</v>
      </c>
      <c r="AK52" s="16">
        <v>1</v>
      </c>
      <c r="AL52" s="16">
        <v>1</v>
      </c>
      <c r="AM52" s="16">
        <v>0</v>
      </c>
      <c r="AN52" s="16">
        <v>0</v>
      </c>
      <c r="AO52" s="16">
        <v>1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3">
        <f t="shared" si="13"/>
        <v>13</v>
      </c>
    </row>
    <row r="53" spans="1:47" ht="12.75" customHeight="1" x14ac:dyDescent="0.3">
      <c r="A53" s="15"/>
      <c r="B53" s="34"/>
      <c r="C53" s="29" t="s">
        <v>47</v>
      </c>
      <c r="D53" s="29"/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1</v>
      </c>
      <c r="AP53" s="16">
        <v>0</v>
      </c>
      <c r="AQ53" s="16">
        <v>0</v>
      </c>
      <c r="AR53" s="16">
        <v>0</v>
      </c>
      <c r="AS53" s="16">
        <v>0</v>
      </c>
      <c r="AT53" s="16">
        <v>1</v>
      </c>
      <c r="AU53" s="13">
        <f t="shared" si="13"/>
        <v>2</v>
      </c>
    </row>
    <row r="54" spans="1:47" ht="12.75" customHeight="1" x14ac:dyDescent="0.3">
      <c r="A54" s="15"/>
      <c r="B54" s="34"/>
      <c r="C54" s="29" t="s">
        <v>48</v>
      </c>
      <c r="D54" s="29"/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1</v>
      </c>
      <c r="N54" s="16">
        <v>0</v>
      </c>
      <c r="O54" s="16">
        <v>0</v>
      </c>
      <c r="P54" s="16">
        <v>1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1</v>
      </c>
      <c r="X54" s="16">
        <v>0</v>
      </c>
      <c r="Y54" s="16">
        <v>2</v>
      </c>
      <c r="Z54" s="16">
        <v>0</v>
      </c>
      <c r="AA54" s="16">
        <v>0</v>
      </c>
      <c r="AB54" s="16">
        <v>0</v>
      </c>
      <c r="AC54" s="16">
        <v>0</v>
      </c>
      <c r="AD54" s="16">
        <v>1</v>
      </c>
      <c r="AE54" s="16">
        <v>0</v>
      </c>
      <c r="AF54" s="16">
        <v>0</v>
      </c>
      <c r="AG54" s="16">
        <v>1</v>
      </c>
      <c r="AH54" s="16">
        <v>1</v>
      </c>
      <c r="AI54" s="16">
        <v>1</v>
      </c>
      <c r="AJ54" s="16">
        <v>1</v>
      </c>
      <c r="AK54" s="16">
        <v>0</v>
      </c>
      <c r="AL54" s="16">
        <v>1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1</v>
      </c>
      <c r="AU54" s="13">
        <f t="shared" si="13"/>
        <v>12</v>
      </c>
    </row>
    <row r="55" spans="1:47" ht="12.75" customHeight="1" x14ac:dyDescent="0.3">
      <c r="A55" s="16" t="s">
        <v>15</v>
      </c>
      <c r="B55" s="60" t="s">
        <v>49</v>
      </c>
      <c r="C55" s="61"/>
      <c r="D55" s="59"/>
      <c r="E55" s="13">
        <f>SUM(E45:E54)</f>
        <v>10</v>
      </c>
      <c r="F55" s="13">
        <f t="shared" ref="F55:AU55" si="14">SUM(F45:F54)</f>
        <v>7</v>
      </c>
      <c r="G55" s="13">
        <f t="shared" si="14"/>
        <v>10</v>
      </c>
      <c r="H55" s="13">
        <f t="shared" si="14"/>
        <v>6</v>
      </c>
      <c r="I55" s="13">
        <f t="shared" si="14"/>
        <v>11</v>
      </c>
      <c r="J55" s="13">
        <f t="shared" si="14"/>
        <v>4</v>
      </c>
      <c r="K55" s="13">
        <f t="shared" si="14"/>
        <v>6</v>
      </c>
      <c r="L55" s="13">
        <f t="shared" si="14"/>
        <v>11</v>
      </c>
      <c r="M55" s="13">
        <f t="shared" si="14"/>
        <v>5</v>
      </c>
      <c r="N55" s="13">
        <f t="shared" si="14"/>
        <v>10</v>
      </c>
      <c r="O55" s="13">
        <f t="shared" si="14"/>
        <v>5</v>
      </c>
      <c r="P55" s="13">
        <f t="shared" si="14"/>
        <v>5</v>
      </c>
      <c r="Q55" s="13">
        <f t="shared" si="14"/>
        <v>14</v>
      </c>
      <c r="R55" s="13">
        <f t="shared" si="14"/>
        <v>26</v>
      </c>
      <c r="S55" s="13">
        <f t="shared" si="14"/>
        <v>24</v>
      </c>
      <c r="T55" s="13">
        <f t="shared" si="14"/>
        <v>9</v>
      </c>
      <c r="U55" s="13">
        <f t="shared" si="14"/>
        <v>11</v>
      </c>
      <c r="V55" s="13">
        <f t="shared" si="14"/>
        <v>5</v>
      </c>
      <c r="W55" s="13">
        <f t="shared" si="14"/>
        <v>6</v>
      </c>
      <c r="X55" s="13">
        <f t="shared" si="14"/>
        <v>32</v>
      </c>
      <c r="Y55" s="13">
        <f t="shared" si="14"/>
        <v>43</v>
      </c>
      <c r="Z55" s="13">
        <f t="shared" si="14"/>
        <v>14</v>
      </c>
      <c r="AA55" s="13">
        <f t="shared" si="14"/>
        <v>18</v>
      </c>
      <c r="AB55" s="13">
        <f t="shared" si="14"/>
        <v>9</v>
      </c>
      <c r="AC55" s="13">
        <f t="shared" si="14"/>
        <v>12</v>
      </c>
      <c r="AD55" s="13">
        <f t="shared" si="14"/>
        <v>10</v>
      </c>
      <c r="AE55" s="13">
        <f t="shared" si="14"/>
        <v>25</v>
      </c>
      <c r="AF55" s="13">
        <f t="shared" si="14"/>
        <v>19</v>
      </c>
      <c r="AG55" s="13">
        <f t="shared" si="14"/>
        <v>12</v>
      </c>
      <c r="AH55" s="13">
        <f t="shared" si="14"/>
        <v>26</v>
      </c>
      <c r="AI55" s="13">
        <f t="shared" si="14"/>
        <v>55</v>
      </c>
      <c r="AJ55" s="13">
        <f t="shared" si="14"/>
        <v>14</v>
      </c>
      <c r="AK55" s="13">
        <f t="shared" si="14"/>
        <v>30</v>
      </c>
      <c r="AL55" s="13">
        <f t="shared" si="14"/>
        <v>22</v>
      </c>
      <c r="AM55" s="13">
        <f t="shared" si="14"/>
        <v>24</v>
      </c>
      <c r="AN55" s="13">
        <f t="shared" si="14"/>
        <v>43</v>
      </c>
      <c r="AO55" s="13">
        <f t="shared" si="14"/>
        <v>77</v>
      </c>
      <c r="AP55" s="13">
        <f t="shared" si="14"/>
        <v>31</v>
      </c>
      <c r="AQ55" s="13">
        <f t="shared" si="14"/>
        <v>23</v>
      </c>
      <c r="AR55" s="13">
        <f t="shared" si="14"/>
        <v>11</v>
      </c>
      <c r="AS55" s="13">
        <f t="shared" si="14"/>
        <v>1</v>
      </c>
      <c r="AT55" s="13">
        <f t="shared" si="14"/>
        <v>23</v>
      </c>
      <c r="AU55" s="13">
        <f t="shared" si="14"/>
        <v>759</v>
      </c>
    </row>
    <row r="56" spans="1:47" ht="12.75" customHeight="1" x14ac:dyDescent="0.3">
      <c r="A56" s="63"/>
      <c r="B56" s="64"/>
      <c r="C56" s="64"/>
      <c r="D56" s="64"/>
      <c r="E56" s="64"/>
      <c r="AU56" s="13"/>
    </row>
    <row r="57" spans="1:47" ht="12.75" customHeight="1" x14ac:dyDescent="0.3">
      <c r="A57" s="20" t="s">
        <v>37</v>
      </c>
      <c r="B57" s="27" t="s">
        <v>19</v>
      </c>
      <c r="C57" s="58" t="s">
        <v>50</v>
      </c>
      <c r="D57" s="59"/>
      <c r="E57" s="16">
        <v>18</v>
      </c>
      <c r="F57" s="16">
        <v>13</v>
      </c>
      <c r="G57" s="16">
        <v>7</v>
      </c>
      <c r="H57" s="16">
        <v>13</v>
      </c>
      <c r="I57" s="16">
        <v>6</v>
      </c>
      <c r="J57" s="16">
        <v>5</v>
      </c>
      <c r="K57" s="16">
        <v>9</v>
      </c>
      <c r="L57" s="16">
        <v>8</v>
      </c>
      <c r="M57" s="16">
        <v>11</v>
      </c>
      <c r="N57" s="16">
        <v>7</v>
      </c>
      <c r="O57" s="16">
        <v>7</v>
      </c>
      <c r="P57" s="16">
        <v>10</v>
      </c>
      <c r="Q57" s="16">
        <v>5</v>
      </c>
      <c r="R57" s="16">
        <v>5</v>
      </c>
      <c r="S57" s="16">
        <v>9</v>
      </c>
      <c r="T57" s="16">
        <v>9</v>
      </c>
      <c r="U57" s="16">
        <v>9</v>
      </c>
      <c r="V57" s="16">
        <v>4</v>
      </c>
      <c r="W57" s="16">
        <v>14</v>
      </c>
      <c r="X57" s="16">
        <v>8</v>
      </c>
      <c r="Y57" s="16">
        <v>3</v>
      </c>
      <c r="Z57" s="16">
        <v>9</v>
      </c>
      <c r="AA57" s="16">
        <v>8</v>
      </c>
      <c r="AB57" s="16">
        <v>4</v>
      </c>
      <c r="AC57" s="16">
        <v>2</v>
      </c>
      <c r="AD57" s="16">
        <v>5</v>
      </c>
      <c r="AE57" s="16">
        <v>2</v>
      </c>
      <c r="AF57" s="16">
        <v>16</v>
      </c>
      <c r="AG57" s="16">
        <v>4</v>
      </c>
      <c r="AH57" s="16">
        <v>12</v>
      </c>
      <c r="AI57" s="16">
        <v>11</v>
      </c>
      <c r="AJ57" s="16">
        <v>5</v>
      </c>
      <c r="AK57" s="16">
        <v>8</v>
      </c>
      <c r="AL57" s="16">
        <v>5</v>
      </c>
      <c r="AM57" s="16">
        <v>6</v>
      </c>
      <c r="AN57" s="16">
        <v>12</v>
      </c>
      <c r="AO57" s="16">
        <v>8</v>
      </c>
      <c r="AP57" s="16">
        <v>21</v>
      </c>
      <c r="AQ57" s="16">
        <v>4</v>
      </c>
      <c r="AR57" s="16">
        <v>2</v>
      </c>
      <c r="AS57" s="16">
        <v>6</v>
      </c>
      <c r="AT57" s="16">
        <v>4</v>
      </c>
      <c r="AU57" s="13">
        <f t="shared" ref="AU57:AU66" si="15">SUM(E57:AT57)</f>
        <v>334</v>
      </c>
    </row>
    <row r="58" spans="1:47" ht="12.75" customHeight="1" x14ac:dyDescent="0.3">
      <c r="A58" s="20" t="s">
        <v>39</v>
      </c>
      <c r="B58" s="34"/>
      <c r="C58" s="29" t="s">
        <v>51</v>
      </c>
      <c r="D58" s="35"/>
      <c r="E58" s="16">
        <v>49</v>
      </c>
      <c r="F58" s="16">
        <v>13</v>
      </c>
      <c r="G58" s="16">
        <v>60</v>
      </c>
      <c r="H58" s="16">
        <v>74</v>
      </c>
      <c r="I58" s="16">
        <v>52</v>
      </c>
      <c r="J58" s="16">
        <v>20</v>
      </c>
      <c r="K58" s="16">
        <v>21</v>
      </c>
      <c r="L58" s="16">
        <v>76</v>
      </c>
      <c r="M58" s="16">
        <v>63</v>
      </c>
      <c r="N58" s="16">
        <v>22</v>
      </c>
      <c r="O58" s="16">
        <v>10</v>
      </c>
      <c r="P58" s="16">
        <v>7</v>
      </c>
      <c r="Q58" s="16">
        <v>22</v>
      </c>
      <c r="R58" s="16">
        <v>58</v>
      </c>
      <c r="S58" s="16">
        <v>29</v>
      </c>
      <c r="T58" s="16">
        <v>49</v>
      </c>
      <c r="U58" s="16">
        <v>19</v>
      </c>
      <c r="V58" s="16">
        <v>25</v>
      </c>
      <c r="W58" s="16">
        <v>74</v>
      </c>
      <c r="X58" s="16">
        <v>15</v>
      </c>
      <c r="Y58" s="16">
        <v>11</v>
      </c>
      <c r="Z58" s="16">
        <v>5</v>
      </c>
      <c r="AA58" s="16">
        <v>15</v>
      </c>
      <c r="AB58" s="16">
        <v>10</v>
      </c>
      <c r="AC58" s="16">
        <v>4</v>
      </c>
      <c r="AD58" s="16">
        <v>8</v>
      </c>
      <c r="AE58" s="16">
        <v>13</v>
      </c>
      <c r="AF58" s="16">
        <v>10</v>
      </c>
      <c r="AG58" s="16">
        <v>7</v>
      </c>
      <c r="AH58" s="16">
        <v>13</v>
      </c>
      <c r="AI58" s="16">
        <v>5</v>
      </c>
      <c r="AJ58" s="16">
        <v>30</v>
      </c>
      <c r="AK58" s="16">
        <v>50</v>
      </c>
      <c r="AL58" s="16">
        <v>16</v>
      </c>
      <c r="AM58" s="16">
        <v>28</v>
      </c>
      <c r="AN58" s="16">
        <v>27</v>
      </c>
      <c r="AO58" s="16">
        <v>14</v>
      </c>
      <c r="AP58" s="16">
        <v>47</v>
      </c>
      <c r="AQ58" s="16">
        <v>23</v>
      </c>
      <c r="AR58" s="16">
        <v>17</v>
      </c>
      <c r="AS58" s="16">
        <v>3</v>
      </c>
      <c r="AT58" s="16">
        <v>16</v>
      </c>
      <c r="AU58" s="13">
        <f t="shared" si="15"/>
        <v>1130</v>
      </c>
    </row>
    <row r="59" spans="1:47" ht="12.75" customHeight="1" x14ac:dyDescent="0.3">
      <c r="A59" s="15"/>
      <c r="B59" s="34"/>
      <c r="C59" s="29" t="s">
        <v>52</v>
      </c>
      <c r="D59" s="35"/>
      <c r="E59" s="16">
        <v>4</v>
      </c>
      <c r="F59" s="16">
        <v>5</v>
      </c>
      <c r="G59" s="16">
        <v>8</v>
      </c>
      <c r="H59" s="16">
        <v>3</v>
      </c>
      <c r="I59" s="16">
        <v>5</v>
      </c>
      <c r="J59" s="16">
        <v>20</v>
      </c>
      <c r="K59" s="16">
        <v>6</v>
      </c>
      <c r="L59" s="16">
        <v>8</v>
      </c>
      <c r="M59" s="16">
        <v>10</v>
      </c>
      <c r="N59" s="16">
        <v>4</v>
      </c>
      <c r="O59" s="16">
        <v>0</v>
      </c>
      <c r="P59" s="16">
        <v>4</v>
      </c>
      <c r="Q59" s="16">
        <v>4</v>
      </c>
      <c r="R59" s="16">
        <v>2</v>
      </c>
      <c r="S59" s="16">
        <v>6</v>
      </c>
      <c r="T59" s="16">
        <v>4</v>
      </c>
      <c r="U59" s="16">
        <v>4</v>
      </c>
      <c r="V59" s="16">
        <v>4</v>
      </c>
      <c r="W59" s="16">
        <v>4</v>
      </c>
      <c r="X59" s="16">
        <v>2</v>
      </c>
      <c r="Y59" s="16">
        <v>9</v>
      </c>
      <c r="Z59" s="16">
        <v>1</v>
      </c>
      <c r="AA59" s="16">
        <v>5</v>
      </c>
      <c r="AB59" s="16">
        <v>4</v>
      </c>
      <c r="AC59" s="16">
        <v>0</v>
      </c>
      <c r="AD59" s="16">
        <v>1</v>
      </c>
      <c r="AE59" s="16">
        <v>4</v>
      </c>
      <c r="AF59" s="16">
        <v>38</v>
      </c>
      <c r="AG59" s="16">
        <v>10</v>
      </c>
      <c r="AH59" s="16">
        <v>22</v>
      </c>
      <c r="AI59" s="16">
        <v>8</v>
      </c>
      <c r="AJ59" s="16">
        <v>5</v>
      </c>
      <c r="AK59" s="16">
        <v>8</v>
      </c>
      <c r="AL59" s="16">
        <v>2</v>
      </c>
      <c r="AM59" s="16">
        <v>7</v>
      </c>
      <c r="AN59" s="16">
        <v>11</v>
      </c>
      <c r="AO59" s="16">
        <v>4</v>
      </c>
      <c r="AP59" s="16">
        <v>6</v>
      </c>
      <c r="AQ59" s="16">
        <v>2</v>
      </c>
      <c r="AR59" s="16">
        <v>8</v>
      </c>
      <c r="AS59" s="16">
        <v>10</v>
      </c>
      <c r="AT59" s="16">
        <v>7</v>
      </c>
      <c r="AU59" s="13">
        <f t="shared" si="15"/>
        <v>279</v>
      </c>
    </row>
    <row r="60" spans="1:47" ht="12.75" customHeight="1" x14ac:dyDescent="0.3">
      <c r="A60" s="15"/>
      <c r="B60" s="34"/>
      <c r="C60" s="29" t="s">
        <v>53</v>
      </c>
      <c r="D60" s="35"/>
      <c r="E60" s="16">
        <v>5</v>
      </c>
      <c r="F60" s="16">
        <v>4</v>
      </c>
      <c r="G60" s="16">
        <v>1</v>
      </c>
      <c r="H60" s="16">
        <v>2</v>
      </c>
      <c r="I60" s="16">
        <v>4</v>
      </c>
      <c r="J60" s="16">
        <v>1</v>
      </c>
      <c r="K60" s="16">
        <v>0</v>
      </c>
      <c r="L60" s="16">
        <v>2</v>
      </c>
      <c r="M60" s="16">
        <v>3</v>
      </c>
      <c r="N60" s="16">
        <v>3</v>
      </c>
      <c r="O60" s="16">
        <v>2</v>
      </c>
      <c r="P60" s="16">
        <v>4</v>
      </c>
      <c r="Q60" s="16">
        <v>2</v>
      </c>
      <c r="R60" s="16">
        <v>1</v>
      </c>
      <c r="S60" s="16">
        <v>0</v>
      </c>
      <c r="T60" s="16">
        <v>2</v>
      </c>
      <c r="U60" s="16">
        <v>2</v>
      </c>
      <c r="V60" s="16">
        <v>2</v>
      </c>
      <c r="W60" s="16">
        <v>1</v>
      </c>
      <c r="X60" s="16">
        <v>0</v>
      </c>
      <c r="Y60" s="16">
        <v>0</v>
      </c>
      <c r="Z60" s="16">
        <v>2</v>
      </c>
      <c r="AA60" s="16">
        <v>4</v>
      </c>
      <c r="AB60" s="16">
        <v>1</v>
      </c>
      <c r="AC60" s="16">
        <v>1</v>
      </c>
      <c r="AD60" s="16">
        <v>1</v>
      </c>
      <c r="AE60" s="16">
        <v>0</v>
      </c>
      <c r="AF60" s="16">
        <v>1</v>
      </c>
      <c r="AG60" s="16">
        <v>4</v>
      </c>
      <c r="AH60" s="16">
        <v>6</v>
      </c>
      <c r="AI60" s="16">
        <v>1</v>
      </c>
      <c r="AJ60" s="16">
        <v>2</v>
      </c>
      <c r="AK60" s="16">
        <v>1</v>
      </c>
      <c r="AL60" s="16">
        <v>0</v>
      </c>
      <c r="AM60" s="16">
        <v>0</v>
      </c>
      <c r="AN60" s="16">
        <v>1</v>
      </c>
      <c r="AO60" s="16">
        <v>0</v>
      </c>
      <c r="AP60" s="16">
        <v>2</v>
      </c>
      <c r="AQ60" s="16">
        <v>1</v>
      </c>
      <c r="AR60" s="16">
        <v>2</v>
      </c>
      <c r="AS60" s="16">
        <v>2</v>
      </c>
      <c r="AT60" s="16">
        <v>1</v>
      </c>
      <c r="AU60" s="13">
        <f t="shared" si="15"/>
        <v>74</v>
      </c>
    </row>
    <row r="61" spans="1:47" ht="12.75" customHeight="1" x14ac:dyDescent="0.3">
      <c r="A61" s="15"/>
      <c r="B61" s="34"/>
      <c r="C61" s="29" t="s">
        <v>54</v>
      </c>
      <c r="D61" s="35"/>
      <c r="E61" s="16">
        <v>7</v>
      </c>
      <c r="F61" s="16">
        <v>7</v>
      </c>
      <c r="G61" s="16">
        <v>9</v>
      </c>
      <c r="H61" s="16">
        <v>7</v>
      </c>
      <c r="I61" s="16">
        <v>14</v>
      </c>
      <c r="J61" s="16">
        <v>11</v>
      </c>
      <c r="K61" s="16">
        <v>2</v>
      </c>
      <c r="L61" s="16">
        <v>4</v>
      </c>
      <c r="M61" s="16">
        <v>26</v>
      </c>
      <c r="N61" s="16">
        <v>5</v>
      </c>
      <c r="O61" s="16">
        <v>0</v>
      </c>
      <c r="P61" s="16">
        <v>1</v>
      </c>
      <c r="Q61" s="16">
        <v>8</v>
      </c>
      <c r="R61" s="16">
        <v>5</v>
      </c>
      <c r="S61" s="16">
        <v>8</v>
      </c>
      <c r="T61" s="16">
        <v>1</v>
      </c>
      <c r="U61" s="16">
        <v>0</v>
      </c>
      <c r="V61" s="16">
        <v>0</v>
      </c>
      <c r="W61" s="16">
        <v>4</v>
      </c>
      <c r="X61" s="16">
        <v>2</v>
      </c>
      <c r="Y61" s="16">
        <v>15</v>
      </c>
      <c r="Z61" s="16">
        <v>11</v>
      </c>
      <c r="AA61" s="16">
        <v>23</v>
      </c>
      <c r="AB61" s="16">
        <v>73</v>
      </c>
      <c r="AC61" s="16">
        <v>5</v>
      </c>
      <c r="AD61" s="16">
        <v>0</v>
      </c>
      <c r="AE61" s="16">
        <v>82</v>
      </c>
      <c r="AF61" s="16">
        <v>1</v>
      </c>
      <c r="AG61" s="16">
        <v>0</v>
      </c>
      <c r="AH61" s="16">
        <v>5</v>
      </c>
      <c r="AI61" s="16">
        <v>6</v>
      </c>
      <c r="AJ61" s="16">
        <v>3</v>
      </c>
      <c r="AK61" s="16">
        <v>5</v>
      </c>
      <c r="AL61" s="16">
        <v>2</v>
      </c>
      <c r="AM61" s="16">
        <v>4</v>
      </c>
      <c r="AN61" s="16">
        <v>3</v>
      </c>
      <c r="AO61" s="16">
        <v>5</v>
      </c>
      <c r="AP61" s="16">
        <v>1</v>
      </c>
      <c r="AQ61" s="16">
        <v>0</v>
      </c>
      <c r="AR61" s="16">
        <v>1</v>
      </c>
      <c r="AS61" s="16">
        <v>1</v>
      </c>
      <c r="AT61" s="16">
        <v>1</v>
      </c>
      <c r="AU61" s="13">
        <f t="shared" si="15"/>
        <v>368</v>
      </c>
    </row>
    <row r="62" spans="1:47" ht="12.75" customHeight="1" x14ac:dyDescent="0.3">
      <c r="A62" s="15"/>
      <c r="B62" s="34"/>
      <c r="C62" s="29" t="s">
        <v>55</v>
      </c>
      <c r="D62" s="35"/>
      <c r="E62" s="16">
        <v>2</v>
      </c>
      <c r="F62" s="16">
        <v>0</v>
      </c>
      <c r="G62" s="16">
        <v>0</v>
      </c>
      <c r="H62" s="16">
        <v>2</v>
      </c>
      <c r="I62" s="16">
        <v>2</v>
      </c>
      <c r="J62" s="16">
        <v>0</v>
      </c>
      <c r="K62" s="16">
        <v>1</v>
      </c>
      <c r="L62" s="16">
        <v>0</v>
      </c>
      <c r="M62" s="16">
        <v>2</v>
      </c>
      <c r="N62" s="16">
        <v>1</v>
      </c>
      <c r="O62" s="16">
        <v>0</v>
      </c>
      <c r="P62" s="16">
        <v>0</v>
      </c>
      <c r="Q62" s="16">
        <v>2</v>
      </c>
      <c r="R62" s="16">
        <v>0</v>
      </c>
      <c r="S62" s="16">
        <v>2</v>
      </c>
      <c r="T62" s="16">
        <v>0</v>
      </c>
      <c r="U62" s="16">
        <v>0</v>
      </c>
      <c r="V62" s="16">
        <v>0</v>
      </c>
      <c r="W62" s="16">
        <v>2</v>
      </c>
      <c r="X62" s="16">
        <v>1</v>
      </c>
      <c r="Y62" s="16">
        <v>2</v>
      </c>
      <c r="Z62" s="16">
        <v>0</v>
      </c>
      <c r="AA62" s="16">
        <v>0</v>
      </c>
      <c r="AB62" s="16">
        <v>0</v>
      </c>
      <c r="AC62" s="16">
        <v>1</v>
      </c>
      <c r="AD62" s="16">
        <v>0</v>
      </c>
      <c r="AE62" s="16">
        <v>0</v>
      </c>
      <c r="AF62" s="16">
        <v>1</v>
      </c>
      <c r="AG62" s="16">
        <v>3</v>
      </c>
      <c r="AH62" s="16">
        <v>0</v>
      </c>
      <c r="AI62" s="16">
        <v>2</v>
      </c>
      <c r="AJ62" s="16">
        <v>0</v>
      </c>
      <c r="AK62" s="16">
        <v>0</v>
      </c>
      <c r="AL62" s="16">
        <v>2</v>
      </c>
      <c r="AM62" s="16">
        <v>1</v>
      </c>
      <c r="AN62" s="16">
        <v>0</v>
      </c>
      <c r="AO62" s="16">
        <v>1</v>
      </c>
      <c r="AP62" s="16">
        <v>3</v>
      </c>
      <c r="AQ62" s="16">
        <v>3</v>
      </c>
      <c r="AR62" s="16">
        <v>3</v>
      </c>
      <c r="AS62" s="16">
        <v>0</v>
      </c>
      <c r="AT62" s="16">
        <v>0</v>
      </c>
      <c r="AU62" s="13">
        <f t="shared" si="15"/>
        <v>39</v>
      </c>
    </row>
    <row r="63" spans="1:47" ht="12.75" customHeight="1" x14ac:dyDescent="0.3">
      <c r="A63" s="15"/>
      <c r="B63" s="34"/>
      <c r="C63" s="29" t="s">
        <v>56</v>
      </c>
      <c r="D63" s="36"/>
      <c r="E63" s="16">
        <v>1</v>
      </c>
      <c r="F63" s="16">
        <v>1</v>
      </c>
      <c r="G63" s="16">
        <v>0</v>
      </c>
      <c r="H63" s="16">
        <v>1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1</v>
      </c>
      <c r="O63" s="16">
        <v>1</v>
      </c>
      <c r="P63" s="16">
        <v>3</v>
      </c>
      <c r="Q63" s="16">
        <v>0</v>
      </c>
      <c r="R63" s="16">
        <v>0</v>
      </c>
      <c r="S63" s="16">
        <v>0</v>
      </c>
      <c r="T63" s="16">
        <v>0</v>
      </c>
      <c r="U63" s="16">
        <v>1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1</v>
      </c>
      <c r="AJ63" s="16">
        <v>1</v>
      </c>
      <c r="AK63" s="16">
        <v>0</v>
      </c>
      <c r="AL63" s="16">
        <v>1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1</v>
      </c>
      <c r="AT63" s="16">
        <v>0</v>
      </c>
      <c r="AU63" s="13">
        <f t="shared" si="15"/>
        <v>14</v>
      </c>
    </row>
    <row r="64" spans="1:47" ht="12.75" customHeight="1" x14ac:dyDescent="0.3">
      <c r="A64" s="15"/>
      <c r="B64" s="34"/>
      <c r="C64" s="29" t="s">
        <v>57</v>
      </c>
      <c r="D64" s="35"/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1</v>
      </c>
      <c r="K64" s="16">
        <v>0</v>
      </c>
      <c r="L64" s="16">
        <v>1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2</v>
      </c>
      <c r="Z64" s="16">
        <v>0</v>
      </c>
      <c r="AA64" s="16">
        <v>0</v>
      </c>
      <c r="AB64" s="16">
        <v>1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1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1</v>
      </c>
      <c r="AS64" s="16">
        <v>0</v>
      </c>
      <c r="AT64" s="16">
        <v>0</v>
      </c>
      <c r="AU64" s="13">
        <f t="shared" si="15"/>
        <v>7</v>
      </c>
    </row>
    <row r="65" spans="1:47" ht="12.75" customHeight="1" x14ac:dyDescent="0.3">
      <c r="A65" s="15"/>
      <c r="B65" s="34"/>
      <c r="C65" s="29" t="s">
        <v>58</v>
      </c>
      <c r="D65" s="35"/>
      <c r="E65" s="16">
        <v>1</v>
      </c>
      <c r="F65" s="16">
        <v>1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1</v>
      </c>
      <c r="X65" s="16">
        <v>0</v>
      </c>
      <c r="Y65" s="16">
        <v>1</v>
      </c>
      <c r="Z65" s="16">
        <v>1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1</v>
      </c>
      <c r="AK65" s="16">
        <v>0</v>
      </c>
      <c r="AL65" s="16">
        <v>1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1</v>
      </c>
      <c r="AS65" s="16">
        <v>0</v>
      </c>
      <c r="AT65" s="16">
        <v>1</v>
      </c>
      <c r="AU65" s="13">
        <f t="shared" si="15"/>
        <v>9</v>
      </c>
    </row>
    <row r="66" spans="1:47" ht="12.75" customHeight="1" x14ac:dyDescent="0.3">
      <c r="A66" s="15"/>
      <c r="B66" s="34"/>
      <c r="C66" s="29" t="s">
        <v>59</v>
      </c>
      <c r="D66" s="35"/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</v>
      </c>
      <c r="N66" s="16">
        <v>1</v>
      </c>
      <c r="O66" s="16">
        <v>0</v>
      </c>
      <c r="P66" s="16">
        <v>1</v>
      </c>
      <c r="Q66" s="16">
        <v>0</v>
      </c>
      <c r="R66" s="16">
        <v>1</v>
      </c>
      <c r="S66" s="16">
        <v>1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1</v>
      </c>
      <c r="AA66" s="16">
        <v>1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1</v>
      </c>
      <c r="AH66" s="16">
        <v>0</v>
      </c>
      <c r="AI66" s="16">
        <v>1</v>
      </c>
      <c r="AJ66" s="16">
        <v>0</v>
      </c>
      <c r="AK66" s="16">
        <v>0</v>
      </c>
      <c r="AL66" s="16">
        <v>1</v>
      </c>
      <c r="AM66" s="16">
        <v>1</v>
      </c>
      <c r="AN66" s="16">
        <v>0</v>
      </c>
      <c r="AO66" s="16">
        <v>1</v>
      </c>
      <c r="AP66" s="16">
        <v>0</v>
      </c>
      <c r="AQ66" s="16">
        <v>1</v>
      </c>
      <c r="AR66" s="16">
        <v>0</v>
      </c>
      <c r="AS66" s="16">
        <v>0</v>
      </c>
      <c r="AT66" s="16">
        <v>0</v>
      </c>
      <c r="AU66" s="13">
        <f t="shared" si="15"/>
        <v>13</v>
      </c>
    </row>
    <row r="67" spans="1:47" ht="12.75" customHeight="1" x14ac:dyDescent="0.3">
      <c r="A67" s="16" t="s">
        <v>15</v>
      </c>
      <c r="B67" s="60" t="s">
        <v>49</v>
      </c>
      <c r="C67" s="61"/>
      <c r="D67" s="59"/>
      <c r="E67" s="13">
        <f>SUM(E57:E66)</f>
        <v>87</v>
      </c>
      <c r="F67" s="13">
        <f t="shared" ref="F67" si="16">SUM(F57:F66)</f>
        <v>44</v>
      </c>
      <c r="G67" s="13">
        <f t="shared" ref="G67" si="17">SUM(G57:G66)</f>
        <v>85</v>
      </c>
      <c r="H67" s="13">
        <f t="shared" ref="H67" si="18">SUM(H57:H66)</f>
        <v>102</v>
      </c>
      <c r="I67" s="13">
        <f t="shared" ref="I67" si="19">SUM(I57:I66)</f>
        <v>83</v>
      </c>
      <c r="J67" s="13">
        <f t="shared" ref="J67" si="20">SUM(J57:J66)</f>
        <v>58</v>
      </c>
      <c r="K67" s="13">
        <f t="shared" ref="K67" si="21">SUM(K57:K66)</f>
        <v>39</v>
      </c>
      <c r="L67" s="13">
        <f t="shared" ref="L67" si="22">SUM(L57:L66)</f>
        <v>99</v>
      </c>
      <c r="M67" s="13">
        <f t="shared" ref="M67" si="23">SUM(M57:M66)</f>
        <v>116</v>
      </c>
      <c r="N67" s="13">
        <f t="shared" ref="N67" si="24">SUM(N57:N66)</f>
        <v>44</v>
      </c>
      <c r="O67" s="13">
        <f t="shared" ref="O67" si="25">SUM(O57:O66)</f>
        <v>20</v>
      </c>
      <c r="P67" s="13">
        <f t="shared" ref="P67" si="26">SUM(P57:P66)</f>
        <v>30</v>
      </c>
      <c r="Q67" s="13">
        <f t="shared" ref="Q67" si="27">SUM(Q57:Q66)</f>
        <v>43</v>
      </c>
      <c r="R67" s="13">
        <f t="shared" ref="R67" si="28">SUM(R57:R66)</f>
        <v>72</v>
      </c>
      <c r="S67" s="13">
        <f t="shared" ref="S67" si="29">SUM(S57:S66)</f>
        <v>55</v>
      </c>
      <c r="T67" s="13">
        <f t="shared" ref="T67" si="30">SUM(T57:T66)</f>
        <v>65</v>
      </c>
      <c r="U67" s="13">
        <f t="shared" ref="U67" si="31">SUM(U57:U66)</f>
        <v>35</v>
      </c>
      <c r="V67" s="13">
        <f t="shared" ref="V67" si="32">SUM(V57:V66)</f>
        <v>35</v>
      </c>
      <c r="W67" s="13">
        <f t="shared" ref="W67" si="33">SUM(W57:W66)</f>
        <v>100</v>
      </c>
      <c r="X67" s="13">
        <f t="shared" ref="X67" si="34">SUM(X57:X66)</f>
        <v>28</v>
      </c>
      <c r="Y67" s="13">
        <f t="shared" ref="Y67" si="35">SUM(Y57:Y66)</f>
        <v>43</v>
      </c>
      <c r="Z67" s="13">
        <f t="shared" ref="Z67" si="36">SUM(Z57:Z66)</f>
        <v>30</v>
      </c>
      <c r="AA67" s="13">
        <f t="shared" ref="AA67" si="37">SUM(AA57:AA66)</f>
        <v>57</v>
      </c>
      <c r="AB67" s="13">
        <f t="shared" ref="AB67" si="38">SUM(AB57:AB66)</f>
        <v>93</v>
      </c>
      <c r="AC67" s="13">
        <f t="shared" ref="AC67" si="39">SUM(AC57:AC66)</f>
        <v>13</v>
      </c>
      <c r="AD67" s="13">
        <f t="shared" ref="AD67" si="40">SUM(AD57:AD66)</f>
        <v>15</v>
      </c>
      <c r="AE67" s="13">
        <f t="shared" ref="AE67" si="41">SUM(AE57:AE66)</f>
        <v>101</v>
      </c>
      <c r="AF67" s="13">
        <f t="shared" ref="AF67" si="42">SUM(AF57:AF66)</f>
        <v>67</v>
      </c>
      <c r="AG67" s="13">
        <f t="shared" ref="AG67" si="43">SUM(AG57:AG66)</f>
        <v>29</v>
      </c>
      <c r="AH67" s="13">
        <f t="shared" ref="AH67" si="44">SUM(AH57:AH66)</f>
        <v>58</v>
      </c>
      <c r="AI67" s="13">
        <f t="shared" ref="AI67" si="45">SUM(AI57:AI66)</f>
        <v>35</v>
      </c>
      <c r="AJ67" s="13">
        <f t="shared" ref="AJ67" si="46">SUM(AJ57:AJ66)</f>
        <v>48</v>
      </c>
      <c r="AK67" s="13">
        <f t="shared" ref="AK67" si="47">SUM(AK57:AK66)</f>
        <v>72</v>
      </c>
      <c r="AL67" s="13">
        <f t="shared" ref="AL67" si="48">SUM(AL57:AL66)</f>
        <v>30</v>
      </c>
      <c r="AM67" s="13">
        <f t="shared" ref="AM67" si="49">SUM(AM57:AM66)</f>
        <v>47</v>
      </c>
      <c r="AN67" s="13">
        <f t="shared" ref="AN67" si="50">SUM(AN57:AN66)</f>
        <v>54</v>
      </c>
      <c r="AO67" s="13">
        <f t="shared" ref="AO67" si="51">SUM(AO57:AO66)</f>
        <v>33</v>
      </c>
      <c r="AP67" s="13">
        <f t="shared" ref="AP67" si="52">SUM(AP57:AP66)</f>
        <v>80</v>
      </c>
      <c r="AQ67" s="13">
        <f t="shared" ref="AQ67" si="53">SUM(AQ57:AQ66)</f>
        <v>34</v>
      </c>
      <c r="AR67" s="13">
        <f t="shared" ref="AR67" si="54">SUM(AR57:AR66)</f>
        <v>35</v>
      </c>
      <c r="AS67" s="13">
        <f t="shared" ref="AS67" si="55">SUM(AS57:AS66)</f>
        <v>23</v>
      </c>
      <c r="AT67" s="13">
        <f t="shared" ref="AT67" si="56">SUM(AT57:AT66)</f>
        <v>30</v>
      </c>
      <c r="AU67" s="13">
        <f t="shared" ref="AU67" si="57">SUM(AU57:AU66)</f>
        <v>2267</v>
      </c>
    </row>
    <row r="68" spans="1:47" ht="12.75" customHeight="1" x14ac:dyDescent="0.3">
      <c r="A68" s="63"/>
      <c r="B68" s="64"/>
      <c r="C68" s="64"/>
      <c r="D68" s="64"/>
      <c r="E68" s="64"/>
    </row>
    <row r="69" spans="1:47" ht="12.75" customHeight="1" x14ac:dyDescent="0.3">
      <c r="A69" s="20" t="s">
        <v>37</v>
      </c>
      <c r="B69" s="27" t="s">
        <v>21</v>
      </c>
      <c r="C69" s="58" t="s">
        <v>60</v>
      </c>
      <c r="D69" s="59"/>
      <c r="E69" s="16">
        <v>11</v>
      </c>
      <c r="F69" s="16">
        <v>29</v>
      </c>
      <c r="G69" s="16">
        <v>24</v>
      </c>
      <c r="H69" s="16">
        <v>9</v>
      </c>
      <c r="I69" s="16">
        <v>4</v>
      </c>
      <c r="J69" s="16">
        <v>8</v>
      </c>
      <c r="K69" s="16">
        <v>26</v>
      </c>
      <c r="L69" s="16">
        <v>7</v>
      </c>
      <c r="M69" s="16">
        <v>9</v>
      </c>
      <c r="N69" s="16">
        <v>33</v>
      </c>
      <c r="O69" s="16">
        <v>10</v>
      </c>
      <c r="P69" s="16">
        <v>24</v>
      </c>
      <c r="Q69" s="16">
        <v>8</v>
      </c>
      <c r="R69" s="16">
        <v>14</v>
      </c>
      <c r="S69" s="16">
        <v>13</v>
      </c>
      <c r="T69" s="16">
        <v>21</v>
      </c>
      <c r="U69" s="16">
        <v>23</v>
      </c>
      <c r="V69" s="16">
        <v>9</v>
      </c>
      <c r="W69" s="16">
        <v>21</v>
      </c>
      <c r="X69" s="16">
        <v>2</v>
      </c>
      <c r="Y69" s="16">
        <v>6</v>
      </c>
      <c r="Z69" s="16">
        <v>4</v>
      </c>
      <c r="AA69" s="16">
        <v>8</v>
      </c>
      <c r="AB69" s="16">
        <v>5</v>
      </c>
      <c r="AC69" s="16">
        <v>6</v>
      </c>
      <c r="AD69" s="16">
        <v>4</v>
      </c>
      <c r="AE69" s="16">
        <v>1</v>
      </c>
      <c r="AF69" s="16">
        <v>11</v>
      </c>
      <c r="AG69" s="16">
        <v>16</v>
      </c>
      <c r="AH69" s="16">
        <v>12</v>
      </c>
      <c r="AI69" s="16">
        <v>5</v>
      </c>
      <c r="AJ69" s="16">
        <v>11</v>
      </c>
      <c r="AK69" s="16">
        <v>7</v>
      </c>
      <c r="AL69" s="16">
        <v>7</v>
      </c>
      <c r="AM69" s="16">
        <v>19</v>
      </c>
      <c r="AN69" s="16">
        <v>13</v>
      </c>
      <c r="AO69" s="16">
        <v>24</v>
      </c>
      <c r="AP69" s="16">
        <v>7</v>
      </c>
      <c r="AQ69" s="16">
        <v>12</v>
      </c>
      <c r="AR69" s="16">
        <v>20</v>
      </c>
      <c r="AS69" s="16">
        <v>7</v>
      </c>
      <c r="AT69" s="16">
        <v>12</v>
      </c>
      <c r="AU69" s="13">
        <f t="shared" ref="AU69:AU78" si="58">SUM(E69:AT69)</f>
        <v>522</v>
      </c>
    </row>
    <row r="70" spans="1:47" ht="12.75" customHeight="1" x14ac:dyDescent="0.3">
      <c r="A70" s="20" t="s">
        <v>39</v>
      </c>
      <c r="B70" s="34"/>
      <c r="C70" s="29" t="s">
        <v>61</v>
      </c>
      <c r="D70" s="36"/>
      <c r="E70" s="16">
        <v>17</v>
      </c>
      <c r="F70" s="16">
        <v>9</v>
      </c>
      <c r="G70" s="16">
        <v>9</v>
      </c>
      <c r="H70" s="16">
        <v>16</v>
      </c>
      <c r="I70" s="16">
        <v>18</v>
      </c>
      <c r="J70" s="16">
        <v>21</v>
      </c>
      <c r="K70" s="16">
        <v>14</v>
      </c>
      <c r="L70" s="16">
        <v>13</v>
      </c>
      <c r="M70" s="16">
        <v>13</v>
      </c>
      <c r="N70" s="16">
        <v>18</v>
      </c>
      <c r="O70" s="16">
        <v>8</v>
      </c>
      <c r="P70" s="16">
        <v>14</v>
      </c>
      <c r="Q70" s="16">
        <v>5</v>
      </c>
      <c r="R70" s="16">
        <v>13</v>
      </c>
      <c r="S70" s="16">
        <v>9</v>
      </c>
      <c r="T70" s="16">
        <v>8</v>
      </c>
      <c r="U70" s="16">
        <v>15</v>
      </c>
      <c r="V70" s="16">
        <v>10</v>
      </c>
      <c r="W70" s="16">
        <v>9</v>
      </c>
      <c r="X70" s="16">
        <v>0</v>
      </c>
      <c r="Y70" s="16">
        <v>6</v>
      </c>
      <c r="Z70" s="16">
        <v>3</v>
      </c>
      <c r="AA70" s="16">
        <v>6</v>
      </c>
      <c r="AB70" s="16">
        <v>3</v>
      </c>
      <c r="AC70" s="16">
        <v>7</v>
      </c>
      <c r="AD70" s="16">
        <v>5</v>
      </c>
      <c r="AE70" s="16">
        <v>2</v>
      </c>
      <c r="AF70" s="16">
        <v>7</v>
      </c>
      <c r="AG70" s="16">
        <v>9</v>
      </c>
      <c r="AH70" s="16">
        <v>6</v>
      </c>
      <c r="AI70" s="16">
        <v>8</v>
      </c>
      <c r="AJ70" s="16">
        <v>9</v>
      </c>
      <c r="AK70" s="16">
        <v>2</v>
      </c>
      <c r="AL70" s="16">
        <v>11</v>
      </c>
      <c r="AM70" s="16">
        <v>12</v>
      </c>
      <c r="AN70" s="16">
        <v>9</v>
      </c>
      <c r="AO70" s="16">
        <v>3</v>
      </c>
      <c r="AP70" s="16">
        <v>2</v>
      </c>
      <c r="AQ70" s="16">
        <v>12</v>
      </c>
      <c r="AR70" s="16">
        <v>5</v>
      </c>
      <c r="AS70" s="16">
        <v>19</v>
      </c>
      <c r="AT70" s="16">
        <v>19</v>
      </c>
      <c r="AU70" s="13">
        <f t="shared" si="58"/>
        <v>404</v>
      </c>
    </row>
    <row r="71" spans="1:47" ht="12.75" customHeight="1" x14ac:dyDescent="0.3">
      <c r="A71" s="15"/>
      <c r="B71" s="34"/>
      <c r="C71" s="29" t="s">
        <v>62</v>
      </c>
      <c r="D71" s="36"/>
      <c r="E71" s="16">
        <v>15</v>
      </c>
      <c r="F71" s="16">
        <v>15</v>
      </c>
      <c r="G71" s="16">
        <v>6</v>
      </c>
      <c r="H71" s="16">
        <v>4</v>
      </c>
      <c r="I71" s="16">
        <v>10</v>
      </c>
      <c r="J71" s="16">
        <v>11</v>
      </c>
      <c r="K71" s="16">
        <v>7</v>
      </c>
      <c r="L71" s="16">
        <v>7</v>
      </c>
      <c r="M71" s="16">
        <v>22</v>
      </c>
      <c r="N71" s="16">
        <v>7</v>
      </c>
      <c r="O71" s="16">
        <v>15</v>
      </c>
      <c r="P71" s="16">
        <v>17</v>
      </c>
      <c r="Q71" s="16">
        <v>10</v>
      </c>
      <c r="R71" s="16">
        <v>19</v>
      </c>
      <c r="S71" s="16">
        <v>11</v>
      </c>
      <c r="T71" s="16">
        <v>18</v>
      </c>
      <c r="U71" s="16">
        <v>12</v>
      </c>
      <c r="V71" s="16">
        <v>12</v>
      </c>
      <c r="W71" s="16">
        <v>12</v>
      </c>
      <c r="X71" s="16">
        <v>7</v>
      </c>
      <c r="Y71" s="16">
        <v>2</v>
      </c>
      <c r="Z71" s="16">
        <v>2</v>
      </c>
      <c r="AA71" s="16">
        <v>9</v>
      </c>
      <c r="AB71" s="16">
        <v>9</v>
      </c>
      <c r="AC71" s="16">
        <v>22</v>
      </c>
      <c r="AD71" s="16">
        <v>2</v>
      </c>
      <c r="AE71" s="16">
        <v>1</v>
      </c>
      <c r="AF71" s="16">
        <v>3</v>
      </c>
      <c r="AG71" s="16">
        <v>8</v>
      </c>
      <c r="AH71" s="16">
        <v>6</v>
      </c>
      <c r="AI71" s="16">
        <v>1</v>
      </c>
      <c r="AJ71" s="16">
        <v>5</v>
      </c>
      <c r="AK71" s="16">
        <v>5</v>
      </c>
      <c r="AL71" s="16">
        <v>2</v>
      </c>
      <c r="AM71" s="16">
        <v>10</v>
      </c>
      <c r="AN71" s="16">
        <v>5</v>
      </c>
      <c r="AO71" s="16">
        <v>9</v>
      </c>
      <c r="AP71" s="16">
        <v>0</v>
      </c>
      <c r="AQ71" s="16">
        <v>7</v>
      </c>
      <c r="AR71" s="16">
        <v>16</v>
      </c>
      <c r="AS71" s="16">
        <v>12</v>
      </c>
      <c r="AT71" s="16">
        <v>18</v>
      </c>
      <c r="AU71" s="13">
        <f t="shared" si="58"/>
        <v>391</v>
      </c>
    </row>
    <row r="72" spans="1:47" ht="12.75" customHeight="1" x14ac:dyDescent="0.3">
      <c r="A72" s="15"/>
      <c r="B72" s="34"/>
      <c r="C72" s="29" t="s">
        <v>63</v>
      </c>
      <c r="D72" s="36"/>
      <c r="E72" s="16">
        <v>3</v>
      </c>
      <c r="F72" s="16">
        <v>2</v>
      </c>
      <c r="G72" s="16">
        <v>2</v>
      </c>
      <c r="H72" s="16">
        <v>3</v>
      </c>
      <c r="I72" s="16">
        <v>1</v>
      </c>
      <c r="J72" s="16">
        <v>2</v>
      </c>
      <c r="K72" s="16">
        <v>3</v>
      </c>
      <c r="L72" s="16">
        <v>3</v>
      </c>
      <c r="M72" s="16">
        <v>6</v>
      </c>
      <c r="N72" s="16">
        <v>2</v>
      </c>
      <c r="O72" s="16">
        <v>4</v>
      </c>
      <c r="P72" s="16">
        <v>10</v>
      </c>
      <c r="Q72" s="16">
        <v>5</v>
      </c>
      <c r="R72" s="16">
        <v>6</v>
      </c>
      <c r="S72" s="16">
        <v>6</v>
      </c>
      <c r="T72" s="16">
        <v>2</v>
      </c>
      <c r="U72" s="16">
        <v>6</v>
      </c>
      <c r="V72" s="16">
        <v>8</v>
      </c>
      <c r="W72" s="16">
        <v>4</v>
      </c>
      <c r="X72" s="16">
        <v>2</v>
      </c>
      <c r="Y72" s="16">
        <v>1</v>
      </c>
      <c r="Z72" s="16">
        <v>2</v>
      </c>
      <c r="AA72" s="16">
        <v>3</v>
      </c>
      <c r="AB72" s="16">
        <v>2</v>
      </c>
      <c r="AC72" s="16">
        <v>4</v>
      </c>
      <c r="AD72" s="16">
        <v>1</v>
      </c>
      <c r="AE72" s="16">
        <v>2</v>
      </c>
      <c r="AF72" s="16">
        <v>3</v>
      </c>
      <c r="AG72" s="16">
        <v>9</v>
      </c>
      <c r="AH72" s="16">
        <v>2</v>
      </c>
      <c r="AI72" s="16">
        <v>1</v>
      </c>
      <c r="AJ72" s="16">
        <v>1</v>
      </c>
      <c r="AK72" s="16">
        <v>1</v>
      </c>
      <c r="AL72" s="16">
        <v>1</v>
      </c>
      <c r="AM72" s="16">
        <v>3</v>
      </c>
      <c r="AN72" s="16">
        <v>5</v>
      </c>
      <c r="AO72" s="16">
        <v>5</v>
      </c>
      <c r="AP72" s="16">
        <v>5</v>
      </c>
      <c r="AQ72" s="16">
        <v>9</v>
      </c>
      <c r="AR72" s="16">
        <v>5</v>
      </c>
      <c r="AS72" s="16">
        <v>7</v>
      </c>
      <c r="AT72" s="16">
        <v>4</v>
      </c>
      <c r="AU72" s="13">
        <f t="shared" si="58"/>
        <v>156</v>
      </c>
    </row>
    <row r="73" spans="1:47" ht="12.75" customHeight="1" x14ac:dyDescent="0.3">
      <c r="A73" s="15"/>
      <c r="B73" s="34"/>
      <c r="C73" s="29" t="s">
        <v>64</v>
      </c>
      <c r="D73" s="36"/>
      <c r="E73" s="16">
        <v>18</v>
      </c>
      <c r="F73" s="16">
        <v>34</v>
      </c>
      <c r="G73" s="16">
        <v>12</v>
      </c>
      <c r="H73" s="16">
        <v>4</v>
      </c>
      <c r="I73" s="16">
        <v>20</v>
      </c>
      <c r="J73" s="16">
        <v>27</v>
      </c>
      <c r="K73" s="16">
        <v>17</v>
      </c>
      <c r="L73" s="16">
        <v>28</v>
      </c>
      <c r="M73" s="16">
        <v>37</v>
      </c>
      <c r="N73" s="16">
        <v>16</v>
      </c>
      <c r="O73" s="16">
        <v>62</v>
      </c>
      <c r="P73" s="16">
        <v>37</v>
      </c>
      <c r="Q73" s="16">
        <v>31</v>
      </c>
      <c r="R73" s="16">
        <v>33</v>
      </c>
      <c r="S73" s="16">
        <v>45</v>
      </c>
      <c r="T73" s="16">
        <v>47</v>
      </c>
      <c r="U73" s="16">
        <v>36</v>
      </c>
      <c r="V73" s="16">
        <v>56</v>
      </c>
      <c r="W73" s="16">
        <v>13</v>
      </c>
      <c r="X73" s="16">
        <v>7</v>
      </c>
      <c r="Y73" s="16">
        <v>7</v>
      </c>
      <c r="Z73" s="16">
        <v>13</v>
      </c>
      <c r="AA73" s="16">
        <v>20</v>
      </c>
      <c r="AB73" s="16">
        <v>7</v>
      </c>
      <c r="AC73" s="16">
        <v>16</v>
      </c>
      <c r="AD73" s="16">
        <v>28</v>
      </c>
      <c r="AE73" s="16">
        <v>3</v>
      </c>
      <c r="AF73" s="16">
        <v>4</v>
      </c>
      <c r="AG73" s="16">
        <v>3</v>
      </c>
      <c r="AH73" s="16">
        <v>2</v>
      </c>
      <c r="AI73" s="16">
        <v>1</v>
      </c>
      <c r="AJ73" s="16">
        <v>6</v>
      </c>
      <c r="AK73" s="16">
        <v>6</v>
      </c>
      <c r="AL73" s="16">
        <v>23</v>
      </c>
      <c r="AM73" s="16">
        <v>11</v>
      </c>
      <c r="AN73" s="16">
        <v>1</v>
      </c>
      <c r="AO73" s="16">
        <v>11</v>
      </c>
      <c r="AP73" s="16">
        <v>5</v>
      </c>
      <c r="AQ73" s="16">
        <v>8</v>
      </c>
      <c r="AR73" s="16">
        <v>12</v>
      </c>
      <c r="AS73" s="16">
        <v>17</v>
      </c>
      <c r="AT73" s="16">
        <v>17</v>
      </c>
      <c r="AU73" s="13">
        <f t="shared" si="58"/>
        <v>801</v>
      </c>
    </row>
    <row r="74" spans="1:47" ht="12.75" customHeight="1" x14ac:dyDescent="0.3">
      <c r="A74" s="15"/>
      <c r="B74" s="34"/>
      <c r="C74" s="29" t="s">
        <v>65</v>
      </c>
      <c r="D74" s="36"/>
      <c r="E74" s="16">
        <v>7</v>
      </c>
      <c r="F74" s="16">
        <v>3</v>
      </c>
      <c r="G74" s="16">
        <v>1</v>
      </c>
      <c r="H74" s="16">
        <v>2</v>
      </c>
      <c r="I74" s="16">
        <v>3</v>
      </c>
      <c r="J74" s="16">
        <v>1</v>
      </c>
      <c r="K74" s="16">
        <v>3</v>
      </c>
      <c r="L74" s="16">
        <v>2</v>
      </c>
      <c r="M74" s="16">
        <v>3</v>
      </c>
      <c r="N74" s="16">
        <v>2</v>
      </c>
      <c r="O74" s="16">
        <v>4</v>
      </c>
      <c r="P74" s="16">
        <v>1</v>
      </c>
      <c r="Q74" s="16">
        <v>2</v>
      </c>
      <c r="R74" s="16">
        <v>3</v>
      </c>
      <c r="S74" s="16">
        <v>3</v>
      </c>
      <c r="T74" s="16">
        <v>3</v>
      </c>
      <c r="U74" s="16">
        <v>6</v>
      </c>
      <c r="V74" s="16">
        <v>4</v>
      </c>
      <c r="W74" s="16">
        <v>5</v>
      </c>
      <c r="X74" s="16">
        <v>1</v>
      </c>
      <c r="Y74" s="16">
        <v>4</v>
      </c>
      <c r="Z74" s="16">
        <v>0</v>
      </c>
      <c r="AA74" s="16">
        <v>1</v>
      </c>
      <c r="AB74" s="16">
        <v>3</v>
      </c>
      <c r="AC74" s="16">
        <v>0</v>
      </c>
      <c r="AD74" s="16">
        <v>4</v>
      </c>
      <c r="AE74" s="16">
        <v>4</v>
      </c>
      <c r="AF74" s="16">
        <v>5</v>
      </c>
      <c r="AG74" s="16">
        <v>3</v>
      </c>
      <c r="AH74" s="16">
        <v>5</v>
      </c>
      <c r="AI74" s="16">
        <v>5</v>
      </c>
      <c r="AJ74" s="16">
        <v>4</v>
      </c>
      <c r="AK74" s="16">
        <v>1</v>
      </c>
      <c r="AL74" s="16">
        <v>1</v>
      </c>
      <c r="AM74" s="16">
        <v>4</v>
      </c>
      <c r="AN74" s="16">
        <v>7</v>
      </c>
      <c r="AO74" s="16">
        <v>5</v>
      </c>
      <c r="AP74" s="16">
        <v>5</v>
      </c>
      <c r="AQ74" s="16">
        <v>4</v>
      </c>
      <c r="AR74" s="16">
        <v>2</v>
      </c>
      <c r="AS74" s="16">
        <v>4</v>
      </c>
      <c r="AT74" s="16">
        <v>0</v>
      </c>
      <c r="AU74" s="13">
        <f t="shared" si="58"/>
        <v>130</v>
      </c>
    </row>
    <row r="75" spans="1:47" ht="12.75" customHeight="1" x14ac:dyDescent="0.3">
      <c r="A75" s="15"/>
      <c r="B75" s="34"/>
      <c r="C75" s="29" t="s">
        <v>66</v>
      </c>
      <c r="D75" s="36"/>
      <c r="E75" s="16">
        <v>1</v>
      </c>
      <c r="F75" s="16">
        <v>1</v>
      </c>
      <c r="G75" s="16">
        <v>1</v>
      </c>
      <c r="H75" s="16">
        <v>0</v>
      </c>
      <c r="I75" s="16">
        <v>2</v>
      </c>
      <c r="J75" s="16">
        <v>0</v>
      </c>
      <c r="K75" s="16">
        <v>3</v>
      </c>
      <c r="L75" s="16">
        <v>2</v>
      </c>
      <c r="M75" s="16">
        <v>3</v>
      </c>
      <c r="N75" s="16">
        <v>2</v>
      </c>
      <c r="O75" s="16">
        <v>0</v>
      </c>
      <c r="P75" s="16">
        <v>2</v>
      </c>
      <c r="Q75" s="16">
        <v>2</v>
      </c>
      <c r="R75" s="16">
        <v>0</v>
      </c>
      <c r="S75" s="16">
        <v>1</v>
      </c>
      <c r="T75" s="16">
        <v>3</v>
      </c>
      <c r="U75" s="16">
        <v>1</v>
      </c>
      <c r="V75" s="16">
        <v>3</v>
      </c>
      <c r="W75" s="16">
        <v>1</v>
      </c>
      <c r="X75" s="16">
        <v>0</v>
      </c>
      <c r="Y75" s="16">
        <v>1</v>
      </c>
      <c r="Z75" s="16">
        <v>2</v>
      </c>
      <c r="AA75" s="16">
        <v>1</v>
      </c>
      <c r="AB75" s="16">
        <v>0</v>
      </c>
      <c r="AC75" s="16">
        <v>0</v>
      </c>
      <c r="AD75" s="16">
        <v>1</v>
      </c>
      <c r="AE75" s="16">
        <v>0</v>
      </c>
      <c r="AF75" s="16">
        <v>0</v>
      </c>
      <c r="AG75" s="16">
        <v>6</v>
      </c>
      <c r="AH75" s="16">
        <v>3</v>
      </c>
      <c r="AI75" s="16">
        <v>0</v>
      </c>
      <c r="AJ75" s="16">
        <v>4</v>
      </c>
      <c r="AK75" s="16">
        <v>1</v>
      </c>
      <c r="AL75" s="16">
        <v>1</v>
      </c>
      <c r="AM75" s="16">
        <v>3</v>
      </c>
      <c r="AN75" s="16">
        <v>0</v>
      </c>
      <c r="AO75" s="16">
        <v>5</v>
      </c>
      <c r="AP75" s="16">
        <v>0</v>
      </c>
      <c r="AQ75" s="16">
        <v>0</v>
      </c>
      <c r="AR75" s="16">
        <v>1</v>
      </c>
      <c r="AS75" s="16">
        <v>2</v>
      </c>
      <c r="AT75" s="16">
        <v>0</v>
      </c>
      <c r="AU75" s="13">
        <f t="shared" si="58"/>
        <v>59</v>
      </c>
    </row>
    <row r="76" spans="1:47" ht="12.75" customHeight="1" x14ac:dyDescent="0.3">
      <c r="A76" s="15"/>
      <c r="B76" s="34"/>
      <c r="C76" s="29" t="s">
        <v>67</v>
      </c>
      <c r="D76" s="36"/>
      <c r="E76" s="16">
        <v>1</v>
      </c>
      <c r="F76" s="16">
        <v>1</v>
      </c>
      <c r="G76" s="16">
        <v>1</v>
      </c>
      <c r="H76" s="16">
        <v>1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1</v>
      </c>
      <c r="O76" s="16">
        <v>1</v>
      </c>
      <c r="P76" s="16">
        <v>0</v>
      </c>
      <c r="Q76" s="16">
        <v>0</v>
      </c>
      <c r="R76" s="16">
        <v>0</v>
      </c>
      <c r="S76" s="16">
        <v>2</v>
      </c>
      <c r="T76" s="16">
        <v>0</v>
      </c>
      <c r="U76" s="16">
        <v>1</v>
      </c>
      <c r="V76" s="16">
        <v>2</v>
      </c>
      <c r="W76" s="16">
        <v>0</v>
      </c>
      <c r="X76" s="16">
        <v>0</v>
      </c>
      <c r="Y76" s="16">
        <v>1</v>
      </c>
      <c r="Z76" s="16">
        <v>0</v>
      </c>
      <c r="AA76" s="16">
        <v>1</v>
      </c>
      <c r="AB76" s="16">
        <v>1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1</v>
      </c>
      <c r="AN76" s="16">
        <v>1</v>
      </c>
      <c r="AO76" s="16">
        <v>0</v>
      </c>
      <c r="AP76" s="16">
        <v>0</v>
      </c>
      <c r="AQ76" s="16">
        <v>1</v>
      </c>
      <c r="AR76" s="16">
        <v>0</v>
      </c>
      <c r="AS76" s="16">
        <v>1</v>
      </c>
      <c r="AT76" s="16">
        <v>2</v>
      </c>
      <c r="AU76" s="13">
        <f t="shared" si="58"/>
        <v>20</v>
      </c>
    </row>
    <row r="77" spans="1:47" ht="12.75" customHeight="1" x14ac:dyDescent="0.3">
      <c r="A77" s="15"/>
      <c r="B77" s="34"/>
      <c r="C77" s="29" t="s">
        <v>68</v>
      </c>
      <c r="D77" s="36"/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2</v>
      </c>
      <c r="K77" s="16">
        <v>1</v>
      </c>
      <c r="L77" s="16">
        <v>0</v>
      </c>
      <c r="M77" s="16">
        <v>0</v>
      </c>
      <c r="N77" s="16">
        <v>0</v>
      </c>
      <c r="O77" s="16">
        <v>0</v>
      </c>
      <c r="P77" s="16">
        <v>2</v>
      </c>
      <c r="Q77" s="16">
        <v>3</v>
      </c>
      <c r="R77" s="16">
        <v>0</v>
      </c>
      <c r="S77" s="16">
        <v>2</v>
      </c>
      <c r="T77" s="16">
        <v>2</v>
      </c>
      <c r="U77" s="16">
        <v>1</v>
      </c>
      <c r="V77" s="16">
        <v>0</v>
      </c>
      <c r="W77" s="16">
        <v>0</v>
      </c>
      <c r="X77" s="16">
        <v>0</v>
      </c>
      <c r="Y77" s="16">
        <v>2</v>
      </c>
      <c r="Z77" s="16">
        <v>0</v>
      </c>
      <c r="AA77" s="16">
        <v>0</v>
      </c>
      <c r="AB77" s="16">
        <v>1</v>
      </c>
      <c r="AC77" s="16">
        <v>0</v>
      </c>
      <c r="AD77" s="16">
        <v>0</v>
      </c>
      <c r="AE77" s="16">
        <v>0</v>
      </c>
      <c r="AF77" s="16">
        <v>1</v>
      </c>
      <c r="AG77" s="16">
        <v>0</v>
      </c>
      <c r="AH77" s="16">
        <v>0</v>
      </c>
      <c r="AI77" s="16">
        <v>0</v>
      </c>
      <c r="AJ77" s="16">
        <v>2</v>
      </c>
      <c r="AK77" s="16">
        <v>0</v>
      </c>
      <c r="AL77" s="16">
        <v>1</v>
      </c>
      <c r="AM77" s="16">
        <v>0</v>
      </c>
      <c r="AN77" s="16">
        <v>1</v>
      </c>
      <c r="AO77" s="16">
        <v>1</v>
      </c>
      <c r="AP77" s="16">
        <v>0</v>
      </c>
      <c r="AQ77" s="16">
        <v>1</v>
      </c>
      <c r="AR77" s="16">
        <v>0</v>
      </c>
      <c r="AS77" s="16">
        <v>1</v>
      </c>
      <c r="AT77" s="16">
        <v>1</v>
      </c>
      <c r="AU77" s="13">
        <f t="shared" si="58"/>
        <v>25</v>
      </c>
    </row>
    <row r="78" spans="1:47" ht="12.75" customHeight="1" x14ac:dyDescent="0.3">
      <c r="A78" s="15"/>
      <c r="B78" s="34"/>
      <c r="C78" s="29" t="s">
        <v>69</v>
      </c>
      <c r="D78" s="36"/>
      <c r="E78" s="16">
        <v>1</v>
      </c>
      <c r="F78" s="16">
        <v>0</v>
      </c>
      <c r="G78" s="16">
        <v>0</v>
      </c>
      <c r="H78" s="16">
        <v>0</v>
      </c>
      <c r="I78" s="16">
        <v>0</v>
      </c>
      <c r="J78" s="16">
        <v>1</v>
      </c>
      <c r="K78" s="16">
        <v>0</v>
      </c>
      <c r="L78" s="16">
        <v>1</v>
      </c>
      <c r="M78" s="16">
        <v>0</v>
      </c>
      <c r="N78" s="16">
        <v>0</v>
      </c>
      <c r="O78" s="16">
        <v>1</v>
      </c>
      <c r="P78" s="16">
        <v>1</v>
      </c>
      <c r="Q78" s="16">
        <v>0</v>
      </c>
      <c r="R78" s="16">
        <v>2</v>
      </c>
      <c r="S78" s="16">
        <v>1</v>
      </c>
      <c r="T78" s="16">
        <v>1</v>
      </c>
      <c r="U78" s="16">
        <v>3</v>
      </c>
      <c r="V78" s="16">
        <v>1</v>
      </c>
      <c r="W78" s="16">
        <v>0</v>
      </c>
      <c r="X78" s="16">
        <v>1</v>
      </c>
      <c r="Y78" s="16">
        <v>0</v>
      </c>
      <c r="Z78" s="16">
        <v>1</v>
      </c>
      <c r="AA78" s="16">
        <v>0</v>
      </c>
      <c r="AB78" s="16">
        <v>0</v>
      </c>
      <c r="AC78" s="16">
        <v>1</v>
      </c>
      <c r="AD78" s="16">
        <v>2</v>
      </c>
      <c r="AE78" s="16">
        <v>0</v>
      </c>
      <c r="AF78" s="16">
        <v>1</v>
      </c>
      <c r="AG78" s="16">
        <v>3</v>
      </c>
      <c r="AH78" s="16">
        <v>1</v>
      </c>
      <c r="AI78" s="16">
        <v>1</v>
      </c>
      <c r="AJ78" s="16">
        <v>2</v>
      </c>
      <c r="AK78" s="16">
        <v>0</v>
      </c>
      <c r="AL78" s="16">
        <v>0</v>
      </c>
      <c r="AM78" s="16">
        <v>2</v>
      </c>
      <c r="AN78" s="16">
        <v>2</v>
      </c>
      <c r="AO78" s="16">
        <v>0</v>
      </c>
      <c r="AP78" s="16">
        <v>1</v>
      </c>
      <c r="AQ78" s="16">
        <v>4</v>
      </c>
      <c r="AR78" s="16">
        <v>2</v>
      </c>
      <c r="AS78" s="16">
        <v>3</v>
      </c>
      <c r="AT78" s="16">
        <v>0</v>
      </c>
      <c r="AU78" s="13">
        <f t="shared" si="58"/>
        <v>40</v>
      </c>
    </row>
    <row r="79" spans="1:47" ht="12.75" customHeight="1" x14ac:dyDescent="0.3">
      <c r="A79" s="16" t="s">
        <v>15</v>
      </c>
      <c r="B79" s="60" t="s">
        <v>49</v>
      </c>
      <c r="C79" s="61"/>
      <c r="D79" s="59"/>
      <c r="E79" s="13">
        <f>SUM(E69:E78)</f>
        <v>74</v>
      </c>
      <c r="F79" s="13">
        <f t="shared" ref="F79" si="59">SUM(F69:F78)</f>
        <v>94</v>
      </c>
      <c r="G79" s="13">
        <f t="shared" ref="G79" si="60">SUM(G69:G78)</f>
        <v>56</v>
      </c>
      <c r="H79" s="13">
        <f t="shared" ref="H79" si="61">SUM(H69:H78)</f>
        <v>39</v>
      </c>
      <c r="I79" s="13">
        <f t="shared" ref="I79" si="62">SUM(I69:I78)</f>
        <v>58</v>
      </c>
      <c r="J79" s="13">
        <f t="shared" ref="J79" si="63">SUM(J69:J78)</f>
        <v>73</v>
      </c>
      <c r="K79" s="13">
        <f t="shared" ref="K79" si="64">SUM(K69:K78)</f>
        <v>74</v>
      </c>
      <c r="L79" s="13">
        <f t="shared" ref="L79" si="65">SUM(L69:L78)</f>
        <v>63</v>
      </c>
      <c r="M79" s="13">
        <f t="shared" ref="M79" si="66">SUM(M69:M78)</f>
        <v>93</v>
      </c>
      <c r="N79" s="13">
        <f t="shared" ref="N79" si="67">SUM(N69:N78)</f>
        <v>81</v>
      </c>
      <c r="O79" s="13">
        <f t="shared" ref="O79" si="68">SUM(O69:O78)</f>
        <v>105</v>
      </c>
      <c r="P79" s="13">
        <f t="shared" ref="P79" si="69">SUM(P69:P78)</f>
        <v>108</v>
      </c>
      <c r="Q79" s="13">
        <f t="shared" ref="Q79" si="70">SUM(Q69:Q78)</f>
        <v>66</v>
      </c>
      <c r="R79" s="13">
        <f t="shared" ref="R79" si="71">SUM(R69:R78)</f>
        <v>90</v>
      </c>
      <c r="S79" s="13">
        <f t="shared" ref="S79" si="72">SUM(S69:S78)</f>
        <v>93</v>
      </c>
      <c r="T79" s="13">
        <f t="shared" ref="T79" si="73">SUM(T69:T78)</f>
        <v>105</v>
      </c>
      <c r="U79" s="13">
        <f t="shared" ref="U79" si="74">SUM(U69:U78)</f>
        <v>104</v>
      </c>
      <c r="V79" s="13">
        <f t="shared" ref="V79" si="75">SUM(V69:V78)</f>
        <v>105</v>
      </c>
      <c r="W79" s="13">
        <f t="shared" ref="W79" si="76">SUM(W69:W78)</f>
        <v>65</v>
      </c>
      <c r="X79" s="13">
        <f t="shared" ref="X79" si="77">SUM(X69:X78)</f>
        <v>20</v>
      </c>
      <c r="Y79" s="13">
        <f t="shared" ref="Y79" si="78">SUM(Y69:Y78)</f>
        <v>30</v>
      </c>
      <c r="Z79" s="13">
        <f t="shared" ref="Z79" si="79">SUM(Z69:Z78)</f>
        <v>27</v>
      </c>
      <c r="AA79" s="13">
        <f t="shared" ref="AA79" si="80">SUM(AA69:AA78)</f>
        <v>49</v>
      </c>
      <c r="AB79" s="13">
        <f t="shared" ref="AB79" si="81">SUM(AB69:AB78)</f>
        <v>31</v>
      </c>
      <c r="AC79" s="13">
        <f t="shared" ref="AC79" si="82">SUM(AC69:AC78)</f>
        <v>56</v>
      </c>
      <c r="AD79" s="13">
        <f t="shared" ref="AD79" si="83">SUM(AD69:AD78)</f>
        <v>47</v>
      </c>
      <c r="AE79" s="13">
        <f t="shared" ref="AE79" si="84">SUM(AE69:AE78)</f>
        <v>13</v>
      </c>
      <c r="AF79" s="13">
        <f t="shared" ref="AF79" si="85">SUM(AF69:AF78)</f>
        <v>35</v>
      </c>
      <c r="AG79" s="13">
        <f t="shared" ref="AG79" si="86">SUM(AG69:AG78)</f>
        <v>57</v>
      </c>
      <c r="AH79" s="13">
        <f t="shared" ref="AH79" si="87">SUM(AH69:AH78)</f>
        <v>37</v>
      </c>
      <c r="AI79" s="13">
        <f t="shared" ref="AI79" si="88">SUM(AI69:AI78)</f>
        <v>22</v>
      </c>
      <c r="AJ79" s="13">
        <f t="shared" ref="AJ79" si="89">SUM(AJ69:AJ78)</f>
        <v>44</v>
      </c>
      <c r="AK79" s="13">
        <f t="shared" ref="AK79" si="90">SUM(AK69:AK78)</f>
        <v>23</v>
      </c>
      <c r="AL79" s="13">
        <f t="shared" ref="AL79" si="91">SUM(AL69:AL78)</f>
        <v>47</v>
      </c>
      <c r="AM79" s="13">
        <f t="shared" ref="AM79" si="92">SUM(AM69:AM78)</f>
        <v>65</v>
      </c>
      <c r="AN79" s="13">
        <f t="shared" ref="AN79" si="93">SUM(AN69:AN78)</f>
        <v>44</v>
      </c>
      <c r="AO79" s="13">
        <f t="shared" ref="AO79" si="94">SUM(AO69:AO78)</f>
        <v>63</v>
      </c>
      <c r="AP79" s="13">
        <f t="shared" ref="AP79" si="95">SUM(AP69:AP78)</f>
        <v>25</v>
      </c>
      <c r="AQ79" s="13">
        <f t="shared" ref="AQ79" si="96">SUM(AQ69:AQ78)</f>
        <v>58</v>
      </c>
      <c r="AR79" s="13">
        <f t="shared" ref="AR79" si="97">SUM(AR69:AR78)</f>
        <v>63</v>
      </c>
      <c r="AS79" s="13">
        <f t="shared" ref="AS79" si="98">SUM(AS69:AS78)</f>
        <v>73</v>
      </c>
      <c r="AT79" s="13">
        <f t="shared" ref="AT79" si="99">SUM(AT69:AT78)</f>
        <v>73</v>
      </c>
      <c r="AU79" s="13">
        <f t="shared" ref="AU79" si="100">SUM(AU69:AU78)</f>
        <v>2548</v>
      </c>
    </row>
    <row r="80" spans="1:47" ht="12.75" customHeight="1" x14ac:dyDescent="0.3">
      <c r="A80" s="63"/>
      <c r="B80" s="64"/>
      <c r="C80" s="64"/>
      <c r="D80" s="64"/>
      <c r="E80" s="64"/>
    </row>
    <row r="81" spans="1:47" ht="12.75" customHeight="1" x14ac:dyDescent="0.3">
      <c r="A81" s="20" t="s">
        <v>37</v>
      </c>
      <c r="B81" s="27" t="s">
        <v>23</v>
      </c>
      <c r="C81" s="58" t="s">
        <v>70</v>
      </c>
      <c r="D81" s="59"/>
      <c r="E81" s="16">
        <v>3</v>
      </c>
      <c r="F81" s="16">
        <v>5</v>
      </c>
      <c r="G81" s="16">
        <v>9</v>
      </c>
      <c r="H81" s="16">
        <v>4</v>
      </c>
      <c r="I81" s="16">
        <v>3</v>
      </c>
      <c r="J81" s="16">
        <v>1</v>
      </c>
      <c r="K81" s="16">
        <v>4</v>
      </c>
      <c r="L81" s="16">
        <v>4</v>
      </c>
      <c r="M81" s="16">
        <v>0</v>
      </c>
      <c r="N81" s="16">
        <v>13</v>
      </c>
      <c r="O81" s="16">
        <v>10</v>
      </c>
      <c r="P81" s="16">
        <v>7</v>
      </c>
      <c r="Q81" s="16">
        <v>2</v>
      </c>
      <c r="R81" s="16">
        <v>4</v>
      </c>
      <c r="S81" s="16">
        <v>3</v>
      </c>
      <c r="T81" s="16">
        <v>1</v>
      </c>
      <c r="U81" s="16">
        <v>0</v>
      </c>
      <c r="V81" s="16">
        <v>1</v>
      </c>
      <c r="W81" s="16">
        <v>5</v>
      </c>
      <c r="X81" s="16">
        <v>0</v>
      </c>
      <c r="Y81" s="16">
        <v>0</v>
      </c>
      <c r="Z81" s="16">
        <v>0</v>
      </c>
      <c r="AA81" s="16">
        <v>5</v>
      </c>
      <c r="AB81" s="16">
        <v>5</v>
      </c>
      <c r="AC81" s="16">
        <v>0</v>
      </c>
      <c r="AD81" s="16">
        <v>0</v>
      </c>
      <c r="AE81" s="16">
        <v>1</v>
      </c>
      <c r="AF81" s="16">
        <v>4</v>
      </c>
      <c r="AG81" s="16">
        <v>2</v>
      </c>
      <c r="AH81" s="16">
        <v>4</v>
      </c>
      <c r="AI81" s="16">
        <v>2</v>
      </c>
      <c r="AJ81" s="16">
        <v>4</v>
      </c>
      <c r="AK81" s="16">
        <v>0</v>
      </c>
      <c r="AL81" s="16">
        <v>1</v>
      </c>
      <c r="AM81" s="16">
        <v>1</v>
      </c>
      <c r="AN81" s="16">
        <v>2</v>
      </c>
      <c r="AO81" s="16">
        <v>2</v>
      </c>
      <c r="AP81" s="16">
        <v>3</v>
      </c>
      <c r="AQ81" s="16">
        <v>5</v>
      </c>
      <c r="AR81" s="16">
        <v>4</v>
      </c>
      <c r="AS81" s="16">
        <v>3</v>
      </c>
      <c r="AT81" s="16">
        <v>0</v>
      </c>
      <c r="AU81" s="13">
        <f t="shared" ref="AU81:AU90" si="101">SUM(E81:AT81)</f>
        <v>127</v>
      </c>
    </row>
    <row r="82" spans="1:47" ht="12.75" customHeight="1" x14ac:dyDescent="0.3">
      <c r="A82" s="20" t="s">
        <v>39</v>
      </c>
      <c r="B82" s="34"/>
      <c r="C82" s="29" t="s">
        <v>71</v>
      </c>
      <c r="D82" s="36"/>
      <c r="E82" s="16">
        <v>15</v>
      </c>
      <c r="F82" s="16">
        <v>7</v>
      </c>
      <c r="G82" s="16">
        <v>16</v>
      </c>
      <c r="H82" s="16">
        <v>19</v>
      </c>
      <c r="I82" s="16">
        <v>15</v>
      </c>
      <c r="J82" s="16">
        <v>47</v>
      </c>
      <c r="K82" s="16">
        <v>8</v>
      </c>
      <c r="L82" s="16">
        <v>8</v>
      </c>
      <c r="M82" s="16">
        <v>3</v>
      </c>
      <c r="N82" s="16">
        <v>7</v>
      </c>
      <c r="O82" s="16">
        <v>20</v>
      </c>
      <c r="P82" s="16">
        <v>7</v>
      </c>
      <c r="Q82" s="16">
        <v>0</v>
      </c>
      <c r="R82" s="16">
        <v>3</v>
      </c>
      <c r="S82" s="16">
        <v>1</v>
      </c>
      <c r="T82" s="16">
        <v>7</v>
      </c>
      <c r="U82" s="16">
        <v>1</v>
      </c>
      <c r="V82" s="16">
        <v>9</v>
      </c>
      <c r="W82" s="16">
        <v>1</v>
      </c>
      <c r="X82" s="16">
        <v>3</v>
      </c>
      <c r="Y82" s="16">
        <v>3</v>
      </c>
      <c r="Z82" s="16">
        <v>0</v>
      </c>
      <c r="AA82" s="16">
        <v>2</v>
      </c>
      <c r="AB82" s="16">
        <v>4</v>
      </c>
      <c r="AC82" s="16">
        <v>3</v>
      </c>
      <c r="AD82" s="16">
        <v>0</v>
      </c>
      <c r="AE82" s="16">
        <v>0</v>
      </c>
      <c r="AF82" s="16">
        <v>6</v>
      </c>
      <c r="AG82" s="16">
        <v>3</v>
      </c>
      <c r="AH82" s="16">
        <v>1</v>
      </c>
      <c r="AI82" s="16">
        <v>1</v>
      </c>
      <c r="AJ82" s="16">
        <v>5</v>
      </c>
      <c r="AK82" s="16">
        <v>3</v>
      </c>
      <c r="AL82" s="16">
        <v>0</v>
      </c>
      <c r="AM82" s="16">
        <v>19</v>
      </c>
      <c r="AN82" s="16">
        <v>8</v>
      </c>
      <c r="AO82" s="16">
        <v>3</v>
      </c>
      <c r="AP82" s="16">
        <v>29</v>
      </c>
      <c r="AQ82" s="16">
        <v>56</v>
      </c>
      <c r="AR82" s="16">
        <v>62</v>
      </c>
      <c r="AS82" s="16">
        <v>63</v>
      </c>
      <c r="AT82" s="16">
        <v>10</v>
      </c>
      <c r="AU82" s="13">
        <f t="shared" si="101"/>
        <v>478</v>
      </c>
    </row>
    <row r="83" spans="1:47" ht="12.75" customHeight="1" x14ac:dyDescent="0.3">
      <c r="A83" s="15"/>
      <c r="B83" s="34"/>
      <c r="C83" s="29" t="s">
        <v>72</v>
      </c>
      <c r="D83" s="36"/>
      <c r="E83" s="16">
        <v>4</v>
      </c>
      <c r="F83" s="16">
        <v>5</v>
      </c>
      <c r="G83" s="16">
        <v>2</v>
      </c>
      <c r="H83" s="16">
        <v>3</v>
      </c>
      <c r="I83" s="16">
        <v>2</v>
      </c>
      <c r="J83" s="16">
        <v>1</v>
      </c>
      <c r="K83" s="16">
        <v>1</v>
      </c>
      <c r="L83" s="16">
        <v>0</v>
      </c>
      <c r="M83" s="16">
        <v>2</v>
      </c>
      <c r="N83" s="16">
        <v>0</v>
      </c>
      <c r="O83" s="16">
        <v>4</v>
      </c>
      <c r="P83" s="16">
        <v>3</v>
      </c>
      <c r="Q83" s="16">
        <v>0</v>
      </c>
      <c r="R83" s="16">
        <v>2</v>
      </c>
      <c r="S83" s="16">
        <v>1</v>
      </c>
      <c r="T83" s="16">
        <v>0</v>
      </c>
      <c r="U83" s="16">
        <v>1</v>
      </c>
      <c r="V83" s="16">
        <v>0</v>
      </c>
      <c r="W83" s="16">
        <v>0</v>
      </c>
      <c r="X83" s="16">
        <v>1</v>
      </c>
      <c r="Y83" s="16">
        <v>3</v>
      </c>
      <c r="Z83" s="16">
        <v>0</v>
      </c>
      <c r="AA83" s="16">
        <v>1</v>
      </c>
      <c r="AB83" s="16">
        <v>3</v>
      </c>
      <c r="AC83" s="16">
        <v>0</v>
      </c>
      <c r="AD83" s="16">
        <v>0</v>
      </c>
      <c r="AE83" s="16">
        <v>1</v>
      </c>
      <c r="AF83" s="16">
        <v>0</v>
      </c>
      <c r="AG83" s="16">
        <v>0</v>
      </c>
      <c r="AH83" s="16">
        <v>0</v>
      </c>
      <c r="AI83" s="16">
        <v>0</v>
      </c>
      <c r="AJ83" s="16">
        <v>2</v>
      </c>
      <c r="AK83" s="16">
        <v>1</v>
      </c>
      <c r="AL83" s="16">
        <v>0</v>
      </c>
      <c r="AM83" s="16">
        <v>0</v>
      </c>
      <c r="AN83" s="16">
        <v>0</v>
      </c>
      <c r="AO83" s="16">
        <v>0</v>
      </c>
      <c r="AP83" s="16">
        <v>1</v>
      </c>
      <c r="AQ83" s="16">
        <v>1</v>
      </c>
      <c r="AR83" s="16">
        <v>1</v>
      </c>
      <c r="AS83" s="16">
        <v>1</v>
      </c>
      <c r="AT83" s="16">
        <v>3</v>
      </c>
      <c r="AU83" s="13">
        <f t="shared" si="101"/>
        <v>50</v>
      </c>
    </row>
    <row r="84" spans="1:47" ht="12.75" customHeight="1" x14ac:dyDescent="0.3">
      <c r="A84" s="15"/>
      <c r="B84" s="34"/>
      <c r="C84" s="29" t="s">
        <v>73</v>
      </c>
      <c r="D84" s="36"/>
      <c r="E84" s="16">
        <v>2</v>
      </c>
      <c r="F84" s="16">
        <v>1</v>
      </c>
      <c r="G84" s="16">
        <v>2</v>
      </c>
      <c r="H84" s="16">
        <v>0</v>
      </c>
      <c r="I84" s="16">
        <v>1</v>
      </c>
      <c r="J84" s="16">
        <v>0</v>
      </c>
      <c r="K84" s="16">
        <v>0</v>
      </c>
      <c r="L84" s="16">
        <v>1</v>
      </c>
      <c r="M84" s="16">
        <v>0</v>
      </c>
      <c r="N84" s="16">
        <v>0</v>
      </c>
      <c r="O84" s="16">
        <v>0</v>
      </c>
      <c r="P84" s="16">
        <v>2</v>
      </c>
      <c r="Q84" s="16">
        <v>0</v>
      </c>
      <c r="R84" s="16">
        <v>1</v>
      </c>
      <c r="S84" s="16">
        <v>0</v>
      </c>
      <c r="T84" s="16">
        <v>1</v>
      </c>
      <c r="U84" s="16">
        <v>0</v>
      </c>
      <c r="V84" s="16">
        <v>0</v>
      </c>
      <c r="W84" s="16">
        <v>1</v>
      </c>
      <c r="X84" s="16">
        <v>0</v>
      </c>
      <c r="Y84" s="16">
        <v>0</v>
      </c>
      <c r="Z84" s="16">
        <v>1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1</v>
      </c>
      <c r="AM84" s="16">
        <v>1</v>
      </c>
      <c r="AN84" s="16">
        <v>0</v>
      </c>
      <c r="AO84" s="16">
        <v>0</v>
      </c>
      <c r="AP84" s="16">
        <v>0</v>
      </c>
      <c r="AQ84" s="16">
        <v>2</v>
      </c>
      <c r="AR84" s="16">
        <v>1</v>
      </c>
      <c r="AS84" s="16">
        <v>1</v>
      </c>
      <c r="AT84" s="16">
        <v>0</v>
      </c>
      <c r="AU84" s="13">
        <f t="shared" si="101"/>
        <v>19</v>
      </c>
    </row>
    <row r="85" spans="1:47" ht="12.75" customHeight="1" x14ac:dyDescent="0.3">
      <c r="A85" s="15"/>
      <c r="B85" s="34"/>
      <c r="C85" s="29" t="s">
        <v>74</v>
      </c>
      <c r="D85" s="36"/>
      <c r="E85" s="16">
        <v>2</v>
      </c>
      <c r="F85" s="16">
        <v>3</v>
      </c>
      <c r="G85" s="16">
        <v>1</v>
      </c>
      <c r="H85" s="16">
        <v>0</v>
      </c>
      <c r="I85" s="16">
        <v>1</v>
      </c>
      <c r="J85" s="16">
        <v>1</v>
      </c>
      <c r="K85" s="16">
        <v>0</v>
      </c>
      <c r="L85" s="16">
        <v>1</v>
      </c>
      <c r="M85" s="16">
        <v>0</v>
      </c>
      <c r="N85" s="16">
        <v>1</v>
      </c>
      <c r="O85" s="16">
        <v>2</v>
      </c>
      <c r="P85" s="16">
        <v>1</v>
      </c>
      <c r="Q85" s="16">
        <v>1</v>
      </c>
      <c r="R85" s="16">
        <v>1</v>
      </c>
      <c r="S85" s="16">
        <v>1</v>
      </c>
      <c r="T85" s="16">
        <v>0</v>
      </c>
      <c r="U85" s="16">
        <v>0</v>
      </c>
      <c r="V85" s="16">
        <v>0</v>
      </c>
      <c r="W85" s="16">
        <v>1</v>
      </c>
      <c r="X85" s="16">
        <v>1</v>
      </c>
      <c r="Y85" s="16">
        <v>0</v>
      </c>
      <c r="Z85" s="16">
        <v>0</v>
      </c>
      <c r="AA85" s="16">
        <v>0</v>
      </c>
      <c r="AB85" s="16">
        <v>2</v>
      </c>
      <c r="AC85" s="16">
        <v>0</v>
      </c>
      <c r="AD85" s="16">
        <v>0</v>
      </c>
      <c r="AE85" s="16">
        <v>0</v>
      </c>
      <c r="AF85" s="16">
        <v>1</v>
      </c>
      <c r="AG85" s="16">
        <v>0</v>
      </c>
      <c r="AH85" s="16">
        <v>1</v>
      </c>
      <c r="AI85" s="16">
        <v>0</v>
      </c>
      <c r="AJ85" s="16">
        <v>0</v>
      </c>
      <c r="AK85" s="16">
        <v>1</v>
      </c>
      <c r="AL85" s="16">
        <v>0</v>
      </c>
      <c r="AM85" s="16">
        <v>0</v>
      </c>
      <c r="AN85" s="16">
        <v>1</v>
      </c>
      <c r="AO85" s="16">
        <v>0</v>
      </c>
      <c r="AP85" s="16">
        <v>0</v>
      </c>
      <c r="AQ85" s="16">
        <v>2</v>
      </c>
      <c r="AR85" s="16">
        <v>0</v>
      </c>
      <c r="AS85" s="16">
        <v>0</v>
      </c>
      <c r="AT85" s="16">
        <v>2</v>
      </c>
      <c r="AU85" s="13">
        <f t="shared" si="101"/>
        <v>28</v>
      </c>
    </row>
    <row r="86" spans="1:47" ht="12.75" customHeight="1" x14ac:dyDescent="0.3">
      <c r="A86" s="15"/>
      <c r="B86" s="34"/>
      <c r="C86" s="29" t="s">
        <v>75</v>
      </c>
      <c r="D86" s="36"/>
      <c r="E86" s="16">
        <v>2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1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2</v>
      </c>
      <c r="U86" s="16">
        <v>1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1</v>
      </c>
      <c r="AC86" s="16">
        <v>0</v>
      </c>
      <c r="AD86" s="16">
        <v>1</v>
      </c>
      <c r="AE86" s="16">
        <v>0</v>
      </c>
      <c r="AF86" s="16">
        <v>1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3">
        <f t="shared" si="101"/>
        <v>9</v>
      </c>
    </row>
    <row r="87" spans="1:47" ht="12.75" customHeight="1" x14ac:dyDescent="0.3">
      <c r="A87" s="15"/>
      <c r="B87" s="34"/>
      <c r="C87" s="29" t="s">
        <v>76</v>
      </c>
      <c r="D87" s="36"/>
      <c r="E87" s="16">
        <v>0</v>
      </c>
      <c r="F87" s="16">
        <v>0</v>
      </c>
      <c r="G87" s="16">
        <v>0</v>
      </c>
      <c r="H87" s="16">
        <v>1</v>
      </c>
      <c r="I87" s="16">
        <v>0</v>
      </c>
      <c r="J87" s="16">
        <v>0</v>
      </c>
      <c r="K87" s="16">
        <v>0</v>
      </c>
      <c r="L87" s="16">
        <v>1</v>
      </c>
      <c r="M87" s="16">
        <v>0</v>
      </c>
      <c r="N87" s="16">
        <v>0</v>
      </c>
      <c r="O87" s="16">
        <v>0</v>
      </c>
      <c r="P87" s="16">
        <v>0</v>
      </c>
      <c r="Q87" s="16">
        <v>1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1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3">
        <f t="shared" si="101"/>
        <v>4</v>
      </c>
    </row>
    <row r="88" spans="1:47" ht="12.75" customHeight="1" x14ac:dyDescent="0.3">
      <c r="A88" s="15"/>
      <c r="B88" s="34"/>
      <c r="C88" s="29" t="s">
        <v>77</v>
      </c>
      <c r="D88" s="36"/>
      <c r="E88" s="16">
        <v>0</v>
      </c>
      <c r="F88" s="16">
        <v>4</v>
      </c>
      <c r="G88" s="16">
        <v>2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1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1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3">
        <f t="shared" si="101"/>
        <v>8</v>
      </c>
    </row>
    <row r="89" spans="1:47" ht="12.75" customHeight="1" x14ac:dyDescent="0.3">
      <c r="A89" s="15"/>
      <c r="B89" s="34"/>
      <c r="C89" s="29" t="s">
        <v>78</v>
      </c>
      <c r="D89" s="36"/>
      <c r="E89" s="16">
        <v>1</v>
      </c>
      <c r="F89" s="16">
        <v>0</v>
      </c>
      <c r="G89" s="16">
        <v>2</v>
      </c>
      <c r="H89" s="16">
        <v>0</v>
      </c>
      <c r="I89" s="16">
        <v>1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1</v>
      </c>
      <c r="W89" s="16">
        <v>0</v>
      </c>
      <c r="X89" s="16">
        <v>1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1</v>
      </c>
      <c r="AS89" s="16">
        <v>0</v>
      </c>
      <c r="AT89" s="16">
        <v>1</v>
      </c>
      <c r="AU89" s="13">
        <f t="shared" si="101"/>
        <v>8</v>
      </c>
    </row>
    <row r="90" spans="1:47" ht="12.75" customHeight="1" x14ac:dyDescent="0.3">
      <c r="A90" s="15"/>
      <c r="B90" s="34"/>
      <c r="C90" s="29" t="s">
        <v>79</v>
      </c>
      <c r="D90" s="36"/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1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1</v>
      </c>
      <c r="W90" s="16">
        <v>0</v>
      </c>
      <c r="X90" s="16">
        <v>0</v>
      </c>
      <c r="Y90" s="16">
        <v>1</v>
      </c>
      <c r="Z90" s="16">
        <v>0</v>
      </c>
      <c r="AA90" s="16">
        <v>1</v>
      </c>
      <c r="AB90" s="16">
        <v>0</v>
      </c>
      <c r="AC90" s="16">
        <v>0</v>
      </c>
      <c r="AD90" s="16">
        <v>0</v>
      </c>
      <c r="AE90" s="16">
        <v>0</v>
      </c>
      <c r="AF90" s="16">
        <v>1</v>
      </c>
      <c r="AG90" s="16">
        <v>0</v>
      </c>
      <c r="AH90" s="16">
        <v>0</v>
      </c>
      <c r="AI90" s="16">
        <v>0</v>
      </c>
      <c r="AJ90" s="16">
        <v>0</v>
      </c>
      <c r="AK90" s="16">
        <v>1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3">
        <f t="shared" si="101"/>
        <v>8</v>
      </c>
    </row>
    <row r="91" spans="1:47" ht="12.75" customHeight="1" x14ac:dyDescent="0.3">
      <c r="A91" s="16" t="s">
        <v>15</v>
      </c>
      <c r="B91" s="60" t="s">
        <v>49</v>
      </c>
      <c r="C91" s="61"/>
      <c r="D91" s="59"/>
      <c r="E91" s="13">
        <f>SUM(E81:E90)</f>
        <v>29</v>
      </c>
      <c r="F91" s="13">
        <f t="shared" ref="F91" si="102">SUM(F81:F90)</f>
        <v>25</v>
      </c>
      <c r="G91" s="13">
        <f t="shared" ref="G91" si="103">SUM(G81:G90)</f>
        <v>36</v>
      </c>
      <c r="H91" s="13">
        <f t="shared" ref="H91" si="104">SUM(H81:H90)</f>
        <v>27</v>
      </c>
      <c r="I91" s="13">
        <f t="shared" ref="I91" si="105">SUM(I81:I90)</f>
        <v>23</v>
      </c>
      <c r="J91" s="13">
        <f t="shared" ref="J91" si="106">SUM(J81:J90)</f>
        <v>50</v>
      </c>
      <c r="K91" s="13">
        <f t="shared" ref="K91" si="107">SUM(K81:K90)</f>
        <v>13</v>
      </c>
      <c r="L91" s="13">
        <f t="shared" ref="L91" si="108">SUM(L81:L90)</f>
        <v>15</v>
      </c>
      <c r="M91" s="13">
        <f t="shared" ref="M91" si="109">SUM(M81:M90)</f>
        <v>5</v>
      </c>
      <c r="N91" s="13">
        <f t="shared" ref="N91" si="110">SUM(N81:N90)</f>
        <v>23</v>
      </c>
      <c r="O91" s="13">
        <f t="shared" ref="O91" si="111">SUM(O81:O90)</f>
        <v>36</v>
      </c>
      <c r="P91" s="13">
        <f t="shared" ref="P91" si="112">SUM(P81:P90)</f>
        <v>20</v>
      </c>
      <c r="Q91" s="13">
        <f t="shared" ref="Q91" si="113">SUM(Q81:Q90)</f>
        <v>4</v>
      </c>
      <c r="R91" s="13">
        <f t="shared" ref="R91" si="114">SUM(R81:R90)</f>
        <v>11</v>
      </c>
      <c r="S91" s="13">
        <f t="shared" ref="S91" si="115">SUM(S81:S90)</f>
        <v>6</v>
      </c>
      <c r="T91" s="13">
        <f t="shared" ref="T91" si="116">SUM(T81:T90)</f>
        <v>11</v>
      </c>
      <c r="U91" s="13">
        <f t="shared" ref="U91" si="117">SUM(U81:U90)</f>
        <v>3</v>
      </c>
      <c r="V91" s="13">
        <f t="shared" ref="V91" si="118">SUM(V81:V90)</f>
        <v>12</v>
      </c>
      <c r="W91" s="13">
        <f t="shared" ref="W91" si="119">SUM(W81:W90)</f>
        <v>8</v>
      </c>
      <c r="X91" s="13">
        <f t="shared" ref="X91" si="120">SUM(X81:X90)</f>
        <v>6</v>
      </c>
      <c r="Y91" s="13">
        <f t="shared" ref="Y91" si="121">SUM(Y81:Y90)</f>
        <v>7</v>
      </c>
      <c r="Z91" s="13">
        <f t="shared" ref="Z91" si="122">SUM(Z81:Z90)</f>
        <v>1</v>
      </c>
      <c r="AA91" s="13">
        <f t="shared" ref="AA91" si="123">SUM(AA81:AA90)</f>
        <v>9</v>
      </c>
      <c r="AB91" s="13">
        <f t="shared" ref="AB91" si="124">SUM(AB81:AB90)</f>
        <v>16</v>
      </c>
      <c r="AC91" s="13">
        <f t="shared" ref="AC91" si="125">SUM(AC81:AC90)</f>
        <v>3</v>
      </c>
      <c r="AD91" s="13">
        <f t="shared" ref="AD91" si="126">SUM(AD81:AD90)</f>
        <v>2</v>
      </c>
      <c r="AE91" s="13">
        <f t="shared" ref="AE91" si="127">SUM(AE81:AE90)</f>
        <v>2</v>
      </c>
      <c r="AF91" s="13">
        <f t="shared" ref="AF91" si="128">SUM(AF81:AF90)</f>
        <v>13</v>
      </c>
      <c r="AG91" s="13">
        <f t="shared" ref="AG91" si="129">SUM(AG81:AG90)</f>
        <v>5</v>
      </c>
      <c r="AH91" s="13">
        <f t="shared" ref="AH91" si="130">SUM(AH81:AH90)</f>
        <v>6</v>
      </c>
      <c r="AI91" s="13">
        <f t="shared" ref="AI91" si="131">SUM(AI81:AI90)</f>
        <v>3</v>
      </c>
      <c r="AJ91" s="13">
        <f t="shared" ref="AJ91" si="132">SUM(AJ81:AJ90)</f>
        <v>12</v>
      </c>
      <c r="AK91" s="13">
        <f t="shared" ref="AK91" si="133">SUM(AK81:AK90)</f>
        <v>6</v>
      </c>
      <c r="AL91" s="13">
        <f t="shared" ref="AL91" si="134">SUM(AL81:AL90)</f>
        <v>2</v>
      </c>
      <c r="AM91" s="13">
        <f t="shared" ref="AM91" si="135">SUM(AM81:AM90)</f>
        <v>21</v>
      </c>
      <c r="AN91" s="13">
        <f t="shared" ref="AN91" si="136">SUM(AN81:AN90)</f>
        <v>11</v>
      </c>
      <c r="AO91" s="13">
        <f t="shared" ref="AO91" si="137">SUM(AO81:AO90)</f>
        <v>5</v>
      </c>
      <c r="AP91" s="13">
        <f t="shared" ref="AP91" si="138">SUM(AP81:AP90)</f>
        <v>33</v>
      </c>
      <c r="AQ91" s="13">
        <f t="shared" ref="AQ91" si="139">SUM(AQ81:AQ90)</f>
        <v>66</v>
      </c>
      <c r="AR91" s="13">
        <f t="shared" ref="AR91" si="140">SUM(AR81:AR90)</f>
        <v>69</v>
      </c>
      <c r="AS91" s="13">
        <f t="shared" ref="AS91" si="141">SUM(AS81:AS90)</f>
        <v>68</v>
      </c>
      <c r="AT91" s="13">
        <f t="shared" ref="AT91" si="142">SUM(AT81:AT90)</f>
        <v>16</v>
      </c>
      <c r="AU91" s="13">
        <f t="shared" ref="AU91" si="143">SUM(AU81:AU90)</f>
        <v>739</v>
      </c>
    </row>
    <row r="92" spans="1:47" ht="12.75" customHeight="1" x14ac:dyDescent="0.3">
      <c r="A92" s="63"/>
      <c r="B92" s="64"/>
      <c r="C92" s="64"/>
      <c r="D92" s="64"/>
      <c r="E92" s="64"/>
    </row>
    <row r="93" spans="1:47" ht="12.75" customHeight="1" x14ac:dyDescent="0.3">
      <c r="A93" s="20" t="s">
        <v>37</v>
      </c>
      <c r="B93" s="27" t="s">
        <v>80</v>
      </c>
      <c r="C93" s="58" t="s">
        <v>81</v>
      </c>
      <c r="D93" s="59"/>
      <c r="E93" s="16">
        <v>0</v>
      </c>
      <c r="F93" s="16">
        <v>2</v>
      </c>
      <c r="G93" s="16">
        <v>2</v>
      </c>
      <c r="H93" s="16">
        <v>0</v>
      </c>
      <c r="I93" s="16">
        <v>0</v>
      </c>
      <c r="J93" s="16">
        <v>0</v>
      </c>
      <c r="K93" s="16">
        <v>1</v>
      </c>
      <c r="L93" s="16">
        <v>0</v>
      </c>
      <c r="M93" s="16">
        <v>0</v>
      </c>
      <c r="N93" s="16">
        <v>0</v>
      </c>
      <c r="O93" s="16">
        <v>0</v>
      </c>
      <c r="P93" s="16">
        <v>1</v>
      </c>
      <c r="Q93" s="16">
        <v>0</v>
      </c>
      <c r="R93" s="16">
        <v>3</v>
      </c>
      <c r="S93" s="16">
        <v>0</v>
      </c>
      <c r="T93" s="16">
        <v>2</v>
      </c>
      <c r="U93" s="16">
        <v>0</v>
      </c>
      <c r="V93" s="16">
        <v>0</v>
      </c>
      <c r="W93" s="16">
        <v>1</v>
      </c>
      <c r="X93" s="16">
        <v>0</v>
      </c>
      <c r="Y93" s="16">
        <v>1</v>
      </c>
      <c r="Z93" s="16">
        <v>0</v>
      </c>
      <c r="AA93" s="16">
        <v>1</v>
      </c>
      <c r="AB93" s="16">
        <v>0</v>
      </c>
      <c r="AC93" s="16">
        <v>5</v>
      </c>
      <c r="AD93" s="16">
        <v>0</v>
      </c>
      <c r="AE93" s="16">
        <v>0</v>
      </c>
      <c r="AF93" s="16">
        <v>5</v>
      </c>
      <c r="AG93" s="16">
        <v>2</v>
      </c>
      <c r="AH93" s="16">
        <v>1</v>
      </c>
      <c r="AI93" s="16">
        <v>4</v>
      </c>
      <c r="AJ93" s="16">
        <v>1</v>
      </c>
      <c r="AK93" s="16">
        <v>0</v>
      </c>
      <c r="AL93" s="16">
        <v>0</v>
      </c>
      <c r="AM93" s="16">
        <v>3</v>
      </c>
      <c r="AN93" s="16">
        <v>2</v>
      </c>
      <c r="AO93" s="16">
        <v>3</v>
      </c>
      <c r="AP93" s="16">
        <v>0</v>
      </c>
      <c r="AQ93" s="16">
        <v>1</v>
      </c>
      <c r="AR93" s="16">
        <v>0</v>
      </c>
      <c r="AS93" s="16">
        <v>1</v>
      </c>
      <c r="AT93" s="16">
        <v>1</v>
      </c>
      <c r="AU93" s="13">
        <f t="shared" ref="AU93:AU102" si="144">SUM(E93:AT93)</f>
        <v>43</v>
      </c>
    </row>
    <row r="94" spans="1:47" ht="12.75" customHeight="1" x14ac:dyDescent="0.3">
      <c r="A94" s="20" t="s">
        <v>39</v>
      </c>
      <c r="B94" s="34"/>
      <c r="C94" s="29" t="s">
        <v>82</v>
      </c>
      <c r="D94" s="36"/>
      <c r="E94" s="16">
        <v>0</v>
      </c>
      <c r="F94" s="16">
        <v>0</v>
      </c>
      <c r="G94" s="16">
        <v>2</v>
      </c>
      <c r="H94" s="16">
        <v>0</v>
      </c>
      <c r="I94" s="16">
        <v>1</v>
      </c>
      <c r="J94" s="16">
        <v>0</v>
      </c>
      <c r="K94" s="16">
        <v>0</v>
      </c>
      <c r="L94" s="16">
        <v>4</v>
      </c>
      <c r="M94" s="16">
        <v>0</v>
      </c>
      <c r="N94" s="16">
        <v>1</v>
      </c>
      <c r="O94" s="16">
        <v>0</v>
      </c>
      <c r="P94" s="16">
        <v>0</v>
      </c>
      <c r="Q94" s="16">
        <v>1</v>
      </c>
      <c r="R94" s="16">
        <v>1</v>
      </c>
      <c r="S94" s="16">
        <v>1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2</v>
      </c>
      <c r="AA94" s="16">
        <v>0</v>
      </c>
      <c r="AB94" s="16">
        <v>2</v>
      </c>
      <c r="AC94" s="16">
        <v>45</v>
      </c>
      <c r="AD94" s="16">
        <v>0</v>
      </c>
      <c r="AE94" s="16">
        <v>3</v>
      </c>
      <c r="AF94" s="16">
        <v>0</v>
      </c>
      <c r="AG94" s="16">
        <v>1</v>
      </c>
      <c r="AH94" s="16">
        <v>5</v>
      </c>
      <c r="AI94" s="16">
        <v>1</v>
      </c>
      <c r="AJ94" s="16">
        <v>0</v>
      </c>
      <c r="AK94" s="16">
        <v>0</v>
      </c>
      <c r="AL94" s="16">
        <v>1</v>
      </c>
      <c r="AM94" s="16">
        <v>4</v>
      </c>
      <c r="AN94" s="16">
        <v>2</v>
      </c>
      <c r="AO94" s="16">
        <v>1</v>
      </c>
      <c r="AP94" s="16">
        <v>1</v>
      </c>
      <c r="AQ94" s="16">
        <v>0</v>
      </c>
      <c r="AR94" s="16">
        <v>1</v>
      </c>
      <c r="AS94" s="16">
        <v>0</v>
      </c>
      <c r="AT94" s="16">
        <v>0</v>
      </c>
      <c r="AU94" s="13">
        <f t="shared" si="144"/>
        <v>80</v>
      </c>
    </row>
    <row r="95" spans="1:47" ht="12.75" customHeight="1" x14ac:dyDescent="0.3">
      <c r="A95" s="15"/>
      <c r="B95" s="34"/>
      <c r="C95" s="29" t="s">
        <v>83</v>
      </c>
      <c r="D95" s="36"/>
      <c r="E95" s="16">
        <v>1</v>
      </c>
      <c r="F95" s="16">
        <v>7</v>
      </c>
      <c r="G95" s="16">
        <v>1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1</v>
      </c>
      <c r="U95" s="16">
        <v>0</v>
      </c>
      <c r="V95" s="16">
        <v>0</v>
      </c>
      <c r="W95" s="16">
        <v>0</v>
      </c>
      <c r="X95" s="16">
        <v>0</v>
      </c>
      <c r="Y95" s="16">
        <v>1</v>
      </c>
      <c r="Z95" s="16">
        <v>0</v>
      </c>
      <c r="AA95" s="16">
        <v>0</v>
      </c>
      <c r="AB95" s="16">
        <v>0</v>
      </c>
      <c r="AC95" s="16">
        <v>1</v>
      </c>
      <c r="AD95" s="16">
        <v>0</v>
      </c>
      <c r="AE95" s="16">
        <v>0</v>
      </c>
      <c r="AF95" s="16">
        <v>0</v>
      </c>
      <c r="AG95" s="16">
        <v>0</v>
      </c>
      <c r="AH95" s="16">
        <v>4</v>
      </c>
      <c r="AI95" s="16">
        <v>0</v>
      </c>
      <c r="AJ95" s="16">
        <v>0</v>
      </c>
      <c r="AK95" s="16">
        <v>0</v>
      </c>
      <c r="AL95" s="16">
        <v>0</v>
      </c>
      <c r="AM95" s="16">
        <v>1</v>
      </c>
      <c r="AN95" s="16">
        <v>3</v>
      </c>
      <c r="AO95" s="16">
        <v>3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3">
        <f t="shared" si="144"/>
        <v>23</v>
      </c>
    </row>
    <row r="96" spans="1:47" ht="12.75" customHeight="1" x14ac:dyDescent="0.3">
      <c r="A96" s="15"/>
      <c r="B96" s="34"/>
      <c r="C96" s="29" t="s">
        <v>84</v>
      </c>
      <c r="D96" s="36"/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1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2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3">
        <f t="shared" si="144"/>
        <v>3</v>
      </c>
    </row>
    <row r="97" spans="1:47" ht="12.75" customHeight="1" x14ac:dyDescent="0.3">
      <c r="A97" s="15"/>
      <c r="B97" s="34"/>
      <c r="C97" s="29" t="s">
        <v>85</v>
      </c>
      <c r="D97" s="36"/>
      <c r="E97" s="16">
        <v>1</v>
      </c>
      <c r="F97" s="16">
        <v>2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1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1</v>
      </c>
      <c r="AF97" s="16">
        <v>0</v>
      </c>
      <c r="AG97" s="16">
        <v>1</v>
      </c>
      <c r="AH97" s="16">
        <v>0</v>
      </c>
      <c r="AI97" s="16">
        <v>3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1</v>
      </c>
      <c r="AP97" s="16">
        <v>0</v>
      </c>
      <c r="AQ97" s="16">
        <v>0</v>
      </c>
      <c r="AR97" s="16">
        <v>0</v>
      </c>
      <c r="AS97" s="16">
        <v>0</v>
      </c>
      <c r="AT97" s="16">
        <v>1</v>
      </c>
      <c r="AU97" s="13">
        <f t="shared" si="144"/>
        <v>11</v>
      </c>
    </row>
    <row r="98" spans="1:47" ht="12.75" customHeight="1" x14ac:dyDescent="0.3">
      <c r="A98" s="15"/>
      <c r="B98" s="34"/>
      <c r="C98" s="29" t="s">
        <v>86</v>
      </c>
      <c r="D98" s="36"/>
      <c r="E98" s="16">
        <v>1</v>
      </c>
      <c r="F98" s="16">
        <v>1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1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1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3">
        <f t="shared" si="144"/>
        <v>4</v>
      </c>
    </row>
    <row r="99" spans="1:47" ht="12.75" customHeight="1" x14ac:dyDescent="0.3">
      <c r="A99" s="15"/>
      <c r="B99" s="34"/>
      <c r="C99" s="29" t="s">
        <v>87</v>
      </c>
      <c r="D99" s="36"/>
      <c r="E99" s="16">
        <v>0</v>
      </c>
      <c r="F99" s="16">
        <v>0</v>
      </c>
      <c r="G99" s="16">
        <v>0</v>
      </c>
      <c r="H99" s="16">
        <v>1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</v>
      </c>
      <c r="O99" s="16">
        <v>0</v>
      </c>
      <c r="P99" s="16">
        <v>0</v>
      </c>
      <c r="Q99" s="16">
        <v>0</v>
      </c>
      <c r="R99" s="16">
        <v>1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3">
        <f t="shared" si="144"/>
        <v>3</v>
      </c>
    </row>
    <row r="100" spans="1:47" ht="12.75" customHeight="1" x14ac:dyDescent="0.3">
      <c r="A100" s="15"/>
      <c r="B100" s="34"/>
      <c r="C100" s="29" t="s">
        <v>88</v>
      </c>
      <c r="D100" s="36"/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  <c r="AK100" s="16">
        <v>0</v>
      </c>
      <c r="AL100" s="16">
        <v>0</v>
      </c>
      <c r="AM100" s="16">
        <v>0</v>
      </c>
      <c r="AN100" s="16">
        <v>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3">
        <f t="shared" si="144"/>
        <v>0</v>
      </c>
    </row>
    <row r="101" spans="1:47" ht="12.75" customHeight="1" x14ac:dyDescent="0.3">
      <c r="A101" s="15"/>
      <c r="B101" s="34"/>
      <c r="C101" s="29" t="s">
        <v>89</v>
      </c>
      <c r="D101" s="36"/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3">
        <f t="shared" si="144"/>
        <v>0</v>
      </c>
    </row>
    <row r="102" spans="1:47" ht="12.75" customHeight="1" x14ac:dyDescent="0.3">
      <c r="A102" s="15"/>
      <c r="B102" s="34"/>
      <c r="C102" s="29" t="s">
        <v>90</v>
      </c>
      <c r="D102" s="36"/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3">
        <f t="shared" si="144"/>
        <v>0</v>
      </c>
    </row>
    <row r="103" spans="1:47" ht="12.75" customHeight="1" x14ac:dyDescent="0.3">
      <c r="A103" s="16" t="s">
        <v>15</v>
      </c>
      <c r="B103" s="60" t="s">
        <v>49</v>
      </c>
      <c r="C103" s="61"/>
      <c r="D103" s="59"/>
      <c r="E103" s="13">
        <f>SUM(E93:E102)</f>
        <v>3</v>
      </c>
      <c r="F103" s="13">
        <f t="shared" ref="F103" si="145">SUM(F93:F102)</f>
        <v>12</v>
      </c>
      <c r="G103" s="13">
        <f t="shared" ref="G103" si="146">SUM(G93:G102)</f>
        <v>5</v>
      </c>
      <c r="H103" s="13">
        <f t="shared" ref="H103" si="147">SUM(H93:H102)</f>
        <v>1</v>
      </c>
      <c r="I103" s="13">
        <f t="shared" ref="I103" si="148">SUM(I93:I102)</f>
        <v>1</v>
      </c>
      <c r="J103" s="13">
        <f t="shared" ref="J103" si="149">SUM(J93:J102)</f>
        <v>0</v>
      </c>
      <c r="K103" s="13">
        <f t="shared" ref="K103" si="150">SUM(K93:K102)</f>
        <v>1</v>
      </c>
      <c r="L103" s="13">
        <f t="shared" ref="L103" si="151">SUM(L93:L102)</f>
        <v>4</v>
      </c>
      <c r="M103" s="13">
        <f t="shared" ref="M103" si="152">SUM(M93:M102)</f>
        <v>0</v>
      </c>
      <c r="N103" s="13">
        <f t="shared" ref="N103" si="153">SUM(N93:N102)</f>
        <v>2</v>
      </c>
      <c r="O103" s="13">
        <f t="shared" ref="O103" si="154">SUM(O93:O102)</f>
        <v>0</v>
      </c>
      <c r="P103" s="13">
        <f t="shared" ref="P103" si="155">SUM(P93:P102)</f>
        <v>1</v>
      </c>
      <c r="Q103" s="13">
        <f t="shared" ref="Q103" si="156">SUM(Q93:Q102)</f>
        <v>1</v>
      </c>
      <c r="R103" s="13">
        <f t="shared" ref="R103" si="157">SUM(R93:R102)</f>
        <v>5</v>
      </c>
      <c r="S103" s="13">
        <f t="shared" ref="S103" si="158">SUM(S93:S102)</f>
        <v>1</v>
      </c>
      <c r="T103" s="13">
        <f t="shared" ref="T103" si="159">SUM(T93:T102)</f>
        <v>3</v>
      </c>
      <c r="U103" s="13">
        <f t="shared" ref="U103" si="160">SUM(U93:U102)</f>
        <v>1</v>
      </c>
      <c r="V103" s="13">
        <f t="shared" ref="V103" si="161">SUM(V93:V102)</f>
        <v>0</v>
      </c>
      <c r="W103" s="13">
        <f t="shared" ref="W103" si="162">SUM(W93:W102)</f>
        <v>2</v>
      </c>
      <c r="X103" s="13">
        <f t="shared" ref="X103" si="163">SUM(X93:X102)</f>
        <v>0</v>
      </c>
      <c r="Y103" s="13">
        <f t="shared" ref="Y103" si="164">SUM(Y93:Y102)</f>
        <v>3</v>
      </c>
      <c r="Z103" s="13">
        <f t="shared" ref="Z103" si="165">SUM(Z93:Z102)</f>
        <v>2</v>
      </c>
      <c r="AA103" s="13">
        <f t="shared" ref="AA103" si="166">SUM(AA93:AA102)</f>
        <v>1</v>
      </c>
      <c r="AB103" s="13">
        <f t="shared" ref="AB103" si="167">SUM(AB93:AB102)</f>
        <v>2</v>
      </c>
      <c r="AC103" s="13">
        <f t="shared" ref="AC103" si="168">SUM(AC93:AC102)</f>
        <v>51</v>
      </c>
      <c r="AD103" s="13">
        <f t="shared" ref="AD103" si="169">SUM(AD93:AD102)</f>
        <v>0</v>
      </c>
      <c r="AE103" s="13">
        <f t="shared" ref="AE103" si="170">SUM(AE93:AE102)</f>
        <v>4</v>
      </c>
      <c r="AF103" s="13">
        <f t="shared" ref="AF103" si="171">SUM(AF93:AF102)</f>
        <v>5</v>
      </c>
      <c r="AG103" s="13">
        <f t="shared" ref="AG103" si="172">SUM(AG93:AG102)</f>
        <v>4</v>
      </c>
      <c r="AH103" s="13">
        <f t="shared" ref="AH103" si="173">SUM(AH93:AH102)</f>
        <v>10</v>
      </c>
      <c r="AI103" s="13">
        <f t="shared" ref="AI103" si="174">SUM(AI93:AI102)</f>
        <v>9</v>
      </c>
      <c r="AJ103" s="13">
        <f t="shared" ref="AJ103" si="175">SUM(AJ93:AJ102)</f>
        <v>1</v>
      </c>
      <c r="AK103" s="13">
        <f t="shared" ref="AK103" si="176">SUM(AK93:AK102)</f>
        <v>0</v>
      </c>
      <c r="AL103" s="13">
        <f t="shared" ref="AL103" si="177">SUM(AL93:AL102)</f>
        <v>1</v>
      </c>
      <c r="AM103" s="13">
        <f t="shared" ref="AM103" si="178">SUM(AM93:AM102)</f>
        <v>8</v>
      </c>
      <c r="AN103" s="13">
        <f t="shared" ref="AN103" si="179">SUM(AN93:AN102)</f>
        <v>7</v>
      </c>
      <c r="AO103" s="13">
        <f t="shared" ref="AO103" si="180">SUM(AO93:AO102)</f>
        <v>10</v>
      </c>
      <c r="AP103" s="13">
        <f t="shared" ref="AP103" si="181">SUM(AP93:AP102)</f>
        <v>1</v>
      </c>
      <c r="AQ103" s="13">
        <f t="shared" ref="AQ103" si="182">SUM(AQ93:AQ102)</f>
        <v>1</v>
      </c>
      <c r="AR103" s="13">
        <f t="shared" ref="AR103" si="183">SUM(AR93:AR102)</f>
        <v>1</v>
      </c>
      <c r="AS103" s="13">
        <f t="shared" ref="AS103" si="184">SUM(AS93:AS102)</f>
        <v>1</v>
      </c>
      <c r="AT103" s="13">
        <f t="shared" ref="AT103" si="185">SUM(AT93:AT102)</f>
        <v>2</v>
      </c>
      <c r="AU103" s="13">
        <f t="shared" ref="AU103" si="186">SUM(AU93:AU102)</f>
        <v>167</v>
      </c>
    </row>
    <row r="104" spans="1:47" ht="12.75" customHeight="1" x14ac:dyDescent="0.3">
      <c r="A104" s="63"/>
      <c r="B104" s="64"/>
      <c r="C104" s="64"/>
      <c r="D104" s="64"/>
      <c r="E104" s="6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</row>
    <row r="105" spans="1:47" ht="12.75" customHeight="1" x14ac:dyDescent="0.3">
      <c r="A105" s="20" t="s">
        <v>37</v>
      </c>
      <c r="B105" s="27" t="s">
        <v>91</v>
      </c>
      <c r="C105" s="58" t="s">
        <v>92</v>
      </c>
      <c r="D105" s="59"/>
      <c r="E105" s="16">
        <v>2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2</v>
      </c>
      <c r="X105" s="16">
        <v>0</v>
      </c>
      <c r="Y105" s="16">
        <v>0</v>
      </c>
      <c r="Z105" s="16">
        <v>0</v>
      </c>
      <c r="AA105" s="16">
        <v>0</v>
      </c>
      <c r="AB105" s="16">
        <v>1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1</v>
      </c>
      <c r="AL105" s="16">
        <v>0</v>
      </c>
      <c r="AM105" s="16">
        <v>0</v>
      </c>
      <c r="AN105" s="16">
        <v>1</v>
      </c>
      <c r="AO105" s="16">
        <v>0</v>
      </c>
      <c r="AP105" s="16">
        <v>0</v>
      </c>
      <c r="AQ105" s="16">
        <v>0</v>
      </c>
      <c r="AR105" s="16">
        <v>0</v>
      </c>
      <c r="AS105" s="16">
        <v>1</v>
      </c>
      <c r="AT105" s="16">
        <v>0</v>
      </c>
      <c r="AU105" s="13">
        <f t="shared" ref="AU105:AU107" si="187">SUM(E105:AT105)</f>
        <v>8</v>
      </c>
    </row>
    <row r="106" spans="1:47" ht="12.75" customHeight="1" x14ac:dyDescent="0.3">
      <c r="A106" s="20" t="s">
        <v>39</v>
      </c>
      <c r="B106" s="34"/>
      <c r="C106" s="29" t="s">
        <v>93</v>
      </c>
      <c r="D106" s="36"/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1</v>
      </c>
      <c r="R106" s="16">
        <v>0</v>
      </c>
      <c r="S106" s="16">
        <v>0</v>
      </c>
      <c r="T106" s="16">
        <v>0</v>
      </c>
      <c r="U106" s="16">
        <v>0</v>
      </c>
      <c r="V106" s="16">
        <v>1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1</v>
      </c>
      <c r="AG106" s="16">
        <v>0</v>
      </c>
      <c r="AH106" s="16">
        <v>3</v>
      </c>
      <c r="AI106" s="16">
        <v>0</v>
      </c>
      <c r="AJ106" s="16">
        <v>1</v>
      </c>
      <c r="AK106" s="16">
        <v>1</v>
      </c>
      <c r="AL106" s="16">
        <v>0</v>
      </c>
      <c r="AM106" s="16">
        <v>1</v>
      </c>
      <c r="AN106" s="16">
        <v>0</v>
      </c>
      <c r="AO106" s="16">
        <v>0</v>
      </c>
      <c r="AP106" s="16">
        <v>2</v>
      </c>
      <c r="AQ106" s="16">
        <v>0</v>
      </c>
      <c r="AR106" s="16">
        <v>0</v>
      </c>
      <c r="AS106" s="16">
        <v>0</v>
      </c>
      <c r="AT106" s="16">
        <v>0</v>
      </c>
      <c r="AU106" s="13">
        <f t="shared" si="187"/>
        <v>11</v>
      </c>
    </row>
    <row r="107" spans="1:47" ht="12.75" customHeight="1" x14ac:dyDescent="0.3">
      <c r="A107" s="15"/>
      <c r="B107" s="34"/>
      <c r="C107" s="29" t="s">
        <v>94</v>
      </c>
      <c r="D107" s="36"/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1</v>
      </c>
      <c r="Q107" s="16">
        <v>0</v>
      </c>
      <c r="R107" s="16">
        <v>0</v>
      </c>
      <c r="S107" s="16">
        <v>0</v>
      </c>
      <c r="T107" s="16">
        <v>0</v>
      </c>
      <c r="U107" s="16">
        <v>1</v>
      </c>
      <c r="V107" s="16">
        <v>1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1</v>
      </c>
      <c r="AR107" s="16">
        <v>0</v>
      </c>
      <c r="AS107" s="16">
        <v>0</v>
      </c>
      <c r="AT107" s="16">
        <v>0</v>
      </c>
      <c r="AU107" s="13">
        <f t="shared" si="187"/>
        <v>4</v>
      </c>
    </row>
    <row r="108" spans="1:47" ht="12.75" customHeight="1" x14ac:dyDescent="0.3">
      <c r="A108" s="15"/>
      <c r="B108" s="37"/>
      <c r="C108" s="38"/>
      <c r="D108" s="39"/>
      <c r="E108" s="55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56"/>
    </row>
    <row r="109" spans="1:47" ht="12.75" customHeight="1" x14ac:dyDescent="0.3">
      <c r="A109" s="15"/>
      <c r="B109" s="37"/>
      <c r="C109" s="38"/>
      <c r="D109" s="39"/>
      <c r="E109" s="55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56"/>
    </row>
    <row r="110" spans="1:47" ht="12.75" customHeight="1" x14ac:dyDescent="0.3">
      <c r="A110" s="15"/>
      <c r="B110" s="37"/>
      <c r="C110" s="38"/>
      <c r="D110" s="39"/>
      <c r="E110" s="55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56"/>
    </row>
    <row r="111" spans="1:47" ht="12.75" customHeight="1" x14ac:dyDescent="0.3">
      <c r="A111" s="15"/>
      <c r="B111" s="37"/>
      <c r="C111" s="38"/>
      <c r="D111" s="39"/>
      <c r="E111" s="55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56"/>
    </row>
    <row r="112" spans="1:47" ht="12.75" customHeight="1" x14ac:dyDescent="0.3">
      <c r="A112" s="15"/>
      <c r="B112" s="37"/>
      <c r="C112" s="38"/>
      <c r="D112" s="39"/>
      <c r="E112" s="55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56"/>
    </row>
    <row r="113" spans="1:49" ht="12.75" customHeight="1" x14ac:dyDescent="0.3">
      <c r="A113" s="15"/>
      <c r="B113" s="37"/>
      <c r="C113" s="38"/>
      <c r="D113" s="39"/>
      <c r="E113" s="55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56"/>
    </row>
    <row r="114" spans="1:49" ht="12.75" customHeight="1" x14ac:dyDescent="0.3">
      <c r="A114" s="15"/>
      <c r="B114" s="37"/>
      <c r="C114" s="38"/>
      <c r="D114" s="39"/>
      <c r="E114" s="55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56"/>
    </row>
    <row r="115" spans="1:49" ht="12.75" customHeight="1" x14ac:dyDescent="0.3">
      <c r="A115" s="16" t="s">
        <v>15</v>
      </c>
      <c r="B115" s="60" t="s">
        <v>49</v>
      </c>
      <c r="C115" s="61"/>
      <c r="D115" s="59"/>
      <c r="E115" s="13">
        <f>SUM(E105:E114)</f>
        <v>2</v>
      </c>
      <c r="F115" s="13">
        <f t="shared" ref="F115" si="188">SUM(F105:F114)</f>
        <v>0</v>
      </c>
      <c r="G115" s="13">
        <f t="shared" ref="G115" si="189">SUM(G105:G114)</f>
        <v>0</v>
      </c>
      <c r="H115" s="13">
        <f t="shared" ref="H115" si="190">SUM(H105:H114)</f>
        <v>0</v>
      </c>
      <c r="I115" s="13">
        <f t="shared" ref="I115" si="191">SUM(I105:I114)</f>
        <v>0</v>
      </c>
      <c r="J115" s="13">
        <f t="shared" ref="J115" si="192">SUM(J105:J114)</f>
        <v>0</v>
      </c>
      <c r="K115" s="13">
        <f t="shared" ref="K115" si="193">SUM(K105:K114)</f>
        <v>0</v>
      </c>
      <c r="L115" s="13">
        <f t="shared" ref="L115" si="194">SUM(L105:L114)</f>
        <v>0</v>
      </c>
      <c r="M115" s="13">
        <f t="shared" ref="M115" si="195">SUM(M105:M114)</f>
        <v>0</v>
      </c>
      <c r="N115" s="13">
        <f t="shared" ref="N115" si="196">SUM(N105:N114)</f>
        <v>0</v>
      </c>
      <c r="O115" s="13">
        <f t="shared" ref="O115" si="197">SUM(O105:O114)</f>
        <v>0</v>
      </c>
      <c r="P115" s="13">
        <f t="shared" ref="P115" si="198">SUM(P105:P114)</f>
        <v>1</v>
      </c>
      <c r="Q115" s="13">
        <f t="shared" ref="Q115" si="199">SUM(Q105:Q114)</f>
        <v>1</v>
      </c>
      <c r="R115" s="13">
        <f t="shared" ref="R115" si="200">SUM(R105:R114)</f>
        <v>0</v>
      </c>
      <c r="S115" s="13">
        <f t="shared" ref="S115" si="201">SUM(S105:S114)</f>
        <v>0</v>
      </c>
      <c r="T115" s="13">
        <f t="shared" ref="T115" si="202">SUM(T105:T114)</f>
        <v>0</v>
      </c>
      <c r="U115" s="13">
        <f t="shared" ref="U115" si="203">SUM(U105:U114)</f>
        <v>1</v>
      </c>
      <c r="V115" s="13">
        <f t="shared" ref="V115" si="204">SUM(V105:V114)</f>
        <v>2</v>
      </c>
      <c r="W115" s="13">
        <f t="shared" ref="W115" si="205">SUM(W105:W114)</f>
        <v>2</v>
      </c>
      <c r="X115" s="13">
        <f t="shared" ref="X115" si="206">SUM(X105:X114)</f>
        <v>0</v>
      </c>
      <c r="Y115" s="13">
        <f t="shared" ref="Y115" si="207">SUM(Y105:Y114)</f>
        <v>0</v>
      </c>
      <c r="Z115" s="13">
        <f t="shared" ref="Z115" si="208">SUM(Z105:Z114)</f>
        <v>0</v>
      </c>
      <c r="AA115" s="13">
        <f t="shared" ref="AA115" si="209">SUM(AA105:AA114)</f>
        <v>0</v>
      </c>
      <c r="AB115" s="13">
        <f t="shared" ref="AB115" si="210">SUM(AB105:AB114)</f>
        <v>1</v>
      </c>
      <c r="AC115" s="13">
        <f t="shared" ref="AC115" si="211">SUM(AC105:AC114)</f>
        <v>0</v>
      </c>
      <c r="AD115" s="13">
        <f t="shared" ref="AD115" si="212">SUM(AD105:AD114)</f>
        <v>0</v>
      </c>
      <c r="AE115" s="13">
        <f t="shared" ref="AE115" si="213">SUM(AE105:AE114)</f>
        <v>0</v>
      </c>
      <c r="AF115" s="13">
        <f t="shared" ref="AF115" si="214">SUM(AF105:AF114)</f>
        <v>1</v>
      </c>
      <c r="AG115" s="13">
        <f t="shared" ref="AG115" si="215">SUM(AG105:AG114)</f>
        <v>0</v>
      </c>
      <c r="AH115" s="13">
        <f t="shared" ref="AH115" si="216">SUM(AH105:AH114)</f>
        <v>3</v>
      </c>
      <c r="AI115" s="13">
        <f t="shared" ref="AI115" si="217">SUM(AI105:AI114)</f>
        <v>0</v>
      </c>
      <c r="AJ115" s="13">
        <f t="shared" ref="AJ115" si="218">SUM(AJ105:AJ114)</f>
        <v>1</v>
      </c>
      <c r="AK115" s="13">
        <f t="shared" ref="AK115" si="219">SUM(AK105:AK114)</f>
        <v>2</v>
      </c>
      <c r="AL115" s="13">
        <f t="shared" ref="AL115" si="220">SUM(AL105:AL114)</f>
        <v>0</v>
      </c>
      <c r="AM115" s="13">
        <f t="shared" ref="AM115" si="221">SUM(AM105:AM114)</f>
        <v>1</v>
      </c>
      <c r="AN115" s="13">
        <f t="shared" ref="AN115" si="222">SUM(AN105:AN114)</f>
        <v>1</v>
      </c>
      <c r="AO115" s="13">
        <f t="shared" ref="AO115" si="223">SUM(AO105:AO114)</f>
        <v>0</v>
      </c>
      <c r="AP115" s="13">
        <f t="shared" ref="AP115" si="224">SUM(AP105:AP114)</f>
        <v>2</v>
      </c>
      <c r="AQ115" s="13">
        <f t="shared" ref="AQ115" si="225">SUM(AQ105:AQ114)</f>
        <v>1</v>
      </c>
      <c r="AR115" s="13">
        <f t="shared" ref="AR115" si="226">SUM(AR105:AR114)</f>
        <v>0</v>
      </c>
      <c r="AS115" s="13">
        <f t="shared" ref="AS115" si="227">SUM(AS105:AS114)</f>
        <v>1</v>
      </c>
      <c r="AT115" s="13">
        <f t="shared" ref="AT115" si="228">SUM(AT105:AT114)</f>
        <v>0</v>
      </c>
      <c r="AU115" s="13">
        <f t="shared" ref="AU115" si="229">SUM(AU105:AU114)</f>
        <v>23</v>
      </c>
    </row>
    <row r="116" spans="1:49" ht="12.75" customHeight="1" x14ac:dyDescent="0.3">
      <c r="A116" s="62"/>
      <c r="B116" s="61"/>
      <c r="C116" s="61"/>
      <c r="D116" s="61"/>
      <c r="E116" s="59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AU116" s="13"/>
    </row>
    <row r="117" spans="1:49" ht="12.75" customHeight="1" x14ac:dyDescent="0.3">
      <c r="A117" s="20" t="s">
        <v>37</v>
      </c>
      <c r="B117" s="27" t="s">
        <v>95</v>
      </c>
      <c r="C117" s="58" t="s">
        <v>96</v>
      </c>
      <c r="D117" s="59"/>
      <c r="E117" s="16">
        <v>2</v>
      </c>
      <c r="F117" s="16">
        <v>2</v>
      </c>
      <c r="G117" s="16">
        <v>0</v>
      </c>
      <c r="H117" s="16">
        <v>0</v>
      </c>
      <c r="I117" s="16">
        <v>1</v>
      </c>
      <c r="J117" s="16">
        <v>0</v>
      </c>
      <c r="K117" s="16">
        <v>2</v>
      </c>
      <c r="L117" s="16">
        <v>0</v>
      </c>
      <c r="M117" s="16">
        <v>0</v>
      </c>
      <c r="N117" s="16">
        <v>2</v>
      </c>
      <c r="O117" s="16">
        <v>0</v>
      </c>
      <c r="P117" s="16">
        <v>3</v>
      </c>
      <c r="Q117" s="16">
        <v>0</v>
      </c>
      <c r="R117" s="16">
        <v>0</v>
      </c>
      <c r="S117" s="16">
        <v>1</v>
      </c>
      <c r="T117" s="16">
        <v>3</v>
      </c>
      <c r="U117" s="16">
        <v>1</v>
      </c>
      <c r="V117" s="16">
        <v>0</v>
      </c>
      <c r="W117" s="16">
        <v>3</v>
      </c>
      <c r="X117" s="16">
        <v>1</v>
      </c>
      <c r="Y117" s="16">
        <v>0</v>
      </c>
      <c r="Z117" s="16">
        <v>0</v>
      </c>
      <c r="AA117" s="16">
        <v>0</v>
      </c>
      <c r="AB117" s="16">
        <v>0</v>
      </c>
      <c r="AC117" s="16">
        <v>1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1</v>
      </c>
      <c r="AJ117" s="16">
        <v>1</v>
      </c>
      <c r="AK117" s="16">
        <v>0</v>
      </c>
      <c r="AL117" s="16">
        <v>0</v>
      </c>
      <c r="AM117" s="16">
        <v>0</v>
      </c>
      <c r="AN117" s="16">
        <v>0</v>
      </c>
      <c r="AO117" s="16">
        <v>0</v>
      </c>
      <c r="AP117" s="16">
        <v>0</v>
      </c>
      <c r="AQ117" s="16">
        <v>2</v>
      </c>
      <c r="AR117" s="16">
        <v>2</v>
      </c>
      <c r="AS117" s="16">
        <v>1</v>
      </c>
      <c r="AT117" s="16">
        <v>0</v>
      </c>
      <c r="AU117" s="13">
        <f t="shared" ref="AU117:AU122" si="230">SUM(E117:AT117)</f>
        <v>29</v>
      </c>
      <c r="AV117" s="5"/>
      <c r="AW117" s="5"/>
    </row>
    <row r="118" spans="1:49" ht="12.75" customHeight="1" x14ac:dyDescent="0.3">
      <c r="A118" s="20" t="s">
        <v>39</v>
      </c>
      <c r="B118" s="34"/>
      <c r="C118" s="29" t="s">
        <v>97</v>
      </c>
      <c r="D118" s="36"/>
      <c r="E118" s="16">
        <v>1</v>
      </c>
      <c r="F118" s="16">
        <v>1</v>
      </c>
      <c r="G118" s="16">
        <v>1</v>
      </c>
      <c r="H118" s="16">
        <v>1</v>
      </c>
      <c r="I118" s="16">
        <v>0</v>
      </c>
      <c r="J118" s="16">
        <v>2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1</v>
      </c>
      <c r="R118" s="16">
        <v>1</v>
      </c>
      <c r="S118" s="16">
        <v>1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1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1</v>
      </c>
      <c r="AP118" s="16">
        <v>1</v>
      </c>
      <c r="AQ118" s="16">
        <v>0</v>
      </c>
      <c r="AR118" s="16">
        <v>1</v>
      </c>
      <c r="AS118" s="16">
        <v>0</v>
      </c>
      <c r="AT118" s="16">
        <v>3</v>
      </c>
      <c r="AU118" s="13">
        <f t="shared" si="230"/>
        <v>16</v>
      </c>
      <c r="AV118" s="5"/>
      <c r="AW118" s="5"/>
    </row>
    <row r="119" spans="1:49" ht="12.75" customHeight="1" x14ac:dyDescent="0.3">
      <c r="A119" s="15"/>
      <c r="B119" s="34"/>
      <c r="C119" s="29" t="s">
        <v>98</v>
      </c>
      <c r="D119" s="36"/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1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0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3">
        <f t="shared" si="230"/>
        <v>1</v>
      </c>
      <c r="AV119" s="5"/>
      <c r="AW119" s="5"/>
    </row>
    <row r="120" spans="1:49" ht="12.75" customHeight="1" x14ac:dyDescent="0.3">
      <c r="A120" s="15"/>
      <c r="B120" s="34"/>
      <c r="C120" s="29" t="s">
        <v>99</v>
      </c>
      <c r="D120" s="36"/>
      <c r="E120" s="16">
        <v>0</v>
      </c>
      <c r="F120" s="16">
        <v>1</v>
      </c>
      <c r="G120" s="16">
        <v>0</v>
      </c>
      <c r="H120" s="16">
        <v>0</v>
      </c>
      <c r="I120" s="16">
        <v>1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1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3">
        <f t="shared" si="230"/>
        <v>4</v>
      </c>
      <c r="AV120" s="5"/>
      <c r="AW120" s="5"/>
    </row>
    <row r="121" spans="1:49" ht="12.75" customHeight="1" x14ac:dyDescent="0.3">
      <c r="A121" s="15"/>
      <c r="B121" s="34"/>
      <c r="C121" s="29" t="s">
        <v>100</v>
      </c>
      <c r="D121" s="36"/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1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3">
        <f t="shared" si="230"/>
        <v>1</v>
      </c>
      <c r="AV121" s="5"/>
      <c r="AW121" s="5"/>
    </row>
    <row r="122" spans="1:49" ht="12.75" customHeight="1" x14ac:dyDescent="0.3">
      <c r="A122" s="15"/>
      <c r="B122" s="34"/>
      <c r="C122" s="29" t="s">
        <v>101</v>
      </c>
      <c r="D122" s="36"/>
      <c r="E122" s="16">
        <v>1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3">
        <f t="shared" si="230"/>
        <v>1</v>
      </c>
      <c r="AV122" s="5"/>
      <c r="AW122" s="5"/>
    </row>
    <row r="123" spans="1:49" ht="12.75" customHeight="1" x14ac:dyDescent="0.3">
      <c r="A123" s="15"/>
      <c r="B123" s="37"/>
      <c r="C123" s="38"/>
      <c r="D123" s="39"/>
      <c r="E123" s="41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56"/>
      <c r="AV123" s="5"/>
      <c r="AW123" s="5"/>
    </row>
    <row r="124" spans="1:49" ht="12.75" customHeight="1" x14ac:dyDescent="0.3">
      <c r="A124" s="15"/>
      <c r="B124" s="37"/>
      <c r="C124" s="38"/>
      <c r="D124" s="39"/>
      <c r="E124" s="41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56"/>
      <c r="AV124" s="5"/>
      <c r="AW124" s="5"/>
    </row>
    <row r="125" spans="1:49" ht="12.75" customHeight="1" x14ac:dyDescent="0.3">
      <c r="A125" s="15"/>
      <c r="B125" s="37"/>
      <c r="C125" s="38"/>
      <c r="D125" s="39"/>
      <c r="E125" s="41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56"/>
      <c r="AV125" s="5"/>
      <c r="AW125" s="5"/>
    </row>
    <row r="126" spans="1:49" ht="12.75" customHeight="1" x14ac:dyDescent="0.3">
      <c r="A126" s="15"/>
      <c r="B126" s="37"/>
      <c r="C126" s="38"/>
      <c r="D126" s="39"/>
      <c r="E126" s="41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56"/>
      <c r="AV126" s="5"/>
      <c r="AW126" s="5"/>
    </row>
    <row r="127" spans="1:49" ht="12.75" customHeight="1" x14ac:dyDescent="0.3">
      <c r="A127" s="16" t="s">
        <v>15</v>
      </c>
      <c r="B127" s="60" t="s">
        <v>49</v>
      </c>
      <c r="C127" s="61"/>
      <c r="D127" s="59"/>
      <c r="E127" s="13">
        <f>SUM(E117:E126)</f>
        <v>4</v>
      </c>
      <c r="F127" s="13">
        <f t="shared" ref="F127" si="231">SUM(F117:F126)</f>
        <v>4</v>
      </c>
      <c r="G127" s="13">
        <f t="shared" ref="G127" si="232">SUM(G117:G126)</f>
        <v>1</v>
      </c>
      <c r="H127" s="13">
        <f t="shared" ref="H127" si="233">SUM(H117:H126)</f>
        <v>1</v>
      </c>
      <c r="I127" s="13">
        <f t="shared" ref="I127" si="234">SUM(I117:I126)</f>
        <v>2</v>
      </c>
      <c r="J127" s="13">
        <f t="shared" ref="J127" si="235">SUM(J117:J126)</f>
        <v>2</v>
      </c>
      <c r="K127" s="13">
        <f t="shared" ref="K127" si="236">SUM(K117:K126)</f>
        <v>2</v>
      </c>
      <c r="L127" s="13">
        <f t="shared" ref="L127" si="237">SUM(L117:L126)</f>
        <v>0</v>
      </c>
      <c r="M127" s="13">
        <f t="shared" ref="M127" si="238">SUM(M117:M126)</f>
        <v>0</v>
      </c>
      <c r="N127" s="13">
        <f t="shared" ref="N127" si="239">SUM(N117:N126)</f>
        <v>2</v>
      </c>
      <c r="O127" s="13">
        <f t="shared" ref="O127" si="240">SUM(O117:O126)</f>
        <v>0</v>
      </c>
      <c r="P127" s="13">
        <f t="shared" ref="P127" si="241">SUM(P117:P126)</f>
        <v>3</v>
      </c>
      <c r="Q127" s="13">
        <f t="shared" ref="Q127" si="242">SUM(Q117:Q126)</f>
        <v>2</v>
      </c>
      <c r="R127" s="13">
        <f t="shared" ref="R127" si="243">SUM(R117:R126)</f>
        <v>1</v>
      </c>
      <c r="S127" s="13">
        <f t="shared" ref="S127" si="244">SUM(S117:S126)</f>
        <v>2</v>
      </c>
      <c r="T127" s="13">
        <f t="shared" ref="T127" si="245">SUM(T117:T126)</f>
        <v>4</v>
      </c>
      <c r="U127" s="13">
        <f t="shared" ref="U127" si="246">SUM(U117:U126)</f>
        <v>1</v>
      </c>
      <c r="V127" s="13">
        <f t="shared" ref="V127" si="247">SUM(V117:V126)</f>
        <v>0</v>
      </c>
      <c r="W127" s="13">
        <f t="shared" ref="W127" si="248">SUM(W117:W126)</f>
        <v>3</v>
      </c>
      <c r="X127" s="13">
        <f t="shared" ref="X127" si="249">SUM(X117:X126)</f>
        <v>1</v>
      </c>
      <c r="Y127" s="13">
        <f t="shared" ref="Y127" si="250">SUM(Y117:Y126)</f>
        <v>0</v>
      </c>
      <c r="Z127" s="13">
        <f t="shared" ref="Z127" si="251">SUM(Z117:Z126)</f>
        <v>0</v>
      </c>
      <c r="AA127" s="13">
        <f t="shared" ref="AA127" si="252">SUM(AA117:AA126)</f>
        <v>0</v>
      </c>
      <c r="AB127" s="13">
        <f t="shared" ref="AB127" si="253">SUM(AB117:AB126)</f>
        <v>0</v>
      </c>
      <c r="AC127" s="13">
        <f t="shared" ref="AC127" si="254">SUM(AC117:AC126)</f>
        <v>2</v>
      </c>
      <c r="AD127" s="13">
        <f t="shared" ref="AD127" si="255">SUM(AD117:AD126)</f>
        <v>0</v>
      </c>
      <c r="AE127" s="13">
        <f t="shared" ref="AE127" si="256">SUM(AE117:AE126)</f>
        <v>0</v>
      </c>
      <c r="AF127" s="13">
        <f t="shared" ref="AF127" si="257">SUM(AF117:AF126)</f>
        <v>0</v>
      </c>
      <c r="AG127" s="13">
        <f t="shared" ref="AG127" si="258">SUM(AG117:AG126)</f>
        <v>1</v>
      </c>
      <c r="AH127" s="13">
        <f t="shared" ref="AH127" si="259">SUM(AH117:AH126)</f>
        <v>0</v>
      </c>
      <c r="AI127" s="13">
        <f t="shared" ref="AI127" si="260">SUM(AI117:AI126)</f>
        <v>1</v>
      </c>
      <c r="AJ127" s="13">
        <f t="shared" ref="AJ127" si="261">SUM(AJ117:AJ126)</f>
        <v>1</v>
      </c>
      <c r="AK127" s="13">
        <f t="shared" ref="AK127" si="262">SUM(AK117:AK126)</f>
        <v>1</v>
      </c>
      <c r="AL127" s="13">
        <f t="shared" ref="AL127" si="263">SUM(AL117:AL126)</f>
        <v>0</v>
      </c>
      <c r="AM127" s="13">
        <f t="shared" ref="AM127" si="264">SUM(AM117:AM126)</f>
        <v>0</v>
      </c>
      <c r="AN127" s="13">
        <f t="shared" ref="AN127" si="265">SUM(AN117:AN126)</f>
        <v>0</v>
      </c>
      <c r="AO127" s="13">
        <f t="shared" ref="AO127" si="266">SUM(AO117:AO126)</f>
        <v>1</v>
      </c>
      <c r="AP127" s="13">
        <f t="shared" ref="AP127" si="267">SUM(AP117:AP126)</f>
        <v>1</v>
      </c>
      <c r="AQ127" s="13">
        <f t="shared" ref="AQ127" si="268">SUM(AQ117:AQ126)</f>
        <v>2</v>
      </c>
      <c r="AR127" s="13">
        <f t="shared" ref="AR127" si="269">SUM(AR117:AR126)</f>
        <v>3</v>
      </c>
      <c r="AS127" s="13">
        <f t="shared" ref="AS127" si="270">SUM(AS117:AS126)</f>
        <v>1</v>
      </c>
      <c r="AT127" s="13">
        <f t="shared" ref="AT127" si="271">SUM(AT117:AT126)</f>
        <v>3</v>
      </c>
      <c r="AU127" s="13">
        <f t="shared" ref="AU127" si="272">SUM(AU117:AU126)</f>
        <v>52</v>
      </c>
      <c r="AV127" s="5"/>
      <c r="AW127" s="5"/>
    </row>
    <row r="128" spans="1:49" ht="12.75" customHeight="1" x14ac:dyDescent="0.3">
      <c r="A128" s="62"/>
      <c r="B128" s="61"/>
      <c r="C128" s="61"/>
      <c r="D128" s="61"/>
      <c r="E128" s="59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"/>
      <c r="AW128" s="5"/>
    </row>
    <row r="129" spans="1:49" ht="12.75" customHeight="1" x14ac:dyDescent="0.3">
      <c r="A129" s="20" t="s">
        <v>37</v>
      </c>
      <c r="B129" s="27" t="s">
        <v>102</v>
      </c>
      <c r="C129" s="58" t="s">
        <v>103</v>
      </c>
      <c r="D129" s="59"/>
      <c r="E129" s="16">
        <v>0</v>
      </c>
      <c r="F129" s="16">
        <v>0</v>
      </c>
      <c r="G129" s="16">
        <v>1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1</v>
      </c>
      <c r="AB129" s="16">
        <v>0</v>
      </c>
      <c r="AC129" s="16">
        <v>0</v>
      </c>
      <c r="AD129" s="16">
        <v>0</v>
      </c>
      <c r="AE129" s="16">
        <v>0</v>
      </c>
      <c r="AF129" s="16">
        <v>1</v>
      </c>
      <c r="AG129" s="16">
        <v>1</v>
      </c>
      <c r="AH129" s="16">
        <v>0</v>
      </c>
      <c r="AI129" s="16">
        <v>0</v>
      </c>
      <c r="AJ129" s="16">
        <v>0</v>
      </c>
      <c r="AK129" s="16">
        <v>1</v>
      </c>
      <c r="AL129" s="16">
        <v>1</v>
      </c>
      <c r="AM129" s="16">
        <v>0</v>
      </c>
      <c r="AN129" s="16">
        <v>1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3">
        <f t="shared" ref="AU129:AU138" si="273">SUM(E129:AT129)</f>
        <v>8</v>
      </c>
      <c r="AV129" s="5"/>
      <c r="AW129" s="5"/>
    </row>
    <row r="130" spans="1:49" ht="12.75" customHeight="1" x14ac:dyDescent="0.3">
      <c r="A130" s="20" t="s">
        <v>39</v>
      </c>
      <c r="B130" s="34"/>
      <c r="C130" s="29" t="s">
        <v>104</v>
      </c>
      <c r="D130" s="35"/>
      <c r="E130" s="16">
        <v>0</v>
      </c>
      <c r="F130" s="16">
        <v>1</v>
      </c>
      <c r="G130" s="16">
        <v>3</v>
      </c>
      <c r="H130" s="16">
        <v>0</v>
      </c>
      <c r="I130" s="16">
        <v>0</v>
      </c>
      <c r="J130" s="16">
        <v>1</v>
      </c>
      <c r="K130" s="16">
        <v>0</v>
      </c>
      <c r="L130" s="16">
        <v>3</v>
      </c>
      <c r="M130" s="16">
        <v>0</v>
      </c>
      <c r="N130" s="16">
        <v>0</v>
      </c>
      <c r="O130" s="16">
        <v>1</v>
      </c>
      <c r="P130" s="16">
        <v>1</v>
      </c>
      <c r="Q130" s="16">
        <v>2</v>
      </c>
      <c r="R130" s="16">
        <v>0</v>
      </c>
      <c r="S130" s="16">
        <v>3</v>
      </c>
      <c r="T130" s="16">
        <v>1</v>
      </c>
      <c r="U130" s="16">
        <v>1</v>
      </c>
      <c r="V130" s="16">
        <v>0</v>
      </c>
      <c r="W130" s="16">
        <v>0</v>
      </c>
      <c r="X130" s="16">
        <v>1</v>
      </c>
      <c r="Y130" s="16">
        <v>0</v>
      </c>
      <c r="Z130" s="16">
        <v>0</v>
      </c>
      <c r="AA130" s="16">
        <v>2</v>
      </c>
      <c r="AB130" s="16">
        <v>0</v>
      </c>
      <c r="AC130" s="16">
        <v>1</v>
      </c>
      <c r="AD130" s="16">
        <v>1</v>
      </c>
      <c r="AE130" s="16">
        <v>6</v>
      </c>
      <c r="AF130" s="16">
        <v>6</v>
      </c>
      <c r="AG130" s="16">
        <v>0</v>
      </c>
      <c r="AH130" s="16">
        <v>1</v>
      </c>
      <c r="AI130" s="16">
        <v>6</v>
      </c>
      <c r="AJ130" s="16">
        <v>5</v>
      </c>
      <c r="AK130" s="16">
        <v>2</v>
      </c>
      <c r="AL130" s="16">
        <v>3</v>
      </c>
      <c r="AM130" s="16">
        <v>0</v>
      </c>
      <c r="AN130" s="16">
        <v>1</v>
      </c>
      <c r="AO130" s="16">
        <v>0</v>
      </c>
      <c r="AP130" s="16">
        <v>1</v>
      </c>
      <c r="AQ130" s="16">
        <v>3</v>
      </c>
      <c r="AR130" s="16">
        <v>0</v>
      </c>
      <c r="AS130" s="16">
        <v>0</v>
      </c>
      <c r="AT130" s="16">
        <v>3</v>
      </c>
      <c r="AU130" s="13">
        <f t="shared" si="273"/>
        <v>59</v>
      </c>
      <c r="AV130" s="1"/>
      <c r="AW130" s="1"/>
    </row>
    <row r="131" spans="1:49" ht="12.75" customHeight="1" x14ac:dyDescent="0.3">
      <c r="A131" s="15"/>
      <c r="B131" s="34"/>
      <c r="C131" s="29" t="s">
        <v>105</v>
      </c>
      <c r="D131" s="35"/>
      <c r="E131" s="16">
        <v>0</v>
      </c>
      <c r="F131" s="16">
        <v>1</v>
      </c>
      <c r="G131" s="16">
        <v>1</v>
      </c>
      <c r="H131" s="16">
        <v>0</v>
      </c>
      <c r="I131" s="16">
        <v>1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2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1</v>
      </c>
      <c r="AU131" s="13">
        <f t="shared" si="273"/>
        <v>6</v>
      </c>
      <c r="AV131" s="31"/>
      <c r="AW131" s="31"/>
    </row>
    <row r="132" spans="1:49" ht="12.75" customHeight="1" x14ac:dyDescent="0.3">
      <c r="A132" s="15"/>
      <c r="B132" s="34"/>
      <c r="C132" s="29" t="s">
        <v>106</v>
      </c>
      <c r="D132" s="35"/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1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1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3">
        <f t="shared" si="273"/>
        <v>2</v>
      </c>
      <c r="AV132" s="5"/>
      <c r="AW132" s="5"/>
    </row>
    <row r="133" spans="1:49" ht="12.75" customHeight="1" x14ac:dyDescent="0.3">
      <c r="A133" s="15"/>
      <c r="B133" s="34"/>
      <c r="C133" s="29" t="s">
        <v>107</v>
      </c>
      <c r="D133" s="35"/>
      <c r="E133" s="16">
        <v>0</v>
      </c>
      <c r="F133" s="16">
        <v>1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3">
        <f t="shared" si="273"/>
        <v>1</v>
      </c>
      <c r="AV133" s="5"/>
      <c r="AW133" s="5"/>
    </row>
    <row r="134" spans="1:49" ht="12.75" customHeight="1" x14ac:dyDescent="0.3">
      <c r="A134" s="15"/>
      <c r="B134" s="34"/>
      <c r="C134" s="29" t="s">
        <v>108</v>
      </c>
      <c r="D134" s="35"/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4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3">
        <f t="shared" si="273"/>
        <v>4</v>
      </c>
      <c r="AV134" s="5"/>
      <c r="AW134" s="5"/>
    </row>
    <row r="135" spans="1:49" ht="12.75" customHeight="1" x14ac:dyDescent="0.3">
      <c r="A135" s="15"/>
      <c r="B135" s="34"/>
      <c r="C135" s="29" t="s">
        <v>109</v>
      </c>
      <c r="D135" s="36"/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1</v>
      </c>
      <c r="AK135" s="16">
        <v>0</v>
      </c>
      <c r="AL135" s="16">
        <v>0</v>
      </c>
      <c r="AM135" s="16">
        <v>0</v>
      </c>
      <c r="AN135" s="16">
        <v>0</v>
      </c>
      <c r="AO135" s="16">
        <v>0</v>
      </c>
      <c r="AP135" s="16">
        <v>0</v>
      </c>
      <c r="AQ135" s="16">
        <v>0</v>
      </c>
      <c r="AR135" s="16">
        <v>1</v>
      </c>
      <c r="AS135" s="16">
        <v>0</v>
      </c>
      <c r="AT135" s="16">
        <v>0</v>
      </c>
      <c r="AU135" s="13">
        <f t="shared" si="273"/>
        <v>2</v>
      </c>
      <c r="AV135" s="5"/>
      <c r="AW135" s="5"/>
    </row>
    <row r="136" spans="1:49" ht="12.75" customHeight="1" x14ac:dyDescent="0.3">
      <c r="A136" s="15"/>
      <c r="B136" s="34"/>
      <c r="C136" s="29" t="s">
        <v>110</v>
      </c>
      <c r="D136" s="35"/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1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1</v>
      </c>
      <c r="AM136" s="16">
        <v>0</v>
      </c>
      <c r="AN136" s="16">
        <v>0</v>
      </c>
      <c r="AO136" s="16">
        <v>0</v>
      </c>
      <c r="AP136" s="16">
        <v>0</v>
      </c>
      <c r="AQ136" s="16">
        <v>0</v>
      </c>
      <c r="AR136" s="16">
        <v>0</v>
      </c>
      <c r="AS136" s="16">
        <v>0</v>
      </c>
      <c r="AT136" s="16">
        <v>0</v>
      </c>
      <c r="AU136" s="13">
        <f t="shared" si="273"/>
        <v>2</v>
      </c>
      <c r="AV136" s="5"/>
      <c r="AW136" s="5"/>
    </row>
    <row r="137" spans="1:49" ht="12.75" customHeight="1" x14ac:dyDescent="0.3">
      <c r="A137" s="15"/>
      <c r="B137" s="34"/>
      <c r="C137" s="29" t="s">
        <v>111</v>
      </c>
      <c r="D137" s="35"/>
      <c r="E137" s="16">
        <v>0</v>
      </c>
      <c r="F137" s="16">
        <v>1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1</v>
      </c>
      <c r="AJ137" s="16">
        <v>0</v>
      </c>
      <c r="AK137" s="16">
        <v>0</v>
      </c>
      <c r="AL137" s="16">
        <v>1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3">
        <f t="shared" si="273"/>
        <v>3</v>
      </c>
      <c r="AV137" s="5"/>
      <c r="AW137" s="5"/>
    </row>
    <row r="138" spans="1:49" ht="12.75" customHeight="1" x14ac:dyDescent="0.3">
      <c r="A138" s="15"/>
      <c r="B138" s="34"/>
      <c r="C138" s="29" t="s">
        <v>112</v>
      </c>
      <c r="D138" s="35"/>
      <c r="E138" s="16">
        <v>0</v>
      </c>
      <c r="F138" s="16">
        <v>0</v>
      </c>
      <c r="G138" s="16">
        <v>0</v>
      </c>
      <c r="H138" s="16">
        <v>0</v>
      </c>
      <c r="I138" s="16">
        <v>1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1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3">
        <f t="shared" si="273"/>
        <v>2</v>
      </c>
      <c r="AV138" s="5"/>
      <c r="AW138" s="5"/>
    </row>
    <row r="139" spans="1:49" ht="12.75" customHeight="1" x14ac:dyDescent="0.3">
      <c r="A139" s="16" t="s">
        <v>15</v>
      </c>
      <c r="B139" s="60" t="s">
        <v>49</v>
      </c>
      <c r="C139" s="61"/>
      <c r="D139" s="59"/>
      <c r="E139" s="13">
        <f>SUM(E129:E138)</f>
        <v>0</v>
      </c>
      <c r="F139" s="13">
        <f t="shared" ref="F139" si="274">SUM(F129:F138)</f>
        <v>4</v>
      </c>
      <c r="G139" s="13">
        <f t="shared" ref="G139" si="275">SUM(G129:G138)</f>
        <v>5</v>
      </c>
      <c r="H139" s="13">
        <f t="shared" ref="H139" si="276">SUM(H129:H138)</f>
        <v>0</v>
      </c>
      <c r="I139" s="13">
        <f t="shared" ref="I139" si="277">SUM(I129:I138)</f>
        <v>2</v>
      </c>
      <c r="J139" s="13">
        <f t="shared" ref="J139" si="278">SUM(J129:J138)</f>
        <v>1</v>
      </c>
      <c r="K139" s="13">
        <f t="shared" ref="K139" si="279">SUM(K129:K138)</f>
        <v>0</v>
      </c>
      <c r="L139" s="13">
        <f t="shared" ref="L139" si="280">SUM(L129:L138)</f>
        <v>4</v>
      </c>
      <c r="M139" s="13">
        <f t="shared" ref="M139" si="281">SUM(M129:M138)</f>
        <v>0</v>
      </c>
      <c r="N139" s="13">
        <f t="shared" ref="N139" si="282">SUM(N129:N138)</f>
        <v>0</v>
      </c>
      <c r="O139" s="13">
        <f t="shared" ref="O139" si="283">SUM(O129:O138)</f>
        <v>1</v>
      </c>
      <c r="P139" s="13">
        <f t="shared" ref="P139" si="284">SUM(P129:P138)</f>
        <v>1</v>
      </c>
      <c r="Q139" s="13">
        <f t="shared" ref="Q139" si="285">SUM(Q129:Q138)</f>
        <v>4</v>
      </c>
      <c r="R139" s="13">
        <f t="shared" ref="R139" si="286">SUM(R129:R138)</f>
        <v>0</v>
      </c>
      <c r="S139" s="13">
        <f t="shared" ref="S139" si="287">SUM(S129:S138)</f>
        <v>4</v>
      </c>
      <c r="T139" s="13">
        <f t="shared" ref="T139" si="288">SUM(T129:T138)</f>
        <v>1</v>
      </c>
      <c r="U139" s="13">
        <f t="shared" ref="U139" si="289">SUM(U129:U138)</f>
        <v>1</v>
      </c>
      <c r="V139" s="13">
        <f t="shared" ref="V139" si="290">SUM(V129:V138)</f>
        <v>1</v>
      </c>
      <c r="W139" s="13">
        <f t="shared" ref="W139" si="291">SUM(W129:W138)</f>
        <v>0</v>
      </c>
      <c r="X139" s="13">
        <f t="shared" ref="X139" si="292">SUM(X129:X138)</f>
        <v>1</v>
      </c>
      <c r="Y139" s="13">
        <f t="shared" ref="Y139" si="293">SUM(Y129:Y138)</f>
        <v>1</v>
      </c>
      <c r="Z139" s="13">
        <f t="shared" ref="Z139" si="294">SUM(Z129:Z138)</f>
        <v>0</v>
      </c>
      <c r="AA139" s="13">
        <f t="shared" ref="AA139" si="295">SUM(AA129:AA138)</f>
        <v>3</v>
      </c>
      <c r="AB139" s="13">
        <f t="shared" ref="AB139" si="296">SUM(AB129:AB138)</f>
        <v>0</v>
      </c>
      <c r="AC139" s="13">
        <f t="shared" ref="AC139" si="297">SUM(AC129:AC138)</f>
        <v>1</v>
      </c>
      <c r="AD139" s="13">
        <f t="shared" ref="AD139" si="298">SUM(AD129:AD138)</f>
        <v>1</v>
      </c>
      <c r="AE139" s="13">
        <f t="shared" ref="AE139" si="299">SUM(AE129:AE138)</f>
        <v>6</v>
      </c>
      <c r="AF139" s="13">
        <f t="shared" ref="AF139" si="300">SUM(AF129:AF138)</f>
        <v>11</v>
      </c>
      <c r="AG139" s="13">
        <f t="shared" ref="AG139" si="301">SUM(AG129:AG138)</f>
        <v>1</v>
      </c>
      <c r="AH139" s="13">
        <f t="shared" ref="AH139" si="302">SUM(AH129:AH138)</f>
        <v>1</v>
      </c>
      <c r="AI139" s="13">
        <f t="shared" ref="AI139" si="303">SUM(AI129:AI138)</f>
        <v>7</v>
      </c>
      <c r="AJ139" s="13">
        <f t="shared" ref="AJ139" si="304">SUM(AJ129:AJ138)</f>
        <v>6</v>
      </c>
      <c r="AK139" s="13">
        <f t="shared" ref="AK139" si="305">SUM(AK129:AK138)</f>
        <v>3</v>
      </c>
      <c r="AL139" s="13">
        <f t="shared" ref="AL139" si="306">SUM(AL129:AL138)</f>
        <v>6</v>
      </c>
      <c r="AM139" s="13">
        <f t="shared" ref="AM139" si="307">SUM(AM129:AM138)</f>
        <v>0</v>
      </c>
      <c r="AN139" s="13">
        <f t="shared" ref="AN139" si="308">SUM(AN129:AN138)</f>
        <v>3</v>
      </c>
      <c r="AO139" s="13">
        <f t="shared" ref="AO139" si="309">SUM(AO129:AO138)</f>
        <v>0</v>
      </c>
      <c r="AP139" s="13">
        <f t="shared" ref="AP139" si="310">SUM(AP129:AP138)</f>
        <v>1</v>
      </c>
      <c r="AQ139" s="13">
        <f t="shared" ref="AQ139" si="311">SUM(AQ129:AQ138)</f>
        <v>3</v>
      </c>
      <c r="AR139" s="13">
        <f t="shared" ref="AR139" si="312">SUM(AR129:AR138)</f>
        <v>1</v>
      </c>
      <c r="AS139" s="13">
        <f t="shared" ref="AS139" si="313">SUM(AS129:AS138)</f>
        <v>0</v>
      </c>
      <c r="AT139" s="13">
        <f t="shared" ref="AT139" si="314">SUM(AT129:AT138)</f>
        <v>4</v>
      </c>
      <c r="AU139" s="13">
        <f t="shared" ref="AU139" si="315">SUM(AU129:AU138)</f>
        <v>89</v>
      </c>
      <c r="AV139" s="5"/>
      <c r="AW139" s="5"/>
    </row>
    <row r="140" spans="1:49" ht="12.75" customHeight="1" x14ac:dyDescent="0.3">
      <c r="A140" s="62"/>
      <c r="B140" s="61"/>
      <c r="C140" s="61"/>
      <c r="D140" s="61"/>
      <c r="E140" s="59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"/>
      <c r="AW140" s="5"/>
    </row>
    <row r="141" spans="1:49" ht="12.75" customHeight="1" x14ac:dyDescent="0.3">
      <c r="A141" s="20" t="s">
        <v>37</v>
      </c>
      <c r="B141" s="27" t="s">
        <v>113</v>
      </c>
      <c r="C141" s="58" t="s">
        <v>114</v>
      </c>
      <c r="D141" s="59"/>
      <c r="E141" s="16">
        <v>1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1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0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3">
        <f t="shared" ref="AU141:AU144" si="316">SUM(E141:AT141)</f>
        <v>2</v>
      </c>
      <c r="AV141" s="1"/>
      <c r="AW141" s="1"/>
    </row>
    <row r="142" spans="1:49" ht="12.75" customHeight="1" x14ac:dyDescent="0.3">
      <c r="A142" s="20" t="s">
        <v>39</v>
      </c>
      <c r="B142" s="34"/>
      <c r="C142" s="29" t="s">
        <v>115</v>
      </c>
      <c r="D142" s="36"/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1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0</v>
      </c>
      <c r="AT142" s="16">
        <v>0</v>
      </c>
      <c r="AU142" s="13">
        <f t="shared" si="316"/>
        <v>1</v>
      </c>
      <c r="AV142" s="31"/>
      <c r="AW142" s="31"/>
    </row>
    <row r="143" spans="1:49" ht="12.75" customHeight="1" x14ac:dyDescent="0.3">
      <c r="A143" s="15"/>
      <c r="B143" s="34"/>
      <c r="C143" s="29" t="s">
        <v>116</v>
      </c>
      <c r="D143" s="36"/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1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3">
        <f t="shared" si="316"/>
        <v>1</v>
      </c>
      <c r="AV143" s="5"/>
      <c r="AW143" s="5"/>
    </row>
    <row r="144" spans="1:49" ht="12.75" customHeight="1" x14ac:dyDescent="0.3">
      <c r="A144" s="15"/>
      <c r="B144" s="34"/>
      <c r="C144" s="29" t="s">
        <v>117</v>
      </c>
      <c r="D144" s="36"/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1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3">
        <f t="shared" si="316"/>
        <v>1</v>
      </c>
      <c r="AV144" s="5"/>
      <c r="AW144" s="5"/>
    </row>
    <row r="145" spans="1:49" ht="12.75" customHeight="1" x14ac:dyDescent="0.3">
      <c r="A145" s="15"/>
      <c r="B145" s="37"/>
      <c r="C145" s="38"/>
      <c r="D145" s="3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56"/>
      <c r="AV145" s="5"/>
      <c r="AW145" s="5"/>
    </row>
    <row r="146" spans="1:49" ht="12.75" customHeight="1" x14ac:dyDescent="0.3">
      <c r="A146" s="15"/>
      <c r="B146" s="37"/>
      <c r="C146" s="38"/>
      <c r="D146" s="3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56"/>
      <c r="AV146" s="5"/>
      <c r="AW146" s="5"/>
    </row>
    <row r="147" spans="1:49" ht="12.75" customHeight="1" x14ac:dyDescent="0.3">
      <c r="A147" s="15"/>
      <c r="B147" s="37"/>
      <c r="C147" s="38"/>
      <c r="D147" s="3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56"/>
      <c r="AV147" s="5"/>
      <c r="AW147" s="5"/>
    </row>
    <row r="148" spans="1:49" ht="12.75" customHeight="1" x14ac:dyDescent="0.3">
      <c r="A148" s="15"/>
      <c r="B148" s="37"/>
      <c r="C148" s="38"/>
      <c r="D148" s="3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56"/>
      <c r="AV148" s="5"/>
      <c r="AW148" s="5"/>
    </row>
    <row r="149" spans="1:49" ht="12.75" customHeight="1" x14ac:dyDescent="0.3">
      <c r="A149" s="15"/>
      <c r="B149" s="37"/>
      <c r="C149" s="38"/>
      <c r="D149" s="3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56"/>
      <c r="AV149" s="5"/>
      <c r="AW149" s="5"/>
    </row>
    <row r="150" spans="1:49" ht="12.75" customHeight="1" x14ac:dyDescent="0.3">
      <c r="A150" s="15"/>
      <c r="B150" s="37"/>
      <c r="C150" s="38"/>
      <c r="D150" s="3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56"/>
      <c r="AV150" s="5"/>
      <c r="AW150" s="5"/>
    </row>
    <row r="151" spans="1:49" ht="12.75" customHeight="1" x14ac:dyDescent="0.3">
      <c r="A151" s="16" t="s">
        <v>15</v>
      </c>
      <c r="B151" s="60" t="s">
        <v>49</v>
      </c>
      <c r="C151" s="61"/>
      <c r="D151" s="59"/>
      <c r="E151" s="13">
        <f>SUM(E141:E150)</f>
        <v>1</v>
      </c>
      <c r="F151" s="13">
        <f t="shared" ref="F151" si="317">SUM(F141:F150)</f>
        <v>0</v>
      </c>
      <c r="G151" s="13">
        <f t="shared" ref="G151" si="318">SUM(G141:G150)</f>
        <v>0</v>
      </c>
      <c r="H151" s="13">
        <f t="shared" ref="H151" si="319">SUM(H141:H150)</f>
        <v>0</v>
      </c>
      <c r="I151" s="13">
        <f t="shared" ref="I151" si="320">SUM(I141:I150)</f>
        <v>0</v>
      </c>
      <c r="J151" s="13">
        <f t="shared" ref="J151" si="321">SUM(J141:J150)</f>
        <v>0</v>
      </c>
      <c r="K151" s="13">
        <f t="shared" ref="K151" si="322">SUM(K141:K150)</f>
        <v>0</v>
      </c>
      <c r="L151" s="13">
        <f t="shared" ref="L151" si="323">SUM(L141:L150)</f>
        <v>0</v>
      </c>
      <c r="M151" s="13">
        <f t="shared" ref="M151" si="324">SUM(M141:M150)</f>
        <v>0</v>
      </c>
      <c r="N151" s="13">
        <f t="shared" ref="N151" si="325">SUM(N141:N150)</f>
        <v>0</v>
      </c>
      <c r="O151" s="13">
        <f t="shared" ref="O151" si="326">SUM(O141:O150)</f>
        <v>0</v>
      </c>
      <c r="P151" s="13">
        <f t="shared" ref="P151" si="327">SUM(P141:P150)</f>
        <v>0</v>
      </c>
      <c r="Q151" s="13">
        <f t="shared" ref="Q151" si="328">SUM(Q141:Q150)</f>
        <v>1</v>
      </c>
      <c r="R151" s="13">
        <f t="shared" ref="R151" si="329">SUM(R141:R150)</f>
        <v>0</v>
      </c>
      <c r="S151" s="13">
        <f t="shared" ref="S151" si="330">SUM(S141:S150)</f>
        <v>1</v>
      </c>
      <c r="T151" s="13">
        <f t="shared" ref="T151" si="331">SUM(T141:T150)</f>
        <v>0</v>
      </c>
      <c r="U151" s="13">
        <f t="shared" ref="U151" si="332">SUM(U141:U150)</f>
        <v>0</v>
      </c>
      <c r="V151" s="13">
        <f t="shared" ref="V151" si="333">SUM(V141:V150)</f>
        <v>0</v>
      </c>
      <c r="W151" s="13">
        <f t="shared" ref="W151" si="334">SUM(W141:W150)</f>
        <v>0</v>
      </c>
      <c r="X151" s="13">
        <f t="shared" ref="X151" si="335">SUM(X141:X150)</f>
        <v>0</v>
      </c>
      <c r="Y151" s="13">
        <f t="shared" ref="Y151" si="336">SUM(Y141:Y150)</f>
        <v>0</v>
      </c>
      <c r="Z151" s="13">
        <f t="shared" ref="Z151" si="337">SUM(Z141:Z150)</f>
        <v>0</v>
      </c>
      <c r="AA151" s="13">
        <f t="shared" ref="AA151" si="338">SUM(AA141:AA150)</f>
        <v>0</v>
      </c>
      <c r="AB151" s="13">
        <f t="shared" ref="AB151" si="339">SUM(AB141:AB150)</f>
        <v>0</v>
      </c>
      <c r="AC151" s="13">
        <f t="shared" ref="AC151" si="340">SUM(AC141:AC150)</f>
        <v>0</v>
      </c>
      <c r="AD151" s="13">
        <f t="shared" ref="AD151" si="341">SUM(AD141:AD150)</f>
        <v>0</v>
      </c>
      <c r="AE151" s="13">
        <f t="shared" ref="AE151" si="342">SUM(AE141:AE150)</f>
        <v>0</v>
      </c>
      <c r="AF151" s="13">
        <f t="shared" ref="AF151" si="343">SUM(AF141:AF150)</f>
        <v>0</v>
      </c>
      <c r="AG151" s="13">
        <f t="shared" ref="AG151" si="344">SUM(AG141:AG150)</f>
        <v>0</v>
      </c>
      <c r="AH151" s="13">
        <f t="shared" ref="AH151" si="345">SUM(AH141:AH150)</f>
        <v>1</v>
      </c>
      <c r="AI151" s="13">
        <f t="shared" ref="AI151" si="346">SUM(AI141:AI150)</f>
        <v>0</v>
      </c>
      <c r="AJ151" s="13">
        <f t="shared" ref="AJ151" si="347">SUM(AJ141:AJ150)</f>
        <v>0</v>
      </c>
      <c r="AK151" s="13">
        <f t="shared" ref="AK151" si="348">SUM(AK141:AK150)</f>
        <v>0</v>
      </c>
      <c r="AL151" s="13">
        <f t="shared" ref="AL151" si="349">SUM(AL141:AL150)</f>
        <v>1</v>
      </c>
      <c r="AM151" s="13">
        <f t="shared" ref="AM151" si="350">SUM(AM141:AM150)</f>
        <v>0</v>
      </c>
      <c r="AN151" s="13">
        <f t="shared" ref="AN151" si="351">SUM(AN141:AN150)</f>
        <v>0</v>
      </c>
      <c r="AO151" s="13">
        <f t="shared" ref="AO151" si="352">SUM(AO141:AO150)</f>
        <v>0</v>
      </c>
      <c r="AP151" s="13">
        <f t="shared" ref="AP151" si="353">SUM(AP141:AP150)</f>
        <v>0</v>
      </c>
      <c r="AQ151" s="13">
        <f t="shared" ref="AQ151" si="354">SUM(AQ141:AQ150)</f>
        <v>0</v>
      </c>
      <c r="AR151" s="13">
        <f t="shared" ref="AR151" si="355">SUM(AR141:AR150)</f>
        <v>0</v>
      </c>
      <c r="AS151" s="13">
        <f t="shared" ref="AS151" si="356">SUM(AS141:AS150)</f>
        <v>0</v>
      </c>
      <c r="AT151" s="13">
        <f t="shared" ref="AT151" si="357">SUM(AT141:AT150)</f>
        <v>0</v>
      </c>
      <c r="AU151" s="13">
        <f t="shared" ref="AU151" si="358">SUM(AU141:AU150)</f>
        <v>5</v>
      </c>
      <c r="AV151" s="1"/>
      <c r="AW151" s="1"/>
    </row>
    <row r="152" spans="1:49" ht="12.75" customHeight="1" x14ac:dyDescent="0.3">
      <c r="A152" s="62"/>
      <c r="B152" s="61"/>
      <c r="C152" s="61"/>
      <c r="D152" s="61"/>
      <c r="E152" s="59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13"/>
      <c r="AV152" s="31"/>
      <c r="AW152" s="31"/>
    </row>
    <row r="153" spans="1:49" ht="12.75" customHeight="1" x14ac:dyDescent="0.3">
      <c r="A153" s="20" t="s">
        <v>37</v>
      </c>
      <c r="B153" s="14" t="s">
        <v>118</v>
      </c>
      <c r="C153" s="84" t="s">
        <v>119</v>
      </c>
      <c r="D153" s="67"/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1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1</v>
      </c>
      <c r="AI153" s="16">
        <v>0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3">
        <f t="shared" ref="AU153:AU160" si="359">SUM(E153:AT153)</f>
        <v>2</v>
      </c>
      <c r="AV153" s="5"/>
      <c r="AW153" s="5"/>
    </row>
    <row r="154" spans="1:49" ht="12.75" customHeight="1" x14ac:dyDescent="0.3">
      <c r="A154" s="43" t="s">
        <v>39</v>
      </c>
      <c r="B154" s="34"/>
      <c r="C154" s="29" t="s">
        <v>120</v>
      </c>
      <c r="D154" s="36"/>
      <c r="E154" s="57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1</v>
      </c>
      <c r="X154" s="16">
        <v>0</v>
      </c>
      <c r="Y154" s="16">
        <v>0</v>
      </c>
      <c r="Z154" s="16">
        <v>1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3">
        <f t="shared" si="359"/>
        <v>2</v>
      </c>
      <c r="AV154" s="5"/>
      <c r="AW154" s="5"/>
    </row>
    <row r="155" spans="1:49" ht="12.75" customHeight="1" x14ac:dyDescent="0.3">
      <c r="A155" s="15"/>
      <c r="B155" s="34"/>
      <c r="C155" s="29" t="s">
        <v>121</v>
      </c>
      <c r="D155" s="36"/>
      <c r="E155" s="57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1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0</v>
      </c>
      <c r="AS155" s="16">
        <v>0</v>
      </c>
      <c r="AT155" s="16">
        <v>0</v>
      </c>
      <c r="AU155" s="13">
        <f t="shared" si="359"/>
        <v>1</v>
      </c>
      <c r="AV155" s="5"/>
      <c r="AW155" s="5"/>
    </row>
    <row r="156" spans="1:49" ht="12.75" customHeight="1" x14ac:dyDescent="0.3">
      <c r="A156" s="15"/>
      <c r="B156" s="34"/>
      <c r="C156" s="29" t="s">
        <v>122</v>
      </c>
      <c r="D156" s="36"/>
      <c r="E156" s="57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1</v>
      </c>
      <c r="AJ156" s="16">
        <v>0</v>
      </c>
      <c r="AK156" s="16">
        <v>0</v>
      </c>
      <c r="AL156" s="16">
        <v>0</v>
      </c>
      <c r="AM156" s="16">
        <v>0</v>
      </c>
      <c r="AN156" s="16">
        <v>1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3">
        <f t="shared" si="359"/>
        <v>2</v>
      </c>
      <c r="AV156" s="5"/>
      <c r="AW156" s="5"/>
    </row>
    <row r="157" spans="1:49" ht="12.75" customHeight="1" x14ac:dyDescent="0.3">
      <c r="A157" s="15"/>
      <c r="B157" s="34"/>
      <c r="C157" s="29" t="s">
        <v>123</v>
      </c>
      <c r="D157" s="36"/>
      <c r="E157" s="57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1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3">
        <f t="shared" si="359"/>
        <v>1</v>
      </c>
      <c r="AV157" s="5"/>
      <c r="AW157" s="5"/>
    </row>
    <row r="158" spans="1:49" ht="12.75" customHeight="1" x14ac:dyDescent="0.3">
      <c r="A158" s="15"/>
      <c r="B158" s="34"/>
      <c r="C158" s="29" t="s">
        <v>124</v>
      </c>
      <c r="D158" s="36"/>
      <c r="E158" s="57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3">
        <f t="shared" si="359"/>
        <v>0</v>
      </c>
      <c r="AV158" s="5"/>
      <c r="AW158" s="5"/>
    </row>
    <row r="159" spans="1:49" ht="12.75" customHeight="1" x14ac:dyDescent="0.3">
      <c r="A159" s="15"/>
      <c r="B159" s="34"/>
      <c r="C159" s="29" t="s">
        <v>125</v>
      </c>
      <c r="D159" s="36"/>
      <c r="E159" s="57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1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3">
        <f t="shared" si="359"/>
        <v>1</v>
      </c>
      <c r="AV159" s="5"/>
      <c r="AW159" s="5"/>
    </row>
    <row r="160" spans="1:49" ht="12.75" customHeight="1" x14ac:dyDescent="0.3">
      <c r="A160" s="15"/>
      <c r="B160" s="34"/>
      <c r="C160" s="29" t="s">
        <v>126</v>
      </c>
      <c r="D160" s="36"/>
      <c r="E160" s="57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1</v>
      </c>
      <c r="W160" s="16">
        <v>0</v>
      </c>
      <c r="X160" s="16">
        <v>0</v>
      </c>
      <c r="Y160" s="16">
        <v>0</v>
      </c>
      <c r="Z160" s="16">
        <v>1</v>
      </c>
      <c r="AA160" s="16">
        <v>0</v>
      </c>
      <c r="AB160" s="16">
        <v>0</v>
      </c>
      <c r="AC160" s="16">
        <v>1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3">
        <f t="shared" si="359"/>
        <v>3</v>
      </c>
      <c r="AV160" s="5"/>
      <c r="AW160" s="5"/>
    </row>
    <row r="161" spans="1:49" ht="12.75" customHeight="1" x14ac:dyDescent="0.3">
      <c r="A161" s="15"/>
      <c r="B161" s="37"/>
      <c r="C161" s="44"/>
      <c r="D161" s="39"/>
      <c r="E161" s="57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56"/>
      <c r="AV161" s="5"/>
      <c r="AW161" s="5"/>
    </row>
    <row r="162" spans="1:49" ht="12.75" customHeight="1" x14ac:dyDescent="0.3">
      <c r="A162" s="15"/>
      <c r="B162" s="37"/>
      <c r="C162" s="44"/>
      <c r="D162" s="39"/>
      <c r="E162" s="57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56"/>
      <c r="AV162" s="5"/>
      <c r="AW162" s="5"/>
    </row>
    <row r="163" spans="1:49" ht="12.75" customHeight="1" x14ac:dyDescent="0.3">
      <c r="A163" s="16" t="s">
        <v>15</v>
      </c>
      <c r="B163" s="85" t="s">
        <v>49</v>
      </c>
      <c r="C163" s="64"/>
      <c r="D163" s="70"/>
      <c r="E163" s="13">
        <f>SUM(E153:E162)</f>
        <v>0</v>
      </c>
      <c r="F163" s="13">
        <f t="shared" ref="F163" si="360">SUM(F153:F162)</f>
        <v>0</v>
      </c>
      <c r="G163" s="13">
        <f t="shared" ref="G163" si="361">SUM(G153:G162)</f>
        <v>0</v>
      </c>
      <c r="H163" s="13">
        <f t="shared" ref="H163" si="362">SUM(H153:H162)</f>
        <v>0</v>
      </c>
      <c r="I163" s="13">
        <f t="shared" ref="I163" si="363">SUM(I153:I162)</f>
        <v>0</v>
      </c>
      <c r="J163" s="13">
        <f t="shared" ref="J163" si="364">SUM(J153:J162)</f>
        <v>0</v>
      </c>
      <c r="K163" s="13">
        <f t="shared" ref="K163" si="365">SUM(K153:K162)</f>
        <v>0</v>
      </c>
      <c r="L163" s="13">
        <f t="shared" ref="L163" si="366">SUM(L153:L162)</f>
        <v>0</v>
      </c>
      <c r="M163" s="13">
        <f t="shared" ref="M163" si="367">SUM(M153:M162)</f>
        <v>0</v>
      </c>
      <c r="N163" s="13">
        <f t="shared" ref="N163" si="368">SUM(N153:N162)</f>
        <v>0</v>
      </c>
      <c r="O163" s="13">
        <f t="shared" ref="O163" si="369">SUM(O153:O162)</f>
        <v>0</v>
      </c>
      <c r="P163" s="13">
        <f t="shared" ref="P163" si="370">SUM(P153:P162)</f>
        <v>1</v>
      </c>
      <c r="Q163" s="13">
        <f t="shared" ref="Q163" si="371">SUM(Q153:Q162)</f>
        <v>0</v>
      </c>
      <c r="R163" s="13">
        <f t="shared" ref="R163" si="372">SUM(R153:R162)</f>
        <v>0</v>
      </c>
      <c r="S163" s="13">
        <f t="shared" ref="S163" si="373">SUM(S153:S162)</f>
        <v>0</v>
      </c>
      <c r="T163" s="13">
        <f t="shared" ref="T163" si="374">SUM(T153:T162)</f>
        <v>0</v>
      </c>
      <c r="U163" s="13">
        <f t="shared" ref="U163" si="375">SUM(U153:U162)</f>
        <v>0</v>
      </c>
      <c r="V163" s="13">
        <f t="shared" ref="V163" si="376">SUM(V153:V162)</f>
        <v>1</v>
      </c>
      <c r="W163" s="13">
        <f t="shared" ref="W163" si="377">SUM(W153:W162)</f>
        <v>1</v>
      </c>
      <c r="X163" s="13">
        <f t="shared" ref="X163" si="378">SUM(X153:X162)</f>
        <v>0</v>
      </c>
      <c r="Y163" s="13">
        <f t="shared" ref="Y163" si="379">SUM(Y153:Y162)</f>
        <v>1</v>
      </c>
      <c r="Z163" s="13">
        <f t="shared" ref="Z163" si="380">SUM(Z153:Z162)</f>
        <v>2</v>
      </c>
      <c r="AA163" s="13">
        <f t="shared" ref="AA163" si="381">SUM(AA153:AA162)</f>
        <v>0</v>
      </c>
      <c r="AB163" s="13">
        <f t="shared" ref="AB163" si="382">SUM(AB153:AB162)</f>
        <v>0</v>
      </c>
      <c r="AC163" s="13">
        <f t="shared" ref="AC163" si="383">SUM(AC153:AC162)</f>
        <v>2</v>
      </c>
      <c r="AD163" s="13">
        <f t="shared" ref="AD163" si="384">SUM(AD153:AD162)</f>
        <v>0</v>
      </c>
      <c r="AE163" s="13">
        <f t="shared" ref="AE163" si="385">SUM(AE153:AE162)</f>
        <v>0</v>
      </c>
      <c r="AF163" s="13">
        <f t="shared" ref="AF163" si="386">SUM(AF153:AF162)</f>
        <v>0</v>
      </c>
      <c r="AG163" s="13">
        <f t="shared" ref="AG163" si="387">SUM(AG153:AG162)</f>
        <v>0</v>
      </c>
      <c r="AH163" s="13">
        <f t="shared" ref="AH163" si="388">SUM(AH153:AH162)</f>
        <v>1</v>
      </c>
      <c r="AI163" s="13">
        <f t="shared" ref="AI163" si="389">SUM(AI153:AI162)</f>
        <v>1</v>
      </c>
      <c r="AJ163" s="13">
        <f t="shared" ref="AJ163" si="390">SUM(AJ153:AJ162)</f>
        <v>0</v>
      </c>
      <c r="AK163" s="13">
        <f t="shared" ref="AK163" si="391">SUM(AK153:AK162)</f>
        <v>0</v>
      </c>
      <c r="AL163" s="13">
        <f t="shared" ref="AL163" si="392">SUM(AL153:AL162)</f>
        <v>1</v>
      </c>
      <c r="AM163" s="13">
        <f t="shared" ref="AM163" si="393">SUM(AM153:AM162)</f>
        <v>0</v>
      </c>
      <c r="AN163" s="13">
        <f t="shared" ref="AN163" si="394">SUM(AN153:AN162)</f>
        <v>1</v>
      </c>
      <c r="AO163" s="13">
        <f t="shared" ref="AO163" si="395">SUM(AO153:AO162)</f>
        <v>0</v>
      </c>
      <c r="AP163" s="13">
        <f t="shared" ref="AP163" si="396">SUM(AP153:AP162)</f>
        <v>0</v>
      </c>
      <c r="AQ163" s="13">
        <f t="shared" ref="AQ163" si="397">SUM(AQ153:AQ162)</f>
        <v>0</v>
      </c>
      <c r="AR163" s="13">
        <f t="shared" ref="AR163" si="398">SUM(AR153:AR162)</f>
        <v>0</v>
      </c>
      <c r="AS163" s="13">
        <f t="shared" ref="AS163" si="399">SUM(AS153:AS162)</f>
        <v>0</v>
      </c>
      <c r="AT163" s="13">
        <f t="shared" ref="AT163" si="400">SUM(AT153:AT162)</f>
        <v>0</v>
      </c>
      <c r="AU163" s="13">
        <f t="shared" ref="AU163" si="401">SUM(AU153:AU162)</f>
        <v>12</v>
      </c>
      <c r="AV163" s="5"/>
      <c r="AW163" s="5"/>
    </row>
    <row r="164" spans="1:49" ht="12.75" customHeight="1" x14ac:dyDescent="0.3">
      <c r="A164" s="62"/>
      <c r="B164" s="61"/>
      <c r="C164" s="61"/>
      <c r="D164" s="61"/>
      <c r="E164" s="59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"/>
      <c r="AW164" s="5"/>
    </row>
    <row r="165" spans="1:49" ht="12.75" customHeight="1" x14ac:dyDescent="0.3">
      <c r="A165" s="20" t="s">
        <v>37</v>
      </c>
      <c r="B165" s="27" t="s">
        <v>127</v>
      </c>
      <c r="C165" s="58" t="s">
        <v>128</v>
      </c>
      <c r="D165" s="59"/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1</v>
      </c>
      <c r="L165" s="16">
        <v>0</v>
      </c>
      <c r="M165" s="16">
        <v>0</v>
      </c>
      <c r="N165" s="16">
        <v>1</v>
      </c>
      <c r="O165" s="16">
        <v>0</v>
      </c>
      <c r="P165" s="16">
        <v>0</v>
      </c>
      <c r="Q165" s="16">
        <v>1</v>
      </c>
      <c r="R165" s="16">
        <v>1</v>
      </c>
      <c r="S165" s="16">
        <v>1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1</v>
      </c>
      <c r="AK165" s="16">
        <v>0</v>
      </c>
      <c r="AL165" s="16">
        <v>0</v>
      </c>
      <c r="AM165" s="16">
        <v>0</v>
      </c>
      <c r="AN165" s="16">
        <v>1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3">
        <f t="shared" ref="AU165:AU166" si="402">SUM(E165:AT165)</f>
        <v>7</v>
      </c>
      <c r="AV165" s="1"/>
      <c r="AW165" s="1"/>
    </row>
    <row r="166" spans="1:49" ht="12.75" customHeight="1" x14ac:dyDescent="0.3">
      <c r="A166" s="20" t="s">
        <v>39</v>
      </c>
      <c r="B166" s="34"/>
      <c r="C166" s="29" t="s">
        <v>129</v>
      </c>
      <c r="D166" s="36"/>
      <c r="E166" s="16">
        <v>0</v>
      </c>
      <c r="F166" s="16">
        <v>0</v>
      </c>
      <c r="G166" s="16">
        <v>1</v>
      </c>
      <c r="H166" s="16">
        <v>0</v>
      </c>
      <c r="I166" s="16">
        <v>0</v>
      </c>
      <c r="J166" s="16">
        <v>0</v>
      </c>
      <c r="K166" s="16">
        <v>0</v>
      </c>
      <c r="L166" s="16">
        <v>1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1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1</v>
      </c>
      <c r="AI166" s="16">
        <v>0</v>
      </c>
      <c r="AJ166" s="16">
        <v>1</v>
      </c>
      <c r="AK166" s="16">
        <v>0</v>
      </c>
      <c r="AL166" s="16">
        <v>0</v>
      </c>
      <c r="AM166" s="16">
        <v>1</v>
      </c>
      <c r="AN166" s="16">
        <v>1</v>
      </c>
      <c r="AO166" s="16">
        <v>0</v>
      </c>
      <c r="AP166" s="16">
        <v>0</v>
      </c>
      <c r="AQ166" s="16">
        <v>0</v>
      </c>
      <c r="AR166" s="16">
        <v>0</v>
      </c>
      <c r="AS166" s="16">
        <v>1</v>
      </c>
      <c r="AT166" s="16">
        <v>1</v>
      </c>
      <c r="AU166" s="13">
        <f t="shared" si="402"/>
        <v>9</v>
      </c>
      <c r="AV166" s="31"/>
      <c r="AW166" s="31"/>
    </row>
    <row r="167" spans="1:49" ht="12.75" customHeight="1" x14ac:dyDescent="0.3">
      <c r="A167" s="15"/>
      <c r="B167" s="37"/>
      <c r="C167" s="38"/>
      <c r="D167" s="3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56"/>
      <c r="AV167" s="5"/>
      <c r="AW167" s="5"/>
    </row>
    <row r="168" spans="1:49" ht="12.75" customHeight="1" x14ac:dyDescent="0.3">
      <c r="A168" s="15"/>
      <c r="B168" s="37"/>
      <c r="C168" s="38"/>
      <c r="D168" s="3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56"/>
      <c r="AV168" s="5"/>
      <c r="AW168" s="5"/>
    </row>
    <row r="169" spans="1:49" ht="12.75" customHeight="1" x14ac:dyDescent="0.3">
      <c r="A169" s="15"/>
      <c r="B169" s="37"/>
      <c r="C169" s="38"/>
      <c r="D169" s="3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56"/>
      <c r="AV169" s="5"/>
      <c r="AW169" s="5"/>
    </row>
    <row r="170" spans="1:49" ht="12.75" customHeight="1" x14ac:dyDescent="0.3">
      <c r="A170" s="15"/>
      <c r="B170" s="37"/>
      <c r="C170" s="38"/>
      <c r="D170" s="3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56"/>
      <c r="AV170" s="5"/>
      <c r="AW170" s="5"/>
    </row>
    <row r="171" spans="1:49" ht="12.75" customHeight="1" x14ac:dyDescent="0.3">
      <c r="A171" s="15"/>
      <c r="B171" s="37"/>
      <c r="C171" s="38"/>
      <c r="D171" s="3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56"/>
      <c r="AV171" s="5"/>
      <c r="AW171" s="5"/>
    </row>
    <row r="172" spans="1:49" ht="12.75" customHeight="1" x14ac:dyDescent="0.3">
      <c r="A172" s="15"/>
      <c r="B172" s="37"/>
      <c r="C172" s="38"/>
      <c r="D172" s="3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56"/>
      <c r="AV172" s="5"/>
      <c r="AW172" s="5"/>
    </row>
    <row r="173" spans="1:49" ht="12.75" customHeight="1" x14ac:dyDescent="0.3">
      <c r="A173" s="15"/>
      <c r="B173" s="37"/>
      <c r="C173" s="38"/>
      <c r="D173" s="3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56"/>
      <c r="AV173" s="5"/>
      <c r="AW173" s="5"/>
    </row>
    <row r="174" spans="1:49" ht="12.75" customHeight="1" x14ac:dyDescent="0.3">
      <c r="A174" s="15"/>
      <c r="B174" s="37"/>
      <c r="C174" s="38"/>
      <c r="D174" s="3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56"/>
      <c r="AV174" s="5"/>
      <c r="AW174" s="5"/>
    </row>
    <row r="175" spans="1:49" ht="12.75" customHeight="1" x14ac:dyDescent="0.3">
      <c r="A175" s="16" t="s">
        <v>15</v>
      </c>
      <c r="B175" s="60" t="s">
        <v>49</v>
      </c>
      <c r="C175" s="61"/>
      <c r="D175" s="59"/>
      <c r="E175" s="13">
        <f>SUM(E165:E174)</f>
        <v>0</v>
      </c>
      <c r="F175" s="13">
        <f t="shared" ref="F175" si="403">SUM(F165:F174)</f>
        <v>0</v>
      </c>
      <c r="G175" s="13">
        <f t="shared" ref="G175" si="404">SUM(G165:G174)</f>
        <v>1</v>
      </c>
      <c r="H175" s="13">
        <f t="shared" ref="H175" si="405">SUM(H165:H174)</f>
        <v>0</v>
      </c>
      <c r="I175" s="13">
        <f t="shared" ref="I175" si="406">SUM(I165:I174)</f>
        <v>0</v>
      </c>
      <c r="J175" s="13">
        <f t="shared" ref="J175" si="407">SUM(J165:J174)</f>
        <v>0</v>
      </c>
      <c r="K175" s="13">
        <f t="shared" ref="K175" si="408">SUM(K165:K174)</f>
        <v>1</v>
      </c>
      <c r="L175" s="13">
        <f t="shared" ref="L175" si="409">SUM(L165:L174)</f>
        <v>1</v>
      </c>
      <c r="M175" s="13">
        <f t="shared" ref="M175" si="410">SUM(M165:M174)</f>
        <v>0</v>
      </c>
      <c r="N175" s="13">
        <f t="shared" ref="N175" si="411">SUM(N165:N174)</f>
        <v>1</v>
      </c>
      <c r="O175" s="13">
        <f t="shared" ref="O175" si="412">SUM(O165:O174)</f>
        <v>0</v>
      </c>
      <c r="P175" s="13">
        <f t="shared" ref="P175" si="413">SUM(P165:P174)</f>
        <v>0</v>
      </c>
      <c r="Q175" s="13">
        <f t="shared" ref="Q175" si="414">SUM(Q165:Q174)</f>
        <v>1</v>
      </c>
      <c r="R175" s="13">
        <f t="shared" ref="R175" si="415">SUM(R165:R174)</f>
        <v>1</v>
      </c>
      <c r="S175" s="13">
        <f t="shared" ref="S175" si="416">SUM(S165:S174)</f>
        <v>1</v>
      </c>
      <c r="T175" s="13">
        <f t="shared" ref="T175" si="417">SUM(T165:T174)</f>
        <v>0</v>
      </c>
      <c r="U175" s="13">
        <f t="shared" ref="U175" si="418">SUM(U165:U174)</f>
        <v>0</v>
      </c>
      <c r="V175" s="13">
        <f t="shared" ref="V175" si="419">SUM(V165:V174)</f>
        <v>0</v>
      </c>
      <c r="W175" s="13">
        <f t="shared" ref="W175" si="420">SUM(W165:W174)</f>
        <v>1</v>
      </c>
      <c r="X175" s="13">
        <f t="shared" ref="X175" si="421">SUM(X165:X174)</f>
        <v>0</v>
      </c>
      <c r="Y175" s="13">
        <f t="shared" ref="Y175" si="422">SUM(Y165:Y174)</f>
        <v>0</v>
      </c>
      <c r="Z175" s="13">
        <f t="shared" ref="Z175" si="423">SUM(Z165:Z174)</f>
        <v>0</v>
      </c>
      <c r="AA175" s="13">
        <f t="shared" ref="AA175" si="424">SUM(AA165:AA174)</f>
        <v>0</v>
      </c>
      <c r="AB175" s="13">
        <f t="shared" ref="AB175" si="425">SUM(AB165:AB174)</f>
        <v>0</v>
      </c>
      <c r="AC175" s="13">
        <f t="shared" ref="AC175" si="426">SUM(AC165:AC174)</f>
        <v>0</v>
      </c>
      <c r="AD175" s="13">
        <f t="shared" ref="AD175" si="427">SUM(AD165:AD174)</f>
        <v>0</v>
      </c>
      <c r="AE175" s="13">
        <f t="shared" ref="AE175" si="428">SUM(AE165:AE174)</f>
        <v>0</v>
      </c>
      <c r="AF175" s="13">
        <f t="shared" ref="AF175" si="429">SUM(AF165:AF174)</f>
        <v>0</v>
      </c>
      <c r="AG175" s="13">
        <f t="shared" ref="AG175" si="430">SUM(AG165:AG174)</f>
        <v>0</v>
      </c>
      <c r="AH175" s="13">
        <f t="shared" ref="AH175" si="431">SUM(AH165:AH174)</f>
        <v>1</v>
      </c>
      <c r="AI175" s="13">
        <f t="shared" ref="AI175" si="432">SUM(AI165:AI174)</f>
        <v>0</v>
      </c>
      <c r="AJ175" s="13">
        <f t="shared" ref="AJ175" si="433">SUM(AJ165:AJ174)</f>
        <v>2</v>
      </c>
      <c r="AK175" s="13">
        <f t="shared" ref="AK175" si="434">SUM(AK165:AK174)</f>
        <v>0</v>
      </c>
      <c r="AL175" s="13">
        <f t="shared" ref="AL175" si="435">SUM(AL165:AL174)</f>
        <v>0</v>
      </c>
      <c r="AM175" s="13">
        <f t="shared" ref="AM175" si="436">SUM(AM165:AM174)</f>
        <v>1</v>
      </c>
      <c r="AN175" s="13">
        <f t="shared" ref="AN175" si="437">SUM(AN165:AN174)</f>
        <v>2</v>
      </c>
      <c r="AO175" s="13">
        <f t="shared" ref="AO175" si="438">SUM(AO165:AO174)</f>
        <v>0</v>
      </c>
      <c r="AP175" s="13">
        <f t="shared" ref="AP175" si="439">SUM(AP165:AP174)</f>
        <v>0</v>
      </c>
      <c r="AQ175" s="13">
        <f t="shared" ref="AQ175" si="440">SUM(AQ165:AQ174)</f>
        <v>0</v>
      </c>
      <c r="AR175" s="13">
        <f t="shared" ref="AR175" si="441">SUM(AR165:AR174)</f>
        <v>0</v>
      </c>
      <c r="AS175" s="13">
        <f t="shared" ref="AS175" si="442">SUM(AS165:AS174)</f>
        <v>1</v>
      </c>
      <c r="AT175" s="13">
        <f t="shared" ref="AT175" si="443">SUM(AT165:AT174)</f>
        <v>1</v>
      </c>
      <c r="AU175" s="13">
        <f t="shared" ref="AU175" si="444">SUM(AU165:AU174)</f>
        <v>16</v>
      </c>
      <c r="AV175" s="5"/>
      <c r="AW175" s="5"/>
    </row>
    <row r="176" spans="1:49" ht="12.75" customHeight="1" x14ac:dyDescent="0.3">
      <c r="A176" s="62"/>
      <c r="B176" s="61"/>
      <c r="C176" s="61"/>
      <c r="D176" s="61"/>
      <c r="E176" s="59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1"/>
      <c r="AW176" s="1"/>
    </row>
    <row r="177" spans="1:49" ht="12.75" customHeight="1" x14ac:dyDescent="0.3">
      <c r="A177" s="20" t="s">
        <v>37</v>
      </c>
      <c r="B177" s="27" t="s">
        <v>130</v>
      </c>
      <c r="C177" s="58" t="s">
        <v>131</v>
      </c>
      <c r="D177" s="59"/>
      <c r="E177" s="16">
        <v>0</v>
      </c>
      <c r="F177" s="16">
        <v>2</v>
      </c>
      <c r="G177" s="16">
        <v>0</v>
      </c>
      <c r="H177" s="16">
        <v>0</v>
      </c>
      <c r="I177" s="16">
        <v>0</v>
      </c>
      <c r="J177" s="16">
        <v>0</v>
      </c>
      <c r="K177" s="16">
        <v>2</v>
      </c>
      <c r="L177" s="16">
        <v>2</v>
      </c>
      <c r="M177" s="16">
        <v>0</v>
      </c>
      <c r="N177" s="16">
        <v>0</v>
      </c>
      <c r="O177" s="16">
        <v>1</v>
      </c>
      <c r="P177" s="16">
        <v>1</v>
      </c>
      <c r="Q177" s="16">
        <v>0</v>
      </c>
      <c r="R177" s="16">
        <v>0</v>
      </c>
      <c r="S177" s="16">
        <v>0</v>
      </c>
      <c r="T177" s="16">
        <v>1</v>
      </c>
      <c r="U177" s="16">
        <v>0</v>
      </c>
      <c r="V177" s="16">
        <v>0</v>
      </c>
      <c r="W177" s="16">
        <v>1</v>
      </c>
      <c r="X177" s="16">
        <v>3</v>
      </c>
      <c r="Y177" s="16">
        <v>0</v>
      </c>
      <c r="Z177" s="16">
        <v>0</v>
      </c>
      <c r="AA177" s="16">
        <v>0</v>
      </c>
      <c r="AB177" s="16">
        <v>1</v>
      </c>
      <c r="AC177" s="16">
        <v>0</v>
      </c>
      <c r="AD177" s="16">
        <v>1</v>
      </c>
      <c r="AE177" s="16">
        <v>0</v>
      </c>
      <c r="AF177" s="16">
        <v>1</v>
      </c>
      <c r="AG177" s="16">
        <v>0</v>
      </c>
      <c r="AH177" s="16">
        <v>0</v>
      </c>
      <c r="AI177" s="16">
        <v>0</v>
      </c>
      <c r="AJ177" s="16">
        <v>0</v>
      </c>
      <c r="AK177" s="16">
        <v>1</v>
      </c>
      <c r="AL177" s="16">
        <v>0</v>
      </c>
      <c r="AM177" s="16">
        <v>0</v>
      </c>
      <c r="AN177" s="16">
        <v>0</v>
      </c>
      <c r="AO177" s="16">
        <v>0</v>
      </c>
      <c r="AP177" s="16">
        <v>1</v>
      </c>
      <c r="AQ177" s="16">
        <v>0</v>
      </c>
      <c r="AR177" s="16">
        <v>0</v>
      </c>
      <c r="AS177" s="16">
        <v>0</v>
      </c>
      <c r="AT177" s="16">
        <v>0</v>
      </c>
      <c r="AU177" s="13">
        <f t="shared" ref="AU177:AU186" si="445">SUM(E177:AT177)</f>
        <v>18</v>
      </c>
    </row>
    <row r="178" spans="1:49" ht="12.75" customHeight="1" x14ac:dyDescent="0.3">
      <c r="A178" s="20" t="s">
        <v>39</v>
      </c>
      <c r="B178" s="34"/>
      <c r="C178" s="29" t="s">
        <v>132</v>
      </c>
      <c r="D178" s="36"/>
      <c r="E178" s="16">
        <v>0</v>
      </c>
      <c r="F178" s="16">
        <v>0</v>
      </c>
      <c r="G178" s="16">
        <v>0</v>
      </c>
      <c r="H178" s="16">
        <v>0</v>
      </c>
      <c r="I178" s="16">
        <v>1</v>
      </c>
      <c r="J178" s="16">
        <v>0</v>
      </c>
      <c r="K178" s="16">
        <v>0</v>
      </c>
      <c r="L178" s="16">
        <v>0</v>
      </c>
      <c r="M178" s="16">
        <v>0</v>
      </c>
      <c r="N178" s="16">
        <v>1</v>
      </c>
      <c r="O178" s="16">
        <v>1</v>
      </c>
      <c r="P178" s="16">
        <v>1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1</v>
      </c>
      <c r="X178" s="16">
        <v>3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1</v>
      </c>
      <c r="AG178" s="16">
        <v>1</v>
      </c>
      <c r="AH178" s="16">
        <v>0</v>
      </c>
      <c r="AI178" s="16">
        <v>4</v>
      </c>
      <c r="AJ178" s="16">
        <v>3</v>
      </c>
      <c r="AK178" s="16">
        <v>1</v>
      </c>
      <c r="AL178" s="16">
        <v>0</v>
      </c>
      <c r="AM178" s="16">
        <v>1</v>
      </c>
      <c r="AN178" s="16">
        <v>0</v>
      </c>
      <c r="AO178" s="16">
        <v>0</v>
      </c>
      <c r="AP178" s="16">
        <v>0</v>
      </c>
      <c r="AQ178" s="16">
        <v>2</v>
      </c>
      <c r="AR178" s="16">
        <v>0</v>
      </c>
      <c r="AS178" s="16">
        <v>0</v>
      </c>
      <c r="AT178" s="16">
        <v>0</v>
      </c>
      <c r="AU178" s="13">
        <f t="shared" si="445"/>
        <v>21</v>
      </c>
      <c r="AV178" s="5"/>
      <c r="AW178" s="5"/>
    </row>
    <row r="179" spans="1:49" ht="12.75" customHeight="1" x14ac:dyDescent="0.3">
      <c r="A179" s="15"/>
      <c r="B179" s="34"/>
      <c r="C179" s="29" t="s">
        <v>133</v>
      </c>
      <c r="D179" s="36"/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1</v>
      </c>
      <c r="L179" s="16">
        <v>0</v>
      </c>
      <c r="M179" s="16">
        <v>0</v>
      </c>
      <c r="N179" s="16">
        <v>0</v>
      </c>
      <c r="O179" s="16">
        <v>0</v>
      </c>
      <c r="P179" s="16">
        <v>1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  <c r="AK179" s="16">
        <v>0</v>
      </c>
      <c r="AL179" s="16">
        <v>0</v>
      </c>
      <c r="AM179" s="16">
        <v>0</v>
      </c>
      <c r="AN179" s="16">
        <v>0</v>
      </c>
      <c r="AO179" s="16">
        <v>1</v>
      </c>
      <c r="AP179" s="16">
        <v>0</v>
      </c>
      <c r="AQ179" s="16">
        <v>0</v>
      </c>
      <c r="AR179" s="16">
        <v>1</v>
      </c>
      <c r="AS179" s="16">
        <v>0</v>
      </c>
      <c r="AT179" s="16">
        <v>0</v>
      </c>
      <c r="AU179" s="13">
        <f t="shared" si="445"/>
        <v>4</v>
      </c>
      <c r="AV179" s="5"/>
      <c r="AW179" s="5"/>
    </row>
    <row r="180" spans="1:49" ht="12.75" customHeight="1" x14ac:dyDescent="0.3">
      <c r="A180" s="15"/>
      <c r="B180" s="34"/>
      <c r="C180" s="29" t="s">
        <v>134</v>
      </c>
      <c r="D180" s="36"/>
      <c r="E180" s="16">
        <v>1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1</v>
      </c>
      <c r="R180" s="16">
        <v>0</v>
      </c>
      <c r="S180" s="16">
        <v>1</v>
      </c>
      <c r="T180" s="16">
        <v>0</v>
      </c>
      <c r="U180" s="16">
        <v>0</v>
      </c>
      <c r="V180" s="16">
        <v>0</v>
      </c>
      <c r="W180" s="16">
        <v>0</v>
      </c>
      <c r="X180" s="16">
        <v>1</v>
      </c>
      <c r="Y180" s="16">
        <v>0</v>
      </c>
      <c r="Z180" s="16">
        <v>0</v>
      </c>
      <c r="AA180" s="16">
        <v>0</v>
      </c>
      <c r="AB180" s="16">
        <v>1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2</v>
      </c>
      <c r="AI180" s="16">
        <v>0</v>
      </c>
      <c r="AJ180" s="16">
        <v>1</v>
      </c>
      <c r="AK180" s="16">
        <v>0</v>
      </c>
      <c r="AL180" s="16">
        <v>1</v>
      </c>
      <c r="AM180" s="16">
        <v>1</v>
      </c>
      <c r="AN180" s="16">
        <v>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3">
        <f t="shared" si="445"/>
        <v>10</v>
      </c>
      <c r="AV180" s="5"/>
      <c r="AW180" s="5"/>
    </row>
    <row r="181" spans="1:49" ht="12.75" customHeight="1" x14ac:dyDescent="0.3">
      <c r="A181" s="15"/>
      <c r="B181" s="34"/>
      <c r="C181" s="29" t="s">
        <v>135</v>
      </c>
      <c r="D181" s="36"/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1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  <c r="AK181" s="16">
        <v>1</v>
      </c>
      <c r="AL181" s="16">
        <v>0</v>
      </c>
      <c r="AM181" s="16">
        <v>0</v>
      </c>
      <c r="AN181" s="16">
        <v>0</v>
      </c>
      <c r="AO181" s="16">
        <v>0</v>
      </c>
      <c r="AP181" s="16">
        <v>0</v>
      </c>
      <c r="AQ181" s="16">
        <v>0</v>
      </c>
      <c r="AR181" s="16">
        <v>0</v>
      </c>
      <c r="AS181" s="16">
        <v>0</v>
      </c>
      <c r="AT181" s="16">
        <v>0</v>
      </c>
      <c r="AU181" s="13">
        <f t="shared" si="445"/>
        <v>2</v>
      </c>
      <c r="AV181" s="5"/>
      <c r="AW181" s="5"/>
    </row>
    <row r="182" spans="1:49" ht="12.75" customHeight="1" x14ac:dyDescent="0.3">
      <c r="A182" s="15"/>
      <c r="B182" s="34"/>
      <c r="C182" s="29" t="s">
        <v>136</v>
      </c>
      <c r="D182" s="36"/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1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1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3">
        <f t="shared" si="445"/>
        <v>2</v>
      </c>
      <c r="AV182" s="5"/>
      <c r="AW182" s="5"/>
    </row>
    <row r="183" spans="1:49" ht="12.75" customHeight="1" x14ac:dyDescent="0.3">
      <c r="A183" s="15"/>
      <c r="B183" s="34"/>
      <c r="C183" s="29" t="s">
        <v>137</v>
      </c>
      <c r="D183" s="36"/>
      <c r="E183" s="16">
        <v>0</v>
      </c>
      <c r="F183" s="16">
        <v>0</v>
      </c>
      <c r="G183" s="16">
        <v>1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1</v>
      </c>
      <c r="Q183" s="16">
        <v>1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6">
        <v>0</v>
      </c>
      <c r="AS183" s="16">
        <v>1</v>
      </c>
      <c r="AT183" s="16">
        <v>0</v>
      </c>
      <c r="AU183" s="13">
        <f t="shared" si="445"/>
        <v>4</v>
      </c>
      <c r="AV183" s="5"/>
      <c r="AW183" s="5"/>
    </row>
    <row r="184" spans="1:49" ht="12.75" customHeight="1" x14ac:dyDescent="0.3">
      <c r="A184" s="15"/>
      <c r="B184" s="34"/>
      <c r="C184" s="29" t="s">
        <v>138</v>
      </c>
      <c r="D184" s="36"/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1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3">
        <f t="shared" si="445"/>
        <v>1</v>
      </c>
      <c r="AV184" s="5"/>
      <c r="AW184" s="5"/>
    </row>
    <row r="185" spans="1:49" ht="12.75" customHeight="1" x14ac:dyDescent="0.3">
      <c r="A185" s="15"/>
      <c r="B185" s="34"/>
      <c r="C185" s="29" t="s">
        <v>139</v>
      </c>
      <c r="D185" s="36"/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1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1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>
        <v>0</v>
      </c>
      <c r="AU185" s="13">
        <f t="shared" si="445"/>
        <v>2</v>
      </c>
      <c r="AV185" s="5"/>
      <c r="AW185" s="5"/>
    </row>
    <row r="186" spans="1:49" ht="12.75" customHeight="1" x14ac:dyDescent="0.3">
      <c r="A186" s="15"/>
      <c r="B186" s="34"/>
      <c r="C186" s="29" t="s">
        <v>140</v>
      </c>
      <c r="D186" s="36"/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3">
        <f t="shared" si="445"/>
        <v>0</v>
      </c>
      <c r="AV186" s="5"/>
      <c r="AW186" s="5"/>
    </row>
    <row r="187" spans="1:49" ht="12.75" customHeight="1" x14ac:dyDescent="0.3">
      <c r="A187" s="16" t="s">
        <v>15</v>
      </c>
      <c r="B187" s="60" t="s">
        <v>49</v>
      </c>
      <c r="C187" s="61"/>
      <c r="D187" s="59"/>
      <c r="E187" s="13">
        <f>SUM(E177:E186)</f>
        <v>1</v>
      </c>
      <c r="F187" s="13">
        <f t="shared" ref="F187" si="446">SUM(F177:F186)</f>
        <v>2</v>
      </c>
      <c r="G187" s="13">
        <f t="shared" ref="G187" si="447">SUM(G177:G186)</f>
        <v>1</v>
      </c>
      <c r="H187" s="13">
        <f t="shared" ref="H187" si="448">SUM(H177:H186)</f>
        <v>0</v>
      </c>
      <c r="I187" s="13">
        <f t="shared" ref="I187" si="449">SUM(I177:I186)</f>
        <v>1</v>
      </c>
      <c r="J187" s="13">
        <f t="shared" ref="J187" si="450">SUM(J177:J186)</f>
        <v>1</v>
      </c>
      <c r="K187" s="13">
        <f t="shared" ref="K187" si="451">SUM(K177:K186)</f>
        <v>3</v>
      </c>
      <c r="L187" s="13">
        <f t="shared" ref="L187" si="452">SUM(L177:L186)</f>
        <v>2</v>
      </c>
      <c r="M187" s="13">
        <f t="shared" ref="M187" si="453">SUM(M177:M186)</f>
        <v>0</v>
      </c>
      <c r="N187" s="13">
        <f t="shared" ref="N187" si="454">SUM(N177:N186)</f>
        <v>1</v>
      </c>
      <c r="O187" s="13">
        <f t="shared" ref="O187" si="455">SUM(O177:O186)</f>
        <v>2</v>
      </c>
      <c r="P187" s="13">
        <f t="shared" ref="P187" si="456">SUM(P177:P186)</f>
        <v>4</v>
      </c>
      <c r="Q187" s="13">
        <f t="shared" ref="Q187" si="457">SUM(Q177:Q186)</f>
        <v>2</v>
      </c>
      <c r="R187" s="13">
        <f t="shared" ref="R187" si="458">SUM(R177:R186)</f>
        <v>0</v>
      </c>
      <c r="S187" s="13">
        <f t="shared" ref="S187" si="459">SUM(S177:S186)</f>
        <v>1</v>
      </c>
      <c r="T187" s="13">
        <f t="shared" ref="T187" si="460">SUM(T177:T186)</f>
        <v>2</v>
      </c>
      <c r="U187" s="13">
        <f t="shared" ref="U187" si="461">SUM(U177:U186)</f>
        <v>0</v>
      </c>
      <c r="V187" s="13">
        <f t="shared" ref="V187" si="462">SUM(V177:V186)</f>
        <v>1</v>
      </c>
      <c r="W187" s="13">
        <f t="shared" ref="W187" si="463">SUM(W177:W186)</f>
        <v>2</v>
      </c>
      <c r="X187" s="13">
        <f t="shared" ref="X187" si="464">SUM(X177:X186)</f>
        <v>7</v>
      </c>
      <c r="Y187" s="13">
        <f t="shared" ref="Y187" si="465">SUM(Y177:Y186)</f>
        <v>1</v>
      </c>
      <c r="Z187" s="13">
        <f t="shared" ref="Z187" si="466">SUM(Z177:Z186)</f>
        <v>0</v>
      </c>
      <c r="AA187" s="13">
        <f t="shared" ref="AA187" si="467">SUM(AA177:AA186)</f>
        <v>1</v>
      </c>
      <c r="AB187" s="13">
        <f t="shared" ref="AB187" si="468">SUM(AB177:AB186)</f>
        <v>2</v>
      </c>
      <c r="AC187" s="13">
        <f t="shared" ref="AC187" si="469">SUM(AC177:AC186)</f>
        <v>0</v>
      </c>
      <c r="AD187" s="13">
        <f t="shared" ref="AD187" si="470">SUM(AD177:AD186)</f>
        <v>1</v>
      </c>
      <c r="AE187" s="13">
        <f t="shared" ref="AE187" si="471">SUM(AE177:AE186)</f>
        <v>0</v>
      </c>
      <c r="AF187" s="13">
        <f t="shared" ref="AF187" si="472">SUM(AF177:AF186)</f>
        <v>2</v>
      </c>
      <c r="AG187" s="13">
        <f t="shared" ref="AG187" si="473">SUM(AG177:AG186)</f>
        <v>1</v>
      </c>
      <c r="AH187" s="13">
        <f t="shared" ref="AH187" si="474">SUM(AH177:AH186)</f>
        <v>2</v>
      </c>
      <c r="AI187" s="13">
        <f t="shared" ref="AI187" si="475">SUM(AI177:AI186)</f>
        <v>4</v>
      </c>
      <c r="AJ187" s="13">
        <f t="shared" ref="AJ187" si="476">SUM(AJ177:AJ186)</f>
        <v>4</v>
      </c>
      <c r="AK187" s="13">
        <f t="shared" ref="AK187" si="477">SUM(AK177:AK186)</f>
        <v>3</v>
      </c>
      <c r="AL187" s="13">
        <f t="shared" ref="AL187" si="478">SUM(AL177:AL186)</f>
        <v>1</v>
      </c>
      <c r="AM187" s="13">
        <f t="shared" ref="AM187" si="479">SUM(AM177:AM186)</f>
        <v>2</v>
      </c>
      <c r="AN187" s="13">
        <f t="shared" ref="AN187" si="480">SUM(AN177:AN186)</f>
        <v>0</v>
      </c>
      <c r="AO187" s="13">
        <f t="shared" ref="AO187" si="481">SUM(AO177:AO186)</f>
        <v>2</v>
      </c>
      <c r="AP187" s="13">
        <f t="shared" ref="AP187" si="482">SUM(AP177:AP186)</f>
        <v>1</v>
      </c>
      <c r="AQ187" s="13">
        <f t="shared" ref="AQ187" si="483">SUM(AQ177:AQ186)</f>
        <v>2</v>
      </c>
      <c r="AR187" s="13">
        <f t="shared" ref="AR187" si="484">SUM(AR177:AR186)</f>
        <v>1</v>
      </c>
      <c r="AS187" s="13">
        <f t="shared" ref="AS187" si="485">SUM(AS177:AS186)</f>
        <v>1</v>
      </c>
      <c r="AT187" s="13">
        <f t="shared" ref="AT187" si="486">SUM(AT177:AT186)</f>
        <v>0</v>
      </c>
      <c r="AU187" s="13">
        <f t="shared" ref="AU187" si="487">SUM(AU177:AU186)</f>
        <v>64</v>
      </c>
      <c r="AV187" s="1"/>
      <c r="AW187" s="1"/>
    </row>
    <row r="188" spans="1:49" ht="12.75" customHeight="1" x14ac:dyDescent="0.3">
      <c r="A188" s="62"/>
      <c r="B188" s="61"/>
      <c r="C188" s="61"/>
      <c r="D188" s="61"/>
      <c r="E188" s="59"/>
      <c r="F188" s="54"/>
      <c r="G188" s="54"/>
      <c r="H188" s="54"/>
      <c r="I188" s="54"/>
      <c r="J188" s="54"/>
      <c r="K188" s="54"/>
      <c r="L188" s="54"/>
      <c r="M188" s="54"/>
      <c r="N188" s="54"/>
      <c r="AU188" s="13"/>
    </row>
    <row r="189" spans="1:49" ht="12.75" customHeight="1" x14ac:dyDescent="0.3">
      <c r="A189" s="20" t="s">
        <v>37</v>
      </c>
      <c r="B189" s="27" t="s">
        <v>141</v>
      </c>
      <c r="C189" s="58" t="s">
        <v>142</v>
      </c>
      <c r="D189" s="5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>
        <v>1</v>
      </c>
      <c r="AP189" s="16">
        <v>0</v>
      </c>
      <c r="AQ189" s="16">
        <v>0</v>
      </c>
      <c r="AR189" s="16">
        <v>0</v>
      </c>
      <c r="AS189" s="16">
        <v>0</v>
      </c>
      <c r="AT189" s="16">
        <v>0</v>
      </c>
      <c r="AU189" s="13">
        <f t="shared" ref="AU189:AU198" si="488">SUM(E189:AT189)</f>
        <v>1</v>
      </c>
      <c r="AV189" s="5"/>
      <c r="AW189" s="5"/>
    </row>
    <row r="190" spans="1:49" ht="12.75" customHeight="1" x14ac:dyDescent="0.3">
      <c r="A190" s="20" t="s">
        <v>39</v>
      </c>
      <c r="B190" s="34"/>
      <c r="C190" s="29" t="s">
        <v>143</v>
      </c>
      <c r="D190" s="3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  <c r="AK190" s="16">
        <v>0</v>
      </c>
      <c r="AL190" s="16">
        <v>1</v>
      </c>
      <c r="AM190" s="16">
        <v>0</v>
      </c>
      <c r="AN190" s="16">
        <v>0</v>
      </c>
      <c r="AO190" s="16">
        <v>1</v>
      </c>
      <c r="AP190" s="16">
        <v>0</v>
      </c>
      <c r="AQ190" s="16">
        <v>0</v>
      </c>
      <c r="AR190" s="16">
        <v>0</v>
      </c>
      <c r="AS190" s="16">
        <v>0</v>
      </c>
      <c r="AT190" s="16">
        <v>0</v>
      </c>
      <c r="AU190" s="13">
        <f t="shared" si="488"/>
        <v>2</v>
      </c>
      <c r="AV190" s="5"/>
      <c r="AW190" s="5"/>
    </row>
    <row r="191" spans="1:49" ht="12.75" customHeight="1" x14ac:dyDescent="0.3">
      <c r="A191" s="15"/>
      <c r="B191" s="34"/>
      <c r="C191" s="29" t="s">
        <v>144</v>
      </c>
      <c r="D191" s="3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3</v>
      </c>
      <c r="AE191" s="16">
        <v>0</v>
      </c>
      <c r="AF191" s="16">
        <v>0</v>
      </c>
      <c r="AG191" s="16">
        <v>0</v>
      </c>
      <c r="AH191" s="16">
        <v>1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1</v>
      </c>
      <c r="AT191" s="16">
        <v>0</v>
      </c>
      <c r="AU191" s="13">
        <f t="shared" si="488"/>
        <v>5</v>
      </c>
      <c r="AV191" s="5"/>
      <c r="AW191" s="5"/>
    </row>
    <row r="192" spans="1:49" ht="12.75" customHeight="1" x14ac:dyDescent="0.3">
      <c r="A192" s="15"/>
      <c r="B192" s="34"/>
      <c r="C192" s="29" t="s">
        <v>145</v>
      </c>
      <c r="D192" s="3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0</v>
      </c>
      <c r="AR192" s="16">
        <v>0</v>
      </c>
      <c r="AS192" s="16">
        <v>0</v>
      </c>
      <c r="AT192" s="16">
        <v>0</v>
      </c>
      <c r="AU192" s="13">
        <f t="shared" si="488"/>
        <v>0</v>
      </c>
      <c r="AV192" s="5"/>
      <c r="AW192" s="5"/>
    </row>
    <row r="193" spans="1:49" ht="12.75" customHeight="1" x14ac:dyDescent="0.3">
      <c r="A193" s="15"/>
      <c r="B193" s="34"/>
      <c r="C193" s="29" t="s">
        <v>146</v>
      </c>
      <c r="D193" s="3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0</v>
      </c>
      <c r="AU193" s="13">
        <f t="shared" si="488"/>
        <v>0</v>
      </c>
      <c r="AV193" s="5"/>
      <c r="AW193" s="5"/>
    </row>
    <row r="194" spans="1:49" ht="12.75" customHeight="1" x14ac:dyDescent="0.3">
      <c r="A194" s="15"/>
      <c r="B194" s="34"/>
      <c r="C194" s="29" t="s">
        <v>147</v>
      </c>
      <c r="D194" s="3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3">
        <f t="shared" si="488"/>
        <v>0</v>
      </c>
      <c r="AV194" s="5"/>
      <c r="AW194" s="5"/>
    </row>
    <row r="195" spans="1:49" ht="12.75" customHeight="1" x14ac:dyDescent="0.3">
      <c r="A195" s="15"/>
      <c r="B195" s="34"/>
      <c r="C195" s="29" t="s">
        <v>148</v>
      </c>
      <c r="D195" s="3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1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3">
        <f t="shared" si="488"/>
        <v>1</v>
      </c>
      <c r="AV195" s="5"/>
      <c r="AW195" s="5"/>
    </row>
    <row r="196" spans="1:49" ht="12.75" customHeight="1" x14ac:dyDescent="0.3">
      <c r="A196" s="15"/>
      <c r="B196" s="34"/>
      <c r="C196" s="29" t="s">
        <v>149</v>
      </c>
      <c r="D196" s="3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>
        <v>0</v>
      </c>
      <c r="U196" s="16">
        <v>0</v>
      </c>
      <c r="V196" s="16">
        <v>0</v>
      </c>
      <c r="W196" s="16">
        <v>0</v>
      </c>
      <c r="X196" s="16">
        <v>1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  <c r="AK196" s="16">
        <v>0</v>
      </c>
      <c r="AL196" s="16">
        <v>0</v>
      </c>
      <c r="AM196" s="16">
        <v>0</v>
      </c>
      <c r="AN196" s="16">
        <v>0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0</v>
      </c>
      <c r="AU196" s="13">
        <f t="shared" si="488"/>
        <v>1</v>
      </c>
      <c r="AV196" s="1"/>
      <c r="AW196" s="1"/>
    </row>
    <row r="197" spans="1:49" ht="12.75" customHeight="1" x14ac:dyDescent="0.3">
      <c r="A197" s="15"/>
      <c r="B197" s="34"/>
      <c r="C197" s="29" t="s">
        <v>150</v>
      </c>
      <c r="D197" s="3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0</v>
      </c>
      <c r="AU197" s="13">
        <f t="shared" si="488"/>
        <v>0</v>
      </c>
      <c r="AV197" s="1"/>
      <c r="AW197" s="1"/>
    </row>
    <row r="198" spans="1:49" ht="12.75" customHeight="1" x14ac:dyDescent="0.3">
      <c r="A198" s="15"/>
      <c r="B198" s="34"/>
      <c r="C198" s="29" t="s">
        <v>151</v>
      </c>
      <c r="D198" s="3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6">
        <v>0</v>
      </c>
      <c r="AN198" s="16">
        <v>0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>
        <v>0</v>
      </c>
      <c r="AU198" s="13">
        <f t="shared" si="488"/>
        <v>0</v>
      </c>
      <c r="AV198" s="1"/>
      <c r="AW198" s="1"/>
    </row>
    <row r="199" spans="1:49" ht="12.75" customHeight="1" x14ac:dyDescent="0.3">
      <c r="A199" s="16" t="s">
        <v>15</v>
      </c>
      <c r="B199" s="60" t="s">
        <v>49</v>
      </c>
      <c r="C199" s="61"/>
      <c r="D199" s="59"/>
      <c r="E199" s="13">
        <f>SUM(E189:E198)</f>
        <v>0</v>
      </c>
      <c r="F199" s="13">
        <f t="shared" ref="F199" si="489">SUM(F189:F198)</f>
        <v>0</v>
      </c>
      <c r="G199" s="13">
        <f t="shared" ref="G199" si="490">SUM(G189:G198)</f>
        <v>0</v>
      </c>
      <c r="H199" s="13">
        <f t="shared" ref="H199" si="491">SUM(H189:H198)</f>
        <v>0</v>
      </c>
      <c r="I199" s="13">
        <f t="shared" ref="I199" si="492">SUM(I189:I198)</f>
        <v>0</v>
      </c>
      <c r="J199" s="13">
        <f t="shared" ref="J199" si="493">SUM(J189:J198)</f>
        <v>0</v>
      </c>
      <c r="K199" s="13">
        <f t="shared" ref="K199" si="494">SUM(K189:K198)</f>
        <v>0</v>
      </c>
      <c r="L199" s="13">
        <f t="shared" ref="L199" si="495">SUM(L189:L198)</f>
        <v>0</v>
      </c>
      <c r="M199" s="13">
        <f t="shared" ref="M199" si="496">SUM(M189:M198)</f>
        <v>0</v>
      </c>
      <c r="N199" s="13">
        <f t="shared" ref="N199" si="497">SUM(N189:N198)</f>
        <v>0</v>
      </c>
      <c r="O199" s="13">
        <f t="shared" ref="O199" si="498">SUM(O189:O198)</f>
        <v>0</v>
      </c>
      <c r="P199" s="13">
        <f t="shared" ref="P199" si="499">SUM(P189:P198)</f>
        <v>0</v>
      </c>
      <c r="Q199" s="13">
        <f t="shared" ref="Q199" si="500">SUM(Q189:Q198)</f>
        <v>0</v>
      </c>
      <c r="R199" s="13">
        <f t="shared" ref="R199" si="501">SUM(R189:R198)</f>
        <v>0</v>
      </c>
      <c r="S199" s="13">
        <f t="shared" ref="S199" si="502">SUM(S189:S198)</f>
        <v>0</v>
      </c>
      <c r="T199" s="13">
        <f t="shared" ref="T199" si="503">SUM(T189:T198)</f>
        <v>0</v>
      </c>
      <c r="U199" s="13">
        <f t="shared" ref="U199" si="504">SUM(U189:U198)</f>
        <v>0</v>
      </c>
      <c r="V199" s="13">
        <f t="shared" ref="V199" si="505">SUM(V189:V198)</f>
        <v>0</v>
      </c>
      <c r="W199" s="13">
        <f t="shared" ref="W199" si="506">SUM(W189:W198)</f>
        <v>0</v>
      </c>
      <c r="X199" s="13">
        <f t="shared" ref="X199" si="507">SUM(X189:X198)</f>
        <v>1</v>
      </c>
      <c r="Y199" s="13">
        <f t="shared" ref="Y199" si="508">SUM(Y189:Y198)</f>
        <v>0</v>
      </c>
      <c r="Z199" s="13">
        <f t="shared" ref="Z199" si="509">SUM(Z189:Z198)</f>
        <v>0</v>
      </c>
      <c r="AA199" s="13">
        <f t="shared" ref="AA199" si="510">SUM(AA189:AA198)</f>
        <v>1</v>
      </c>
      <c r="AB199" s="13">
        <f t="shared" ref="AB199" si="511">SUM(AB189:AB198)</f>
        <v>0</v>
      </c>
      <c r="AC199" s="13">
        <f t="shared" ref="AC199" si="512">SUM(AC189:AC198)</f>
        <v>0</v>
      </c>
      <c r="AD199" s="13">
        <f t="shared" ref="AD199" si="513">SUM(AD189:AD198)</f>
        <v>3</v>
      </c>
      <c r="AE199" s="13">
        <f t="shared" ref="AE199" si="514">SUM(AE189:AE198)</f>
        <v>0</v>
      </c>
      <c r="AF199" s="13">
        <f t="shared" ref="AF199" si="515">SUM(AF189:AF198)</f>
        <v>0</v>
      </c>
      <c r="AG199" s="13">
        <f t="shared" ref="AG199" si="516">SUM(AG189:AG198)</f>
        <v>0</v>
      </c>
      <c r="AH199" s="13">
        <f t="shared" ref="AH199" si="517">SUM(AH189:AH198)</f>
        <v>1</v>
      </c>
      <c r="AI199" s="13">
        <f t="shared" ref="AI199" si="518">SUM(AI189:AI198)</f>
        <v>0</v>
      </c>
      <c r="AJ199" s="13">
        <f t="shared" ref="AJ199" si="519">SUM(AJ189:AJ198)</f>
        <v>0</v>
      </c>
      <c r="AK199" s="13">
        <f t="shared" ref="AK199" si="520">SUM(AK189:AK198)</f>
        <v>0</v>
      </c>
      <c r="AL199" s="13">
        <f t="shared" ref="AL199" si="521">SUM(AL189:AL198)</f>
        <v>1</v>
      </c>
      <c r="AM199" s="13">
        <f t="shared" ref="AM199" si="522">SUM(AM189:AM198)</f>
        <v>0</v>
      </c>
      <c r="AN199" s="13">
        <f t="shared" ref="AN199" si="523">SUM(AN189:AN198)</f>
        <v>0</v>
      </c>
      <c r="AO199" s="13">
        <f t="shared" ref="AO199" si="524">SUM(AO189:AO198)</f>
        <v>2</v>
      </c>
      <c r="AP199" s="13">
        <f t="shared" ref="AP199" si="525">SUM(AP189:AP198)</f>
        <v>0</v>
      </c>
      <c r="AQ199" s="13">
        <f t="shared" ref="AQ199" si="526">SUM(AQ189:AQ198)</f>
        <v>0</v>
      </c>
      <c r="AR199" s="13">
        <f t="shared" ref="AR199" si="527">SUM(AR189:AR198)</f>
        <v>0</v>
      </c>
      <c r="AS199" s="13">
        <f t="shared" ref="AS199" si="528">SUM(AS189:AS198)</f>
        <v>1</v>
      </c>
      <c r="AT199" s="13">
        <f t="shared" ref="AT199" si="529">SUM(AT189:AT198)</f>
        <v>0</v>
      </c>
      <c r="AU199" s="13">
        <f t="shared" ref="AU199" si="530">SUM(AU189:AU198)</f>
        <v>10</v>
      </c>
      <c r="AV199" s="31"/>
      <c r="AW199" s="31"/>
    </row>
    <row r="200" spans="1:49" ht="12.75" customHeight="1" x14ac:dyDescent="0.3">
      <c r="A200" s="62"/>
      <c r="B200" s="61"/>
      <c r="C200" s="61"/>
      <c r="D200" s="61"/>
      <c r="E200" s="59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"/>
      <c r="AW200" s="5"/>
    </row>
    <row r="201" spans="1:49" ht="12.75" customHeight="1" x14ac:dyDescent="0.3">
      <c r="A201" s="20" t="s">
        <v>37</v>
      </c>
      <c r="B201" s="27" t="s">
        <v>152</v>
      </c>
      <c r="C201" s="58" t="s">
        <v>153</v>
      </c>
      <c r="D201" s="59"/>
      <c r="E201" s="16">
        <v>0</v>
      </c>
      <c r="F201" s="16">
        <v>0</v>
      </c>
      <c r="G201" s="16">
        <v>1</v>
      </c>
      <c r="H201" s="16">
        <v>0</v>
      </c>
      <c r="I201" s="16">
        <v>2</v>
      </c>
      <c r="J201" s="16">
        <v>0</v>
      </c>
      <c r="K201" s="16">
        <v>2</v>
      </c>
      <c r="L201" s="16">
        <v>6</v>
      </c>
      <c r="M201" s="16">
        <v>2</v>
      </c>
      <c r="N201" s="16">
        <v>4</v>
      </c>
      <c r="O201" s="16">
        <v>2</v>
      </c>
      <c r="P201" s="16">
        <v>1</v>
      </c>
      <c r="Q201" s="16">
        <v>2</v>
      </c>
      <c r="R201" s="16">
        <v>0</v>
      </c>
      <c r="S201" s="16">
        <v>0</v>
      </c>
      <c r="T201" s="16">
        <v>1</v>
      </c>
      <c r="U201" s="16">
        <v>3</v>
      </c>
      <c r="V201" s="16">
        <v>2</v>
      </c>
      <c r="W201" s="16">
        <v>6</v>
      </c>
      <c r="X201" s="16">
        <v>2</v>
      </c>
      <c r="Y201" s="16">
        <v>2</v>
      </c>
      <c r="Z201" s="16">
        <v>6</v>
      </c>
      <c r="AA201" s="16">
        <v>2</v>
      </c>
      <c r="AB201" s="16">
        <v>0</v>
      </c>
      <c r="AC201" s="16">
        <v>7</v>
      </c>
      <c r="AD201" s="16">
        <v>6</v>
      </c>
      <c r="AE201" s="16">
        <v>1</v>
      </c>
      <c r="AF201" s="16">
        <v>2</v>
      </c>
      <c r="AG201" s="16">
        <v>0</v>
      </c>
      <c r="AH201" s="16">
        <v>1</v>
      </c>
      <c r="AI201" s="16">
        <v>5</v>
      </c>
      <c r="AJ201" s="16">
        <v>4</v>
      </c>
      <c r="AK201" s="16">
        <v>2</v>
      </c>
      <c r="AL201" s="16">
        <v>0</v>
      </c>
      <c r="AM201" s="16">
        <v>0</v>
      </c>
      <c r="AN201" s="16">
        <v>4</v>
      </c>
      <c r="AO201" s="16">
        <v>1</v>
      </c>
      <c r="AP201" s="16">
        <v>4</v>
      </c>
      <c r="AQ201" s="16">
        <v>2</v>
      </c>
      <c r="AR201" s="16">
        <v>3</v>
      </c>
      <c r="AS201" s="16">
        <v>2</v>
      </c>
      <c r="AT201" s="16">
        <v>6</v>
      </c>
      <c r="AU201" s="13">
        <f t="shared" ref="AU201:AU210" si="531">SUM(E201:AT201)</f>
        <v>96</v>
      </c>
      <c r="AV201" s="5"/>
      <c r="AW201" s="5"/>
    </row>
    <row r="202" spans="1:49" ht="12.75" customHeight="1" x14ac:dyDescent="0.3">
      <c r="A202" s="20" t="s">
        <v>39</v>
      </c>
      <c r="B202" s="34"/>
      <c r="C202" s="29" t="s">
        <v>154</v>
      </c>
      <c r="D202" s="36"/>
      <c r="E202" s="16">
        <v>0</v>
      </c>
      <c r="F202" s="16">
        <v>1</v>
      </c>
      <c r="G202" s="16">
        <v>0</v>
      </c>
      <c r="H202" s="16">
        <v>4</v>
      </c>
      <c r="I202" s="16">
        <v>3</v>
      </c>
      <c r="J202" s="16">
        <v>18</v>
      </c>
      <c r="K202" s="16">
        <v>2</v>
      </c>
      <c r="L202" s="16">
        <v>7</v>
      </c>
      <c r="M202" s="16">
        <v>5</v>
      </c>
      <c r="N202" s="16">
        <v>39</v>
      </c>
      <c r="O202" s="16">
        <v>40</v>
      </c>
      <c r="P202" s="16">
        <v>23</v>
      </c>
      <c r="Q202" s="16">
        <v>7</v>
      </c>
      <c r="R202" s="16">
        <v>5</v>
      </c>
      <c r="S202" s="16">
        <v>7</v>
      </c>
      <c r="T202" s="16">
        <v>6</v>
      </c>
      <c r="U202" s="16">
        <v>44</v>
      </c>
      <c r="V202" s="16">
        <v>12</v>
      </c>
      <c r="W202" s="16">
        <v>7</v>
      </c>
      <c r="X202" s="16">
        <v>10</v>
      </c>
      <c r="Y202" s="16">
        <v>34</v>
      </c>
      <c r="Z202" s="16">
        <v>64</v>
      </c>
      <c r="AA202" s="16">
        <v>14</v>
      </c>
      <c r="AB202" s="16">
        <v>8</v>
      </c>
      <c r="AC202" s="16">
        <v>20</v>
      </c>
      <c r="AD202" s="16">
        <v>121</v>
      </c>
      <c r="AE202" s="16">
        <v>40</v>
      </c>
      <c r="AF202" s="16">
        <v>2</v>
      </c>
      <c r="AG202" s="16">
        <v>13</v>
      </c>
      <c r="AH202" s="16">
        <v>2</v>
      </c>
      <c r="AI202" s="16">
        <v>15</v>
      </c>
      <c r="AJ202" s="16">
        <v>13</v>
      </c>
      <c r="AK202" s="16">
        <v>5</v>
      </c>
      <c r="AL202" s="16">
        <v>8</v>
      </c>
      <c r="AM202" s="16">
        <v>12</v>
      </c>
      <c r="AN202" s="16">
        <v>12</v>
      </c>
      <c r="AO202" s="16">
        <v>13</v>
      </c>
      <c r="AP202" s="16">
        <v>19</v>
      </c>
      <c r="AQ202" s="16">
        <v>12</v>
      </c>
      <c r="AR202" s="16">
        <v>10</v>
      </c>
      <c r="AS202" s="16">
        <v>3</v>
      </c>
      <c r="AT202" s="16">
        <v>27</v>
      </c>
      <c r="AU202" s="13">
        <f t="shared" si="531"/>
        <v>707</v>
      </c>
      <c r="AV202" s="5"/>
      <c r="AW202" s="5"/>
    </row>
    <row r="203" spans="1:49" ht="12.75" customHeight="1" x14ac:dyDescent="0.3">
      <c r="A203" s="15"/>
      <c r="B203" s="34"/>
      <c r="C203" s="29" t="s">
        <v>155</v>
      </c>
      <c r="D203" s="36"/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1</v>
      </c>
      <c r="K203" s="16">
        <v>0</v>
      </c>
      <c r="L203" s="16">
        <v>1</v>
      </c>
      <c r="M203" s="16">
        <v>0</v>
      </c>
      <c r="N203" s="16">
        <v>1</v>
      </c>
      <c r="O203" s="16">
        <v>0</v>
      </c>
      <c r="P203" s="16">
        <v>1</v>
      </c>
      <c r="Q203" s="16">
        <v>2</v>
      </c>
      <c r="R203" s="16">
        <v>1</v>
      </c>
      <c r="S203" s="16">
        <v>2</v>
      </c>
      <c r="T203" s="16">
        <v>0</v>
      </c>
      <c r="U203" s="16">
        <v>2</v>
      </c>
      <c r="V203" s="16">
        <v>0</v>
      </c>
      <c r="W203" s="16">
        <v>1</v>
      </c>
      <c r="X203" s="16">
        <v>1</v>
      </c>
      <c r="Y203" s="16">
        <v>1</v>
      </c>
      <c r="Z203" s="16">
        <v>1</v>
      </c>
      <c r="AA203" s="16">
        <v>0</v>
      </c>
      <c r="AB203" s="16">
        <v>0</v>
      </c>
      <c r="AC203" s="16">
        <v>0</v>
      </c>
      <c r="AD203" s="16">
        <v>1</v>
      </c>
      <c r="AE203" s="16">
        <v>0</v>
      </c>
      <c r="AF203" s="16">
        <v>1</v>
      </c>
      <c r="AG203" s="16">
        <v>2</v>
      </c>
      <c r="AH203" s="16">
        <v>0</v>
      </c>
      <c r="AI203" s="16">
        <v>0</v>
      </c>
      <c r="AJ203" s="16">
        <v>2</v>
      </c>
      <c r="AK203" s="16">
        <v>0</v>
      </c>
      <c r="AL203" s="16">
        <v>1</v>
      </c>
      <c r="AM203" s="16">
        <v>0</v>
      </c>
      <c r="AN203" s="16">
        <v>0</v>
      </c>
      <c r="AO203" s="16">
        <v>0</v>
      </c>
      <c r="AP203" s="16">
        <v>1</v>
      </c>
      <c r="AQ203" s="16">
        <v>1</v>
      </c>
      <c r="AR203" s="16">
        <v>0</v>
      </c>
      <c r="AS203" s="16">
        <v>1</v>
      </c>
      <c r="AT203" s="16">
        <v>1</v>
      </c>
      <c r="AU203" s="13">
        <f t="shared" si="531"/>
        <v>26</v>
      </c>
      <c r="AV203" s="5"/>
      <c r="AW203" s="5"/>
    </row>
    <row r="204" spans="1:49" ht="12.75" customHeight="1" x14ac:dyDescent="0.3">
      <c r="A204" s="15"/>
      <c r="B204" s="34"/>
      <c r="C204" s="29" t="s">
        <v>156</v>
      </c>
      <c r="D204" s="36"/>
      <c r="E204" s="16">
        <v>0</v>
      </c>
      <c r="F204" s="16">
        <v>0</v>
      </c>
      <c r="G204" s="16">
        <v>0</v>
      </c>
      <c r="H204" s="16">
        <v>0</v>
      </c>
      <c r="I204" s="16">
        <v>1</v>
      </c>
      <c r="J204" s="16">
        <v>0</v>
      </c>
      <c r="K204" s="16">
        <v>0</v>
      </c>
      <c r="L204" s="16">
        <v>1</v>
      </c>
      <c r="M204" s="16">
        <v>1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1</v>
      </c>
      <c r="U204" s="16">
        <v>0</v>
      </c>
      <c r="V204" s="16">
        <v>0</v>
      </c>
      <c r="W204" s="16">
        <v>1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1</v>
      </c>
      <c r="AE204" s="16">
        <v>0</v>
      </c>
      <c r="AF204" s="16">
        <v>0</v>
      </c>
      <c r="AG204" s="16">
        <v>0</v>
      </c>
      <c r="AH204" s="16">
        <v>0</v>
      </c>
      <c r="AI204" s="16">
        <v>1</v>
      </c>
      <c r="AJ204" s="16">
        <v>0</v>
      </c>
      <c r="AK204" s="16">
        <v>0</v>
      </c>
      <c r="AL204" s="16">
        <v>0</v>
      </c>
      <c r="AM204" s="16">
        <v>1</v>
      </c>
      <c r="AN204" s="16">
        <v>0</v>
      </c>
      <c r="AO204" s="16">
        <v>1</v>
      </c>
      <c r="AP204" s="16">
        <v>0</v>
      </c>
      <c r="AQ204" s="16">
        <v>0</v>
      </c>
      <c r="AR204" s="16">
        <v>0</v>
      </c>
      <c r="AS204" s="16">
        <v>0</v>
      </c>
      <c r="AT204" s="16">
        <v>1</v>
      </c>
      <c r="AU204" s="13">
        <f t="shared" si="531"/>
        <v>10</v>
      </c>
      <c r="AV204" s="5"/>
      <c r="AW204" s="5"/>
    </row>
    <row r="205" spans="1:49" ht="12.75" customHeight="1" x14ac:dyDescent="0.3">
      <c r="A205" s="15"/>
      <c r="B205" s="34"/>
      <c r="C205" s="29" t="s">
        <v>157</v>
      </c>
      <c r="D205" s="36"/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1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1</v>
      </c>
      <c r="AN205" s="16">
        <v>0</v>
      </c>
      <c r="AO205" s="16">
        <v>0</v>
      </c>
      <c r="AP205" s="16">
        <v>2</v>
      </c>
      <c r="AQ205" s="16">
        <v>0</v>
      </c>
      <c r="AR205" s="16">
        <v>1</v>
      </c>
      <c r="AS205" s="16">
        <v>0</v>
      </c>
      <c r="AT205" s="16">
        <v>0</v>
      </c>
      <c r="AU205" s="13">
        <f t="shared" si="531"/>
        <v>5</v>
      </c>
      <c r="AV205" s="5"/>
      <c r="AW205" s="5"/>
    </row>
    <row r="206" spans="1:49" ht="12.75" customHeight="1" x14ac:dyDescent="0.3">
      <c r="A206" s="15"/>
      <c r="B206" s="34"/>
      <c r="C206" s="29" t="s">
        <v>158</v>
      </c>
      <c r="D206" s="36"/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1</v>
      </c>
      <c r="W206" s="16">
        <v>0</v>
      </c>
      <c r="X206" s="16">
        <v>0</v>
      </c>
      <c r="Y206" s="16">
        <v>1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3">
        <f t="shared" si="531"/>
        <v>2</v>
      </c>
      <c r="AV206" s="5"/>
      <c r="AW206" s="5"/>
    </row>
    <row r="207" spans="1:49" ht="12.75" customHeight="1" x14ac:dyDescent="0.3">
      <c r="A207" s="15"/>
      <c r="B207" s="34"/>
      <c r="C207" s="29" t="s">
        <v>159</v>
      </c>
      <c r="D207" s="36"/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1</v>
      </c>
      <c r="M207" s="16">
        <v>0</v>
      </c>
      <c r="N207" s="16">
        <v>0</v>
      </c>
      <c r="O207" s="16">
        <v>1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1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1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  <c r="AI207" s="16">
        <v>0</v>
      </c>
      <c r="AJ207" s="16">
        <v>1</v>
      </c>
      <c r="AK207" s="16">
        <v>0</v>
      </c>
      <c r="AL207" s="16">
        <v>0</v>
      </c>
      <c r="AM207" s="16">
        <v>0</v>
      </c>
      <c r="AN207" s="16">
        <v>1</v>
      </c>
      <c r="AO207" s="16">
        <v>1</v>
      </c>
      <c r="AP207" s="16">
        <v>0</v>
      </c>
      <c r="AQ207" s="16">
        <v>3</v>
      </c>
      <c r="AR207" s="16">
        <v>1</v>
      </c>
      <c r="AS207" s="16">
        <v>0</v>
      </c>
      <c r="AT207" s="16">
        <v>0</v>
      </c>
      <c r="AU207" s="13">
        <f t="shared" si="531"/>
        <v>11</v>
      </c>
      <c r="AV207" s="1"/>
      <c r="AW207" s="1"/>
    </row>
    <row r="208" spans="1:49" ht="12.75" customHeight="1" x14ac:dyDescent="0.3">
      <c r="A208" s="15"/>
      <c r="B208" s="34"/>
      <c r="C208" s="29" t="s">
        <v>160</v>
      </c>
      <c r="D208" s="36"/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1</v>
      </c>
      <c r="O208" s="16">
        <v>1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1</v>
      </c>
      <c r="V208" s="16">
        <v>0</v>
      </c>
      <c r="W208" s="16">
        <v>1</v>
      </c>
      <c r="X208" s="16">
        <v>0</v>
      </c>
      <c r="Y208" s="16">
        <v>1</v>
      </c>
      <c r="Z208" s="16">
        <v>1</v>
      </c>
      <c r="AA208" s="16">
        <v>0</v>
      </c>
      <c r="AB208" s="16">
        <v>1</v>
      </c>
      <c r="AC208" s="16">
        <v>1</v>
      </c>
      <c r="AD208" s="16">
        <v>1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1</v>
      </c>
      <c r="AN208" s="16">
        <v>0</v>
      </c>
      <c r="AO208" s="16">
        <v>0</v>
      </c>
      <c r="AP208" s="16">
        <v>0</v>
      </c>
      <c r="AQ208" s="16">
        <v>0</v>
      </c>
      <c r="AR208" s="16">
        <v>1</v>
      </c>
      <c r="AS208" s="16">
        <v>0</v>
      </c>
      <c r="AT208" s="16">
        <v>0</v>
      </c>
      <c r="AU208" s="13">
        <f t="shared" si="531"/>
        <v>11</v>
      </c>
      <c r="AV208" s="31"/>
      <c r="AW208" s="31"/>
    </row>
    <row r="209" spans="1:49" ht="12.75" customHeight="1" x14ac:dyDescent="0.3">
      <c r="A209" s="15"/>
      <c r="B209" s="34"/>
      <c r="C209" s="29" t="s">
        <v>161</v>
      </c>
      <c r="D209" s="36"/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1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1</v>
      </c>
      <c r="W209" s="16">
        <v>0</v>
      </c>
      <c r="X209" s="16">
        <v>1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  <c r="AI209" s="16">
        <v>0</v>
      </c>
      <c r="AJ209" s="16">
        <v>0</v>
      </c>
      <c r="AK209" s="16">
        <v>0</v>
      </c>
      <c r="AL209" s="16">
        <v>0</v>
      </c>
      <c r="AM209" s="16">
        <v>0</v>
      </c>
      <c r="AN209" s="16">
        <v>0</v>
      </c>
      <c r="AO209" s="16">
        <v>0</v>
      </c>
      <c r="AP209" s="16">
        <v>0</v>
      </c>
      <c r="AQ209" s="16">
        <v>0</v>
      </c>
      <c r="AR209" s="16">
        <v>1</v>
      </c>
      <c r="AS209" s="16">
        <v>0</v>
      </c>
      <c r="AT209" s="16">
        <v>0</v>
      </c>
      <c r="AU209" s="13">
        <f t="shared" si="531"/>
        <v>4</v>
      </c>
      <c r="AV209" s="31"/>
      <c r="AW209" s="31"/>
    </row>
    <row r="210" spans="1:49" ht="12.75" customHeight="1" x14ac:dyDescent="0.3">
      <c r="A210" s="15"/>
      <c r="B210" s="34"/>
      <c r="C210" s="29" t="s">
        <v>162</v>
      </c>
      <c r="D210" s="36"/>
      <c r="E210" s="16">
        <v>0</v>
      </c>
      <c r="F210" s="16">
        <v>0</v>
      </c>
      <c r="G210" s="16">
        <v>1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2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1</v>
      </c>
      <c r="Y210" s="16">
        <v>1</v>
      </c>
      <c r="Z210" s="16">
        <v>0</v>
      </c>
      <c r="AA210" s="16">
        <v>0</v>
      </c>
      <c r="AB210" s="16">
        <v>0</v>
      </c>
      <c r="AC210" s="16">
        <v>1</v>
      </c>
      <c r="AD210" s="16">
        <v>0</v>
      </c>
      <c r="AE210" s="16">
        <v>1</v>
      </c>
      <c r="AF210" s="16">
        <v>0</v>
      </c>
      <c r="AG210" s="16">
        <v>1</v>
      </c>
      <c r="AH210" s="16">
        <v>0</v>
      </c>
      <c r="AI210" s="16">
        <v>1</v>
      </c>
      <c r="AJ210" s="16">
        <v>0</v>
      </c>
      <c r="AK210" s="16">
        <v>0</v>
      </c>
      <c r="AL210" s="16">
        <v>1</v>
      </c>
      <c r="AM210" s="16">
        <v>0</v>
      </c>
      <c r="AN210" s="16">
        <v>0</v>
      </c>
      <c r="AO210" s="16">
        <v>0</v>
      </c>
      <c r="AP210" s="16">
        <v>1</v>
      </c>
      <c r="AQ210" s="16">
        <v>0</v>
      </c>
      <c r="AR210" s="16">
        <v>2</v>
      </c>
      <c r="AS210" s="16">
        <v>0</v>
      </c>
      <c r="AT210" s="16">
        <v>0</v>
      </c>
      <c r="AU210" s="13">
        <f t="shared" si="531"/>
        <v>13</v>
      </c>
      <c r="AV210" s="31"/>
      <c r="AW210" s="31"/>
    </row>
    <row r="211" spans="1:49" ht="12.75" customHeight="1" x14ac:dyDescent="0.3">
      <c r="A211" s="16" t="s">
        <v>15</v>
      </c>
      <c r="B211" s="60" t="s">
        <v>49</v>
      </c>
      <c r="C211" s="61"/>
      <c r="D211" s="59"/>
      <c r="E211" s="13">
        <f>SUM(E201:E210)</f>
        <v>0</v>
      </c>
      <c r="F211" s="13">
        <f t="shared" ref="F211" si="532">SUM(F201:F210)</f>
        <v>1</v>
      </c>
      <c r="G211" s="13">
        <f t="shared" ref="G211" si="533">SUM(G201:G210)</f>
        <v>2</v>
      </c>
      <c r="H211" s="13">
        <f t="shared" ref="H211" si="534">SUM(H201:H210)</f>
        <v>4</v>
      </c>
      <c r="I211" s="13">
        <f t="shared" ref="I211" si="535">SUM(I201:I210)</f>
        <v>6</v>
      </c>
      <c r="J211" s="13">
        <f t="shared" ref="J211" si="536">SUM(J201:J210)</f>
        <v>19</v>
      </c>
      <c r="K211" s="13">
        <f t="shared" ref="K211" si="537">SUM(K201:K210)</f>
        <v>4</v>
      </c>
      <c r="L211" s="13">
        <f t="shared" ref="L211" si="538">SUM(L201:L210)</f>
        <v>16</v>
      </c>
      <c r="M211" s="13">
        <f t="shared" ref="M211" si="539">SUM(M201:M210)</f>
        <v>9</v>
      </c>
      <c r="N211" s="13">
        <f t="shared" ref="N211" si="540">SUM(N201:N210)</f>
        <v>46</v>
      </c>
      <c r="O211" s="13">
        <f t="shared" ref="O211" si="541">SUM(O201:O210)</f>
        <v>44</v>
      </c>
      <c r="P211" s="13">
        <f t="shared" ref="P211" si="542">SUM(P201:P210)</f>
        <v>25</v>
      </c>
      <c r="Q211" s="13">
        <f t="shared" ref="Q211" si="543">SUM(Q201:Q210)</f>
        <v>11</v>
      </c>
      <c r="R211" s="13">
        <f t="shared" ref="R211" si="544">SUM(R201:R210)</f>
        <v>8</v>
      </c>
      <c r="S211" s="13">
        <f t="shared" ref="S211" si="545">SUM(S201:S210)</f>
        <v>9</v>
      </c>
      <c r="T211" s="13">
        <f t="shared" ref="T211" si="546">SUM(T201:T210)</f>
        <v>8</v>
      </c>
      <c r="U211" s="13">
        <f t="shared" ref="U211" si="547">SUM(U201:U210)</f>
        <v>50</v>
      </c>
      <c r="V211" s="13">
        <f t="shared" ref="V211" si="548">SUM(V201:V210)</f>
        <v>16</v>
      </c>
      <c r="W211" s="13">
        <f t="shared" ref="W211" si="549">SUM(W201:W210)</f>
        <v>17</v>
      </c>
      <c r="X211" s="13">
        <f t="shared" ref="X211" si="550">SUM(X201:X210)</f>
        <v>15</v>
      </c>
      <c r="Y211" s="13">
        <f t="shared" ref="Y211" si="551">SUM(Y201:Y210)</f>
        <v>40</v>
      </c>
      <c r="Z211" s="13">
        <f t="shared" ref="Z211" si="552">SUM(Z201:Z210)</f>
        <v>72</v>
      </c>
      <c r="AA211" s="13">
        <f t="shared" ref="AA211" si="553">SUM(AA201:AA210)</f>
        <v>16</v>
      </c>
      <c r="AB211" s="13">
        <f t="shared" ref="AB211" si="554">SUM(AB201:AB210)</f>
        <v>9</v>
      </c>
      <c r="AC211" s="13">
        <f t="shared" ref="AC211" si="555">SUM(AC201:AC210)</f>
        <v>30</v>
      </c>
      <c r="AD211" s="13">
        <f t="shared" ref="AD211" si="556">SUM(AD201:AD210)</f>
        <v>130</v>
      </c>
      <c r="AE211" s="13">
        <f t="shared" ref="AE211" si="557">SUM(AE201:AE210)</f>
        <v>42</v>
      </c>
      <c r="AF211" s="13">
        <f t="shared" ref="AF211" si="558">SUM(AF201:AF210)</f>
        <v>5</v>
      </c>
      <c r="AG211" s="13">
        <f t="shared" ref="AG211" si="559">SUM(AG201:AG210)</f>
        <v>16</v>
      </c>
      <c r="AH211" s="13">
        <f t="shared" ref="AH211" si="560">SUM(AH201:AH210)</f>
        <v>3</v>
      </c>
      <c r="AI211" s="13">
        <f t="shared" ref="AI211" si="561">SUM(AI201:AI210)</f>
        <v>22</v>
      </c>
      <c r="AJ211" s="13">
        <f t="shared" ref="AJ211" si="562">SUM(AJ201:AJ210)</f>
        <v>20</v>
      </c>
      <c r="AK211" s="13">
        <f t="shared" ref="AK211" si="563">SUM(AK201:AK210)</f>
        <v>7</v>
      </c>
      <c r="AL211" s="13">
        <f t="shared" ref="AL211" si="564">SUM(AL201:AL210)</f>
        <v>10</v>
      </c>
      <c r="AM211" s="13">
        <f t="shared" ref="AM211" si="565">SUM(AM201:AM210)</f>
        <v>15</v>
      </c>
      <c r="AN211" s="13">
        <f t="shared" ref="AN211" si="566">SUM(AN201:AN210)</f>
        <v>17</v>
      </c>
      <c r="AO211" s="13">
        <f t="shared" ref="AO211" si="567">SUM(AO201:AO210)</f>
        <v>16</v>
      </c>
      <c r="AP211" s="13">
        <f t="shared" ref="AP211" si="568">SUM(AP201:AP210)</f>
        <v>27</v>
      </c>
      <c r="AQ211" s="13">
        <f t="shared" ref="AQ211" si="569">SUM(AQ201:AQ210)</f>
        <v>18</v>
      </c>
      <c r="AR211" s="13">
        <f t="shared" ref="AR211" si="570">SUM(AR201:AR210)</f>
        <v>19</v>
      </c>
      <c r="AS211" s="13">
        <f t="shared" ref="AS211" si="571">SUM(AS201:AS210)</f>
        <v>6</v>
      </c>
      <c r="AT211" s="13">
        <f t="shared" ref="AT211" si="572">SUM(AT201:AT210)</f>
        <v>35</v>
      </c>
      <c r="AU211" s="13">
        <f t="shared" ref="AU211" si="573">SUM(AU201:AU210)</f>
        <v>885</v>
      </c>
      <c r="AV211" s="5"/>
      <c r="AW211" s="5"/>
    </row>
    <row r="212" spans="1:49" ht="12.75" customHeight="1" x14ac:dyDescent="0.3">
      <c r="A212" s="62"/>
      <c r="B212" s="61"/>
      <c r="C212" s="61"/>
      <c r="D212" s="61"/>
      <c r="E212" s="59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"/>
      <c r="AW212" s="5"/>
    </row>
    <row r="213" spans="1:49" ht="12.75" customHeight="1" x14ac:dyDescent="0.3">
      <c r="A213" s="20" t="s">
        <v>37</v>
      </c>
      <c r="B213" s="27" t="s">
        <v>163</v>
      </c>
      <c r="C213" s="58" t="s">
        <v>164</v>
      </c>
      <c r="D213" s="59"/>
      <c r="E213" s="16">
        <v>0</v>
      </c>
      <c r="F213" s="16">
        <v>1</v>
      </c>
      <c r="G213" s="16">
        <v>1</v>
      </c>
      <c r="H213" s="16">
        <v>0</v>
      </c>
      <c r="I213" s="16">
        <v>0</v>
      </c>
      <c r="J213" s="16">
        <v>2</v>
      </c>
      <c r="K213" s="16">
        <v>1</v>
      </c>
      <c r="L213" s="16">
        <v>2</v>
      </c>
      <c r="M213" s="16">
        <v>1</v>
      </c>
      <c r="N213" s="16">
        <v>1</v>
      </c>
      <c r="O213" s="16">
        <v>0</v>
      </c>
      <c r="P213" s="16">
        <v>1</v>
      </c>
      <c r="Q213" s="16">
        <v>0</v>
      </c>
      <c r="R213" s="16">
        <v>0</v>
      </c>
      <c r="S213" s="16">
        <v>1</v>
      </c>
      <c r="T213" s="16">
        <v>2</v>
      </c>
      <c r="U213" s="16">
        <v>1</v>
      </c>
      <c r="V213" s="16">
        <v>0</v>
      </c>
      <c r="W213" s="16">
        <v>1</v>
      </c>
      <c r="X213" s="16">
        <v>0</v>
      </c>
      <c r="Y213" s="16">
        <v>1</v>
      </c>
      <c r="Z213" s="16">
        <v>1</v>
      </c>
      <c r="AA213" s="16">
        <v>0</v>
      </c>
      <c r="AB213" s="16">
        <v>0</v>
      </c>
      <c r="AC213" s="16">
        <v>3</v>
      </c>
      <c r="AD213" s="16">
        <v>1</v>
      </c>
      <c r="AE213" s="16">
        <v>0</v>
      </c>
      <c r="AF213" s="16">
        <v>2</v>
      </c>
      <c r="AG213" s="16">
        <v>2</v>
      </c>
      <c r="AH213" s="16">
        <v>0</v>
      </c>
      <c r="AI213" s="16">
        <v>1</v>
      </c>
      <c r="AJ213" s="16">
        <v>2</v>
      </c>
      <c r="AK213" s="16">
        <v>1</v>
      </c>
      <c r="AL213" s="16">
        <v>0</v>
      </c>
      <c r="AM213" s="16">
        <v>0</v>
      </c>
      <c r="AN213" s="16">
        <v>1</v>
      </c>
      <c r="AO213" s="16">
        <v>1</v>
      </c>
      <c r="AP213" s="16">
        <v>1</v>
      </c>
      <c r="AQ213" s="16">
        <v>0</v>
      </c>
      <c r="AR213" s="16">
        <v>3</v>
      </c>
      <c r="AS213" s="16">
        <v>3</v>
      </c>
      <c r="AT213" s="16">
        <v>0</v>
      </c>
      <c r="AU213" s="13">
        <f t="shared" ref="AU213:AU216" si="574">SUM(E213:AT213)</f>
        <v>38</v>
      </c>
      <c r="AV213" s="5"/>
      <c r="AW213" s="5"/>
    </row>
    <row r="214" spans="1:49" ht="12.75" customHeight="1" x14ac:dyDescent="0.3">
      <c r="A214" s="20" t="s">
        <v>39</v>
      </c>
      <c r="B214" s="34"/>
      <c r="C214" s="29" t="s">
        <v>165</v>
      </c>
      <c r="D214" s="35"/>
      <c r="E214" s="16">
        <v>0</v>
      </c>
      <c r="F214" s="16">
        <v>1</v>
      </c>
      <c r="G214" s="16">
        <v>0</v>
      </c>
      <c r="H214" s="16">
        <v>0</v>
      </c>
      <c r="I214" s="16">
        <v>1</v>
      </c>
      <c r="J214" s="16">
        <v>0</v>
      </c>
      <c r="K214" s="16">
        <v>0</v>
      </c>
      <c r="L214" s="16">
        <v>1</v>
      </c>
      <c r="M214" s="16">
        <v>0</v>
      </c>
      <c r="N214" s="16">
        <v>0</v>
      </c>
      <c r="O214" s="16">
        <v>0</v>
      </c>
      <c r="P214" s="16">
        <v>2</v>
      </c>
      <c r="Q214" s="16">
        <v>0</v>
      </c>
      <c r="R214" s="16">
        <v>0</v>
      </c>
      <c r="S214" s="16">
        <v>0</v>
      </c>
      <c r="T214" s="16">
        <v>0</v>
      </c>
      <c r="U214" s="16">
        <v>1</v>
      </c>
      <c r="V214" s="16">
        <v>0</v>
      </c>
      <c r="W214" s="16">
        <v>0</v>
      </c>
      <c r="X214" s="16">
        <v>1</v>
      </c>
      <c r="Y214" s="16">
        <v>0</v>
      </c>
      <c r="Z214" s="16">
        <v>0</v>
      </c>
      <c r="AA214" s="16">
        <v>1</v>
      </c>
      <c r="AB214" s="16">
        <v>1</v>
      </c>
      <c r="AC214" s="16">
        <v>1</v>
      </c>
      <c r="AD214" s="16">
        <v>1</v>
      </c>
      <c r="AE214" s="16">
        <v>1</v>
      </c>
      <c r="AF214" s="16">
        <v>0</v>
      </c>
      <c r="AG214" s="16">
        <v>2</v>
      </c>
      <c r="AH214" s="16">
        <v>1</v>
      </c>
      <c r="AI214" s="16">
        <v>4</v>
      </c>
      <c r="AJ214" s="16">
        <v>0</v>
      </c>
      <c r="AK214" s="16">
        <v>0</v>
      </c>
      <c r="AL214" s="16">
        <v>0</v>
      </c>
      <c r="AM214" s="16">
        <v>0</v>
      </c>
      <c r="AN214" s="16">
        <v>1</v>
      </c>
      <c r="AO214" s="16">
        <v>0</v>
      </c>
      <c r="AP214" s="16">
        <v>0</v>
      </c>
      <c r="AQ214" s="16">
        <v>0</v>
      </c>
      <c r="AR214" s="16">
        <v>1</v>
      </c>
      <c r="AS214" s="16">
        <v>0</v>
      </c>
      <c r="AT214" s="16">
        <v>0</v>
      </c>
      <c r="AU214" s="13">
        <f t="shared" si="574"/>
        <v>21</v>
      </c>
      <c r="AV214" s="5"/>
      <c r="AW214" s="5"/>
    </row>
    <row r="215" spans="1:49" ht="12.75" customHeight="1" x14ac:dyDescent="0.3">
      <c r="A215" s="15"/>
      <c r="B215" s="34"/>
      <c r="C215" s="29" t="s">
        <v>166</v>
      </c>
      <c r="D215" s="35"/>
      <c r="E215" s="16">
        <v>0</v>
      </c>
      <c r="F215" s="16">
        <v>0</v>
      </c>
      <c r="G215" s="16">
        <v>0</v>
      </c>
      <c r="H215" s="16">
        <v>0</v>
      </c>
      <c r="I215" s="16">
        <v>2</v>
      </c>
      <c r="J215" s="16">
        <v>0</v>
      </c>
      <c r="K215" s="16">
        <v>0</v>
      </c>
      <c r="L215" s="16">
        <v>1</v>
      </c>
      <c r="M215" s="16">
        <v>2</v>
      </c>
      <c r="N215" s="16">
        <v>1</v>
      </c>
      <c r="O215" s="16">
        <v>0</v>
      </c>
      <c r="P215" s="16">
        <v>1</v>
      </c>
      <c r="Q215" s="16">
        <v>1</v>
      </c>
      <c r="R215" s="16">
        <v>1</v>
      </c>
      <c r="S215" s="16">
        <v>0</v>
      </c>
      <c r="T215" s="16">
        <v>2</v>
      </c>
      <c r="U215" s="16">
        <v>0</v>
      </c>
      <c r="V215" s="16">
        <v>1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1</v>
      </c>
      <c r="AC215" s="16">
        <v>0</v>
      </c>
      <c r="AD215" s="16">
        <v>1</v>
      </c>
      <c r="AE215" s="16">
        <v>1</v>
      </c>
      <c r="AF215" s="16">
        <v>0</v>
      </c>
      <c r="AG215" s="16">
        <v>2</v>
      </c>
      <c r="AH215" s="16">
        <v>2</v>
      </c>
      <c r="AI215" s="16">
        <v>0</v>
      </c>
      <c r="AJ215" s="16">
        <v>0</v>
      </c>
      <c r="AK215" s="16">
        <v>2</v>
      </c>
      <c r="AL215" s="16">
        <v>0</v>
      </c>
      <c r="AM215" s="16">
        <v>3</v>
      </c>
      <c r="AN215" s="16">
        <v>1</v>
      </c>
      <c r="AO215" s="16">
        <v>1</v>
      </c>
      <c r="AP215" s="16">
        <v>0</v>
      </c>
      <c r="AQ215" s="16">
        <v>3</v>
      </c>
      <c r="AR215" s="16">
        <v>0</v>
      </c>
      <c r="AS215" s="16">
        <v>2</v>
      </c>
      <c r="AT215" s="16">
        <v>1</v>
      </c>
      <c r="AU215" s="13">
        <f t="shared" si="574"/>
        <v>32</v>
      </c>
      <c r="AV215" s="5"/>
      <c r="AW215" s="5"/>
    </row>
    <row r="216" spans="1:49" ht="12.75" customHeight="1" x14ac:dyDescent="0.3">
      <c r="A216" s="15"/>
      <c r="B216" s="34"/>
      <c r="C216" s="29" t="s">
        <v>167</v>
      </c>
      <c r="D216" s="45"/>
      <c r="E216" s="16">
        <v>0</v>
      </c>
      <c r="F216" s="16">
        <v>0</v>
      </c>
      <c r="G216" s="16">
        <v>0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1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2</v>
      </c>
      <c r="AM216" s="16">
        <v>2</v>
      </c>
      <c r="AN216" s="16">
        <v>0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3">
        <f t="shared" si="574"/>
        <v>5</v>
      </c>
      <c r="AV216" s="5"/>
      <c r="AW216" s="5"/>
    </row>
    <row r="217" spans="1:49" ht="12.75" customHeight="1" x14ac:dyDescent="0.3">
      <c r="A217" s="15"/>
      <c r="B217" s="37"/>
      <c r="C217" s="38"/>
      <c r="D217" s="4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56"/>
      <c r="AV217" s="5"/>
      <c r="AW217" s="5"/>
    </row>
    <row r="218" spans="1:49" ht="12.75" customHeight="1" x14ac:dyDescent="0.3">
      <c r="A218" s="15"/>
      <c r="B218" s="37"/>
      <c r="C218" s="38"/>
      <c r="D218" s="4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56"/>
      <c r="AV218" s="1"/>
      <c r="AW218" s="1"/>
    </row>
    <row r="219" spans="1:49" ht="12.75" customHeight="1" x14ac:dyDescent="0.3">
      <c r="A219" s="15"/>
      <c r="B219" s="37"/>
      <c r="C219" s="38"/>
      <c r="D219" s="4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56"/>
      <c r="AV219" s="31"/>
      <c r="AW219" s="31"/>
    </row>
    <row r="220" spans="1:49" ht="12.75" customHeight="1" x14ac:dyDescent="0.3">
      <c r="A220" s="15"/>
      <c r="B220" s="37"/>
      <c r="C220" s="38"/>
      <c r="D220" s="4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56"/>
      <c r="AV220" s="5"/>
      <c r="AW220" s="5"/>
    </row>
    <row r="221" spans="1:49" ht="12.75" customHeight="1" x14ac:dyDescent="0.3">
      <c r="A221" s="15"/>
      <c r="B221" s="37"/>
      <c r="C221" s="38"/>
      <c r="D221" s="4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56"/>
      <c r="AV221" s="5"/>
      <c r="AW221" s="5"/>
    </row>
    <row r="222" spans="1:49" ht="12.75" customHeight="1" x14ac:dyDescent="0.3">
      <c r="A222" s="15"/>
      <c r="B222" s="37"/>
      <c r="C222" s="38"/>
      <c r="D222" s="4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56"/>
      <c r="AV222" s="5"/>
      <c r="AW222" s="5"/>
    </row>
    <row r="223" spans="1:49" ht="12.75" customHeight="1" x14ac:dyDescent="0.3">
      <c r="A223" s="16" t="s">
        <v>15</v>
      </c>
      <c r="B223" s="60" t="s">
        <v>49</v>
      </c>
      <c r="C223" s="61"/>
      <c r="D223" s="59"/>
      <c r="E223" s="13">
        <f>SUM(E213:E222)</f>
        <v>0</v>
      </c>
      <c r="F223" s="13">
        <f t="shared" ref="F223" si="575">SUM(F213:F222)</f>
        <v>2</v>
      </c>
      <c r="G223" s="13">
        <f t="shared" ref="G223" si="576">SUM(G213:G222)</f>
        <v>1</v>
      </c>
      <c r="H223" s="13">
        <f t="shared" ref="H223" si="577">SUM(H213:H222)</f>
        <v>0</v>
      </c>
      <c r="I223" s="13">
        <f t="shared" ref="I223" si="578">SUM(I213:I222)</f>
        <v>3</v>
      </c>
      <c r="J223" s="13">
        <f t="shared" ref="J223" si="579">SUM(J213:J222)</f>
        <v>2</v>
      </c>
      <c r="K223" s="13">
        <f t="shared" ref="K223" si="580">SUM(K213:K222)</f>
        <v>1</v>
      </c>
      <c r="L223" s="13">
        <f t="shared" ref="L223" si="581">SUM(L213:L222)</f>
        <v>4</v>
      </c>
      <c r="M223" s="13">
        <f t="shared" ref="M223" si="582">SUM(M213:M222)</f>
        <v>3</v>
      </c>
      <c r="N223" s="13">
        <f t="shared" ref="N223" si="583">SUM(N213:N222)</f>
        <v>2</v>
      </c>
      <c r="O223" s="13">
        <f t="shared" ref="O223" si="584">SUM(O213:O222)</f>
        <v>0</v>
      </c>
      <c r="P223" s="13">
        <f t="shared" ref="P223" si="585">SUM(P213:P222)</f>
        <v>4</v>
      </c>
      <c r="Q223" s="13">
        <f t="shared" ref="Q223" si="586">SUM(Q213:Q222)</f>
        <v>1</v>
      </c>
      <c r="R223" s="13">
        <f t="shared" ref="R223" si="587">SUM(R213:R222)</f>
        <v>1</v>
      </c>
      <c r="S223" s="13">
        <f t="shared" ref="S223" si="588">SUM(S213:S222)</f>
        <v>1</v>
      </c>
      <c r="T223" s="13">
        <f t="shared" ref="T223" si="589">SUM(T213:T222)</f>
        <v>4</v>
      </c>
      <c r="U223" s="13">
        <f t="shared" ref="U223" si="590">SUM(U213:U222)</f>
        <v>2</v>
      </c>
      <c r="V223" s="13">
        <f t="shared" ref="V223" si="591">SUM(V213:V222)</f>
        <v>1</v>
      </c>
      <c r="W223" s="13">
        <f t="shared" ref="W223" si="592">SUM(W213:W222)</f>
        <v>1</v>
      </c>
      <c r="X223" s="13">
        <f t="shared" ref="X223" si="593">SUM(X213:X222)</f>
        <v>1</v>
      </c>
      <c r="Y223" s="13">
        <f t="shared" ref="Y223" si="594">SUM(Y213:Y222)</f>
        <v>1</v>
      </c>
      <c r="Z223" s="13">
        <f t="shared" ref="Z223" si="595">SUM(Z213:Z222)</f>
        <v>1</v>
      </c>
      <c r="AA223" s="13">
        <f t="shared" ref="AA223" si="596">SUM(AA213:AA222)</f>
        <v>1</v>
      </c>
      <c r="AB223" s="13">
        <f t="shared" ref="AB223" si="597">SUM(AB213:AB222)</f>
        <v>2</v>
      </c>
      <c r="AC223" s="13">
        <f t="shared" ref="AC223" si="598">SUM(AC213:AC222)</f>
        <v>4</v>
      </c>
      <c r="AD223" s="13">
        <f t="shared" ref="AD223" si="599">SUM(AD213:AD222)</f>
        <v>3</v>
      </c>
      <c r="AE223" s="13">
        <f t="shared" ref="AE223" si="600">SUM(AE213:AE222)</f>
        <v>3</v>
      </c>
      <c r="AF223" s="13">
        <f t="shared" ref="AF223" si="601">SUM(AF213:AF222)</f>
        <v>2</v>
      </c>
      <c r="AG223" s="13">
        <f t="shared" ref="AG223" si="602">SUM(AG213:AG222)</f>
        <v>6</v>
      </c>
      <c r="AH223" s="13">
        <f t="shared" ref="AH223" si="603">SUM(AH213:AH222)</f>
        <v>3</v>
      </c>
      <c r="AI223" s="13">
        <f t="shared" ref="AI223" si="604">SUM(AI213:AI222)</f>
        <v>5</v>
      </c>
      <c r="AJ223" s="13">
        <f t="shared" ref="AJ223" si="605">SUM(AJ213:AJ222)</f>
        <v>2</v>
      </c>
      <c r="AK223" s="13">
        <f t="shared" ref="AK223" si="606">SUM(AK213:AK222)</f>
        <v>3</v>
      </c>
      <c r="AL223" s="13">
        <f t="shared" ref="AL223" si="607">SUM(AL213:AL222)</f>
        <v>2</v>
      </c>
      <c r="AM223" s="13">
        <f t="shared" ref="AM223" si="608">SUM(AM213:AM222)</f>
        <v>5</v>
      </c>
      <c r="AN223" s="13">
        <f t="shared" ref="AN223" si="609">SUM(AN213:AN222)</f>
        <v>3</v>
      </c>
      <c r="AO223" s="13">
        <f t="shared" ref="AO223" si="610">SUM(AO213:AO222)</f>
        <v>2</v>
      </c>
      <c r="AP223" s="13">
        <f t="shared" ref="AP223" si="611">SUM(AP213:AP222)</f>
        <v>1</v>
      </c>
      <c r="AQ223" s="13">
        <f t="shared" ref="AQ223" si="612">SUM(AQ213:AQ222)</f>
        <v>3</v>
      </c>
      <c r="AR223" s="13">
        <f t="shared" ref="AR223" si="613">SUM(AR213:AR222)</f>
        <v>4</v>
      </c>
      <c r="AS223" s="13">
        <f t="shared" ref="AS223" si="614">SUM(AS213:AS222)</f>
        <v>5</v>
      </c>
      <c r="AT223" s="13">
        <f t="shared" ref="AT223" si="615">SUM(AT213:AT222)</f>
        <v>1</v>
      </c>
      <c r="AU223" s="13">
        <f t="shared" ref="AU223" si="616">SUM(AU213:AU222)</f>
        <v>96</v>
      </c>
      <c r="AV223" s="5"/>
      <c r="AW223" s="5"/>
    </row>
    <row r="224" spans="1:49" ht="12.75" customHeight="1" x14ac:dyDescent="0.3">
      <c r="A224" s="62"/>
      <c r="B224" s="61"/>
      <c r="C224" s="61"/>
      <c r="D224" s="61"/>
      <c r="E224" s="59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"/>
      <c r="AW224" s="5"/>
    </row>
    <row r="225" spans="1:49" ht="12.75" customHeight="1" x14ac:dyDescent="0.3">
      <c r="A225" s="20" t="s">
        <v>37</v>
      </c>
      <c r="B225" s="27" t="s">
        <v>168</v>
      </c>
      <c r="C225" s="58" t="s">
        <v>169</v>
      </c>
      <c r="D225" s="59"/>
      <c r="E225" s="16">
        <v>0</v>
      </c>
      <c r="F225" s="16">
        <v>0</v>
      </c>
      <c r="G225" s="16">
        <v>1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0</v>
      </c>
      <c r="O225" s="16">
        <v>0</v>
      </c>
      <c r="P225" s="16">
        <v>1</v>
      </c>
      <c r="Q225" s="16">
        <v>0</v>
      </c>
      <c r="R225" s="16">
        <v>0</v>
      </c>
      <c r="S225" s="16">
        <v>0</v>
      </c>
      <c r="T225" s="16">
        <v>0</v>
      </c>
      <c r="U225" s="16">
        <v>1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0</v>
      </c>
      <c r="AH225" s="16">
        <v>0</v>
      </c>
      <c r="AI225" s="16">
        <v>0</v>
      </c>
      <c r="AJ225" s="16">
        <v>0</v>
      </c>
      <c r="AK225" s="16">
        <v>0</v>
      </c>
      <c r="AL225" s="16">
        <v>0</v>
      </c>
      <c r="AM225" s="16">
        <v>1</v>
      </c>
      <c r="AN225" s="16">
        <v>0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3">
        <f t="shared" ref="AU225:AU229" si="617">SUM(E225:AT225)</f>
        <v>4</v>
      </c>
      <c r="AV225" s="5"/>
      <c r="AW225" s="5"/>
    </row>
    <row r="226" spans="1:49" ht="12.75" customHeight="1" x14ac:dyDescent="0.3">
      <c r="A226" s="20" t="s">
        <v>39</v>
      </c>
      <c r="B226" s="34"/>
      <c r="C226" s="29" t="s">
        <v>170</v>
      </c>
      <c r="D226" s="36"/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1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7</v>
      </c>
      <c r="AI226" s="16">
        <v>0</v>
      </c>
      <c r="AJ226" s="16">
        <v>0</v>
      </c>
      <c r="AK226" s="16">
        <v>0</v>
      </c>
      <c r="AL226" s="16">
        <v>0</v>
      </c>
      <c r="AM226" s="16">
        <v>1</v>
      </c>
      <c r="AN226" s="16">
        <v>0</v>
      </c>
      <c r="AO226" s="16">
        <v>1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3">
        <f t="shared" si="617"/>
        <v>10</v>
      </c>
      <c r="AV226" s="5"/>
      <c r="AW226" s="5"/>
    </row>
    <row r="227" spans="1:49" ht="12.75" customHeight="1" x14ac:dyDescent="0.3">
      <c r="A227" s="15"/>
      <c r="B227" s="34"/>
      <c r="C227" s="29" t="s">
        <v>171</v>
      </c>
      <c r="D227" s="36"/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1</v>
      </c>
      <c r="M227" s="16">
        <v>0</v>
      </c>
      <c r="N227" s="16">
        <v>0</v>
      </c>
      <c r="O227" s="16">
        <v>0</v>
      </c>
      <c r="P227" s="16">
        <v>0</v>
      </c>
      <c r="Q227" s="16">
        <v>0</v>
      </c>
      <c r="R227" s="16">
        <v>0</v>
      </c>
      <c r="S227" s="16">
        <v>0</v>
      </c>
      <c r="T227" s="16">
        <v>0</v>
      </c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0</v>
      </c>
      <c r="AI227" s="16">
        <v>0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3">
        <f t="shared" si="617"/>
        <v>1</v>
      </c>
      <c r="AV227" s="5"/>
      <c r="AW227" s="5"/>
    </row>
    <row r="228" spans="1:49" ht="12.75" customHeight="1" x14ac:dyDescent="0.3">
      <c r="A228" s="15"/>
      <c r="B228" s="34"/>
      <c r="C228" s="29" t="s">
        <v>172</v>
      </c>
      <c r="D228" s="36"/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1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3">
        <f t="shared" si="617"/>
        <v>1</v>
      </c>
      <c r="AV228" s="5"/>
      <c r="AW228" s="5"/>
    </row>
    <row r="229" spans="1:49" ht="12.75" customHeight="1" x14ac:dyDescent="0.3">
      <c r="A229" s="15"/>
      <c r="B229" s="34"/>
      <c r="C229" s="29" t="s">
        <v>173</v>
      </c>
      <c r="D229" s="36"/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1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1</v>
      </c>
      <c r="AU229" s="13">
        <f t="shared" si="617"/>
        <v>2</v>
      </c>
      <c r="AV229" s="1"/>
      <c r="AW229" s="1"/>
    </row>
    <row r="230" spans="1:49" ht="12.75" customHeight="1" x14ac:dyDescent="0.3">
      <c r="A230" s="15"/>
      <c r="B230" s="37"/>
      <c r="C230" s="38"/>
      <c r="D230" s="39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56"/>
      <c r="AV230" s="31"/>
      <c r="AW230" s="31"/>
    </row>
    <row r="231" spans="1:49" ht="12.75" customHeight="1" x14ac:dyDescent="0.3">
      <c r="A231" s="15"/>
      <c r="B231" s="37"/>
      <c r="C231" s="38"/>
      <c r="D231" s="39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56"/>
      <c r="AV231" s="5"/>
      <c r="AW231" s="5"/>
    </row>
    <row r="232" spans="1:49" ht="12.75" customHeight="1" x14ac:dyDescent="0.3">
      <c r="A232" s="15"/>
      <c r="B232" s="37"/>
      <c r="C232" s="38"/>
      <c r="D232" s="39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56"/>
      <c r="AV232" s="5"/>
      <c r="AW232" s="5"/>
    </row>
    <row r="233" spans="1:49" ht="12.75" customHeight="1" x14ac:dyDescent="0.3">
      <c r="A233" s="15"/>
      <c r="B233" s="37"/>
      <c r="C233" s="38"/>
      <c r="D233" s="39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56"/>
      <c r="AV233" s="5"/>
      <c r="AW233" s="5"/>
    </row>
    <row r="234" spans="1:49" ht="12.75" customHeight="1" x14ac:dyDescent="0.3">
      <c r="A234" s="15"/>
      <c r="B234" s="37"/>
      <c r="C234" s="38"/>
      <c r="D234" s="39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56"/>
      <c r="AV234" s="5"/>
      <c r="AW234" s="5"/>
    </row>
    <row r="235" spans="1:49" ht="12.75" customHeight="1" x14ac:dyDescent="0.3">
      <c r="A235" s="16" t="s">
        <v>15</v>
      </c>
      <c r="B235" s="60" t="s">
        <v>49</v>
      </c>
      <c r="C235" s="61"/>
      <c r="D235" s="59"/>
      <c r="E235" s="13">
        <f>SUM(E225:E234)</f>
        <v>0</v>
      </c>
      <c r="F235" s="13">
        <f t="shared" ref="F235" si="618">SUM(F225:F234)</f>
        <v>0</v>
      </c>
      <c r="G235" s="13">
        <f t="shared" ref="G235" si="619">SUM(G225:G234)</f>
        <v>1</v>
      </c>
      <c r="H235" s="13">
        <f t="shared" ref="H235" si="620">SUM(H225:H234)</f>
        <v>0</v>
      </c>
      <c r="I235" s="13">
        <f t="shared" ref="I235" si="621">SUM(I225:I234)</f>
        <v>0</v>
      </c>
      <c r="J235" s="13">
        <f t="shared" ref="J235" si="622">SUM(J225:J234)</f>
        <v>0</v>
      </c>
      <c r="K235" s="13">
        <f t="shared" ref="K235" si="623">SUM(K225:K234)</f>
        <v>0</v>
      </c>
      <c r="L235" s="13">
        <f t="shared" ref="L235" si="624">SUM(L225:L234)</f>
        <v>1</v>
      </c>
      <c r="M235" s="13">
        <f t="shared" ref="M235" si="625">SUM(M225:M234)</f>
        <v>0</v>
      </c>
      <c r="N235" s="13">
        <f t="shared" ref="N235" si="626">SUM(N225:N234)</f>
        <v>0</v>
      </c>
      <c r="O235" s="13">
        <f t="shared" ref="O235" si="627">SUM(O225:O234)</f>
        <v>0</v>
      </c>
      <c r="P235" s="13">
        <f t="shared" ref="P235" si="628">SUM(P225:P234)</f>
        <v>1</v>
      </c>
      <c r="Q235" s="13">
        <f t="shared" ref="Q235" si="629">SUM(Q225:Q234)</f>
        <v>0</v>
      </c>
      <c r="R235" s="13">
        <f t="shared" ref="R235" si="630">SUM(R225:R234)</f>
        <v>1</v>
      </c>
      <c r="S235" s="13">
        <f t="shared" ref="S235" si="631">SUM(S225:S234)</f>
        <v>0</v>
      </c>
      <c r="T235" s="13">
        <f t="shared" ref="T235" si="632">SUM(T225:T234)</f>
        <v>1</v>
      </c>
      <c r="U235" s="13">
        <f t="shared" ref="U235" si="633">SUM(U225:U234)</f>
        <v>1</v>
      </c>
      <c r="V235" s="13">
        <f t="shared" ref="V235" si="634">SUM(V225:V234)</f>
        <v>0</v>
      </c>
      <c r="W235" s="13">
        <f t="shared" ref="W235" si="635">SUM(W225:W234)</f>
        <v>0</v>
      </c>
      <c r="X235" s="13">
        <f t="shared" ref="X235" si="636">SUM(X225:X234)</f>
        <v>0</v>
      </c>
      <c r="Y235" s="13">
        <f t="shared" ref="Y235" si="637">SUM(Y225:Y234)</f>
        <v>0</v>
      </c>
      <c r="Z235" s="13">
        <f t="shared" ref="Z235" si="638">SUM(Z225:Z234)</f>
        <v>0</v>
      </c>
      <c r="AA235" s="13">
        <f t="shared" ref="AA235" si="639">SUM(AA225:AA234)</f>
        <v>0</v>
      </c>
      <c r="AB235" s="13">
        <f t="shared" ref="AB235" si="640">SUM(AB225:AB234)</f>
        <v>0</v>
      </c>
      <c r="AC235" s="13">
        <f t="shared" ref="AC235" si="641">SUM(AC225:AC234)</f>
        <v>0</v>
      </c>
      <c r="AD235" s="13">
        <f t="shared" ref="AD235" si="642">SUM(AD225:AD234)</f>
        <v>0</v>
      </c>
      <c r="AE235" s="13">
        <f t="shared" ref="AE235" si="643">SUM(AE225:AE234)</f>
        <v>0</v>
      </c>
      <c r="AF235" s="13">
        <f t="shared" ref="AF235" si="644">SUM(AF225:AF234)</f>
        <v>1</v>
      </c>
      <c r="AG235" s="13">
        <f t="shared" ref="AG235" si="645">SUM(AG225:AG234)</f>
        <v>0</v>
      </c>
      <c r="AH235" s="13">
        <f t="shared" ref="AH235" si="646">SUM(AH225:AH234)</f>
        <v>7</v>
      </c>
      <c r="AI235" s="13">
        <f t="shared" ref="AI235" si="647">SUM(AI225:AI234)</f>
        <v>0</v>
      </c>
      <c r="AJ235" s="13">
        <f t="shared" ref="AJ235" si="648">SUM(AJ225:AJ234)</f>
        <v>0</v>
      </c>
      <c r="AK235" s="13">
        <f t="shared" ref="AK235" si="649">SUM(AK225:AK234)</f>
        <v>0</v>
      </c>
      <c r="AL235" s="13">
        <f t="shared" ref="AL235" si="650">SUM(AL225:AL234)</f>
        <v>0</v>
      </c>
      <c r="AM235" s="13">
        <f t="shared" ref="AM235" si="651">SUM(AM225:AM234)</f>
        <v>2</v>
      </c>
      <c r="AN235" s="13">
        <f t="shared" ref="AN235" si="652">SUM(AN225:AN234)</f>
        <v>0</v>
      </c>
      <c r="AO235" s="13">
        <f t="shared" ref="AO235" si="653">SUM(AO225:AO234)</f>
        <v>1</v>
      </c>
      <c r="AP235" s="13">
        <f t="shared" ref="AP235" si="654">SUM(AP225:AP234)</f>
        <v>0</v>
      </c>
      <c r="AQ235" s="13">
        <f t="shared" ref="AQ235" si="655">SUM(AQ225:AQ234)</f>
        <v>0</v>
      </c>
      <c r="AR235" s="13">
        <f t="shared" ref="AR235" si="656">SUM(AR225:AR234)</f>
        <v>0</v>
      </c>
      <c r="AS235" s="13">
        <f t="shared" ref="AS235" si="657">SUM(AS225:AS234)</f>
        <v>0</v>
      </c>
      <c r="AT235" s="13">
        <f t="shared" ref="AT235" si="658">SUM(AT225:AT234)</f>
        <v>1</v>
      </c>
      <c r="AU235" s="13">
        <f t="shared" ref="AU235" si="659">SUM(AU225:AU234)</f>
        <v>18</v>
      </c>
      <c r="AV235" s="5"/>
      <c r="AW235" s="5"/>
    </row>
    <row r="236" spans="1:49" ht="12.75" customHeight="1" x14ac:dyDescent="0.3">
      <c r="A236" s="62"/>
      <c r="B236" s="61"/>
      <c r="C236" s="61"/>
      <c r="D236" s="61"/>
      <c r="E236" s="59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"/>
      <c r="AW236" s="5"/>
    </row>
    <row r="237" spans="1:49" ht="12.75" customHeight="1" x14ac:dyDescent="0.3">
      <c r="A237" s="20" t="s">
        <v>37</v>
      </c>
      <c r="B237" s="27" t="s">
        <v>174</v>
      </c>
      <c r="C237" s="58" t="s">
        <v>175</v>
      </c>
      <c r="D237" s="59"/>
      <c r="E237" s="16">
        <v>0</v>
      </c>
      <c r="F237" s="16">
        <v>1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3</v>
      </c>
      <c r="R237" s="16">
        <v>2</v>
      </c>
      <c r="S237" s="16">
        <v>4</v>
      </c>
      <c r="T237" s="16">
        <v>0</v>
      </c>
      <c r="U237" s="16">
        <v>0</v>
      </c>
      <c r="V237" s="16">
        <v>0</v>
      </c>
      <c r="W237" s="16">
        <v>0</v>
      </c>
      <c r="X237" s="16">
        <v>7</v>
      </c>
      <c r="Y237" s="16">
        <v>1</v>
      </c>
      <c r="Z237" s="16">
        <v>0</v>
      </c>
      <c r="AA237" s="16">
        <v>2</v>
      </c>
      <c r="AB237" s="16">
        <v>0</v>
      </c>
      <c r="AC237" s="16">
        <v>0</v>
      </c>
      <c r="AD237" s="16">
        <v>2</v>
      </c>
      <c r="AE237" s="16">
        <v>0</v>
      </c>
      <c r="AF237" s="16">
        <v>0</v>
      </c>
      <c r="AG237" s="16">
        <v>1</v>
      </c>
      <c r="AH237" s="16">
        <v>1</v>
      </c>
      <c r="AI237" s="16">
        <v>0</v>
      </c>
      <c r="AJ237" s="16">
        <v>0</v>
      </c>
      <c r="AK237" s="16">
        <v>1</v>
      </c>
      <c r="AL237" s="16">
        <v>2</v>
      </c>
      <c r="AM237" s="16">
        <v>1</v>
      </c>
      <c r="AN237" s="16">
        <v>0</v>
      </c>
      <c r="AO237" s="16">
        <v>0</v>
      </c>
      <c r="AP237" s="16">
        <v>1</v>
      </c>
      <c r="AQ237" s="16">
        <v>1</v>
      </c>
      <c r="AR237" s="16">
        <v>0</v>
      </c>
      <c r="AS237" s="16">
        <v>0</v>
      </c>
      <c r="AT237" s="16">
        <v>0</v>
      </c>
      <c r="AU237" s="13">
        <f t="shared" ref="AU237:AU246" si="660">SUM(E237:AT237)</f>
        <v>30</v>
      </c>
      <c r="AV237" s="5"/>
      <c r="AW237" s="5"/>
    </row>
    <row r="238" spans="1:49" ht="12.75" customHeight="1" x14ac:dyDescent="0.3">
      <c r="A238" s="20" t="s">
        <v>39</v>
      </c>
      <c r="B238" s="34"/>
      <c r="C238" s="29" t="s">
        <v>176</v>
      </c>
      <c r="D238" s="36"/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1</v>
      </c>
      <c r="Q238" s="16">
        <v>4</v>
      </c>
      <c r="R238" s="16">
        <v>0</v>
      </c>
      <c r="S238" s="16">
        <v>0</v>
      </c>
      <c r="T238" s="16">
        <v>0</v>
      </c>
      <c r="U238" s="16">
        <v>0</v>
      </c>
      <c r="V238" s="16">
        <v>3</v>
      </c>
      <c r="W238" s="16">
        <v>0</v>
      </c>
      <c r="X238" s="16">
        <v>0</v>
      </c>
      <c r="Y238" s="16">
        <v>2</v>
      </c>
      <c r="Z238" s="16">
        <v>1</v>
      </c>
      <c r="AA238" s="16">
        <v>3</v>
      </c>
      <c r="AB238" s="16">
        <v>1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2</v>
      </c>
      <c r="AJ238" s="16">
        <v>0</v>
      </c>
      <c r="AK238" s="16">
        <v>0</v>
      </c>
      <c r="AL238" s="16">
        <v>1</v>
      </c>
      <c r="AM238" s="16">
        <v>0</v>
      </c>
      <c r="AN238" s="16">
        <v>1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3">
        <f t="shared" si="660"/>
        <v>19</v>
      </c>
      <c r="AV238" s="5"/>
      <c r="AW238" s="5"/>
    </row>
    <row r="239" spans="1:49" ht="12.75" customHeight="1" x14ac:dyDescent="0.3">
      <c r="A239" s="15"/>
      <c r="B239" s="34"/>
      <c r="C239" s="29" t="s">
        <v>177</v>
      </c>
      <c r="D239" s="36"/>
      <c r="E239" s="16">
        <v>2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0</v>
      </c>
      <c r="M239" s="16">
        <v>1</v>
      </c>
      <c r="N239" s="16">
        <v>0</v>
      </c>
      <c r="O239" s="16">
        <v>0</v>
      </c>
      <c r="P239" s="16">
        <v>0</v>
      </c>
      <c r="Q239" s="16">
        <v>22</v>
      </c>
      <c r="R239" s="16">
        <v>2</v>
      </c>
      <c r="S239" s="16">
        <v>4</v>
      </c>
      <c r="T239" s="16">
        <v>1</v>
      </c>
      <c r="U239" s="16">
        <v>4</v>
      </c>
      <c r="V239" s="16">
        <v>0</v>
      </c>
      <c r="W239" s="16">
        <v>1</v>
      </c>
      <c r="X239" s="16">
        <v>49</v>
      </c>
      <c r="Y239" s="16">
        <v>2</v>
      </c>
      <c r="Z239" s="16">
        <v>14</v>
      </c>
      <c r="AA239" s="16">
        <v>6</v>
      </c>
      <c r="AB239" s="16">
        <v>8</v>
      </c>
      <c r="AC239" s="16">
        <v>0</v>
      </c>
      <c r="AD239" s="16">
        <v>0</v>
      </c>
      <c r="AE239" s="16">
        <v>7</v>
      </c>
      <c r="AF239" s="16">
        <v>3</v>
      </c>
      <c r="AG239" s="16">
        <v>4</v>
      </c>
      <c r="AH239" s="16">
        <v>9</v>
      </c>
      <c r="AI239" s="16">
        <v>12</v>
      </c>
      <c r="AJ239" s="16">
        <v>4</v>
      </c>
      <c r="AK239" s="16">
        <v>10</v>
      </c>
      <c r="AL239" s="16">
        <v>11</v>
      </c>
      <c r="AM239" s="16">
        <v>1</v>
      </c>
      <c r="AN239" s="16">
        <v>2</v>
      </c>
      <c r="AO239" s="16">
        <v>1</v>
      </c>
      <c r="AP239" s="16">
        <v>5</v>
      </c>
      <c r="AQ239" s="16">
        <v>0</v>
      </c>
      <c r="AR239" s="16">
        <v>0</v>
      </c>
      <c r="AS239" s="16">
        <v>0</v>
      </c>
      <c r="AT239" s="16">
        <v>0</v>
      </c>
      <c r="AU239" s="13">
        <f t="shared" si="660"/>
        <v>185</v>
      </c>
      <c r="AV239" s="5"/>
      <c r="AW239" s="5"/>
    </row>
    <row r="240" spans="1:49" ht="12.75" customHeight="1" x14ac:dyDescent="0.3">
      <c r="A240" s="15"/>
      <c r="B240" s="34"/>
      <c r="C240" s="29" t="s">
        <v>178</v>
      </c>
      <c r="D240" s="36"/>
      <c r="E240" s="16">
        <v>0</v>
      </c>
      <c r="F240" s="16">
        <v>1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2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1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2</v>
      </c>
      <c r="AM240" s="16">
        <v>1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3">
        <f t="shared" si="660"/>
        <v>7</v>
      </c>
      <c r="AV240" s="1"/>
      <c r="AW240" s="1"/>
    </row>
    <row r="241" spans="1:47" ht="12.75" customHeight="1" x14ac:dyDescent="0.3">
      <c r="A241" s="15"/>
      <c r="B241" s="34"/>
      <c r="C241" s="29" t="s">
        <v>179</v>
      </c>
      <c r="D241" s="36"/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2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2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0</v>
      </c>
      <c r="AH241" s="16">
        <v>0</v>
      </c>
      <c r="AI241" s="16">
        <v>0</v>
      </c>
      <c r="AJ241" s="16">
        <v>1</v>
      </c>
      <c r="AK241" s="16">
        <v>0</v>
      </c>
      <c r="AL241" s="16">
        <v>0</v>
      </c>
      <c r="AM241" s="16">
        <v>0</v>
      </c>
      <c r="AN241" s="16">
        <v>0</v>
      </c>
      <c r="AO241" s="16">
        <v>0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3">
        <f t="shared" si="660"/>
        <v>5</v>
      </c>
    </row>
    <row r="242" spans="1:47" ht="12.75" customHeight="1" x14ac:dyDescent="0.3">
      <c r="A242" s="15"/>
      <c r="B242" s="34"/>
      <c r="C242" s="29" t="s">
        <v>180</v>
      </c>
      <c r="D242" s="36"/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0</v>
      </c>
      <c r="L242" s="16">
        <v>1</v>
      </c>
      <c r="M242" s="16">
        <v>0</v>
      </c>
      <c r="N242" s="16">
        <v>0</v>
      </c>
      <c r="O242" s="16">
        <v>0</v>
      </c>
      <c r="P242" s="16">
        <v>0</v>
      </c>
      <c r="Q242" s="16">
        <v>4</v>
      </c>
      <c r="R242" s="16">
        <v>0</v>
      </c>
      <c r="S242" s="16">
        <v>0</v>
      </c>
      <c r="T242" s="16">
        <v>0</v>
      </c>
      <c r="U242" s="16">
        <v>1</v>
      </c>
      <c r="V242" s="16">
        <v>0</v>
      </c>
      <c r="W242" s="16">
        <v>0</v>
      </c>
      <c r="X242" s="16">
        <v>3</v>
      </c>
      <c r="Y242" s="16">
        <v>1</v>
      </c>
      <c r="Z242" s="16">
        <v>1</v>
      </c>
      <c r="AA242" s="16">
        <v>0</v>
      </c>
      <c r="AB242" s="16">
        <v>3</v>
      </c>
      <c r="AC242" s="16">
        <v>1</v>
      </c>
      <c r="AD242" s="16">
        <v>0</v>
      </c>
      <c r="AE242" s="16">
        <v>0</v>
      </c>
      <c r="AF242" s="16">
        <v>0</v>
      </c>
      <c r="AG242" s="16">
        <v>0</v>
      </c>
      <c r="AH242" s="16">
        <v>0</v>
      </c>
      <c r="AI242" s="16">
        <v>0</v>
      </c>
      <c r="AJ242" s="16">
        <v>0</v>
      </c>
      <c r="AK242" s="16">
        <v>2</v>
      </c>
      <c r="AL242" s="16">
        <v>2</v>
      </c>
      <c r="AM242" s="16">
        <v>2</v>
      </c>
      <c r="AN242" s="16">
        <v>0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>
        <v>0</v>
      </c>
      <c r="AU242" s="13">
        <f t="shared" si="660"/>
        <v>21</v>
      </c>
    </row>
    <row r="243" spans="1:47" ht="12.75" customHeight="1" x14ac:dyDescent="0.3">
      <c r="A243" s="15"/>
      <c r="B243" s="34"/>
      <c r="C243" s="29" t="s">
        <v>181</v>
      </c>
      <c r="D243" s="36"/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  <c r="P243" s="16">
        <v>0</v>
      </c>
      <c r="Q243" s="16">
        <v>0</v>
      </c>
      <c r="R243" s="16">
        <v>0</v>
      </c>
      <c r="S243" s="16">
        <v>2</v>
      </c>
      <c r="T243" s="16">
        <v>0</v>
      </c>
      <c r="U243" s="16">
        <v>1</v>
      </c>
      <c r="V243" s="16">
        <v>0</v>
      </c>
      <c r="W243" s="16">
        <v>0</v>
      </c>
      <c r="X243" s="16">
        <v>3</v>
      </c>
      <c r="Y243" s="16">
        <v>1</v>
      </c>
      <c r="Z243" s="16">
        <v>1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0</v>
      </c>
      <c r="AH243" s="16">
        <v>0</v>
      </c>
      <c r="AI243" s="16">
        <v>0</v>
      </c>
      <c r="AJ243" s="16">
        <v>0</v>
      </c>
      <c r="AK243" s="16">
        <v>1</v>
      </c>
      <c r="AL243" s="16">
        <v>0</v>
      </c>
      <c r="AM243" s="16">
        <v>0</v>
      </c>
      <c r="AN243" s="16">
        <v>0</v>
      </c>
      <c r="AO243" s="16">
        <v>0</v>
      </c>
      <c r="AP243" s="16">
        <v>0</v>
      </c>
      <c r="AQ243" s="16">
        <v>1</v>
      </c>
      <c r="AR243" s="16">
        <v>0</v>
      </c>
      <c r="AS243" s="16">
        <v>0</v>
      </c>
      <c r="AT243" s="16">
        <v>0</v>
      </c>
      <c r="AU243" s="13">
        <f t="shared" si="660"/>
        <v>10</v>
      </c>
    </row>
    <row r="244" spans="1:47" ht="12.75" customHeight="1" x14ac:dyDescent="0.3">
      <c r="A244" s="15"/>
      <c r="B244" s="34"/>
      <c r="C244" s="29" t="s">
        <v>182</v>
      </c>
      <c r="D244" s="36"/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4</v>
      </c>
      <c r="R244" s="16">
        <v>0</v>
      </c>
      <c r="S244" s="16">
        <v>0</v>
      </c>
      <c r="T244" s="16">
        <v>0</v>
      </c>
      <c r="U244" s="16">
        <v>2</v>
      </c>
      <c r="V244" s="16">
        <v>0</v>
      </c>
      <c r="W244" s="16">
        <v>0</v>
      </c>
      <c r="X244" s="16">
        <v>2</v>
      </c>
      <c r="Y244" s="16">
        <v>0</v>
      </c>
      <c r="Z244" s="16">
        <v>1</v>
      </c>
      <c r="AA244" s="16">
        <v>0</v>
      </c>
      <c r="AB244" s="16">
        <v>1</v>
      </c>
      <c r="AC244" s="16">
        <v>2</v>
      </c>
      <c r="AD244" s="16">
        <v>0</v>
      </c>
      <c r="AE244" s="16">
        <v>0</v>
      </c>
      <c r="AF244" s="16">
        <v>1</v>
      </c>
      <c r="AG244" s="16">
        <v>0</v>
      </c>
      <c r="AH244" s="16">
        <v>1</v>
      </c>
      <c r="AI244" s="16">
        <v>0</v>
      </c>
      <c r="AJ244" s="16">
        <v>0</v>
      </c>
      <c r="AK244" s="16">
        <v>0</v>
      </c>
      <c r="AL244" s="16">
        <v>3</v>
      </c>
      <c r="AM244" s="16">
        <v>0</v>
      </c>
      <c r="AN244" s="16">
        <v>0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3">
        <f t="shared" si="660"/>
        <v>17</v>
      </c>
    </row>
    <row r="245" spans="1:47" ht="12.75" customHeight="1" x14ac:dyDescent="0.3">
      <c r="A245" s="15"/>
      <c r="B245" s="34"/>
      <c r="C245" s="29" t="s">
        <v>183</v>
      </c>
      <c r="D245" s="36"/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0</v>
      </c>
      <c r="M245" s="16">
        <v>0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0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1</v>
      </c>
      <c r="AD245" s="16">
        <v>0</v>
      </c>
      <c r="AE245" s="16">
        <v>0</v>
      </c>
      <c r="AF245" s="16">
        <v>0</v>
      </c>
      <c r="AG245" s="16">
        <v>0</v>
      </c>
      <c r="AH245" s="16">
        <v>0</v>
      </c>
      <c r="AI245" s="16">
        <v>0</v>
      </c>
      <c r="AJ245" s="16">
        <v>0</v>
      </c>
      <c r="AK245" s="16">
        <v>0</v>
      </c>
      <c r="AL245" s="16">
        <v>0</v>
      </c>
      <c r="AM245" s="16">
        <v>0</v>
      </c>
      <c r="AN245" s="16">
        <v>0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>
        <v>0</v>
      </c>
      <c r="AU245" s="13">
        <f t="shared" si="660"/>
        <v>1</v>
      </c>
    </row>
    <row r="246" spans="1:47" ht="12.75" customHeight="1" x14ac:dyDescent="0.3">
      <c r="A246" s="15"/>
      <c r="B246" s="34"/>
      <c r="C246" s="29" t="s">
        <v>184</v>
      </c>
      <c r="D246" s="36"/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2</v>
      </c>
      <c r="R246" s="16">
        <v>0</v>
      </c>
      <c r="S246" s="16">
        <v>1</v>
      </c>
      <c r="T246" s="16">
        <v>0</v>
      </c>
      <c r="U246" s="16">
        <v>0</v>
      </c>
      <c r="V246" s="16">
        <v>0</v>
      </c>
      <c r="W246" s="16">
        <v>2</v>
      </c>
      <c r="X246" s="16">
        <v>0</v>
      </c>
      <c r="Y246" s="16">
        <v>1</v>
      </c>
      <c r="Z246" s="16">
        <v>1</v>
      </c>
      <c r="AA246" s="16">
        <v>0</v>
      </c>
      <c r="AB246" s="16">
        <v>0</v>
      </c>
      <c r="AC246" s="16">
        <v>0</v>
      </c>
      <c r="AD246" s="16">
        <v>0</v>
      </c>
      <c r="AE246" s="16">
        <v>1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1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3">
        <f t="shared" si="660"/>
        <v>9</v>
      </c>
    </row>
    <row r="247" spans="1:47" ht="12.75" customHeight="1" x14ac:dyDescent="0.3">
      <c r="A247" s="16" t="s">
        <v>15</v>
      </c>
      <c r="B247" s="60" t="s">
        <v>49</v>
      </c>
      <c r="C247" s="61"/>
      <c r="D247" s="59"/>
      <c r="E247" s="13">
        <f>SUM(E237:E246)</f>
        <v>2</v>
      </c>
      <c r="F247" s="13">
        <f t="shared" ref="F247" si="661">SUM(F237:F246)</f>
        <v>2</v>
      </c>
      <c r="G247" s="13">
        <f t="shared" ref="G247" si="662">SUM(G237:G246)</f>
        <v>0</v>
      </c>
      <c r="H247" s="13">
        <f t="shared" ref="H247" si="663">SUM(H237:H246)</f>
        <v>0</v>
      </c>
      <c r="I247" s="13">
        <f t="shared" ref="I247" si="664">SUM(I237:I246)</f>
        <v>0</v>
      </c>
      <c r="J247" s="13">
        <f t="shared" ref="J247" si="665">SUM(J237:J246)</f>
        <v>0</v>
      </c>
      <c r="K247" s="13">
        <f t="shared" ref="K247" si="666">SUM(K237:K246)</f>
        <v>0</v>
      </c>
      <c r="L247" s="13">
        <f t="shared" ref="L247" si="667">SUM(L237:L246)</f>
        <v>1</v>
      </c>
      <c r="M247" s="13">
        <f t="shared" ref="M247" si="668">SUM(M237:M246)</f>
        <v>1</v>
      </c>
      <c r="N247" s="13">
        <f t="shared" ref="N247" si="669">SUM(N237:N246)</f>
        <v>0</v>
      </c>
      <c r="O247" s="13">
        <f t="shared" ref="O247" si="670">SUM(O237:O246)</f>
        <v>0</v>
      </c>
      <c r="P247" s="13">
        <f t="shared" ref="P247" si="671">SUM(P237:P246)</f>
        <v>1</v>
      </c>
      <c r="Q247" s="13">
        <f t="shared" ref="Q247" si="672">SUM(Q237:Q246)</f>
        <v>43</v>
      </c>
      <c r="R247" s="13">
        <f t="shared" ref="R247" si="673">SUM(R237:R246)</f>
        <v>4</v>
      </c>
      <c r="S247" s="13">
        <f t="shared" ref="S247" si="674">SUM(S237:S246)</f>
        <v>11</v>
      </c>
      <c r="T247" s="13">
        <f t="shared" ref="T247" si="675">SUM(T237:T246)</f>
        <v>1</v>
      </c>
      <c r="U247" s="13">
        <f t="shared" ref="U247" si="676">SUM(U237:U246)</f>
        <v>8</v>
      </c>
      <c r="V247" s="13">
        <f t="shared" ref="V247" si="677">SUM(V237:V246)</f>
        <v>3</v>
      </c>
      <c r="W247" s="13">
        <f t="shared" ref="W247" si="678">SUM(W237:W246)</f>
        <v>3</v>
      </c>
      <c r="X247" s="13">
        <f t="shared" ref="X247" si="679">SUM(X237:X246)</f>
        <v>64</v>
      </c>
      <c r="Y247" s="13">
        <f t="shared" ref="Y247" si="680">SUM(Y237:Y246)</f>
        <v>8</v>
      </c>
      <c r="Z247" s="13">
        <f t="shared" ref="Z247" si="681">SUM(Z237:Z246)</f>
        <v>20</v>
      </c>
      <c r="AA247" s="13">
        <f t="shared" ref="AA247" si="682">SUM(AA237:AA246)</f>
        <v>13</v>
      </c>
      <c r="AB247" s="13">
        <f t="shared" ref="AB247" si="683">SUM(AB237:AB246)</f>
        <v>13</v>
      </c>
      <c r="AC247" s="13">
        <f t="shared" ref="AC247" si="684">SUM(AC237:AC246)</f>
        <v>4</v>
      </c>
      <c r="AD247" s="13">
        <f t="shared" ref="AD247" si="685">SUM(AD237:AD246)</f>
        <v>2</v>
      </c>
      <c r="AE247" s="13">
        <f t="shared" ref="AE247" si="686">SUM(AE237:AE246)</f>
        <v>8</v>
      </c>
      <c r="AF247" s="13">
        <f t="shared" ref="AF247" si="687">SUM(AF237:AF246)</f>
        <v>4</v>
      </c>
      <c r="AG247" s="13">
        <f t="shared" ref="AG247" si="688">SUM(AG237:AG246)</f>
        <v>5</v>
      </c>
      <c r="AH247" s="13">
        <f t="shared" ref="AH247" si="689">SUM(AH237:AH246)</f>
        <v>11</v>
      </c>
      <c r="AI247" s="13">
        <f t="shared" ref="AI247" si="690">SUM(AI237:AI246)</f>
        <v>14</v>
      </c>
      <c r="AJ247" s="13">
        <f t="shared" ref="AJ247" si="691">SUM(AJ237:AJ246)</f>
        <v>5</v>
      </c>
      <c r="AK247" s="13">
        <f t="shared" ref="AK247" si="692">SUM(AK237:AK246)</f>
        <v>14</v>
      </c>
      <c r="AL247" s="13">
        <f t="shared" ref="AL247" si="693">SUM(AL237:AL246)</f>
        <v>22</v>
      </c>
      <c r="AM247" s="13">
        <f t="shared" ref="AM247" si="694">SUM(AM237:AM246)</f>
        <v>5</v>
      </c>
      <c r="AN247" s="13">
        <f t="shared" ref="AN247" si="695">SUM(AN237:AN246)</f>
        <v>3</v>
      </c>
      <c r="AO247" s="13">
        <f t="shared" ref="AO247" si="696">SUM(AO237:AO246)</f>
        <v>1</v>
      </c>
      <c r="AP247" s="13">
        <f t="shared" ref="AP247" si="697">SUM(AP237:AP246)</f>
        <v>6</v>
      </c>
      <c r="AQ247" s="13">
        <f t="shared" ref="AQ247" si="698">SUM(AQ237:AQ246)</f>
        <v>2</v>
      </c>
      <c r="AR247" s="13">
        <f t="shared" ref="AR247" si="699">SUM(AR237:AR246)</f>
        <v>0</v>
      </c>
      <c r="AS247" s="13">
        <f t="shared" ref="AS247" si="700">SUM(AS237:AS246)</f>
        <v>0</v>
      </c>
      <c r="AT247" s="13">
        <f t="shared" ref="AT247" si="701">SUM(AT237:AT246)</f>
        <v>0</v>
      </c>
      <c r="AU247" s="13">
        <f t="shared" ref="AU247" si="702">SUM(AU237:AU246)</f>
        <v>304</v>
      </c>
    </row>
    <row r="248" spans="1:47" ht="12.75" customHeight="1" x14ac:dyDescent="0.3">
      <c r="A248" s="62"/>
      <c r="B248" s="61"/>
      <c r="C248" s="61"/>
      <c r="D248" s="61"/>
      <c r="E248" s="59"/>
    </row>
    <row r="249" spans="1:47" ht="12.75" customHeight="1" x14ac:dyDescent="0.3">
      <c r="A249" s="20" t="s">
        <v>37</v>
      </c>
      <c r="B249" s="27" t="s">
        <v>185</v>
      </c>
      <c r="C249" s="58" t="s">
        <v>186</v>
      </c>
      <c r="D249" s="59"/>
      <c r="E249" s="16">
        <v>0</v>
      </c>
      <c r="F249" s="16">
        <v>1</v>
      </c>
      <c r="G249" s="16">
        <v>0</v>
      </c>
      <c r="H249" s="16">
        <v>0</v>
      </c>
      <c r="I249" s="16">
        <v>1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0</v>
      </c>
      <c r="R249" s="16">
        <v>1</v>
      </c>
      <c r="S249" s="16">
        <v>0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1</v>
      </c>
      <c r="Z249" s="16">
        <v>0</v>
      </c>
      <c r="AA249" s="16">
        <v>0</v>
      </c>
      <c r="AB249" s="16">
        <v>1</v>
      </c>
      <c r="AC249" s="16">
        <v>0</v>
      </c>
      <c r="AD249" s="16">
        <v>0</v>
      </c>
      <c r="AE249" s="16">
        <v>0</v>
      </c>
      <c r="AF249" s="16">
        <v>0</v>
      </c>
      <c r="AG249" s="16">
        <v>1</v>
      </c>
      <c r="AH249" s="16">
        <v>0</v>
      </c>
      <c r="AI249" s="16">
        <v>0</v>
      </c>
      <c r="AJ249" s="16">
        <v>1</v>
      </c>
      <c r="AK249" s="16">
        <v>0</v>
      </c>
      <c r="AL249" s="16">
        <v>0</v>
      </c>
      <c r="AM249" s="16">
        <v>0</v>
      </c>
      <c r="AN249" s="16">
        <v>0</v>
      </c>
      <c r="AO249" s="16">
        <v>0</v>
      </c>
      <c r="AP249" s="16">
        <v>0</v>
      </c>
      <c r="AQ249" s="16">
        <v>0</v>
      </c>
      <c r="AR249" s="16">
        <v>1</v>
      </c>
      <c r="AS249" s="16">
        <v>0</v>
      </c>
      <c r="AT249" s="16"/>
      <c r="AU249" s="13">
        <f t="shared" ref="AU249:AU252" si="703">SUM(E249:AT249)</f>
        <v>8</v>
      </c>
    </row>
    <row r="250" spans="1:47" ht="12.75" customHeight="1" x14ac:dyDescent="0.3">
      <c r="A250" s="20" t="s">
        <v>39</v>
      </c>
      <c r="B250" s="34"/>
      <c r="C250" s="29" t="s">
        <v>187</v>
      </c>
      <c r="D250" s="36"/>
      <c r="E250" s="16">
        <v>1</v>
      </c>
      <c r="F250" s="16">
        <v>0</v>
      </c>
      <c r="G250" s="16">
        <v>3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1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2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3</v>
      </c>
      <c r="AG250" s="16">
        <v>2</v>
      </c>
      <c r="AH250" s="16">
        <v>0</v>
      </c>
      <c r="AI250" s="16">
        <v>2</v>
      </c>
      <c r="AJ250" s="16">
        <v>0</v>
      </c>
      <c r="AK250" s="16">
        <v>0</v>
      </c>
      <c r="AL250" s="16">
        <v>4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/>
      <c r="AU250" s="13">
        <f t="shared" si="703"/>
        <v>18</v>
      </c>
    </row>
    <row r="251" spans="1:47" ht="12.75" customHeight="1" x14ac:dyDescent="0.3">
      <c r="A251" s="15"/>
      <c r="B251" s="34"/>
      <c r="C251" s="29" t="s">
        <v>188</v>
      </c>
      <c r="D251" s="36"/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/>
      <c r="AU251" s="13">
        <f t="shared" si="703"/>
        <v>0</v>
      </c>
    </row>
    <row r="252" spans="1:47" ht="12.75" customHeight="1" x14ac:dyDescent="0.3">
      <c r="A252" s="15"/>
      <c r="B252" s="34"/>
      <c r="C252" s="29" t="s">
        <v>189</v>
      </c>
      <c r="D252" s="36"/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1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1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/>
      <c r="AU252" s="13">
        <f t="shared" si="703"/>
        <v>2</v>
      </c>
    </row>
    <row r="253" spans="1:47" ht="12.75" customHeight="1" x14ac:dyDescent="0.3">
      <c r="A253" s="15"/>
      <c r="B253" s="37"/>
      <c r="C253" s="44"/>
      <c r="D253" s="39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56"/>
    </row>
    <row r="254" spans="1:47" ht="12.75" customHeight="1" x14ac:dyDescent="0.3">
      <c r="A254" s="15"/>
      <c r="B254" s="37"/>
      <c r="C254" s="44"/>
      <c r="D254" s="39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56"/>
    </row>
    <row r="255" spans="1:47" ht="12.75" customHeight="1" x14ac:dyDescent="0.3">
      <c r="A255" s="15"/>
      <c r="B255" s="37"/>
      <c r="C255" s="44"/>
      <c r="D255" s="39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56"/>
    </row>
    <row r="256" spans="1:47" ht="12.75" customHeight="1" x14ac:dyDescent="0.3">
      <c r="A256" s="15"/>
      <c r="B256" s="37"/>
      <c r="C256" s="44"/>
      <c r="D256" s="39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56"/>
    </row>
    <row r="257" spans="1:47" ht="12.75" customHeight="1" x14ac:dyDescent="0.3">
      <c r="A257" s="15"/>
      <c r="B257" s="37"/>
      <c r="C257" s="44"/>
      <c r="D257" s="39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56"/>
    </row>
    <row r="258" spans="1:47" ht="12.75" customHeight="1" x14ac:dyDescent="0.3">
      <c r="A258" s="15"/>
      <c r="B258" s="37"/>
      <c r="C258" s="44"/>
      <c r="D258" s="3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56"/>
    </row>
    <row r="259" spans="1:47" ht="12.75" customHeight="1" x14ac:dyDescent="0.3">
      <c r="A259" s="16" t="s">
        <v>15</v>
      </c>
      <c r="B259" s="60" t="s">
        <v>49</v>
      </c>
      <c r="C259" s="61"/>
      <c r="D259" s="59"/>
      <c r="E259" s="13">
        <f>SUM(E249:E258)</f>
        <v>1</v>
      </c>
      <c r="F259" s="13">
        <f t="shared" ref="F259" si="704">SUM(F249:F258)</f>
        <v>1</v>
      </c>
      <c r="G259" s="13">
        <f t="shared" ref="G259" si="705">SUM(G249:G258)</f>
        <v>3</v>
      </c>
      <c r="H259" s="13">
        <f t="shared" ref="H259" si="706">SUM(H249:H258)</f>
        <v>0</v>
      </c>
      <c r="I259" s="13">
        <f t="shared" ref="I259" si="707">SUM(I249:I258)</f>
        <v>1</v>
      </c>
      <c r="J259" s="13">
        <f t="shared" ref="J259" si="708">SUM(J249:J258)</f>
        <v>0</v>
      </c>
      <c r="K259" s="13">
        <f t="shared" ref="K259" si="709">SUM(K249:K258)</f>
        <v>0</v>
      </c>
      <c r="L259" s="13">
        <f t="shared" ref="L259" si="710">SUM(L249:L258)</f>
        <v>0</v>
      </c>
      <c r="M259" s="13">
        <f t="shared" ref="M259" si="711">SUM(M249:M258)</f>
        <v>0</v>
      </c>
      <c r="N259" s="13">
        <f t="shared" ref="N259" si="712">SUM(N249:N258)</f>
        <v>0</v>
      </c>
      <c r="O259" s="13">
        <f t="shared" ref="O259" si="713">SUM(O249:O258)</f>
        <v>0</v>
      </c>
      <c r="P259" s="13">
        <f t="shared" ref="P259" si="714">SUM(P249:P258)</f>
        <v>0</v>
      </c>
      <c r="Q259" s="13">
        <f t="shared" ref="Q259" si="715">SUM(Q249:Q258)</f>
        <v>1</v>
      </c>
      <c r="R259" s="13">
        <f t="shared" ref="R259" si="716">SUM(R249:R258)</f>
        <v>1</v>
      </c>
      <c r="S259" s="13">
        <f t="shared" ref="S259" si="717">SUM(S249:S258)</f>
        <v>0</v>
      </c>
      <c r="T259" s="13">
        <f t="shared" ref="T259" si="718">SUM(T249:T258)</f>
        <v>0</v>
      </c>
      <c r="U259" s="13">
        <f t="shared" ref="U259" si="719">SUM(U249:U258)</f>
        <v>0</v>
      </c>
      <c r="V259" s="13">
        <f t="shared" ref="V259" si="720">SUM(V249:V258)</f>
        <v>0</v>
      </c>
      <c r="W259" s="13">
        <f t="shared" ref="W259" si="721">SUM(W249:W258)</f>
        <v>2</v>
      </c>
      <c r="X259" s="13">
        <f t="shared" ref="X259" si="722">SUM(X249:X258)</f>
        <v>0</v>
      </c>
      <c r="Y259" s="13">
        <f t="shared" ref="Y259" si="723">SUM(Y249:Y258)</f>
        <v>1</v>
      </c>
      <c r="Z259" s="13">
        <f t="shared" ref="Z259" si="724">SUM(Z249:Z258)</f>
        <v>0</v>
      </c>
      <c r="AA259" s="13">
        <f t="shared" ref="AA259" si="725">SUM(AA249:AA258)</f>
        <v>0</v>
      </c>
      <c r="AB259" s="13">
        <f t="shared" ref="AB259" si="726">SUM(AB249:AB258)</f>
        <v>1</v>
      </c>
      <c r="AC259" s="13">
        <f t="shared" ref="AC259" si="727">SUM(AC249:AC258)</f>
        <v>1</v>
      </c>
      <c r="AD259" s="13">
        <f t="shared" ref="AD259" si="728">SUM(AD249:AD258)</f>
        <v>0</v>
      </c>
      <c r="AE259" s="13">
        <f t="shared" ref="AE259" si="729">SUM(AE249:AE258)</f>
        <v>0</v>
      </c>
      <c r="AF259" s="13">
        <f t="shared" ref="AF259" si="730">SUM(AF249:AF258)</f>
        <v>3</v>
      </c>
      <c r="AG259" s="13">
        <f t="shared" ref="AG259" si="731">SUM(AG249:AG258)</f>
        <v>3</v>
      </c>
      <c r="AH259" s="13">
        <f t="shared" ref="AH259" si="732">SUM(AH249:AH258)</f>
        <v>0</v>
      </c>
      <c r="AI259" s="13">
        <f t="shared" ref="AI259" si="733">SUM(AI249:AI258)</f>
        <v>3</v>
      </c>
      <c r="AJ259" s="13">
        <f t="shared" ref="AJ259" si="734">SUM(AJ249:AJ258)</f>
        <v>1</v>
      </c>
      <c r="AK259" s="13">
        <f t="shared" ref="AK259" si="735">SUM(AK249:AK258)</f>
        <v>0</v>
      </c>
      <c r="AL259" s="13">
        <f t="shared" ref="AL259" si="736">SUM(AL249:AL258)</f>
        <v>4</v>
      </c>
      <c r="AM259" s="13">
        <f t="shared" ref="AM259" si="737">SUM(AM249:AM258)</f>
        <v>0</v>
      </c>
      <c r="AN259" s="13">
        <f t="shared" ref="AN259" si="738">SUM(AN249:AN258)</f>
        <v>0</v>
      </c>
      <c r="AO259" s="13">
        <f t="shared" ref="AO259" si="739">SUM(AO249:AO258)</f>
        <v>0</v>
      </c>
      <c r="AP259" s="13">
        <f t="shared" ref="AP259" si="740">SUM(AP249:AP258)</f>
        <v>0</v>
      </c>
      <c r="AQ259" s="13">
        <f t="shared" ref="AQ259" si="741">SUM(AQ249:AQ258)</f>
        <v>0</v>
      </c>
      <c r="AR259" s="13">
        <f t="shared" ref="AR259" si="742">SUM(AR249:AR258)</f>
        <v>1</v>
      </c>
      <c r="AS259" s="13">
        <f t="shared" ref="AS259" si="743">SUM(AS249:AS258)</f>
        <v>0</v>
      </c>
      <c r="AT259" s="13">
        <f t="shared" ref="AT259" si="744">SUM(AT249:AT258)</f>
        <v>0</v>
      </c>
      <c r="AU259" s="13">
        <f t="shared" ref="AU259" si="745">SUM(AU249:AU258)</f>
        <v>28</v>
      </c>
    </row>
    <row r="260" spans="1:47" ht="12.75" customHeight="1" x14ac:dyDescent="0.3"/>
    <row r="261" spans="1:47" ht="12.75" customHeight="1" x14ac:dyDescent="0.3">
      <c r="A261" s="26" t="s">
        <v>190</v>
      </c>
      <c r="B261" s="65" t="s">
        <v>191</v>
      </c>
      <c r="C261" s="61"/>
      <c r="D261" s="59"/>
      <c r="E261" s="13"/>
      <c r="F261" s="13"/>
      <c r="G261" s="13"/>
      <c r="H261" s="13"/>
      <c r="I261" s="13"/>
      <c r="J261" s="13"/>
      <c r="K261" s="13"/>
      <c r="L261" s="13"/>
      <c r="M261" s="13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13"/>
    </row>
    <row r="262" spans="1:47" ht="12.75" customHeight="1" x14ac:dyDescent="0.3">
      <c r="A262" s="26"/>
      <c r="B262" s="47" t="s">
        <v>192</v>
      </c>
      <c r="C262" s="83" t="s">
        <v>193</v>
      </c>
      <c r="D262" s="59"/>
      <c r="E262" s="16">
        <f t="shared" ref="E262:AT262" si="746">E55+E67+E79+E91+E103+E115+E127+E139+E151+E163+E175+E187+E199+E211+E223+E235+E247+E259</f>
        <v>214</v>
      </c>
      <c r="F262" s="16">
        <f t="shared" si="746"/>
        <v>198</v>
      </c>
      <c r="G262" s="16">
        <f t="shared" si="746"/>
        <v>207</v>
      </c>
      <c r="H262" s="16">
        <f t="shared" si="746"/>
        <v>180</v>
      </c>
      <c r="I262" s="16">
        <f t="shared" si="746"/>
        <v>191</v>
      </c>
      <c r="J262" s="16">
        <f t="shared" si="746"/>
        <v>210</v>
      </c>
      <c r="K262" s="16">
        <f t="shared" si="746"/>
        <v>144</v>
      </c>
      <c r="L262" s="16">
        <f t="shared" si="746"/>
        <v>221</v>
      </c>
      <c r="M262" s="16">
        <f t="shared" si="746"/>
        <v>232</v>
      </c>
      <c r="N262" s="16">
        <f t="shared" si="746"/>
        <v>212</v>
      </c>
      <c r="O262" s="16">
        <f t="shared" si="746"/>
        <v>213</v>
      </c>
      <c r="P262" s="16">
        <f t="shared" si="746"/>
        <v>205</v>
      </c>
      <c r="Q262" s="16">
        <f t="shared" si="746"/>
        <v>195</v>
      </c>
      <c r="R262" s="16">
        <f t="shared" si="746"/>
        <v>221</v>
      </c>
      <c r="S262" s="16">
        <f t="shared" si="746"/>
        <v>209</v>
      </c>
      <c r="T262" s="16">
        <f t="shared" si="746"/>
        <v>214</v>
      </c>
      <c r="U262" s="16">
        <f t="shared" si="746"/>
        <v>218</v>
      </c>
      <c r="V262" s="16">
        <f t="shared" si="746"/>
        <v>182</v>
      </c>
      <c r="W262" s="16">
        <f t="shared" si="746"/>
        <v>213</v>
      </c>
      <c r="X262" s="16">
        <f t="shared" si="746"/>
        <v>176</v>
      </c>
      <c r="Y262" s="16">
        <f t="shared" si="746"/>
        <v>179</v>
      </c>
      <c r="Z262" s="16">
        <f t="shared" si="746"/>
        <v>169</v>
      </c>
      <c r="AA262" s="16">
        <f t="shared" si="746"/>
        <v>169</v>
      </c>
      <c r="AB262" s="16">
        <f t="shared" si="746"/>
        <v>179</v>
      </c>
      <c r="AC262" s="16">
        <f t="shared" si="746"/>
        <v>179</v>
      </c>
      <c r="AD262" s="16">
        <f t="shared" si="746"/>
        <v>214</v>
      </c>
      <c r="AE262" s="16">
        <f t="shared" si="746"/>
        <v>204</v>
      </c>
      <c r="AF262" s="16">
        <f t="shared" si="746"/>
        <v>168</v>
      </c>
      <c r="AG262" s="16">
        <f t="shared" si="746"/>
        <v>140</v>
      </c>
      <c r="AH262" s="16">
        <f t="shared" si="746"/>
        <v>171</v>
      </c>
      <c r="AI262" s="16">
        <f t="shared" si="746"/>
        <v>181</v>
      </c>
      <c r="AJ262" s="16">
        <f t="shared" si="746"/>
        <v>161</v>
      </c>
      <c r="AK262" s="16">
        <f t="shared" si="746"/>
        <v>164</v>
      </c>
      <c r="AL262" s="16">
        <f t="shared" si="746"/>
        <v>150</v>
      </c>
      <c r="AM262" s="16">
        <f t="shared" si="746"/>
        <v>196</v>
      </c>
      <c r="AN262" s="16">
        <f t="shared" si="746"/>
        <v>189</v>
      </c>
      <c r="AO262" s="16">
        <f t="shared" si="746"/>
        <v>213</v>
      </c>
      <c r="AP262" s="16">
        <f t="shared" si="746"/>
        <v>209</v>
      </c>
      <c r="AQ262" s="16">
        <f t="shared" si="746"/>
        <v>213</v>
      </c>
      <c r="AR262" s="16">
        <f t="shared" si="746"/>
        <v>208</v>
      </c>
      <c r="AS262" s="16">
        <f t="shared" si="746"/>
        <v>182</v>
      </c>
      <c r="AT262" s="16">
        <f t="shared" si="746"/>
        <v>189</v>
      </c>
      <c r="AU262" s="13">
        <f t="shared" ref="AU262:AU264" si="747">SUM(E262:AT262)</f>
        <v>8082</v>
      </c>
    </row>
    <row r="263" spans="1:47" ht="12.75" customHeight="1" x14ac:dyDescent="0.3">
      <c r="A263" s="22"/>
      <c r="B263" s="47" t="s">
        <v>194</v>
      </c>
      <c r="C263" s="83" t="s">
        <v>195</v>
      </c>
      <c r="D263" s="59"/>
      <c r="E263" s="16">
        <v>16</v>
      </c>
      <c r="F263" s="16">
        <v>11</v>
      </c>
      <c r="G263" s="16">
        <v>25</v>
      </c>
      <c r="H263" s="16">
        <v>11</v>
      </c>
      <c r="I263" s="16">
        <v>21</v>
      </c>
      <c r="J263" s="16">
        <v>16</v>
      </c>
      <c r="K263" s="16">
        <v>24</v>
      </c>
      <c r="L263" s="16">
        <v>10</v>
      </c>
      <c r="M263" s="16">
        <v>27</v>
      </c>
      <c r="N263" s="16">
        <v>11</v>
      </c>
      <c r="O263" s="16">
        <v>11</v>
      </c>
      <c r="P263" s="16">
        <v>26</v>
      </c>
      <c r="Q263" s="16">
        <v>8</v>
      </c>
      <c r="R263" s="16">
        <v>15</v>
      </c>
      <c r="S263" s="16">
        <v>16</v>
      </c>
      <c r="T263" s="16">
        <v>15</v>
      </c>
      <c r="U263" s="16">
        <v>11</v>
      </c>
      <c r="V263" s="16">
        <v>10</v>
      </c>
      <c r="W263" s="16">
        <v>22</v>
      </c>
      <c r="X263" s="16">
        <v>14</v>
      </c>
      <c r="Y263" s="16">
        <v>10</v>
      </c>
      <c r="Z263" s="16">
        <v>33</v>
      </c>
      <c r="AA263" s="16">
        <v>18</v>
      </c>
      <c r="AB263" s="16">
        <v>8</v>
      </c>
      <c r="AC263" s="16">
        <v>55</v>
      </c>
      <c r="AD263" s="16">
        <v>9</v>
      </c>
      <c r="AE263" s="16">
        <v>11</v>
      </c>
      <c r="AF263" s="16">
        <v>28</v>
      </c>
      <c r="AG263" s="16">
        <v>15</v>
      </c>
      <c r="AH263" s="16">
        <v>17</v>
      </c>
      <c r="AI263" s="16">
        <v>43</v>
      </c>
      <c r="AJ263" s="16">
        <v>19</v>
      </c>
      <c r="AK263" s="16">
        <v>6</v>
      </c>
      <c r="AL263" s="16">
        <v>41</v>
      </c>
      <c r="AM263" s="16">
        <v>9</v>
      </c>
      <c r="AN263" s="16">
        <v>19</v>
      </c>
      <c r="AO263" s="16">
        <v>14</v>
      </c>
      <c r="AP263" s="16">
        <v>10</v>
      </c>
      <c r="AQ263" s="16">
        <v>13</v>
      </c>
      <c r="AR263" s="16">
        <v>16</v>
      </c>
      <c r="AS263" s="16">
        <v>8</v>
      </c>
      <c r="AT263" s="16">
        <v>19</v>
      </c>
      <c r="AU263" s="13">
        <f t="shared" si="747"/>
        <v>741</v>
      </c>
    </row>
    <row r="264" spans="1:47" ht="12.75" customHeight="1" x14ac:dyDescent="0.3">
      <c r="A264" s="25"/>
      <c r="B264" s="47" t="s">
        <v>196</v>
      </c>
      <c r="C264" s="83" t="s">
        <v>197</v>
      </c>
      <c r="D264" s="59"/>
      <c r="E264" s="13">
        <f t="shared" ref="E264:AT264" si="748">SUM(E262:E263)</f>
        <v>230</v>
      </c>
      <c r="F264" s="13">
        <f t="shared" si="748"/>
        <v>209</v>
      </c>
      <c r="G264" s="13">
        <f t="shared" si="748"/>
        <v>232</v>
      </c>
      <c r="H264" s="13">
        <f t="shared" si="748"/>
        <v>191</v>
      </c>
      <c r="I264" s="13">
        <f t="shared" si="748"/>
        <v>212</v>
      </c>
      <c r="J264" s="13">
        <f t="shared" si="748"/>
        <v>226</v>
      </c>
      <c r="K264" s="13">
        <f t="shared" si="748"/>
        <v>168</v>
      </c>
      <c r="L264" s="13">
        <f t="shared" si="748"/>
        <v>231</v>
      </c>
      <c r="M264" s="13">
        <f t="shared" si="748"/>
        <v>259</v>
      </c>
      <c r="N264" s="13">
        <f t="shared" si="748"/>
        <v>223</v>
      </c>
      <c r="O264" s="13">
        <f t="shared" si="748"/>
        <v>224</v>
      </c>
      <c r="P264" s="13">
        <f t="shared" si="748"/>
        <v>231</v>
      </c>
      <c r="Q264" s="13">
        <f t="shared" si="748"/>
        <v>203</v>
      </c>
      <c r="R264" s="13">
        <f t="shared" si="748"/>
        <v>236</v>
      </c>
      <c r="S264" s="13">
        <f t="shared" si="748"/>
        <v>225</v>
      </c>
      <c r="T264" s="13">
        <f t="shared" si="748"/>
        <v>229</v>
      </c>
      <c r="U264" s="13">
        <f t="shared" si="748"/>
        <v>229</v>
      </c>
      <c r="V264" s="13">
        <f t="shared" si="748"/>
        <v>192</v>
      </c>
      <c r="W264" s="13">
        <f t="shared" si="748"/>
        <v>235</v>
      </c>
      <c r="X264" s="13">
        <f t="shared" si="748"/>
        <v>190</v>
      </c>
      <c r="Y264" s="13">
        <f t="shared" si="748"/>
        <v>189</v>
      </c>
      <c r="Z264" s="13">
        <f t="shared" si="748"/>
        <v>202</v>
      </c>
      <c r="AA264" s="13">
        <f t="shared" si="748"/>
        <v>187</v>
      </c>
      <c r="AB264" s="13">
        <f t="shared" si="748"/>
        <v>187</v>
      </c>
      <c r="AC264" s="13">
        <f t="shared" si="748"/>
        <v>234</v>
      </c>
      <c r="AD264" s="13">
        <f t="shared" si="748"/>
        <v>223</v>
      </c>
      <c r="AE264" s="13">
        <f t="shared" si="748"/>
        <v>215</v>
      </c>
      <c r="AF264" s="13">
        <f t="shared" si="748"/>
        <v>196</v>
      </c>
      <c r="AG264" s="13">
        <f t="shared" si="748"/>
        <v>155</v>
      </c>
      <c r="AH264" s="13">
        <f t="shared" si="748"/>
        <v>188</v>
      </c>
      <c r="AI264" s="13">
        <f t="shared" si="748"/>
        <v>224</v>
      </c>
      <c r="AJ264" s="13">
        <f t="shared" si="748"/>
        <v>180</v>
      </c>
      <c r="AK264" s="13">
        <f t="shared" si="748"/>
        <v>170</v>
      </c>
      <c r="AL264" s="13">
        <f t="shared" si="748"/>
        <v>191</v>
      </c>
      <c r="AM264" s="13">
        <f t="shared" si="748"/>
        <v>205</v>
      </c>
      <c r="AN264" s="13">
        <f t="shared" si="748"/>
        <v>208</v>
      </c>
      <c r="AO264" s="13">
        <f t="shared" si="748"/>
        <v>227</v>
      </c>
      <c r="AP264" s="13">
        <f t="shared" si="748"/>
        <v>219</v>
      </c>
      <c r="AQ264" s="13">
        <f t="shared" si="748"/>
        <v>226</v>
      </c>
      <c r="AR264" s="13">
        <f t="shared" si="748"/>
        <v>224</v>
      </c>
      <c r="AS264" s="13">
        <f t="shared" si="748"/>
        <v>190</v>
      </c>
      <c r="AT264" s="13">
        <f t="shared" si="748"/>
        <v>208</v>
      </c>
      <c r="AU264" s="13">
        <f t="shared" si="747"/>
        <v>8823</v>
      </c>
    </row>
    <row r="265" spans="1:47" ht="12.75" customHeight="1" x14ac:dyDescent="0.3"/>
    <row r="266" spans="1:47" ht="12.75" customHeight="1" x14ac:dyDescent="0.3"/>
    <row r="267" spans="1:47" ht="12.75" customHeight="1" x14ac:dyDescent="0.3"/>
    <row r="268" spans="1:47" ht="12.75" customHeight="1" x14ac:dyDescent="0.3"/>
    <row r="269" spans="1:47" ht="12.75" customHeight="1" x14ac:dyDescent="0.3"/>
    <row r="270" spans="1:47" ht="12.75" customHeight="1" x14ac:dyDescent="0.3"/>
    <row r="271" spans="1:47" ht="12.75" customHeight="1" x14ac:dyDescent="0.3"/>
    <row r="272" spans="1:47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mergeCells count="86">
    <mergeCell ref="B151:D151"/>
    <mergeCell ref="B103:D103"/>
    <mergeCell ref="A104:E104"/>
    <mergeCell ref="C105:D105"/>
    <mergeCell ref="B115:D115"/>
    <mergeCell ref="A116:E116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E42:I42"/>
    <mergeCell ref="B43:D43"/>
    <mergeCell ref="B25:B27"/>
    <mergeCell ref="C25:C27"/>
    <mergeCell ref="B28:B30"/>
    <mergeCell ref="A37:D37"/>
    <mergeCell ref="E37:I37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  <mergeCell ref="C117:D117"/>
    <mergeCell ref="B127:D127"/>
    <mergeCell ref="A128:E128"/>
    <mergeCell ref="C129:D129"/>
    <mergeCell ref="A80:E80"/>
    <mergeCell ref="C81:D81"/>
    <mergeCell ref="B91:D91"/>
    <mergeCell ref="A92:E92"/>
    <mergeCell ref="C93:D93"/>
  </mergeCells>
  <conditionalFormatting sqref="E34:T34">
    <cfRule type="expression" dxfId="28" priority="1">
      <formula>E34&lt;&gt;E64</formula>
    </cfRule>
  </conditionalFormatting>
  <conditionalFormatting sqref="E14:AT15">
    <cfRule type="containsBlanks" dxfId="27" priority="2">
      <formula>LEN(TRIM(E14))=0</formula>
    </cfRule>
  </conditionalFormatting>
  <conditionalFormatting sqref="E19:AT20">
    <cfRule type="containsBlanks" dxfId="26" priority="3">
      <formula>LEN(TRIM(E19))=0</formula>
    </cfRule>
  </conditionalFormatting>
  <conditionalFormatting sqref="E22:AT23 E25:AT26 E33:AT33 E35:AT35 E39:AT40">
    <cfRule type="containsBlanks" dxfId="25" priority="4">
      <formula>LEN(TRIM(E22))=0</formula>
    </cfRule>
  </conditionalFormatting>
  <conditionalFormatting sqref="E30:AT30">
    <cfRule type="expression" dxfId="24" priority="5">
      <formula>E30&lt;&gt;E47</formula>
    </cfRule>
    <cfRule type="expression" dxfId="23" priority="6">
      <formula>E30&lt;&gt;E34</formula>
    </cfRule>
  </conditionalFormatting>
  <conditionalFormatting sqref="E34:AT34">
    <cfRule type="expression" dxfId="22" priority="7">
      <formula>E30&lt;&gt;E34</formula>
    </cfRule>
    <cfRule type="expression" dxfId="21" priority="8">
      <formula>E30=E34</formula>
    </cfRule>
    <cfRule type="expression" dxfId="20" priority="9">
      <formula>E34&lt;&gt;E30</formula>
    </cfRule>
  </conditionalFormatting>
  <conditionalFormatting sqref="E45:AT54">
    <cfRule type="containsBlanks" dxfId="19" priority="10">
      <formula>LEN(TRIM(E45))=0</formula>
    </cfRule>
  </conditionalFormatting>
  <conditionalFormatting sqref="E57:AT66">
    <cfRule type="containsBlanks" dxfId="18" priority="11">
      <formula>LEN(TRIM(E57))=0</formula>
    </cfRule>
  </conditionalFormatting>
  <conditionalFormatting sqref="E69:AT78">
    <cfRule type="containsBlanks" dxfId="17" priority="12">
      <formula>LEN(TRIM(E69))=0</formula>
    </cfRule>
  </conditionalFormatting>
  <conditionalFormatting sqref="E81:AT90">
    <cfRule type="containsBlanks" dxfId="16" priority="13">
      <formula>LEN(TRIM(E81))=0</formula>
    </cfRule>
  </conditionalFormatting>
  <conditionalFormatting sqref="E93:AT102">
    <cfRule type="containsBlanks" dxfId="15" priority="14">
      <formula>LEN(TRIM(E93))=0</formula>
    </cfRule>
  </conditionalFormatting>
  <conditionalFormatting sqref="E105:AT114">
    <cfRule type="containsBlanks" dxfId="14" priority="15">
      <formula>LEN(TRIM(E105))=0</formula>
    </cfRule>
  </conditionalFormatting>
  <conditionalFormatting sqref="E117:AT126">
    <cfRule type="containsBlanks" dxfId="13" priority="16">
      <formula>LEN(TRIM(E117))=0</formula>
    </cfRule>
  </conditionalFormatting>
  <conditionalFormatting sqref="E129:AT138">
    <cfRule type="containsBlanks" dxfId="12" priority="17">
      <formula>LEN(TRIM(E129))=0</formula>
    </cfRule>
  </conditionalFormatting>
  <conditionalFormatting sqref="E141:AT150">
    <cfRule type="containsBlanks" dxfId="11" priority="18">
      <formula>LEN(TRIM(E141))=0</formula>
    </cfRule>
  </conditionalFormatting>
  <conditionalFormatting sqref="E153:AT162">
    <cfRule type="containsBlanks" dxfId="10" priority="19">
      <formula>LEN(TRIM(E153))=0</formula>
    </cfRule>
  </conditionalFormatting>
  <conditionalFormatting sqref="E165:AT174">
    <cfRule type="containsBlanks" dxfId="9" priority="20">
      <formula>LEN(TRIM(E165))=0</formula>
    </cfRule>
  </conditionalFormatting>
  <conditionalFormatting sqref="E177:AT186">
    <cfRule type="containsBlanks" dxfId="8" priority="21">
      <formula>LEN(TRIM(E177))=0</formula>
    </cfRule>
  </conditionalFormatting>
  <conditionalFormatting sqref="E189:AT198">
    <cfRule type="containsBlanks" dxfId="7" priority="22">
      <formula>LEN(TRIM(E189))=0</formula>
    </cfRule>
  </conditionalFormatting>
  <conditionalFormatting sqref="E201:AT210">
    <cfRule type="containsBlanks" dxfId="6" priority="23">
      <formula>LEN(TRIM(E201))=0</formula>
    </cfRule>
  </conditionalFormatting>
  <conditionalFormatting sqref="E213:AT222">
    <cfRule type="containsBlanks" dxfId="5" priority="24">
      <formula>LEN(TRIM(E213))=0</formula>
    </cfRule>
  </conditionalFormatting>
  <conditionalFormatting sqref="E225:AT234">
    <cfRule type="containsBlanks" dxfId="4" priority="25">
      <formula>LEN(TRIM(E225))=0</formula>
    </cfRule>
  </conditionalFormatting>
  <conditionalFormatting sqref="E237:AT246">
    <cfRule type="containsBlanks" dxfId="3" priority="26">
      <formula>LEN(TRIM(E237))=0</formula>
    </cfRule>
  </conditionalFormatting>
  <conditionalFormatting sqref="E249:AT258">
    <cfRule type="containsBlanks" dxfId="2" priority="27">
      <formula>LEN(TRIM(E249))=0</formula>
    </cfRule>
  </conditionalFormatting>
  <conditionalFormatting sqref="E262:AT263">
    <cfRule type="containsBlanks" dxfId="1" priority="28">
      <formula>LEN(TRIM(E262))=0</formula>
    </cfRule>
  </conditionalFormatting>
  <conditionalFormatting sqref="U34:AT34">
    <cfRule type="expression" dxfId="0" priority="29">
      <formula>U34&lt;&gt;U47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DPRD PROVINSI</vt:lpstr>
      <vt:lpstr>BANGOREJO</vt:lpstr>
      <vt:lpstr>KEBONDALEM</vt:lpstr>
      <vt:lpstr>RINGINTELU</vt:lpstr>
      <vt:lpstr>SAMBIMULYO</vt:lpstr>
      <vt:lpstr>SAMBIREJO</vt:lpstr>
      <vt:lpstr>SUKOREJO</vt:lpstr>
      <vt:lpstr>TEMUREJO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Eko Budi Hartanto</cp:lastModifiedBy>
  <dcterms:created xsi:type="dcterms:W3CDTF">2026-01-14T02:26:01Z</dcterms:created>
  <dcterms:modified xsi:type="dcterms:W3CDTF">2026-02-04T02:17:47Z</dcterms:modified>
</cp:coreProperties>
</file>